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E/elec/BRPSPTY/"/>
    </mc:Choice>
  </mc:AlternateContent>
  <xr:revisionPtr revIDLastSave="0" documentId="8_{F3695BBF-AC5F-294A-818E-AAF6BED9D872}" xr6:coauthVersionLast="47" xr6:coauthVersionMax="47" xr10:uidLastSave="{00000000-0000-0000-0000-000000000000}"/>
  <bookViews>
    <workbookView xWindow="-28800" yWindow="500" windowWidth="28800" windowHeight="17500" xr2:uid="{00000000-000D-0000-FFFF-FFFF00000000}"/>
  </bookViews>
  <sheets>
    <sheet name="About" sheetId="1" r:id="rId1"/>
    <sheet name="RPS by State" sheetId="2" r:id="rId2"/>
    <sheet name="Webapp Output" sheetId="10" r:id="rId3"/>
    <sheet name="EIA 2020 ESRAP Table 10" sheetId="3" r:id="rId4"/>
    <sheet name="Generation by State" sheetId="9" r:id="rId5"/>
    <sheet name="BAU Electricity Generation" sheetId="6" r:id="rId6"/>
    <sheet name="Extra State Data" sheetId="7" r:id="rId7"/>
    <sheet name="BRPSPTY" sheetId="8" r:id="rId8"/>
  </sheets>
  <definedNames>
    <definedName name="_xlnm._FilterDatabase" localSheetId="3" hidden="1">'EIA 2020 ESRAP Table 10'!$A$3:$G$3353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#REF!</definedName>
  </definedNames>
  <calcPr calcId="191029"/>
  <pivotCaches>
    <pivotCache cacheId="7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5" i="2" l="1"/>
  <c r="AJ15" i="2"/>
  <c r="AK15" i="2" s="1"/>
  <c r="AL15" i="2" s="1"/>
  <c r="AM15" i="2" s="1"/>
  <c r="AN15" i="2" s="1"/>
  <c r="AO15" i="2" s="1"/>
  <c r="AP15" i="2" s="1"/>
  <c r="AQ15" i="2" s="1"/>
  <c r="AH15" i="2"/>
  <c r="Y15" i="2" l="1"/>
  <c r="Z15" i="2"/>
  <c r="AA15" i="2"/>
  <c r="AB15" i="2"/>
  <c r="AC15" i="2"/>
  <c r="AD15" i="2"/>
  <c r="AE15" i="2"/>
  <c r="AF15" i="2"/>
  <c r="X15" i="2"/>
  <c r="X13" i="2"/>
  <c r="AF13" i="2"/>
  <c r="R57" i="2" l="1"/>
  <c r="W57" i="2"/>
  <c r="X57" i="2" s="1"/>
  <c r="Y57" i="2" s="1"/>
  <c r="Z57" i="2" s="1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AG56" i="2"/>
  <c r="M56" i="2"/>
  <c r="L56" i="2"/>
  <c r="K56" i="2"/>
  <c r="J56" i="2"/>
  <c r="I56" i="2"/>
  <c r="H56" i="2"/>
  <c r="R56" i="2"/>
  <c r="W56" i="2"/>
  <c r="D5" i="10"/>
  <c r="D7" i="10"/>
  <c r="D14" i="10"/>
  <c r="D16" i="10"/>
  <c r="D17" i="10"/>
  <c r="D19" i="10"/>
  <c r="D20" i="10"/>
  <c r="D21" i="10"/>
  <c r="D22" i="10"/>
  <c r="D23" i="10"/>
  <c r="D28" i="10"/>
  <c r="D31" i="10"/>
  <c r="D38" i="10"/>
  <c r="D39" i="10"/>
  <c r="D40" i="10"/>
  <c r="D44" i="10"/>
  <c r="D45" i="10"/>
  <c r="D46" i="10"/>
  <c r="D48" i="10"/>
  <c r="D52" i="10"/>
  <c r="D54" i="10"/>
  <c r="C5" i="10"/>
  <c r="C7" i="10"/>
  <c r="C10" i="10"/>
  <c r="C14" i="10"/>
  <c r="C15" i="10"/>
  <c r="C16" i="10"/>
  <c r="C17" i="10"/>
  <c r="C19" i="10"/>
  <c r="C20" i="10"/>
  <c r="C21" i="10"/>
  <c r="C22" i="10"/>
  <c r="C23" i="10"/>
  <c r="C24" i="10"/>
  <c r="C25" i="10"/>
  <c r="C28" i="10"/>
  <c r="C31" i="10"/>
  <c r="C34" i="10"/>
  <c r="C36" i="10"/>
  <c r="C38" i="10"/>
  <c r="C39" i="10"/>
  <c r="C40" i="10"/>
  <c r="C44" i="10"/>
  <c r="C45" i="10"/>
  <c r="C46" i="10"/>
  <c r="C48" i="10"/>
  <c r="C52" i="10"/>
  <c r="C54" i="10"/>
  <c r="C12" i="10"/>
  <c r="B5" i="10"/>
  <c r="B6" i="10"/>
  <c r="B7" i="10"/>
  <c r="B10" i="10"/>
  <c r="B11" i="10"/>
  <c r="B14" i="10"/>
  <c r="B15" i="10"/>
  <c r="B16" i="10"/>
  <c r="B17" i="10"/>
  <c r="B19" i="10"/>
  <c r="B20" i="10"/>
  <c r="B21" i="10"/>
  <c r="B22" i="10"/>
  <c r="B24" i="10"/>
  <c r="B26" i="10"/>
  <c r="B28" i="10"/>
  <c r="B31" i="10"/>
  <c r="B33" i="10"/>
  <c r="B34" i="10"/>
  <c r="B38" i="10"/>
  <c r="B40" i="10"/>
  <c r="B42" i="10"/>
  <c r="B44" i="10"/>
  <c r="B45" i="10"/>
  <c r="B46" i="10"/>
  <c r="B48" i="10"/>
  <c r="B52" i="10"/>
  <c r="B54" i="10"/>
  <c r="B12" i="10"/>
  <c r="D4" i="10"/>
  <c r="C4" i="10"/>
  <c r="B4" i="10"/>
  <c r="B26" i="6"/>
  <c r="B25" i="6"/>
  <c r="X56" i="2" l="1"/>
  <c r="Y56" i="2" s="1"/>
  <c r="Z56" i="2" s="1"/>
  <c r="AA56" i="2" s="1"/>
  <c r="AB56" i="2" s="1"/>
  <c r="AC56" i="2" s="1"/>
  <c r="AD56" i="2" s="1"/>
  <c r="AE56" i="2" s="1"/>
  <c r="AF56" i="2" s="1"/>
  <c r="N56" i="2"/>
  <c r="O56" i="2" s="1"/>
  <c r="P56" i="2" s="1"/>
  <c r="Q56" i="2" s="1"/>
  <c r="S56" i="2"/>
  <c r="S57" i="2"/>
  <c r="T56" i="2"/>
  <c r="U56" i="2" s="1"/>
  <c r="V56" i="2" s="1"/>
  <c r="T57" i="2"/>
  <c r="U57" i="2" s="1"/>
  <c r="V57" i="2" s="1"/>
  <c r="Y34" i="2"/>
  <c r="Z34" i="2"/>
  <c r="AA34" i="2"/>
  <c r="AB34" i="2"/>
  <c r="AC34" i="2"/>
  <c r="AD34" i="2"/>
  <c r="AE34" i="2"/>
  <c r="AF34" i="2"/>
  <c r="X34" i="2"/>
  <c r="AH34" i="2"/>
  <c r="AI34" i="2" s="1"/>
  <c r="AJ34" i="2" s="1"/>
  <c r="AK34" i="2" s="1"/>
  <c r="AL34" i="2" s="1"/>
  <c r="AM34" i="2" s="1"/>
  <c r="AN34" i="2" s="1"/>
  <c r="AO34" i="2" s="1"/>
  <c r="AP34" i="2" s="1"/>
  <c r="AQ34" i="2" s="1"/>
  <c r="D36" i="10" s="1"/>
  <c r="V34" i="2"/>
  <c r="L23" i="2"/>
  <c r="M23" i="2" s="1"/>
  <c r="X21" i="2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K21" i="2"/>
  <c r="L21" i="2" s="1"/>
  <c r="M21" i="2" s="1"/>
  <c r="G7" i="2"/>
  <c r="K27" i="2"/>
  <c r="B22" i="6"/>
  <c r="B21" i="6"/>
  <c r="AQ53" i="2"/>
  <c r="D12" i="10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F53" i="2"/>
  <c r="F52" i="2"/>
  <c r="AQ51" i="2"/>
  <c r="D53" i="10" s="1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C53" i="10" s="1"/>
  <c r="V51" i="2"/>
  <c r="U51" i="2"/>
  <c r="T51" i="2"/>
  <c r="S51" i="2"/>
  <c r="R51" i="2"/>
  <c r="Q51" i="2"/>
  <c r="P51" i="2"/>
  <c r="O51" i="2"/>
  <c r="N51" i="2"/>
  <c r="M51" i="2"/>
  <c r="B53" i="10" s="1"/>
  <c r="L51" i="2"/>
  <c r="K51" i="2"/>
  <c r="J51" i="2"/>
  <c r="I51" i="2"/>
  <c r="F51" i="2"/>
  <c r="F50" i="2"/>
  <c r="F49" i="2"/>
  <c r="F48" i="2"/>
  <c r="AQ47" i="2"/>
  <c r="D49" i="10" s="1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X47" i="2"/>
  <c r="W47" i="2"/>
  <c r="C49" i="10" s="1"/>
  <c r="V47" i="2"/>
  <c r="U47" i="2"/>
  <c r="T47" i="2"/>
  <c r="S47" i="2"/>
  <c r="R47" i="2"/>
  <c r="Q47" i="2"/>
  <c r="P47" i="2"/>
  <c r="O47" i="2"/>
  <c r="N47" i="2"/>
  <c r="M47" i="2"/>
  <c r="B49" i="10" s="1"/>
  <c r="L47" i="2"/>
  <c r="K47" i="2"/>
  <c r="F47" i="2"/>
  <c r="F46" i="2"/>
  <c r="R45" i="2"/>
  <c r="AO45" i="2" s="1"/>
  <c r="H45" i="2"/>
  <c r="F45" i="2"/>
  <c r="F44" i="2"/>
  <c r="F43" i="2"/>
  <c r="F42" i="2"/>
  <c r="I41" i="2"/>
  <c r="J41" i="2" s="1"/>
  <c r="K41" i="2" s="1"/>
  <c r="L41" i="2" s="1"/>
  <c r="M41" i="2" s="1"/>
  <c r="H41" i="2"/>
  <c r="F41" i="2"/>
  <c r="AQ40" i="2"/>
  <c r="D42" i="10" s="1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C42" i="10" s="1"/>
  <c r="V40" i="2"/>
  <c r="U40" i="2"/>
  <c r="T40" i="2"/>
  <c r="S40" i="2"/>
  <c r="R40" i="2"/>
  <c r="Q40" i="2"/>
  <c r="P40" i="2"/>
  <c r="O40" i="2"/>
  <c r="M40" i="2"/>
  <c r="L40" i="2"/>
  <c r="K40" i="2"/>
  <c r="J40" i="2"/>
  <c r="I40" i="2"/>
  <c r="H40" i="2"/>
  <c r="G40" i="2"/>
  <c r="F40" i="2"/>
  <c r="F39" i="2"/>
  <c r="F38" i="2"/>
  <c r="H37" i="2"/>
  <c r="F37" i="2"/>
  <c r="F36" i="2"/>
  <c r="F35" i="2"/>
  <c r="U34" i="2"/>
  <c r="T34" i="2"/>
  <c r="S34" i="2"/>
  <c r="R34" i="2"/>
  <c r="Q34" i="2"/>
  <c r="P34" i="2"/>
  <c r="O34" i="2"/>
  <c r="N34" i="2"/>
  <c r="M34" i="2"/>
  <c r="B36" i="10" s="1"/>
  <c r="L34" i="2"/>
  <c r="K34" i="2"/>
  <c r="J34" i="2"/>
  <c r="I34" i="2"/>
  <c r="F34" i="2"/>
  <c r="F33" i="2"/>
  <c r="X32" i="2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D34" i="10" s="1"/>
  <c r="S32" i="2"/>
  <c r="T32" i="2" s="1"/>
  <c r="U32" i="2" s="1"/>
  <c r="V32" i="2" s="1"/>
  <c r="O32" i="2"/>
  <c r="P32" i="2" s="1"/>
  <c r="Q32" i="2" s="1"/>
  <c r="F32" i="2"/>
  <c r="AO31" i="2"/>
  <c r="AK31" i="2"/>
  <c r="AJ31" i="2"/>
  <c r="AF31" i="2"/>
  <c r="AD31" i="2"/>
  <c r="Z31" i="2"/>
  <c r="Y31" i="2"/>
  <c r="U31" i="2"/>
  <c r="T31" i="2"/>
  <c r="R31" i="2"/>
  <c r="AL31" i="2" s="1"/>
  <c r="Q31" i="2"/>
  <c r="P31" i="2"/>
  <c r="O31" i="2"/>
  <c r="N31" i="2"/>
  <c r="M31" i="2"/>
  <c r="L31" i="2"/>
  <c r="K31" i="2"/>
  <c r="J31" i="2"/>
  <c r="I31" i="2"/>
  <c r="H31" i="2"/>
  <c r="G31" i="2"/>
  <c r="F31" i="2"/>
  <c r="F30" i="2"/>
  <c r="F29" i="2"/>
  <c r="AQ28" i="2"/>
  <c r="D30" i="10" s="1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C30" i="10" s="1"/>
  <c r="V28" i="2"/>
  <c r="U28" i="2"/>
  <c r="T28" i="2"/>
  <c r="S28" i="2"/>
  <c r="R28" i="2"/>
  <c r="Q28" i="2"/>
  <c r="P28" i="2"/>
  <c r="O28" i="2"/>
  <c r="N28" i="2"/>
  <c r="M28" i="2"/>
  <c r="B30" i="10" s="1"/>
  <c r="L28" i="2"/>
  <c r="K28" i="2"/>
  <c r="J28" i="2"/>
  <c r="I28" i="2"/>
  <c r="G28" i="2"/>
  <c r="F28" i="2"/>
  <c r="F27" i="2"/>
  <c r="F26" i="2"/>
  <c r="F25" i="2"/>
  <c r="O24" i="2"/>
  <c r="P24" i="2" s="1"/>
  <c r="Q24" i="2" s="1"/>
  <c r="R24" i="2" s="1"/>
  <c r="S24" i="2" s="1"/>
  <c r="T24" i="2" s="1"/>
  <c r="U24" i="2" s="1"/>
  <c r="V24" i="2" s="1"/>
  <c r="W24" i="2" s="1"/>
  <c r="J24" i="2"/>
  <c r="I24" i="2"/>
  <c r="F24" i="2"/>
  <c r="X23" i="2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D25" i="10" s="1"/>
  <c r="F23" i="2"/>
  <c r="Y22" i="2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D24" i="10" s="1"/>
  <c r="X22" i="2"/>
  <c r="N22" i="2"/>
  <c r="O22" i="2" s="1"/>
  <c r="P22" i="2" s="1"/>
  <c r="Q22" i="2" s="1"/>
  <c r="R22" i="2" s="1"/>
  <c r="S22" i="2" s="1"/>
  <c r="T22" i="2" s="1"/>
  <c r="U22" i="2" s="1"/>
  <c r="V22" i="2" s="1"/>
  <c r="K22" i="2"/>
  <c r="J22" i="2"/>
  <c r="I22" i="2"/>
  <c r="H22" i="2"/>
  <c r="G22" i="2"/>
  <c r="F22" i="2"/>
  <c r="F21" i="2"/>
  <c r="F20" i="2"/>
  <c r="F19" i="2"/>
  <c r="F18" i="2"/>
  <c r="F17" i="2"/>
  <c r="AQ16" i="2"/>
  <c r="D18" i="10" s="1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C18" i="10" s="1"/>
  <c r="V16" i="2"/>
  <c r="U16" i="2"/>
  <c r="T16" i="2"/>
  <c r="S16" i="2"/>
  <c r="Q16" i="2"/>
  <c r="P16" i="2"/>
  <c r="O16" i="2"/>
  <c r="N16" i="2"/>
  <c r="M16" i="2"/>
  <c r="B18" i="10" s="1"/>
  <c r="K16" i="2"/>
  <c r="J16" i="2"/>
  <c r="I16" i="2"/>
  <c r="H16" i="2"/>
  <c r="F16" i="2"/>
  <c r="F15" i="2"/>
  <c r="F14" i="2"/>
  <c r="AQ13" i="2"/>
  <c r="D15" i="10" s="1"/>
  <c r="AP13" i="2"/>
  <c r="AO13" i="2"/>
  <c r="AN13" i="2"/>
  <c r="AM13" i="2"/>
  <c r="AK13" i="2"/>
  <c r="AJ13" i="2"/>
  <c r="AI13" i="2"/>
  <c r="AH13" i="2"/>
  <c r="AE13" i="2"/>
  <c r="AD13" i="2"/>
  <c r="AC13" i="2"/>
  <c r="AB13" i="2"/>
  <c r="AA13" i="2"/>
  <c r="Z13" i="2"/>
  <c r="Y13" i="2"/>
  <c r="V13" i="2"/>
  <c r="U13" i="2"/>
  <c r="T13" i="2"/>
  <c r="S13" i="2"/>
  <c r="R13" i="2"/>
  <c r="Q13" i="2"/>
  <c r="P13" i="2"/>
  <c r="O13" i="2"/>
  <c r="N13" i="2"/>
  <c r="L13" i="2"/>
  <c r="K13" i="2"/>
  <c r="J13" i="2"/>
  <c r="I13" i="2"/>
  <c r="G13" i="2"/>
  <c r="F13" i="2"/>
  <c r="F12" i="2"/>
  <c r="G11" i="2"/>
  <c r="H11" i="2" s="1"/>
  <c r="I11" i="2" s="1"/>
  <c r="J11" i="2" s="1"/>
  <c r="K11" i="2" s="1"/>
  <c r="L11" i="2" s="1"/>
  <c r="M11" i="2" s="1"/>
  <c r="F11" i="2"/>
  <c r="AQ10" i="2"/>
  <c r="D11" i="10" s="1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C11" i="10" s="1"/>
  <c r="V10" i="2"/>
  <c r="U10" i="2"/>
  <c r="T10" i="2"/>
  <c r="S10" i="2"/>
  <c r="F10" i="2"/>
  <c r="AQ9" i="2"/>
  <c r="D10" i="10" s="1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S9" i="2"/>
  <c r="T9" i="2" s="1"/>
  <c r="U9" i="2" s="1"/>
  <c r="V9" i="2" s="1"/>
  <c r="F9" i="2"/>
  <c r="F8" i="2"/>
  <c r="AL7" i="2"/>
  <c r="AM7" i="2" s="1"/>
  <c r="AN7" i="2" s="1"/>
  <c r="AO7" i="2" s="1"/>
  <c r="AP7" i="2" s="1"/>
  <c r="AQ7" i="2" s="1"/>
  <c r="D8" i="10" s="1"/>
  <c r="W7" i="2"/>
  <c r="C8" i="10" s="1"/>
  <c r="T7" i="2"/>
  <c r="Q7" i="2"/>
  <c r="I7" i="2"/>
  <c r="H7" i="2" s="1"/>
  <c r="F7" i="2"/>
  <c r="F6" i="2"/>
  <c r="AQ5" i="2"/>
  <c r="D6" i="10" s="1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C6" i="10" s="1"/>
  <c r="V5" i="2"/>
  <c r="U5" i="2"/>
  <c r="T5" i="2"/>
  <c r="S5" i="2"/>
  <c r="F5" i="2"/>
  <c r="F4" i="2"/>
  <c r="F3" i="2"/>
  <c r="B2" i="1"/>
  <c r="F60" i="2" s="1"/>
  <c r="M45" i="2" l="1"/>
  <c r="B47" i="10" s="1"/>
  <c r="N41" i="2"/>
  <c r="O41" i="2" s="1"/>
  <c r="P41" i="2" s="1"/>
  <c r="Q41" i="2" s="1"/>
  <c r="R41" i="2" s="1"/>
  <c r="S41" i="2" s="1"/>
  <c r="T41" i="2" s="1"/>
  <c r="U41" i="2" s="1"/>
  <c r="V41" i="2" s="1"/>
  <c r="W41" i="2" s="1"/>
  <c r="B43" i="10"/>
  <c r="X24" i="2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D26" i="10" s="1"/>
  <c r="C26" i="10"/>
  <c r="N21" i="2"/>
  <c r="O21" i="2" s="1"/>
  <c r="P21" i="2" s="1"/>
  <c r="Q21" i="2" s="1"/>
  <c r="R21" i="2" s="1"/>
  <c r="S21" i="2" s="1"/>
  <c r="T21" i="2" s="1"/>
  <c r="U21" i="2" s="1"/>
  <c r="V21" i="2" s="1"/>
  <c r="B23" i="10"/>
  <c r="N23" i="2"/>
  <c r="O23" i="2" s="1"/>
  <c r="P23" i="2" s="1"/>
  <c r="Q23" i="2" s="1"/>
  <c r="R23" i="2" s="1"/>
  <c r="S23" i="2" s="1"/>
  <c r="T23" i="2" s="1"/>
  <c r="U23" i="2" s="1"/>
  <c r="V23" i="2" s="1"/>
  <c r="B25" i="10"/>
  <c r="N11" i="2"/>
  <c r="O11" i="2" s="1"/>
  <c r="P11" i="2" s="1"/>
  <c r="Q11" i="2" s="1"/>
  <c r="R11" i="2" s="1"/>
  <c r="S11" i="2" s="1"/>
  <c r="T11" i="2" s="1"/>
  <c r="U11" i="2" s="1"/>
  <c r="V11" i="2" s="1"/>
  <c r="W11" i="2" s="1"/>
  <c r="B13" i="10"/>
  <c r="AC45" i="2"/>
  <c r="AK45" i="2"/>
  <c r="J45" i="2"/>
  <c r="U45" i="2"/>
  <c r="G27" i="2"/>
  <c r="J27" i="2" s="1"/>
  <c r="K37" i="2"/>
  <c r="B29" i="6"/>
  <c r="B30" i="6"/>
  <c r="G37" i="2"/>
  <c r="L37" i="2"/>
  <c r="AQ8" i="2"/>
  <c r="D9" i="10" s="1"/>
  <c r="I37" i="2"/>
  <c r="J37" i="2"/>
  <c r="M30" i="2"/>
  <c r="B32" i="10" s="1"/>
  <c r="M37" i="2"/>
  <c r="B39" i="10" s="1"/>
  <c r="I49" i="2"/>
  <c r="S37" i="2"/>
  <c r="R37" i="2"/>
  <c r="AQ48" i="2"/>
  <c r="D50" i="10" s="1"/>
  <c r="Q37" i="2"/>
  <c r="M8" i="2"/>
  <c r="B9" i="10" s="1"/>
  <c r="P37" i="2"/>
  <c r="O37" i="2"/>
  <c r="N37" i="2"/>
  <c r="K57" i="2"/>
  <c r="R7" i="2"/>
  <c r="H57" i="2"/>
  <c r="H33" i="2" s="1"/>
  <c r="L57" i="2"/>
  <c r="M57" i="2" s="1"/>
  <c r="N57" i="2" s="1"/>
  <c r="O57" i="2" s="1"/>
  <c r="P57" i="2" s="1"/>
  <c r="Q57" i="2" s="1"/>
  <c r="N35" i="2"/>
  <c r="W35" i="2" s="1"/>
  <c r="C37" i="10" s="1"/>
  <c r="J35" i="2"/>
  <c r="J57" i="2"/>
  <c r="W30" i="2"/>
  <c r="C32" i="10" s="1"/>
  <c r="M7" i="2"/>
  <c r="S7" i="2"/>
  <c r="O27" i="2"/>
  <c r="AN27" i="2" s="1"/>
  <c r="M49" i="2"/>
  <c r="B51" i="10" s="1"/>
  <c r="AL49" i="2"/>
  <c r="AM49" i="2" s="1"/>
  <c r="AN49" i="2" s="1"/>
  <c r="AO49" i="2" s="1"/>
  <c r="AP49" i="2" s="1"/>
  <c r="AQ49" i="2" s="1"/>
  <c r="D51" i="10" s="1"/>
  <c r="G49" i="2"/>
  <c r="R48" i="2"/>
  <c r="M48" i="2" s="1"/>
  <c r="AL56" i="2"/>
  <c r="AH56" i="2" s="1"/>
  <c r="AI56" i="2" s="1"/>
  <c r="AJ56" i="2" s="1"/>
  <c r="AK56" i="2" s="1"/>
  <c r="G8" i="2"/>
  <c r="H35" i="2"/>
  <c r="W48" i="2"/>
  <c r="C50" i="10" s="1"/>
  <c r="G35" i="2"/>
  <c r="H8" i="2"/>
  <c r="J8" i="2" s="1"/>
  <c r="H30" i="2"/>
  <c r="I35" i="2"/>
  <c r="AG48" i="2"/>
  <c r="I57" i="2"/>
  <c r="V7" i="2"/>
  <c r="K35" i="2"/>
  <c r="I25" i="2"/>
  <c r="G25" i="2" s="1"/>
  <c r="X7" i="2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U7" i="2"/>
  <c r="AP31" i="2"/>
  <c r="V31" i="2"/>
  <c r="AB31" i="2"/>
  <c r="AG31" i="2"/>
  <c r="AQ31" i="2"/>
  <c r="D33" i="10" s="1"/>
  <c r="AM31" i="2"/>
  <c r="AI31" i="2"/>
  <c r="AE31" i="2"/>
  <c r="AA31" i="2"/>
  <c r="W31" i="2"/>
  <c r="C33" i="10" s="1"/>
  <c r="S31" i="2"/>
  <c r="X31" i="2"/>
  <c r="AC31" i="2"/>
  <c r="AH31" i="2"/>
  <c r="AN31" i="2"/>
  <c r="I45" i="2"/>
  <c r="Q45" i="2"/>
  <c r="Y45" i="2"/>
  <c r="AG45" i="2"/>
  <c r="AN45" i="2"/>
  <c r="AJ45" i="2"/>
  <c r="AF45" i="2"/>
  <c r="AB45" i="2"/>
  <c r="X45" i="2"/>
  <c r="T45" i="2"/>
  <c r="AQ45" i="2"/>
  <c r="D47" i="10" s="1"/>
  <c r="AM45" i="2"/>
  <c r="AI45" i="2"/>
  <c r="AE45" i="2"/>
  <c r="AA45" i="2"/>
  <c r="W45" i="2"/>
  <c r="C47" i="10" s="1"/>
  <c r="S45" i="2"/>
  <c r="Z45" i="2"/>
  <c r="AH45" i="2"/>
  <c r="AP45" i="2"/>
  <c r="P45" i="2"/>
  <c r="N45" i="2"/>
  <c r="V45" i="2"/>
  <c r="AD45" i="2"/>
  <c r="AL45" i="2"/>
  <c r="K45" i="2"/>
  <c r="O45" i="2"/>
  <c r="L45" i="2"/>
  <c r="AH35" i="2" l="1"/>
  <c r="U35" i="2"/>
  <c r="O7" i="2"/>
  <c r="B8" i="10"/>
  <c r="W33" i="2"/>
  <c r="C35" i="10" s="1"/>
  <c r="N48" i="2"/>
  <c r="O48" i="2" s="1"/>
  <c r="P48" i="2" s="1"/>
  <c r="Q48" i="2" s="1"/>
  <c r="B50" i="10"/>
  <c r="X41" i="2"/>
  <c r="Y41" i="2" s="1"/>
  <c r="Z41" i="2" s="1"/>
  <c r="AA41" i="2" s="1"/>
  <c r="AB41" i="2" s="1"/>
  <c r="C43" i="10"/>
  <c r="X11" i="2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D13" i="10" s="1"/>
  <c r="C13" i="10"/>
  <c r="H27" i="2"/>
  <c r="B31" i="6"/>
  <c r="AP27" i="2"/>
  <c r="N30" i="2"/>
  <c r="O30" i="2" s="1"/>
  <c r="P30" i="2" s="1"/>
  <c r="Q30" i="2" s="1"/>
  <c r="R30" i="2" s="1"/>
  <c r="AQ35" i="2"/>
  <c r="D37" i="10" s="1"/>
  <c r="AL35" i="2"/>
  <c r="AD35" i="2"/>
  <c r="Q35" i="2"/>
  <c r="V35" i="2"/>
  <c r="AH48" i="2"/>
  <c r="AI48" i="2" s="1"/>
  <c r="AJ48" i="2" s="1"/>
  <c r="AK48" i="2" s="1"/>
  <c r="AL48" i="2" s="1"/>
  <c r="AM48" i="2" s="1"/>
  <c r="AN48" i="2" s="1"/>
  <c r="AO48" i="2" s="1"/>
  <c r="AP48" i="2" s="1"/>
  <c r="AI27" i="2"/>
  <c r="M27" i="2"/>
  <c r="B29" i="10" s="1"/>
  <c r="AD27" i="2"/>
  <c r="I27" i="2"/>
  <c r="AF27" i="2"/>
  <c r="N27" i="2"/>
  <c r="AE27" i="2"/>
  <c r="Y27" i="2"/>
  <c r="AO27" i="2"/>
  <c r="AE35" i="2"/>
  <c r="AK35" i="2"/>
  <c r="AC35" i="2"/>
  <c r="Y35" i="2"/>
  <c r="AP35" i="2"/>
  <c r="AF35" i="2"/>
  <c r="N8" i="2"/>
  <c r="O8" i="2" s="1"/>
  <c r="P8" i="2" s="1"/>
  <c r="Q8" i="2" s="1"/>
  <c r="R8" i="2" s="1"/>
  <c r="S8" i="2" s="1"/>
  <c r="T8" i="2" s="1"/>
  <c r="U8" i="2" s="1"/>
  <c r="V8" i="2" s="1"/>
  <c r="W8" i="2" s="1"/>
  <c r="L7" i="2"/>
  <c r="X48" i="2"/>
  <c r="Y48" i="2" s="1"/>
  <c r="Z48" i="2" s="1"/>
  <c r="AA48" i="2" s="1"/>
  <c r="AB48" i="2" s="1"/>
  <c r="AC48" i="2" s="1"/>
  <c r="AD48" i="2" s="1"/>
  <c r="AE48" i="2" s="1"/>
  <c r="AF48" i="2" s="1"/>
  <c r="AO35" i="2"/>
  <c r="K7" i="2"/>
  <c r="J7" i="2"/>
  <c r="P7" i="2"/>
  <c r="N7" i="2"/>
  <c r="S35" i="2"/>
  <c r="Z35" i="2"/>
  <c r="AL27" i="2"/>
  <c r="Z27" i="2"/>
  <c r="S27" i="2"/>
  <c r="P35" i="2"/>
  <c r="AG35" i="2"/>
  <c r="R35" i="2"/>
  <c r="AA27" i="2"/>
  <c r="AC27" i="2"/>
  <c r="AJ35" i="2"/>
  <c r="P27" i="2"/>
  <c r="AK27" i="2"/>
  <c r="I30" i="2"/>
  <c r="AM35" i="2"/>
  <c r="K30" i="2"/>
  <c r="L30" i="2"/>
  <c r="X35" i="2"/>
  <c r="AI35" i="2"/>
  <c r="AN35" i="2"/>
  <c r="AA35" i="2"/>
  <c r="AB35" i="2"/>
  <c r="L49" i="2"/>
  <c r="H49" i="2"/>
  <c r="G30" i="2"/>
  <c r="L8" i="2"/>
  <c r="T27" i="2"/>
  <c r="W27" i="2"/>
  <c r="C29" i="10" s="1"/>
  <c r="N49" i="2"/>
  <c r="O49" i="2" s="1"/>
  <c r="P49" i="2" s="1"/>
  <c r="Q49" i="2" s="1"/>
  <c r="R49" i="2" s="1"/>
  <c r="S49" i="2" s="1"/>
  <c r="T49" i="2" s="1"/>
  <c r="U49" i="2" s="1"/>
  <c r="V49" i="2" s="1"/>
  <c r="W49" i="2" s="1"/>
  <c r="AQ27" i="2"/>
  <c r="D29" i="10" s="1"/>
  <c r="Q27" i="2"/>
  <c r="K8" i="2"/>
  <c r="R27" i="2"/>
  <c r="J49" i="2"/>
  <c r="U27" i="2"/>
  <c r="J30" i="2"/>
  <c r="AB27" i="2"/>
  <c r="O35" i="2"/>
  <c r="T35" i="2"/>
  <c r="K49" i="2"/>
  <c r="V27" i="2"/>
  <c r="AJ27" i="2"/>
  <c r="AG27" i="2"/>
  <c r="X27" i="2"/>
  <c r="AM27" i="2"/>
  <c r="L27" i="2"/>
  <c r="I8" i="2"/>
  <c r="AH27" i="2"/>
  <c r="S48" i="2"/>
  <c r="T48" i="2" s="1"/>
  <c r="U48" i="2" s="1"/>
  <c r="V48" i="2" s="1"/>
  <c r="M35" i="2"/>
  <c r="B37" i="10" s="1"/>
  <c r="L35" i="2"/>
  <c r="H25" i="2"/>
  <c r="I33" i="2"/>
  <c r="AM56" i="2"/>
  <c r="R25" i="2"/>
  <c r="M25" i="2"/>
  <c r="L25" i="2" l="1"/>
  <c r="B27" i="10"/>
  <c r="AL33" i="2"/>
  <c r="X49" i="2"/>
  <c r="Y49" i="2" s="1"/>
  <c r="Z49" i="2" s="1"/>
  <c r="AA49" i="2" s="1"/>
  <c r="AB49" i="2" s="1"/>
  <c r="AC49" i="2" s="1"/>
  <c r="AD49" i="2" s="1"/>
  <c r="AE49" i="2" s="1"/>
  <c r="AF49" i="2" s="1"/>
  <c r="AG49" i="2" s="1"/>
  <c r="AH49" i="2" s="1"/>
  <c r="AI49" i="2" s="1"/>
  <c r="AJ49" i="2" s="1"/>
  <c r="AK49" i="2" s="1"/>
  <c r="C51" i="10"/>
  <c r="AM41" i="2"/>
  <c r="AG41" i="2"/>
  <c r="AI41" i="2"/>
  <c r="AL41" i="2"/>
  <c r="AE41" i="2"/>
  <c r="AD41" i="2"/>
  <c r="AN41" i="2"/>
  <c r="AK41" i="2"/>
  <c r="AC41" i="2"/>
  <c r="AJ41" i="2"/>
  <c r="AP41" i="2"/>
  <c r="AF41" i="2"/>
  <c r="AH41" i="2"/>
  <c r="AQ41" i="2"/>
  <c r="D43" i="10" s="1"/>
  <c r="AO41" i="2"/>
  <c r="X8" i="2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C9" i="10"/>
  <c r="AK30" i="2"/>
  <c r="AN30" i="2"/>
  <c r="AB30" i="2"/>
  <c r="AQ30" i="2"/>
  <c r="D32" i="10" s="1"/>
  <c r="Z30" i="2"/>
  <c r="AO30" i="2"/>
  <c r="AH30" i="2"/>
  <c r="AC30" i="2"/>
  <c r="AE30" i="2"/>
  <c r="AJ30" i="2"/>
  <c r="AM30" i="2"/>
  <c r="AP30" i="2"/>
  <c r="AA30" i="2"/>
  <c r="S30" i="2"/>
  <c r="T30" i="2" s="1"/>
  <c r="U30" i="2" s="1"/>
  <c r="V30" i="2" s="1"/>
  <c r="Y30" i="2"/>
  <c r="X30" i="2"/>
  <c r="AD30" i="2"/>
  <c r="AF30" i="2"/>
  <c r="AG30" i="2"/>
  <c r="AI30" i="2"/>
  <c r="AL30" i="2"/>
  <c r="P25" i="2"/>
  <c r="O25" i="2"/>
  <c r="N25" i="2"/>
  <c r="Q25" i="2"/>
  <c r="X33" i="2"/>
  <c r="J25" i="2"/>
  <c r="AQ25" i="2"/>
  <c r="D27" i="10" s="1"/>
  <c r="AK25" i="2"/>
  <c r="Z25" i="2"/>
  <c r="AP25" i="2"/>
  <c r="AE25" i="2"/>
  <c r="U25" i="2"/>
  <c r="AA25" i="2"/>
  <c r="T25" i="2"/>
  <c r="AG25" i="2"/>
  <c r="W25" i="2"/>
  <c r="C27" i="10" s="1"/>
  <c r="AL25" i="2"/>
  <c r="AC25" i="2"/>
  <c r="AN25" i="2"/>
  <c r="AH25" i="2"/>
  <c r="S25" i="2"/>
  <c r="AJ25" i="2"/>
  <c r="AM25" i="2"/>
  <c r="Y25" i="2"/>
  <c r="V25" i="2"/>
  <c r="X25" i="2"/>
  <c r="AF25" i="2"/>
  <c r="AD25" i="2"/>
  <c r="AO25" i="2"/>
  <c r="AB25" i="2"/>
  <c r="AI25" i="2"/>
  <c r="AM33" i="2"/>
  <c r="AN56" i="2"/>
  <c r="K25" i="2"/>
  <c r="M39" i="2"/>
  <c r="G39" i="2"/>
  <c r="G60" i="2" s="1"/>
  <c r="H39" i="2"/>
  <c r="H60" i="2" s="1"/>
  <c r="W39" i="2"/>
  <c r="M60" i="2" l="1"/>
  <c r="E2" i="8" s="1"/>
  <c r="B41" i="10"/>
  <c r="W60" i="2"/>
  <c r="O2" i="8" s="1"/>
  <c r="C41" i="10"/>
  <c r="J33" i="2"/>
  <c r="K33" i="2"/>
  <c r="Y33" i="2"/>
  <c r="AN33" i="2"/>
  <c r="AO56" i="2"/>
  <c r="J39" i="2"/>
  <c r="J60" i="2" s="1"/>
  <c r="B2" i="8" s="1"/>
  <c r="I39" i="2"/>
  <c r="I60" i="2" s="1"/>
  <c r="L39" i="2"/>
  <c r="L60" i="2" s="1"/>
  <c r="D2" i="8" s="1"/>
  <c r="K39" i="2"/>
  <c r="K60" i="2" s="1"/>
  <c r="C2" i="8" s="1"/>
  <c r="AB39" i="2"/>
  <c r="AG39" i="2"/>
  <c r="AG60" i="2" s="1"/>
  <c r="Y2" i="8" s="1"/>
  <c r="R39" i="2"/>
  <c r="R60" i="2" s="1"/>
  <c r="J2" i="8" s="1"/>
  <c r="L33" i="2" l="1"/>
  <c r="AA39" i="2"/>
  <c r="AA60" i="2" s="1"/>
  <c r="S2" i="8" s="1"/>
  <c r="AB60" i="2"/>
  <c r="T2" i="8" s="1"/>
  <c r="Z33" i="2"/>
  <c r="P39" i="2"/>
  <c r="P60" i="2" s="1"/>
  <c r="H2" i="8" s="1"/>
  <c r="N39" i="2"/>
  <c r="N60" i="2" s="1"/>
  <c r="F2" i="8" s="1"/>
  <c r="AP56" i="2"/>
  <c r="AO33" i="2"/>
  <c r="Z39" i="2"/>
  <c r="Z60" i="2" s="1"/>
  <c r="R2" i="8" s="1"/>
  <c r="V39" i="2"/>
  <c r="V60" i="2" s="1"/>
  <c r="N2" i="8" s="1"/>
  <c r="U39" i="2"/>
  <c r="U60" i="2" s="1"/>
  <c r="M2" i="8" s="1"/>
  <c r="T39" i="2"/>
  <c r="T60" i="2" s="1"/>
  <c r="L2" i="8" s="1"/>
  <c r="S39" i="2"/>
  <c r="S60" i="2" s="1"/>
  <c r="K2" i="8" s="1"/>
  <c r="O39" i="2"/>
  <c r="O60" i="2" s="1"/>
  <c r="G2" i="8" s="1"/>
  <c r="AD39" i="2"/>
  <c r="AD60" i="2" s="1"/>
  <c r="V2" i="8" s="1"/>
  <c r="AC39" i="2"/>
  <c r="AC60" i="2" s="1"/>
  <c r="U2" i="8" s="1"/>
  <c r="AE39" i="2"/>
  <c r="AE60" i="2" s="1"/>
  <c r="W2" i="8" s="1"/>
  <c r="AF39" i="2"/>
  <c r="AF60" i="2" s="1"/>
  <c r="X2" i="8" s="1"/>
  <c r="X39" i="2"/>
  <c r="X60" i="2" s="1"/>
  <c r="P2" i="8" s="1"/>
  <c r="AP39" i="2"/>
  <c r="AP60" i="2" s="1"/>
  <c r="AH2" i="8" s="1"/>
  <c r="AL39" i="2"/>
  <c r="AL60" i="2" s="1"/>
  <c r="AD2" i="8" s="1"/>
  <c r="AH39" i="2"/>
  <c r="AH60" i="2" s="1"/>
  <c r="Z2" i="8" s="1"/>
  <c r="AO39" i="2"/>
  <c r="AO60" i="2" s="1"/>
  <c r="AG2" i="8" s="1"/>
  <c r="AK39" i="2"/>
  <c r="AK60" i="2" s="1"/>
  <c r="AC2" i="8" s="1"/>
  <c r="AM39" i="2"/>
  <c r="AM60" i="2" s="1"/>
  <c r="AE2" i="8" s="1"/>
  <c r="AJ39" i="2"/>
  <c r="AJ60" i="2" s="1"/>
  <c r="AB2" i="8" s="1"/>
  <c r="AQ39" i="2"/>
  <c r="AI39" i="2"/>
  <c r="AI60" i="2" s="1"/>
  <c r="AA2" i="8" s="1"/>
  <c r="AN39" i="2"/>
  <c r="AN60" i="2" s="1"/>
  <c r="AF2" i="8" s="1"/>
  <c r="Q39" i="2"/>
  <c r="Q60" i="2" s="1"/>
  <c r="I2" i="8" s="1"/>
  <c r="Y39" i="2"/>
  <c r="Y60" i="2" s="1"/>
  <c r="Q2" i="8" s="1"/>
  <c r="M33" i="2" l="1"/>
  <c r="B35" i="10" s="1"/>
  <c r="AQ60" i="2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8" s="1"/>
  <c r="BX2" i="8" s="1"/>
  <c r="BY2" i="8" s="1"/>
  <c r="BZ2" i="8" s="1"/>
  <c r="CA2" i="8" s="1"/>
  <c r="CB2" i="8" s="1"/>
  <c r="CC2" i="8" s="1"/>
  <c r="CD2" i="8" s="1"/>
  <c r="D41" i="10"/>
  <c r="AQ56" i="2"/>
  <c r="AQ33" i="2" s="1"/>
  <c r="D35" i="10" s="1"/>
  <c r="AP33" i="2"/>
  <c r="AA33" i="2"/>
  <c r="AB33" i="2" l="1"/>
  <c r="N33" i="2"/>
  <c r="AC33" i="2" l="1"/>
  <c r="O33" i="2"/>
  <c r="AD33" i="2" l="1"/>
  <c r="P33" i="2"/>
  <c r="AE33" i="2" l="1"/>
  <c r="Q33" i="2"/>
  <c r="AF33" i="2" l="1"/>
  <c r="R33" i="2"/>
  <c r="AG33" i="2" l="1"/>
  <c r="S33" i="2"/>
  <c r="AH33" i="2" l="1"/>
  <c r="T33" i="2"/>
  <c r="AI33" i="2" l="1"/>
  <c r="U33" i="2"/>
  <c r="V33" i="2"/>
  <c r="AJ33" i="2" l="1"/>
  <c r="AK33" i="2"/>
</calcChain>
</file>

<file path=xl/sharedStrings.xml><?xml version="1.0" encoding="utf-8"?>
<sst xmlns="http://schemas.openxmlformats.org/spreadsheetml/2006/main" count="10824" uniqueCount="2476">
  <si>
    <t>BRPSPTY BAU Renewable Portfolio Std Percentage This Year</t>
  </si>
  <si>
    <t>Minnesota</t>
  </si>
  <si>
    <t>State</t>
  </si>
  <si>
    <t>Alabama</t>
  </si>
  <si>
    <t>AL</t>
  </si>
  <si>
    <t>Sources:</t>
  </si>
  <si>
    <t>RPS Laws by State</t>
  </si>
  <si>
    <t>Alaska</t>
  </si>
  <si>
    <t>AK</t>
  </si>
  <si>
    <t>Database of State Incentives for Renewables &amp; Efficiency</t>
  </si>
  <si>
    <t>Arizona</t>
  </si>
  <si>
    <t>AZ</t>
  </si>
  <si>
    <t>Arkansas</t>
  </si>
  <si>
    <t>AR</t>
  </si>
  <si>
    <t>Program Type: Renewables Portfolio Standard</t>
  </si>
  <si>
    <t>California</t>
  </si>
  <si>
    <t>CA</t>
  </si>
  <si>
    <t>http://programs.dsireusa.org/system/program</t>
  </si>
  <si>
    <t>Colorado</t>
  </si>
  <si>
    <t>CO</t>
  </si>
  <si>
    <t>Connecticut</t>
  </si>
  <si>
    <t>CT</t>
  </si>
  <si>
    <t>National Conference of State Legislatures</t>
  </si>
  <si>
    <t>Delaware</t>
  </si>
  <si>
    <t>DE</t>
  </si>
  <si>
    <t>Florida</t>
  </si>
  <si>
    <t>FL</t>
  </si>
  <si>
    <t>State Renewable Porfolio Standards and Goals</t>
  </si>
  <si>
    <t>Georgia</t>
  </si>
  <si>
    <t>GA</t>
  </si>
  <si>
    <t>Hawaii</t>
  </si>
  <si>
    <t>HI</t>
  </si>
  <si>
    <t>Idaho</t>
  </si>
  <si>
    <t>ID</t>
  </si>
  <si>
    <t>Generation by Utility Type (IOU, Coop, Muni, etc.)</t>
  </si>
  <si>
    <t>Illinois</t>
  </si>
  <si>
    <t>IL</t>
  </si>
  <si>
    <t>Energy Information Administration</t>
  </si>
  <si>
    <t>Indiana</t>
  </si>
  <si>
    <t>IN</t>
  </si>
  <si>
    <t>Iowa</t>
  </si>
  <si>
    <t>IA</t>
  </si>
  <si>
    <t>Electric Sales, Revenue, and Average Price</t>
  </si>
  <si>
    <t>Kansas</t>
  </si>
  <si>
    <t>KS</t>
  </si>
  <si>
    <t>https://www.eia.gov/electricity/sales_revenue_price/</t>
  </si>
  <si>
    <t>Kentucky</t>
  </si>
  <si>
    <t>KY</t>
  </si>
  <si>
    <t>Table 10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</si>
  <si>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</si>
  <si>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</si>
  <si>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</si>
  <si>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</si>
  <si>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</si>
  <si>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</si>
  <si>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</si>
  <si>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</si>
  <si>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</si>
  <si>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</si>
  <si>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State Electricity Profiles</t>
  </si>
  <si>
    <t>MN</t>
  </si>
  <si>
    <t>Mississippi</t>
  </si>
  <si>
    <t>MS</t>
  </si>
  <si>
    <t>Missouri</t>
  </si>
  <si>
    <t>MO</t>
  </si>
  <si>
    <t>State Shares of Nuclear and Hydro Generation</t>
  </si>
  <si>
    <t>Montana</t>
  </si>
  <si>
    <t>MT</t>
  </si>
  <si>
    <t>Nebraska</t>
  </si>
  <si>
    <t>NE</t>
  </si>
  <si>
    <t>Nevada</t>
  </si>
  <si>
    <t>NV</t>
  </si>
  <si>
    <t>Detailed State Data</t>
  </si>
  <si>
    <t>New Hampshire</t>
  </si>
  <si>
    <t>NH</t>
  </si>
  <si>
    <t>Net Generation by State by Type of Producer by Energy Source</t>
  </si>
  <si>
    <t>New Jersey</t>
  </si>
  <si>
    <t>NJ</t>
  </si>
  <si>
    <t>https://www.eia.gov/electricity/data/state/</t>
  </si>
  <si>
    <t>New Mexico</t>
  </si>
  <si>
    <t>NM</t>
  </si>
  <si>
    <t>New York</t>
  </si>
  <si>
    <t>NY</t>
  </si>
  <si>
    <t>Note:</t>
  </si>
  <si>
    <t>North Carolina</t>
  </si>
  <si>
    <t>NC</t>
  </si>
  <si>
    <t>The purpose of this variable is to specify the renewable portfolio standard</t>
  </si>
  <si>
    <t>North Dakota</t>
  </si>
  <si>
    <t>ND</t>
  </si>
  <si>
    <t>requirement that must be met in the BAU case (which the user may increase</t>
  </si>
  <si>
    <t>Ohio</t>
  </si>
  <si>
    <t>OH</t>
  </si>
  <si>
    <t>via a policy lever, affecting the policy case).</t>
  </si>
  <si>
    <t>Oklahoma</t>
  </si>
  <si>
    <t>OK</t>
  </si>
  <si>
    <t>Oregon</t>
  </si>
  <si>
    <t>OR</t>
  </si>
  <si>
    <t>In the United States, we set this to be a clean energy standard (CES). The CES is set at the state level, so we take a</t>
  </si>
  <si>
    <t>Pennsylvania</t>
  </si>
  <si>
    <t>PA</t>
  </si>
  <si>
    <t>generation-weighted average of state-level enacted CES levels.</t>
  </si>
  <si>
    <t>Rhode Island</t>
  </si>
  <si>
    <t>RI</t>
  </si>
  <si>
    <t>South Carolina</t>
  </si>
  <si>
    <t>SC</t>
  </si>
  <si>
    <t>When a state has enacted CES percentages for specific years, we linearly interpolate between</t>
  </si>
  <si>
    <t>South Dakota</t>
  </si>
  <si>
    <t>SD</t>
  </si>
  <si>
    <t>those years, to better model utility behavior.  We linearly interpolate irrespective of whether</t>
  </si>
  <si>
    <t>Tennessee</t>
  </si>
  <si>
    <t>TN</t>
  </si>
  <si>
    <t>a state simply specifies noncontiguous target years and does not mention intervening years</t>
  </si>
  <si>
    <t>Texas</t>
  </si>
  <si>
    <t>TX</t>
  </si>
  <si>
    <t>(e.g. California) or explicitly states that a particular, unchanging percentage applies to a range</t>
  </si>
  <si>
    <t>Utah</t>
  </si>
  <si>
    <t>UT</t>
  </si>
  <si>
    <t>of years (e.g. Indiana).</t>
  </si>
  <si>
    <t>Vermont</t>
  </si>
  <si>
    <t>VT</t>
  </si>
  <si>
    <t>Virginia</t>
  </si>
  <si>
    <t>VA</t>
  </si>
  <si>
    <t>Following the last year in which a state has an RPS target, we assume it remains constant.</t>
  </si>
  <si>
    <t>Washington</t>
  </si>
  <si>
    <t>WA</t>
  </si>
  <si>
    <t>This is true even for targets that only apply to a fraction of a state's utilities (as in Oregon).</t>
  </si>
  <si>
    <t>West Virginia</t>
  </si>
  <si>
    <t>WV</t>
  </si>
  <si>
    <t>Wisconsin</t>
  </si>
  <si>
    <t>WI</t>
  </si>
  <si>
    <t>Yellow color</t>
  </si>
  <si>
    <t>designates cells whose values are directly specified by legal text.</t>
  </si>
  <si>
    <t>Wyoming</t>
  </si>
  <si>
    <t>WY</t>
  </si>
  <si>
    <t>Orange color</t>
  </si>
  <si>
    <t>designates cells whose values are calculated based on data external to the</t>
  </si>
  <si>
    <t>"RPS by State" tab, generally derived from legal text.</t>
  </si>
  <si>
    <t>State-Specific Notes</t>
  </si>
  <si>
    <t>We take a simple average of the RPS percentages for coops and munis of varying sizes in 2020 (the only year in which their targets differ).</t>
  </si>
  <si>
    <t>We include the percentage for Tier II renewables, which includes hydro.</t>
  </si>
  <si>
    <t>The percentage of required Class II renewables can change after 2015 based on a formula established in regulation (see p. 17 of http://www.mass.gov/courts/docs/lawlib/220-229cmr/225cmr15.pdf), but we assume it remains at 2% for years after 2015.</t>
  </si>
  <si>
    <t>For year 2014, the law requires each utility to close 50% of its gap between its utility-specific baseline and 10%.  Rather than research utility-specific baselines, we use the actual renewable energy credit percentage generated in 2014 (8.1%), which is found on page 8 of http://www.michigan.gov/documents/mpsc/PA_295_Renewable_Energy_481423_7.pdf</t>
  </si>
  <si>
    <t>There is only one utility that qualifies as a "Nuclear Utility" in MN.  It is called the "Northern States Power Co" in EIA ESRAP Table 10 and is now owned by Xcel Energy.</t>
  </si>
  <si>
    <t>The two IOUs in Nevada in EIA ESRAP Table 10 (Nevada Power and Sierra Pacific Power) have merged into a single company, NV Energy.  This is the only company to which Nevada's RPS applies.</t>
  </si>
  <si>
    <t>New Hampshire's standard includes hydro, but we have removed that percentage here.</t>
  </si>
  <si>
    <t>Ohio's standard includes hydro.</t>
  </si>
  <si>
    <t>We assume total capacity is roughly constant when converting the RPS to percentages.</t>
  </si>
  <si>
    <t>Vermont's RPS includes hydro.</t>
  </si>
  <si>
    <t>Washington D.C.</t>
  </si>
  <si>
    <t>Annual Schedule Based on Interpretation of Law and Assumptions</t>
  </si>
  <si>
    <t>Abbr.</t>
  </si>
  <si>
    <t>RPS Law Text</t>
  </si>
  <si>
    <t>Includes nuclear?</t>
  </si>
  <si>
    <t>Includes hydro?</t>
  </si>
  <si>
    <t>Alabama </t>
  </si>
  <si>
    <t>Alaska </t>
  </si>
  <si>
    <t>Arizona </t>
  </si>
  <si>
    <t>Specific percentages defined for each year through 2025 (see schedule at right)</t>
  </si>
  <si>
    <t>Arkansas </t>
  </si>
  <si>
    <t>California </t>
  </si>
  <si>
    <t>20% in 2013, 25% in 2016, 33% in 2020, 44% in 2024, 52% in 2027, 60% in 2030. Executive order calls for 100% clean electricity by 2045. Applies to IOUs and municipal utilities</t>
  </si>
  <si>
    <t>2045 target does, but Diablo Canyon will be retiring</t>
  </si>
  <si>
    <t>2045 target does</t>
  </si>
  <si>
    <t>Colorado </t>
  </si>
  <si>
    <t>IOUS: 12% (2011-2014), 20% (2015-2019), 30% (2020).  Munis and small coops: 3% (2011-2014), 6% (2015-2019), 10% (2020).  Large coops: 3% (2011-2014), 6% (2015-2019), 20% (2020). 100% clean energy by 2050 for utilities serving 500,000 or more customers</t>
  </si>
  <si>
    <t>Connecticut </t>
  </si>
  <si>
    <t>Delaware </t>
  </si>
  <si>
    <t>Florida </t>
  </si>
  <si>
    <t>7.5% by 2015 for JEA</t>
  </si>
  <si>
    <t>Georgia </t>
  </si>
  <si>
    <t>Hawaii </t>
  </si>
  <si>
    <t>10% in 2010, 15% in 2015, 30% in 2020, 40% in 2030, 70% in 2040, 100% in 2045</t>
  </si>
  <si>
    <t>Idaho </t>
  </si>
  <si>
    <t>Indiana </t>
  </si>
  <si>
    <t>4% (2013-2018), 7% (2019-2024), 10% (2025)</t>
  </si>
  <si>
    <t>Iowa </t>
  </si>
  <si>
    <t>Kansas </t>
  </si>
  <si>
    <t>Kentucky </t>
  </si>
  <si>
    <t>Louisiana </t>
  </si>
  <si>
    <t>Maine </t>
  </si>
  <si>
    <t>Maryland </t>
  </si>
  <si>
    <t>yes</t>
  </si>
  <si>
    <t>Massachusetts </t>
  </si>
  <si>
    <t>Michigan </t>
  </si>
  <si>
    <t>Minnesota </t>
  </si>
  <si>
    <t>Nuclear Utilities: 18% (2012), 25% (2016), 31.5% (2020).  Other IOUs: 12% (2012), 17% (2016), 21.5% (2020), 26.5% (2025).  Other utilities: 12% (2012), 17% (2016), 20% (2020), 25% (2025).</t>
  </si>
  <si>
    <t>Mississippi </t>
  </si>
  <si>
    <t>Missouri </t>
  </si>
  <si>
    <t>IOUs: 5% (2014-2017), 10% (2018-2020), 15% (2021).  No RPS for non-IOUs.</t>
  </si>
  <si>
    <t>10% (2010-2014), 15% (2015)</t>
  </si>
  <si>
    <t>Nebraska </t>
  </si>
  <si>
    <t>Nevada </t>
  </si>
  <si>
    <t>IOUs: 18% (2013-2014), 20% (2015-2019), 22% (2020-2024), 50% (2030).  No RPS for non-IOUs.</t>
  </si>
  <si>
    <t>New Hampshire </t>
  </si>
  <si>
    <t>IOUs, coops, and retail suppliers: specified percentages on right. These are for Class I, Class II, and Class III renewables, as we exclude hydro (Class IV).</t>
  </si>
  <si>
    <t>New Jersey </t>
  </si>
  <si>
    <t>Specific percentages defined for each year through 2028 (see schedule at right). Excludes Tier II.</t>
  </si>
  <si>
    <t>New Mexico </t>
  </si>
  <si>
    <t>New York </t>
  </si>
  <si>
    <t>North Carolina </t>
  </si>
  <si>
    <t>IOUs: 3% (2012-2014), 6% (2015-2017), 10% (2018-2020), 12.5% (2021).  Munis and coops: 10% (2018).</t>
  </si>
  <si>
    <t>North Dakota </t>
  </si>
  <si>
    <t>Ohio </t>
  </si>
  <si>
    <t>Oklahoma </t>
  </si>
  <si>
    <t>Goal only; not included</t>
  </si>
  <si>
    <t>Oregon </t>
  </si>
  <si>
    <t>Investor-owned utilities serving &gt;3% state load: 5% (2011), 15% (2015), 20% (2020), 27% (2025), 35% (2030), 45% (2035), 50% (2040).  Consumer-owned utilities serving &gt;3% state load: 25% (2025).  Utilities serving 1.5%-3% state load: 10% (2025).  Utilities serving &lt;1.5% state load: 5% (2025).</t>
  </si>
  <si>
    <t>Specific percentages defined for each year through 2021 (see schedule at right)</t>
  </si>
  <si>
    <t>Rhode Island </t>
  </si>
  <si>
    <t>8.5% (2014-2015), +1.5% per year thereafter through 2035</t>
  </si>
  <si>
    <t>South Carolina </t>
  </si>
  <si>
    <t>South Dakota </t>
  </si>
  <si>
    <t>Tennessee </t>
  </si>
  <si>
    <t>Texas </t>
  </si>
  <si>
    <t>5880 MW in 2015, 10000 MW in 2025</t>
  </si>
  <si>
    <t>Utah </t>
  </si>
  <si>
    <t>Vermont </t>
  </si>
  <si>
    <t>55% in 2017, 75% in 2032</t>
  </si>
  <si>
    <t>Virginia </t>
  </si>
  <si>
    <t>Phase I utilities: renewables targets of 14% by 2025, 30% by 2030, 65% by 2040, and 100% by 2050. Phase II utilities: renewables targets of 26% by 2025, 41% by 2030, 100% by 2045 (Phase I vs II breakdown determined by rate case settlements; conservative assumption made here that all utilities on Phase II schedule; only applies to IOUs)</t>
  </si>
  <si>
    <t>Washington </t>
  </si>
  <si>
    <t>Previous rules: 3% 2012-2015; 9% in 2016-2019, 15% in 2020+; only utilities with &gt;25,000 customers. Updated text: 15% renewables by 2020 and cost-effective 100% clean electricity by 2045</t>
  </si>
  <si>
    <t>West Virginia </t>
  </si>
  <si>
    <t>Wisconsin </t>
  </si>
  <si>
    <t>10% in 2015</t>
  </si>
  <si>
    <t>DC</t>
  </si>
  <si>
    <t>Specific percentages defined for each year through 2032 (see schedule at right)</t>
  </si>
  <si>
    <t>New Mexico IOUs</t>
  </si>
  <si>
    <t>New Mexico coops</t>
  </si>
  <si>
    <t>(Data from forms EIA-861- schedules 4A &amp; 4D and EIA-861S)</t>
  </si>
  <si>
    <t>Entity</t>
  </si>
  <si>
    <t>Ownership</t>
  </si>
  <si>
    <t>Customers (Count)</t>
  </si>
  <si>
    <t>Sales (Megawatthours)</t>
  </si>
  <si>
    <t>Revenues (Thousands Dollars)</t>
  </si>
  <si>
    <t>Average Price (cents/kWh)</t>
  </si>
  <si>
    <t>Alaska Electric Light&amp;Power Co</t>
  </si>
  <si>
    <t>Investor Owned</t>
  </si>
  <si>
    <t>Alaska Power and Telephone Co</t>
  </si>
  <si>
    <t>Alaska Village Elec Coop, Inc</t>
  </si>
  <si>
    <t>Cooperative</t>
  </si>
  <si>
    <t>Anchorage Municipal Light and Power</t>
  </si>
  <si>
    <t>Municipal</t>
  </si>
  <si>
    <t>Chugach Electric Assn Inc</t>
  </si>
  <si>
    <t>Golden Valley Elec Assn Inc</t>
  </si>
  <si>
    <t>Homer Electric Assn Inc</t>
  </si>
  <si>
    <t>Ketchikan Public Utilities</t>
  </si>
  <si>
    <t>Kodiak Electric Assn Inc</t>
  </si>
  <si>
    <t>Kotzebue Electric Assn Inc</t>
  </si>
  <si>
    <t>Matanuska Electric Assn Inc</t>
  </si>
  <si>
    <t>TDX North Slope Generating Co</t>
  </si>
  <si>
    <t>Alabama Power Co</t>
  </si>
  <si>
    <t>Albertville Municipal Utilities Board</t>
  </si>
  <si>
    <t>Arab Electric Coop Inc</t>
  </si>
  <si>
    <t>Baldwin County El Member Corp</t>
  </si>
  <si>
    <t>Black Warrior Elec Member Corp</t>
  </si>
  <si>
    <t>Central Alabama Electric Coop</t>
  </si>
  <si>
    <t>Cherokee Electric Coop</t>
  </si>
  <si>
    <t>City of Andalusia</t>
  </si>
  <si>
    <t>City of Athens - (AL)</t>
  </si>
  <si>
    <t>City of Bessemer Utilities</t>
  </si>
  <si>
    <t>City of Courtland</t>
  </si>
  <si>
    <t>City of Dothan - (AL)</t>
  </si>
  <si>
    <t>City of Florence - (AL)</t>
  </si>
  <si>
    <t>City of Hartselle</t>
  </si>
  <si>
    <t>City of Huntsville - (AL)</t>
  </si>
  <si>
    <t>City of Muscle Shoals</t>
  </si>
  <si>
    <t>City of Opelika - (AL)</t>
  </si>
  <si>
    <t>City of Russellville - (AL)</t>
  </si>
  <si>
    <t>City of Scottsboro</t>
  </si>
  <si>
    <t>City of Tarrant</t>
  </si>
  <si>
    <t>City of Troy - (AL)</t>
  </si>
  <si>
    <t>City of Tuscumbia</t>
  </si>
  <si>
    <t>Clarke-Washington E M C</t>
  </si>
  <si>
    <t>Coosa Valley Electric Coop Inc</t>
  </si>
  <si>
    <t>Covington Electric Coop, Inc</t>
  </si>
  <si>
    <t>Cullman Electric Coop, Inc</t>
  </si>
  <si>
    <t>Cullman Power Board</t>
  </si>
  <si>
    <t>Decatur Utilities</t>
  </si>
  <si>
    <t>Diverse Power Incorporated</t>
  </si>
  <si>
    <t>Dixie Electric Coop</t>
  </si>
  <si>
    <t>Foley Board of Utilities</t>
  </si>
  <si>
    <t>Fort Payne Improvement Authority</t>
  </si>
  <si>
    <t>Franklin Electric Coop - (AL)</t>
  </si>
  <si>
    <t>Guntersville Electric Board</t>
  </si>
  <si>
    <t>Joe Wheeler Elec Member Corp</t>
  </si>
  <si>
    <t>Marshall-De Kalb Electric Coop</t>
  </si>
  <si>
    <t>North Alabama Electric Coop</t>
  </si>
  <si>
    <t>Pea River Electric Coop</t>
  </si>
  <si>
    <t>Sand Mountain Electric Coop</t>
  </si>
  <si>
    <t>Sheffield Utilities</t>
  </si>
  <si>
    <t>South Alabama Elec Coop, Inc</t>
  </si>
  <si>
    <t>Southern Pine Elec Coop, Inc</t>
  </si>
  <si>
    <t>Tallapoosa River Elec Coop Inc</t>
  </si>
  <si>
    <t>Tennessee Valley Authority</t>
  </si>
  <si>
    <t>Federal</t>
  </si>
  <si>
    <t>Wiregrass Electric Coop, Inc</t>
  </si>
  <si>
    <t>Arkansas Valley Elec Coop Corp</t>
  </si>
  <si>
    <t>C &amp; L Electric Coop Corp</t>
  </si>
  <si>
    <t>Carroll Electric Coop Corp - (AR)</t>
  </si>
  <si>
    <t>City Water and Light Plant</t>
  </si>
  <si>
    <t>City of Benton - (AR)</t>
  </si>
  <si>
    <t>City of Bentonville - (AR)</t>
  </si>
  <si>
    <t>City of Hope</t>
  </si>
  <si>
    <t>City of North Little Rock - (AR)</t>
  </si>
  <si>
    <t>City of Siloam Springs - (AR)</t>
  </si>
  <si>
    <t>City of West Memphis - (AR)</t>
  </si>
  <si>
    <t>Clarksville Light &amp; Water Co</t>
  </si>
  <si>
    <t>Clay County Electric Coop Corp</t>
  </si>
  <si>
    <t>Conway Corporation</t>
  </si>
  <si>
    <t>Craighead Electric Coop Corp</t>
  </si>
  <si>
    <t>Empire District Electric Co</t>
  </si>
  <si>
    <t>First Electric Coop Corp</t>
  </si>
  <si>
    <t>North Arkansas Elec Coop, Inc</t>
  </si>
  <si>
    <t>Oklahoma Gas &amp; Electric Co</t>
  </si>
  <si>
    <t>Ouachita Electric Coop Corp</t>
  </si>
  <si>
    <t>Ozarks Electric Coop Corp - (AR)</t>
  </si>
  <si>
    <t>Paragould Light &amp; Water Comm</t>
  </si>
  <si>
    <t>Petit Jean Electric Coop Corp</t>
  </si>
  <si>
    <t>Rich Mountain Elec Coop, Inc</t>
  </si>
  <si>
    <t>South Central Ark El Coop, Inc</t>
  </si>
  <si>
    <t>Southwest Arkansas E C C</t>
  </si>
  <si>
    <t>Southwestern Electric Power Co</t>
  </si>
  <si>
    <t>Woodruff Electric Coop Corp</t>
  </si>
  <si>
    <t>Aha Macav Power Service</t>
  </si>
  <si>
    <t>Political Subdivision</t>
  </si>
  <si>
    <t>Ajo Improvement Co</t>
  </si>
  <si>
    <t>Ak-Chin Electric Utility Authority</t>
  </si>
  <si>
    <t>Arizona Public Service Co</t>
  </si>
  <si>
    <t>City of Mesa - (AZ)</t>
  </si>
  <si>
    <t>Columbus Electric Coop, Inc</t>
  </si>
  <si>
    <t>Constellation Solar Holding, LLC</t>
  </si>
  <si>
    <t>Behind the Meter</t>
  </si>
  <si>
    <t>Dixie Escalante R E A, Inc</t>
  </si>
  <si>
    <t>Electrical Dist No2 Pinal County</t>
  </si>
  <si>
    <t>Electrical Dist No3 Pinal County</t>
  </si>
  <si>
    <t>Electrical Dist No8 Maricopa</t>
  </si>
  <si>
    <t>Garkane Energy Coop, Inc</t>
  </si>
  <si>
    <t>Greenbacker Renewable Energy Corporation</t>
  </si>
  <si>
    <t>Longroad Energy</t>
  </si>
  <si>
    <t>Navajo Tribal Utility Authority</t>
  </si>
  <si>
    <t>Navopache Electric Coop, Inc</t>
  </si>
  <si>
    <t>Salt River Project</t>
  </si>
  <si>
    <t>SolarCity Corporation</t>
  </si>
  <si>
    <t>Spruce Finance</t>
  </si>
  <si>
    <t>Sulphur Springs Valley E C Inc</t>
  </si>
  <si>
    <t>SunEdison LLC</t>
  </si>
  <si>
    <t>SunPower Capital Services, LLC</t>
  </si>
  <si>
    <t>SunPower Capital, LLC</t>
  </si>
  <si>
    <t>Sunnova</t>
  </si>
  <si>
    <t>Sunrun Inc.</t>
  </si>
  <si>
    <t>TerraForm US Energy Services, LLC</t>
  </si>
  <si>
    <t>Trico Electric Cooperative Inc</t>
  </si>
  <si>
    <t>Tucson Electric Power Co</t>
  </si>
  <si>
    <t>UNS Electric, Inc</t>
  </si>
  <si>
    <t>USBIA-San Carlos Project</t>
  </si>
  <si>
    <t>Vivint Solar, Inc.</t>
  </si>
  <si>
    <t>WAPA-- Western Area Power Administration</t>
  </si>
  <si>
    <t>Ahana Renewables, LLC</t>
  </si>
  <si>
    <t>Bear Valley Electric Service</t>
  </si>
  <si>
    <t>City &amp; County of San Francisco</t>
  </si>
  <si>
    <t>City of Anaheim - (CA)</t>
  </si>
  <si>
    <t>City of Azusa</t>
  </si>
  <si>
    <t>City of Burbank Water and Power</t>
  </si>
  <si>
    <t>City of Colton - (CA)</t>
  </si>
  <si>
    <t>City of Corona - (CA)</t>
  </si>
  <si>
    <t>City of Glendale - (CA)</t>
  </si>
  <si>
    <t>City of Lodi - (CA)</t>
  </si>
  <si>
    <t>City of Moreno Valley - (CA)</t>
  </si>
  <si>
    <t>City of Palo Alto - (CA)</t>
  </si>
  <si>
    <t>City of Pasadena - (CA)</t>
  </si>
  <si>
    <t>City of Redding - (CA)</t>
  </si>
  <si>
    <t>City of Riverside - (CA)</t>
  </si>
  <si>
    <t>City of Roseville - (CA)</t>
  </si>
  <si>
    <t>City of Santa Clara - (CA)</t>
  </si>
  <si>
    <t>City of Vernon</t>
  </si>
  <si>
    <t>Imperial Irrigation District</t>
  </si>
  <si>
    <t>Kings River Conservation Dist</t>
  </si>
  <si>
    <t>Liberty Utilities</t>
  </si>
  <si>
    <t>Los Angeles Department of Water &amp; Power</t>
  </si>
  <si>
    <t>Merced Irrigation District</t>
  </si>
  <si>
    <t>Modesto Irrigation District</t>
  </si>
  <si>
    <t>PacifiCorp</t>
  </si>
  <si>
    <t>Pacific Gas &amp; Electric Co.</t>
  </si>
  <si>
    <t>Plumas-Sierra Rural Elec Coop</t>
  </si>
  <si>
    <t>Sacramento Municipal Util Dist</t>
  </si>
  <si>
    <t>San Diego Gas &amp; Electric Co</t>
  </si>
  <si>
    <t>Southern California Edison Co</t>
  </si>
  <si>
    <t>Surprise Valley Electrification</t>
  </si>
  <si>
    <t>Turlock Irrigation District</t>
  </si>
  <si>
    <t>Valley Electric Assn, Inc</t>
  </si>
  <si>
    <t>City of Colorado Springs - (CO)</t>
  </si>
  <si>
    <t>City of Fort Collins - (CO)</t>
  </si>
  <si>
    <t>City of Fort Morgan</t>
  </si>
  <si>
    <t>City of Fountain</t>
  </si>
  <si>
    <t>City of Longmont</t>
  </si>
  <si>
    <t>City of Loveland - (CO)</t>
  </si>
  <si>
    <t>Delta Montrose Electric Assn</t>
  </si>
  <si>
    <t>Empire Electric Assn, Inc</t>
  </si>
  <si>
    <t>Grand Valley Power</t>
  </si>
  <si>
    <t>High West Energy, Inc</t>
  </si>
  <si>
    <t>Highline Electric Assn</t>
  </si>
  <si>
    <t>Holy Cross Electric Assn, Inc</t>
  </si>
  <si>
    <t>Intermountain Rural Elec Assn</t>
  </si>
  <si>
    <t>K C Electric Association</t>
  </si>
  <si>
    <t>La Plata Electric Assn, Inc</t>
  </si>
  <si>
    <t>Moon Lake Electric Assn Inc</t>
  </si>
  <si>
    <t>Morgan County Rural Elec Assn</t>
  </si>
  <si>
    <t>Mountain Parks Electric, Inc</t>
  </si>
  <si>
    <t>Mountain View Elec Assn, Inc</t>
  </si>
  <si>
    <t>Poudre Valley REA, Inc</t>
  </si>
  <si>
    <t>Public Service Co of Colorado</t>
  </si>
  <si>
    <t>San Isabel Electric Assn, Inc</t>
  </si>
  <si>
    <t>San Luis Valley R E C, Inc</t>
  </si>
  <si>
    <t>San Miguel Power Assn, Inc</t>
  </si>
  <si>
    <t>Southeast Colorado Power Assn</t>
  </si>
  <si>
    <t>Southwestern Electric Coop Inc - (NM)</t>
  </si>
  <si>
    <t>United Power, Inc</t>
  </si>
  <si>
    <t>Wheatland Electric Coop, Inc</t>
  </si>
  <si>
    <t>White River Electric Assn, Inc</t>
  </si>
  <si>
    <t>Y-W Electric Assn Inc</t>
  </si>
  <si>
    <t>Yampa Valley Electric Assn Inc</t>
  </si>
  <si>
    <t>Bozrah Light &amp; Power Company</t>
  </si>
  <si>
    <t>City of Norwich - (CT)</t>
  </si>
  <si>
    <t>Connecticut Light &amp; Power Co</t>
  </si>
  <si>
    <t>Groton Dept of Utilities - (CT)</t>
  </si>
  <si>
    <t>Town of Wallingford - (CT)</t>
  </si>
  <si>
    <t>United Illuminating Co</t>
  </si>
  <si>
    <t>Potomac Electric Power Co</t>
  </si>
  <si>
    <t>City of Dover - (DE)</t>
  </si>
  <si>
    <t>City of Milford - (DE)</t>
  </si>
  <si>
    <t>City of Newark - (DE)</t>
  </si>
  <si>
    <t>Delaware Electric Cooperative</t>
  </si>
  <si>
    <t>Delmarva Power</t>
  </si>
  <si>
    <t>Town of Clayton</t>
  </si>
  <si>
    <t>Town of Middletown - (DE)</t>
  </si>
  <si>
    <t>Beaches Energy Services</t>
  </si>
  <si>
    <t>Central Florida Elec Coop, Inc</t>
  </si>
  <si>
    <t>Choctawhatche Elec Coop, Inc</t>
  </si>
  <si>
    <t>City of Bartow - (FL)</t>
  </si>
  <si>
    <t>City of Homestead - (FL)</t>
  </si>
  <si>
    <t>City of Lake Worth - (FL)</t>
  </si>
  <si>
    <t>City of Lakeland - (FL)</t>
  </si>
  <si>
    <t>City of Leesburg - (FL)</t>
  </si>
  <si>
    <t>City of Ocala</t>
  </si>
  <si>
    <t>City of Tallahassee - (FL)</t>
  </si>
  <si>
    <t>City of Winter Park - (FL)</t>
  </si>
  <si>
    <t>Clay Electric Cooperative, Inc</t>
  </si>
  <si>
    <t>Duke Energy Florida, LLC</t>
  </si>
  <si>
    <t>Florida Keys El Coop Assn, Inc</t>
  </si>
  <si>
    <t>Florida Power &amp; Light Co</t>
  </si>
  <si>
    <t>Florida Public Utilities Co</t>
  </si>
  <si>
    <t>Fort Pierce Utilities Authority</t>
  </si>
  <si>
    <t>Gainesville Regional Utilities</t>
  </si>
  <si>
    <t>Glades Electric Coop, Inc</t>
  </si>
  <si>
    <t>Gulf Coast Electric Coop, Inc</t>
  </si>
  <si>
    <t>Gulf Power Co</t>
  </si>
  <si>
    <t>JEA</t>
  </si>
  <si>
    <t>Kissimmee Utility Authority</t>
  </si>
  <si>
    <t>Lee County Electric Coop, Inc</t>
  </si>
  <si>
    <t>New Smyrna Beach City of</t>
  </si>
  <si>
    <t>Okefenoke Rural El Member Corp</t>
  </si>
  <si>
    <t>Orlando Utilities Comm</t>
  </si>
  <si>
    <t>Peace River Electric Coop, Inc</t>
  </si>
  <si>
    <t>Reedy Creek Improvement Dist</t>
  </si>
  <si>
    <t>Sumter Electric Coop, Inc</t>
  </si>
  <si>
    <t>Suwannee Valley Elec Coop Inc</t>
  </si>
  <si>
    <t>Talquin Electric Coop, Inc</t>
  </si>
  <si>
    <t>Tampa Electric Co</t>
  </si>
  <si>
    <t>West Florida El Coop Assn, Inc</t>
  </si>
  <si>
    <t>Withlacoochee River Elec Coop</t>
  </si>
  <si>
    <t>Altamaha Electric Member Corp</t>
  </si>
  <si>
    <t>Amicalola Electric Member Corp</t>
  </si>
  <si>
    <t>Blue Ridge Mountain EMC - (GA)</t>
  </si>
  <si>
    <t>Canoochee Electric Member Corp</t>
  </si>
  <si>
    <t>Carroll Electric Member Corp - (GA)</t>
  </si>
  <si>
    <t>Central Georgia El Member Corp</t>
  </si>
  <si>
    <t>City of Buford</t>
  </si>
  <si>
    <t>City of Calhoun - (GA)</t>
  </si>
  <si>
    <t>City of Cartersville - (GA)</t>
  </si>
  <si>
    <t>City of Chattanooga - (TN)</t>
  </si>
  <si>
    <t>City of Chickamauga</t>
  </si>
  <si>
    <t>City of College Park - (GA)</t>
  </si>
  <si>
    <t>City of Covington - (GA)</t>
  </si>
  <si>
    <t>City of Douglas</t>
  </si>
  <si>
    <t>City of East Point - (GA)</t>
  </si>
  <si>
    <t>City of La Grange - (GA)</t>
  </si>
  <si>
    <t>City of Lawrenceville - (GA)</t>
  </si>
  <si>
    <t>City of Marietta - (GA)</t>
  </si>
  <si>
    <t>City of Sylvania - (GA)</t>
  </si>
  <si>
    <t>City of Thomasville - (GA)</t>
  </si>
  <si>
    <t>Coastal Electric Member Corp</t>
  </si>
  <si>
    <t>Cobb Electric Membership Corp</t>
  </si>
  <si>
    <t>Colquitt Electric Membership Corp</t>
  </si>
  <si>
    <t>Coweta-Fayette El Member Corp</t>
  </si>
  <si>
    <t>Crisp County Power Comm</t>
  </si>
  <si>
    <t>Dalton Utilities</t>
  </si>
  <si>
    <t>Excelsior Electric Member Corp</t>
  </si>
  <si>
    <t>Flint Electric Membership Corp</t>
  </si>
  <si>
    <t>Georgia Power Co</t>
  </si>
  <si>
    <t>Grady Electric Membership Corp</t>
  </si>
  <si>
    <t>GreyStone Power Corporation</t>
  </si>
  <si>
    <t>Habersham Electric Membership Corp</t>
  </si>
  <si>
    <t>Hart Electric Member Corp</t>
  </si>
  <si>
    <t>Haywood Electric Member Corp</t>
  </si>
  <si>
    <t>Irwin Electric Membership Corp</t>
  </si>
  <si>
    <t>Jackson Electric Member Corp - (GA)</t>
  </si>
  <si>
    <t>Jefferson Electric Member Corp</t>
  </si>
  <si>
    <t>Mitchell Electric Member Corp</t>
  </si>
  <si>
    <t>Newnan Wtr, Sewer &amp; Light Comm</t>
  </si>
  <si>
    <t>North Georgia Elec Member Corp</t>
  </si>
  <si>
    <t>Oconee Electric Member Corp</t>
  </si>
  <si>
    <t>Planters Electric Member Corp</t>
  </si>
  <si>
    <t>Rayle Electric Membership Corp</t>
  </si>
  <si>
    <t>Satilla Rural Elec Member Corporation</t>
  </si>
  <si>
    <t>Sawnee Electric Membership Corporation</t>
  </si>
  <si>
    <t>Snapping Shoals El Member Corp</t>
  </si>
  <si>
    <t>Southern Rivers Energy</t>
  </si>
  <si>
    <t>Sumter Electric Member Corp</t>
  </si>
  <si>
    <t>Three Notch Elec Member Corp</t>
  </si>
  <si>
    <t>Tri-State Electric Member Corp</t>
  </si>
  <si>
    <t>Walton Electric Member Corp</t>
  </si>
  <si>
    <t>Washington Elec Member Corp</t>
  </si>
  <si>
    <t>Hawaii Electric Light Co Inc</t>
  </si>
  <si>
    <t>Hawaiian Electric Co Inc</t>
  </si>
  <si>
    <t>Kauai Island Utility Cooperative</t>
  </si>
  <si>
    <t>Maui Electric Co Ltd</t>
  </si>
  <si>
    <t>Access Energy Coop</t>
  </si>
  <si>
    <t>Amana Society Service Co</t>
  </si>
  <si>
    <t>Board of Water Electric &amp; Communications</t>
  </si>
  <si>
    <t>Butler County Rural Elec Coop - (IA)</t>
  </si>
  <si>
    <t>Cedar Falls Utilities</t>
  </si>
  <si>
    <t>City of Ames - (IA)</t>
  </si>
  <si>
    <t>City of Independence - (IA)</t>
  </si>
  <si>
    <t>City of Maquoketa - (IA)</t>
  </si>
  <si>
    <t>City of Preston</t>
  </si>
  <si>
    <t>Consumers Energy</t>
  </si>
  <si>
    <t>East-Central Iowa Rural Elec Coop</t>
  </si>
  <si>
    <t>Eastern Iowa Light &amp; Power Coop</t>
  </si>
  <si>
    <t>Federated Rural Electric Assn</t>
  </si>
  <si>
    <t>Heartland Power Coop</t>
  </si>
  <si>
    <t>Interstate Power and Light Co</t>
  </si>
  <si>
    <t>Iowa Lakes Electric Coop</t>
  </si>
  <si>
    <t>Linn County REC</t>
  </si>
  <si>
    <t>Maquoketa Valley Rrl Elec Coop</t>
  </si>
  <si>
    <t>MiEnergy Cooperative</t>
  </si>
  <si>
    <t>MidAmerican Energy Co</t>
  </si>
  <si>
    <t>Midland Power Coop</t>
  </si>
  <si>
    <t>North West Rural Electric Coop</t>
  </si>
  <si>
    <t>Prairie Energy Coop</t>
  </si>
  <si>
    <t>Avista Corp</t>
  </si>
  <si>
    <t>City of Idaho Falls - (ID)</t>
  </si>
  <si>
    <t>Clearwater Power Company</t>
  </si>
  <si>
    <t>Fall River Rural Elec Coop Inc</t>
  </si>
  <si>
    <t>Idaho Power Co</t>
  </si>
  <si>
    <t>Inland Power &amp; Light Company</t>
  </si>
  <si>
    <t>Lower Valley Energy Inc</t>
  </si>
  <si>
    <t>Missoula Electric Coop, Inc</t>
  </si>
  <si>
    <t>Northern Lights, Inc</t>
  </si>
  <si>
    <t>Salmon River Electric Coop Inc</t>
  </si>
  <si>
    <t>United Electric Co-op, Inc - (ID)</t>
  </si>
  <si>
    <t>Vigilante Electric Coop, Inc</t>
  </si>
  <si>
    <t>Ameren Illinois Company</t>
  </si>
  <si>
    <t>City of Batavia - (IL)</t>
  </si>
  <si>
    <t>City of Geneva- (IL)</t>
  </si>
  <si>
    <t>City of Naperville - (IL)</t>
  </si>
  <si>
    <t>City of Peru - (IL)</t>
  </si>
  <si>
    <t>City of Springfield - (IL)</t>
  </si>
  <si>
    <t>City of St Charles - (IL)</t>
  </si>
  <si>
    <t>Coles-Moultrie Electric Coop</t>
  </si>
  <si>
    <t>Commonwealth Edison Co</t>
  </si>
  <si>
    <t>Corn Belt Energy Corporation</t>
  </si>
  <si>
    <t>Eastern Illinois Elec Coop</t>
  </si>
  <si>
    <t>Egyptian Electric Coop Assn</t>
  </si>
  <si>
    <t>Jo-Carroll Energy, Inc</t>
  </si>
  <si>
    <t>Menard Electric Coop</t>
  </si>
  <si>
    <t>Mt Carmel Public Utility Co</t>
  </si>
  <si>
    <t>Norris Electric Coop</t>
  </si>
  <si>
    <t>Rochelle Municipal Utilities</t>
  </si>
  <si>
    <t>Rock Energy Cooperative</t>
  </si>
  <si>
    <t>Scenic Rivers Energy Coop</t>
  </si>
  <si>
    <t>Shelby Electric Coop, Inc</t>
  </si>
  <si>
    <t>Southeastern IL Elec Coop, Inc</t>
  </si>
  <si>
    <t>Southwestern Electric Coop Inc - (IL)</t>
  </si>
  <si>
    <t>Wayne-White Counties Elec Coop</t>
  </si>
  <si>
    <t>AGC Division of APG Inc</t>
  </si>
  <si>
    <t>Bartholomew County Rural E M C</t>
  </si>
  <si>
    <t>Boone County Rural EMC</t>
  </si>
  <si>
    <t>Carroll-White REMC</t>
  </si>
  <si>
    <t>City of Anderson - (IN)</t>
  </si>
  <si>
    <t>City of Auburn - (IN)</t>
  </si>
  <si>
    <t>City of Bluffton - (IN)</t>
  </si>
  <si>
    <t>City of Frankfort - (IN)</t>
  </si>
  <si>
    <t>City of Greenfield - (IN)</t>
  </si>
  <si>
    <t>City of Jasper - (IN)</t>
  </si>
  <si>
    <t>City of Lebanon - (IN)</t>
  </si>
  <si>
    <t>City of Logansport - (IN)</t>
  </si>
  <si>
    <t>City of Mishawaka</t>
  </si>
  <si>
    <t>City of Peru - (IN)</t>
  </si>
  <si>
    <t>City of Richmond - (IN)</t>
  </si>
  <si>
    <t>Clark County Rural E M C - (IN)</t>
  </si>
  <si>
    <t>Crawfordsville Elec, Lgt &amp; Pwr</t>
  </si>
  <si>
    <t>Daviess Martin County R E M C</t>
  </si>
  <si>
    <t>Decatur County Rural E M C</t>
  </si>
  <si>
    <t>Dubois Rural Electric Coop Inc</t>
  </si>
  <si>
    <t>Duke Energy Indiana, LLC</t>
  </si>
  <si>
    <t>Harrison County Rural E M C</t>
  </si>
  <si>
    <t>Heartland REMC</t>
  </si>
  <si>
    <t>Hendricks County Rural E M C</t>
  </si>
  <si>
    <t>Indiana Michigan Power Co</t>
  </si>
  <si>
    <t>Indianapolis Power &amp; Light Co</t>
  </si>
  <si>
    <t>Jackson County Rural E M C - (IN)</t>
  </si>
  <si>
    <t>Jasper County Rural E M C</t>
  </si>
  <si>
    <t>Johnson County Rural E M C</t>
  </si>
  <si>
    <t>Kankakee Valley Rural E M C</t>
  </si>
  <si>
    <t>Kosciusko County Rural E M C</t>
  </si>
  <si>
    <t>Midwest Energy Cooperative</t>
  </si>
  <si>
    <t>NineStar Connect</t>
  </si>
  <si>
    <t>Noble County R E M C</t>
  </si>
  <si>
    <t>Northeastern Rural E M C</t>
  </si>
  <si>
    <t>Northern Indiana Pub Serv Co</t>
  </si>
  <si>
    <t>Paulding-Putman Elec Coop, Inc</t>
  </si>
  <si>
    <t>RushShelby Energy</t>
  </si>
  <si>
    <t>South Central Indiana REMC</t>
  </si>
  <si>
    <t>Southeastern Indiana R E M C</t>
  </si>
  <si>
    <t>Southern Indiana Gas &amp; Elec Co</t>
  </si>
  <si>
    <t>Southern Indiana R E C, Inc</t>
  </si>
  <si>
    <t>Tipmont Rural Elec Member Corp</t>
  </si>
  <si>
    <t>Utilities Dist-Western IN REMC</t>
  </si>
  <si>
    <t>Western Indiana Energy REMC</t>
  </si>
  <si>
    <t>Whitewater Valley Rural EMC</t>
  </si>
  <si>
    <t>Alfalfa Electric Coop, Inc</t>
  </si>
  <si>
    <t>CMS Electric Coop Inc</t>
  </si>
  <si>
    <t>City of Chanute</t>
  </si>
  <si>
    <t>City of Coffeyville - (KS)</t>
  </si>
  <si>
    <t>City of Garden City</t>
  </si>
  <si>
    <t>City of Kansas City - (KS)</t>
  </si>
  <si>
    <t>City of McPherson - (KS)</t>
  </si>
  <si>
    <t>City of Winfield - (KS)</t>
  </si>
  <si>
    <t>FreeState Electric Coop</t>
  </si>
  <si>
    <t>Midwest Energy Inc</t>
  </si>
  <si>
    <t>Pioneer Electric Coop, Inc - (KS)</t>
  </si>
  <si>
    <t>Prairie Land Electric Coop Inc</t>
  </si>
  <si>
    <t>Southern Pioneer Electric Company</t>
  </si>
  <si>
    <t>Victory Electric Coop Assn Inc</t>
  </si>
  <si>
    <t>Western Coop Electric Assn Inc</t>
  </si>
  <si>
    <t>Big Sandy Rural Elec Coop Corp</t>
  </si>
  <si>
    <t>Blue Grass Energy Coop Corp</t>
  </si>
  <si>
    <t>City of Bardstown - (KY)</t>
  </si>
  <si>
    <t>City of Benton - (KY)</t>
  </si>
  <si>
    <t>City of Berea Municipal Utility</t>
  </si>
  <si>
    <t>City of Bowling Green - (KY)</t>
  </si>
  <si>
    <t>City of Frankfort - (KY)</t>
  </si>
  <si>
    <t>City of Franklin - (KY)</t>
  </si>
  <si>
    <t>City of Fulton - (KY)</t>
  </si>
  <si>
    <t>City of Glasgow - (KY)</t>
  </si>
  <si>
    <t>City of Hickman</t>
  </si>
  <si>
    <t>City of Hopkinsville</t>
  </si>
  <si>
    <t>City of Jellico</t>
  </si>
  <si>
    <t>City of Mayfield Plant Board</t>
  </si>
  <si>
    <t>City of Murray - (KY)</t>
  </si>
  <si>
    <t>City of Owensboro - (KY)</t>
  </si>
  <si>
    <t>City of Paducah - (KY)</t>
  </si>
  <si>
    <t>City of Russellville - (KY)</t>
  </si>
  <si>
    <t>Clark Energy Coop Inc - (KY)</t>
  </si>
  <si>
    <t>Cumberland Valley Electric, Inc.</t>
  </si>
  <si>
    <t>Farmers Rural Electric Coop Corp - (KY)</t>
  </si>
  <si>
    <t>Fleming-Mason Energy Coop Inc</t>
  </si>
  <si>
    <t>Grayson Rural Electric Coop Corp</t>
  </si>
  <si>
    <t>Henderson City Utility Comm</t>
  </si>
  <si>
    <t>Inter County Energy Coop Corp</t>
  </si>
  <si>
    <t>Jackson Energy Coop Corp - (KY)</t>
  </si>
  <si>
    <t>Jackson Purchase Energy Corporation</t>
  </si>
  <si>
    <t>Kenergy Corp</t>
  </si>
  <si>
    <t>Kentucky Power Co</t>
  </si>
  <si>
    <t>Kentucky Utilities Co</t>
  </si>
  <si>
    <t>Licking Valley Rural E C C</t>
  </si>
  <si>
    <t>Louisville Gas &amp; Electric Co</t>
  </si>
  <si>
    <t>Madisonville Municipal Utils</t>
  </si>
  <si>
    <t>Meade County Rural E C C</t>
  </si>
  <si>
    <t>Nolin Rural Electric Coop Corp</t>
  </si>
  <si>
    <t>Owen Electric Coop Inc</t>
  </si>
  <si>
    <t>Pennyrile Rural Electric Coop</t>
  </si>
  <si>
    <t>Salt River Electric Coop Corp</t>
  </si>
  <si>
    <t>Shelby Energy Co-op, Inc</t>
  </si>
  <si>
    <t>Taylor County Rural E C C</t>
  </si>
  <si>
    <t>Warren Rural Elec Coop Corp</t>
  </si>
  <si>
    <t>West Kentucky Rural E C C</t>
  </si>
  <si>
    <t>Beauregard Electric Coop, Inc</t>
  </si>
  <si>
    <t>City of Alexandria - (LA)</t>
  </si>
  <si>
    <t>City of Lafayette - (LA)</t>
  </si>
  <si>
    <t>City of Natchitoches</t>
  </si>
  <si>
    <t>City of Ruston - (LA)</t>
  </si>
  <si>
    <t>Claiborne Electric Coop, Inc</t>
  </si>
  <si>
    <t>Cleco Power LLC</t>
  </si>
  <si>
    <t>Concordia Electric Coop, Inc</t>
  </si>
  <si>
    <t>Dixie Electric Membership Corp</t>
  </si>
  <si>
    <t>Entergy Louisiana LLC</t>
  </si>
  <si>
    <t>Entergy New Orleans, LLC</t>
  </si>
  <si>
    <t>Jefferson Davis Elec Coop, Inc</t>
  </si>
  <si>
    <t>Northeast Louisiana Power Coop Inc.</t>
  </si>
  <si>
    <t>Panola-Harrison Elec Coop, Inc</t>
  </si>
  <si>
    <t>Pointe Coupee Elec Member Corp</t>
  </si>
  <si>
    <t>South Louisiana Elec Coop Assn</t>
  </si>
  <si>
    <t>Southwest Louisiana E M C</t>
  </si>
  <si>
    <t>Terrebonne Parish Consol Gov't</t>
  </si>
  <si>
    <t>Vinton Public Power Authority</t>
  </si>
  <si>
    <t>Washington-St Tammany E C, Inc</t>
  </si>
  <si>
    <t>City of Chicopee - (MA)</t>
  </si>
  <si>
    <t>City of Holyoke - (MA)</t>
  </si>
  <si>
    <t>City of Norwood - (MA)</t>
  </si>
  <si>
    <t>City of Peabody - (MA)</t>
  </si>
  <si>
    <t>City of Taunton</t>
  </si>
  <si>
    <t>City of Westfield - (MA)</t>
  </si>
  <si>
    <t>Massachusetts Electric Co</t>
  </si>
  <si>
    <t>NSTAR Electric Company</t>
  </si>
  <si>
    <t>Nantucket Electric Co</t>
  </si>
  <si>
    <t>Town of Braintree - (MA)</t>
  </si>
  <si>
    <t>Town of Danvers</t>
  </si>
  <si>
    <t>Town of Hudson - (MA)</t>
  </si>
  <si>
    <t>Town of Littleton - (MA)</t>
  </si>
  <si>
    <t>Town of Mansfield - (MA)</t>
  </si>
  <si>
    <t>Town of Middleborough - (MA)</t>
  </si>
  <si>
    <t>Town of North Attleborough - (MA)</t>
  </si>
  <si>
    <t>Town of Reading - (MA)</t>
  </si>
  <si>
    <t>Town of Shrewsbury - (MA)</t>
  </si>
  <si>
    <t>Town of Sterling - (MA)</t>
  </si>
  <si>
    <t>Town of Wellesley - (MA)</t>
  </si>
  <si>
    <t>A &amp; N Electric Coop</t>
  </si>
  <si>
    <t>Baltimore Gas &amp; Electric Co</t>
  </si>
  <si>
    <t>Easton Utilities Comm</t>
  </si>
  <si>
    <t>Hagerstown Light Department</t>
  </si>
  <si>
    <t>Southern Maryland Elec Coop Inc</t>
  </si>
  <si>
    <t>Central Maine Power Co</t>
  </si>
  <si>
    <t>Eastern Maine Electric Coop</t>
  </si>
  <si>
    <t>Houlton Water Company</t>
  </si>
  <si>
    <t>Town of Madison - (ME)</t>
  </si>
  <si>
    <t>Alger-Delta Coop Electric Assn</t>
  </si>
  <si>
    <t>Alpena Power Co</t>
  </si>
  <si>
    <t>Bayfield Electric Coop, Inc</t>
  </si>
  <si>
    <t>Cherryland Electric Coop Inc</t>
  </si>
  <si>
    <t>City of Bay City - (MI)</t>
  </si>
  <si>
    <t>City of Crystal Falls</t>
  </si>
  <si>
    <t>City of Gladstone</t>
  </si>
  <si>
    <t>City of Grand Haven - (MI)</t>
  </si>
  <si>
    <t>City of Holland</t>
  </si>
  <si>
    <t>City of Lansing - (MI)</t>
  </si>
  <si>
    <t>City of Marquette - (MI)</t>
  </si>
  <si>
    <t>City of Negaunee</t>
  </si>
  <si>
    <t>City of Norway</t>
  </si>
  <si>
    <t>City of Sturgis</t>
  </si>
  <si>
    <t>City of Traverse City - (MI)</t>
  </si>
  <si>
    <t>City of Zeeland - (MI)</t>
  </si>
  <si>
    <t>Cloverland Electric Co-op</t>
  </si>
  <si>
    <t>Coldwater Board of Public Util</t>
  </si>
  <si>
    <t>Consumers Energy Co</t>
  </si>
  <si>
    <t>DTE Electric Company</t>
  </si>
  <si>
    <t>Great Lakes Energy Coop</t>
  </si>
  <si>
    <t>Presque Isle Elec &amp; Gas Coop</t>
  </si>
  <si>
    <t>Upper Michigan Energy Resources Corp.</t>
  </si>
  <si>
    <t>Upper Peninsula Power Company</t>
  </si>
  <si>
    <t>Village of Baraga - (MI)</t>
  </si>
  <si>
    <t>Village of L'Anse - (MI)</t>
  </si>
  <si>
    <t>Wisconsin Electric Power Co</t>
  </si>
  <si>
    <t>Wyandotte Municipal Serv Comm</t>
  </si>
  <si>
    <t>ALLETE, Inc.</t>
  </si>
  <si>
    <t>Agralite Electric Coop</t>
  </si>
  <si>
    <t>BENCO Electric Cooperative</t>
  </si>
  <si>
    <t>Beltrami Electric Coop, Inc</t>
  </si>
  <si>
    <t>City of Alexandria - (MN)</t>
  </si>
  <si>
    <t>City of Anoka</t>
  </si>
  <si>
    <t>City of Austin - (MN)</t>
  </si>
  <si>
    <t>City of Chaska - (MN)</t>
  </si>
  <si>
    <t>City of Elk River</t>
  </si>
  <si>
    <t>City of Lake Crystal - (MN)</t>
  </si>
  <si>
    <t>City of Marshall - (MN)</t>
  </si>
  <si>
    <t>City of Moorhead - (MN)</t>
  </si>
  <si>
    <t>City of Owatonna - (MN)</t>
  </si>
  <si>
    <t>City of Worthington - (MN)</t>
  </si>
  <si>
    <t>Connexus Energy</t>
  </si>
  <si>
    <t>Crow Wing Cooperative Power &amp; Light Comp</t>
  </si>
  <si>
    <t>Dakota Electric Association</t>
  </si>
  <si>
    <t>East Central Energy</t>
  </si>
  <si>
    <t>H-D Electric Coop Inc</t>
  </si>
  <si>
    <t>Hutchinson Utilities Comm</t>
  </si>
  <si>
    <t>Itasca-Mantrap Co-op Electrical Assn</t>
  </si>
  <si>
    <t>Lake Country Power</t>
  </si>
  <si>
    <t>Lake Region Electric Cooperative - (MN)</t>
  </si>
  <si>
    <t>Meeker Coop Light &amp; Power Assn</t>
  </si>
  <si>
    <t>Mille Lacs Energy Cooperative</t>
  </si>
  <si>
    <t>Minnesota Valley Coop L&amp;P Assn</t>
  </si>
  <si>
    <t>Minnesota Valley Electric Coop</t>
  </si>
  <si>
    <t>Northern States Power Co - Minnesota</t>
  </si>
  <si>
    <t>Northwestern Wisconsin Elec Co</t>
  </si>
  <si>
    <t>Otter Tail Power Co</t>
  </si>
  <si>
    <t>People's Cooperative Services</t>
  </si>
  <si>
    <t>Rochester Public Utilities</t>
  </si>
  <si>
    <t>Runestone Electric Assn</t>
  </si>
  <si>
    <t>Shakopee Public Utilities Comm</t>
  </si>
  <si>
    <t>Sioux Valley SW Elec Coop</t>
  </si>
  <si>
    <t>South Central Electric Assn</t>
  </si>
  <si>
    <t>Stearns Cooperative Elec Assn</t>
  </si>
  <si>
    <t>Steele-Waseca Cooperative Electric</t>
  </si>
  <si>
    <t>Traverse Electric Coop, Inc</t>
  </si>
  <si>
    <t>Wild Rice Electric Coop, Inc</t>
  </si>
  <si>
    <t>Willmar Municipal Utilities</t>
  </si>
  <si>
    <t>Wright-Hennepin Coop Elec Assn</t>
  </si>
  <si>
    <t>Black River Electric Coop - (MO)</t>
  </si>
  <si>
    <t>Boone Electric Coop</t>
  </si>
  <si>
    <t>Callaway Electric Cooperative</t>
  </si>
  <si>
    <t>Central Missouri Elec Coop Inc</t>
  </si>
  <si>
    <t>Citizens Electric Corporation - (MO)</t>
  </si>
  <si>
    <t>City Utilities of Springfield - (MO)</t>
  </si>
  <si>
    <t>City of Carthage - (MO)</t>
  </si>
  <si>
    <t>City of Columbia - (MO)</t>
  </si>
  <si>
    <t>City of Farmington - (MO)</t>
  </si>
  <si>
    <t>City of Hannibal - (MO)</t>
  </si>
  <si>
    <t>City of Independence - (MO)</t>
  </si>
  <si>
    <t>City of Kirkwood - (MO)</t>
  </si>
  <si>
    <t>City of Lebanon - (MO)</t>
  </si>
  <si>
    <t>City of Monett - (MO)</t>
  </si>
  <si>
    <t>City of Poplar Bluff - (MO)</t>
  </si>
  <si>
    <t>City of Rolla - (MO)</t>
  </si>
  <si>
    <t>City of Sikeston - (MO)</t>
  </si>
  <si>
    <t>Co-Mo Electric Coop Inc</t>
  </si>
  <si>
    <t>Consolidated Electric Coop</t>
  </si>
  <si>
    <t>Crawford Electric Coop, Inc</t>
  </si>
  <si>
    <t>Cuivre River Electric Coop Inc</t>
  </si>
  <si>
    <t>Farmers Electric Coop, Inc - (MO)</t>
  </si>
  <si>
    <t>Gascosage Electric Coop</t>
  </si>
  <si>
    <t>Howell-Oregon Elec Coop, Inc</t>
  </si>
  <si>
    <t>Intercounty Electric Coop Assn</t>
  </si>
  <si>
    <t>Laclede Electric Coop, Inc</t>
  </si>
  <si>
    <t>Macon Electric Coop</t>
  </si>
  <si>
    <t>Missouri Rural Electric Coop</t>
  </si>
  <si>
    <t>New-Mac Electric Coop, Inc</t>
  </si>
  <si>
    <t>Osage Valley Elec Coop Assn</t>
  </si>
  <si>
    <t>Ozark Border Electric Coop</t>
  </si>
  <si>
    <t>Ozark Electric Coop Inc - (MO)</t>
  </si>
  <si>
    <t>Platte-Clay Electric Coop, Inc</t>
  </si>
  <si>
    <t>SEMO Electric Cooperative</t>
  </si>
  <si>
    <t>Southwest Electric Coop, Inc</t>
  </si>
  <si>
    <t>Three Rivers Electric Coop</t>
  </si>
  <si>
    <t>Union Electric Co - (MO)</t>
  </si>
  <si>
    <t>Webster Electric Coop</t>
  </si>
  <si>
    <t>West Central Electric Coop Inc - (MO)</t>
  </si>
  <si>
    <t>White River Valley El Coop Inc</t>
  </si>
  <si>
    <t>4-County Electric Power Assn</t>
  </si>
  <si>
    <t>Alcorn County Elec Power Assn</t>
  </si>
  <si>
    <t>Central Electric Power Assn - (MS)</t>
  </si>
  <si>
    <t>City of Aberdeen - (MS)</t>
  </si>
  <si>
    <t>City of Amory</t>
  </si>
  <si>
    <t>City of Columbus - (MS)</t>
  </si>
  <si>
    <t>City of Holly Springs</t>
  </si>
  <si>
    <t>City of Macon - (MS)</t>
  </si>
  <si>
    <t>City of New Albany - (MS)</t>
  </si>
  <si>
    <t>City of Okolona</t>
  </si>
  <si>
    <t>City of Oxford - (MS)</t>
  </si>
  <si>
    <t>City of Philadelphia - (MS)</t>
  </si>
  <si>
    <t>City of Starkville</t>
  </si>
  <si>
    <t>City of Tupelo - (MS)</t>
  </si>
  <si>
    <t>City of Water Valley - (MS)</t>
  </si>
  <si>
    <t>City of West Point - (MS)</t>
  </si>
  <si>
    <t>Clarksdale Public Utilities</t>
  </si>
  <si>
    <t>Coahoma Electric Power Assn</t>
  </si>
  <si>
    <t>Coast Electric Power Assn</t>
  </si>
  <si>
    <t>Delta Electric Power Assn</t>
  </si>
  <si>
    <t>Dixie Electric Power Assn</t>
  </si>
  <si>
    <t>East Mississippi Elec Pwr Assn</t>
  </si>
  <si>
    <t>Greenwood Utilities Comm</t>
  </si>
  <si>
    <t>Louisville Electric System</t>
  </si>
  <si>
    <t>Magnolia Electric Power Assn</t>
  </si>
  <si>
    <t>Mississippi Power Co</t>
  </si>
  <si>
    <t>Monroe County Elec Power Assn</t>
  </si>
  <si>
    <t>Natchez Trace Elec Power Assn</t>
  </si>
  <si>
    <t>North East Mississippi EPA</t>
  </si>
  <si>
    <t>Northcentral Mississippi E P A</t>
  </si>
  <si>
    <t>Pearl River Valley El Pwr Assn</t>
  </si>
  <si>
    <t>Pontotoc Electric Power Assn</t>
  </si>
  <si>
    <t>Prentiss County Elec Pwr Assn</t>
  </si>
  <si>
    <t>Public Serv Comm of Yazoo City</t>
  </si>
  <si>
    <t>Southwest Mississippi E P A</t>
  </si>
  <si>
    <t>Tallahatchie Valley E P A</t>
  </si>
  <si>
    <t>Tippah Electric Power Assn</t>
  </si>
  <si>
    <t>Tishomingo County E P A</t>
  </si>
  <si>
    <t>Tombigbee Electric Power Assn</t>
  </si>
  <si>
    <t>Twin County Electric Pwr Assn</t>
  </si>
  <si>
    <t>Yazoo Valley Elec Power Assn</t>
  </si>
  <si>
    <t>Beartooth Electric Coop, Inc</t>
  </si>
  <si>
    <t>Big Horn County Elec Coop, Inc</t>
  </si>
  <si>
    <t>Big Horn Rural Electric Co</t>
  </si>
  <si>
    <t>Black Hills Power, Inc. d/b/a</t>
  </si>
  <si>
    <t>Fergus Electric Coop, Inc</t>
  </si>
  <si>
    <t>Flathead Electric Coop Inc</t>
  </si>
  <si>
    <t>Glacier Electric Coop, Inc</t>
  </si>
  <si>
    <t>Grand Electric Coop, Inc</t>
  </si>
  <si>
    <t>Hill County Electric Coop, Inc</t>
  </si>
  <si>
    <t>Lincoln Electric Coop, Inc</t>
  </si>
  <si>
    <t>Lower Yellowstone R E A, Inc</t>
  </si>
  <si>
    <t>Marias River Electric Coop Inc</t>
  </si>
  <si>
    <t>McCone Electric Coop Inc</t>
  </si>
  <si>
    <t>McKenzie Electric Coop Inc</t>
  </si>
  <si>
    <t>Mid-Yellowstone Elec Coop, Inc</t>
  </si>
  <si>
    <t>Montana-Dakota Utilities Co</t>
  </si>
  <si>
    <t>NorthWestern Energy LLC - (MT)</t>
  </si>
  <si>
    <t>Park Electric Coop Inc</t>
  </si>
  <si>
    <t>Ravalli County Elec Coop, Inc</t>
  </si>
  <si>
    <t>Sheridan Electric Coop, Inc</t>
  </si>
  <si>
    <t>Sun River Electric Coop, Inc</t>
  </si>
  <si>
    <t>Tongue River Electric Coop Inc</t>
  </si>
  <si>
    <t>USBIA-Mission Valley Power</t>
  </si>
  <si>
    <t>Albemarle Electric Member Corp</t>
  </si>
  <si>
    <t>Blue Ridge Elec Member Corp - (NC)</t>
  </si>
  <si>
    <t>Broad River Electric Coop, Inc</t>
  </si>
  <si>
    <t>Brunswick Electric Member Corp</t>
  </si>
  <si>
    <t>Cape Hatteras Elec Member Corp</t>
  </si>
  <si>
    <t>Carteret-Craven El Member Corp</t>
  </si>
  <si>
    <t>Central Electric Membership Corp. - (NC)</t>
  </si>
  <si>
    <t>City of Albemarle - (NC)</t>
  </si>
  <si>
    <t>City of Concord - (NC)</t>
  </si>
  <si>
    <t>City of Elizabeth City - (NC)</t>
  </si>
  <si>
    <t>City of Gastonia - (NC)</t>
  </si>
  <si>
    <t>City of Kings Mountain - (NC)</t>
  </si>
  <si>
    <t>City of Kinston - (NC)</t>
  </si>
  <si>
    <t>City of Laurinburg - (NC)</t>
  </si>
  <si>
    <t>City of Lexington - (NC)</t>
  </si>
  <si>
    <t>City of Lumberton - (NC)</t>
  </si>
  <si>
    <t>City of Monroe - (NC)</t>
  </si>
  <si>
    <t>City of Morganton - (NC)</t>
  </si>
  <si>
    <t>City of New Bern - (NC)</t>
  </si>
  <si>
    <t>City of Newton - (NC)</t>
  </si>
  <si>
    <t>City of Rocky Mount - (NC)</t>
  </si>
  <si>
    <t>City of Shelby - (NC)</t>
  </si>
  <si>
    <t>City of Statesville - (NC)</t>
  </si>
  <si>
    <t>City of Washington - (NC)</t>
  </si>
  <si>
    <t>City of Wilson</t>
  </si>
  <si>
    <t>Duke Energy Carolinas, LLC</t>
  </si>
  <si>
    <t>Duke Energy Progress - (NC)</t>
  </si>
  <si>
    <t>Edgecombe-Martin County E M C</t>
  </si>
  <si>
    <t>EnergyUnited Elec Member Corp</t>
  </si>
  <si>
    <t>Fayetteville Public Works Commission</t>
  </si>
  <si>
    <t>Four County Elec Member Corp</t>
  </si>
  <si>
    <t>French Broad Elec Member Corp</t>
  </si>
  <si>
    <t>Greenville Utilities Comm</t>
  </si>
  <si>
    <t>Halifax Electric Member Corp</t>
  </si>
  <si>
    <t>Jones-Onslow Elec Member Corp</t>
  </si>
  <si>
    <t>Lumbee River Elec Member Corp</t>
  </si>
  <si>
    <t>Mecklenburg Electric Cooperative</t>
  </si>
  <si>
    <t>Mountain Electric Coop, Inc</t>
  </si>
  <si>
    <t>New River Light &amp; Power Co</t>
  </si>
  <si>
    <t>Pee Dee Electric Member Corp</t>
  </si>
  <si>
    <t>Piedmont Electric Member Corp</t>
  </si>
  <si>
    <t>Pitt &amp; Greene Elec Member Corp</t>
  </si>
  <si>
    <t>Randolph Electric Member Corp</t>
  </si>
  <si>
    <t>Roanoke Electric Member Corp</t>
  </si>
  <si>
    <t>Rutherford Elec Member Corp</t>
  </si>
  <si>
    <t>South River Elec Member Corp</t>
  </si>
  <si>
    <t>Surry-Yadkin Elec Member Corp</t>
  </si>
  <si>
    <t>Tideland Electric Member Corp</t>
  </si>
  <si>
    <t>Town of Apex- (NC)</t>
  </si>
  <si>
    <t>Town of Ayden - (NC)</t>
  </si>
  <si>
    <t>Town of Edenton - (NC)</t>
  </si>
  <si>
    <t>Town of Forest City</t>
  </si>
  <si>
    <t>Town of High Point</t>
  </si>
  <si>
    <t>Town of Huntersville - (NC)</t>
  </si>
  <si>
    <t>Town of Murphy - (NC)</t>
  </si>
  <si>
    <t>Town of Pineville - (NC)</t>
  </si>
  <si>
    <t>Town of Smithfield - (NC)</t>
  </si>
  <si>
    <t>Town of Tarboro - (NC)</t>
  </si>
  <si>
    <t>Town of Wake Forest - (NC)</t>
  </si>
  <si>
    <t>Union Electric Membership Corp - (NC)</t>
  </si>
  <si>
    <t>Virginia Electric &amp; Power Co</t>
  </si>
  <si>
    <t>Wake Electric Membership Corp</t>
  </si>
  <si>
    <t>York Electric Coop Inc</t>
  </si>
  <si>
    <t>Basin Electric Power Coop</t>
  </si>
  <si>
    <t>Burke-Divide Electric Coop Inc</t>
  </si>
  <si>
    <t>Capital Electric Coop, Inc</t>
  </si>
  <si>
    <t>City of Lakota - (ND)</t>
  </si>
  <si>
    <t>City of Valley City</t>
  </si>
  <si>
    <t>Dakota Valley Elec Coop Inc</t>
  </si>
  <si>
    <t>KEM Electric Coop Inc</t>
  </si>
  <si>
    <t>McLean Electric Coop, Inc</t>
  </si>
  <si>
    <t>Mor-Gran-Sou Electric Coop Inc</t>
  </si>
  <si>
    <t>Mountrail-Williams Elec Coop</t>
  </si>
  <si>
    <t>Nodak Electric Coop Inc</t>
  </si>
  <si>
    <t>North Central Elec Coop, Inc</t>
  </si>
  <si>
    <t>Northern Plains Electric Coop</t>
  </si>
  <si>
    <t>Slope Electric Coop Inc</t>
  </si>
  <si>
    <t>Verendrye Electric Coop Inc</t>
  </si>
  <si>
    <t>Auburn Board of Public Works</t>
  </si>
  <si>
    <t>Burt County Public Power Dist</t>
  </si>
  <si>
    <t>Butler Public Power District - (NE)</t>
  </si>
  <si>
    <t>Cedar-Knox Public Power Dist</t>
  </si>
  <si>
    <t>Cherry-Todd Electric Coop, Inc</t>
  </si>
  <si>
    <t>Chimney Rock Public Power Dist</t>
  </si>
  <si>
    <t>City of Alliance- (NE)</t>
  </si>
  <si>
    <t>City of Beatrice - (NE)</t>
  </si>
  <si>
    <t>City of Broken Bow - (NE)</t>
  </si>
  <si>
    <t>City of Cambridge - (NE)</t>
  </si>
  <si>
    <t>City of Central City</t>
  </si>
  <si>
    <t>City of Crete</t>
  </si>
  <si>
    <t>City of David City</t>
  </si>
  <si>
    <t>City of Fairbury</t>
  </si>
  <si>
    <t>City of Falls City - (NE)</t>
  </si>
  <si>
    <t>City of Fremont - (NE)</t>
  </si>
  <si>
    <t>City of Gering - (NE)</t>
  </si>
  <si>
    <t>City of Gothenburg - (NE)</t>
  </si>
  <si>
    <t>City of Grand Island - (NE)</t>
  </si>
  <si>
    <t>City of Hastings - (NE)</t>
  </si>
  <si>
    <t>City of Hebron - (NE)</t>
  </si>
  <si>
    <t>City of Holdrege</t>
  </si>
  <si>
    <t>City of Imperial</t>
  </si>
  <si>
    <t>City of Kimball - (NE)</t>
  </si>
  <si>
    <t>City of Lexington - (NE)</t>
  </si>
  <si>
    <t>City of Madison - (NE)</t>
  </si>
  <si>
    <t>City of Minden - (NE)</t>
  </si>
  <si>
    <t>City of Nebraska City</t>
  </si>
  <si>
    <t>City of Neligh - (NE)</t>
  </si>
  <si>
    <t>City of North Platte</t>
  </si>
  <si>
    <t>City of Ord - (NE)</t>
  </si>
  <si>
    <t>City of Pierce - (NE)</t>
  </si>
  <si>
    <t>City of Schuyler - (NE)</t>
  </si>
  <si>
    <t>City of Seward - (NE)</t>
  </si>
  <si>
    <t>City of Sidney - (NE)</t>
  </si>
  <si>
    <t>City of South Sioux City</t>
  </si>
  <si>
    <t>City of St Paul - (NE)</t>
  </si>
  <si>
    <t>City of Superior - (NE)</t>
  </si>
  <si>
    <t>City of Syracuse - (NE)</t>
  </si>
  <si>
    <t>City of Tecumseh</t>
  </si>
  <si>
    <t>City of Valentine - (NE)</t>
  </si>
  <si>
    <t>City of Wahoo - (NE)</t>
  </si>
  <si>
    <t>City of Wakefield - (NE)</t>
  </si>
  <si>
    <t>City of Wayne</t>
  </si>
  <si>
    <t>City of West Point - (NE)</t>
  </si>
  <si>
    <t>Cornhusker Public Power Dist</t>
  </si>
  <si>
    <t>Cozad Board of Public Works</t>
  </si>
  <si>
    <t>Cuming County Public Pwr Dist</t>
  </si>
  <si>
    <t>Custer Public Power District</t>
  </si>
  <si>
    <t>Dawson Power District</t>
  </si>
  <si>
    <t>Elkhorn Rural Public Pwr Dist</t>
  </si>
  <si>
    <t>Howard Greeley Rural P P D</t>
  </si>
  <si>
    <t>KBR Rural Public Power District</t>
  </si>
  <si>
    <t>LaCreek Electric Assn, Inc</t>
  </si>
  <si>
    <t>Lincoln Electric System</t>
  </si>
  <si>
    <t>Loup River Public Power Dist</t>
  </si>
  <si>
    <t>Loup Valleys Rural P P D</t>
  </si>
  <si>
    <t>McCook Public Power District</t>
  </si>
  <si>
    <t>Midwest Electric Member Corp</t>
  </si>
  <si>
    <t>Nebraska Public Power District</t>
  </si>
  <si>
    <t>Niobrara Valley El Member Corp</t>
  </si>
  <si>
    <t>Norris Public Power District</t>
  </si>
  <si>
    <t>North Central Public Pwr Dist</t>
  </si>
  <si>
    <t>Northeast Power</t>
  </si>
  <si>
    <t>Northwest Rural Pub Pwr Dist</t>
  </si>
  <si>
    <t>Omaha Public Power District</t>
  </si>
  <si>
    <t>Panhandle Rural El Member Assn</t>
  </si>
  <si>
    <t>Perennial Public Power Dist</t>
  </si>
  <si>
    <t>Polk County Rural Pub Pwr Dist</t>
  </si>
  <si>
    <t>Roosevelt Public Power Dist</t>
  </si>
  <si>
    <t>South Central Public Pwr Dist</t>
  </si>
  <si>
    <t>Southern Public Power District</t>
  </si>
  <si>
    <t>Southwest Public Power Dist</t>
  </si>
  <si>
    <t>Stanton County Public Pwr Dist</t>
  </si>
  <si>
    <t>Twin Valleys Public Power Dist</t>
  </si>
  <si>
    <t>Wheat Belt Public Power Dist</t>
  </si>
  <si>
    <t>Wyrulec Company</t>
  </si>
  <si>
    <t>New Hampshire Elec Coop Inc</t>
  </si>
  <si>
    <t>Public Service Co of NH</t>
  </si>
  <si>
    <t>Unitil Energy Systems</t>
  </si>
  <si>
    <t>Atlantic City Electric Co</t>
  </si>
  <si>
    <t>Borough of Butler - (NJ)</t>
  </si>
  <si>
    <t>Borough of Madison - (NJ)</t>
  </si>
  <si>
    <t>City of Vineland - (NJ)</t>
  </si>
  <si>
    <t>Jersey Central Power &amp; Lt Co</t>
  </si>
  <si>
    <t>Public Service Elec &amp; Gas Co</t>
  </si>
  <si>
    <t>Rockland Electric Co</t>
  </si>
  <si>
    <t>Sussex Rural Electric Coop Inc</t>
  </si>
  <si>
    <t>Central New Mexico El Coop, Inc</t>
  </si>
  <si>
    <t>Central Valley Elec Coop, Inc</t>
  </si>
  <si>
    <t>City of Farmington - (NM)</t>
  </si>
  <si>
    <t>City of Gallup - (NM)</t>
  </si>
  <si>
    <t>Continental Divide El Coop Inc</t>
  </si>
  <si>
    <t>El Paso Electric Co</t>
  </si>
  <si>
    <t>Farmers Electric Coop, Inc - (NM)</t>
  </si>
  <si>
    <t>Jemez Mountains Elec Coop, Inc</t>
  </si>
  <si>
    <t>Kit Carson Electric Coop, Inc</t>
  </si>
  <si>
    <t>Lea County Electric Coop, Inc</t>
  </si>
  <si>
    <t>Los Alamos County</t>
  </si>
  <si>
    <t>Mora-San Miguel Elec Coop</t>
  </si>
  <si>
    <t>Otero County Electric Coop Inc</t>
  </si>
  <si>
    <t>Public Service Co of NM</t>
  </si>
  <si>
    <t>Rio Grande Electric Coop, Inc</t>
  </si>
  <si>
    <t>Roosevelt County Elec Coop Inc</t>
  </si>
  <si>
    <t>Sierra Electric Coop, Inc</t>
  </si>
  <si>
    <t>Socorro Electric Coop, Inc</t>
  </si>
  <si>
    <t>Southwestern Public Service Co</t>
  </si>
  <si>
    <t>Springer Electric Coop, Inc</t>
  </si>
  <si>
    <t>City of Boulder City - (NV)</t>
  </si>
  <si>
    <t>Colorado River Comm of Nevada</t>
  </si>
  <si>
    <t>Harney Electric Coop, Inc</t>
  </si>
  <si>
    <t>Mt Wheeler Power, Inc</t>
  </si>
  <si>
    <t>Nevada Power Co</t>
  </si>
  <si>
    <t>Overton Power District No 5</t>
  </si>
  <si>
    <t>Sierra Pacific Power Co</t>
  </si>
  <si>
    <t>Wells Rural Electric Co</t>
  </si>
  <si>
    <t>Central Hudson Gas &amp; Elec Corp</t>
  </si>
  <si>
    <t>City of Plattsburgh - (NY)</t>
  </si>
  <si>
    <t>City of Salamanca - (NY)</t>
  </si>
  <si>
    <t>Consolidated Edison Co-NY Inc</t>
  </si>
  <si>
    <t>Fishers Island Utility Co Inc</t>
  </si>
  <si>
    <t>Jamestown Board of Public Util</t>
  </si>
  <si>
    <t>Lake Placid Village, Inc - (NY)</t>
  </si>
  <si>
    <t>Long Island Power Authority</t>
  </si>
  <si>
    <t>New York State Elec &amp; Gas Corp</t>
  </si>
  <si>
    <t>Niagara Mohawk Power Corp.</t>
  </si>
  <si>
    <t>North Shore Towers Apts Inc</t>
  </si>
  <si>
    <t>Orange &amp; Rockland Utils Inc</t>
  </si>
  <si>
    <t>Pennsylvania Electric Co</t>
  </si>
  <si>
    <t>Rochester Gas &amp; Electric Corp</t>
  </si>
  <si>
    <t>Steuben Rural Elec Coop, Inc</t>
  </si>
  <si>
    <t>Town of Massena - (NY)</t>
  </si>
  <si>
    <t>Village of Arcade - (NY)</t>
  </si>
  <si>
    <t>Village of Fairport - (NY)</t>
  </si>
  <si>
    <t>Village of Freeport - (NY)</t>
  </si>
  <si>
    <t>Village of Rockville Centre - (NY)</t>
  </si>
  <si>
    <t>Village of Rouses Point - (NY)</t>
  </si>
  <si>
    <t>Village of Solvay - (NY)</t>
  </si>
  <si>
    <t>Adams Rural Electric Coop, Inc</t>
  </si>
  <si>
    <t>Buckeye Rural Elec Coop, Inc</t>
  </si>
  <si>
    <t>Butler Rural Electric Coop Inc - (OH)</t>
  </si>
  <si>
    <t>Carroll Electric Coop, Inc - (OH)</t>
  </si>
  <si>
    <t>City of Amherst- (OH)</t>
  </si>
  <si>
    <t>City of Bowling Green - (OH)</t>
  </si>
  <si>
    <t>City of Bryan - (OH)</t>
  </si>
  <si>
    <t>City of Celina - (OH)</t>
  </si>
  <si>
    <t>City of Cleveland - (OH)</t>
  </si>
  <si>
    <t>City of Columbus - (OH)</t>
  </si>
  <si>
    <t>City of Cuyahoga Falls - (OH)</t>
  </si>
  <si>
    <t>City of Dover - (OH)</t>
  </si>
  <si>
    <t>City of Galion</t>
  </si>
  <si>
    <t>City of Hamilton - (OH)</t>
  </si>
  <si>
    <t>City of Hudson - (OH)</t>
  </si>
  <si>
    <t>City of Jackson - (OH)</t>
  </si>
  <si>
    <t>City of Lebanon - (OH)</t>
  </si>
  <si>
    <t>City of Napoleon - (OH)</t>
  </si>
  <si>
    <t>City of Oberlin - (OH)</t>
  </si>
  <si>
    <t>City of Orrville - (OH)</t>
  </si>
  <si>
    <t>City of Painesville</t>
  </si>
  <si>
    <t>City of Piqua - (OH)</t>
  </si>
  <si>
    <t>City of Shelby - (OH)</t>
  </si>
  <si>
    <t>City of St Marys - (OH)</t>
  </si>
  <si>
    <t>City of Tipp City - (OH)</t>
  </si>
  <si>
    <t>City of Wadsworth - (OH)</t>
  </si>
  <si>
    <t>City of Wapakoneta - (OH)</t>
  </si>
  <si>
    <t>City of Westerville - (OH)</t>
  </si>
  <si>
    <t>Cleveland Electric Illum Co</t>
  </si>
  <si>
    <t>Clyde Light &amp; Power</t>
  </si>
  <si>
    <t>Consolidated Electric Coop Inc</t>
  </si>
  <si>
    <t>Darke Rural Electric Coop, Inc</t>
  </si>
  <si>
    <t>Dayton Power &amp; Light Co</t>
  </si>
  <si>
    <t>Duke Energy Ohio Inc</t>
  </si>
  <si>
    <t>Firelands Electric Coop, Inc</t>
  </si>
  <si>
    <t>Frontier Power Company</t>
  </si>
  <si>
    <t>Guernsey-Muskingum El Coop Inc</t>
  </si>
  <si>
    <t>Hancock-Wood Electric Coop Inc</t>
  </si>
  <si>
    <t>Holmes-Wayne Electric Coop Inc</t>
  </si>
  <si>
    <t>Licking Rural Electric Inc</t>
  </si>
  <si>
    <t>Logan County Coop Power &amp; Light</t>
  </si>
  <si>
    <t>Lorain-Medina R E C, Inc</t>
  </si>
  <si>
    <t>Mid-Ohio Energy Coop, Inc</t>
  </si>
  <si>
    <t>Midwest Electric, Inc</t>
  </si>
  <si>
    <t>North Western Elec Coop, Inc</t>
  </si>
  <si>
    <t>Ohio Edison Co</t>
  </si>
  <si>
    <t>Ohio Power Co</t>
  </si>
  <si>
    <t>Ohio Valley Electric Corp</t>
  </si>
  <si>
    <t>Pioneer Rural Elec Coop, Inc - (OH)</t>
  </si>
  <si>
    <t>South Central Power Company</t>
  </si>
  <si>
    <t>The Toledo Edison Co</t>
  </si>
  <si>
    <t>Union Rural Electric Coop, Inc</t>
  </si>
  <si>
    <t>Village of Minster - (OH)</t>
  </si>
  <si>
    <t>Village of Yellow Springs - (OH)</t>
  </si>
  <si>
    <t>Washington Electric Coop - (OH)</t>
  </si>
  <si>
    <t>CKenergy Electric Cooperative</t>
  </si>
  <si>
    <t>Canadian Valley Elec Coop, Inc</t>
  </si>
  <si>
    <t>Central Rural Electric Cooperative, Inc</t>
  </si>
  <si>
    <t>Choctaw Electric Coop Inc</t>
  </si>
  <si>
    <t>Cimarron Electric Coop</t>
  </si>
  <si>
    <t>City of Altus - (OK)</t>
  </si>
  <si>
    <t>City of Claremore</t>
  </si>
  <si>
    <t>City of Cushing - (OK)</t>
  </si>
  <si>
    <t>City of Duncan - (OK)</t>
  </si>
  <si>
    <t>City of Edmond - (OK)</t>
  </si>
  <si>
    <t>City of Mangum - (OK)</t>
  </si>
  <si>
    <t>City of Miami - (OK)</t>
  </si>
  <si>
    <t>City of Pawhuska - (OK)</t>
  </si>
  <si>
    <t>City of Ponca City - (OK)</t>
  </si>
  <si>
    <t>City of Pryor - (OK)</t>
  </si>
  <si>
    <t>City of Sallisaw - (OK)</t>
  </si>
  <si>
    <t>City of Stilwell - (OK)</t>
  </si>
  <si>
    <t>Cookson Hills Elec Coop, Inc</t>
  </si>
  <si>
    <t>Cotton Electric Coop, Inc</t>
  </si>
  <si>
    <t>East Central Oklahoma Elec Coop Inc</t>
  </si>
  <si>
    <t>Grand River Dam Authority</t>
  </si>
  <si>
    <t>Indian Electric Coop, Inc</t>
  </si>
  <si>
    <t>Kay Electric Coop</t>
  </si>
  <si>
    <t>Kiamichi Electric Coop, Inc</t>
  </si>
  <si>
    <t>Lake Region Electric Coop, Inc - (OK)</t>
  </si>
  <si>
    <t>Northfork Electric Coop, Inc</t>
  </si>
  <si>
    <t>Northwestern Electric Coop Inc - (OK)</t>
  </si>
  <si>
    <t>Oklahoma Electric Coop Inc</t>
  </si>
  <si>
    <t>People's Electric Cooperative</t>
  </si>
  <si>
    <t>Prague Public Works Authority</t>
  </si>
  <si>
    <t>Public Service Co of Oklahoma</t>
  </si>
  <si>
    <t>Red River Valley Rrl Elec Assn</t>
  </si>
  <si>
    <t>Rural Electric Coop, Inc</t>
  </si>
  <si>
    <t>Southeastern Electric Coop Inc - (OK)</t>
  </si>
  <si>
    <t>Southwest Rural Elec Assn Inc</t>
  </si>
  <si>
    <t>Stillwater Utilities Authority</t>
  </si>
  <si>
    <t>Tahlequah Public Works Authority</t>
  </si>
  <si>
    <t>Verdigris Valley Elec Coop Inc</t>
  </si>
  <si>
    <t>Wagoner Public Works Authority</t>
  </si>
  <si>
    <t>Blachly-Lane County Coop El Assn</t>
  </si>
  <si>
    <t>Bonneville Power Administration</t>
  </si>
  <si>
    <t>Canby Utility Board</t>
  </si>
  <si>
    <t>Central Electric Coop Inc - (OR)</t>
  </si>
  <si>
    <t>Central Lincoln People's Ut Dt</t>
  </si>
  <si>
    <t>City of Ashland - (OR)</t>
  </si>
  <si>
    <t>City of Bandon - (OR)</t>
  </si>
  <si>
    <t>City of Eugene - (OR)</t>
  </si>
  <si>
    <t>City of Forest Grove</t>
  </si>
  <si>
    <t>City of Hermiston</t>
  </si>
  <si>
    <t>City of McMinnville - (OR)</t>
  </si>
  <si>
    <t>City of Milton-Freewater- (OR)</t>
  </si>
  <si>
    <t>City of Monmouth - (OR)</t>
  </si>
  <si>
    <t>City of Springfield - (OR)</t>
  </si>
  <si>
    <t>Clatskanie Peoples Util Dist</t>
  </si>
  <si>
    <t>Columbia Basin Elec Cooperative, Inc</t>
  </si>
  <si>
    <t>Columbia Power Coop Assn Inc</t>
  </si>
  <si>
    <t>Columbia River Peoples Ut Dist</t>
  </si>
  <si>
    <t>Columbia Rural Elec Assn, Inc</t>
  </si>
  <si>
    <t>Consumers Power, Inc</t>
  </si>
  <si>
    <t>Coos-Curry Electric Coop, Inc</t>
  </si>
  <si>
    <t>Douglas Electric Coop - (OR)</t>
  </si>
  <si>
    <t>Emerald People's Utility Dist</t>
  </si>
  <si>
    <t>Hood River Electric Coop</t>
  </si>
  <si>
    <t>Lane Electric Coop Inc</t>
  </si>
  <si>
    <t>Midstate Electric Coop, Inc</t>
  </si>
  <si>
    <t>Northern Wasco County PUD</t>
  </si>
  <si>
    <t>Oregon Trail El Cons Coop, Inc</t>
  </si>
  <si>
    <t>Portland General Electric Co</t>
  </si>
  <si>
    <t>Salem Electric - (OR)</t>
  </si>
  <si>
    <t>Tillamook Peoples Utility Dist</t>
  </si>
  <si>
    <t>Umatilla Electric Coop Assn</t>
  </si>
  <si>
    <t>Wasco Electric Coop, Inc</t>
  </si>
  <si>
    <t>Adams Electric Cooperative Inc</t>
  </si>
  <si>
    <t>Bedford Rural Elec Coop, Inc</t>
  </si>
  <si>
    <t>Borough of Chambersburg</t>
  </si>
  <si>
    <t>Borough of Ephrata - (PA)</t>
  </si>
  <si>
    <t>Borough of Lansdale</t>
  </si>
  <si>
    <t>Borough of Quakertown - (PA)</t>
  </si>
  <si>
    <t>Central Electric Coop, Inc - (PA)</t>
  </si>
  <si>
    <t>Citizens Electric Co - (PA)</t>
  </si>
  <si>
    <t>Claverack Rural Elec Coop Inc</t>
  </si>
  <si>
    <t>Duquesne Light Co</t>
  </si>
  <si>
    <t>Metropolitan Edison Co</t>
  </si>
  <si>
    <t>Northwestern Rural E C A, Inc - (PA)</t>
  </si>
  <si>
    <t>PECO Energy Co</t>
  </si>
  <si>
    <t>PPL Electric Utilities Corp</t>
  </si>
  <si>
    <t>Pennsylvania Power Co</t>
  </si>
  <si>
    <t>Pike County Light &amp; Power Co</t>
  </si>
  <si>
    <t>REA Energy Coop Inc</t>
  </si>
  <si>
    <t>Somerset Rural Elec Coop, Inc</t>
  </si>
  <si>
    <t>UGI Utilities, Inc</t>
  </si>
  <si>
    <t>United Electric Coop, Inc - (PA)</t>
  </si>
  <si>
    <t>Valley Rural Electric Coop Inc</t>
  </si>
  <si>
    <t>Wellsborough Electric Co</t>
  </si>
  <si>
    <t>Pascoag Utility District</t>
  </si>
  <si>
    <t>The Narragansett Electric Co</t>
  </si>
  <si>
    <t>Aiken Electric Coop Inc</t>
  </si>
  <si>
    <t>Berkeley Electric Coop Inc</t>
  </si>
  <si>
    <t>Black River Electric Coop, Inc - (SC)</t>
  </si>
  <si>
    <t>Blue Ridge Electric Coop Inc - (SC)</t>
  </si>
  <si>
    <t>City of Bennettsville - (SC)</t>
  </si>
  <si>
    <t>City of Camden</t>
  </si>
  <si>
    <t>City of Gaffney - (SC)</t>
  </si>
  <si>
    <t>City of Georgetown - (SC)</t>
  </si>
  <si>
    <t>City of Laurens - (SC)</t>
  </si>
  <si>
    <t>City of Newberry - (SC)</t>
  </si>
  <si>
    <t>City of Orangeburg - (SC)</t>
  </si>
  <si>
    <t>City of Rock Hill - (SC)</t>
  </si>
  <si>
    <t>City of Seneca - (SC)</t>
  </si>
  <si>
    <t>City of Union - (SC)</t>
  </si>
  <si>
    <t>Clinton Combined Utility Sys</t>
  </si>
  <si>
    <t>Coastal Electric Coop, Inc</t>
  </si>
  <si>
    <t>Easley Combined Utility System</t>
  </si>
  <si>
    <t>Edisto Electric Coop, Inc</t>
  </si>
  <si>
    <t>Fairfield Electric Coop, Inc</t>
  </si>
  <si>
    <t>Greenwood CPW</t>
  </si>
  <si>
    <t>Greer Commission of Public Wks</t>
  </si>
  <si>
    <t>Horry Electric Coop Inc</t>
  </si>
  <si>
    <t>Laurens Electric Coop, Inc</t>
  </si>
  <si>
    <t>Little River Electric Coop Inc</t>
  </si>
  <si>
    <t>Lockhart Power Co</t>
  </si>
  <si>
    <t>Lynches River Elec Coop, Inc</t>
  </si>
  <si>
    <t>Marlboro Electric Coop, Inc</t>
  </si>
  <si>
    <t>Mid-Carolina Electric Coop Inc</t>
  </si>
  <si>
    <t>Newberry Electric Coop, Inc</t>
  </si>
  <si>
    <t>Palmetto Electric Coop Inc</t>
  </si>
  <si>
    <t>Pee Dee Electric Coop, Inc</t>
  </si>
  <si>
    <t>Santee Electric Coop, Inc</t>
  </si>
  <si>
    <t>South Carolina Public Service Authority</t>
  </si>
  <si>
    <t>Black Hills Electric Coop, Inc</t>
  </si>
  <si>
    <t>Bon Homme Yankton El Assn, Inc</t>
  </si>
  <si>
    <t>Butte Electric Coop, Inc</t>
  </si>
  <si>
    <t>Cam Wal Electric Coop, Inc</t>
  </si>
  <si>
    <t>Central Electric Coop, Inc - (SD)</t>
  </si>
  <si>
    <t>Charles Mix Electric Assn, Inc</t>
  </si>
  <si>
    <t>City of Beresford</t>
  </si>
  <si>
    <t>City of Brookings - (SD)</t>
  </si>
  <si>
    <t>City of Flandreau</t>
  </si>
  <si>
    <t>City of Fort Pierre - (SD)</t>
  </si>
  <si>
    <t>City of Madison - (SD)</t>
  </si>
  <si>
    <t>City of Miller - (SD)</t>
  </si>
  <si>
    <t>City of Pierre - (SD)</t>
  </si>
  <si>
    <t>City of Sioux Falls - (SD)</t>
  </si>
  <si>
    <t>City of Vermillion - (SD)</t>
  </si>
  <si>
    <t>City of Volga - (SD)</t>
  </si>
  <si>
    <t>Clay-Union Electric Corp</t>
  </si>
  <si>
    <t>Codington-Clark Elec Coop, Inc</t>
  </si>
  <si>
    <t>Dakota Energy Coop Inc</t>
  </si>
  <si>
    <t>Douglas Electric Coop, Inc</t>
  </si>
  <si>
    <t>FEM Electric Assn, Inc</t>
  </si>
  <si>
    <t>Lake Region Electric Assn, Inc - (SD)</t>
  </si>
  <si>
    <t>Moreau-Grand Electric Coop Inc</t>
  </si>
  <si>
    <t>NorthWestern Energy - (SD)</t>
  </si>
  <si>
    <t>Northern Electric Coop, Inc</t>
  </si>
  <si>
    <t>Oahe Electric Coop Inc</t>
  </si>
  <si>
    <t>Rosebud Electric Coop Inc</t>
  </si>
  <si>
    <t>Southeastern Electric Coop Inc - (SD)</t>
  </si>
  <si>
    <t>Town of Pickstown - (SD)</t>
  </si>
  <si>
    <t>Union County Electric Coop Inc</t>
  </si>
  <si>
    <t>Watertown Municipal Utilities</t>
  </si>
  <si>
    <t>West Central Electric Coop Inc - (SD)</t>
  </si>
  <si>
    <t>West River Electric Assn Inc</t>
  </si>
  <si>
    <t>Whetstone Valley Elec Coop Inc</t>
  </si>
  <si>
    <t>Winner Municipal Utility</t>
  </si>
  <si>
    <t>Appalachian Electric Coop</t>
  </si>
  <si>
    <t>Athens Utility Board</t>
  </si>
  <si>
    <t>Benton County</t>
  </si>
  <si>
    <t>Bolivar Energy Authority</t>
  </si>
  <si>
    <t>Caney Fork Electric Coop, Inc</t>
  </si>
  <si>
    <t>Carroll County - (TN)</t>
  </si>
  <si>
    <t>Chickasaw Electric Coop, Inc</t>
  </si>
  <si>
    <t>City of Alcoa Utilities</t>
  </si>
  <si>
    <t>City of Bristol - (TN)</t>
  </si>
  <si>
    <t>City of Brownsville</t>
  </si>
  <si>
    <t>City of Clarksville - (TN)</t>
  </si>
  <si>
    <t>City of Cleveland - (TN)</t>
  </si>
  <si>
    <t>City of Clinton - (TN)</t>
  </si>
  <si>
    <t>City of Cookeville - (TN)</t>
  </si>
  <si>
    <t>City of Covington - (TN)</t>
  </si>
  <si>
    <t>City of Dayton - (TN)</t>
  </si>
  <si>
    <t>City of Dickson</t>
  </si>
  <si>
    <t>City of Dyersburg</t>
  </si>
  <si>
    <t>City of Elizabethton - (TN)</t>
  </si>
  <si>
    <t>City of Etowah</t>
  </si>
  <si>
    <t>City of Fayetteville</t>
  </si>
  <si>
    <t>City of Gallatin - (TN)</t>
  </si>
  <si>
    <t>City of Greeneville - (TN)</t>
  </si>
  <si>
    <t>City of Harriman - (TN)</t>
  </si>
  <si>
    <t>City of Humboldt</t>
  </si>
  <si>
    <t>City of Jackson - (TN)</t>
  </si>
  <si>
    <t>City of LaFollette</t>
  </si>
  <si>
    <t>City of Lawrenceburg</t>
  </si>
  <si>
    <t>City of Lenoir - (TN)</t>
  </si>
  <si>
    <t>City of Lewisburg - (TN)</t>
  </si>
  <si>
    <t>City of Lexington - (TN)</t>
  </si>
  <si>
    <t>City of Memphis - (TN)</t>
  </si>
  <si>
    <t>City of Milan</t>
  </si>
  <si>
    <t>City of Morristown - (TN)</t>
  </si>
  <si>
    <t>City of Mt Pleasant - (TN)</t>
  </si>
  <si>
    <t>City of Murfreesboro</t>
  </si>
  <si>
    <t>City of Newbern</t>
  </si>
  <si>
    <t>City of Newport</t>
  </si>
  <si>
    <t>City of Oak Ridge</t>
  </si>
  <si>
    <t>City of Paris - (TN)</t>
  </si>
  <si>
    <t>City of Pulaski - (TN)</t>
  </si>
  <si>
    <t>City of Ripley - (TN)</t>
  </si>
  <si>
    <t>City of Rockwood - (TN)</t>
  </si>
  <si>
    <t>City of Shelbyville - (TN)</t>
  </si>
  <si>
    <t>City of Smithville - (TN)</t>
  </si>
  <si>
    <t>City of Sparta</t>
  </si>
  <si>
    <t>City of Springfield - (TN)</t>
  </si>
  <si>
    <t>City of Sweetwater</t>
  </si>
  <si>
    <t>City of Trenton - (TN)</t>
  </si>
  <si>
    <t>City of Union City</t>
  </si>
  <si>
    <t>City of Winchester - (TN)</t>
  </si>
  <si>
    <t>Columbia Power System</t>
  </si>
  <si>
    <t>Cumberland Elec Member Corp</t>
  </si>
  <si>
    <t>Duck River Elec Member Corp</t>
  </si>
  <si>
    <t>Forked Deer Electric Coop, Inc</t>
  </si>
  <si>
    <t>Fort Loudoun Electric Coop</t>
  </si>
  <si>
    <t>Gibson Electric Members Corp</t>
  </si>
  <si>
    <t>Holston Electric Coop, Inc</t>
  </si>
  <si>
    <t>Johnson City - (TN)</t>
  </si>
  <si>
    <t>Kingsport Power Co</t>
  </si>
  <si>
    <t>Knoxville Utilities Board</t>
  </si>
  <si>
    <t>Loudon Utilities Board</t>
  </si>
  <si>
    <t>Maryville Utilities</t>
  </si>
  <si>
    <t>McMinnville Electric System</t>
  </si>
  <si>
    <t>Meriwether Lewis Electric Coop</t>
  </si>
  <si>
    <t>Middle Tennessee E M C</t>
  </si>
  <si>
    <t>Nashville Electric Service</t>
  </si>
  <si>
    <t>Pickwick Electric Coop</t>
  </si>
  <si>
    <t>Plateau Electric Cooperative</t>
  </si>
  <si>
    <t>Powell Valley Electric Coop</t>
  </si>
  <si>
    <t>Sequachee Valley Electric Coop</t>
  </si>
  <si>
    <t>Sevier County Electric System</t>
  </si>
  <si>
    <t>Southwest Tennessee E M C</t>
  </si>
  <si>
    <t>Tennessee Valley Electric Coop</t>
  </si>
  <si>
    <t>Town of Erwin - (TN)</t>
  </si>
  <si>
    <t>Tullahoma Board-Public Utils</t>
  </si>
  <si>
    <t>Upper Cumberland E M C</t>
  </si>
  <si>
    <t>Volunteer Electric Coop</t>
  </si>
  <si>
    <t>Weakley County Mun Elec Sys</t>
  </si>
  <si>
    <t>Retail Energy Provider</t>
  </si>
  <si>
    <t>AP Holdings LLC</t>
  </si>
  <si>
    <t>Accent Energy Holdings, LLC</t>
  </si>
  <si>
    <t>Agera Energy LLC</t>
  </si>
  <si>
    <t>Ambit Energy Holdings, LLC</t>
  </si>
  <si>
    <t>AmeriPower LLC</t>
  </si>
  <si>
    <t>American Light and Power</t>
  </si>
  <si>
    <t>American PowerNet</t>
  </si>
  <si>
    <t>Amigo Energy</t>
  </si>
  <si>
    <t>Austin Energy</t>
  </si>
  <si>
    <t>Axon Power &amp; Gas LLC</t>
  </si>
  <si>
    <t>BP Energy Company</t>
  </si>
  <si>
    <t>Bailey County Elec Coop Assn</t>
  </si>
  <si>
    <t>Bandera Electric Coop, Inc</t>
  </si>
  <si>
    <t>Bartlett Electric Coop, Inc</t>
  </si>
  <si>
    <t>Big Country Electric Coop, Inc</t>
  </si>
  <si>
    <t>Bluebonnet Electric Coop, Inc</t>
  </si>
  <si>
    <t>Bounce Energy, Inc.</t>
  </si>
  <si>
    <t>Bowie-Cass Electric Coop, Inc</t>
  </si>
  <si>
    <t>Brilliant Energy, LLC</t>
  </si>
  <si>
    <t>Brooklet Energy Distribution</t>
  </si>
  <si>
    <t>Brownsville Public Utilities Board</t>
  </si>
  <si>
    <t>Calpine Energy Solutions, LLC</t>
  </si>
  <si>
    <t>Calpine Power America LLC</t>
  </si>
  <si>
    <t>Central Texas Elec Coop, Inc</t>
  </si>
  <si>
    <t>Champion Energy Services</t>
  </si>
  <si>
    <t>Cherokee County Elec Coop Assn</t>
  </si>
  <si>
    <t>City of Boerne</t>
  </si>
  <si>
    <t>City of Brenham - (TX)</t>
  </si>
  <si>
    <t>City of Bryan - (TX)</t>
  </si>
  <si>
    <t>City of College Station - (TX)</t>
  </si>
  <si>
    <t>City of Cuero - (TX)</t>
  </si>
  <si>
    <t>City of Denton - (TX)</t>
  </si>
  <si>
    <t>City of Floresville</t>
  </si>
  <si>
    <t>City of Fredericksburg - (TX)</t>
  </si>
  <si>
    <t>City of Garland - (TX)</t>
  </si>
  <si>
    <t>City of Georgetown - (TX)</t>
  </si>
  <si>
    <t>City of Greenville - (TX)</t>
  </si>
  <si>
    <t>City of Jasper - (TX)</t>
  </si>
  <si>
    <t>City of Lampasas - (TX)</t>
  </si>
  <si>
    <t>City of Liberty - (TX)</t>
  </si>
  <si>
    <t>City of Lockhart - (TX)</t>
  </si>
  <si>
    <t>City of Lubbock - (TX)</t>
  </si>
  <si>
    <t>City of New Braunfels - (TX)</t>
  </si>
  <si>
    <t>City of San Antonio - (TX)</t>
  </si>
  <si>
    <t>City of San Marcos - (TX)</t>
  </si>
  <si>
    <t>City of Seguin - (TX)</t>
  </si>
  <si>
    <t>Clearview Electric Inc.</t>
  </si>
  <si>
    <t>Coleman County Elec Coop, Inc</t>
  </si>
  <si>
    <t>Comanche County Elec Coop Assn</t>
  </si>
  <si>
    <t>Concho Valley Elec Coop Inc</t>
  </si>
  <si>
    <t>ConocoPhillips Company</t>
  </si>
  <si>
    <t>Conservice Energy</t>
  </si>
  <si>
    <t>Constellation NewEnergy, Inc</t>
  </si>
  <si>
    <t>Cooke County Elec Coop Assn</t>
  </si>
  <si>
    <t>Deaf Smith Electric Coop, Inc</t>
  </si>
  <si>
    <t>Deep East Texas Elec Coop Inc</t>
  </si>
  <si>
    <t>Denton County Elec Coop, Inc</t>
  </si>
  <si>
    <t>Direct Energy Services</t>
  </si>
  <si>
    <t>Discount Power - (TX)</t>
  </si>
  <si>
    <t>EDF Energy Services, LLC</t>
  </si>
  <si>
    <t>ENGIE Resources LLC</t>
  </si>
  <si>
    <t>ENGIE Retail, LLC</t>
  </si>
  <si>
    <t>Electranet Power LLC</t>
  </si>
  <si>
    <t>Entergy Texas Inc.</t>
  </si>
  <si>
    <t>Entrust Energy</t>
  </si>
  <si>
    <t>Fannin County Electric Coop</t>
  </si>
  <si>
    <t>Farmers Electric Coop, Inc - (TX)</t>
  </si>
  <si>
    <t>Fayette Electric Coop, Inc</t>
  </si>
  <si>
    <t>Fort Belknap Electric Coop Inc</t>
  </si>
  <si>
    <t>Frontier Utilities, Inc.</t>
  </si>
  <si>
    <t>Grayson-Collin Elec Coop, Inc</t>
  </si>
  <si>
    <t>Green Mountain Energy Company</t>
  </si>
  <si>
    <t>Greenbelt Electric Coop, Inc</t>
  </si>
  <si>
    <t>Griddy Energy LLC</t>
  </si>
  <si>
    <t>Guadalupe Valley Elec Coop Inc</t>
  </si>
  <si>
    <t>HILCO Electric Cooperative, Inc.</t>
  </si>
  <si>
    <t>Hamilton County Elec Coop Assn</t>
  </si>
  <si>
    <t>Heart of Texas Electric Coop</t>
  </si>
  <si>
    <t>Heritage Power LLC</t>
  </si>
  <si>
    <t>Houston County Elec Coop Inc</t>
  </si>
  <si>
    <t>Hudson Energy Services</t>
  </si>
  <si>
    <t>Infinite Electric LLC</t>
  </si>
  <si>
    <t>Infuse Energy LLC</t>
  </si>
  <si>
    <t>Jackson Electric Coop, Inc - (TX)</t>
  </si>
  <si>
    <t>Jasper-Newton Elec Coop, Inc</t>
  </si>
  <si>
    <t>Just Energy</t>
  </si>
  <si>
    <t>Karnes Electric Coop Inc</t>
  </si>
  <si>
    <t>Kerrville Public Utility Board</t>
  </si>
  <si>
    <t>Lamar County Elec Coop Assn</t>
  </si>
  <si>
    <t>Lamb County Electric Coop, Inc</t>
  </si>
  <si>
    <t>Liberty Power Corp.</t>
  </si>
  <si>
    <t>LifeEnergy, LLC</t>
  </si>
  <si>
    <t>Lighthouse Electric Coop, Inc</t>
  </si>
  <si>
    <t>Lyntegar Electric Coop, Inc</t>
  </si>
  <si>
    <t>MP2 Energy LLC</t>
  </si>
  <si>
    <t>Magic Valley Electric Coop Inc</t>
  </si>
  <si>
    <t>Mansfield Power and Gas, LLC</t>
  </si>
  <si>
    <t>Medina Electric Coop, Inc</t>
  </si>
  <si>
    <t>Mid-South Electric Coop Assn</t>
  </si>
  <si>
    <t>MidAmerican Energy Services, LLC</t>
  </si>
  <si>
    <t>Navarro County Elec Coop, Inc</t>
  </si>
  <si>
    <t>Navasota Valley Elec Coop, Inc</t>
  </si>
  <si>
    <t>NextEra Energy Services, LLC</t>
  </si>
  <si>
    <t>North American Power and Gas, LLC</t>
  </si>
  <si>
    <t>North Plains Electric Coop Inc</t>
  </si>
  <si>
    <t>Our Energy LLC</t>
  </si>
  <si>
    <t>Pedernales Electric Coop, Inc</t>
  </si>
  <si>
    <t>Pogo Energy LLC</t>
  </si>
  <si>
    <t>Power Express</t>
  </si>
  <si>
    <t>Pro Power Providers</t>
  </si>
  <si>
    <t>Rita Blanca Electric Coop, Inc</t>
  </si>
  <si>
    <t>Rusk County Electric Coop, Inc</t>
  </si>
  <si>
    <t>Sam Houston Electric Coop Inc</t>
  </si>
  <si>
    <t>San Bernard Electric Coop, Inc</t>
  </si>
  <si>
    <t>San Patricio Electric Coop Inc</t>
  </si>
  <si>
    <t>Smart Prepaid Electric</t>
  </si>
  <si>
    <t>Source Power &amp; Gas LLC</t>
  </si>
  <si>
    <t>South Plains Electric Coop Inc</t>
  </si>
  <si>
    <t>Southwest Texas Elec Coop, Inc</t>
  </si>
  <si>
    <t>Spark Energy, LP</t>
  </si>
  <si>
    <t>Summer Energy LLC</t>
  </si>
  <si>
    <t>Swisher Electric Coop, Inc</t>
  </si>
  <si>
    <t>TXU Energy Retail Co, LLC</t>
  </si>
  <si>
    <t>Taylor Electric Coop Inc - (TX)</t>
  </si>
  <si>
    <t>Texas General Land Office</t>
  </si>
  <si>
    <t>Texas Retail Energy, LLC</t>
  </si>
  <si>
    <t>Texpo Power, L.P.</t>
  </si>
  <si>
    <t>Total Gas &amp; Power North America Inc</t>
  </si>
  <si>
    <t>TriEagle Energy, L.P.</t>
  </si>
  <si>
    <t>Trinity Valley Elec Coop Inc</t>
  </si>
  <si>
    <t>US Retailers, LLC</t>
  </si>
  <si>
    <t>United Electric Coop Service Inc - (TX)</t>
  </si>
  <si>
    <t>Upshur Rural Elec Coop Corp</t>
  </si>
  <si>
    <t>V247 Power Corporation</t>
  </si>
  <si>
    <t>Verde Energy USA</t>
  </si>
  <si>
    <t>Veteran Energy LLC</t>
  </si>
  <si>
    <t>Victoria Electric Coop, Inc</t>
  </si>
  <si>
    <t>Volt Electricity Provider LP</t>
  </si>
  <si>
    <t>Volterra Energy</t>
  </si>
  <si>
    <t>Weatherford Mun Utility System</t>
  </si>
  <si>
    <t>Wharton County Elec Coop, Inc</t>
  </si>
  <si>
    <t>Wise Electric Coop Inc</t>
  </si>
  <si>
    <t>Wolverine Alternative Investments, LLC</t>
  </si>
  <si>
    <t>Wood County Electric Coop, Inc</t>
  </si>
  <si>
    <t>XOOM Energy Texas, LLC</t>
  </si>
  <si>
    <t>Young Energy, LLC</t>
  </si>
  <si>
    <t>Bridger Valley Elec Assn, Inc</t>
  </si>
  <si>
    <t>Brigham City Corporation</t>
  </si>
  <si>
    <t>City of Bountiful</t>
  </si>
  <si>
    <t>City of Logan - (UT)</t>
  </si>
  <si>
    <t>City of Murray - (UT)</t>
  </si>
  <si>
    <t>City of Springville - (UT)</t>
  </si>
  <si>
    <t>City of St George</t>
  </si>
  <si>
    <t>City of Washington - (UT)</t>
  </si>
  <si>
    <t>Heber Light &amp; Power Company</t>
  </si>
  <si>
    <t>Hurricane City Power</t>
  </si>
  <si>
    <t>Hyrum City Corporation</t>
  </si>
  <si>
    <t>Kaysville City Corporation</t>
  </si>
  <si>
    <t>Lehi City Corporation</t>
  </si>
  <si>
    <t>Payson City Corporation</t>
  </si>
  <si>
    <t>Provo City Corp</t>
  </si>
  <si>
    <t>Spanish Fork City Corporation</t>
  </si>
  <si>
    <t>Strawberry Electric Serv Dist</t>
  </si>
  <si>
    <t>Appalachian Power Co</t>
  </si>
  <si>
    <t>BARC Electric Coop Inc</t>
  </si>
  <si>
    <t>Bristol Virginia Utilities</t>
  </si>
  <si>
    <t>Central Virginia Electric Coop</t>
  </si>
  <si>
    <t>City of Danville - (VA)</t>
  </si>
  <si>
    <t>City of Franklin - (VA)</t>
  </si>
  <si>
    <t>City of Harrisonburg - (VA)</t>
  </si>
  <si>
    <t>City of Manassas - (VA)</t>
  </si>
  <si>
    <t>City of Martinsville - (VA)</t>
  </si>
  <si>
    <t>City of Radford - (VA)</t>
  </si>
  <si>
    <t>City of Salem - (VA)</t>
  </si>
  <si>
    <t>Community Electric Coop</t>
  </si>
  <si>
    <t>Craig-Botetourt Electric Coop</t>
  </si>
  <si>
    <t>Northern Neck Elec Coop, Inc</t>
  </si>
  <si>
    <t>Northern Virginia Elec Coop</t>
  </si>
  <si>
    <t>Prince George Electric Coop</t>
  </si>
  <si>
    <t>Rappahannock Electric Coop</t>
  </si>
  <si>
    <t>Shenandoah Valley Elec Coop</t>
  </si>
  <si>
    <t>Southside Electric Coop, Inc</t>
  </si>
  <si>
    <t>Town of Bedford - (VA)</t>
  </si>
  <si>
    <t>Town of Culpeper- (VA)</t>
  </si>
  <si>
    <t>Town of Front Royal</t>
  </si>
  <si>
    <t>Virginia Tech Electric Service</t>
  </si>
  <si>
    <t>City of Burlington Electric - (VT)</t>
  </si>
  <si>
    <t>Green Mountain Power Corp</t>
  </si>
  <si>
    <t>Town of Stowe- (VT)</t>
  </si>
  <si>
    <t>Village of Ludlow - (VT)</t>
  </si>
  <si>
    <t>Village of Lyndonville - (VT)</t>
  </si>
  <si>
    <t>Village of Morrisville - (VT)</t>
  </si>
  <si>
    <t>Village of Northfield - (VT)</t>
  </si>
  <si>
    <t>Village of Swanton - (VT)</t>
  </si>
  <si>
    <t>Washington Electric Coop - (VT)</t>
  </si>
  <si>
    <t>Benton Rural Electric Assn</t>
  </si>
  <si>
    <t>Big Bend Electric Coop, Inc</t>
  </si>
  <si>
    <t>City of Blaine - (WA)</t>
  </si>
  <si>
    <t>City of Centralia - (WA)</t>
  </si>
  <si>
    <t>City of Cheney - (WA)</t>
  </si>
  <si>
    <t>City of Ellensburg - (WA)</t>
  </si>
  <si>
    <t>City of Port Angeles - (WA)</t>
  </si>
  <si>
    <t>City of Richland - (WA)</t>
  </si>
  <si>
    <t>City of Seattle - (WA)</t>
  </si>
  <si>
    <t>City of Tacoma - (WA)</t>
  </si>
  <si>
    <t>Elmhurst Mutual Power &amp; Light Co</t>
  </si>
  <si>
    <t>Lakeview Light &amp; Power</t>
  </si>
  <si>
    <t>Modern Electric Water Company</t>
  </si>
  <si>
    <t>Ohop Mutual Light Company, Inc</t>
  </si>
  <si>
    <t>Okanogan County Elec Coop, Inc</t>
  </si>
  <si>
    <t>Orcas Power &amp; Light Coop</t>
  </si>
  <si>
    <t>PUD 1 of Snohomish County</t>
  </si>
  <si>
    <t>PUD No 1 of Benton County</t>
  </si>
  <si>
    <t>PUD No 1 of Chelan County</t>
  </si>
  <si>
    <t>PUD No 1 of Clallam County</t>
  </si>
  <si>
    <t>PUD No 1 of Clark County - (WA)</t>
  </si>
  <si>
    <t>PUD No 1 of Cowlitz County</t>
  </si>
  <si>
    <t>PUD No 1 of Douglas County</t>
  </si>
  <si>
    <t>PUD No 1 of Ferry County</t>
  </si>
  <si>
    <t>PUD No 1 of Franklin County</t>
  </si>
  <si>
    <t>PUD No 1 of Grays Harbor County</t>
  </si>
  <si>
    <t>PUD No 1 of Jefferson County</t>
  </si>
  <si>
    <t>PUD No 1 of Klickitat County</t>
  </si>
  <si>
    <t>PUD No 1 of Lewis County</t>
  </si>
  <si>
    <t>PUD No 1 of Okanogan County</t>
  </si>
  <si>
    <t>PUD No 1 of Pend Oreille County</t>
  </si>
  <si>
    <t>PUD No 1 of Skamania Co</t>
  </si>
  <si>
    <t>PUD No 1 of Whatcom County</t>
  </si>
  <si>
    <t>PUD No 2 of Grant County</t>
  </si>
  <si>
    <t>PUD No 2 of Pacific County</t>
  </si>
  <si>
    <t>PUD No 3 of Mason County</t>
  </si>
  <si>
    <t>Parkland Light &amp; Water Company</t>
  </si>
  <si>
    <t>Peninsula Light Company</t>
  </si>
  <si>
    <t>Puget Sound Energy Inc</t>
  </si>
  <si>
    <t>Tanner Electric Coop</t>
  </si>
  <si>
    <t>Town of Steilacoom</t>
  </si>
  <si>
    <t>Vera Irrigation District #15</t>
  </si>
  <si>
    <t>Adams-Columbia Electric Coop</t>
  </si>
  <si>
    <t>Algoma Utility Comm</t>
  </si>
  <si>
    <t>Barron Electric Coop</t>
  </si>
  <si>
    <t>Brodhead Water &amp; Lighting Comm</t>
  </si>
  <si>
    <t>Cedarburg Light &amp; Water Comm</t>
  </si>
  <si>
    <t>Central Wisconsin Elec Coop</t>
  </si>
  <si>
    <t>Chippewa Valley Electric Coop</t>
  </si>
  <si>
    <t>City of Black River Falls</t>
  </si>
  <si>
    <t>City of Boscobel - (WI)</t>
  </si>
  <si>
    <t>City of Clintonville - (WI)</t>
  </si>
  <si>
    <t>City of Columbus - (WI)</t>
  </si>
  <si>
    <t>City of Cuba City</t>
  </si>
  <si>
    <t>City of Eagle River - (WI)</t>
  </si>
  <si>
    <t>City of Elkhorn - (WI)</t>
  </si>
  <si>
    <t>City of Evansville</t>
  </si>
  <si>
    <t>City of Kaukauna</t>
  </si>
  <si>
    <t>City of Lodi - (WI)</t>
  </si>
  <si>
    <t>City of Marshfield - (WI)</t>
  </si>
  <si>
    <t>City of Medford - (WI)</t>
  </si>
  <si>
    <t>City of Menasha - (WI)</t>
  </si>
  <si>
    <t>City of New Holstein - (WI)</t>
  </si>
  <si>
    <t>City of New Richmond</t>
  </si>
  <si>
    <t>City of Plymouth - (WI)</t>
  </si>
  <si>
    <t>City of Richland Center - (WI)</t>
  </si>
  <si>
    <t>City of River Falls</t>
  </si>
  <si>
    <t>City of Sheboygan Falls - (WI)</t>
  </si>
  <si>
    <t>City of Stoughton - (WI)</t>
  </si>
  <si>
    <t>City of Sturgeon Bay - (WI)</t>
  </si>
  <si>
    <t>City of Westby</t>
  </si>
  <si>
    <t>Clark Electric Coop - (WI)</t>
  </si>
  <si>
    <t>Consolidated Water Power Co</t>
  </si>
  <si>
    <t>Dahlberg Light &amp; Power Co</t>
  </si>
  <si>
    <t>Dunn County Electric Coop</t>
  </si>
  <si>
    <t>Eau Claire Electric Coop</t>
  </si>
  <si>
    <t>Florence Utility Comm</t>
  </si>
  <si>
    <t>Hartford Electric</t>
  </si>
  <si>
    <t>Hustisford Utilities</t>
  </si>
  <si>
    <t>Jackson Electric Coop, Inc - (WI)</t>
  </si>
  <si>
    <t>Jefferson Utilities</t>
  </si>
  <si>
    <t>Jump River Electric Coop Inc</t>
  </si>
  <si>
    <t>Juneau Utility Comm</t>
  </si>
  <si>
    <t>Lake Mills Light &amp; Water</t>
  </si>
  <si>
    <t>Madison Gas &amp; Electric Co</t>
  </si>
  <si>
    <t>Manitowoc Public Utilities</t>
  </si>
  <si>
    <t>New London Electric&amp;Water Util</t>
  </si>
  <si>
    <t>North Central Power Co Inc</t>
  </si>
  <si>
    <t>Oakdale Electric Coop</t>
  </si>
  <si>
    <t>Oconomowoc Utilities</t>
  </si>
  <si>
    <t>Oconto Electric Cooperative</t>
  </si>
  <si>
    <t>Oconto Falls Water &amp; Light Comm</t>
  </si>
  <si>
    <t>Pierce-Pepin Coop Services</t>
  </si>
  <si>
    <t>Pioneer Power and Light Co</t>
  </si>
  <si>
    <t>Polk-Burnett Electric Coop</t>
  </si>
  <si>
    <t>Price Electric Coop Inc</t>
  </si>
  <si>
    <t>Reedsburg Utility Comm</t>
  </si>
  <si>
    <t>Rice Lake Utilities</t>
  </si>
  <si>
    <t>Riverland Energy Cooperative</t>
  </si>
  <si>
    <t>Shawano Municipal Utilities</t>
  </si>
  <si>
    <t>Slinger Utilities</t>
  </si>
  <si>
    <t>St Croix Electric Coop</t>
  </si>
  <si>
    <t>Sun Prairie Utilities</t>
  </si>
  <si>
    <t>Taylor Electric Coop - (WI)</t>
  </si>
  <si>
    <t>Two Rivers Water &amp; Light</t>
  </si>
  <si>
    <t>Vernon Electric Coop</t>
  </si>
  <si>
    <t>Village of Bangor - (WI)</t>
  </si>
  <si>
    <t>Village of Mt. Horeb - (WI)</t>
  </si>
  <si>
    <t>Village of Muscoda - (WI)</t>
  </si>
  <si>
    <t>Village of New Glarus - (WI)</t>
  </si>
  <si>
    <t>Village of Prairie Du Sac - (WI)</t>
  </si>
  <si>
    <t>Village of Waunakee - (WI)</t>
  </si>
  <si>
    <t>Waterloo Light &amp; Water Comm</t>
  </si>
  <si>
    <t>Waupun Utilities</t>
  </si>
  <si>
    <t>Whitehall Electric Utility</t>
  </si>
  <si>
    <t>Wisconsin Power &amp; Light Co</t>
  </si>
  <si>
    <t>Wisconsin Public Service Corp</t>
  </si>
  <si>
    <t>Wisconsin Rapids W W &amp; L Comm</t>
  </si>
  <si>
    <t>Black Diamond Power Co</t>
  </si>
  <si>
    <t>Monongahela Power Co</t>
  </si>
  <si>
    <t>Wheeling Power Co</t>
  </si>
  <si>
    <t>Carbon Power &amp; Light, Inc</t>
  </si>
  <si>
    <t>City of Cody</t>
  </si>
  <si>
    <t>City of Gillette - (WY)</t>
  </si>
  <si>
    <t>City of Torrington - (WY)</t>
  </si>
  <si>
    <t>Garland Light &amp; Power Company</t>
  </si>
  <si>
    <t>High Plains Power Inc</t>
  </si>
  <si>
    <t>Withheld</t>
  </si>
  <si>
    <t>Other</t>
  </si>
  <si>
    <t>.</t>
  </si>
  <si>
    <t>YEAR</t>
  </si>
  <si>
    <t>Total</t>
  </si>
  <si>
    <t>Coal</t>
  </si>
  <si>
    <t>Hydroelectric Conventional</t>
  </si>
  <si>
    <t>Natural Gas</t>
  </si>
  <si>
    <t>Petroleum</t>
  </si>
  <si>
    <t>Wind</t>
  </si>
  <si>
    <t>Wood and Wood Derived Fuels</t>
  </si>
  <si>
    <t>Nuclear</t>
  </si>
  <si>
    <t>Other Biomass</t>
  </si>
  <si>
    <t>Other Gases</t>
  </si>
  <si>
    <t>Pumped Storage</t>
  </si>
  <si>
    <t>Geothermal</t>
  </si>
  <si>
    <t>Solar Thermal and Photovoltaic</t>
  </si>
  <si>
    <t>US-TOTAL</t>
  </si>
  <si>
    <t>BAU Model Output</t>
  </si>
  <si>
    <t>Time (Year)</t>
  </si>
  <si>
    <t>Output Electricity Generation by Type[hard coal es] : MostRecentRun</t>
  </si>
  <si>
    <t>Output Electricity Generation by Type[natural gas nonpeaker es] : MostRecentRun</t>
  </si>
  <si>
    <t>Output Electricity Generation by Type[nuclear es] : MostRecentRun</t>
  </si>
  <si>
    <t>Output Electricity Generation by Type[hydro es] : MostRecentRun</t>
  </si>
  <si>
    <t>Output Electricity Generation by Type[onshore wind es] : MostRecentRun</t>
  </si>
  <si>
    <t>Output Electricity Generation by Type[solar PV es] : MostRecentRun</t>
  </si>
  <si>
    <t>Output Electricity Generation by Type[solar thermal es] : MostRecentRun</t>
  </si>
  <si>
    <t>Output Electricity Generation by Type[biomass es] : MostRecentRun</t>
  </si>
  <si>
    <t>Output Electricity Generation by Type[geothermal es] : MostRecentRun</t>
  </si>
  <si>
    <t>Output Electricity Generation by Type[petroleum es] : MostRecentRun</t>
  </si>
  <si>
    <t>Output Electricity Generation by Type[natural gas peaker es] : MostRecentRun</t>
  </si>
  <si>
    <t>Output Electricity Generation by Type[lignite es] : MostRecentRun</t>
  </si>
  <si>
    <t>Output Electricity Generation by Type[offshore wind es] : MostRecentRun</t>
  </si>
  <si>
    <t>Output Electricity Generation by Type[crude oil es] : MostRecentRun</t>
  </si>
  <si>
    <t>Output Electricity Generation by Type[heavy or residual fuel oil es] : MostRecentRun</t>
  </si>
  <si>
    <t>Output Electricity Generation by Type[municipal solid waste es] : MostRecentRun</t>
  </si>
  <si>
    <t>2018 Nuclear and Hydro</t>
  </si>
  <si>
    <t>Hydro</t>
  </si>
  <si>
    <t>Nuclear and Hydro Covered by RPS Calculations</t>
  </si>
  <si>
    <t>Share of nuclear generation covered in RPS calculations</t>
  </si>
  <si>
    <t>Share of hydro generation covered in RPS calculations</t>
  </si>
  <si>
    <t>Nuclear and Hydro to add to BRPSPTY</t>
  </si>
  <si>
    <t>Generation from Nuclear Utility</t>
  </si>
  <si>
    <t>MWh</t>
  </si>
  <si>
    <t>Generation from IOUs</t>
  </si>
  <si>
    <t>Total Generation</t>
  </si>
  <si>
    <t>Generation from non-IOUs</t>
  </si>
  <si>
    <t>Generation from Coops</t>
  </si>
  <si>
    <t>Generation from Munis</t>
  </si>
  <si>
    <t>Utilities serving 500,000 or more customers</t>
  </si>
  <si>
    <t>3% of Total Generation</t>
  </si>
  <si>
    <t>1.5% of Total Generation</t>
  </si>
  <si>
    <t>Generation by Investor-Owned Entities &gt;3% of Total</t>
  </si>
  <si>
    <t>Generation by Other Entities &gt;3% of Total</t>
  </si>
  <si>
    <t>Generation by Entities 1.5-3% of Total</t>
  </si>
  <si>
    <t>Generation by Entities &lt;1.5% of Total</t>
  </si>
  <si>
    <t>MW</t>
  </si>
  <si>
    <t>Generation from IOU</t>
  </si>
  <si>
    <t>Generation from coops</t>
  </si>
  <si>
    <t>Generation for Utilities Serving &gt;25000</t>
  </si>
  <si>
    <t>Generation from Municpal utilities</t>
  </si>
  <si>
    <t>RPS Fraction (dimensionless)</t>
  </si>
  <si>
    <t>https://www.ncsl.org/research/energy/renewable-portfolio-standards.aspx</t>
  </si>
  <si>
    <t>Specific percentages defined for each year through 2020 (see schedule at right; reflects class I, II, and III total)</t>
  </si>
  <si>
    <t>RPS updated in 2019 to increase standard to 80% by 2030 and 100% by 2050. Note that previous RPS codified a goal of 40% by 2017 (still reflected in schedule, which then linearly extrapolates to reach subsequent benchmarks).</t>
  </si>
  <si>
    <t>Maine's RPS includes hydro. Note as well that the RPS ambition ratcheted up significantly relatively recently.</t>
  </si>
  <si>
    <t>RPS updated in 2018 to increase standard to 35% by 2030 and an additional 1% each year after (i.e., 55% by 2050). Before the year of update (2018), the RPS trajectory from the prior policy (1998/2015) is preserved. It was as follows: 2% from Class II (pre-1998) renewable sources, plus specific percentages of Class I renewables defined for each year through 2020 (9% in 2014 rising to 15% in 2020), plus 1% per year after 2020.</t>
  </si>
  <si>
    <t>10% in 2015-2018, 12.5% in 2019-2020, 15% in 2021.  For 2014, see note on "About" tab. (note that Michigan also has non-binding goal of 35% by 2025, which it is set to exceed but is not modeled due to nature of goal)</t>
  </si>
  <si>
    <t>29% in 2015, 70% in 2030 (note that the 2030 goal increased from 50% to 70% as of legislation in 2019) and 100% zero-emissions requirement by 2040.</t>
  </si>
  <si>
    <t>Singing River Elec Cooperative</t>
  </si>
  <si>
    <t>Entergy Arkansas LLC</t>
  </si>
  <si>
    <t>Mississippi County Electric Co</t>
  </si>
  <si>
    <t>Duncan Valley Elec Coop, Inc</t>
  </si>
  <si>
    <t>Greenskies Renewable Energy, LLC</t>
  </si>
  <si>
    <t>Mohave Electric Cooperative, I</t>
  </si>
  <si>
    <t>Morenci Water and Electric</t>
  </si>
  <si>
    <t>Black Hills Colorado Electric, LLC</t>
  </si>
  <si>
    <t>Tri-County Electric Coop, Inc (OK)</t>
  </si>
  <si>
    <t>Tri-County Electric Coop, Inc (FL)</t>
  </si>
  <si>
    <t>Utility Board of the City of Key West, F</t>
  </si>
  <si>
    <t>Albany Utility Board</t>
  </si>
  <si>
    <t>City of Griffin - (GA)</t>
  </si>
  <si>
    <t>Tri-County Elec Member Corp (GA)</t>
  </si>
  <si>
    <t>Kootenai Electric Cooperative</t>
  </si>
  <si>
    <t>Raft Rural Elec Coop Inc</t>
  </si>
  <si>
    <t>Tri-County Electric Coop, Inc (IL)</t>
  </si>
  <si>
    <t>Evergy Kansas Central, Inc</t>
  </si>
  <si>
    <t>Evergy Kansas South, Inc</t>
  </si>
  <si>
    <t>Evergy Metro</t>
  </si>
  <si>
    <t>Duke Energy Kentucky</t>
  </si>
  <si>
    <t>South Kentucky Rural E C C</t>
  </si>
  <si>
    <t>Tri-County Elec Member Corp (TN)</t>
  </si>
  <si>
    <t>Fitchburg Gas &amp; Elec Light Co</t>
  </si>
  <si>
    <t>Choptank Electric Cooperative, Inc</t>
  </si>
  <si>
    <t>The Potomac Edison Company</t>
  </si>
  <si>
    <t>Versant Power</t>
  </si>
  <si>
    <t>Northern States Power Co</t>
  </si>
  <si>
    <t>Tri-County Electric Coop (MI)</t>
  </si>
  <si>
    <t>Evergy Missouri West</t>
  </si>
  <si>
    <t>Entergy Mississippi LLC</t>
  </si>
  <si>
    <t>Southern Pine Electric Cooperative</t>
  </si>
  <si>
    <t>Big Flat Electric Coop Inc</t>
  </si>
  <si>
    <t>City of Troy - (MT)</t>
  </si>
  <si>
    <t>Goldenwest Electric Coop, Inc</t>
  </si>
  <si>
    <t>NorVal Electric Cooperative, Inc</t>
  </si>
  <si>
    <t>Powder River Energy Corp</t>
  </si>
  <si>
    <t>Southeast Electric Coop, Inc</t>
  </si>
  <si>
    <t>Yellowstone Valley Elec Co-op</t>
  </si>
  <si>
    <t>City of Cherryville - (NC)</t>
  </si>
  <si>
    <t>City of Hertford - (NC)</t>
  </si>
  <si>
    <t>City of Highlands - (NC)</t>
  </si>
  <si>
    <t>City of Lincolnton - (NC)</t>
  </si>
  <si>
    <t>City of Robersonville - (NC)</t>
  </si>
  <si>
    <t>City of Southport - (NC)</t>
  </si>
  <si>
    <t>City of Winterville - (NC)</t>
  </si>
  <si>
    <t>Town of Belhaven - (NC)</t>
  </si>
  <si>
    <t>Town of Benson - (NC)</t>
  </si>
  <si>
    <t>Town of Black Creek - (NC)</t>
  </si>
  <si>
    <t>Town of Bostic - (NC)</t>
  </si>
  <si>
    <t>Town of Cornelius - (NC)</t>
  </si>
  <si>
    <t>Town of Dallas - (NC)</t>
  </si>
  <si>
    <t>Town of Drexel - (NC)</t>
  </si>
  <si>
    <t>Town of Enfield - (NC)</t>
  </si>
  <si>
    <t>Town of Farmville - (NC)</t>
  </si>
  <si>
    <t>Town of Fountain - (NC)</t>
  </si>
  <si>
    <t>Town of Fremont - (NC)</t>
  </si>
  <si>
    <t>Town of Granite Falls - (NC)</t>
  </si>
  <si>
    <t>Town of Hamilton - (NC)</t>
  </si>
  <si>
    <t>Town of Hobgood</t>
  </si>
  <si>
    <t>Town of Hookerton - (NC)</t>
  </si>
  <si>
    <t>Town of La Grange - (NC)</t>
  </si>
  <si>
    <t>Town of Landis - (NC)</t>
  </si>
  <si>
    <t>Town of Louisburg - (NC)</t>
  </si>
  <si>
    <t>Town of Lucama - (NC)</t>
  </si>
  <si>
    <t>Town of MacClesfield - (NC)</t>
  </si>
  <si>
    <t>Town of Maiden - (NC)</t>
  </si>
  <si>
    <t>Town of Pikeville - (NC)</t>
  </si>
  <si>
    <t>Town of Pinetops - (NC)</t>
  </si>
  <si>
    <t>Town of Red Springs - (NC)</t>
  </si>
  <si>
    <t>Town of Scotland Neck - (NC)</t>
  </si>
  <si>
    <t>Town of Selma - (NC)</t>
  </si>
  <si>
    <t>Town of Sharpsburg - (NC)</t>
  </si>
  <si>
    <t>Town of Stantonsburg - (NC)</t>
  </si>
  <si>
    <t>Town of Walstonburg</t>
  </si>
  <si>
    <t>Town of Waynesville - (NC)</t>
  </si>
  <si>
    <t>Town of Windsor- (NC)</t>
  </si>
  <si>
    <t>Tri-County Elec Member Corp (NC)</t>
  </si>
  <si>
    <t>Cass County Elec Coop Inc</t>
  </si>
  <si>
    <t>City of Cavalier - (ND)</t>
  </si>
  <si>
    <t>City of Grafton - (ND)</t>
  </si>
  <si>
    <t>City of Hillsboro - (ND)</t>
  </si>
  <si>
    <t>City of Northwood - (ND)</t>
  </si>
  <si>
    <t>City of Park River - (ND)</t>
  </si>
  <si>
    <t>City of Riverdale - (ND)</t>
  </si>
  <si>
    <t>City of Sharon- (ND)</t>
  </si>
  <si>
    <t>City of Stanton - (ND)</t>
  </si>
  <si>
    <t>Roughrider Electric Cooperativ</t>
  </si>
  <si>
    <t>City of Ansley - (NE)</t>
  </si>
  <si>
    <t>City of Arapahoe - (NE)</t>
  </si>
  <si>
    <t>City of Battle Creek- (NE)</t>
  </si>
  <si>
    <t>City of Bayard - (NE)</t>
  </si>
  <si>
    <t>City of Beaver City - (NE)</t>
  </si>
  <si>
    <t>City of Benkelman - (NE)</t>
  </si>
  <si>
    <t>City of Blue Hill - (NE)</t>
  </si>
  <si>
    <t>City of Bridgeport Utilities - (NE)</t>
  </si>
  <si>
    <t>City of Burwell - (NE)</t>
  </si>
  <si>
    <t>City of Chappell - (NE)</t>
  </si>
  <si>
    <t>City of Curtis - (NE)</t>
  </si>
  <si>
    <t>City of Deshler - (NE)</t>
  </si>
  <si>
    <t>City of Emerson - (NE)</t>
  </si>
  <si>
    <t>City of Franklin - (NE)</t>
  </si>
  <si>
    <t>City of Friend - (NE)</t>
  </si>
  <si>
    <t>City of Giltner - (NE)</t>
  </si>
  <si>
    <t>City of Grant - (NE)</t>
  </si>
  <si>
    <t>City of Hickman - (NE)</t>
  </si>
  <si>
    <t>City of Hubbell- (NE)</t>
  </si>
  <si>
    <t>City of Indianola - (NE)</t>
  </si>
  <si>
    <t>City of Laurel - (NE)</t>
  </si>
  <si>
    <t>City of Lodgepole - (NE)</t>
  </si>
  <si>
    <t>City of Lyons - (NE)</t>
  </si>
  <si>
    <t>City of Mitchell - (NE)</t>
  </si>
  <si>
    <t>City of Nelson - (NE)</t>
  </si>
  <si>
    <t>City of Pender - (NE)</t>
  </si>
  <si>
    <t>City of Randolph - (NE)</t>
  </si>
  <si>
    <t>City of Red Cloud - (NE)</t>
  </si>
  <si>
    <t>City of Sargent - (NE)</t>
  </si>
  <si>
    <t>City of Scribner - (NE)</t>
  </si>
  <si>
    <t>City of Snyder - (NE)</t>
  </si>
  <si>
    <t>City of Spencer - (NE)</t>
  </si>
  <si>
    <t>City of Stratton - (NE)</t>
  </si>
  <si>
    <t>City of Stromsburg - (NE)</t>
  </si>
  <si>
    <t>City of Stuart - (NE)</t>
  </si>
  <si>
    <t>City of Sutton - (NE)</t>
  </si>
  <si>
    <t>City of Trenton - (NE)</t>
  </si>
  <si>
    <t>City of Wilber</t>
  </si>
  <si>
    <t>City of Wisner</t>
  </si>
  <si>
    <t>City of Wood River- (NE)</t>
  </si>
  <si>
    <t>City of Wymore - (NE)</t>
  </si>
  <si>
    <t>Niobrara Electric Assn, Inc</t>
  </si>
  <si>
    <t>Village of Arnold - (NE)</t>
  </si>
  <si>
    <t>Village of Bartley - (NE)</t>
  </si>
  <si>
    <t>Village of Bradshaw - (NE)</t>
  </si>
  <si>
    <t>Village of Brainard - (NE)</t>
  </si>
  <si>
    <t>Village of Callaway - (NE)</t>
  </si>
  <si>
    <t>Village of Campbell - (NE)</t>
  </si>
  <si>
    <t>Village of Chester - (NE)</t>
  </si>
  <si>
    <t>Village of Davenport - (NE)</t>
  </si>
  <si>
    <t>Village of De Witt - (NE)</t>
  </si>
  <si>
    <t>Village of Dorchester - (NE)</t>
  </si>
  <si>
    <t>Village of Endicott - (NE)</t>
  </si>
  <si>
    <t>Village of Fairmont - (NE)</t>
  </si>
  <si>
    <t>Village of Greenwood - (NE)</t>
  </si>
  <si>
    <t>Village of Hampton - (NE)</t>
  </si>
  <si>
    <t>Village of Hemingford - (NE)</t>
  </si>
  <si>
    <t>Village of Hildreth - (NE)</t>
  </si>
  <si>
    <t>Village of Lyman - (NE)</t>
  </si>
  <si>
    <t>Village of Morrill - (NE)</t>
  </si>
  <si>
    <t>Village of Mullen - (NE)</t>
  </si>
  <si>
    <t>Village of Oxford - (NE)</t>
  </si>
  <si>
    <t>Village of Polk - (NE)</t>
  </si>
  <si>
    <t>Village of Prague - (NE)</t>
  </si>
  <si>
    <t>Village of Reynolds - (NE)</t>
  </si>
  <si>
    <t>Village of Shickley - (NE)</t>
  </si>
  <si>
    <t>Village of Spalding - (NE)</t>
  </si>
  <si>
    <t>Village of Walthill - (NE)</t>
  </si>
  <si>
    <t>Village of Wauneta - (NE)</t>
  </si>
  <si>
    <t>Village of Wilcox - (NE)</t>
  </si>
  <si>
    <t>Village of Winside - (NE)</t>
  </si>
  <si>
    <t>Liberty Utilities (Granite State Electri</t>
  </si>
  <si>
    <t>New Hampton Village Precinct</t>
  </si>
  <si>
    <t>Precinct of Woodsville</t>
  </si>
  <si>
    <t>Town of Ashland</t>
  </si>
  <si>
    <t>Town of Littleton - (NH)</t>
  </si>
  <si>
    <t>Town of Wolfeboro - (NH)</t>
  </si>
  <si>
    <t>Borough of Lavallette - (NJ)</t>
  </si>
  <si>
    <t>Borough of Park Ridge - (NJ)</t>
  </si>
  <si>
    <t>Borough of Pemberton - (NJ)</t>
  </si>
  <si>
    <t>Borough of South River - (NJ)</t>
  </si>
  <si>
    <t>City of Aztec - (NM)</t>
  </si>
  <si>
    <t>City of Truth or Consequences - (NM)</t>
  </si>
  <si>
    <t>Northern Rio Arriba E Coop Inc</t>
  </si>
  <si>
    <t>Raton Public Service Company</t>
  </si>
  <si>
    <t>Town of Springer - (NM)</t>
  </si>
  <si>
    <t>Alamo Power District No 3</t>
  </si>
  <si>
    <t>City of Fallon - (NV)</t>
  </si>
  <si>
    <t>City of Pioche - (NV)</t>
  </si>
  <si>
    <t>Lincoln County Power Dist No 1</t>
  </si>
  <si>
    <t>Bath Electric Gas &amp; Water</t>
  </si>
  <si>
    <t>City of Sherrill - (NY)</t>
  </si>
  <si>
    <t>Delaware County Elec Coop Inc</t>
  </si>
  <si>
    <t>Mohawk Municipal Comm</t>
  </si>
  <si>
    <t>Otsego Electric Coop, Inc</t>
  </si>
  <si>
    <t>Village of Akron - (NY)</t>
  </si>
  <si>
    <t>Village of Andover - (NY)</t>
  </si>
  <si>
    <t>Village of Angelica - (NY)</t>
  </si>
  <si>
    <t>Village of Bergen - (NY)</t>
  </si>
  <si>
    <t>Village of Boonville - (NY)</t>
  </si>
  <si>
    <t>Village of Brocton - (NY)</t>
  </si>
  <si>
    <t>Village of Castile - (NY)</t>
  </si>
  <si>
    <t>Village of Churchville - (NY)</t>
  </si>
  <si>
    <t>Village of Endicott - (NY)</t>
  </si>
  <si>
    <t>Village of Frankfort - (NY)</t>
  </si>
  <si>
    <t>Village of Green Island - (NY)</t>
  </si>
  <si>
    <t>Village of Greene - (NY)</t>
  </si>
  <si>
    <t>Village of Groton - (NY)</t>
  </si>
  <si>
    <t>Village of Hamilton - (NY)</t>
  </si>
  <si>
    <t>Village of Holley - (NY)</t>
  </si>
  <si>
    <t>Village of Ilion - (NY)</t>
  </si>
  <si>
    <t>Village of Little Valley - (NY)</t>
  </si>
  <si>
    <t>Village of Marathon - (NY)</t>
  </si>
  <si>
    <t>Village of Mayville - (NY)</t>
  </si>
  <si>
    <t>Village of Penn Yan - (NY)</t>
  </si>
  <si>
    <t>Village of Philadelphia - (NY)</t>
  </si>
  <si>
    <t>Village of Richmondville - (NY)</t>
  </si>
  <si>
    <t>Village of Sherburne - (NY)</t>
  </si>
  <si>
    <t>Village of Silver Springs - (NY)</t>
  </si>
  <si>
    <t>Village of Skaneateles - (NY)</t>
  </si>
  <si>
    <t>Village of Spencerport - (NY)</t>
  </si>
  <si>
    <t>Village of Springville - (NY)</t>
  </si>
  <si>
    <t>Village of Theresa - (NY)</t>
  </si>
  <si>
    <t>Village of Tupper Lake - (NY)</t>
  </si>
  <si>
    <t>Village of Watkins Glen - (NY)</t>
  </si>
  <si>
    <t>Village of Wellsville - (NY)</t>
  </si>
  <si>
    <t>Village of Westfield - (NY)</t>
  </si>
  <si>
    <t>City of Arcanum - (OH)</t>
  </si>
  <si>
    <t>City of Columbiana - (OH)</t>
  </si>
  <si>
    <t>City of Custar</t>
  </si>
  <si>
    <t>City of Hubbard</t>
  </si>
  <si>
    <t>City of Mendon - (OH)</t>
  </si>
  <si>
    <t>City of Newton Falls - (OH)</t>
  </si>
  <si>
    <t>City of Niles - (OH)</t>
  </si>
  <si>
    <t>City of St Clairsville - (OH)</t>
  </si>
  <si>
    <t>City of Woodsfield - (OH)</t>
  </si>
  <si>
    <t>Prospect Corporation</t>
  </si>
  <si>
    <t>Seville Board of Public Affairs</t>
  </si>
  <si>
    <t>South Vienna Corporation</t>
  </si>
  <si>
    <t>Tricounty Rural Elec Coop, Inc</t>
  </si>
  <si>
    <t>Village of Arcadia - (OH)</t>
  </si>
  <si>
    <t>Village of Beach City - (OH)</t>
  </si>
  <si>
    <t>Village of Bethel - (OH)</t>
  </si>
  <si>
    <t>Village of Bloomdale - (OH)</t>
  </si>
  <si>
    <t>Village of Bradner - (OH)</t>
  </si>
  <si>
    <t>Village of Brewster - (OH)</t>
  </si>
  <si>
    <t>Village of Carey - (OH)</t>
  </si>
  <si>
    <t>Village of Cygnet - (OH)</t>
  </si>
  <si>
    <t>Village of Deshler - (OH)</t>
  </si>
  <si>
    <t>Village of Edgerton - (OH)</t>
  </si>
  <si>
    <t>Village of Eldorado - (OH)</t>
  </si>
  <si>
    <t>Village of Elmore - (OH)</t>
  </si>
  <si>
    <t>Village of Genoa - (OH)</t>
  </si>
  <si>
    <t>Village of Georgetown - (OH)</t>
  </si>
  <si>
    <t>Village of Glouster - (OH)</t>
  </si>
  <si>
    <t>Village of Grafton - (OH)</t>
  </si>
  <si>
    <t>Village of Greenwich - (OH)</t>
  </si>
  <si>
    <t>Village of Haskins - (OH)</t>
  </si>
  <si>
    <t>Village of Jackson Center - (OH)</t>
  </si>
  <si>
    <t>Village of Lakeview - (OH)</t>
  </si>
  <si>
    <t>Village of Lodi - (OH)</t>
  </si>
  <si>
    <t>Village of Lucas - (OH)</t>
  </si>
  <si>
    <t>Village of Marshallville - (OH)</t>
  </si>
  <si>
    <t>Village of Milan - (OH)</t>
  </si>
  <si>
    <t>Village of Monroeville - (OH)</t>
  </si>
  <si>
    <t>Village of Montpelier - (OH)</t>
  </si>
  <si>
    <t>Village of New Bremen - (OH)</t>
  </si>
  <si>
    <t>Village of New Knoxville - (OH)</t>
  </si>
  <si>
    <t>Village of Oak Harbor - (OH)</t>
  </si>
  <si>
    <t>Village of Obetz - (OH)</t>
  </si>
  <si>
    <t>Village of Ohio City - (OH)</t>
  </si>
  <si>
    <t>Village of Pemberville - (OH)</t>
  </si>
  <si>
    <t>Village of Pioneer - (OH)</t>
  </si>
  <si>
    <t>Village of Plymouth - (OH)</t>
  </si>
  <si>
    <t>Village of Republic - (OH)</t>
  </si>
  <si>
    <t>Village of Ripley - (OH)</t>
  </si>
  <si>
    <t>Village of Shiloh - (OH)</t>
  </si>
  <si>
    <t>Village of Sycamore - (OH)</t>
  </si>
  <si>
    <t>Village of Tontogany - (OH)</t>
  </si>
  <si>
    <t>Village of Versailles - (OH)</t>
  </si>
  <si>
    <t>Village of Waynesfield - (OH)</t>
  </si>
  <si>
    <t>Village of Wellington - (OH)</t>
  </si>
  <si>
    <t>Village of Wharton - (OH)</t>
  </si>
  <si>
    <t>Village of Woodville - (OH)</t>
  </si>
  <si>
    <t>Anadarko Public Works Authority</t>
  </si>
  <si>
    <t>City of Blackwell - (OK)</t>
  </si>
  <si>
    <t>City of Burlington - (OK)</t>
  </si>
  <si>
    <t>City of Collinsville - (OK)</t>
  </si>
  <si>
    <t>City of Comanche - (OK)</t>
  </si>
  <si>
    <t>City of Eldorado - (OK)</t>
  </si>
  <si>
    <t>City of Fairview - (OK)</t>
  </si>
  <si>
    <t>City of Frederick - (OK)</t>
  </si>
  <si>
    <t>City of Geary - (OK)</t>
  </si>
  <si>
    <t>City of Granite - (OK)</t>
  </si>
  <si>
    <t>City of Kingfisher - (OK)</t>
  </si>
  <si>
    <t>City of Lexington - (OK)</t>
  </si>
  <si>
    <t>City of Lindsay - (OK)</t>
  </si>
  <si>
    <t>City of Manitou - (OK)</t>
  </si>
  <si>
    <t>City of Marlow - (OK)</t>
  </si>
  <si>
    <t>City of Mooreland - (OK)</t>
  </si>
  <si>
    <t>City of New Cordell - (OK)</t>
  </si>
  <si>
    <t>City of Newkirk - (OK)</t>
  </si>
  <si>
    <t>City of Olustee</t>
  </si>
  <si>
    <t>City of Orlando - (OK)</t>
  </si>
  <si>
    <t>City of Perry - (OK)</t>
  </si>
  <si>
    <t>City of Pond Creek - (OK)</t>
  </si>
  <si>
    <t>City of Purcell - (OK)</t>
  </si>
  <si>
    <t>City of Skiatook - (OK)</t>
  </si>
  <si>
    <t>City of Stroud - (OK)</t>
  </si>
  <si>
    <t>City of Tonkawa - (OK)</t>
  </si>
  <si>
    <t>City of Watonga - (OK)</t>
  </si>
  <si>
    <t>City of Waynoka - (OK)</t>
  </si>
  <si>
    <t>City of Yale - (OK)</t>
  </si>
  <si>
    <t>Copan Public Works Authority</t>
  </si>
  <si>
    <t>Goltry Public Works Authority</t>
  </si>
  <si>
    <t>Northeast Oklahoma Electric Co</t>
  </si>
  <si>
    <t>Okeene Public Works Authority</t>
  </si>
  <si>
    <t>Tecumseh Utility Authority</t>
  </si>
  <si>
    <t>Town of Braman - (OK)</t>
  </si>
  <si>
    <t>Town of Fort Supply - (OK)</t>
  </si>
  <si>
    <t>Town of Laverne - (OK)</t>
  </si>
  <si>
    <t>Town of Mannford - (OK)</t>
  </si>
  <si>
    <t>Town of Ryan - (OK)</t>
  </si>
  <si>
    <t>Town of South Coffeyville - (OK)</t>
  </si>
  <si>
    <t>Town of Spiro - (OK)</t>
  </si>
  <si>
    <t>Walters Public Works Authority</t>
  </si>
  <si>
    <t>City of Cascade Locks - (OR)</t>
  </si>
  <si>
    <t>City of Drain - (OR)</t>
  </si>
  <si>
    <t>West Oregon Electric Coop Inc</t>
  </si>
  <si>
    <t>Borough of Berlin - (PA)</t>
  </si>
  <si>
    <t>Borough of Blakely - (PA)</t>
  </si>
  <si>
    <t>Borough of Catawissa</t>
  </si>
  <si>
    <t>Borough of Duncannon - (PA)</t>
  </si>
  <si>
    <t>Borough of East Conemaugh</t>
  </si>
  <si>
    <t>Borough of Ellwood City - (PA)</t>
  </si>
  <si>
    <t>Borough of Girard - (PA)</t>
  </si>
  <si>
    <t>Borough of Goldsboro - (PA)</t>
  </si>
  <si>
    <t>Borough of Grove City - (PA)</t>
  </si>
  <si>
    <t>Borough of Hatfield- (PA)</t>
  </si>
  <si>
    <t>Borough of Kutztown - (PA)</t>
  </si>
  <si>
    <t>Borough of Lehighton - (PA)</t>
  </si>
  <si>
    <t>Borough of Lewisberry - (PA)</t>
  </si>
  <si>
    <t>Borough of Middletown - (PA)</t>
  </si>
  <si>
    <t>Borough of Mifflinburg - (PA)</t>
  </si>
  <si>
    <t>Borough of New Wilmington - (PA)</t>
  </si>
  <si>
    <t>Borough of Olyphant - (PA)</t>
  </si>
  <si>
    <t>Borough of Perkasie - (PA)</t>
  </si>
  <si>
    <t>Borough of Pitcairn - (PA)</t>
  </si>
  <si>
    <t>Borough of Royalton - (PA)</t>
  </si>
  <si>
    <t>Borough of Schuylkill Haven - (PA)</t>
  </si>
  <si>
    <t>Borough of Smethport - (PA)</t>
  </si>
  <si>
    <t>Borough of St Clair - (PA)</t>
  </si>
  <si>
    <t>Borough of Summerhill - (PA)</t>
  </si>
  <si>
    <t>Borough of Tarentum - (PA)</t>
  </si>
  <si>
    <t>Borough of Wampum</t>
  </si>
  <si>
    <t>Borough of Watsontown - (PA)</t>
  </si>
  <si>
    <t>Borough of Weatherly - (PA)</t>
  </si>
  <si>
    <t>Borough of Zelienople - (PA)</t>
  </si>
  <si>
    <t>Hooversville Boro Elec Lgt Co</t>
  </si>
  <si>
    <t>Mont Alto Borough</t>
  </si>
  <si>
    <t>New Enterprise R E C, Inc</t>
  </si>
  <si>
    <t>Sullivan County R E C, Inc - (PA)</t>
  </si>
  <si>
    <t>Tri-County Rural Elec Coop Inc (PA)</t>
  </si>
  <si>
    <t>Warren Electric Coop Inc</t>
  </si>
  <si>
    <t>West Penn Power Company</t>
  </si>
  <si>
    <t>Block Island Utility District</t>
  </si>
  <si>
    <t>Bamberg Board of Public Works</t>
  </si>
  <si>
    <t>City of Abbeville - (SC)</t>
  </si>
  <si>
    <t>City of Due West - (SC)</t>
  </si>
  <si>
    <t>City of Westminster - (SC)</t>
  </si>
  <si>
    <t>Dominion Energy South Carolina, Inc</t>
  </si>
  <si>
    <t>Town of McCormick - (SC)</t>
  </si>
  <si>
    <t>Town of Prosperity - (SC)</t>
  </si>
  <si>
    <t>Town of Winnsboro - (SC)</t>
  </si>
  <si>
    <t>Tri-County Electric Coop, Inc (SC)</t>
  </si>
  <si>
    <t>City of Arlington - (SD)</t>
  </si>
  <si>
    <t>City of Aurora - (SD)</t>
  </si>
  <si>
    <t>City of Badger - (SD)</t>
  </si>
  <si>
    <t>City of Big Stone City - (SD)</t>
  </si>
  <si>
    <t>City of Bryant - (SD)</t>
  </si>
  <si>
    <t>City of Burke - (SD)</t>
  </si>
  <si>
    <t>City of Colman - (SD)</t>
  </si>
  <si>
    <t>City of Elk Point</t>
  </si>
  <si>
    <t>City of Estelline - (SD)</t>
  </si>
  <si>
    <t>City of Faith - (SD)</t>
  </si>
  <si>
    <t>City of Groton - (SD)</t>
  </si>
  <si>
    <t>City of Hecla</t>
  </si>
  <si>
    <t>City of Howard - (SD)</t>
  </si>
  <si>
    <t>City of McLaughlin - (SD)</t>
  </si>
  <si>
    <t>City of Onida - (SD)</t>
  </si>
  <si>
    <t>City of Parker - (SD)</t>
  </si>
  <si>
    <t>City of Plankinton - (SD)</t>
  </si>
  <si>
    <t>City of Tyndall - (SD)</t>
  </si>
  <si>
    <t>City of Wessington Springs</t>
  </si>
  <si>
    <t>City of White - (SD)</t>
  </si>
  <si>
    <t>Heartland Consumers Power Dist</t>
  </si>
  <si>
    <t>Kingsbury Electric Coop, Inc</t>
  </si>
  <si>
    <t>Town of Langford- (SD)</t>
  </si>
  <si>
    <t>3000 Energy Corp</t>
  </si>
  <si>
    <t>ATG Clean Energy Holdings Inc.</t>
  </si>
  <si>
    <t>Alliance Power Company, LLC.</t>
  </si>
  <si>
    <t>Bulb US LLC</t>
  </si>
  <si>
    <t>Chariot Energy</t>
  </si>
  <si>
    <t>City of Bastrop - (TX)</t>
  </si>
  <si>
    <t>City of Bellville - (TX)</t>
  </si>
  <si>
    <t>City of Bowie - (TX)</t>
  </si>
  <si>
    <t>City of Brady - (TX)</t>
  </si>
  <si>
    <t>City of Bridgeport - (TX)</t>
  </si>
  <si>
    <t>City of Burnet - (TX)</t>
  </si>
  <si>
    <t>City of Caldwell</t>
  </si>
  <si>
    <t>City of Castroville - (TX)</t>
  </si>
  <si>
    <t>City of Coleman - (TX)</t>
  </si>
  <si>
    <t>City of Electra - (TX)</t>
  </si>
  <si>
    <t>City of Farmersville - (TX)</t>
  </si>
  <si>
    <t>City of Flatonia - (TX)</t>
  </si>
  <si>
    <t>City of Floydada - (TX)</t>
  </si>
  <si>
    <t>City of Giddings - (TX)</t>
  </si>
  <si>
    <t>City of Goldsmith - (TX)</t>
  </si>
  <si>
    <t>City of Goldthwaite - (TX)</t>
  </si>
  <si>
    <t>City of Gonzales - (TX)</t>
  </si>
  <si>
    <t>City of Granbury - (TX)</t>
  </si>
  <si>
    <t>City of Hallettsville - (TX)</t>
  </si>
  <si>
    <t>City of Hearne - (TX)</t>
  </si>
  <si>
    <t>City of Hemphill - (TX)</t>
  </si>
  <si>
    <t>City of Hondo - (TX)</t>
  </si>
  <si>
    <t>City of La Grange - (TX)</t>
  </si>
  <si>
    <t>City of Lexington - (TX)</t>
  </si>
  <si>
    <t>City of Livingston - (TX)</t>
  </si>
  <si>
    <t>City of Llano - (TX)</t>
  </si>
  <si>
    <t>City of Luling - (TX)</t>
  </si>
  <si>
    <t>City of Mason - (TX)</t>
  </si>
  <si>
    <t>City of Moulton - (TX)</t>
  </si>
  <si>
    <t>City of Newton - (TX)</t>
  </si>
  <si>
    <t>City of San Saba - (TX)</t>
  </si>
  <si>
    <t>City of Sanger - (TX)</t>
  </si>
  <si>
    <t>City of Schulenburg - (TX)</t>
  </si>
  <si>
    <t>City of Seymour - (TX)</t>
  </si>
  <si>
    <t>City of Shiner - (TX)</t>
  </si>
  <si>
    <t>City of Smithville - (TX)</t>
  </si>
  <si>
    <t>City of Tulia</t>
  </si>
  <si>
    <t>City of Weimar - (TX)</t>
  </si>
  <si>
    <t>City of Whitesboro - (TX)</t>
  </si>
  <si>
    <t>City of Yoakum - (TX)</t>
  </si>
  <si>
    <t>Direct Energy Business</t>
  </si>
  <si>
    <t>Evolve Retail Energy, LLC</t>
  </si>
  <si>
    <t>Freepoint Energy Solutions LLC</t>
  </si>
  <si>
    <t>GridPlus Texas Inc</t>
  </si>
  <si>
    <t>Iberdrola Solutions, LLC</t>
  </si>
  <si>
    <t>J-A-C Electric Coop Inc</t>
  </si>
  <si>
    <t>Kirbyville Light &amp; Power Co</t>
  </si>
  <si>
    <t>Mega Energy LP DBA Texans Energy</t>
  </si>
  <si>
    <t>Morgan Stanley Capital Grp Inc</t>
  </si>
  <si>
    <t>Nueces Electric Cooperative</t>
  </si>
  <si>
    <t>Pulse Power, LLC</t>
  </si>
  <si>
    <t>Reliant Energy Retail Services</t>
  </si>
  <si>
    <t>SFE Energy Texas</t>
  </si>
  <si>
    <t>Southern Federal Power, LLC</t>
  </si>
  <si>
    <t>Stream SPE, LTD</t>
  </si>
  <si>
    <t>Tara Energy, LLC</t>
  </si>
  <si>
    <t>Tenaska Power Services</t>
  </si>
  <si>
    <t>Tri-County Electric Coop, Inc (TX)</t>
  </si>
  <si>
    <t>Value Based Brands LLC</t>
  </si>
  <si>
    <t>Windrose Power &amp; Gas LLC</t>
  </si>
  <si>
    <t>Beaver City Corporation</t>
  </si>
  <si>
    <t>City of Blanding - (UT)</t>
  </si>
  <si>
    <t>City of Enterprise - (UT)</t>
  </si>
  <si>
    <t>City of Ephraim - (UT)</t>
  </si>
  <si>
    <t>City of Helper - (UT)</t>
  </si>
  <si>
    <t>City of Manti - (UT)</t>
  </si>
  <si>
    <t>City of Monroe - (UT)</t>
  </si>
  <si>
    <t>City of Mt Pleasant - (UT)</t>
  </si>
  <si>
    <t>City of Santa Clara - (UT)</t>
  </si>
  <si>
    <t>Fairview City Corporation</t>
  </si>
  <si>
    <t>Fillmore City Corporation</t>
  </si>
  <si>
    <t>Flowell Electric Assn, Inc</t>
  </si>
  <si>
    <t>Kanosh Town Corporation</t>
  </si>
  <si>
    <t>Levan Town Corporation - (UT)</t>
  </si>
  <si>
    <t>Meadow Town Corporation</t>
  </si>
  <si>
    <t>Nephi City Corporation</t>
  </si>
  <si>
    <t>Parowan City Corporation</t>
  </si>
  <si>
    <t>Price Municipal Corporation</t>
  </si>
  <si>
    <t>Salem City Corporation - (UT)</t>
  </si>
  <si>
    <t>Spring City Corporation</t>
  </si>
  <si>
    <t>Town of Holden - (UT)</t>
  </si>
  <si>
    <t>Town of Oak City - (UT)</t>
  </si>
  <si>
    <t>Town of Paragonah - (UT)</t>
  </si>
  <si>
    <t>Town of Blackstone - (VA)</t>
  </si>
  <si>
    <t>Town of Elkton</t>
  </si>
  <si>
    <t>Town of Richlands - (VA)</t>
  </si>
  <si>
    <t>Town of Wakefield - (VA)</t>
  </si>
  <si>
    <t>Barton Village, Inc</t>
  </si>
  <si>
    <t>Town of Hardwick</t>
  </si>
  <si>
    <t>Vermont Electric Cooperative, Inc</t>
  </si>
  <si>
    <t>Village of Enosburg Falls - (VT)</t>
  </si>
  <si>
    <t>Village of Hyde Park - (VT)</t>
  </si>
  <si>
    <t>Village of Jacksonville - (VT)</t>
  </si>
  <si>
    <t>Village of Johnson - (VT)</t>
  </si>
  <si>
    <t>Village of Orleans - (VT)</t>
  </si>
  <si>
    <t>City of Chewelah</t>
  </si>
  <si>
    <t>City of Coulee Dam - (WA)</t>
  </si>
  <si>
    <t>City of McCleary - (WA)</t>
  </si>
  <si>
    <t>City of Sumas - (WA)</t>
  </si>
  <si>
    <t>Nespelem Valley Elec Coop, Inc</t>
  </si>
  <si>
    <t>PUD No 1 of Asotin County</t>
  </si>
  <si>
    <t>PUD No 1 of Kittitas County</t>
  </si>
  <si>
    <t>PUD No 1 of Mason County</t>
  </si>
  <si>
    <t>PUD No 1 of Wahkiakum County</t>
  </si>
  <si>
    <t>Town of Eatonville - (WA)</t>
  </si>
  <si>
    <t>Bloomer Electric &amp; Water Co</t>
  </si>
  <si>
    <t>City of Arcadia - (WI)</t>
  </si>
  <si>
    <t>City of Argyle - (WI)</t>
  </si>
  <si>
    <t>City of Barron - (WI)</t>
  </si>
  <si>
    <t>City of Cornell</t>
  </si>
  <si>
    <t>City of Cumberland - (WI)</t>
  </si>
  <si>
    <t>City of Elroy - (WI)</t>
  </si>
  <si>
    <t>City of Fennimore - (WI)</t>
  </si>
  <si>
    <t>City of Kiel - (WI)</t>
  </si>
  <si>
    <t>City of New Lisbon</t>
  </si>
  <si>
    <t>City of Princeton - (WI)</t>
  </si>
  <si>
    <t>City of Shullsburg - (WI)</t>
  </si>
  <si>
    <t>City of Spooner - (WI)</t>
  </si>
  <si>
    <t>La Farge Municipal Electric Co</t>
  </si>
  <si>
    <t>Richland Electric Coop</t>
  </si>
  <si>
    <t>Superior Water and Light Co</t>
  </si>
  <si>
    <t>Village of Belmont - (WI)</t>
  </si>
  <si>
    <t>Village of Benton - (WI)</t>
  </si>
  <si>
    <t>Village of Black Earth - (WI)</t>
  </si>
  <si>
    <t>Village of Cadott - (WI)</t>
  </si>
  <si>
    <t>Village of Cashton - (WI)</t>
  </si>
  <si>
    <t>Village of Gresham - (WI)</t>
  </si>
  <si>
    <t>Village of Hazel Green - (WI)</t>
  </si>
  <si>
    <t>Village of Mazomanie - (WI)</t>
  </si>
  <si>
    <t>Village of Merrillan - (WI)</t>
  </si>
  <si>
    <t>Village of Pardeeville - (WI)</t>
  </si>
  <si>
    <t>Village of Sauk City - (WI)</t>
  </si>
  <si>
    <t>Village of Stratford - (WI)</t>
  </si>
  <si>
    <t>Village of Trempealeau - (WI)</t>
  </si>
  <si>
    <t>Village of Viola - (WI)</t>
  </si>
  <si>
    <t>Washington Island El Coop, Inc</t>
  </si>
  <si>
    <t>Westfield Electric Company</t>
  </si>
  <si>
    <t>Wisconsin Dells Electric Util</t>
  </si>
  <si>
    <t>Wonewoc Electric &amp; Water Util</t>
  </si>
  <si>
    <t>City of New Martinsville - (WV)</t>
  </si>
  <si>
    <t>Harrison Rural Elec Assn, Inc</t>
  </si>
  <si>
    <t>Philippi Municipal Electric</t>
  </si>
  <si>
    <t>Cheyenne Light Fuel &amp; Power d/b/a Black</t>
  </si>
  <si>
    <t>City of Deaver - (WY)</t>
  </si>
  <si>
    <t>City of Pine Bluffs - (WY)</t>
  </si>
  <si>
    <t>City of Powell - (WY)</t>
  </si>
  <si>
    <t>Midvale Irrigation District</t>
  </si>
  <si>
    <t>Town of Basin - (WY)</t>
  </si>
  <si>
    <t>Town of Fort Laramie- (WY)</t>
  </si>
  <si>
    <t>Town of Guernsey - (WY)</t>
  </si>
  <si>
    <t>Town of Lingle - (WY)</t>
  </si>
  <si>
    <t>Town of Lusk - (WY)</t>
  </si>
  <si>
    <t>Town of Wheatland - (WY)</t>
  </si>
  <si>
    <t>Wheatland Rural Elec Assn, Inc</t>
  </si>
  <si>
    <t>Willwood Light &amp; Power Company</t>
  </si>
  <si>
    <t>Adjustment 2019</t>
  </si>
  <si>
    <t>Texas &amp; Minnesota Generating Capacity</t>
  </si>
  <si>
    <t>https://www.eia.gov/electricity/state/</t>
  </si>
  <si>
    <t>Sum of GENERATION (Megawatthours)</t>
  </si>
  <si>
    <t>Column Labels</t>
  </si>
  <si>
    <t>Row Labels</t>
  </si>
  <si>
    <t>Grand Total</t>
  </si>
  <si>
    <t>RPS updated in 2019 to increase standard to 30.5% in 2020 and 50% in 2030. Note that previous RPS codified a schedule through 2020, which is preserved here through 2019  (in this prior version, the state has built on its goal of achieving 25% renewable energy by 2020 on the schedule shown in the cells).</t>
  </si>
  <si>
    <t>IOUs: specific percentages defined for each year through 2026.  No RPS for munis or coops. Note that Ohio reduced its RPS from 12.5% to 8.5% by 2026 as of 2019 and eliminated the RPS thereafter. The standard is thus not applied for the post-2026 years.</t>
  </si>
  <si>
    <t>2020 (data vintage 2018)</t>
  </si>
  <si>
    <t>2020 RPS</t>
  </si>
  <si>
    <t>2030 RPS</t>
  </si>
  <si>
    <t>2050 RPS</t>
  </si>
  <si>
    <t>2045/2050 goals</t>
  </si>
  <si>
    <r>
      <rPr>
        <b/>
        <sz val="11"/>
        <color theme="1"/>
        <rFont val="Calibri"/>
        <family val="2"/>
        <scheme val="minor"/>
      </rPr>
      <t>IOUs</t>
    </r>
    <r>
      <rPr>
        <sz val="11"/>
        <color theme="1"/>
        <rFont val="Calibri"/>
        <family val="2"/>
        <scheme val="minor"/>
      </rPr>
      <t xml:space="preserve">: required 20% by 2020; required 40% renewable energy by 2025; required 50% renewable energy by 2030; required 80% renewable energy by 2040; required 100% zero-carbon energy by 2045
</t>
    </r>
    <r>
      <rPr>
        <b/>
        <sz val="11"/>
        <color theme="1"/>
        <rFont val="Calibri"/>
        <family val="2"/>
        <scheme val="minor"/>
      </rPr>
      <t>Coops</t>
    </r>
    <r>
      <rPr>
        <sz val="11"/>
        <color theme="1"/>
        <rFont val="Calibri"/>
        <family val="2"/>
        <scheme val="minor"/>
      </rPr>
      <t xml:space="preserve">: required 40% renewable energy by 2025; required 50% renewable energy by 2030; </t>
    </r>
    <r>
      <rPr>
        <u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 xml:space="preserve"> of 100% zero-carbon with at least 80% renewable energy by 2050 (target not included; schedule only reflects required shares)
note that this schedule reflects legislation passed in 2019 and pre-2019 years preserved based on previously legislated trajectories.</t>
    </r>
  </si>
  <si>
    <t>Unit: dimensionless</t>
  </si>
  <si>
    <t>Year2020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</si>
  <si>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</si>
  <si>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</si>
  <si>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</si>
  <si>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</si>
  <si>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</si>
  <si>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</si>
  <si>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</si>
  <si>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</si>
  <si>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</si>
  <si>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</si>
  <si>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</si>
  <si>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</si>
  <si>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</si>
  <si>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</si>
  <si>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</si>
  <si>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</si>
  <si>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</si>
  <si>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</si>
  <si>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</si>
  <si>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</si>
  <si>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</si>
  <si>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</si>
  <si>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</si>
  <si>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</si>
  <si>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</si>
  <si>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</si>
  <si>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</si>
  <si>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</si>
  <si>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</si>
  <si>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</si>
  <si>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</si>
  <si>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</si>
  <si>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</si>
  <si>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</si>
  <si>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</si>
  <si>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</si>
  <si>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</si>
  <si>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</si>
  <si>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</si>
  <si>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</si>
  <si>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</si>
  <si>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</si>
  <si>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</si>
  <si>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</si>
  <si>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</si>
  <si>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</si>
  <si>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</si>
  <si>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</si>
  <si>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</si>
  <si>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</si>
  <si>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</si>
  <si>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</si>
  <si>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</si>
  <si>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</si>
  <si>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</si>
  <si>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</si>
  <si>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</si>
  <si>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</si>
  <si>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</si>
  <si>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</si>
  <si>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</si>
  <si>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</si>
  <si>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</si>
  <si>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</si>
  <si>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</si>
  <si>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</si>
  <si>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</si>
  <si>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</si>
  <si>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</si>
  <si>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</si>
  <si>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</si>
  <si>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</si>
  <si>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</si>
  <si>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</si>
  <si>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</si>
  <si>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</si>
  <si>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</si>
  <si>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</si>
  <si>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</si>
  <si>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</si>
  <si>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Specific percentages defined for each year through 2026 (see schedule at right). CEJA requires 40% renewable energy by 2030 and 50% renewables by 2040.</t>
  </si>
  <si>
    <t>Updated 9/15/2022</t>
  </si>
  <si>
    <t>2018 Net Summer Capacity</t>
  </si>
  <si>
    <t>2020 Utility Bundled Sales to Ultimate Customers- Total</t>
  </si>
  <si>
    <t>Alameda Municipal Power</t>
  </si>
  <si>
    <t>Freeborn-Mower Electric Cooperative</t>
  </si>
  <si>
    <t>Retail Power Marketer</t>
  </si>
  <si>
    <t>Rhythm Ops LLC</t>
  </si>
  <si>
    <t>SFE Energy Texas, Inc.</t>
  </si>
  <si>
    <t>SmartEnergy Holdings, LLC</t>
  </si>
  <si>
    <t>Tomorow Energy Corp.</t>
  </si>
  <si>
    <t>Varsity Energy</t>
  </si>
  <si>
    <t>Adjustment 2020</t>
  </si>
  <si>
    <t>(updated 9/15/22)</t>
  </si>
  <si>
    <t>See US model for calculations</t>
  </si>
  <si>
    <t>2020 (start year) Sales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</si>
</sst>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name val="MS Sans Serif"/>
    </font>
    <font>
      <u/>
      <sz val="11"/>
      <color theme="10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E5F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1">
    <xf numFmtId="0" fontId="0" fillId="0" borderId="0"/>
    <xf numFmtId="9" fontId="3" fillId="0" borderId="0"/>
    <xf numFmtId="0" fontId="7" fillId="0" borderId="0"/>
    <xf numFmtId="0" fontId="8" fillId="0" borderId="2">
      <alignment wrapText="1"/>
    </xf>
    <xf numFmtId="0" fontId="9" fillId="0" borderId="0">
      <alignment horizontal="left"/>
    </xf>
    <xf numFmtId="0" fontId="8" fillId="0" borderId="3">
      <alignment wrapText="1"/>
    </xf>
    <xf numFmtId="0" fontId="7" fillId="0" borderId="4">
      <alignment wrapText="1"/>
    </xf>
    <xf numFmtId="0" fontId="7" fillId="0" borderId="0"/>
    <xf numFmtId="0" fontId="7" fillId="0" borderId="5">
      <alignment wrapText="1"/>
    </xf>
    <xf numFmtId="0" fontId="10" fillId="0" borderId="0"/>
    <xf numFmtId="0" fontId="11" fillId="0" borderId="0"/>
  </cellStyleXfs>
  <cellXfs count="72">
    <xf numFmtId="0" fontId="0" fillId="0" borderId="0" xfId="0"/>
    <xf numFmtId="0" fontId="1" fillId="0" borderId="0" xfId="0" applyFont="1"/>
    <xf numFmtId="0" fontId="0" fillId="3" borderId="0" xfId="0" applyFill="1"/>
    <xf numFmtId="0" fontId="1" fillId="4" borderId="0" xfId="0" applyFont="1" applyFill="1"/>
    <xf numFmtId="0" fontId="1" fillId="6" borderId="0" xfId="0" applyFont="1" applyFill="1"/>
    <xf numFmtId="0" fontId="0" fillId="6" borderId="0" xfId="0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4" borderId="0" xfId="0" applyFill="1"/>
    <xf numFmtId="0" fontId="0" fillId="7" borderId="0" xfId="0" applyFill="1"/>
    <xf numFmtId="3" fontId="0" fillId="0" borderId="0" xfId="0" applyNumberFormat="1"/>
    <xf numFmtId="0" fontId="0" fillId="8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/>
    <xf numFmtId="0" fontId="1" fillId="4" borderId="0" xfId="0" applyFont="1" applyFill="1" applyAlignment="1">
      <alignment wrapText="1"/>
    </xf>
    <xf numFmtId="0" fontId="11" fillId="0" borderId="0" xfId="10"/>
    <xf numFmtId="0" fontId="1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/>
    <xf numFmtId="165" fontId="0" fillId="0" borderId="0" xfId="1" applyNumberFormat="1" applyFont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/>
    </xf>
    <xf numFmtId="9" fontId="0" fillId="4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left" vertical="center" wrapText="1"/>
    </xf>
    <xf numFmtId="164" fontId="0" fillId="7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9" fontId="0" fillId="7" borderId="1" xfId="0" applyNumberFormat="1" applyFill="1" applyBorder="1" applyAlignment="1">
      <alignment vertical="center"/>
    </xf>
    <xf numFmtId="9" fontId="0" fillId="8" borderId="1" xfId="0" applyNumberFormat="1" applyFill="1" applyBorder="1" applyAlignment="1">
      <alignment vertical="center"/>
    </xf>
    <xf numFmtId="164" fontId="0" fillId="8" borderId="1" xfId="1" applyNumberFormat="1" applyFont="1" applyFill="1" applyBorder="1" applyAlignment="1">
      <alignment vertical="center"/>
    </xf>
    <xf numFmtId="164" fontId="0" fillId="7" borderId="1" xfId="1" applyNumberFormat="1" applyFont="1" applyFill="1" applyBorder="1" applyAlignment="1">
      <alignment vertical="center"/>
    </xf>
    <xf numFmtId="164" fontId="0" fillId="0" borderId="1" xfId="0" applyNumberFormat="1" applyBorder="1" applyAlignment="1">
      <alignment horizontal="left" vertical="center" wrapText="1"/>
    </xf>
    <xf numFmtId="164" fontId="0" fillId="0" borderId="1" xfId="1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Border="1"/>
    <xf numFmtId="9" fontId="15" fillId="7" borderId="1" xfId="0" applyNumberFormat="1" applyFont="1" applyFill="1" applyBorder="1" applyAlignment="1">
      <alignment vertical="center"/>
    </xf>
    <xf numFmtId="9" fontId="15" fillId="0" borderId="1" xfId="0" applyNumberFormat="1" applyFont="1" applyBorder="1" applyAlignment="1">
      <alignment horizontal="left" vertical="center" wrapText="1"/>
    </xf>
    <xf numFmtId="164" fontId="0" fillId="0" borderId="1" xfId="0" applyNumberFormat="1" applyFill="1" applyBorder="1" applyAlignment="1">
      <alignment vertical="center"/>
    </xf>
    <xf numFmtId="0" fontId="5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 wrapText="1"/>
    </xf>
    <xf numFmtId="166" fontId="6" fillId="0" borderId="1" xfId="0" applyNumberFormat="1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0" fontId="15" fillId="0" borderId="1" xfId="0" applyFont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9" fontId="0" fillId="0" borderId="1" xfId="0" applyNumberFormat="1" applyFill="1" applyBorder="1" applyAlignment="1">
      <alignment horizontal="left" vertical="center" wrapText="1"/>
    </xf>
    <xf numFmtId="0" fontId="0" fillId="0" borderId="0" xfId="0" applyFont="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16" fillId="0" borderId="0" xfId="0" applyFont="1" applyFill="1" applyBorder="1"/>
    <xf numFmtId="0" fontId="16" fillId="0" borderId="0" xfId="0" applyFont="1" applyFill="1" applyBorder="1" applyAlignment="1">
      <alignment wrapText="1"/>
    </xf>
    <xf numFmtId="9" fontId="0" fillId="0" borderId="0" xfId="0" applyNumberFormat="1" applyFill="1" applyBorder="1" applyAlignment="1">
      <alignment vertical="center"/>
    </xf>
    <xf numFmtId="9" fontId="0" fillId="0" borderId="0" xfId="0" applyNumberFormat="1" applyFill="1" applyBorder="1"/>
    <xf numFmtId="14" fontId="0" fillId="0" borderId="0" xfId="0" applyNumberFormat="1"/>
    <xf numFmtId="0" fontId="18" fillId="0" borderId="0" xfId="0" applyFont="1" applyBorder="1" applyAlignment="1">
      <alignment vertical="center"/>
    </xf>
    <xf numFmtId="0" fontId="14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165" fontId="3" fillId="0" borderId="0" xfId="1" applyNumberFormat="1" applyFont="1"/>
    <xf numFmtId="1" fontId="0" fillId="0" borderId="0" xfId="0" applyNumberFormat="1"/>
  </cellXfs>
  <cellStyles count="11">
    <cellStyle name="Body: normal cell" xfId="6" xr:uid="{00000000-0005-0000-0000-00002F000000}"/>
    <cellStyle name="Font: Calibri, 9pt regular" xfId="2" xr:uid="{00000000-0005-0000-0000-00002B000000}"/>
    <cellStyle name="Footnotes: top row" xfId="8" xr:uid="{00000000-0005-0000-0000-000031000000}"/>
    <cellStyle name="Header: bottom row" xfId="3" xr:uid="{00000000-0005-0000-0000-00002C000000}"/>
    <cellStyle name="Hyperlink" xfId="10" builtinId="8"/>
    <cellStyle name="Normal" xfId="0" builtinId="0"/>
    <cellStyle name="Normal 2" xfId="7" xr:uid="{00000000-0005-0000-0000-000030000000}"/>
    <cellStyle name="Normal 3" xfId="9" xr:uid="{00000000-0005-0000-0000-000032000000}"/>
    <cellStyle name="Parent row" xfId="5" xr:uid="{00000000-0005-0000-0000-00002E000000}"/>
    <cellStyle name="Percent" xfId="1" builtinId="5"/>
    <cellStyle name="Table title" xfId="4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Lainie%20Rowland/Downloads/BAU%20RPS%20Percentage%20This%20Year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3951.433269907408" createdVersion="6" refreshedVersion="6" minRefreshableVersion="3" recordCount="51635" xr:uid="{796D4CD9-B840-43F4-A5D0-AFFFA1FBA5C3}">
  <cacheSource type="worksheet">
    <worksheetSource ref="A1:E1048576" sheet="Net_Generation_1990-2018 Final" r:id="rId2"/>
  </cacheSource>
  <cacheFields count="5">
    <cacheField name="YEAR" numFmtId="0">
      <sharedItems containsString="0" containsBlank="1" containsNumber="1" containsInteger="1" minValue="1990" maxValue="2018" count="30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m/>
      </sharedItems>
    </cacheField>
    <cacheField name="STATE" numFmtId="0">
      <sharedItems containsBlank="1" count="54">
        <s v="AK"/>
        <s v="AL"/>
        <s v="AR"/>
        <s v="AZ"/>
        <s v="CA"/>
        <s v="CO"/>
        <s v="CT"/>
        <s v="DC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S-TOTAL"/>
        <s v="UT"/>
        <s v="VA"/>
        <s v="VT"/>
        <s v="WA"/>
        <s v="WI"/>
        <s v="WV"/>
        <s v="WY"/>
        <s v="  "/>
        <m/>
      </sharedItems>
    </cacheField>
    <cacheField name="TYPE OF PRODUCER" numFmtId="0">
      <sharedItems containsBlank="1"/>
    </cacheField>
    <cacheField name="ENERGY SOURCE" numFmtId="0">
      <sharedItems containsBlank="1" count="15">
        <s v="Total"/>
        <s v="Coal"/>
        <s v="Hydroelectric Conventional"/>
        <s v="Natural Gas"/>
        <s v="Petroleum"/>
        <s v="Wind"/>
        <s v="Wood and Wood Derived Fuels"/>
        <s v="Nuclear"/>
        <s v="Other Biomass"/>
        <s v="Other Gases"/>
        <s v="Pumped Storage"/>
        <s v="Geothermal"/>
        <s v="Other"/>
        <s v="Solar Thermal and Photovoltaic"/>
        <m/>
      </sharedItems>
    </cacheField>
    <cacheField name="GENERATION (Megawatthours)" numFmtId="3">
      <sharedItems containsString="0" containsBlank="1" containsNumber="1" minValue="-8823445" maxValue="4178077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35">
  <r>
    <x v="0"/>
    <x v="0"/>
    <s v="Total Electric Power Industry"/>
    <x v="0"/>
    <n v="5599506"/>
  </r>
  <r>
    <x v="0"/>
    <x v="0"/>
    <s v="Total Electric Power Industry"/>
    <x v="1"/>
    <n v="510573"/>
  </r>
  <r>
    <x v="0"/>
    <x v="0"/>
    <s v="Total Electric Power Industry"/>
    <x v="2"/>
    <n v="974521"/>
  </r>
  <r>
    <x v="0"/>
    <x v="0"/>
    <s v="Total Electric Power Industry"/>
    <x v="3"/>
    <n v="3466261"/>
  </r>
  <r>
    <x v="0"/>
    <x v="0"/>
    <s v="Total Electric Power Industry"/>
    <x v="4"/>
    <n v="497116"/>
  </r>
  <r>
    <x v="0"/>
    <x v="0"/>
    <s v="Total Electric Power Industry"/>
    <x v="5"/>
    <n v="0"/>
  </r>
  <r>
    <x v="0"/>
    <x v="0"/>
    <s v="Total Electric Power Industry"/>
    <x v="6"/>
    <n v="151035"/>
  </r>
  <r>
    <x v="0"/>
    <x v="0"/>
    <s v="Electric Generators, Electric Utilities"/>
    <x v="0"/>
    <n v="4493024"/>
  </r>
  <r>
    <x v="0"/>
    <x v="0"/>
    <s v="Electric Generators, Electric Utilities"/>
    <x v="1"/>
    <n v="311960"/>
  </r>
  <r>
    <x v="0"/>
    <x v="0"/>
    <s v="Electric Generators, Electric Utilities"/>
    <x v="2"/>
    <n v="974521"/>
  </r>
  <r>
    <x v="0"/>
    <x v="0"/>
    <s v="Electric Generators, Electric Utilities"/>
    <x v="3"/>
    <n v="2869638"/>
  </r>
  <r>
    <x v="0"/>
    <x v="0"/>
    <s v="Electric Generators, Electric Utilities"/>
    <x v="4"/>
    <n v="336905"/>
  </r>
  <r>
    <x v="0"/>
    <x v="0"/>
    <s v="Electric Generators, Electric Utilities"/>
    <x v="5"/>
    <n v="0"/>
  </r>
  <r>
    <x v="0"/>
    <x v="0"/>
    <s v="Combined Heat and Power, Industrial Power"/>
    <x v="0"/>
    <n v="840949"/>
  </r>
  <r>
    <x v="0"/>
    <x v="0"/>
    <s v="Combined Heat and Power, Industrial Power"/>
    <x v="3"/>
    <n v="596623"/>
  </r>
  <r>
    <x v="0"/>
    <x v="0"/>
    <s v="Combined Heat and Power, Industrial Power"/>
    <x v="4"/>
    <n v="93291"/>
  </r>
  <r>
    <x v="0"/>
    <x v="0"/>
    <s v="Combined Heat and Power, Industrial Power"/>
    <x v="6"/>
    <n v="151035"/>
  </r>
  <r>
    <x v="0"/>
    <x v="0"/>
    <s v="Combined Heat and Power, Commercial Power"/>
    <x v="0"/>
    <n v="265533"/>
  </r>
  <r>
    <x v="0"/>
    <x v="0"/>
    <s v="Combined Heat and Power, Commercial Power"/>
    <x v="1"/>
    <n v="198613"/>
  </r>
  <r>
    <x v="0"/>
    <x v="0"/>
    <s v="Combined Heat and Power, Commercial Power"/>
    <x v="4"/>
    <n v="66920"/>
  </r>
  <r>
    <x v="0"/>
    <x v="1"/>
    <s v="Total Electric Power Industry"/>
    <x v="0"/>
    <n v="79652133"/>
  </r>
  <r>
    <x v="0"/>
    <x v="1"/>
    <s v="Total Electric Power Industry"/>
    <x v="1"/>
    <n v="53658115"/>
  </r>
  <r>
    <x v="0"/>
    <x v="1"/>
    <s v="Total Electric Power Industry"/>
    <x v="2"/>
    <n v="10366507"/>
  </r>
  <r>
    <x v="0"/>
    <x v="1"/>
    <s v="Total Electric Power Industry"/>
    <x v="3"/>
    <n v="1020714"/>
  </r>
  <r>
    <x v="0"/>
    <x v="1"/>
    <s v="Total Electric Power Industry"/>
    <x v="7"/>
    <n v="12051882"/>
  </r>
  <r>
    <x v="0"/>
    <x v="1"/>
    <s v="Total Electric Power Industry"/>
    <x v="8"/>
    <n v="47503"/>
  </r>
  <r>
    <x v="0"/>
    <x v="1"/>
    <s v="Total Electric Power Industry"/>
    <x v="9"/>
    <n v="269476"/>
  </r>
  <r>
    <x v="0"/>
    <x v="1"/>
    <s v="Total Electric Power Industry"/>
    <x v="4"/>
    <n v="138089"/>
  </r>
  <r>
    <x v="0"/>
    <x v="1"/>
    <s v="Total Electric Power Industry"/>
    <x v="6"/>
    <n v="2099847"/>
  </r>
  <r>
    <x v="0"/>
    <x v="1"/>
    <s v="Electric Generators, Independent Power Producers"/>
    <x v="0"/>
    <n v="27936"/>
  </r>
  <r>
    <x v="0"/>
    <x v="1"/>
    <s v="Electric Generators, Independent Power Producers"/>
    <x v="8"/>
    <n v="25310"/>
  </r>
  <r>
    <x v="0"/>
    <x v="1"/>
    <s v="Electric Generators, Independent Power Producers"/>
    <x v="6"/>
    <n v="2626"/>
  </r>
  <r>
    <x v="0"/>
    <x v="1"/>
    <s v="Electric Generators, Electric Utilities"/>
    <x v="0"/>
    <n v="76231696"/>
  </r>
  <r>
    <x v="0"/>
    <x v="1"/>
    <s v="Electric Generators, Electric Utilities"/>
    <x v="1"/>
    <n v="53301276"/>
  </r>
  <r>
    <x v="0"/>
    <x v="1"/>
    <s v="Electric Generators, Electric Utilities"/>
    <x v="2"/>
    <n v="10366507"/>
  </r>
  <r>
    <x v="0"/>
    <x v="1"/>
    <s v="Electric Generators, Electric Utilities"/>
    <x v="3"/>
    <n v="420115"/>
  </r>
  <r>
    <x v="0"/>
    <x v="1"/>
    <s v="Electric Generators, Electric Utilities"/>
    <x v="7"/>
    <n v="12051882"/>
  </r>
  <r>
    <x v="0"/>
    <x v="1"/>
    <s v="Electric Generators, Electric Utilities"/>
    <x v="4"/>
    <n v="91916"/>
  </r>
  <r>
    <x v="0"/>
    <x v="1"/>
    <s v="Combined Heat and Power, Industrial Power"/>
    <x v="0"/>
    <n v="2726688"/>
  </r>
  <r>
    <x v="0"/>
    <x v="1"/>
    <s v="Combined Heat and Power, Industrial Power"/>
    <x v="1"/>
    <n v="314241"/>
  </r>
  <r>
    <x v="0"/>
    <x v="1"/>
    <s v="Combined Heat and Power, Industrial Power"/>
    <x v="3"/>
    <n v="567061"/>
  </r>
  <r>
    <x v="0"/>
    <x v="1"/>
    <s v="Combined Heat and Power, Industrial Power"/>
    <x v="8"/>
    <n v="22193"/>
  </r>
  <r>
    <x v="0"/>
    <x v="1"/>
    <s v="Combined Heat and Power, Industrial Power"/>
    <x v="9"/>
    <n v="269476"/>
  </r>
  <r>
    <x v="0"/>
    <x v="1"/>
    <s v="Combined Heat and Power, Industrial Power"/>
    <x v="4"/>
    <n v="46173"/>
  </r>
  <r>
    <x v="0"/>
    <x v="1"/>
    <s v="Combined Heat and Power, Industrial Power"/>
    <x v="6"/>
    <n v="1507544"/>
  </r>
  <r>
    <x v="0"/>
    <x v="1"/>
    <s v="Combined Heat and Power, Electric Power"/>
    <x v="0"/>
    <n v="665813"/>
  </r>
  <r>
    <x v="0"/>
    <x v="1"/>
    <s v="Combined Heat and Power, Electric Power"/>
    <x v="1"/>
    <n v="42598"/>
  </r>
  <r>
    <x v="0"/>
    <x v="1"/>
    <s v="Combined Heat and Power, Electric Power"/>
    <x v="3"/>
    <n v="33538"/>
  </r>
  <r>
    <x v="0"/>
    <x v="1"/>
    <s v="Combined Heat and Power, Electric Power"/>
    <x v="6"/>
    <n v="589677"/>
  </r>
  <r>
    <x v="0"/>
    <x v="2"/>
    <s v="Total Electric Power Industry"/>
    <x v="0"/>
    <n v="39099598"/>
  </r>
  <r>
    <x v="0"/>
    <x v="2"/>
    <s v="Total Electric Power Industry"/>
    <x v="1"/>
    <n v="19207935"/>
  </r>
  <r>
    <x v="0"/>
    <x v="2"/>
    <s v="Total Electric Power Industry"/>
    <x v="2"/>
    <n v="3654653"/>
  </r>
  <r>
    <x v="0"/>
    <x v="2"/>
    <s v="Total Electric Power Industry"/>
    <x v="3"/>
    <n v="3578573"/>
  </r>
  <r>
    <x v="0"/>
    <x v="2"/>
    <s v="Total Electric Power Industry"/>
    <x v="7"/>
    <n v="11282053"/>
  </r>
  <r>
    <x v="0"/>
    <x v="2"/>
    <s v="Total Electric Power Industry"/>
    <x v="8"/>
    <n v="15389"/>
  </r>
  <r>
    <x v="0"/>
    <x v="2"/>
    <s v="Total Electric Power Industry"/>
    <x v="4"/>
    <n v="79979"/>
  </r>
  <r>
    <x v="0"/>
    <x v="2"/>
    <s v="Total Electric Power Industry"/>
    <x v="10"/>
    <n v="42972"/>
  </r>
  <r>
    <x v="0"/>
    <x v="2"/>
    <s v="Total Electric Power Industry"/>
    <x v="6"/>
    <n v="1238044"/>
  </r>
  <r>
    <x v="0"/>
    <x v="2"/>
    <s v="Electric Generators, Electric Utilities"/>
    <x v="0"/>
    <n v="37053436"/>
  </r>
  <r>
    <x v="0"/>
    <x v="2"/>
    <s v="Electric Generators, Electric Utilities"/>
    <x v="1"/>
    <n v="19160989"/>
  </r>
  <r>
    <x v="0"/>
    <x v="2"/>
    <s v="Electric Generators, Electric Utilities"/>
    <x v="2"/>
    <n v="3654653"/>
  </r>
  <r>
    <x v="0"/>
    <x v="2"/>
    <s v="Electric Generators, Electric Utilities"/>
    <x v="3"/>
    <n v="2838913"/>
  </r>
  <r>
    <x v="0"/>
    <x v="2"/>
    <s v="Electric Generators, Electric Utilities"/>
    <x v="7"/>
    <n v="11282053"/>
  </r>
  <r>
    <x v="0"/>
    <x v="2"/>
    <s v="Electric Generators, Electric Utilities"/>
    <x v="4"/>
    <n v="73856"/>
  </r>
  <r>
    <x v="0"/>
    <x v="2"/>
    <s v="Electric Generators, Electric Utilities"/>
    <x v="10"/>
    <n v="42972"/>
  </r>
  <r>
    <x v="0"/>
    <x v="2"/>
    <s v="Combined Heat and Power, Industrial Power"/>
    <x v="0"/>
    <n v="1990788"/>
  </r>
  <r>
    <x v="0"/>
    <x v="2"/>
    <s v="Combined Heat and Power, Industrial Power"/>
    <x v="1"/>
    <n v="46946"/>
  </r>
  <r>
    <x v="0"/>
    <x v="2"/>
    <s v="Combined Heat and Power, Industrial Power"/>
    <x v="3"/>
    <n v="692117"/>
  </r>
  <r>
    <x v="0"/>
    <x v="2"/>
    <s v="Combined Heat and Power, Industrial Power"/>
    <x v="8"/>
    <n v="10560"/>
  </r>
  <r>
    <x v="0"/>
    <x v="2"/>
    <s v="Combined Heat and Power, Industrial Power"/>
    <x v="4"/>
    <n v="3121"/>
  </r>
  <r>
    <x v="0"/>
    <x v="2"/>
    <s v="Combined Heat and Power, Industrial Power"/>
    <x v="6"/>
    <n v="1238044"/>
  </r>
  <r>
    <x v="0"/>
    <x v="2"/>
    <s v="Combined Heat and Power, Commercial Power"/>
    <x v="0"/>
    <n v="55374"/>
  </r>
  <r>
    <x v="0"/>
    <x v="2"/>
    <s v="Combined Heat and Power, Commercial Power"/>
    <x v="3"/>
    <n v="47543"/>
  </r>
  <r>
    <x v="0"/>
    <x v="2"/>
    <s v="Combined Heat and Power, Commercial Power"/>
    <x v="8"/>
    <n v="4829"/>
  </r>
  <r>
    <x v="0"/>
    <x v="2"/>
    <s v="Combined Heat and Power, Commercial Power"/>
    <x v="4"/>
    <n v="3002"/>
  </r>
  <r>
    <x v="0"/>
    <x v="3"/>
    <s v="Total Electric Power Industry"/>
    <x v="0"/>
    <n v="62774297"/>
  </r>
  <r>
    <x v="0"/>
    <x v="3"/>
    <s v="Total Electric Power Industry"/>
    <x v="1"/>
    <n v="31915610"/>
  </r>
  <r>
    <x v="0"/>
    <x v="3"/>
    <s v="Total Electric Power Industry"/>
    <x v="2"/>
    <n v="7417576"/>
  </r>
  <r>
    <x v="0"/>
    <x v="3"/>
    <s v="Total Electric Power Industry"/>
    <x v="3"/>
    <n v="2333900"/>
  </r>
  <r>
    <x v="0"/>
    <x v="3"/>
    <s v="Total Electric Power Industry"/>
    <x v="7"/>
    <n v="20597689"/>
  </r>
  <r>
    <x v="0"/>
    <x v="3"/>
    <s v="Total Electric Power Industry"/>
    <x v="4"/>
    <n v="151867"/>
  </r>
  <r>
    <x v="0"/>
    <x v="3"/>
    <s v="Total Electric Power Industry"/>
    <x v="10"/>
    <n v="249767"/>
  </r>
  <r>
    <x v="0"/>
    <x v="3"/>
    <s v="Total Electric Power Industry"/>
    <x v="6"/>
    <n v="107888"/>
  </r>
  <r>
    <x v="0"/>
    <x v="3"/>
    <s v="Electric Generators, Electric Utilities"/>
    <x v="0"/>
    <n v="62288980"/>
  </r>
  <r>
    <x v="0"/>
    <x v="3"/>
    <s v="Electric Generators, Electric Utilities"/>
    <x v="1"/>
    <n v="31636037"/>
  </r>
  <r>
    <x v="0"/>
    <x v="3"/>
    <s v="Electric Generators, Electric Utilities"/>
    <x v="2"/>
    <n v="7417576"/>
  </r>
  <r>
    <x v="0"/>
    <x v="3"/>
    <s v="Electric Generators, Electric Utilities"/>
    <x v="3"/>
    <n v="2271504"/>
  </r>
  <r>
    <x v="0"/>
    <x v="3"/>
    <s v="Electric Generators, Electric Utilities"/>
    <x v="7"/>
    <n v="20597689"/>
  </r>
  <r>
    <x v="0"/>
    <x v="3"/>
    <s v="Electric Generators, Electric Utilities"/>
    <x v="4"/>
    <n v="116407"/>
  </r>
  <r>
    <x v="0"/>
    <x v="3"/>
    <s v="Electric Generators, Electric Utilities"/>
    <x v="10"/>
    <n v="249767"/>
  </r>
  <r>
    <x v="0"/>
    <x v="3"/>
    <s v="Combined Heat and Power, Industrial Power"/>
    <x v="0"/>
    <n v="455233"/>
  </r>
  <r>
    <x v="0"/>
    <x v="3"/>
    <s v="Combined Heat and Power, Industrial Power"/>
    <x v="1"/>
    <n v="279573"/>
  </r>
  <r>
    <x v="0"/>
    <x v="3"/>
    <s v="Combined Heat and Power, Industrial Power"/>
    <x v="3"/>
    <n v="33526"/>
  </r>
  <r>
    <x v="0"/>
    <x v="3"/>
    <s v="Combined Heat and Power, Industrial Power"/>
    <x v="4"/>
    <n v="34246"/>
  </r>
  <r>
    <x v="0"/>
    <x v="3"/>
    <s v="Combined Heat and Power, Industrial Power"/>
    <x v="6"/>
    <n v="107888"/>
  </r>
  <r>
    <x v="0"/>
    <x v="3"/>
    <s v="Combined Heat and Power, Commercial Power"/>
    <x v="0"/>
    <n v="30084"/>
  </r>
  <r>
    <x v="0"/>
    <x v="3"/>
    <s v="Combined Heat and Power, Commercial Power"/>
    <x v="3"/>
    <n v="28870"/>
  </r>
  <r>
    <x v="0"/>
    <x v="3"/>
    <s v="Combined Heat and Power, Commercial Power"/>
    <x v="4"/>
    <n v="1214"/>
  </r>
  <r>
    <x v="0"/>
    <x v="4"/>
    <s v="Total Electric Power Industry"/>
    <x v="0"/>
    <n v="165784909"/>
  </r>
  <r>
    <x v="0"/>
    <x v="4"/>
    <s v="Total Electric Power Industry"/>
    <x v="1"/>
    <n v="2637677"/>
  </r>
  <r>
    <x v="0"/>
    <x v="4"/>
    <s v="Total Electric Power Industry"/>
    <x v="11"/>
    <n v="14521254"/>
  </r>
  <r>
    <x v="0"/>
    <x v="4"/>
    <s v="Total Electric Power Industry"/>
    <x v="2"/>
    <n v="23792567"/>
  </r>
  <r>
    <x v="0"/>
    <x v="4"/>
    <s v="Total Electric Power Industry"/>
    <x v="3"/>
    <n v="74168308"/>
  </r>
  <r>
    <x v="0"/>
    <x v="4"/>
    <s v="Total Electric Power Industry"/>
    <x v="7"/>
    <n v="32692807"/>
  </r>
  <r>
    <x v="0"/>
    <x v="4"/>
    <s v="Total Electric Power Industry"/>
    <x v="12"/>
    <n v="0"/>
  </r>
  <r>
    <x v="0"/>
    <x v="4"/>
    <s v="Total Electric Power Industry"/>
    <x v="8"/>
    <n v="2117915"/>
  </r>
  <r>
    <x v="0"/>
    <x v="4"/>
    <s v="Total Electric Power Industry"/>
    <x v="9"/>
    <n v="2146742"/>
  </r>
  <r>
    <x v="0"/>
    <x v="4"/>
    <s v="Total Electric Power Industry"/>
    <x v="4"/>
    <n v="5473852"/>
  </r>
  <r>
    <x v="0"/>
    <x v="4"/>
    <s v="Total Electric Power Industry"/>
    <x v="10"/>
    <n v="986252"/>
  </r>
  <r>
    <x v="0"/>
    <x v="4"/>
    <s v="Total Electric Power Industry"/>
    <x v="13"/>
    <n v="366668"/>
  </r>
  <r>
    <x v="0"/>
    <x v="4"/>
    <s v="Total Electric Power Industry"/>
    <x v="5"/>
    <n v="2758881"/>
  </r>
  <r>
    <x v="0"/>
    <x v="4"/>
    <s v="Total Electric Power Industry"/>
    <x v="6"/>
    <n v="4121986"/>
  </r>
  <r>
    <x v="0"/>
    <x v="4"/>
    <s v="Electric Generators, Independent Power Producers"/>
    <x v="0"/>
    <n v="15407378"/>
  </r>
  <r>
    <x v="0"/>
    <x v="4"/>
    <s v="Electric Generators, Independent Power Producers"/>
    <x v="1"/>
    <n v="111785"/>
  </r>
  <r>
    <x v="0"/>
    <x v="4"/>
    <s v="Electric Generators, Independent Power Producers"/>
    <x v="11"/>
    <n v="6091851"/>
  </r>
  <r>
    <x v="0"/>
    <x v="4"/>
    <s v="Electric Generators, Independent Power Producers"/>
    <x v="2"/>
    <n v="976870"/>
  </r>
  <r>
    <x v="0"/>
    <x v="4"/>
    <s v="Electric Generators, Independent Power Producers"/>
    <x v="3"/>
    <n v="383704"/>
  </r>
  <r>
    <x v="0"/>
    <x v="4"/>
    <s v="Electric Generators, Independent Power Producers"/>
    <x v="8"/>
    <n v="1931950"/>
  </r>
  <r>
    <x v="0"/>
    <x v="4"/>
    <s v="Electric Generators, Independent Power Producers"/>
    <x v="9"/>
    <n v="323"/>
  </r>
  <r>
    <x v="0"/>
    <x v="4"/>
    <s v="Electric Generators, Independent Power Producers"/>
    <x v="4"/>
    <n v="431308"/>
  </r>
  <r>
    <x v="0"/>
    <x v="4"/>
    <s v="Electric Generators, Independent Power Producers"/>
    <x v="13"/>
    <n v="364639"/>
  </r>
  <r>
    <x v="0"/>
    <x v="4"/>
    <s v="Electric Generators, Independent Power Producers"/>
    <x v="5"/>
    <n v="2758838"/>
  </r>
  <r>
    <x v="0"/>
    <x v="4"/>
    <s v="Electric Generators, Independent Power Producers"/>
    <x v="6"/>
    <n v="2356110"/>
  </r>
  <r>
    <x v="0"/>
    <x v="4"/>
    <s v="Electric Generators, Electric Utilities"/>
    <x v="0"/>
    <n v="114528000"/>
  </r>
  <r>
    <x v="0"/>
    <x v="4"/>
    <s v="Electric Generators, Electric Utilities"/>
    <x v="11"/>
    <n v="8429403"/>
  </r>
  <r>
    <x v="0"/>
    <x v="4"/>
    <s v="Electric Generators, Electric Utilities"/>
    <x v="2"/>
    <n v="22808272"/>
  </r>
  <r>
    <x v="0"/>
    <x v="4"/>
    <s v="Electric Generators, Electric Utilities"/>
    <x v="3"/>
    <n v="45221848"/>
  </r>
  <r>
    <x v="0"/>
    <x v="4"/>
    <s v="Electric Generators, Electric Utilities"/>
    <x v="7"/>
    <n v="32692807"/>
  </r>
  <r>
    <x v="0"/>
    <x v="4"/>
    <s v="Electric Generators, Electric Utilities"/>
    <x v="8"/>
    <n v="2111"/>
  </r>
  <r>
    <x v="0"/>
    <x v="4"/>
    <s v="Electric Generators, Electric Utilities"/>
    <x v="4"/>
    <n v="4385235"/>
  </r>
  <r>
    <x v="0"/>
    <x v="4"/>
    <s v="Electric Generators, Electric Utilities"/>
    <x v="10"/>
    <n v="986252"/>
  </r>
  <r>
    <x v="0"/>
    <x v="4"/>
    <s v="Electric Generators, Electric Utilities"/>
    <x v="13"/>
    <n v="2029"/>
  </r>
  <r>
    <x v="0"/>
    <x v="4"/>
    <s v="Electric Generators, Electric Utilities"/>
    <x v="5"/>
    <n v="43"/>
  </r>
  <r>
    <x v="0"/>
    <x v="4"/>
    <s v="Combined Heat and Power, Industrial Power"/>
    <x v="0"/>
    <n v="16572153"/>
  </r>
  <r>
    <x v="0"/>
    <x v="4"/>
    <s v="Combined Heat and Power, Industrial Power"/>
    <x v="1"/>
    <n v="1024772"/>
  </r>
  <r>
    <x v="0"/>
    <x v="4"/>
    <s v="Combined Heat and Power, Industrial Power"/>
    <x v="3"/>
    <n v="11100821"/>
  </r>
  <r>
    <x v="0"/>
    <x v="4"/>
    <s v="Combined Heat and Power, Industrial Power"/>
    <x v="12"/>
    <n v="0"/>
  </r>
  <r>
    <x v="0"/>
    <x v="4"/>
    <s v="Combined Heat and Power, Industrial Power"/>
    <x v="8"/>
    <n v="65528"/>
  </r>
  <r>
    <x v="0"/>
    <x v="4"/>
    <s v="Combined Heat and Power, Industrial Power"/>
    <x v="9"/>
    <n v="2025432"/>
  </r>
  <r>
    <x v="0"/>
    <x v="4"/>
    <s v="Combined Heat and Power, Industrial Power"/>
    <x v="4"/>
    <n v="635949"/>
  </r>
  <r>
    <x v="0"/>
    <x v="4"/>
    <s v="Combined Heat and Power, Industrial Power"/>
    <x v="6"/>
    <n v="1719651"/>
  </r>
  <r>
    <x v="0"/>
    <x v="4"/>
    <s v="Combined Heat and Power, Electric Power"/>
    <x v="0"/>
    <n v="17547076"/>
  </r>
  <r>
    <x v="0"/>
    <x v="4"/>
    <s v="Combined Heat and Power, Electric Power"/>
    <x v="1"/>
    <n v="1501120"/>
  </r>
  <r>
    <x v="0"/>
    <x v="4"/>
    <s v="Combined Heat and Power, Electric Power"/>
    <x v="3"/>
    <n v="15899278"/>
  </r>
  <r>
    <x v="0"/>
    <x v="4"/>
    <s v="Combined Heat and Power, Electric Power"/>
    <x v="8"/>
    <n v="91472"/>
  </r>
  <r>
    <x v="0"/>
    <x v="4"/>
    <s v="Combined Heat and Power, Electric Power"/>
    <x v="4"/>
    <n v="8981"/>
  </r>
  <r>
    <x v="0"/>
    <x v="4"/>
    <s v="Combined Heat and Power, Electric Power"/>
    <x v="6"/>
    <n v="46225"/>
  </r>
  <r>
    <x v="0"/>
    <x v="4"/>
    <s v="Combined Heat and Power, Commercial Power"/>
    <x v="0"/>
    <n v="1730302"/>
  </r>
  <r>
    <x v="0"/>
    <x v="4"/>
    <s v="Combined Heat and Power, Commercial Power"/>
    <x v="2"/>
    <n v="7425"/>
  </r>
  <r>
    <x v="0"/>
    <x v="4"/>
    <s v="Combined Heat and Power, Commercial Power"/>
    <x v="3"/>
    <n v="1562657"/>
  </r>
  <r>
    <x v="0"/>
    <x v="4"/>
    <s v="Combined Heat and Power, Commercial Power"/>
    <x v="8"/>
    <n v="26854"/>
  </r>
  <r>
    <x v="0"/>
    <x v="4"/>
    <s v="Combined Heat and Power, Commercial Power"/>
    <x v="9"/>
    <n v="120987"/>
  </r>
  <r>
    <x v="0"/>
    <x v="4"/>
    <s v="Combined Heat and Power, Commercial Power"/>
    <x v="4"/>
    <n v="12379"/>
  </r>
  <r>
    <x v="0"/>
    <x v="5"/>
    <s v="Total Electric Power Industry"/>
    <x v="0"/>
    <n v="32548127"/>
  </r>
  <r>
    <x v="0"/>
    <x v="5"/>
    <s v="Total Electric Power Industry"/>
    <x v="1"/>
    <n v="29814983"/>
  </r>
  <r>
    <x v="0"/>
    <x v="5"/>
    <s v="Total Electric Power Industry"/>
    <x v="2"/>
    <n v="1419870"/>
  </r>
  <r>
    <x v="0"/>
    <x v="5"/>
    <s v="Total Electric Power Industry"/>
    <x v="3"/>
    <n v="1290092"/>
  </r>
  <r>
    <x v="0"/>
    <x v="5"/>
    <s v="Total Electric Power Industry"/>
    <x v="8"/>
    <n v="28990"/>
  </r>
  <r>
    <x v="0"/>
    <x v="5"/>
    <s v="Total Electric Power Industry"/>
    <x v="4"/>
    <n v="27390"/>
  </r>
  <r>
    <x v="0"/>
    <x v="5"/>
    <s v="Total Electric Power Industry"/>
    <x v="10"/>
    <n v="-33198"/>
  </r>
  <r>
    <x v="0"/>
    <x v="5"/>
    <s v="Electric Generators, Independent Power Producers"/>
    <x v="0"/>
    <n v="225959"/>
  </r>
  <r>
    <x v="0"/>
    <x v="5"/>
    <s v="Electric Generators, Independent Power Producers"/>
    <x v="2"/>
    <n v="110909"/>
  </r>
  <r>
    <x v="0"/>
    <x v="5"/>
    <s v="Electric Generators, Independent Power Producers"/>
    <x v="3"/>
    <n v="115050"/>
  </r>
  <r>
    <x v="0"/>
    <x v="5"/>
    <s v="Electric Generators, Electric Utilities"/>
    <x v="0"/>
    <n v="31312872"/>
  </r>
  <r>
    <x v="0"/>
    <x v="5"/>
    <s v="Electric Generators, Electric Utilities"/>
    <x v="1"/>
    <n v="29602738"/>
  </r>
  <r>
    <x v="0"/>
    <x v="5"/>
    <s v="Electric Generators, Electric Utilities"/>
    <x v="2"/>
    <n v="1308961"/>
  </r>
  <r>
    <x v="0"/>
    <x v="5"/>
    <s v="Electric Generators, Electric Utilities"/>
    <x v="3"/>
    <n v="409078"/>
  </r>
  <r>
    <x v="0"/>
    <x v="5"/>
    <s v="Electric Generators, Electric Utilities"/>
    <x v="8"/>
    <n v="164"/>
  </r>
  <r>
    <x v="0"/>
    <x v="5"/>
    <s v="Electric Generators, Electric Utilities"/>
    <x v="4"/>
    <n v="25129"/>
  </r>
  <r>
    <x v="0"/>
    <x v="5"/>
    <s v="Electric Generators, Electric Utilities"/>
    <x v="10"/>
    <n v="-33198"/>
  </r>
  <r>
    <x v="0"/>
    <x v="5"/>
    <s v="Combined Heat and Power, Industrial Power"/>
    <x v="0"/>
    <n v="53888"/>
  </r>
  <r>
    <x v="0"/>
    <x v="5"/>
    <s v="Combined Heat and Power, Industrial Power"/>
    <x v="3"/>
    <n v="51627"/>
  </r>
  <r>
    <x v="0"/>
    <x v="5"/>
    <s v="Combined Heat and Power, Industrial Power"/>
    <x v="4"/>
    <n v="2261"/>
  </r>
  <r>
    <x v="0"/>
    <x v="5"/>
    <s v="Combined Heat and Power, Electric Power"/>
    <x v="0"/>
    <n v="930200"/>
  </r>
  <r>
    <x v="0"/>
    <x v="5"/>
    <s v="Combined Heat and Power, Electric Power"/>
    <x v="1"/>
    <n v="212245"/>
  </r>
  <r>
    <x v="0"/>
    <x v="5"/>
    <s v="Combined Heat and Power, Electric Power"/>
    <x v="3"/>
    <n v="714337"/>
  </r>
  <r>
    <x v="0"/>
    <x v="5"/>
    <s v="Combined Heat and Power, Electric Power"/>
    <x v="8"/>
    <n v="3618"/>
  </r>
  <r>
    <x v="0"/>
    <x v="5"/>
    <s v="Combined Heat and Power, Commercial Power"/>
    <x v="0"/>
    <n v="25208"/>
  </r>
  <r>
    <x v="0"/>
    <x v="5"/>
    <s v="Combined Heat and Power, Commercial Power"/>
    <x v="8"/>
    <n v="25208"/>
  </r>
  <r>
    <x v="0"/>
    <x v="6"/>
    <s v="Total Electric Power Industry"/>
    <x v="0"/>
    <n v="35147247"/>
  </r>
  <r>
    <x v="0"/>
    <x v="6"/>
    <s v="Total Electric Power Industry"/>
    <x v="1"/>
    <n v="3594645"/>
  </r>
  <r>
    <x v="0"/>
    <x v="6"/>
    <s v="Total Electric Power Industry"/>
    <x v="2"/>
    <n v="570619"/>
  </r>
  <r>
    <x v="0"/>
    <x v="6"/>
    <s v="Total Electric Power Industry"/>
    <x v="3"/>
    <n v="1251479"/>
  </r>
  <r>
    <x v="0"/>
    <x v="6"/>
    <s v="Total Electric Power Industry"/>
    <x v="7"/>
    <n v="19776250"/>
  </r>
  <r>
    <x v="0"/>
    <x v="6"/>
    <s v="Total Electric Power Industry"/>
    <x v="12"/>
    <n v="0"/>
  </r>
  <r>
    <x v="0"/>
    <x v="6"/>
    <s v="Total Electric Power Industry"/>
    <x v="8"/>
    <n v="1073310"/>
  </r>
  <r>
    <x v="0"/>
    <x v="6"/>
    <s v="Total Electric Power Industry"/>
    <x v="9"/>
    <n v="4"/>
  </r>
  <r>
    <x v="0"/>
    <x v="6"/>
    <s v="Total Electric Power Industry"/>
    <x v="4"/>
    <n v="8874466"/>
  </r>
  <r>
    <x v="0"/>
    <x v="6"/>
    <s v="Total Electric Power Industry"/>
    <x v="10"/>
    <n v="6474"/>
  </r>
  <r>
    <x v="0"/>
    <x v="6"/>
    <s v="Electric Generators, Independent Power Producers"/>
    <x v="0"/>
    <n v="672825"/>
  </r>
  <r>
    <x v="0"/>
    <x v="6"/>
    <s v="Electric Generators, Independent Power Producers"/>
    <x v="2"/>
    <n v="67239"/>
  </r>
  <r>
    <x v="0"/>
    <x v="6"/>
    <s v="Electric Generators, Independent Power Producers"/>
    <x v="8"/>
    <n v="605586"/>
  </r>
  <r>
    <x v="0"/>
    <x v="6"/>
    <s v="Electric Generators, Electric Utilities"/>
    <x v="0"/>
    <n v="32155574"/>
  </r>
  <r>
    <x v="0"/>
    <x v="6"/>
    <s v="Electric Generators, Electric Utilities"/>
    <x v="1"/>
    <n v="2351049"/>
  </r>
  <r>
    <x v="0"/>
    <x v="6"/>
    <s v="Electric Generators, Electric Utilities"/>
    <x v="2"/>
    <n v="495848"/>
  </r>
  <r>
    <x v="0"/>
    <x v="6"/>
    <s v="Electric Generators, Electric Utilities"/>
    <x v="3"/>
    <n v="471836"/>
  </r>
  <r>
    <x v="0"/>
    <x v="6"/>
    <s v="Electric Generators, Electric Utilities"/>
    <x v="7"/>
    <n v="19776250"/>
  </r>
  <r>
    <x v="0"/>
    <x v="6"/>
    <s v="Electric Generators, Electric Utilities"/>
    <x v="8"/>
    <n v="421546"/>
  </r>
  <r>
    <x v="0"/>
    <x v="6"/>
    <s v="Electric Generators, Electric Utilities"/>
    <x v="4"/>
    <n v="8632571"/>
  </r>
  <r>
    <x v="0"/>
    <x v="6"/>
    <s v="Electric Generators, Electric Utilities"/>
    <x v="10"/>
    <n v="6474"/>
  </r>
  <r>
    <x v="0"/>
    <x v="6"/>
    <s v="Combined Heat and Power, Industrial Power"/>
    <x v="0"/>
    <n v="190315"/>
  </r>
  <r>
    <x v="0"/>
    <x v="6"/>
    <s v="Combined Heat and Power, Industrial Power"/>
    <x v="2"/>
    <n v="7532"/>
  </r>
  <r>
    <x v="0"/>
    <x v="6"/>
    <s v="Combined Heat and Power, Industrial Power"/>
    <x v="3"/>
    <n v="10612"/>
  </r>
  <r>
    <x v="0"/>
    <x v="6"/>
    <s v="Combined Heat and Power, Industrial Power"/>
    <x v="12"/>
    <n v="0"/>
  </r>
  <r>
    <x v="0"/>
    <x v="6"/>
    <s v="Combined Heat and Power, Industrial Power"/>
    <x v="4"/>
    <n v="172171"/>
  </r>
  <r>
    <x v="0"/>
    <x v="6"/>
    <s v="Combined Heat and Power, Electric Power"/>
    <x v="0"/>
    <n v="1986751"/>
  </r>
  <r>
    <x v="0"/>
    <x v="6"/>
    <s v="Combined Heat and Power, Electric Power"/>
    <x v="1"/>
    <n v="1243596"/>
  </r>
  <r>
    <x v="0"/>
    <x v="6"/>
    <s v="Combined Heat and Power, Electric Power"/>
    <x v="3"/>
    <n v="654360"/>
  </r>
  <r>
    <x v="0"/>
    <x v="6"/>
    <s v="Combined Heat and Power, Electric Power"/>
    <x v="8"/>
    <n v="46178"/>
  </r>
  <r>
    <x v="0"/>
    <x v="6"/>
    <s v="Combined Heat and Power, Electric Power"/>
    <x v="9"/>
    <n v="4"/>
  </r>
  <r>
    <x v="0"/>
    <x v="6"/>
    <s v="Combined Heat and Power, Electric Power"/>
    <x v="4"/>
    <n v="42613"/>
  </r>
  <r>
    <x v="0"/>
    <x v="6"/>
    <s v="Combined Heat and Power, Commercial Power"/>
    <x v="0"/>
    <n v="141782"/>
  </r>
  <r>
    <x v="0"/>
    <x v="6"/>
    <s v="Combined Heat and Power, Commercial Power"/>
    <x v="3"/>
    <n v="114671"/>
  </r>
  <r>
    <x v="0"/>
    <x v="6"/>
    <s v="Combined Heat and Power, Commercial Power"/>
    <x v="4"/>
    <n v="27111"/>
  </r>
  <r>
    <x v="0"/>
    <x v="7"/>
    <s v="Total Electric Power Industry"/>
    <x v="0"/>
    <n v="361043"/>
  </r>
  <r>
    <x v="0"/>
    <x v="7"/>
    <s v="Total Electric Power Industry"/>
    <x v="1"/>
    <n v="0"/>
  </r>
  <r>
    <x v="0"/>
    <x v="7"/>
    <s v="Total Electric Power Industry"/>
    <x v="4"/>
    <n v="361043"/>
  </r>
  <r>
    <x v="0"/>
    <x v="7"/>
    <s v="Electric Generators, Electric Utilities"/>
    <x v="0"/>
    <n v="361043"/>
  </r>
  <r>
    <x v="0"/>
    <x v="7"/>
    <s v="Electric Generators, Electric Utilities"/>
    <x v="4"/>
    <n v="361043"/>
  </r>
  <r>
    <x v="0"/>
    <x v="7"/>
    <s v="Combined Heat and Power, Commercial Power"/>
    <x v="0"/>
    <n v="0"/>
  </r>
  <r>
    <x v="0"/>
    <x v="7"/>
    <s v="Combined Heat and Power, Commercial Power"/>
    <x v="1"/>
    <n v="0"/>
  </r>
  <r>
    <x v="0"/>
    <x v="8"/>
    <s v="Total Electric Power Industry"/>
    <x v="0"/>
    <n v="7841500"/>
  </r>
  <r>
    <x v="0"/>
    <x v="8"/>
    <s v="Total Electric Power Industry"/>
    <x v="1"/>
    <n v="5113479"/>
  </r>
  <r>
    <x v="0"/>
    <x v="8"/>
    <s v="Total Electric Power Industry"/>
    <x v="3"/>
    <n v="763019"/>
  </r>
  <r>
    <x v="0"/>
    <x v="8"/>
    <s v="Total Electric Power Industry"/>
    <x v="12"/>
    <n v="6315"/>
  </r>
  <r>
    <x v="0"/>
    <x v="8"/>
    <s v="Total Electric Power Industry"/>
    <x v="9"/>
    <n v="164881"/>
  </r>
  <r>
    <x v="0"/>
    <x v="8"/>
    <s v="Total Electric Power Industry"/>
    <x v="4"/>
    <n v="1793806"/>
  </r>
  <r>
    <x v="0"/>
    <x v="8"/>
    <s v="Electric Generators, Electric Utilities"/>
    <x v="0"/>
    <n v="7099663"/>
  </r>
  <r>
    <x v="0"/>
    <x v="8"/>
    <s v="Electric Generators, Electric Utilities"/>
    <x v="1"/>
    <n v="4904473"/>
  </r>
  <r>
    <x v="0"/>
    <x v="8"/>
    <s v="Electric Generators, Electric Utilities"/>
    <x v="3"/>
    <n v="759004"/>
  </r>
  <r>
    <x v="0"/>
    <x v="8"/>
    <s v="Electric Generators, Electric Utilities"/>
    <x v="4"/>
    <n v="1436186"/>
  </r>
  <r>
    <x v="0"/>
    <x v="8"/>
    <s v="Combined Heat and Power, Industrial Power"/>
    <x v="0"/>
    <n v="741837"/>
  </r>
  <r>
    <x v="0"/>
    <x v="8"/>
    <s v="Combined Heat and Power, Industrial Power"/>
    <x v="1"/>
    <n v="209006"/>
  </r>
  <r>
    <x v="0"/>
    <x v="8"/>
    <s v="Combined Heat and Power, Industrial Power"/>
    <x v="3"/>
    <n v="4015"/>
  </r>
  <r>
    <x v="0"/>
    <x v="8"/>
    <s v="Combined Heat and Power, Industrial Power"/>
    <x v="12"/>
    <n v="6315"/>
  </r>
  <r>
    <x v="0"/>
    <x v="8"/>
    <s v="Combined Heat and Power, Industrial Power"/>
    <x v="9"/>
    <n v="164881"/>
  </r>
  <r>
    <x v="0"/>
    <x v="8"/>
    <s v="Combined Heat and Power, Industrial Power"/>
    <x v="4"/>
    <n v="357620"/>
  </r>
  <r>
    <x v="0"/>
    <x v="9"/>
    <s v="Total Electric Power Industry"/>
    <x v="0"/>
    <n v="131502553"/>
  </r>
  <r>
    <x v="0"/>
    <x v="9"/>
    <s v="Total Electric Power Industry"/>
    <x v="1"/>
    <n v="60100257"/>
  </r>
  <r>
    <x v="0"/>
    <x v="9"/>
    <s v="Total Electric Power Industry"/>
    <x v="2"/>
    <n v="174604"/>
  </r>
  <r>
    <x v="0"/>
    <x v="9"/>
    <s v="Total Electric Power Industry"/>
    <x v="3"/>
    <n v="18642683"/>
  </r>
  <r>
    <x v="0"/>
    <x v="9"/>
    <s v="Total Electric Power Industry"/>
    <x v="7"/>
    <n v="21779560"/>
  </r>
  <r>
    <x v="0"/>
    <x v="9"/>
    <s v="Total Electric Power Industry"/>
    <x v="12"/>
    <n v="1453102"/>
  </r>
  <r>
    <x v="0"/>
    <x v="9"/>
    <s v="Total Electric Power Industry"/>
    <x v="8"/>
    <n v="1673078"/>
  </r>
  <r>
    <x v="0"/>
    <x v="9"/>
    <s v="Total Electric Power Industry"/>
    <x v="4"/>
    <n v="25535138"/>
  </r>
  <r>
    <x v="0"/>
    <x v="9"/>
    <s v="Total Electric Power Industry"/>
    <x v="6"/>
    <n v="2144131"/>
  </r>
  <r>
    <x v="0"/>
    <x v="9"/>
    <s v="Electric Generators, Independent Power Producers"/>
    <x v="0"/>
    <n v="1695776"/>
  </r>
  <r>
    <x v="0"/>
    <x v="9"/>
    <s v="Electric Generators, Independent Power Producers"/>
    <x v="3"/>
    <n v="1166"/>
  </r>
  <r>
    <x v="0"/>
    <x v="9"/>
    <s v="Electric Generators, Independent Power Producers"/>
    <x v="8"/>
    <n v="1542643"/>
  </r>
  <r>
    <x v="0"/>
    <x v="9"/>
    <s v="Electric Generators, Independent Power Producers"/>
    <x v="4"/>
    <n v="769"/>
  </r>
  <r>
    <x v="0"/>
    <x v="9"/>
    <s v="Electric Generators, Independent Power Producers"/>
    <x v="6"/>
    <n v="151198"/>
  </r>
  <r>
    <x v="0"/>
    <x v="9"/>
    <s v="Electric Generators, Electric Utilities"/>
    <x v="0"/>
    <n v="123623905"/>
  </r>
  <r>
    <x v="0"/>
    <x v="9"/>
    <s v="Electric Generators, Electric Utilities"/>
    <x v="1"/>
    <n v="59073203"/>
  </r>
  <r>
    <x v="0"/>
    <x v="9"/>
    <s v="Electric Generators, Electric Utilities"/>
    <x v="2"/>
    <n v="174604"/>
  </r>
  <r>
    <x v="0"/>
    <x v="9"/>
    <s v="Electric Generators, Electric Utilities"/>
    <x v="3"/>
    <n v="17504242"/>
  </r>
  <r>
    <x v="0"/>
    <x v="9"/>
    <s v="Electric Generators, Electric Utilities"/>
    <x v="7"/>
    <n v="21779560"/>
  </r>
  <r>
    <x v="0"/>
    <x v="9"/>
    <s v="Electric Generators, Electric Utilities"/>
    <x v="4"/>
    <n v="25092296"/>
  </r>
  <r>
    <x v="0"/>
    <x v="9"/>
    <s v="Combined Heat and Power, Industrial Power"/>
    <x v="0"/>
    <n v="5290804"/>
  </r>
  <r>
    <x v="0"/>
    <x v="9"/>
    <s v="Combined Heat and Power, Industrial Power"/>
    <x v="1"/>
    <n v="383736"/>
  </r>
  <r>
    <x v="0"/>
    <x v="9"/>
    <s v="Combined Heat and Power, Industrial Power"/>
    <x v="3"/>
    <n v="928175"/>
  </r>
  <r>
    <x v="0"/>
    <x v="9"/>
    <s v="Combined Heat and Power, Industrial Power"/>
    <x v="12"/>
    <n v="1453102"/>
  </r>
  <r>
    <x v="0"/>
    <x v="9"/>
    <s v="Combined Heat and Power, Industrial Power"/>
    <x v="8"/>
    <n v="97705"/>
  </r>
  <r>
    <x v="0"/>
    <x v="9"/>
    <s v="Combined Heat and Power, Industrial Power"/>
    <x v="4"/>
    <n v="435153"/>
  </r>
  <r>
    <x v="0"/>
    <x v="9"/>
    <s v="Combined Heat and Power, Industrial Power"/>
    <x v="6"/>
    <n v="1992933"/>
  </r>
  <r>
    <x v="0"/>
    <x v="9"/>
    <s v="Combined Heat and Power, Electric Power"/>
    <x v="0"/>
    <n v="647307"/>
  </r>
  <r>
    <x v="0"/>
    <x v="9"/>
    <s v="Combined Heat and Power, Electric Power"/>
    <x v="1"/>
    <n v="643318"/>
  </r>
  <r>
    <x v="0"/>
    <x v="9"/>
    <s v="Combined Heat and Power, Electric Power"/>
    <x v="4"/>
    <n v="3989"/>
  </r>
  <r>
    <x v="0"/>
    <x v="9"/>
    <s v="Combined Heat and Power, Commercial Power"/>
    <x v="0"/>
    <n v="244761"/>
  </r>
  <r>
    <x v="0"/>
    <x v="9"/>
    <s v="Combined Heat and Power, Commercial Power"/>
    <x v="3"/>
    <n v="209100"/>
  </r>
  <r>
    <x v="0"/>
    <x v="9"/>
    <s v="Combined Heat and Power, Commercial Power"/>
    <x v="8"/>
    <n v="32730"/>
  </r>
  <r>
    <x v="0"/>
    <x v="9"/>
    <s v="Combined Heat and Power, Commercial Power"/>
    <x v="4"/>
    <n v="2931"/>
  </r>
  <r>
    <x v="0"/>
    <x v="10"/>
    <s v="Total Electric Power Industry"/>
    <x v="0"/>
    <n v="102686240"/>
  </r>
  <r>
    <x v="0"/>
    <x v="10"/>
    <s v="Total Electric Power Industry"/>
    <x v="1"/>
    <n v="68545692"/>
  </r>
  <r>
    <x v="0"/>
    <x v="10"/>
    <s v="Total Electric Power Industry"/>
    <x v="2"/>
    <n v="4589117"/>
  </r>
  <r>
    <x v="0"/>
    <x v="10"/>
    <s v="Total Electric Power Industry"/>
    <x v="3"/>
    <n v="830180"/>
  </r>
  <r>
    <x v="0"/>
    <x v="10"/>
    <s v="Total Electric Power Industry"/>
    <x v="7"/>
    <n v="24796884"/>
  </r>
  <r>
    <x v="0"/>
    <x v="10"/>
    <s v="Total Electric Power Industry"/>
    <x v="12"/>
    <n v="1"/>
  </r>
  <r>
    <x v="0"/>
    <x v="10"/>
    <s v="Total Electric Power Industry"/>
    <x v="8"/>
    <n v="135457"/>
  </r>
  <r>
    <x v="0"/>
    <x v="10"/>
    <s v="Total Electric Power Industry"/>
    <x v="4"/>
    <n v="499480"/>
  </r>
  <r>
    <x v="0"/>
    <x v="10"/>
    <s v="Total Electric Power Industry"/>
    <x v="10"/>
    <n v="342110"/>
  </r>
  <r>
    <x v="0"/>
    <x v="10"/>
    <s v="Total Electric Power Industry"/>
    <x v="6"/>
    <n v="2947319"/>
  </r>
  <r>
    <x v="0"/>
    <x v="10"/>
    <s v="Electric Generators, Independent Power Producers"/>
    <x v="0"/>
    <n v="8021"/>
  </r>
  <r>
    <x v="0"/>
    <x v="10"/>
    <s v="Electric Generators, Independent Power Producers"/>
    <x v="2"/>
    <n v="7982"/>
  </r>
  <r>
    <x v="0"/>
    <x v="10"/>
    <s v="Electric Generators, Independent Power Producers"/>
    <x v="3"/>
    <n v="24"/>
  </r>
  <r>
    <x v="0"/>
    <x v="10"/>
    <s v="Electric Generators, Independent Power Producers"/>
    <x v="4"/>
    <n v="15"/>
  </r>
  <r>
    <x v="0"/>
    <x v="10"/>
    <s v="Electric Generators, Electric Utilities"/>
    <x v="0"/>
    <n v="97565058"/>
  </r>
  <r>
    <x v="0"/>
    <x v="10"/>
    <s v="Electric Generators, Electric Utilities"/>
    <x v="1"/>
    <n v="67564750"/>
  </r>
  <r>
    <x v="0"/>
    <x v="10"/>
    <s v="Electric Generators, Electric Utilities"/>
    <x v="2"/>
    <n v="4544712"/>
  </r>
  <r>
    <x v="0"/>
    <x v="10"/>
    <s v="Electric Generators, Electric Utilities"/>
    <x v="3"/>
    <n v="151615"/>
  </r>
  <r>
    <x v="0"/>
    <x v="10"/>
    <s v="Electric Generators, Electric Utilities"/>
    <x v="7"/>
    <n v="24796884"/>
  </r>
  <r>
    <x v="0"/>
    <x v="10"/>
    <s v="Electric Generators, Electric Utilities"/>
    <x v="4"/>
    <n v="164987"/>
  </r>
  <r>
    <x v="0"/>
    <x v="10"/>
    <s v="Electric Generators, Electric Utilities"/>
    <x v="10"/>
    <n v="342110"/>
  </r>
  <r>
    <x v="0"/>
    <x v="10"/>
    <s v="Combined Heat and Power, Industrial Power"/>
    <x v="0"/>
    <n v="5110380"/>
  </r>
  <r>
    <x v="0"/>
    <x v="10"/>
    <s v="Combined Heat and Power, Industrial Power"/>
    <x v="1"/>
    <n v="980942"/>
  </r>
  <r>
    <x v="0"/>
    <x v="10"/>
    <s v="Combined Heat and Power, Industrial Power"/>
    <x v="2"/>
    <n v="36423"/>
  </r>
  <r>
    <x v="0"/>
    <x v="10"/>
    <s v="Combined Heat and Power, Industrial Power"/>
    <x v="3"/>
    <n v="678423"/>
  </r>
  <r>
    <x v="0"/>
    <x v="10"/>
    <s v="Combined Heat and Power, Industrial Power"/>
    <x v="12"/>
    <n v="1"/>
  </r>
  <r>
    <x v="0"/>
    <x v="10"/>
    <s v="Combined Heat and Power, Industrial Power"/>
    <x v="8"/>
    <n v="135457"/>
  </r>
  <r>
    <x v="0"/>
    <x v="10"/>
    <s v="Combined Heat and Power, Industrial Power"/>
    <x v="4"/>
    <n v="331815"/>
  </r>
  <r>
    <x v="0"/>
    <x v="10"/>
    <s v="Combined Heat and Power, Industrial Power"/>
    <x v="6"/>
    <n v="2947319"/>
  </r>
  <r>
    <x v="0"/>
    <x v="10"/>
    <s v="Combined Heat and Power, Commercial Power"/>
    <x v="0"/>
    <n v="2781"/>
  </r>
  <r>
    <x v="0"/>
    <x v="10"/>
    <s v="Combined Heat and Power, Commercial Power"/>
    <x v="3"/>
    <n v="118"/>
  </r>
  <r>
    <x v="0"/>
    <x v="10"/>
    <s v="Combined Heat and Power, Commercial Power"/>
    <x v="4"/>
    <n v="2663"/>
  </r>
  <r>
    <x v="0"/>
    <x v="11"/>
    <s v="Total Electric Power Industry"/>
    <x v="0"/>
    <n v="9702752"/>
  </r>
  <r>
    <x v="0"/>
    <x v="11"/>
    <s v="Total Electric Power Industry"/>
    <x v="1"/>
    <n v="2381"/>
  </r>
  <r>
    <x v="0"/>
    <x v="11"/>
    <s v="Total Electric Power Industry"/>
    <x v="11"/>
    <n v="0"/>
  </r>
  <r>
    <x v="0"/>
    <x v="11"/>
    <s v="Total Electric Power Industry"/>
    <x v="2"/>
    <n v="79516"/>
  </r>
  <r>
    <x v="0"/>
    <x v="11"/>
    <s v="Total Electric Power Industry"/>
    <x v="8"/>
    <n v="840005"/>
  </r>
  <r>
    <x v="0"/>
    <x v="11"/>
    <s v="Total Electric Power Industry"/>
    <x v="9"/>
    <n v="16163"/>
  </r>
  <r>
    <x v="0"/>
    <x v="11"/>
    <s v="Total Electric Power Industry"/>
    <x v="4"/>
    <n v="8735862"/>
  </r>
  <r>
    <x v="0"/>
    <x v="11"/>
    <s v="Total Electric Power Industry"/>
    <x v="5"/>
    <n v="28825"/>
  </r>
  <r>
    <x v="0"/>
    <x v="11"/>
    <s v="Electric Generators, Independent Power Producers"/>
    <x v="0"/>
    <n v="385510"/>
  </r>
  <r>
    <x v="0"/>
    <x v="11"/>
    <s v="Electric Generators, Independent Power Producers"/>
    <x v="8"/>
    <n v="342851"/>
  </r>
  <r>
    <x v="0"/>
    <x v="11"/>
    <s v="Electric Generators, Independent Power Producers"/>
    <x v="4"/>
    <n v="13834"/>
  </r>
  <r>
    <x v="0"/>
    <x v="11"/>
    <s v="Electric Generators, Independent Power Producers"/>
    <x v="5"/>
    <n v="28825"/>
  </r>
  <r>
    <x v="0"/>
    <x v="11"/>
    <s v="Electric Generators, Electric Utilities"/>
    <x v="0"/>
    <n v="7996096"/>
  </r>
  <r>
    <x v="0"/>
    <x v="11"/>
    <s v="Electric Generators, Electric Utilities"/>
    <x v="11"/>
    <n v="0"/>
  </r>
  <r>
    <x v="0"/>
    <x v="11"/>
    <s v="Electric Generators, Electric Utilities"/>
    <x v="2"/>
    <n v="22743"/>
  </r>
  <r>
    <x v="0"/>
    <x v="11"/>
    <s v="Electric Generators, Electric Utilities"/>
    <x v="8"/>
    <n v="5999"/>
  </r>
  <r>
    <x v="0"/>
    <x v="11"/>
    <s v="Electric Generators, Electric Utilities"/>
    <x v="4"/>
    <n v="7967354"/>
  </r>
  <r>
    <x v="0"/>
    <x v="11"/>
    <s v="Combined Heat and Power, Industrial Power"/>
    <x v="0"/>
    <n v="778856"/>
  </r>
  <r>
    <x v="0"/>
    <x v="11"/>
    <s v="Combined Heat and Power, Industrial Power"/>
    <x v="1"/>
    <n v="1196"/>
  </r>
  <r>
    <x v="0"/>
    <x v="11"/>
    <s v="Combined Heat and Power, Industrial Power"/>
    <x v="2"/>
    <n v="56773"/>
  </r>
  <r>
    <x v="0"/>
    <x v="11"/>
    <s v="Combined Heat and Power, Industrial Power"/>
    <x v="8"/>
    <n v="407991"/>
  </r>
  <r>
    <x v="0"/>
    <x v="11"/>
    <s v="Combined Heat and Power, Industrial Power"/>
    <x v="9"/>
    <n v="16163"/>
  </r>
  <r>
    <x v="0"/>
    <x v="11"/>
    <s v="Combined Heat and Power, Industrial Power"/>
    <x v="4"/>
    <n v="296733"/>
  </r>
  <r>
    <x v="0"/>
    <x v="11"/>
    <s v="Combined Heat and Power, Electric Power"/>
    <x v="0"/>
    <n v="542290"/>
  </r>
  <r>
    <x v="0"/>
    <x v="11"/>
    <s v="Combined Heat and Power, Electric Power"/>
    <x v="1"/>
    <n v="1185"/>
  </r>
  <r>
    <x v="0"/>
    <x v="11"/>
    <s v="Combined Heat and Power, Electric Power"/>
    <x v="8"/>
    <n v="83164"/>
  </r>
  <r>
    <x v="0"/>
    <x v="11"/>
    <s v="Combined Heat and Power, Electric Power"/>
    <x v="4"/>
    <n v="457941"/>
  </r>
  <r>
    <x v="0"/>
    <x v="12"/>
    <s v="Total Electric Power Industry"/>
    <x v="0"/>
    <n v="30044506"/>
  </r>
  <r>
    <x v="0"/>
    <x v="12"/>
    <s v="Total Electric Power Industry"/>
    <x v="1"/>
    <n v="25751941"/>
  </r>
  <r>
    <x v="0"/>
    <x v="12"/>
    <s v="Total Electric Power Industry"/>
    <x v="2"/>
    <n v="875114"/>
  </r>
  <r>
    <x v="0"/>
    <x v="12"/>
    <s v="Total Electric Power Industry"/>
    <x v="3"/>
    <n v="333390"/>
  </r>
  <r>
    <x v="0"/>
    <x v="12"/>
    <s v="Total Electric Power Industry"/>
    <x v="7"/>
    <n v="3011572"/>
  </r>
  <r>
    <x v="0"/>
    <x v="12"/>
    <s v="Total Electric Power Industry"/>
    <x v="8"/>
    <n v="18018"/>
  </r>
  <r>
    <x v="0"/>
    <x v="12"/>
    <s v="Total Electric Power Industry"/>
    <x v="4"/>
    <n v="54471"/>
  </r>
  <r>
    <x v="0"/>
    <x v="12"/>
    <s v="Electric Generators, Independent Power Producers"/>
    <x v="0"/>
    <n v="19955"/>
  </r>
  <r>
    <x v="0"/>
    <x v="12"/>
    <s v="Electric Generators, Independent Power Producers"/>
    <x v="2"/>
    <n v="18266"/>
  </r>
  <r>
    <x v="0"/>
    <x v="12"/>
    <s v="Electric Generators, Independent Power Producers"/>
    <x v="3"/>
    <n v="1392"/>
  </r>
  <r>
    <x v="0"/>
    <x v="12"/>
    <s v="Electric Generators, Independent Power Producers"/>
    <x v="4"/>
    <n v="297"/>
  </r>
  <r>
    <x v="0"/>
    <x v="12"/>
    <s v="Electric Generators, Electric Utilities"/>
    <x v="0"/>
    <n v="29047940"/>
  </r>
  <r>
    <x v="0"/>
    <x v="12"/>
    <s v="Electric Generators, Electric Utilities"/>
    <x v="1"/>
    <n v="24879567"/>
  </r>
  <r>
    <x v="0"/>
    <x v="12"/>
    <s v="Electric Generators, Electric Utilities"/>
    <x v="2"/>
    <n v="856848"/>
  </r>
  <r>
    <x v="0"/>
    <x v="12"/>
    <s v="Electric Generators, Electric Utilities"/>
    <x v="3"/>
    <n v="231263"/>
  </r>
  <r>
    <x v="0"/>
    <x v="12"/>
    <s v="Electric Generators, Electric Utilities"/>
    <x v="7"/>
    <n v="3011572"/>
  </r>
  <r>
    <x v="0"/>
    <x v="12"/>
    <s v="Electric Generators, Electric Utilities"/>
    <x v="8"/>
    <n v="17375"/>
  </r>
  <r>
    <x v="0"/>
    <x v="12"/>
    <s v="Electric Generators, Electric Utilities"/>
    <x v="4"/>
    <n v="51315"/>
  </r>
  <r>
    <x v="0"/>
    <x v="12"/>
    <s v="Combined Heat and Power, Industrial Power"/>
    <x v="0"/>
    <n v="835446"/>
  </r>
  <r>
    <x v="0"/>
    <x v="12"/>
    <s v="Combined Heat and Power, Industrial Power"/>
    <x v="1"/>
    <n v="757340"/>
  </r>
  <r>
    <x v="0"/>
    <x v="12"/>
    <s v="Combined Heat and Power, Industrial Power"/>
    <x v="3"/>
    <n v="74960"/>
  </r>
  <r>
    <x v="0"/>
    <x v="12"/>
    <s v="Combined Heat and Power, Industrial Power"/>
    <x v="8"/>
    <n v="643"/>
  </r>
  <r>
    <x v="0"/>
    <x v="12"/>
    <s v="Combined Heat and Power, Industrial Power"/>
    <x v="4"/>
    <n v="2503"/>
  </r>
  <r>
    <x v="0"/>
    <x v="12"/>
    <s v="Combined Heat and Power, Electric Power"/>
    <x v="0"/>
    <n v="123970"/>
  </r>
  <r>
    <x v="0"/>
    <x v="12"/>
    <s v="Combined Heat and Power, Electric Power"/>
    <x v="1"/>
    <n v="103126"/>
  </r>
  <r>
    <x v="0"/>
    <x v="12"/>
    <s v="Combined Heat and Power, Electric Power"/>
    <x v="3"/>
    <n v="20844"/>
  </r>
  <r>
    <x v="0"/>
    <x v="12"/>
    <s v="Combined Heat and Power, Commercial Power"/>
    <x v="0"/>
    <n v="17195"/>
  </r>
  <r>
    <x v="0"/>
    <x v="12"/>
    <s v="Combined Heat and Power, Commercial Power"/>
    <x v="1"/>
    <n v="11908"/>
  </r>
  <r>
    <x v="0"/>
    <x v="12"/>
    <s v="Combined Heat and Power, Commercial Power"/>
    <x v="3"/>
    <n v="4931"/>
  </r>
  <r>
    <x v="0"/>
    <x v="12"/>
    <s v="Combined Heat and Power, Commercial Power"/>
    <x v="4"/>
    <n v="356"/>
  </r>
  <r>
    <x v="0"/>
    <x v="13"/>
    <s v="Total Electric Power Industry"/>
    <x v="0"/>
    <n v="9691475"/>
  </r>
  <r>
    <x v="0"/>
    <x v="13"/>
    <s v="Total Electric Power Industry"/>
    <x v="1"/>
    <n v="44371"/>
  </r>
  <r>
    <x v="0"/>
    <x v="13"/>
    <s v="Total Electric Power Industry"/>
    <x v="2"/>
    <n v="9114990"/>
  </r>
  <r>
    <x v="0"/>
    <x v="13"/>
    <s v="Total Electric Power Industry"/>
    <x v="3"/>
    <n v="55714"/>
  </r>
  <r>
    <x v="0"/>
    <x v="13"/>
    <s v="Total Electric Power Industry"/>
    <x v="12"/>
    <n v="65203"/>
  </r>
  <r>
    <x v="0"/>
    <x v="13"/>
    <s v="Total Electric Power Industry"/>
    <x v="4"/>
    <n v="994"/>
  </r>
  <r>
    <x v="0"/>
    <x v="13"/>
    <s v="Total Electric Power Industry"/>
    <x v="6"/>
    <n v="410203"/>
  </r>
  <r>
    <x v="0"/>
    <x v="13"/>
    <s v="Electric Generators, Independent Power Producers"/>
    <x v="0"/>
    <n v="497628"/>
  </r>
  <r>
    <x v="0"/>
    <x v="13"/>
    <s v="Electric Generators, Independent Power Producers"/>
    <x v="2"/>
    <n v="497628"/>
  </r>
  <r>
    <x v="0"/>
    <x v="13"/>
    <s v="Electric Generators, Electric Utilities"/>
    <x v="0"/>
    <n v="8617977"/>
  </r>
  <r>
    <x v="0"/>
    <x v="13"/>
    <s v="Electric Generators, Electric Utilities"/>
    <x v="2"/>
    <n v="8617362"/>
  </r>
  <r>
    <x v="0"/>
    <x v="13"/>
    <s v="Electric Generators, Electric Utilities"/>
    <x v="4"/>
    <n v="615"/>
  </r>
  <r>
    <x v="0"/>
    <x v="13"/>
    <s v="Combined Heat and Power, Industrial Power"/>
    <x v="0"/>
    <n v="494877"/>
  </r>
  <r>
    <x v="0"/>
    <x v="13"/>
    <s v="Combined Heat and Power, Industrial Power"/>
    <x v="1"/>
    <n v="44371"/>
  </r>
  <r>
    <x v="0"/>
    <x v="13"/>
    <s v="Combined Heat and Power, Industrial Power"/>
    <x v="3"/>
    <n v="55714"/>
  </r>
  <r>
    <x v="0"/>
    <x v="13"/>
    <s v="Combined Heat and Power, Industrial Power"/>
    <x v="12"/>
    <n v="65203"/>
  </r>
  <r>
    <x v="0"/>
    <x v="13"/>
    <s v="Combined Heat and Power, Industrial Power"/>
    <x v="4"/>
    <n v="379"/>
  </r>
  <r>
    <x v="0"/>
    <x v="13"/>
    <s v="Combined Heat and Power, Industrial Power"/>
    <x v="6"/>
    <n v="329210"/>
  </r>
  <r>
    <x v="0"/>
    <x v="13"/>
    <s v="Combined Heat and Power, Electric Power"/>
    <x v="0"/>
    <n v="80993"/>
  </r>
  <r>
    <x v="0"/>
    <x v="13"/>
    <s v="Combined Heat and Power, Electric Power"/>
    <x v="6"/>
    <n v="80993"/>
  </r>
  <r>
    <x v="0"/>
    <x v="14"/>
    <s v="Total Electric Power Industry"/>
    <x v="0"/>
    <n v="129392471"/>
  </r>
  <r>
    <x v="0"/>
    <x v="14"/>
    <s v="Total Electric Power Industry"/>
    <x v="1"/>
    <n v="54966018"/>
  </r>
  <r>
    <x v="0"/>
    <x v="14"/>
    <s v="Total Electric Power Industry"/>
    <x v="2"/>
    <n v="143926"/>
  </r>
  <r>
    <x v="0"/>
    <x v="14"/>
    <s v="Total Electric Power Industry"/>
    <x v="3"/>
    <n v="1419891"/>
  </r>
  <r>
    <x v="0"/>
    <x v="14"/>
    <s v="Total Electric Power Industry"/>
    <x v="7"/>
    <n v="71887302"/>
  </r>
  <r>
    <x v="0"/>
    <x v="14"/>
    <s v="Total Electric Power Industry"/>
    <x v="8"/>
    <n v="154855"/>
  </r>
  <r>
    <x v="0"/>
    <x v="14"/>
    <s v="Total Electric Power Industry"/>
    <x v="9"/>
    <n v="381562"/>
  </r>
  <r>
    <x v="0"/>
    <x v="14"/>
    <s v="Total Electric Power Industry"/>
    <x v="4"/>
    <n v="438584"/>
  </r>
  <r>
    <x v="0"/>
    <x v="14"/>
    <s v="Total Electric Power Industry"/>
    <x v="6"/>
    <n v="333"/>
  </r>
  <r>
    <x v="0"/>
    <x v="14"/>
    <s v="Electric Generators, Independent Power Producers"/>
    <x v="0"/>
    <n v="209717"/>
  </r>
  <r>
    <x v="0"/>
    <x v="14"/>
    <s v="Electric Generators, Independent Power Producers"/>
    <x v="2"/>
    <n v="83086"/>
  </r>
  <r>
    <x v="0"/>
    <x v="14"/>
    <s v="Electric Generators, Independent Power Producers"/>
    <x v="8"/>
    <n v="126525"/>
  </r>
  <r>
    <x v="0"/>
    <x v="14"/>
    <s v="Electric Generators, Independent Power Producers"/>
    <x v="4"/>
    <n v="106"/>
  </r>
  <r>
    <x v="0"/>
    <x v="14"/>
    <s v="Electric Generators, Electric Utilities"/>
    <x v="0"/>
    <n v="126977389"/>
  </r>
  <r>
    <x v="0"/>
    <x v="14"/>
    <s v="Electric Generators, Electric Utilities"/>
    <x v="1"/>
    <n v="53865768"/>
  </r>
  <r>
    <x v="0"/>
    <x v="14"/>
    <s v="Electric Generators, Electric Utilities"/>
    <x v="2"/>
    <n v="60840"/>
  </r>
  <r>
    <x v="0"/>
    <x v="14"/>
    <s v="Electric Generators, Electric Utilities"/>
    <x v="3"/>
    <n v="740926"/>
  </r>
  <r>
    <x v="0"/>
    <x v="14"/>
    <s v="Electric Generators, Electric Utilities"/>
    <x v="7"/>
    <n v="71887302"/>
  </r>
  <r>
    <x v="0"/>
    <x v="14"/>
    <s v="Electric Generators, Electric Utilities"/>
    <x v="4"/>
    <n v="422553"/>
  </r>
  <r>
    <x v="0"/>
    <x v="14"/>
    <s v="Combined Heat and Power, Industrial Power"/>
    <x v="0"/>
    <n v="2097646"/>
  </r>
  <r>
    <x v="0"/>
    <x v="14"/>
    <s v="Combined Heat and Power, Industrial Power"/>
    <x v="1"/>
    <n v="1100250"/>
  </r>
  <r>
    <x v="0"/>
    <x v="14"/>
    <s v="Combined Heat and Power, Industrial Power"/>
    <x v="3"/>
    <n v="599576"/>
  </r>
  <r>
    <x v="0"/>
    <x v="14"/>
    <s v="Combined Heat and Power, Industrial Power"/>
    <x v="9"/>
    <n v="381562"/>
  </r>
  <r>
    <x v="0"/>
    <x v="14"/>
    <s v="Combined Heat and Power, Industrial Power"/>
    <x v="4"/>
    <n v="15925"/>
  </r>
  <r>
    <x v="0"/>
    <x v="14"/>
    <s v="Combined Heat and Power, Industrial Power"/>
    <x v="6"/>
    <n v="333"/>
  </r>
  <r>
    <x v="0"/>
    <x v="14"/>
    <s v="Combined Heat and Power, Electric Power"/>
    <x v="0"/>
    <n v="37664"/>
  </r>
  <r>
    <x v="0"/>
    <x v="14"/>
    <s v="Combined Heat and Power, Electric Power"/>
    <x v="3"/>
    <n v="9334"/>
  </r>
  <r>
    <x v="0"/>
    <x v="14"/>
    <s v="Combined Heat and Power, Electric Power"/>
    <x v="8"/>
    <n v="28330"/>
  </r>
  <r>
    <x v="0"/>
    <x v="14"/>
    <s v="Combined Heat and Power, Commercial Power"/>
    <x v="0"/>
    <n v="70055"/>
  </r>
  <r>
    <x v="0"/>
    <x v="14"/>
    <s v="Combined Heat and Power, Commercial Power"/>
    <x v="3"/>
    <n v="70055"/>
  </r>
  <r>
    <x v="0"/>
    <x v="14"/>
    <s v="Combined Heat and Power, Commercial Power"/>
    <x v="4"/>
    <n v="0"/>
  </r>
  <r>
    <x v="0"/>
    <x v="15"/>
    <s v="Total Electric Power Industry"/>
    <x v="0"/>
    <n v="101417116"/>
  </r>
  <r>
    <x v="0"/>
    <x v="15"/>
    <s v="Total Electric Power Industry"/>
    <x v="1"/>
    <n v="96925554"/>
  </r>
  <r>
    <x v="0"/>
    <x v="15"/>
    <s v="Total Electric Power Industry"/>
    <x v="2"/>
    <n v="441021"/>
  </r>
  <r>
    <x v="0"/>
    <x v="15"/>
    <s v="Total Electric Power Industry"/>
    <x v="3"/>
    <n v="1470837"/>
  </r>
  <r>
    <x v="0"/>
    <x v="15"/>
    <s v="Total Electric Power Industry"/>
    <x v="8"/>
    <n v="37117"/>
  </r>
  <r>
    <x v="0"/>
    <x v="15"/>
    <s v="Total Electric Power Industry"/>
    <x v="9"/>
    <n v="1674549"/>
  </r>
  <r>
    <x v="0"/>
    <x v="15"/>
    <s v="Total Electric Power Industry"/>
    <x v="4"/>
    <n v="868038"/>
  </r>
  <r>
    <x v="0"/>
    <x v="15"/>
    <s v="Electric Generators, Electric Utilities"/>
    <x v="0"/>
    <n v="97738497"/>
  </r>
  <r>
    <x v="0"/>
    <x v="15"/>
    <s v="Electric Generators, Electric Utilities"/>
    <x v="1"/>
    <n v="96012872"/>
  </r>
  <r>
    <x v="0"/>
    <x v="15"/>
    <s v="Electric Generators, Electric Utilities"/>
    <x v="2"/>
    <n v="441021"/>
  </r>
  <r>
    <x v="0"/>
    <x v="15"/>
    <s v="Electric Generators, Electric Utilities"/>
    <x v="3"/>
    <n v="610620"/>
  </r>
  <r>
    <x v="0"/>
    <x v="15"/>
    <s v="Electric Generators, Electric Utilities"/>
    <x v="4"/>
    <n v="673984"/>
  </r>
  <r>
    <x v="0"/>
    <x v="15"/>
    <s v="Combined Heat and Power, Industrial Power"/>
    <x v="0"/>
    <n v="3555176"/>
  </r>
  <r>
    <x v="0"/>
    <x v="15"/>
    <s v="Combined Heat and Power, Industrial Power"/>
    <x v="1"/>
    <n v="831188"/>
  </r>
  <r>
    <x v="0"/>
    <x v="15"/>
    <s v="Combined Heat and Power, Industrial Power"/>
    <x v="3"/>
    <n v="855943"/>
  </r>
  <r>
    <x v="0"/>
    <x v="15"/>
    <s v="Combined Heat and Power, Industrial Power"/>
    <x v="9"/>
    <n v="1674549"/>
  </r>
  <r>
    <x v="0"/>
    <x v="15"/>
    <s v="Combined Heat and Power, Industrial Power"/>
    <x v="4"/>
    <n v="193496"/>
  </r>
  <r>
    <x v="0"/>
    <x v="15"/>
    <s v="Combined Heat and Power, Commercial Power"/>
    <x v="0"/>
    <n v="123443"/>
  </r>
  <r>
    <x v="0"/>
    <x v="15"/>
    <s v="Combined Heat and Power, Commercial Power"/>
    <x v="1"/>
    <n v="81494"/>
  </r>
  <r>
    <x v="0"/>
    <x v="15"/>
    <s v="Combined Heat and Power, Commercial Power"/>
    <x v="3"/>
    <n v="4274"/>
  </r>
  <r>
    <x v="0"/>
    <x v="15"/>
    <s v="Combined Heat and Power, Commercial Power"/>
    <x v="8"/>
    <n v="37117"/>
  </r>
  <r>
    <x v="0"/>
    <x v="15"/>
    <s v="Combined Heat and Power, Commercial Power"/>
    <x v="4"/>
    <n v="558"/>
  </r>
  <r>
    <x v="0"/>
    <x v="16"/>
    <s v="Total Electric Power Industry"/>
    <x v="0"/>
    <n v="34184857"/>
  </r>
  <r>
    <x v="0"/>
    <x v="16"/>
    <s v="Total Electric Power Industry"/>
    <x v="1"/>
    <n v="23720258"/>
  </r>
  <r>
    <x v="0"/>
    <x v="16"/>
    <s v="Total Electric Power Industry"/>
    <x v="2"/>
    <n v="13234"/>
  </r>
  <r>
    <x v="0"/>
    <x v="16"/>
    <s v="Total Electric Power Industry"/>
    <x v="3"/>
    <n v="2502807"/>
  </r>
  <r>
    <x v="0"/>
    <x v="16"/>
    <s v="Total Electric Power Industry"/>
    <x v="7"/>
    <n v="7874487"/>
  </r>
  <r>
    <x v="0"/>
    <x v="16"/>
    <s v="Total Electric Power Industry"/>
    <x v="4"/>
    <n v="74026"/>
  </r>
  <r>
    <x v="0"/>
    <x v="16"/>
    <s v="Total Electric Power Industry"/>
    <x v="5"/>
    <n v="45"/>
  </r>
  <r>
    <x v="0"/>
    <x v="16"/>
    <s v="Electric Generators, Independent Power Producers"/>
    <x v="0"/>
    <n v="1465"/>
  </r>
  <r>
    <x v="0"/>
    <x v="16"/>
    <s v="Electric Generators, Independent Power Producers"/>
    <x v="2"/>
    <n v="1465"/>
  </r>
  <r>
    <x v="0"/>
    <x v="16"/>
    <s v="Electric Generators, Electric Utilities"/>
    <x v="0"/>
    <n v="33868644"/>
  </r>
  <r>
    <x v="0"/>
    <x v="16"/>
    <s v="Electric Generators, Electric Utilities"/>
    <x v="1"/>
    <n v="23720258"/>
  </r>
  <r>
    <x v="0"/>
    <x v="16"/>
    <s v="Electric Generators, Electric Utilities"/>
    <x v="2"/>
    <n v="11769"/>
  </r>
  <r>
    <x v="0"/>
    <x v="16"/>
    <s v="Electric Generators, Electric Utilities"/>
    <x v="3"/>
    <n v="2196341"/>
  </r>
  <r>
    <x v="0"/>
    <x v="16"/>
    <s v="Electric Generators, Electric Utilities"/>
    <x v="7"/>
    <n v="7874487"/>
  </r>
  <r>
    <x v="0"/>
    <x v="16"/>
    <s v="Electric Generators, Electric Utilities"/>
    <x v="4"/>
    <n v="65744"/>
  </r>
  <r>
    <x v="0"/>
    <x v="16"/>
    <s v="Electric Generators, Electric Utilities"/>
    <x v="5"/>
    <n v="45"/>
  </r>
  <r>
    <x v="0"/>
    <x v="16"/>
    <s v="Combined Heat and Power, Industrial Power"/>
    <x v="0"/>
    <n v="314748"/>
  </r>
  <r>
    <x v="0"/>
    <x v="16"/>
    <s v="Combined Heat and Power, Industrial Power"/>
    <x v="3"/>
    <n v="306466"/>
  </r>
  <r>
    <x v="0"/>
    <x v="16"/>
    <s v="Combined Heat and Power, Industrial Power"/>
    <x v="4"/>
    <n v="8282"/>
  </r>
  <r>
    <x v="0"/>
    <x v="17"/>
    <s v="Total Electric Power Industry"/>
    <x v="0"/>
    <n v="73807286"/>
  </r>
  <r>
    <x v="0"/>
    <x v="17"/>
    <s v="Total Electric Power Industry"/>
    <x v="1"/>
    <n v="70500461"/>
  </r>
  <r>
    <x v="0"/>
    <x v="17"/>
    <s v="Total Electric Power Industry"/>
    <x v="2"/>
    <n v="3160383"/>
  </r>
  <r>
    <x v="0"/>
    <x v="17"/>
    <s v="Total Electric Power Industry"/>
    <x v="3"/>
    <n v="27796"/>
  </r>
  <r>
    <x v="0"/>
    <x v="17"/>
    <s v="Total Electric Power Industry"/>
    <x v="4"/>
    <n v="118646"/>
  </r>
  <r>
    <x v="0"/>
    <x v="17"/>
    <s v="Electric Generators, Electric Utilities"/>
    <x v="0"/>
    <n v="73807286"/>
  </r>
  <r>
    <x v="0"/>
    <x v="17"/>
    <s v="Electric Generators, Electric Utilities"/>
    <x v="1"/>
    <n v="70500461"/>
  </r>
  <r>
    <x v="0"/>
    <x v="17"/>
    <s v="Electric Generators, Electric Utilities"/>
    <x v="2"/>
    <n v="3160383"/>
  </r>
  <r>
    <x v="0"/>
    <x v="17"/>
    <s v="Electric Generators, Electric Utilities"/>
    <x v="3"/>
    <n v="27796"/>
  </r>
  <r>
    <x v="0"/>
    <x v="17"/>
    <s v="Electric Generators, Electric Utilities"/>
    <x v="4"/>
    <n v="118646"/>
  </r>
  <r>
    <x v="0"/>
    <x v="18"/>
    <s v="Total Electric Power Industry"/>
    <x v="0"/>
    <n v="76465630"/>
  </r>
  <r>
    <x v="0"/>
    <x v="18"/>
    <s v="Total Electric Power Industry"/>
    <x v="1"/>
    <n v="17856687"/>
  </r>
  <r>
    <x v="0"/>
    <x v="18"/>
    <s v="Total Electric Power Industry"/>
    <x v="2"/>
    <n v="656492"/>
  </r>
  <r>
    <x v="0"/>
    <x v="18"/>
    <s v="Total Electric Power Industry"/>
    <x v="3"/>
    <n v="39474866"/>
  </r>
  <r>
    <x v="0"/>
    <x v="18"/>
    <s v="Total Electric Power Industry"/>
    <x v="7"/>
    <n v="14196784"/>
  </r>
  <r>
    <x v="0"/>
    <x v="18"/>
    <s v="Total Electric Power Industry"/>
    <x v="12"/>
    <n v="1292819"/>
  </r>
  <r>
    <x v="0"/>
    <x v="18"/>
    <s v="Total Electric Power Industry"/>
    <x v="8"/>
    <n v="91646"/>
  </r>
  <r>
    <x v="0"/>
    <x v="18"/>
    <s v="Total Electric Power Industry"/>
    <x v="9"/>
    <n v="440700"/>
  </r>
  <r>
    <x v="0"/>
    <x v="18"/>
    <s v="Total Electric Power Industry"/>
    <x v="4"/>
    <n v="232098"/>
  </r>
  <r>
    <x v="0"/>
    <x v="18"/>
    <s v="Total Electric Power Industry"/>
    <x v="6"/>
    <n v="2223538"/>
  </r>
  <r>
    <x v="0"/>
    <x v="18"/>
    <s v="Electric Generators, Independent Power Producers"/>
    <x v="0"/>
    <n v="865775"/>
  </r>
  <r>
    <x v="0"/>
    <x v="18"/>
    <s v="Electric Generators, Independent Power Producers"/>
    <x v="2"/>
    <n v="656492"/>
  </r>
  <r>
    <x v="0"/>
    <x v="18"/>
    <s v="Electric Generators, Independent Power Producers"/>
    <x v="3"/>
    <n v="28014"/>
  </r>
  <r>
    <x v="0"/>
    <x v="18"/>
    <s v="Electric Generators, Independent Power Producers"/>
    <x v="8"/>
    <n v="91646"/>
  </r>
  <r>
    <x v="0"/>
    <x v="18"/>
    <s v="Electric Generators, Independent Power Producers"/>
    <x v="4"/>
    <n v="89623"/>
  </r>
  <r>
    <x v="0"/>
    <x v="18"/>
    <s v="Electric Generators, Electric Utilities"/>
    <x v="0"/>
    <n v="58168408"/>
  </r>
  <r>
    <x v="0"/>
    <x v="18"/>
    <s v="Electric Generators, Electric Utilities"/>
    <x v="1"/>
    <n v="17800084"/>
  </r>
  <r>
    <x v="0"/>
    <x v="18"/>
    <s v="Electric Generators, Electric Utilities"/>
    <x v="3"/>
    <n v="26041280"/>
  </r>
  <r>
    <x v="0"/>
    <x v="18"/>
    <s v="Electric Generators, Electric Utilities"/>
    <x v="7"/>
    <n v="14196784"/>
  </r>
  <r>
    <x v="0"/>
    <x v="18"/>
    <s v="Electric Generators, Electric Utilities"/>
    <x v="4"/>
    <n v="130260"/>
  </r>
  <r>
    <x v="0"/>
    <x v="18"/>
    <s v="Combined Heat and Power, Industrial Power"/>
    <x v="0"/>
    <n v="15797113"/>
  </r>
  <r>
    <x v="0"/>
    <x v="18"/>
    <s v="Combined Heat and Power, Industrial Power"/>
    <x v="1"/>
    <n v="56603"/>
  </r>
  <r>
    <x v="0"/>
    <x v="18"/>
    <s v="Combined Heat and Power, Industrial Power"/>
    <x v="3"/>
    <n v="11771238"/>
  </r>
  <r>
    <x v="0"/>
    <x v="18"/>
    <s v="Combined Heat and Power, Industrial Power"/>
    <x v="12"/>
    <n v="1292819"/>
  </r>
  <r>
    <x v="0"/>
    <x v="18"/>
    <s v="Combined Heat and Power, Industrial Power"/>
    <x v="8"/>
    <n v="0"/>
  </r>
  <r>
    <x v="0"/>
    <x v="18"/>
    <s v="Combined Heat and Power, Industrial Power"/>
    <x v="9"/>
    <n v="440700"/>
  </r>
  <r>
    <x v="0"/>
    <x v="18"/>
    <s v="Combined Heat and Power, Industrial Power"/>
    <x v="4"/>
    <n v="12215"/>
  </r>
  <r>
    <x v="0"/>
    <x v="18"/>
    <s v="Combined Heat and Power, Industrial Power"/>
    <x v="6"/>
    <n v="2223538"/>
  </r>
  <r>
    <x v="0"/>
    <x v="18"/>
    <s v="Combined Heat and Power, Electric Power"/>
    <x v="0"/>
    <n v="1603665"/>
  </r>
  <r>
    <x v="0"/>
    <x v="18"/>
    <s v="Combined Heat and Power, Electric Power"/>
    <x v="3"/>
    <n v="1603665"/>
  </r>
  <r>
    <x v="0"/>
    <x v="18"/>
    <s v="Combined Heat and Power, Electric Power"/>
    <x v="4"/>
    <n v="0"/>
  </r>
  <r>
    <x v="0"/>
    <x v="18"/>
    <s v="Combined Heat and Power, Commercial Power"/>
    <x v="0"/>
    <n v="30669"/>
  </r>
  <r>
    <x v="0"/>
    <x v="18"/>
    <s v="Combined Heat and Power, Commercial Power"/>
    <x v="3"/>
    <n v="30669"/>
  </r>
  <r>
    <x v="0"/>
    <x v="19"/>
    <s v="Total Electric Power Industry"/>
    <x v="0"/>
    <n v="39811011"/>
  </r>
  <r>
    <x v="0"/>
    <x v="19"/>
    <s v="Total Electric Power Industry"/>
    <x v="1"/>
    <n v="11365893"/>
  </r>
  <r>
    <x v="0"/>
    <x v="19"/>
    <s v="Total Electric Power Industry"/>
    <x v="2"/>
    <n v="1249242"/>
  </r>
  <r>
    <x v="0"/>
    <x v="19"/>
    <s v="Total Electric Power Industry"/>
    <x v="3"/>
    <n v="6132702"/>
  </r>
  <r>
    <x v="0"/>
    <x v="19"/>
    <s v="Total Electric Power Industry"/>
    <x v="7"/>
    <n v="5069620"/>
  </r>
  <r>
    <x v="0"/>
    <x v="19"/>
    <s v="Total Electric Power Industry"/>
    <x v="8"/>
    <n v="1560515"/>
  </r>
  <r>
    <x v="0"/>
    <x v="19"/>
    <s v="Total Electric Power Industry"/>
    <x v="9"/>
    <n v="830"/>
  </r>
  <r>
    <x v="0"/>
    <x v="19"/>
    <s v="Total Electric Power Industry"/>
    <x v="4"/>
    <n v="15101792"/>
  </r>
  <r>
    <x v="0"/>
    <x v="19"/>
    <s v="Total Electric Power Industry"/>
    <x v="10"/>
    <n v="-669583"/>
  </r>
  <r>
    <x v="0"/>
    <x v="19"/>
    <s v="Total Electric Power Industry"/>
    <x v="6"/>
    <n v="0"/>
  </r>
  <r>
    <x v="0"/>
    <x v="19"/>
    <s v="Electric Generators, Independent Power Producers"/>
    <x v="0"/>
    <n v="1729309"/>
  </r>
  <r>
    <x v="0"/>
    <x v="19"/>
    <s v="Electric Generators, Independent Power Producers"/>
    <x v="2"/>
    <n v="268881"/>
  </r>
  <r>
    <x v="0"/>
    <x v="19"/>
    <s v="Electric Generators, Independent Power Producers"/>
    <x v="3"/>
    <n v="6403"/>
  </r>
  <r>
    <x v="0"/>
    <x v="19"/>
    <s v="Electric Generators, Independent Power Producers"/>
    <x v="8"/>
    <n v="1445924"/>
  </r>
  <r>
    <x v="0"/>
    <x v="19"/>
    <s v="Electric Generators, Independent Power Producers"/>
    <x v="4"/>
    <n v="8101"/>
  </r>
  <r>
    <x v="0"/>
    <x v="19"/>
    <s v="Electric Generators, Electric Utilities"/>
    <x v="0"/>
    <n v="36478610"/>
  </r>
  <r>
    <x v="0"/>
    <x v="19"/>
    <s v="Electric Generators, Electric Utilities"/>
    <x v="1"/>
    <n v="11273069"/>
  </r>
  <r>
    <x v="0"/>
    <x v="19"/>
    <s v="Electric Generators, Electric Utilities"/>
    <x v="2"/>
    <n v="969108"/>
  </r>
  <r>
    <x v="0"/>
    <x v="19"/>
    <s v="Electric Generators, Electric Utilities"/>
    <x v="3"/>
    <n v="5279993"/>
  </r>
  <r>
    <x v="0"/>
    <x v="19"/>
    <s v="Electric Generators, Electric Utilities"/>
    <x v="7"/>
    <n v="5069620"/>
  </r>
  <r>
    <x v="0"/>
    <x v="19"/>
    <s v="Electric Generators, Electric Utilities"/>
    <x v="4"/>
    <n v="14556403"/>
  </r>
  <r>
    <x v="0"/>
    <x v="19"/>
    <s v="Electric Generators, Electric Utilities"/>
    <x v="10"/>
    <n v="-669583"/>
  </r>
  <r>
    <x v="0"/>
    <x v="19"/>
    <s v="Combined Heat and Power, Industrial Power"/>
    <x v="0"/>
    <n v="546661"/>
  </r>
  <r>
    <x v="0"/>
    <x v="19"/>
    <s v="Combined Heat and Power, Industrial Power"/>
    <x v="1"/>
    <n v="39187"/>
  </r>
  <r>
    <x v="0"/>
    <x v="19"/>
    <s v="Combined Heat and Power, Industrial Power"/>
    <x v="2"/>
    <n v="11253"/>
  </r>
  <r>
    <x v="0"/>
    <x v="19"/>
    <s v="Combined Heat and Power, Industrial Power"/>
    <x v="3"/>
    <n v="240711"/>
  </r>
  <r>
    <x v="0"/>
    <x v="19"/>
    <s v="Combined Heat and Power, Industrial Power"/>
    <x v="8"/>
    <n v="69738"/>
  </r>
  <r>
    <x v="0"/>
    <x v="19"/>
    <s v="Combined Heat and Power, Industrial Power"/>
    <x v="4"/>
    <n v="185772"/>
  </r>
  <r>
    <x v="0"/>
    <x v="19"/>
    <s v="Combined Heat and Power, Electric Power"/>
    <x v="0"/>
    <n v="750576"/>
  </r>
  <r>
    <x v="0"/>
    <x v="19"/>
    <s v="Combined Heat and Power, Electric Power"/>
    <x v="1"/>
    <n v="53637"/>
  </r>
  <r>
    <x v="0"/>
    <x v="19"/>
    <s v="Combined Heat and Power, Electric Power"/>
    <x v="3"/>
    <n v="592055"/>
  </r>
  <r>
    <x v="0"/>
    <x v="19"/>
    <s v="Combined Heat and Power, Electric Power"/>
    <x v="8"/>
    <n v="44845"/>
  </r>
  <r>
    <x v="0"/>
    <x v="19"/>
    <s v="Combined Heat and Power, Electric Power"/>
    <x v="9"/>
    <n v="830"/>
  </r>
  <r>
    <x v="0"/>
    <x v="19"/>
    <s v="Combined Heat and Power, Electric Power"/>
    <x v="4"/>
    <n v="59209"/>
  </r>
  <r>
    <x v="0"/>
    <x v="19"/>
    <s v="Combined Heat and Power, Electric Power"/>
    <x v="6"/>
    <n v="0"/>
  </r>
  <r>
    <x v="0"/>
    <x v="19"/>
    <s v="Combined Heat and Power, Commercial Power"/>
    <x v="0"/>
    <n v="305855"/>
  </r>
  <r>
    <x v="0"/>
    <x v="19"/>
    <s v="Combined Heat and Power, Commercial Power"/>
    <x v="3"/>
    <n v="13540"/>
  </r>
  <r>
    <x v="0"/>
    <x v="19"/>
    <s v="Combined Heat and Power, Commercial Power"/>
    <x v="8"/>
    <n v="8"/>
  </r>
  <r>
    <x v="0"/>
    <x v="19"/>
    <s v="Combined Heat and Power, Commercial Power"/>
    <x v="4"/>
    <n v="292307"/>
  </r>
  <r>
    <x v="0"/>
    <x v="20"/>
    <s v="Total Electric Power Industry"/>
    <x v="0"/>
    <n v="33162292"/>
  </r>
  <r>
    <x v="0"/>
    <x v="20"/>
    <s v="Total Electric Power Industry"/>
    <x v="1"/>
    <n v="23509862"/>
  </r>
  <r>
    <x v="0"/>
    <x v="20"/>
    <s v="Total Electric Power Industry"/>
    <x v="2"/>
    <n v="2298910"/>
  </r>
  <r>
    <x v="0"/>
    <x v="20"/>
    <s v="Total Electric Power Industry"/>
    <x v="3"/>
    <n v="1522443"/>
  </r>
  <r>
    <x v="0"/>
    <x v="20"/>
    <s v="Total Electric Power Industry"/>
    <x v="7"/>
    <n v="1251416"/>
  </r>
  <r>
    <x v="0"/>
    <x v="20"/>
    <s v="Total Electric Power Industry"/>
    <x v="8"/>
    <n v="371074"/>
  </r>
  <r>
    <x v="0"/>
    <x v="20"/>
    <s v="Total Electric Power Industry"/>
    <x v="9"/>
    <n v="488197"/>
  </r>
  <r>
    <x v="0"/>
    <x v="20"/>
    <s v="Total Electric Power Industry"/>
    <x v="4"/>
    <n v="3571272"/>
  </r>
  <r>
    <x v="0"/>
    <x v="20"/>
    <s v="Total Electric Power Industry"/>
    <x v="6"/>
    <n v="149118"/>
  </r>
  <r>
    <x v="0"/>
    <x v="20"/>
    <s v="Electric Generators, Independent Power Producers"/>
    <x v="0"/>
    <n v="19857"/>
  </r>
  <r>
    <x v="0"/>
    <x v="20"/>
    <s v="Electric Generators, Independent Power Producers"/>
    <x v="8"/>
    <n v="19857"/>
  </r>
  <r>
    <x v="0"/>
    <x v="20"/>
    <s v="Electric Generators, Electric Utilities"/>
    <x v="0"/>
    <n v="31497406"/>
  </r>
  <r>
    <x v="0"/>
    <x v="20"/>
    <s v="Electric Generators, Electric Utilities"/>
    <x v="1"/>
    <n v="23299412"/>
  </r>
  <r>
    <x v="0"/>
    <x v="20"/>
    <s v="Electric Generators, Electric Utilities"/>
    <x v="2"/>
    <n v="2298910"/>
  </r>
  <r>
    <x v="0"/>
    <x v="20"/>
    <s v="Electric Generators, Electric Utilities"/>
    <x v="3"/>
    <n v="1319588"/>
  </r>
  <r>
    <x v="0"/>
    <x v="20"/>
    <s v="Electric Generators, Electric Utilities"/>
    <x v="7"/>
    <n v="1251416"/>
  </r>
  <r>
    <x v="0"/>
    <x v="20"/>
    <s v="Electric Generators, Electric Utilities"/>
    <x v="8"/>
    <n v="0"/>
  </r>
  <r>
    <x v="0"/>
    <x v="20"/>
    <s v="Electric Generators, Electric Utilities"/>
    <x v="4"/>
    <n v="3328080"/>
  </r>
  <r>
    <x v="0"/>
    <x v="20"/>
    <s v="Combined Heat and Power, Industrial Power"/>
    <x v="0"/>
    <n v="347398"/>
  </r>
  <r>
    <x v="0"/>
    <x v="20"/>
    <s v="Combined Heat and Power, Industrial Power"/>
    <x v="1"/>
    <n v="183267"/>
  </r>
  <r>
    <x v="0"/>
    <x v="20"/>
    <s v="Combined Heat and Power, Industrial Power"/>
    <x v="3"/>
    <n v="28381"/>
  </r>
  <r>
    <x v="0"/>
    <x v="20"/>
    <s v="Combined Heat and Power, Industrial Power"/>
    <x v="4"/>
    <n v="4102"/>
  </r>
  <r>
    <x v="0"/>
    <x v="20"/>
    <s v="Combined Heat and Power, Industrial Power"/>
    <x v="6"/>
    <n v="131648"/>
  </r>
  <r>
    <x v="0"/>
    <x v="20"/>
    <s v="Combined Heat and Power, Electric Power"/>
    <x v="0"/>
    <n v="1227014"/>
  </r>
  <r>
    <x v="0"/>
    <x v="20"/>
    <s v="Combined Heat and Power, Electric Power"/>
    <x v="3"/>
    <n v="174474"/>
  </r>
  <r>
    <x v="0"/>
    <x v="20"/>
    <s v="Combined Heat and Power, Electric Power"/>
    <x v="8"/>
    <n v="334824"/>
  </r>
  <r>
    <x v="0"/>
    <x v="20"/>
    <s v="Combined Heat and Power, Electric Power"/>
    <x v="9"/>
    <n v="488197"/>
  </r>
  <r>
    <x v="0"/>
    <x v="20"/>
    <s v="Combined Heat and Power, Electric Power"/>
    <x v="4"/>
    <n v="229519"/>
  </r>
  <r>
    <x v="0"/>
    <x v="20"/>
    <s v="Combined Heat and Power, Commercial Power"/>
    <x v="0"/>
    <n v="70617"/>
  </r>
  <r>
    <x v="0"/>
    <x v="20"/>
    <s v="Combined Heat and Power, Commercial Power"/>
    <x v="1"/>
    <n v="27183"/>
  </r>
  <r>
    <x v="0"/>
    <x v="20"/>
    <s v="Combined Heat and Power, Commercial Power"/>
    <x v="8"/>
    <n v="16393"/>
  </r>
  <r>
    <x v="0"/>
    <x v="20"/>
    <s v="Combined Heat and Power, Commercial Power"/>
    <x v="4"/>
    <n v="9571"/>
  </r>
  <r>
    <x v="0"/>
    <x v="20"/>
    <s v="Combined Heat and Power, Commercial Power"/>
    <x v="6"/>
    <n v="17470"/>
  </r>
  <r>
    <x v="0"/>
    <x v="21"/>
    <s v="Total Electric Power Industry"/>
    <x v="0"/>
    <n v="15946014"/>
  </r>
  <r>
    <x v="0"/>
    <x v="21"/>
    <s v="Total Electric Power Industry"/>
    <x v="1"/>
    <n v="453218"/>
  </r>
  <r>
    <x v="0"/>
    <x v="21"/>
    <s v="Total Electric Power Industry"/>
    <x v="2"/>
    <n v="4090536"/>
  </r>
  <r>
    <x v="0"/>
    <x v="21"/>
    <s v="Total Electric Power Industry"/>
    <x v="3"/>
    <n v="50786"/>
  </r>
  <r>
    <x v="0"/>
    <x v="21"/>
    <s v="Total Electric Power Industry"/>
    <x v="7"/>
    <n v="4860727"/>
  </r>
  <r>
    <x v="0"/>
    <x v="21"/>
    <s v="Total Electric Power Industry"/>
    <x v="8"/>
    <n v="360798"/>
  </r>
  <r>
    <x v="0"/>
    <x v="21"/>
    <s v="Total Electric Power Industry"/>
    <x v="4"/>
    <n v="3081100"/>
  </r>
  <r>
    <x v="0"/>
    <x v="21"/>
    <s v="Total Electric Power Industry"/>
    <x v="6"/>
    <n v="3048849"/>
  </r>
  <r>
    <x v="0"/>
    <x v="21"/>
    <s v="Electric Generators, Independent Power Producers"/>
    <x v="0"/>
    <n v="1880019"/>
  </r>
  <r>
    <x v="0"/>
    <x v="21"/>
    <s v="Electric Generators, Independent Power Producers"/>
    <x v="2"/>
    <n v="636300"/>
  </r>
  <r>
    <x v="0"/>
    <x v="21"/>
    <s v="Electric Generators, Independent Power Producers"/>
    <x v="3"/>
    <n v="13277"/>
  </r>
  <r>
    <x v="0"/>
    <x v="21"/>
    <s v="Electric Generators, Independent Power Producers"/>
    <x v="8"/>
    <n v="195063"/>
  </r>
  <r>
    <x v="0"/>
    <x v="21"/>
    <s v="Electric Generators, Independent Power Producers"/>
    <x v="4"/>
    <n v="1738"/>
  </r>
  <r>
    <x v="0"/>
    <x v="21"/>
    <s v="Electric Generators, Independent Power Producers"/>
    <x v="6"/>
    <n v="1033641"/>
  </r>
  <r>
    <x v="0"/>
    <x v="21"/>
    <s v="Electric Generators, Electric Utilities"/>
    <x v="0"/>
    <n v="9063595"/>
  </r>
  <r>
    <x v="0"/>
    <x v="21"/>
    <s v="Electric Generators, Electric Utilities"/>
    <x v="2"/>
    <n v="2110064"/>
  </r>
  <r>
    <x v="0"/>
    <x v="21"/>
    <s v="Electric Generators, Electric Utilities"/>
    <x v="7"/>
    <n v="4860727"/>
  </r>
  <r>
    <x v="0"/>
    <x v="21"/>
    <s v="Electric Generators, Electric Utilities"/>
    <x v="4"/>
    <n v="2092804"/>
  </r>
  <r>
    <x v="0"/>
    <x v="21"/>
    <s v="Combined Heat and Power, Industrial Power"/>
    <x v="0"/>
    <n v="4361911"/>
  </r>
  <r>
    <x v="0"/>
    <x v="21"/>
    <s v="Combined Heat and Power, Industrial Power"/>
    <x v="1"/>
    <n v="186945"/>
  </r>
  <r>
    <x v="0"/>
    <x v="21"/>
    <s v="Combined Heat and Power, Industrial Power"/>
    <x v="2"/>
    <n v="1344172"/>
  </r>
  <r>
    <x v="0"/>
    <x v="21"/>
    <s v="Combined Heat and Power, Industrial Power"/>
    <x v="3"/>
    <n v="37509"/>
  </r>
  <r>
    <x v="0"/>
    <x v="21"/>
    <s v="Combined Heat and Power, Industrial Power"/>
    <x v="8"/>
    <n v="29649"/>
  </r>
  <r>
    <x v="0"/>
    <x v="21"/>
    <s v="Combined Heat and Power, Industrial Power"/>
    <x v="4"/>
    <n v="975643"/>
  </r>
  <r>
    <x v="0"/>
    <x v="21"/>
    <s v="Combined Heat and Power, Industrial Power"/>
    <x v="6"/>
    <n v="1787993"/>
  </r>
  <r>
    <x v="0"/>
    <x v="21"/>
    <s v="Combined Heat and Power, Electric Power"/>
    <x v="0"/>
    <n v="473221"/>
  </r>
  <r>
    <x v="0"/>
    <x v="21"/>
    <s v="Combined Heat and Power, Electric Power"/>
    <x v="1"/>
    <n v="266273"/>
  </r>
  <r>
    <x v="0"/>
    <x v="21"/>
    <s v="Combined Heat and Power, Electric Power"/>
    <x v="4"/>
    <n v="8768"/>
  </r>
  <r>
    <x v="0"/>
    <x v="21"/>
    <s v="Combined Heat and Power, Electric Power"/>
    <x v="6"/>
    <n v="198180"/>
  </r>
  <r>
    <x v="0"/>
    <x v="21"/>
    <s v="Combined Heat and Power, Commercial Power"/>
    <x v="0"/>
    <n v="167268"/>
  </r>
  <r>
    <x v="0"/>
    <x v="21"/>
    <s v="Combined Heat and Power, Commercial Power"/>
    <x v="1"/>
    <n v="0"/>
  </r>
  <r>
    <x v="0"/>
    <x v="21"/>
    <s v="Combined Heat and Power, Commercial Power"/>
    <x v="8"/>
    <n v="136086"/>
  </r>
  <r>
    <x v="0"/>
    <x v="21"/>
    <s v="Combined Heat and Power, Commercial Power"/>
    <x v="4"/>
    <n v="2147"/>
  </r>
  <r>
    <x v="0"/>
    <x v="21"/>
    <s v="Combined Heat and Power, Commercial Power"/>
    <x v="6"/>
    <n v="29035"/>
  </r>
  <r>
    <x v="0"/>
    <x v="22"/>
    <s v="Total Electric Power Industry"/>
    <x v="0"/>
    <n v="100059737"/>
  </r>
  <r>
    <x v="0"/>
    <x v="22"/>
    <s v="Total Electric Power Industry"/>
    <x v="1"/>
    <n v="67066870"/>
  </r>
  <r>
    <x v="0"/>
    <x v="22"/>
    <s v="Total Electric Power Industry"/>
    <x v="2"/>
    <n v="1627918"/>
  </r>
  <r>
    <x v="0"/>
    <x v="22"/>
    <s v="Total Electric Power Industry"/>
    <x v="3"/>
    <n v="7837956"/>
  </r>
  <r>
    <x v="0"/>
    <x v="22"/>
    <s v="Total Electric Power Industry"/>
    <x v="7"/>
    <n v="21610500"/>
  </r>
  <r>
    <x v="0"/>
    <x v="22"/>
    <s v="Total Electric Power Industry"/>
    <x v="8"/>
    <n v="310842"/>
  </r>
  <r>
    <x v="0"/>
    <x v="22"/>
    <s v="Total Electric Power Industry"/>
    <x v="9"/>
    <n v="340949"/>
  </r>
  <r>
    <x v="0"/>
    <x v="22"/>
    <s v="Total Electric Power Industry"/>
    <x v="4"/>
    <n v="861725"/>
  </r>
  <r>
    <x v="0"/>
    <x v="22"/>
    <s v="Total Electric Power Industry"/>
    <x v="10"/>
    <n v="-694986"/>
  </r>
  <r>
    <x v="0"/>
    <x v="22"/>
    <s v="Total Electric Power Industry"/>
    <x v="6"/>
    <n v="1097963"/>
  </r>
  <r>
    <x v="0"/>
    <x v="22"/>
    <s v="Electric Generators, Independent Power Producers"/>
    <x v="0"/>
    <n v="638997"/>
  </r>
  <r>
    <x v="0"/>
    <x v="22"/>
    <s v="Electric Generators, Independent Power Producers"/>
    <x v="2"/>
    <n v="111986"/>
  </r>
  <r>
    <x v="0"/>
    <x v="22"/>
    <s v="Electric Generators, Independent Power Producers"/>
    <x v="3"/>
    <n v="4014"/>
  </r>
  <r>
    <x v="0"/>
    <x v="22"/>
    <s v="Electric Generators, Independent Power Producers"/>
    <x v="8"/>
    <n v="135097"/>
  </r>
  <r>
    <x v="0"/>
    <x v="22"/>
    <s v="Electric Generators, Independent Power Producers"/>
    <x v="6"/>
    <n v="387900"/>
  </r>
  <r>
    <x v="0"/>
    <x v="22"/>
    <s v="Electric Generators, Electric Utilities"/>
    <x v="0"/>
    <n v="89058681"/>
  </r>
  <r>
    <x v="0"/>
    <x v="22"/>
    <s v="Electric Generators, Electric Utilities"/>
    <x v="1"/>
    <n v="65295742"/>
  </r>
  <r>
    <x v="0"/>
    <x v="22"/>
    <s v="Electric Generators, Electric Utilities"/>
    <x v="2"/>
    <n v="1492822"/>
  </r>
  <r>
    <x v="0"/>
    <x v="22"/>
    <s v="Electric Generators, Electric Utilities"/>
    <x v="3"/>
    <n v="665142"/>
  </r>
  <r>
    <x v="0"/>
    <x v="22"/>
    <s v="Electric Generators, Electric Utilities"/>
    <x v="7"/>
    <n v="21610500"/>
  </r>
  <r>
    <x v="0"/>
    <x v="22"/>
    <s v="Electric Generators, Electric Utilities"/>
    <x v="4"/>
    <n v="689461"/>
  </r>
  <r>
    <x v="0"/>
    <x v="22"/>
    <s v="Electric Generators, Electric Utilities"/>
    <x v="10"/>
    <n v="-694986"/>
  </r>
  <r>
    <x v="0"/>
    <x v="22"/>
    <s v="Combined Heat and Power, Industrial Power"/>
    <x v="0"/>
    <n v="3597090"/>
  </r>
  <r>
    <x v="0"/>
    <x v="22"/>
    <s v="Combined Heat and Power, Industrial Power"/>
    <x v="1"/>
    <n v="1378933"/>
  </r>
  <r>
    <x v="0"/>
    <x v="22"/>
    <s v="Combined Heat and Power, Industrial Power"/>
    <x v="2"/>
    <n v="23110"/>
  </r>
  <r>
    <x v="0"/>
    <x v="22"/>
    <s v="Combined Heat and Power, Industrial Power"/>
    <x v="3"/>
    <n v="978650"/>
  </r>
  <r>
    <x v="0"/>
    <x v="22"/>
    <s v="Combined Heat and Power, Industrial Power"/>
    <x v="8"/>
    <n v="1436"/>
  </r>
  <r>
    <x v="0"/>
    <x v="22"/>
    <s v="Combined Heat and Power, Industrial Power"/>
    <x v="9"/>
    <n v="340949"/>
  </r>
  <r>
    <x v="0"/>
    <x v="22"/>
    <s v="Combined Heat and Power, Industrial Power"/>
    <x v="4"/>
    <n v="169150"/>
  </r>
  <r>
    <x v="0"/>
    <x v="22"/>
    <s v="Combined Heat and Power, Industrial Power"/>
    <x v="6"/>
    <n v="704862"/>
  </r>
  <r>
    <x v="0"/>
    <x v="22"/>
    <s v="Combined Heat and Power, Electric Power"/>
    <x v="0"/>
    <n v="6353648"/>
  </r>
  <r>
    <x v="0"/>
    <x v="22"/>
    <s v="Combined Heat and Power, Electric Power"/>
    <x v="1"/>
    <n v="186085"/>
  </r>
  <r>
    <x v="0"/>
    <x v="22"/>
    <s v="Combined Heat and Power, Electric Power"/>
    <x v="3"/>
    <n v="6162052"/>
  </r>
  <r>
    <x v="0"/>
    <x v="22"/>
    <s v="Combined Heat and Power, Electric Power"/>
    <x v="4"/>
    <n v="310"/>
  </r>
  <r>
    <x v="0"/>
    <x v="22"/>
    <s v="Combined Heat and Power, Electric Power"/>
    <x v="6"/>
    <n v="5201"/>
  </r>
  <r>
    <x v="0"/>
    <x v="22"/>
    <s v="Combined Heat and Power, Commercial Power"/>
    <x v="0"/>
    <n v="411321"/>
  </r>
  <r>
    <x v="0"/>
    <x v="22"/>
    <s v="Combined Heat and Power, Commercial Power"/>
    <x v="1"/>
    <n v="206110"/>
  </r>
  <r>
    <x v="0"/>
    <x v="22"/>
    <s v="Combined Heat and Power, Commercial Power"/>
    <x v="3"/>
    <n v="28098"/>
  </r>
  <r>
    <x v="0"/>
    <x v="22"/>
    <s v="Combined Heat and Power, Commercial Power"/>
    <x v="8"/>
    <n v="174309"/>
  </r>
  <r>
    <x v="0"/>
    <x v="22"/>
    <s v="Combined Heat and Power, Commercial Power"/>
    <x v="4"/>
    <n v="2804"/>
  </r>
  <r>
    <x v="0"/>
    <x v="23"/>
    <s v="Total Electric Power Industry"/>
    <x v="0"/>
    <n v="43070376"/>
  </r>
  <r>
    <x v="0"/>
    <x v="23"/>
    <s v="Total Electric Power Industry"/>
    <x v="1"/>
    <n v="28176280"/>
  </r>
  <r>
    <x v="0"/>
    <x v="23"/>
    <s v="Total Electric Power Industry"/>
    <x v="2"/>
    <n v="857046"/>
  </r>
  <r>
    <x v="0"/>
    <x v="23"/>
    <s v="Total Electric Power Industry"/>
    <x v="3"/>
    <n v="539839"/>
  </r>
  <r>
    <x v="0"/>
    <x v="23"/>
    <s v="Total Electric Power Industry"/>
    <x v="7"/>
    <n v="12139302"/>
  </r>
  <r>
    <x v="0"/>
    <x v="23"/>
    <s v="Total Electric Power Industry"/>
    <x v="8"/>
    <n v="484811"/>
  </r>
  <r>
    <x v="0"/>
    <x v="23"/>
    <s v="Total Electric Power Industry"/>
    <x v="4"/>
    <n v="447814"/>
  </r>
  <r>
    <x v="0"/>
    <x v="23"/>
    <s v="Total Electric Power Industry"/>
    <x v="5"/>
    <n v="266"/>
  </r>
  <r>
    <x v="0"/>
    <x v="23"/>
    <s v="Total Electric Power Industry"/>
    <x v="6"/>
    <n v="425018"/>
  </r>
  <r>
    <x v="0"/>
    <x v="23"/>
    <s v="Electric Generators, Independent Power Producers"/>
    <x v="0"/>
    <n v="239507"/>
  </r>
  <r>
    <x v="0"/>
    <x v="23"/>
    <s v="Electric Generators, Independent Power Producers"/>
    <x v="2"/>
    <n v="27794"/>
  </r>
  <r>
    <x v="0"/>
    <x v="23"/>
    <s v="Electric Generators, Independent Power Producers"/>
    <x v="3"/>
    <n v="4473"/>
  </r>
  <r>
    <x v="0"/>
    <x v="23"/>
    <s v="Electric Generators, Independent Power Producers"/>
    <x v="8"/>
    <n v="207240"/>
  </r>
  <r>
    <x v="0"/>
    <x v="23"/>
    <s v="Electric Generators, Electric Utilities"/>
    <x v="0"/>
    <n v="41549628"/>
  </r>
  <r>
    <x v="0"/>
    <x v="23"/>
    <s v="Electric Generators, Electric Utilities"/>
    <x v="1"/>
    <n v="27587603"/>
  </r>
  <r>
    <x v="0"/>
    <x v="23"/>
    <s v="Electric Generators, Electric Utilities"/>
    <x v="2"/>
    <n v="657574"/>
  </r>
  <r>
    <x v="0"/>
    <x v="23"/>
    <s v="Electric Generators, Electric Utilities"/>
    <x v="3"/>
    <n v="326083"/>
  </r>
  <r>
    <x v="0"/>
    <x v="23"/>
    <s v="Electric Generators, Electric Utilities"/>
    <x v="7"/>
    <n v="12139302"/>
  </r>
  <r>
    <x v="0"/>
    <x v="23"/>
    <s v="Electric Generators, Electric Utilities"/>
    <x v="8"/>
    <n v="250363"/>
  </r>
  <r>
    <x v="0"/>
    <x v="23"/>
    <s v="Electric Generators, Electric Utilities"/>
    <x v="4"/>
    <n v="440740"/>
  </r>
  <r>
    <x v="0"/>
    <x v="23"/>
    <s v="Electric Generators, Electric Utilities"/>
    <x v="5"/>
    <n v="266"/>
  </r>
  <r>
    <x v="0"/>
    <x v="23"/>
    <s v="Electric Generators, Electric Utilities"/>
    <x v="6"/>
    <n v="147697"/>
  </r>
  <r>
    <x v="0"/>
    <x v="23"/>
    <s v="Combined Heat and Power, Industrial Power"/>
    <x v="0"/>
    <n v="1180120"/>
  </r>
  <r>
    <x v="0"/>
    <x v="23"/>
    <s v="Combined Heat and Power, Industrial Power"/>
    <x v="1"/>
    <n v="588677"/>
  </r>
  <r>
    <x v="0"/>
    <x v="23"/>
    <s v="Combined Heat and Power, Industrial Power"/>
    <x v="2"/>
    <n v="171678"/>
  </r>
  <r>
    <x v="0"/>
    <x v="23"/>
    <s v="Combined Heat and Power, Industrial Power"/>
    <x v="3"/>
    <n v="130644"/>
  </r>
  <r>
    <x v="0"/>
    <x v="23"/>
    <s v="Combined Heat and Power, Industrial Power"/>
    <x v="8"/>
    <n v="7257"/>
  </r>
  <r>
    <x v="0"/>
    <x v="23"/>
    <s v="Combined Heat and Power, Industrial Power"/>
    <x v="4"/>
    <n v="4543"/>
  </r>
  <r>
    <x v="0"/>
    <x v="23"/>
    <s v="Combined Heat and Power, Industrial Power"/>
    <x v="6"/>
    <n v="277321"/>
  </r>
  <r>
    <x v="0"/>
    <x v="23"/>
    <s v="Combined Heat and Power, Commercial Power"/>
    <x v="0"/>
    <n v="101121"/>
  </r>
  <r>
    <x v="0"/>
    <x v="23"/>
    <s v="Combined Heat and Power, Commercial Power"/>
    <x v="3"/>
    <n v="78639"/>
  </r>
  <r>
    <x v="0"/>
    <x v="23"/>
    <s v="Combined Heat and Power, Commercial Power"/>
    <x v="8"/>
    <n v="19951"/>
  </r>
  <r>
    <x v="0"/>
    <x v="23"/>
    <s v="Combined Heat and Power, Commercial Power"/>
    <x v="4"/>
    <n v="2531"/>
  </r>
  <r>
    <x v="0"/>
    <x v="24"/>
    <s v="Total Electric Power Industry"/>
    <x v="0"/>
    <n v="59352830"/>
  </r>
  <r>
    <x v="0"/>
    <x v="24"/>
    <s v="Total Electric Power Industry"/>
    <x v="1"/>
    <n v="48796793"/>
  </r>
  <r>
    <x v="0"/>
    <x v="24"/>
    <s v="Total Electric Power Industry"/>
    <x v="2"/>
    <n v="2192115"/>
  </r>
  <r>
    <x v="0"/>
    <x v="24"/>
    <s v="Total Electric Power Industry"/>
    <x v="3"/>
    <n v="312109"/>
  </r>
  <r>
    <x v="0"/>
    <x v="24"/>
    <s v="Total Electric Power Industry"/>
    <x v="7"/>
    <n v="7998039"/>
  </r>
  <r>
    <x v="0"/>
    <x v="24"/>
    <s v="Total Electric Power Industry"/>
    <x v="4"/>
    <n v="90033"/>
  </r>
  <r>
    <x v="0"/>
    <x v="24"/>
    <s v="Total Electric Power Industry"/>
    <x v="10"/>
    <n v="-36259"/>
  </r>
  <r>
    <x v="0"/>
    <x v="24"/>
    <s v="Electric Generators, Electric Utilities"/>
    <x v="0"/>
    <n v="59010858"/>
  </r>
  <r>
    <x v="0"/>
    <x v="24"/>
    <s v="Electric Generators, Electric Utilities"/>
    <x v="1"/>
    <n v="48501751"/>
  </r>
  <r>
    <x v="0"/>
    <x v="24"/>
    <s v="Electric Generators, Electric Utilities"/>
    <x v="2"/>
    <n v="2192115"/>
  </r>
  <r>
    <x v="0"/>
    <x v="24"/>
    <s v="Electric Generators, Electric Utilities"/>
    <x v="3"/>
    <n v="265870"/>
  </r>
  <r>
    <x v="0"/>
    <x v="24"/>
    <s v="Electric Generators, Electric Utilities"/>
    <x v="7"/>
    <n v="7998039"/>
  </r>
  <r>
    <x v="0"/>
    <x v="24"/>
    <s v="Electric Generators, Electric Utilities"/>
    <x v="4"/>
    <n v="89342"/>
  </r>
  <r>
    <x v="0"/>
    <x v="24"/>
    <s v="Electric Generators, Electric Utilities"/>
    <x v="10"/>
    <n v="-36259"/>
  </r>
  <r>
    <x v="0"/>
    <x v="24"/>
    <s v="Combined Heat and Power, Industrial Power"/>
    <x v="0"/>
    <n v="184016"/>
  </r>
  <r>
    <x v="0"/>
    <x v="24"/>
    <s v="Combined Heat and Power, Industrial Power"/>
    <x v="1"/>
    <n v="138386"/>
  </r>
  <r>
    <x v="0"/>
    <x v="24"/>
    <s v="Combined Heat and Power, Industrial Power"/>
    <x v="3"/>
    <n v="45104"/>
  </r>
  <r>
    <x v="0"/>
    <x v="24"/>
    <s v="Combined Heat and Power, Industrial Power"/>
    <x v="4"/>
    <n v="526"/>
  </r>
  <r>
    <x v="0"/>
    <x v="24"/>
    <s v="Combined Heat and Power, Commercial Power"/>
    <x v="0"/>
    <n v="157956"/>
  </r>
  <r>
    <x v="0"/>
    <x v="24"/>
    <s v="Combined Heat and Power, Commercial Power"/>
    <x v="1"/>
    <n v="156656"/>
  </r>
  <r>
    <x v="0"/>
    <x v="24"/>
    <s v="Combined Heat and Power, Commercial Power"/>
    <x v="3"/>
    <n v="1135"/>
  </r>
  <r>
    <x v="0"/>
    <x v="24"/>
    <s v="Combined Heat and Power, Commercial Power"/>
    <x v="4"/>
    <n v="165"/>
  </r>
  <r>
    <x v="0"/>
    <x v="25"/>
    <s v="Total Electric Power Industry"/>
    <x v="0"/>
    <n v="25201417"/>
  </r>
  <r>
    <x v="0"/>
    <x v="25"/>
    <s v="Total Electric Power Industry"/>
    <x v="1"/>
    <n v="9526527"/>
  </r>
  <r>
    <x v="0"/>
    <x v="25"/>
    <s v="Total Electric Power Industry"/>
    <x v="3"/>
    <n v="5919664"/>
  </r>
  <r>
    <x v="0"/>
    <x v="25"/>
    <s v="Total Electric Power Industry"/>
    <x v="7"/>
    <n v="7422131"/>
  </r>
  <r>
    <x v="0"/>
    <x v="25"/>
    <s v="Total Electric Power Industry"/>
    <x v="4"/>
    <n v="738971"/>
  </r>
  <r>
    <x v="0"/>
    <x v="25"/>
    <s v="Total Electric Power Industry"/>
    <x v="6"/>
    <n v="1594124"/>
  </r>
  <r>
    <x v="0"/>
    <x v="25"/>
    <s v="Electric Generators, Electric Utilities"/>
    <x v="0"/>
    <n v="22923971"/>
  </r>
  <r>
    <x v="0"/>
    <x v="25"/>
    <s v="Electric Generators, Electric Utilities"/>
    <x v="1"/>
    <n v="9445584"/>
  </r>
  <r>
    <x v="0"/>
    <x v="25"/>
    <s v="Electric Generators, Electric Utilities"/>
    <x v="3"/>
    <n v="5350782"/>
  </r>
  <r>
    <x v="0"/>
    <x v="25"/>
    <s v="Electric Generators, Electric Utilities"/>
    <x v="7"/>
    <n v="7422131"/>
  </r>
  <r>
    <x v="0"/>
    <x v="25"/>
    <s v="Electric Generators, Electric Utilities"/>
    <x v="4"/>
    <n v="705474"/>
  </r>
  <r>
    <x v="0"/>
    <x v="25"/>
    <s v="Combined Heat and Power, Industrial Power"/>
    <x v="0"/>
    <n v="2277446"/>
  </r>
  <r>
    <x v="0"/>
    <x v="25"/>
    <s v="Combined Heat and Power, Industrial Power"/>
    <x v="1"/>
    <n v="80943"/>
  </r>
  <r>
    <x v="0"/>
    <x v="25"/>
    <s v="Combined Heat and Power, Industrial Power"/>
    <x v="3"/>
    <n v="568882"/>
  </r>
  <r>
    <x v="0"/>
    <x v="25"/>
    <s v="Combined Heat and Power, Industrial Power"/>
    <x v="4"/>
    <n v="33497"/>
  </r>
  <r>
    <x v="0"/>
    <x v="25"/>
    <s v="Combined Heat and Power, Industrial Power"/>
    <x v="6"/>
    <n v="1594124"/>
  </r>
  <r>
    <x v="0"/>
    <x v="26"/>
    <s v="Total Electric Power Industry"/>
    <x v="0"/>
    <n v="26029772"/>
  </r>
  <r>
    <x v="0"/>
    <x v="26"/>
    <s v="Total Electric Power Industry"/>
    <x v="1"/>
    <n v="15119619"/>
  </r>
  <r>
    <x v="0"/>
    <x v="26"/>
    <s v="Total Electric Power Industry"/>
    <x v="2"/>
    <n v="10716817"/>
  </r>
  <r>
    <x v="0"/>
    <x v="26"/>
    <s v="Total Electric Power Industry"/>
    <x v="3"/>
    <n v="55255"/>
  </r>
  <r>
    <x v="0"/>
    <x v="26"/>
    <s v="Total Electric Power Industry"/>
    <x v="4"/>
    <n v="28982"/>
  </r>
  <r>
    <x v="0"/>
    <x v="26"/>
    <s v="Total Electric Power Industry"/>
    <x v="5"/>
    <n v="0"/>
  </r>
  <r>
    <x v="0"/>
    <x v="26"/>
    <s v="Total Electric Power Industry"/>
    <x v="6"/>
    <n v="109099"/>
  </r>
  <r>
    <x v="0"/>
    <x v="26"/>
    <s v="Electric Generators, Independent Power Producers"/>
    <x v="0"/>
    <n v="261490"/>
  </r>
  <r>
    <x v="0"/>
    <x v="26"/>
    <s v="Electric Generators, Independent Power Producers"/>
    <x v="1"/>
    <n v="216960"/>
  </r>
  <r>
    <x v="0"/>
    <x v="26"/>
    <s v="Electric Generators, Independent Power Producers"/>
    <x v="2"/>
    <n v="44530"/>
  </r>
  <r>
    <x v="0"/>
    <x v="26"/>
    <s v="Electric Generators, Electric Utilities"/>
    <x v="0"/>
    <n v="25718975"/>
  </r>
  <r>
    <x v="0"/>
    <x v="26"/>
    <s v="Electric Generators, Electric Utilities"/>
    <x v="1"/>
    <n v="14902659"/>
  </r>
  <r>
    <x v="0"/>
    <x v="26"/>
    <s v="Electric Generators, Electric Utilities"/>
    <x v="2"/>
    <n v="10672287"/>
  </r>
  <r>
    <x v="0"/>
    <x v="26"/>
    <s v="Electric Generators, Electric Utilities"/>
    <x v="3"/>
    <n v="41173"/>
  </r>
  <r>
    <x v="0"/>
    <x v="26"/>
    <s v="Electric Generators, Electric Utilities"/>
    <x v="4"/>
    <n v="27369"/>
  </r>
  <r>
    <x v="0"/>
    <x v="26"/>
    <s v="Electric Generators, Electric Utilities"/>
    <x v="5"/>
    <n v="0"/>
  </r>
  <r>
    <x v="0"/>
    <x v="26"/>
    <s v="Electric Generators, Electric Utilities"/>
    <x v="6"/>
    <n v="75487"/>
  </r>
  <r>
    <x v="0"/>
    <x v="26"/>
    <s v="Combined Heat and Power, Industrial Power"/>
    <x v="0"/>
    <n v="49307"/>
  </r>
  <r>
    <x v="0"/>
    <x v="26"/>
    <s v="Combined Heat and Power, Industrial Power"/>
    <x v="3"/>
    <n v="14082"/>
  </r>
  <r>
    <x v="0"/>
    <x v="26"/>
    <s v="Combined Heat and Power, Industrial Power"/>
    <x v="4"/>
    <n v="1613"/>
  </r>
  <r>
    <x v="0"/>
    <x v="26"/>
    <s v="Combined Heat and Power, Industrial Power"/>
    <x v="6"/>
    <n v="33612"/>
  </r>
  <r>
    <x v="0"/>
    <x v="27"/>
    <s v="Total Electric Power Industry"/>
    <x v="0"/>
    <n v="84925767"/>
  </r>
  <r>
    <x v="0"/>
    <x v="27"/>
    <s v="Total Electric Power Industry"/>
    <x v="1"/>
    <n v="49821595"/>
  </r>
  <r>
    <x v="0"/>
    <x v="27"/>
    <s v="Total Electric Power Industry"/>
    <x v="2"/>
    <n v="6819427"/>
  </r>
  <r>
    <x v="0"/>
    <x v="27"/>
    <s v="Total Electric Power Industry"/>
    <x v="3"/>
    <n v="203465"/>
  </r>
  <r>
    <x v="0"/>
    <x v="27"/>
    <s v="Total Electric Power Industry"/>
    <x v="7"/>
    <n v="25905319"/>
  </r>
  <r>
    <x v="0"/>
    <x v="27"/>
    <s v="Total Electric Power Industry"/>
    <x v="12"/>
    <n v="203406"/>
  </r>
  <r>
    <x v="0"/>
    <x v="27"/>
    <s v="Total Electric Power Industry"/>
    <x v="8"/>
    <n v="26270"/>
  </r>
  <r>
    <x v="0"/>
    <x v="27"/>
    <s v="Total Electric Power Industry"/>
    <x v="4"/>
    <n v="328025"/>
  </r>
  <r>
    <x v="0"/>
    <x v="27"/>
    <s v="Total Electric Power Industry"/>
    <x v="10"/>
    <n v="180046"/>
  </r>
  <r>
    <x v="0"/>
    <x v="27"/>
    <s v="Total Electric Power Industry"/>
    <x v="6"/>
    <n v="1438214"/>
  </r>
  <r>
    <x v="0"/>
    <x v="27"/>
    <s v="Electric Generators, Independent Power Producers"/>
    <x v="0"/>
    <n v="103554"/>
  </r>
  <r>
    <x v="0"/>
    <x v="27"/>
    <s v="Electric Generators, Independent Power Producers"/>
    <x v="2"/>
    <n v="15769"/>
  </r>
  <r>
    <x v="0"/>
    <x v="27"/>
    <s v="Electric Generators, Independent Power Producers"/>
    <x v="3"/>
    <n v="890"/>
  </r>
  <r>
    <x v="0"/>
    <x v="27"/>
    <s v="Electric Generators, Independent Power Producers"/>
    <x v="8"/>
    <n v="26270"/>
  </r>
  <r>
    <x v="0"/>
    <x v="27"/>
    <s v="Electric Generators, Independent Power Producers"/>
    <x v="6"/>
    <n v="60625"/>
  </r>
  <r>
    <x v="0"/>
    <x v="27"/>
    <s v="Electric Generators, Electric Utilities"/>
    <x v="0"/>
    <n v="79845217"/>
  </r>
  <r>
    <x v="0"/>
    <x v="27"/>
    <s v="Electric Generators, Electric Utilities"/>
    <x v="1"/>
    <n v="46631040"/>
  </r>
  <r>
    <x v="0"/>
    <x v="27"/>
    <s v="Electric Generators, Electric Utilities"/>
    <x v="2"/>
    <n v="6776551"/>
  </r>
  <r>
    <x v="0"/>
    <x v="27"/>
    <s v="Electric Generators, Electric Utilities"/>
    <x v="3"/>
    <n v="165362"/>
  </r>
  <r>
    <x v="0"/>
    <x v="27"/>
    <s v="Electric Generators, Electric Utilities"/>
    <x v="7"/>
    <n v="25905319"/>
  </r>
  <r>
    <x v="0"/>
    <x v="27"/>
    <s v="Electric Generators, Electric Utilities"/>
    <x v="4"/>
    <n v="186899"/>
  </r>
  <r>
    <x v="0"/>
    <x v="27"/>
    <s v="Electric Generators, Electric Utilities"/>
    <x v="10"/>
    <n v="180046"/>
  </r>
  <r>
    <x v="0"/>
    <x v="27"/>
    <s v="Combined Heat and Power, Industrial Power"/>
    <x v="0"/>
    <n v="2366017"/>
  </r>
  <r>
    <x v="0"/>
    <x v="27"/>
    <s v="Combined Heat and Power, Industrial Power"/>
    <x v="1"/>
    <n v="620639"/>
  </r>
  <r>
    <x v="0"/>
    <x v="27"/>
    <s v="Combined Heat and Power, Industrial Power"/>
    <x v="2"/>
    <n v="2642"/>
  </r>
  <r>
    <x v="0"/>
    <x v="27"/>
    <s v="Combined Heat and Power, Industrial Power"/>
    <x v="3"/>
    <n v="25001"/>
  </r>
  <r>
    <x v="0"/>
    <x v="27"/>
    <s v="Combined Heat and Power, Industrial Power"/>
    <x v="12"/>
    <n v="203406"/>
  </r>
  <r>
    <x v="0"/>
    <x v="27"/>
    <s v="Combined Heat and Power, Industrial Power"/>
    <x v="4"/>
    <n v="136740"/>
  </r>
  <r>
    <x v="0"/>
    <x v="27"/>
    <s v="Combined Heat and Power, Industrial Power"/>
    <x v="6"/>
    <n v="1377589"/>
  </r>
  <r>
    <x v="0"/>
    <x v="27"/>
    <s v="Combined Heat and Power, Electric Power"/>
    <x v="0"/>
    <n v="2586514"/>
  </r>
  <r>
    <x v="0"/>
    <x v="27"/>
    <s v="Combined Heat and Power, Electric Power"/>
    <x v="1"/>
    <n v="2569916"/>
  </r>
  <r>
    <x v="0"/>
    <x v="27"/>
    <s v="Combined Heat and Power, Electric Power"/>
    <x v="3"/>
    <n v="12212"/>
  </r>
  <r>
    <x v="0"/>
    <x v="27"/>
    <s v="Combined Heat and Power, Electric Power"/>
    <x v="4"/>
    <n v="4386"/>
  </r>
  <r>
    <x v="0"/>
    <x v="27"/>
    <s v="Combined Heat and Power, Commercial Power"/>
    <x v="0"/>
    <n v="24465"/>
  </r>
  <r>
    <x v="0"/>
    <x v="27"/>
    <s v="Combined Heat and Power, Commercial Power"/>
    <x v="2"/>
    <n v="24465"/>
  </r>
  <r>
    <x v="0"/>
    <x v="28"/>
    <s v="Total Electric Power Industry"/>
    <x v="0"/>
    <n v="26993261"/>
  </r>
  <r>
    <x v="0"/>
    <x v="28"/>
    <s v="Total Electric Power Industry"/>
    <x v="1"/>
    <n v="25189003"/>
  </r>
  <r>
    <x v="0"/>
    <x v="28"/>
    <s v="Total Electric Power Industry"/>
    <x v="2"/>
    <n v="1711148"/>
  </r>
  <r>
    <x v="0"/>
    <x v="28"/>
    <s v="Total Electric Power Industry"/>
    <x v="3"/>
    <n v="51563"/>
  </r>
  <r>
    <x v="0"/>
    <x v="28"/>
    <s v="Total Electric Power Industry"/>
    <x v="4"/>
    <n v="41547"/>
  </r>
  <r>
    <x v="0"/>
    <x v="28"/>
    <s v="Electric Generators, Electric Utilities"/>
    <x v="0"/>
    <n v="26824491"/>
  </r>
  <r>
    <x v="0"/>
    <x v="28"/>
    <s v="Electric Generators, Electric Utilities"/>
    <x v="1"/>
    <n v="25092696"/>
  </r>
  <r>
    <x v="0"/>
    <x v="28"/>
    <s v="Electric Generators, Electric Utilities"/>
    <x v="2"/>
    <n v="1711148"/>
  </r>
  <r>
    <x v="0"/>
    <x v="28"/>
    <s v="Electric Generators, Electric Utilities"/>
    <x v="3"/>
    <n v="-35"/>
  </r>
  <r>
    <x v="0"/>
    <x v="28"/>
    <s v="Electric Generators, Electric Utilities"/>
    <x v="4"/>
    <n v="20682"/>
  </r>
  <r>
    <x v="0"/>
    <x v="28"/>
    <s v="Combined Heat and Power, Industrial Power"/>
    <x v="0"/>
    <n v="168770"/>
  </r>
  <r>
    <x v="0"/>
    <x v="28"/>
    <s v="Combined Heat and Power, Industrial Power"/>
    <x v="1"/>
    <n v="96307"/>
  </r>
  <r>
    <x v="0"/>
    <x v="28"/>
    <s v="Combined Heat and Power, Industrial Power"/>
    <x v="3"/>
    <n v="51598"/>
  </r>
  <r>
    <x v="0"/>
    <x v="28"/>
    <s v="Combined Heat and Power, Industrial Power"/>
    <x v="4"/>
    <n v="20865"/>
  </r>
  <r>
    <x v="0"/>
    <x v="29"/>
    <s v="Total Electric Power Industry"/>
    <x v="0"/>
    <n v="21633587"/>
  </r>
  <r>
    <x v="0"/>
    <x v="29"/>
    <s v="Total Electric Power Industry"/>
    <x v="1"/>
    <n v="12661150"/>
  </r>
  <r>
    <x v="0"/>
    <x v="29"/>
    <s v="Total Electric Power Industry"/>
    <x v="2"/>
    <n v="1140093"/>
  </r>
  <r>
    <x v="0"/>
    <x v="29"/>
    <s v="Total Electric Power Industry"/>
    <x v="3"/>
    <n v="308065"/>
  </r>
  <r>
    <x v="0"/>
    <x v="29"/>
    <s v="Total Electric Power Industry"/>
    <x v="7"/>
    <n v="7511298"/>
  </r>
  <r>
    <x v="0"/>
    <x v="29"/>
    <s v="Total Electric Power Industry"/>
    <x v="4"/>
    <n v="12981"/>
  </r>
  <r>
    <x v="0"/>
    <x v="29"/>
    <s v="Electric Generators, Electric Utilities"/>
    <x v="0"/>
    <n v="21630677"/>
  </r>
  <r>
    <x v="0"/>
    <x v="29"/>
    <s v="Electric Generators, Electric Utilities"/>
    <x v="1"/>
    <n v="12658464"/>
  </r>
  <r>
    <x v="0"/>
    <x v="29"/>
    <s v="Electric Generators, Electric Utilities"/>
    <x v="2"/>
    <n v="1140093"/>
  </r>
  <r>
    <x v="0"/>
    <x v="29"/>
    <s v="Electric Generators, Electric Utilities"/>
    <x v="3"/>
    <n v="307841"/>
  </r>
  <r>
    <x v="0"/>
    <x v="29"/>
    <s v="Electric Generators, Electric Utilities"/>
    <x v="7"/>
    <n v="7511298"/>
  </r>
  <r>
    <x v="0"/>
    <x v="29"/>
    <s v="Electric Generators, Electric Utilities"/>
    <x v="4"/>
    <n v="12981"/>
  </r>
  <r>
    <x v="0"/>
    <x v="29"/>
    <s v="Combined Heat and Power, Industrial Power"/>
    <x v="0"/>
    <n v="2910"/>
  </r>
  <r>
    <x v="0"/>
    <x v="29"/>
    <s v="Combined Heat and Power, Industrial Power"/>
    <x v="1"/>
    <n v="2686"/>
  </r>
  <r>
    <x v="0"/>
    <x v="29"/>
    <s v="Combined Heat and Power, Industrial Power"/>
    <x v="3"/>
    <n v="224"/>
  </r>
  <r>
    <x v="0"/>
    <x v="30"/>
    <s v="Total Electric Power Industry"/>
    <x v="0"/>
    <n v="12405196"/>
  </r>
  <r>
    <x v="0"/>
    <x v="30"/>
    <s v="Total Electric Power Industry"/>
    <x v="1"/>
    <n v="2959203"/>
  </r>
  <r>
    <x v="0"/>
    <x v="30"/>
    <s v="Total Electric Power Industry"/>
    <x v="2"/>
    <n v="1881087"/>
  </r>
  <r>
    <x v="0"/>
    <x v="30"/>
    <s v="Total Electric Power Industry"/>
    <x v="3"/>
    <n v="0"/>
  </r>
  <r>
    <x v="0"/>
    <x v="30"/>
    <s v="Total Electric Power Industry"/>
    <x v="7"/>
    <n v="4080691"/>
  </r>
  <r>
    <x v="0"/>
    <x v="30"/>
    <s v="Total Electric Power Industry"/>
    <x v="8"/>
    <n v="147524"/>
  </r>
  <r>
    <x v="0"/>
    <x v="30"/>
    <s v="Total Electric Power Industry"/>
    <x v="4"/>
    <n v="2346493"/>
  </r>
  <r>
    <x v="0"/>
    <x v="30"/>
    <s v="Total Electric Power Industry"/>
    <x v="6"/>
    <n v="990198"/>
  </r>
  <r>
    <x v="0"/>
    <x v="30"/>
    <s v="Electric Generators, Independent Power Producers"/>
    <x v="0"/>
    <n v="1135184"/>
  </r>
  <r>
    <x v="0"/>
    <x v="30"/>
    <s v="Electric Generators, Independent Power Producers"/>
    <x v="2"/>
    <n v="228610"/>
  </r>
  <r>
    <x v="0"/>
    <x v="30"/>
    <s v="Electric Generators, Independent Power Producers"/>
    <x v="8"/>
    <n v="145683"/>
  </r>
  <r>
    <x v="0"/>
    <x v="30"/>
    <s v="Electric Generators, Independent Power Producers"/>
    <x v="4"/>
    <n v="874"/>
  </r>
  <r>
    <x v="0"/>
    <x v="30"/>
    <s v="Electric Generators, Independent Power Producers"/>
    <x v="6"/>
    <n v="760017"/>
  </r>
  <r>
    <x v="0"/>
    <x v="30"/>
    <s v="Electric Generators, Electric Utilities"/>
    <x v="0"/>
    <n v="10810155"/>
  </r>
  <r>
    <x v="0"/>
    <x v="30"/>
    <s v="Electric Generators, Electric Utilities"/>
    <x v="1"/>
    <n v="2959203"/>
  </r>
  <r>
    <x v="0"/>
    <x v="30"/>
    <s v="Electric Generators, Electric Utilities"/>
    <x v="2"/>
    <n v="1477224"/>
  </r>
  <r>
    <x v="0"/>
    <x v="30"/>
    <s v="Electric Generators, Electric Utilities"/>
    <x v="3"/>
    <n v="0"/>
  </r>
  <r>
    <x v="0"/>
    <x v="30"/>
    <s v="Electric Generators, Electric Utilities"/>
    <x v="7"/>
    <n v="4080691"/>
  </r>
  <r>
    <x v="0"/>
    <x v="30"/>
    <s v="Electric Generators, Electric Utilities"/>
    <x v="4"/>
    <n v="2293037"/>
  </r>
  <r>
    <x v="0"/>
    <x v="30"/>
    <s v="Combined Heat and Power, Industrial Power"/>
    <x v="0"/>
    <n v="338481"/>
  </r>
  <r>
    <x v="0"/>
    <x v="30"/>
    <s v="Combined Heat and Power, Industrial Power"/>
    <x v="2"/>
    <n v="175253"/>
  </r>
  <r>
    <x v="0"/>
    <x v="30"/>
    <s v="Combined Heat and Power, Industrial Power"/>
    <x v="8"/>
    <n v="1841"/>
  </r>
  <r>
    <x v="0"/>
    <x v="30"/>
    <s v="Combined Heat and Power, Industrial Power"/>
    <x v="4"/>
    <n v="24283"/>
  </r>
  <r>
    <x v="0"/>
    <x v="30"/>
    <s v="Combined Heat and Power, Industrial Power"/>
    <x v="6"/>
    <n v="137104"/>
  </r>
  <r>
    <x v="0"/>
    <x v="30"/>
    <s v="Combined Heat and Power, Electric Power"/>
    <x v="0"/>
    <n v="93077"/>
  </r>
  <r>
    <x v="0"/>
    <x v="30"/>
    <s v="Combined Heat and Power, Electric Power"/>
    <x v="6"/>
    <n v="93077"/>
  </r>
  <r>
    <x v="0"/>
    <x v="30"/>
    <s v="Combined Heat and Power, Commercial Power"/>
    <x v="0"/>
    <n v="28299"/>
  </r>
  <r>
    <x v="0"/>
    <x v="30"/>
    <s v="Combined Heat and Power, Commercial Power"/>
    <x v="4"/>
    <n v="28299"/>
  </r>
  <r>
    <x v="0"/>
    <x v="31"/>
    <s v="Total Electric Power Industry"/>
    <x v="0"/>
    <n v="39968834"/>
  </r>
  <r>
    <x v="0"/>
    <x v="31"/>
    <s v="Total Electric Power Industry"/>
    <x v="1"/>
    <n v="7057820"/>
  </r>
  <r>
    <x v="0"/>
    <x v="31"/>
    <s v="Total Electric Power Industry"/>
    <x v="2"/>
    <n v="31351"/>
  </r>
  <r>
    <x v="0"/>
    <x v="31"/>
    <s v="Total Electric Power Industry"/>
    <x v="3"/>
    <n v="6914325"/>
  </r>
  <r>
    <x v="0"/>
    <x v="31"/>
    <s v="Total Electric Power Industry"/>
    <x v="7"/>
    <n v="23770387"/>
  </r>
  <r>
    <x v="0"/>
    <x v="31"/>
    <s v="Total Electric Power Industry"/>
    <x v="8"/>
    <n v="246058"/>
  </r>
  <r>
    <x v="0"/>
    <x v="31"/>
    <s v="Total Electric Power Industry"/>
    <x v="4"/>
    <n v="2094969"/>
  </r>
  <r>
    <x v="0"/>
    <x v="31"/>
    <s v="Total Electric Power Industry"/>
    <x v="10"/>
    <n v="-149547"/>
  </r>
  <r>
    <x v="0"/>
    <x v="31"/>
    <s v="Total Electric Power Industry"/>
    <x v="6"/>
    <n v="3471"/>
  </r>
  <r>
    <x v="0"/>
    <x v="31"/>
    <s v="Electric Generators, Independent Power Producers"/>
    <x v="0"/>
    <n v="252556"/>
  </r>
  <r>
    <x v="0"/>
    <x v="31"/>
    <s v="Electric Generators, Independent Power Producers"/>
    <x v="2"/>
    <n v="31351"/>
  </r>
  <r>
    <x v="0"/>
    <x v="31"/>
    <s v="Electric Generators, Independent Power Producers"/>
    <x v="3"/>
    <n v="9325"/>
  </r>
  <r>
    <x v="0"/>
    <x v="31"/>
    <s v="Electric Generators, Independent Power Producers"/>
    <x v="8"/>
    <n v="211428"/>
  </r>
  <r>
    <x v="0"/>
    <x v="31"/>
    <s v="Electric Generators, Independent Power Producers"/>
    <x v="4"/>
    <n v="452"/>
  </r>
  <r>
    <x v="0"/>
    <x v="31"/>
    <s v="Electric Generators, Electric Utilities"/>
    <x v="0"/>
    <n v="36488596"/>
  </r>
  <r>
    <x v="0"/>
    <x v="31"/>
    <s v="Electric Generators, Electric Utilities"/>
    <x v="1"/>
    <n v="7057820"/>
  </r>
  <r>
    <x v="0"/>
    <x v="31"/>
    <s v="Electric Generators, Electric Utilities"/>
    <x v="3"/>
    <n v="3978001"/>
  </r>
  <r>
    <x v="0"/>
    <x v="31"/>
    <s v="Electric Generators, Electric Utilities"/>
    <x v="7"/>
    <n v="23770387"/>
  </r>
  <r>
    <x v="0"/>
    <x v="31"/>
    <s v="Electric Generators, Electric Utilities"/>
    <x v="4"/>
    <n v="1831935"/>
  </r>
  <r>
    <x v="0"/>
    <x v="31"/>
    <s v="Electric Generators, Electric Utilities"/>
    <x v="10"/>
    <n v="-149547"/>
  </r>
  <r>
    <x v="0"/>
    <x v="31"/>
    <s v="Combined Heat and Power, Industrial Power"/>
    <x v="0"/>
    <n v="948061"/>
  </r>
  <r>
    <x v="0"/>
    <x v="31"/>
    <s v="Combined Heat and Power, Industrial Power"/>
    <x v="3"/>
    <n v="728331"/>
  </r>
  <r>
    <x v="0"/>
    <x v="31"/>
    <s v="Combined Heat and Power, Industrial Power"/>
    <x v="4"/>
    <n v="216259"/>
  </r>
  <r>
    <x v="0"/>
    <x v="31"/>
    <s v="Combined Heat and Power, Industrial Power"/>
    <x v="6"/>
    <n v="3471"/>
  </r>
  <r>
    <x v="0"/>
    <x v="31"/>
    <s v="Combined Heat and Power, Electric Power"/>
    <x v="0"/>
    <n v="2201872"/>
  </r>
  <r>
    <x v="0"/>
    <x v="31"/>
    <s v="Combined Heat and Power, Electric Power"/>
    <x v="3"/>
    <n v="2124263"/>
  </r>
  <r>
    <x v="0"/>
    <x v="31"/>
    <s v="Combined Heat and Power, Electric Power"/>
    <x v="8"/>
    <n v="32650"/>
  </r>
  <r>
    <x v="0"/>
    <x v="31"/>
    <s v="Combined Heat and Power, Electric Power"/>
    <x v="4"/>
    <n v="44959"/>
  </r>
  <r>
    <x v="0"/>
    <x v="31"/>
    <s v="Combined Heat and Power, Commercial Power"/>
    <x v="0"/>
    <n v="77749"/>
  </r>
  <r>
    <x v="0"/>
    <x v="31"/>
    <s v="Combined Heat and Power, Commercial Power"/>
    <x v="3"/>
    <n v="74405"/>
  </r>
  <r>
    <x v="0"/>
    <x v="31"/>
    <s v="Combined Heat and Power, Commercial Power"/>
    <x v="8"/>
    <n v="1980"/>
  </r>
  <r>
    <x v="0"/>
    <x v="31"/>
    <s v="Combined Heat and Power, Commercial Power"/>
    <x v="4"/>
    <n v="1364"/>
  </r>
  <r>
    <x v="0"/>
    <x v="32"/>
    <s v="Total Electric Power Industry"/>
    <x v="0"/>
    <n v="28820204"/>
  </r>
  <r>
    <x v="0"/>
    <x v="32"/>
    <s v="Total Electric Power Industry"/>
    <x v="1"/>
    <n v="25826928"/>
  </r>
  <r>
    <x v="0"/>
    <x v="32"/>
    <s v="Total Electric Power Industry"/>
    <x v="2"/>
    <n v="205435"/>
  </r>
  <r>
    <x v="0"/>
    <x v="32"/>
    <s v="Total Electric Power Industry"/>
    <x v="3"/>
    <n v="2738087"/>
  </r>
  <r>
    <x v="0"/>
    <x v="32"/>
    <s v="Total Electric Power Industry"/>
    <x v="8"/>
    <n v="14128"/>
  </r>
  <r>
    <x v="0"/>
    <x v="32"/>
    <s v="Total Electric Power Industry"/>
    <x v="4"/>
    <n v="35626"/>
  </r>
  <r>
    <x v="0"/>
    <x v="32"/>
    <s v="Electric Generators, Electric Utilities"/>
    <x v="0"/>
    <n v="28491171"/>
  </r>
  <r>
    <x v="0"/>
    <x v="32"/>
    <s v="Electric Generators, Electric Utilities"/>
    <x v="1"/>
    <n v="25826928"/>
  </r>
  <r>
    <x v="0"/>
    <x v="32"/>
    <s v="Electric Generators, Electric Utilities"/>
    <x v="2"/>
    <n v="205435"/>
  </r>
  <r>
    <x v="0"/>
    <x v="32"/>
    <s v="Electric Generators, Electric Utilities"/>
    <x v="3"/>
    <n v="2424727"/>
  </r>
  <r>
    <x v="0"/>
    <x v="32"/>
    <s v="Electric Generators, Electric Utilities"/>
    <x v="4"/>
    <n v="34081"/>
  </r>
  <r>
    <x v="0"/>
    <x v="32"/>
    <s v="Combined Heat and Power, Industrial Power"/>
    <x v="0"/>
    <n v="285876"/>
  </r>
  <r>
    <x v="0"/>
    <x v="32"/>
    <s v="Combined Heat and Power, Industrial Power"/>
    <x v="3"/>
    <n v="284331"/>
  </r>
  <r>
    <x v="0"/>
    <x v="32"/>
    <s v="Combined Heat and Power, Industrial Power"/>
    <x v="4"/>
    <n v="1545"/>
  </r>
  <r>
    <x v="0"/>
    <x v="32"/>
    <s v="Combined Heat and Power, Electric Power"/>
    <x v="0"/>
    <n v="18890"/>
  </r>
  <r>
    <x v="0"/>
    <x v="32"/>
    <s v="Combined Heat and Power, Electric Power"/>
    <x v="3"/>
    <n v="4762"/>
  </r>
  <r>
    <x v="0"/>
    <x v="32"/>
    <s v="Combined Heat and Power, Electric Power"/>
    <x v="8"/>
    <n v="14128"/>
  </r>
  <r>
    <x v="0"/>
    <x v="32"/>
    <s v="Combined Heat and Power, Commercial Power"/>
    <x v="0"/>
    <n v="24267"/>
  </r>
  <r>
    <x v="0"/>
    <x v="32"/>
    <s v="Combined Heat and Power, Commercial Power"/>
    <x v="3"/>
    <n v="24267"/>
  </r>
  <r>
    <x v="0"/>
    <x v="33"/>
    <s v="Total Electric Power Industry"/>
    <x v="0"/>
    <n v="20050685"/>
  </r>
  <r>
    <x v="0"/>
    <x v="33"/>
    <s v="Total Electric Power Industry"/>
    <x v="1"/>
    <n v="15053277"/>
  </r>
  <r>
    <x v="0"/>
    <x v="33"/>
    <s v="Total Electric Power Industry"/>
    <x v="11"/>
    <n v="761192"/>
  </r>
  <r>
    <x v="0"/>
    <x v="33"/>
    <s v="Total Electric Power Industry"/>
    <x v="2"/>
    <n v="1735081"/>
  </r>
  <r>
    <x v="0"/>
    <x v="33"/>
    <s v="Total Electric Power Industry"/>
    <x v="3"/>
    <n v="2217027"/>
  </r>
  <r>
    <x v="0"/>
    <x v="33"/>
    <s v="Total Electric Power Industry"/>
    <x v="4"/>
    <n v="284108"/>
  </r>
  <r>
    <x v="0"/>
    <x v="33"/>
    <s v="Electric Generators, Independent Power Producers"/>
    <x v="0"/>
    <n v="764425"/>
  </r>
  <r>
    <x v="0"/>
    <x v="33"/>
    <s v="Electric Generators, Independent Power Producers"/>
    <x v="11"/>
    <n v="761192"/>
  </r>
  <r>
    <x v="0"/>
    <x v="33"/>
    <s v="Electric Generators, Independent Power Producers"/>
    <x v="2"/>
    <n v="3233"/>
  </r>
  <r>
    <x v="0"/>
    <x v="33"/>
    <s v="Electric Generators, Electric Utilities"/>
    <x v="0"/>
    <n v="19286260"/>
  </r>
  <r>
    <x v="0"/>
    <x v="33"/>
    <s v="Electric Generators, Electric Utilities"/>
    <x v="1"/>
    <n v="15053277"/>
  </r>
  <r>
    <x v="0"/>
    <x v="33"/>
    <s v="Electric Generators, Electric Utilities"/>
    <x v="2"/>
    <n v="1731848"/>
  </r>
  <r>
    <x v="0"/>
    <x v="33"/>
    <s v="Electric Generators, Electric Utilities"/>
    <x v="3"/>
    <n v="2217027"/>
  </r>
  <r>
    <x v="0"/>
    <x v="33"/>
    <s v="Electric Generators, Electric Utilities"/>
    <x v="4"/>
    <n v="284108"/>
  </r>
  <r>
    <x v="0"/>
    <x v="34"/>
    <s v="Total Electric Power Industry"/>
    <x v="0"/>
    <n v="135345692"/>
  </r>
  <r>
    <x v="0"/>
    <x v="34"/>
    <s v="Total Electric Power Industry"/>
    <x v="1"/>
    <n v="25913047"/>
  </r>
  <r>
    <x v="0"/>
    <x v="34"/>
    <s v="Total Electric Power Industry"/>
    <x v="2"/>
    <n v="28188222"/>
  </r>
  <r>
    <x v="0"/>
    <x v="34"/>
    <s v="Total Electric Power Industry"/>
    <x v="3"/>
    <n v="22724335"/>
  </r>
  <r>
    <x v="0"/>
    <x v="34"/>
    <s v="Total Electric Power Industry"/>
    <x v="7"/>
    <n v="23623356"/>
  </r>
  <r>
    <x v="0"/>
    <x v="34"/>
    <s v="Total Electric Power Industry"/>
    <x v="8"/>
    <n v="1568979"/>
  </r>
  <r>
    <x v="0"/>
    <x v="34"/>
    <s v="Total Electric Power Industry"/>
    <x v="9"/>
    <n v="89034"/>
  </r>
  <r>
    <x v="0"/>
    <x v="34"/>
    <s v="Total Electric Power Industry"/>
    <x v="4"/>
    <n v="33884855"/>
  </r>
  <r>
    <x v="0"/>
    <x v="34"/>
    <s v="Total Electric Power Industry"/>
    <x v="10"/>
    <n v="-1054095"/>
  </r>
  <r>
    <x v="0"/>
    <x v="34"/>
    <s v="Total Electric Power Industry"/>
    <x v="6"/>
    <n v="407959"/>
  </r>
  <r>
    <x v="0"/>
    <x v="34"/>
    <s v="Electric Generators, Independent Power Producers"/>
    <x v="0"/>
    <n v="2432993"/>
  </r>
  <r>
    <x v="0"/>
    <x v="34"/>
    <s v="Electric Generators, Independent Power Producers"/>
    <x v="2"/>
    <n v="1249950"/>
  </r>
  <r>
    <x v="0"/>
    <x v="34"/>
    <s v="Electric Generators, Independent Power Producers"/>
    <x v="3"/>
    <n v="15501"/>
  </r>
  <r>
    <x v="0"/>
    <x v="34"/>
    <s v="Electric Generators, Independent Power Producers"/>
    <x v="8"/>
    <n v="1146510"/>
  </r>
  <r>
    <x v="0"/>
    <x v="34"/>
    <s v="Electric Generators, Independent Power Producers"/>
    <x v="6"/>
    <n v="21032"/>
  </r>
  <r>
    <x v="0"/>
    <x v="34"/>
    <s v="Electric Generators, Electric Utilities"/>
    <x v="0"/>
    <n v="128655291"/>
  </r>
  <r>
    <x v="0"/>
    <x v="34"/>
    <s v="Electric Generators, Electric Utilities"/>
    <x v="1"/>
    <n v="24616655"/>
  </r>
  <r>
    <x v="0"/>
    <x v="34"/>
    <s v="Electric Generators, Electric Utilities"/>
    <x v="2"/>
    <n v="26802148"/>
  </r>
  <r>
    <x v="0"/>
    <x v="34"/>
    <s v="Electric Generators, Electric Utilities"/>
    <x v="3"/>
    <n v="21262936"/>
  </r>
  <r>
    <x v="0"/>
    <x v="34"/>
    <s v="Electric Generators, Electric Utilities"/>
    <x v="7"/>
    <n v="23623356"/>
  </r>
  <r>
    <x v="0"/>
    <x v="34"/>
    <s v="Electric Generators, Electric Utilities"/>
    <x v="4"/>
    <n v="33404291"/>
  </r>
  <r>
    <x v="0"/>
    <x v="34"/>
    <s v="Electric Generators, Electric Utilities"/>
    <x v="10"/>
    <n v="-1054095"/>
  </r>
  <r>
    <x v="0"/>
    <x v="34"/>
    <s v="Combined Heat and Power, Industrial Power"/>
    <x v="0"/>
    <n v="2817727"/>
  </r>
  <r>
    <x v="0"/>
    <x v="34"/>
    <s v="Combined Heat and Power, Industrial Power"/>
    <x v="1"/>
    <n v="1058372"/>
  </r>
  <r>
    <x v="0"/>
    <x v="34"/>
    <s v="Combined Heat and Power, Industrial Power"/>
    <x v="2"/>
    <n v="129304"/>
  </r>
  <r>
    <x v="0"/>
    <x v="34"/>
    <s v="Combined Heat and Power, Industrial Power"/>
    <x v="3"/>
    <n v="745360"/>
  </r>
  <r>
    <x v="0"/>
    <x v="34"/>
    <s v="Combined Heat and Power, Industrial Power"/>
    <x v="8"/>
    <n v="20412"/>
  </r>
  <r>
    <x v="0"/>
    <x v="34"/>
    <s v="Combined Heat and Power, Industrial Power"/>
    <x v="9"/>
    <n v="89034"/>
  </r>
  <r>
    <x v="0"/>
    <x v="34"/>
    <s v="Combined Heat and Power, Industrial Power"/>
    <x v="4"/>
    <n v="391800"/>
  </r>
  <r>
    <x v="0"/>
    <x v="34"/>
    <s v="Combined Heat and Power, Industrial Power"/>
    <x v="6"/>
    <n v="383445"/>
  </r>
  <r>
    <x v="0"/>
    <x v="34"/>
    <s v="Combined Heat and Power, Electric Power"/>
    <x v="0"/>
    <n v="1261582"/>
  </r>
  <r>
    <x v="0"/>
    <x v="34"/>
    <s v="Combined Heat and Power, Electric Power"/>
    <x v="1"/>
    <n v="222389"/>
  </r>
  <r>
    <x v="0"/>
    <x v="34"/>
    <s v="Combined Heat and Power, Electric Power"/>
    <x v="3"/>
    <n v="602619"/>
  </r>
  <r>
    <x v="0"/>
    <x v="34"/>
    <s v="Combined Heat and Power, Electric Power"/>
    <x v="8"/>
    <n v="396924"/>
  </r>
  <r>
    <x v="0"/>
    <x v="34"/>
    <s v="Combined Heat and Power, Electric Power"/>
    <x v="4"/>
    <n v="36168"/>
  </r>
  <r>
    <x v="0"/>
    <x v="34"/>
    <s v="Combined Heat and Power, Electric Power"/>
    <x v="6"/>
    <n v="3482"/>
  </r>
  <r>
    <x v="0"/>
    <x v="34"/>
    <s v="Combined Heat and Power, Commercial Power"/>
    <x v="0"/>
    <n v="178099"/>
  </r>
  <r>
    <x v="0"/>
    <x v="34"/>
    <s v="Combined Heat and Power, Commercial Power"/>
    <x v="1"/>
    <n v="15631"/>
  </r>
  <r>
    <x v="0"/>
    <x v="34"/>
    <s v="Combined Heat and Power, Commercial Power"/>
    <x v="2"/>
    <n v="6820"/>
  </r>
  <r>
    <x v="0"/>
    <x v="34"/>
    <s v="Combined Heat and Power, Commercial Power"/>
    <x v="3"/>
    <n v="97919"/>
  </r>
  <r>
    <x v="0"/>
    <x v="34"/>
    <s v="Combined Heat and Power, Commercial Power"/>
    <x v="8"/>
    <n v="5133"/>
  </r>
  <r>
    <x v="0"/>
    <x v="34"/>
    <s v="Combined Heat and Power, Commercial Power"/>
    <x v="4"/>
    <n v="52596"/>
  </r>
  <r>
    <x v="0"/>
    <x v="35"/>
    <s v="Total Electric Power Industry"/>
    <x v="0"/>
    <n v="127980527"/>
  </r>
  <r>
    <x v="0"/>
    <x v="35"/>
    <s v="Total Electric Power Industry"/>
    <x v="1"/>
    <n v="115832650"/>
  </r>
  <r>
    <x v="0"/>
    <x v="35"/>
    <s v="Total Electric Power Industry"/>
    <x v="2"/>
    <n v="181395"/>
  </r>
  <r>
    <x v="0"/>
    <x v="35"/>
    <s v="Total Electric Power Industry"/>
    <x v="3"/>
    <n v="241585"/>
  </r>
  <r>
    <x v="0"/>
    <x v="35"/>
    <s v="Total Electric Power Industry"/>
    <x v="7"/>
    <n v="10663897"/>
  </r>
  <r>
    <x v="0"/>
    <x v="35"/>
    <s v="Total Electric Power Industry"/>
    <x v="8"/>
    <n v="304285"/>
  </r>
  <r>
    <x v="0"/>
    <x v="35"/>
    <s v="Total Electric Power Industry"/>
    <x v="9"/>
    <n v="64159"/>
  </r>
  <r>
    <x v="0"/>
    <x v="35"/>
    <s v="Total Electric Power Industry"/>
    <x v="4"/>
    <n v="374481"/>
  </r>
  <r>
    <x v="0"/>
    <x v="35"/>
    <s v="Total Electric Power Industry"/>
    <x v="6"/>
    <n v="318075"/>
  </r>
  <r>
    <x v="0"/>
    <x v="35"/>
    <s v="Electric Generators, Independent Power Producers"/>
    <x v="0"/>
    <n v="8813"/>
  </r>
  <r>
    <x v="0"/>
    <x v="35"/>
    <s v="Electric Generators, Independent Power Producers"/>
    <x v="2"/>
    <n v="8813"/>
  </r>
  <r>
    <x v="0"/>
    <x v="35"/>
    <s v="Electric Generators, Electric Utilities"/>
    <x v="0"/>
    <n v="126509829"/>
  </r>
  <r>
    <x v="0"/>
    <x v="35"/>
    <s v="Electric Generators, Electric Utilities"/>
    <x v="1"/>
    <n v="115014081"/>
  </r>
  <r>
    <x v="0"/>
    <x v="35"/>
    <s v="Electric Generators, Electric Utilities"/>
    <x v="2"/>
    <n v="172582"/>
  </r>
  <r>
    <x v="0"/>
    <x v="35"/>
    <s v="Electric Generators, Electric Utilities"/>
    <x v="3"/>
    <n v="91191"/>
  </r>
  <r>
    <x v="0"/>
    <x v="35"/>
    <s v="Electric Generators, Electric Utilities"/>
    <x v="7"/>
    <n v="10663897"/>
  </r>
  <r>
    <x v="0"/>
    <x v="35"/>
    <s v="Electric Generators, Electric Utilities"/>
    <x v="8"/>
    <n v="266834"/>
  </r>
  <r>
    <x v="0"/>
    <x v="35"/>
    <s v="Electric Generators, Electric Utilities"/>
    <x v="4"/>
    <n v="301244"/>
  </r>
  <r>
    <x v="0"/>
    <x v="35"/>
    <s v="Combined Heat and Power, Industrial Power"/>
    <x v="0"/>
    <n v="1342799"/>
  </r>
  <r>
    <x v="0"/>
    <x v="35"/>
    <s v="Combined Heat and Power, Industrial Power"/>
    <x v="1"/>
    <n v="816349"/>
  </r>
  <r>
    <x v="0"/>
    <x v="35"/>
    <s v="Combined Heat and Power, Industrial Power"/>
    <x v="3"/>
    <n v="80413"/>
  </r>
  <r>
    <x v="0"/>
    <x v="35"/>
    <s v="Combined Heat and Power, Industrial Power"/>
    <x v="9"/>
    <n v="64159"/>
  </r>
  <r>
    <x v="0"/>
    <x v="35"/>
    <s v="Combined Heat and Power, Industrial Power"/>
    <x v="4"/>
    <n v="63803"/>
  </r>
  <r>
    <x v="0"/>
    <x v="35"/>
    <s v="Combined Heat and Power, Industrial Power"/>
    <x v="6"/>
    <n v="318075"/>
  </r>
  <r>
    <x v="0"/>
    <x v="35"/>
    <s v="Combined Heat and Power, Electric Power"/>
    <x v="0"/>
    <n v="32016"/>
  </r>
  <r>
    <x v="0"/>
    <x v="35"/>
    <s v="Combined Heat and Power, Electric Power"/>
    <x v="8"/>
    <n v="32016"/>
  </r>
  <r>
    <x v="0"/>
    <x v="35"/>
    <s v="Combined Heat and Power, Commercial Power"/>
    <x v="0"/>
    <n v="87070"/>
  </r>
  <r>
    <x v="0"/>
    <x v="35"/>
    <s v="Combined Heat and Power, Commercial Power"/>
    <x v="1"/>
    <n v="2220"/>
  </r>
  <r>
    <x v="0"/>
    <x v="35"/>
    <s v="Combined Heat and Power, Commercial Power"/>
    <x v="3"/>
    <n v="69981"/>
  </r>
  <r>
    <x v="0"/>
    <x v="35"/>
    <s v="Combined Heat and Power, Commercial Power"/>
    <x v="8"/>
    <n v="5435"/>
  </r>
  <r>
    <x v="0"/>
    <x v="35"/>
    <s v="Combined Heat and Power, Commercial Power"/>
    <x v="4"/>
    <n v="9434"/>
  </r>
  <r>
    <x v="0"/>
    <x v="35"/>
    <s v="Combined Heat and Power, Commercial Power"/>
    <x v="6"/>
    <n v="0"/>
  </r>
  <r>
    <x v="0"/>
    <x v="36"/>
    <s v="Total Electric Power Industry"/>
    <x v="0"/>
    <n v="47079131"/>
  </r>
  <r>
    <x v="0"/>
    <x v="36"/>
    <s v="Total Electric Power Industry"/>
    <x v="1"/>
    <n v="25655347"/>
  </r>
  <r>
    <x v="0"/>
    <x v="36"/>
    <s v="Total Electric Power Industry"/>
    <x v="2"/>
    <n v="2730594"/>
  </r>
  <r>
    <x v="0"/>
    <x v="36"/>
    <s v="Total Electric Power Industry"/>
    <x v="3"/>
    <n v="18236766"/>
  </r>
  <r>
    <x v="0"/>
    <x v="36"/>
    <s v="Total Electric Power Industry"/>
    <x v="8"/>
    <n v="1780"/>
  </r>
  <r>
    <x v="0"/>
    <x v="36"/>
    <s v="Total Electric Power Industry"/>
    <x v="9"/>
    <n v="88970"/>
  </r>
  <r>
    <x v="0"/>
    <x v="36"/>
    <s v="Total Electric Power Industry"/>
    <x v="4"/>
    <n v="76947"/>
  </r>
  <r>
    <x v="0"/>
    <x v="36"/>
    <s v="Total Electric Power Industry"/>
    <x v="10"/>
    <n v="19764"/>
  </r>
  <r>
    <x v="0"/>
    <x v="36"/>
    <s v="Total Electric Power Industry"/>
    <x v="6"/>
    <n v="268963"/>
  </r>
  <r>
    <x v="0"/>
    <x v="36"/>
    <s v="Electric Generators, Electric Utilities"/>
    <x v="0"/>
    <n v="45063182"/>
  </r>
  <r>
    <x v="0"/>
    <x v="36"/>
    <s v="Electric Generators, Electric Utilities"/>
    <x v="1"/>
    <n v="25188557"/>
  </r>
  <r>
    <x v="0"/>
    <x v="36"/>
    <s v="Electric Generators, Electric Utilities"/>
    <x v="2"/>
    <n v="2730594"/>
  </r>
  <r>
    <x v="0"/>
    <x v="36"/>
    <s v="Electric Generators, Electric Utilities"/>
    <x v="3"/>
    <n v="17074845"/>
  </r>
  <r>
    <x v="0"/>
    <x v="36"/>
    <s v="Electric Generators, Electric Utilities"/>
    <x v="4"/>
    <n v="49422"/>
  </r>
  <r>
    <x v="0"/>
    <x v="36"/>
    <s v="Electric Generators, Electric Utilities"/>
    <x v="10"/>
    <n v="19764"/>
  </r>
  <r>
    <x v="0"/>
    <x v="36"/>
    <s v="Combined Heat and Power, Industrial Power"/>
    <x v="0"/>
    <n v="951055"/>
  </r>
  <r>
    <x v="0"/>
    <x v="36"/>
    <s v="Combined Heat and Power, Industrial Power"/>
    <x v="1"/>
    <n v="324428"/>
  </r>
  <r>
    <x v="0"/>
    <x v="36"/>
    <s v="Combined Heat and Power, Industrial Power"/>
    <x v="3"/>
    <n v="239389"/>
  </r>
  <r>
    <x v="0"/>
    <x v="36"/>
    <s v="Combined Heat and Power, Industrial Power"/>
    <x v="8"/>
    <n v="1780"/>
  </r>
  <r>
    <x v="0"/>
    <x v="36"/>
    <s v="Combined Heat and Power, Industrial Power"/>
    <x v="9"/>
    <n v="88970"/>
  </r>
  <r>
    <x v="0"/>
    <x v="36"/>
    <s v="Combined Heat and Power, Industrial Power"/>
    <x v="4"/>
    <n v="27525"/>
  </r>
  <r>
    <x v="0"/>
    <x v="36"/>
    <s v="Combined Heat and Power, Industrial Power"/>
    <x v="6"/>
    <n v="268963"/>
  </r>
  <r>
    <x v="0"/>
    <x v="36"/>
    <s v="Combined Heat and Power, Electric Power"/>
    <x v="0"/>
    <n v="1016735"/>
  </r>
  <r>
    <x v="0"/>
    <x v="36"/>
    <s v="Combined Heat and Power, Electric Power"/>
    <x v="1"/>
    <n v="142362"/>
  </r>
  <r>
    <x v="0"/>
    <x v="36"/>
    <s v="Combined Heat and Power, Electric Power"/>
    <x v="3"/>
    <n v="874373"/>
  </r>
  <r>
    <x v="0"/>
    <x v="36"/>
    <s v="Combined Heat and Power, Commercial Power"/>
    <x v="0"/>
    <n v="48159"/>
  </r>
  <r>
    <x v="0"/>
    <x v="36"/>
    <s v="Combined Heat and Power, Commercial Power"/>
    <x v="3"/>
    <n v="48159"/>
  </r>
  <r>
    <x v="0"/>
    <x v="37"/>
    <s v="Total Electric Power Industry"/>
    <x v="0"/>
    <n v="50372236"/>
  </r>
  <r>
    <x v="0"/>
    <x v="37"/>
    <s v="Total Electric Power Industry"/>
    <x v="1"/>
    <n v="1317344"/>
  </r>
  <r>
    <x v="0"/>
    <x v="37"/>
    <s v="Total Electric Power Industry"/>
    <x v="2"/>
    <n v="41240367"/>
  </r>
  <r>
    <x v="0"/>
    <x v="37"/>
    <s v="Total Electric Power Industry"/>
    <x v="3"/>
    <n v="819328"/>
  </r>
  <r>
    <x v="0"/>
    <x v="37"/>
    <s v="Total Electric Power Industry"/>
    <x v="7"/>
    <n v="6073796"/>
  </r>
  <r>
    <x v="0"/>
    <x v="37"/>
    <s v="Total Electric Power Industry"/>
    <x v="8"/>
    <n v="90487"/>
  </r>
  <r>
    <x v="0"/>
    <x v="37"/>
    <s v="Total Electric Power Industry"/>
    <x v="4"/>
    <n v="27777"/>
  </r>
  <r>
    <x v="0"/>
    <x v="37"/>
    <s v="Total Electric Power Industry"/>
    <x v="5"/>
    <n v="539"/>
  </r>
  <r>
    <x v="0"/>
    <x v="37"/>
    <s v="Total Electric Power Industry"/>
    <x v="6"/>
    <n v="802598"/>
  </r>
  <r>
    <x v="0"/>
    <x v="37"/>
    <s v="Electric Generators, Independent Power Producers"/>
    <x v="0"/>
    <n v="369816"/>
  </r>
  <r>
    <x v="0"/>
    <x v="37"/>
    <s v="Electric Generators, Independent Power Producers"/>
    <x v="2"/>
    <n v="278790"/>
  </r>
  <r>
    <x v="0"/>
    <x v="37"/>
    <s v="Electric Generators, Independent Power Producers"/>
    <x v="8"/>
    <n v="90487"/>
  </r>
  <r>
    <x v="0"/>
    <x v="37"/>
    <s v="Electric Generators, Independent Power Producers"/>
    <x v="5"/>
    <n v="539"/>
  </r>
  <r>
    <x v="0"/>
    <x v="37"/>
    <s v="Electric Generators, Electric Utilities"/>
    <x v="0"/>
    <n v="49171999"/>
  </r>
  <r>
    <x v="0"/>
    <x v="37"/>
    <s v="Electric Generators, Electric Utilities"/>
    <x v="1"/>
    <n v="1297978"/>
  </r>
  <r>
    <x v="0"/>
    <x v="37"/>
    <s v="Electric Generators, Electric Utilities"/>
    <x v="2"/>
    <n v="40961577"/>
  </r>
  <r>
    <x v="0"/>
    <x v="37"/>
    <s v="Electric Generators, Electric Utilities"/>
    <x v="3"/>
    <n v="811262"/>
  </r>
  <r>
    <x v="0"/>
    <x v="37"/>
    <s v="Electric Generators, Electric Utilities"/>
    <x v="7"/>
    <n v="6073796"/>
  </r>
  <r>
    <x v="0"/>
    <x v="37"/>
    <s v="Electric Generators, Electric Utilities"/>
    <x v="4"/>
    <n v="26809"/>
  </r>
  <r>
    <x v="0"/>
    <x v="37"/>
    <s v="Electric Generators, Electric Utilities"/>
    <x v="6"/>
    <n v="577"/>
  </r>
  <r>
    <x v="0"/>
    <x v="37"/>
    <s v="Combined Heat and Power, Industrial Power"/>
    <x v="0"/>
    <n v="516654"/>
  </r>
  <r>
    <x v="0"/>
    <x v="37"/>
    <s v="Combined Heat and Power, Industrial Power"/>
    <x v="1"/>
    <n v="19366"/>
  </r>
  <r>
    <x v="0"/>
    <x v="37"/>
    <s v="Combined Heat and Power, Industrial Power"/>
    <x v="2"/>
    <n v="0"/>
  </r>
  <r>
    <x v="0"/>
    <x v="37"/>
    <s v="Combined Heat and Power, Industrial Power"/>
    <x v="3"/>
    <n v="8066"/>
  </r>
  <r>
    <x v="0"/>
    <x v="37"/>
    <s v="Combined Heat and Power, Industrial Power"/>
    <x v="4"/>
    <n v="968"/>
  </r>
  <r>
    <x v="0"/>
    <x v="37"/>
    <s v="Combined Heat and Power, Industrial Power"/>
    <x v="6"/>
    <n v="488254"/>
  </r>
  <r>
    <x v="0"/>
    <x v="37"/>
    <s v="Combined Heat and Power, Electric Power"/>
    <x v="0"/>
    <n v="250427"/>
  </r>
  <r>
    <x v="0"/>
    <x v="37"/>
    <s v="Combined Heat and Power, Electric Power"/>
    <x v="6"/>
    <n v="250427"/>
  </r>
  <r>
    <x v="0"/>
    <x v="37"/>
    <s v="Combined Heat and Power, Commercial Power"/>
    <x v="0"/>
    <n v="63340"/>
  </r>
  <r>
    <x v="0"/>
    <x v="37"/>
    <s v="Combined Heat and Power, Commercial Power"/>
    <x v="6"/>
    <n v="63340"/>
  </r>
  <r>
    <x v="0"/>
    <x v="38"/>
    <s v="Total Electric Power Industry"/>
    <x v="0"/>
    <n v="175623311"/>
  </r>
  <r>
    <x v="0"/>
    <x v="38"/>
    <s v="Total Electric Power Industry"/>
    <x v="1"/>
    <n v="106677155"/>
  </r>
  <r>
    <x v="0"/>
    <x v="38"/>
    <s v="Total Electric Power Industry"/>
    <x v="2"/>
    <n v="2869192"/>
  </r>
  <r>
    <x v="0"/>
    <x v="38"/>
    <s v="Total Electric Power Industry"/>
    <x v="3"/>
    <n v="2833882"/>
  </r>
  <r>
    <x v="0"/>
    <x v="38"/>
    <s v="Total Electric Power Industry"/>
    <x v="7"/>
    <n v="57787051"/>
  </r>
  <r>
    <x v="0"/>
    <x v="38"/>
    <s v="Total Electric Power Industry"/>
    <x v="12"/>
    <n v="732"/>
  </r>
  <r>
    <x v="0"/>
    <x v="38"/>
    <s v="Total Electric Power Industry"/>
    <x v="8"/>
    <n v="300109"/>
  </r>
  <r>
    <x v="0"/>
    <x v="38"/>
    <s v="Total Electric Power Industry"/>
    <x v="9"/>
    <n v="841604"/>
  </r>
  <r>
    <x v="0"/>
    <x v="38"/>
    <s v="Total Electric Power Industry"/>
    <x v="4"/>
    <n v="4654522"/>
  </r>
  <r>
    <x v="0"/>
    <x v="38"/>
    <s v="Total Electric Power Industry"/>
    <x v="10"/>
    <n v="-879249"/>
  </r>
  <r>
    <x v="0"/>
    <x v="38"/>
    <s v="Total Electric Power Industry"/>
    <x v="6"/>
    <n v="538313"/>
  </r>
  <r>
    <x v="0"/>
    <x v="38"/>
    <s v="Electric Generators, Independent Power Producers"/>
    <x v="0"/>
    <n v="784434"/>
  </r>
  <r>
    <x v="0"/>
    <x v="38"/>
    <s v="Electric Generators, Independent Power Producers"/>
    <x v="1"/>
    <n v="227172"/>
  </r>
  <r>
    <x v="0"/>
    <x v="38"/>
    <s v="Electric Generators, Independent Power Producers"/>
    <x v="2"/>
    <n v="287190"/>
  </r>
  <r>
    <x v="0"/>
    <x v="38"/>
    <s v="Electric Generators, Independent Power Producers"/>
    <x v="8"/>
    <n v="264407"/>
  </r>
  <r>
    <x v="0"/>
    <x v="38"/>
    <s v="Electric Generators, Independent Power Producers"/>
    <x v="4"/>
    <n v="5665"/>
  </r>
  <r>
    <x v="0"/>
    <x v="38"/>
    <s v="Electric Generators, Electric Utilities"/>
    <x v="0"/>
    <n v="165682846"/>
  </r>
  <r>
    <x v="0"/>
    <x v="38"/>
    <s v="Electric Generators, Electric Utilities"/>
    <x v="1"/>
    <n v="101996271"/>
  </r>
  <r>
    <x v="0"/>
    <x v="38"/>
    <s v="Electric Generators, Electric Utilities"/>
    <x v="2"/>
    <n v="2582002"/>
  </r>
  <r>
    <x v="0"/>
    <x v="38"/>
    <s v="Electric Generators, Electric Utilities"/>
    <x v="3"/>
    <n v="182957"/>
  </r>
  <r>
    <x v="0"/>
    <x v="38"/>
    <s v="Electric Generators, Electric Utilities"/>
    <x v="7"/>
    <n v="57787051"/>
  </r>
  <r>
    <x v="0"/>
    <x v="38"/>
    <s v="Electric Generators, Electric Utilities"/>
    <x v="4"/>
    <n v="4013814"/>
  </r>
  <r>
    <x v="0"/>
    <x v="38"/>
    <s v="Electric Generators, Electric Utilities"/>
    <x v="10"/>
    <n v="-879249"/>
  </r>
  <r>
    <x v="0"/>
    <x v="38"/>
    <s v="Combined Heat and Power, Industrial Power"/>
    <x v="0"/>
    <n v="4340586"/>
  </r>
  <r>
    <x v="0"/>
    <x v="38"/>
    <s v="Combined Heat and Power, Industrial Power"/>
    <x v="1"/>
    <n v="1479564"/>
  </r>
  <r>
    <x v="0"/>
    <x v="38"/>
    <s v="Combined Heat and Power, Industrial Power"/>
    <x v="3"/>
    <n v="1388314"/>
  </r>
  <r>
    <x v="0"/>
    <x v="38"/>
    <s v="Combined Heat and Power, Industrial Power"/>
    <x v="12"/>
    <n v="732"/>
  </r>
  <r>
    <x v="0"/>
    <x v="38"/>
    <s v="Combined Heat and Power, Industrial Power"/>
    <x v="9"/>
    <n v="839957"/>
  </r>
  <r>
    <x v="0"/>
    <x v="38"/>
    <s v="Combined Heat and Power, Industrial Power"/>
    <x v="4"/>
    <n v="270907"/>
  </r>
  <r>
    <x v="0"/>
    <x v="38"/>
    <s v="Combined Heat and Power, Industrial Power"/>
    <x v="6"/>
    <n v="361112"/>
  </r>
  <r>
    <x v="0"/>
    <x v="38"/>
    <s v="Combined Heat and Power, Electric Power"/>
    <x v="0"/>
    <n v="4586828"/>
  </r>
  <r>
    <x v="0"/>
    <x v="38"/>
    <s v="Combined Heat and Power, Electric Power"/>
    <x v="1"/>
    <n v="2969791"/>
  </r>
  <r>
    <x v="0"/>
    <x v="38"/>
    <s v="Combined Heat and Power, Electric Power"/>
    <x v="3"/>
    <n v="1056706"/>
  </r>
  <r>
    <x v="0"/>
    <x v="38"/>
    <s v="Combined Heat and Power, Electric Power"/>
    <x v="8"/>
    <n v="35702"/>
  </r>
  <r>
    <x v="0"/>
    <x v="38"/>
    <s v="Combined Heat and Power, Electric Power"/>
    <x v="9"/>
    <n v="1647"/>
  </r>
  <r>
    <x v="0"/>
    <x v="38"/>
    <s v="Combined Heat and Power, Electric Power"/>
    <x v="4"/>
    <n v="345781"/>
  </r>
  <r>
    <x v="0"/>
    <x v="38"/>
    <s v="Combined Heat and Power, Electric Power"/>
    <x v="6"/>
    <n v="177201"/>
  </r>
  <r>
    <x v="0"/>
    <x v="38"/>
    <s v="Combined Heat and Power, Commercial Power"/>
    <x v="0"/>
    <n v="228617"/>
  </r>
  <r>
    <x v="0"/>
    <x v="38"/>
    <s v="Combined Heat and Power, Commercial Power"/>
    <x v="1"/>
    <n v="4357"/>
  </r>
  <r>
    <x v="0"/>
    <x v="38"/>
    <s v="Combined Heat and Power, Commercial Power"/>
    <x v="3"/>
    <n v="205905"/>
  </r>
  <r>
    <x v="0"/>
    <x v="38"/>
    <s v="Combined Heat and Power, Commercial Power"/>
    <x v="4"/>
    <n v="18355"/>
  </r>
  <r>
    <x v="0"/>
    <x v="39"/>
    <s v="Total Electric Power Industry"/>
    <x v="0"/>
    <n v="1107316"/>
  </r>
  <r>
    <x v="0"/>
    <x v="39"/>
    <s v="Total Electric Power Industry"/>
    <x v="1"/>
    <n v="0"/>
  </r>
  <r>
    <x v="0"/>
    <x v="39"/>
    <s v="Total Electric Power Industry"/>
    <x v="2"/>
    <n v="9946"/>
  </r>
  <r>
    <x v="0"/>
    <x v="39"/>
    <s v="Total Electric Power Industry"/>
    <x v="3"/>
    <n v="876943"/>
  </r>
  <r>
    <x v="0"/>
    <x v="39"/>
    <s v="Total Electric Power Industry"/>
    <x v="8"/>
    <n v="34756"/>
  </r>
  <r>
    <x v="0"/>
    <x v="39"/>
    <s v="Total Electric Power Industry"/>
    <x v="4"/>
    <n v="185671"/>
  </r>
  <r>
    <x v="0"/>
    <x v="39"/>
    <s v="Electric Generators, Independent Power Producers"/>
    <x v="0"/>
    <n v="50168"/>
  </r>
  <r>
    <x v="0"/>
    <x v="39"/>
    <s v="Electric Generators, Independent Power Producers"/>
    <x v="2"/>
    <n v="9946"/>
  </r>
  <r>
    <x v="0"/>
    <x v="39"/>
    <s v="Electric Generators, Independent Power Producers"/>
    <x v="3"/>
    <n v="5466"/>
  </r>
  <r>
    <x v="0"/>
    <x v="39"/>
    <s v="Electric Generators, Independent Power Producers"/>
    <x v="8"/>
    <n v="34756"/>
  </r>
  <r>
    <x v="0"/>
    <x v="39"/>
    <s v="Electric Generators, Electric Utilities"/>
    <x v="0"/>
    <n v="591756"/>
  </r>
  <r>
    <x v="0"/>
    <x v="39"/>
    <s v="Electric Generators, Electric Utilities"/>
    <x v="1"/>
    <n v="0"/>
  </r>
  <r>
    <x v="0"/>
    <x v="39"/>
    <s v="Electric Generators, Electric Utilities"/>
    <x v="2"/>
    <n v="0"/>
  </r>
  <r>
    <x v="0"/>
    <x v="39"/>
    <s v="Electric Generators, Electric Utilities"/>
    <x v="3"/>
    <n v="433602"/>
  </r>
  <r>
    <x v="0"/>
    <x v="39"/>
    <s v="Electric Generators, Electric Utilities"/>
    <x v="4"/>
    <n v="158154"/>
  </r>
  <r>
    <x v="0"/>
    <x v="39"/>
    <s v="Combined Heat and Power, Electric Power"/>
    <x v="0"/>
    <n v="422234"/>
  </r>
  <r>
    <x v="0"/>
    <x v="39"/>
    <s v="Combined Heat and Power, Electric Power"/>
    <x v="3"/>
    <n v="422234"/>
  </r>
  <r>
    <x v="0"/>
    <x v="39"/>
    <s v="Combined Heat and Power, Commercial Power"/>
    <x v="0"/>
    <n v="43158"/>
  </r>
  <r>
    <x v="0"/>
    <x v="39"/>
    <s v="Combined Heat and Power, Commercial Power"/>
    <x v="3"/>
    <n v="15641"/>
  </r>
  <r>
    <x v="0"/>
    <x v="39"/>
    <s v="Combined Heat and Power, Commercial Power"/>
    <x v="4"/>
    <n v="27517"/>
  </r>
  <r>
    <x v="0"/>
    <x v="40"/>
    <s v="Total Electric Power Industry"/>
    <x v="0"/>
    <n v="71363174"/>
  </r>
  <r>
    <x v="0"/>
    <x v="40"/>
    <s v="Total Electric Power Industry"/>
    <x v="1"/>
    <n v="23411867"/>
  </r>
  <r>
    <x v="0"/>
    <x v="40"/>
    <s v="Total Electric Power Industry"/>
    <x v="2"/>
    <n v="3298066"/>
  </r>
  <r>
    <x v="0"/>
    <x v="40"/>
    <s v="Total Electric Power Industry"/>
    <x v="3"/>
    <n v="787535"/>
  </r>
  <r>
    <x v="0"/>
    <x v="40"/>
    <s v="Total Electric Power Industry"/>
    <x v="7"/>
    <n v="42880669"/>
  </r>
  <r>
    <x v="0"/>
    <x v="40"/>
    <s v="Total Electric Power Industry"/>
    <x v="8"/>
    <n v="49561"/>
  </r>
  <r>
    <x v="0"/>
    <x v="40"/>
    <s v="Total Electric Power Industry"/>
    <x v="4"/>
    <n v="172575"/>
  </r>
  <r>
    <x v="0"/>
    <x v="40"/>
    <s v="Total Electric Power Industry"/>
    <x v="10"/>
    <n v="-506389"/>
  </r>
  <r>
    <x v="0"/>
    <x v="40"/>
    <s v="Total Electric Power Industry"/>
    <x v="6"/>
    <n v="1269290"/>
  </r>
  <r>
    <x v="0"/>
    <x v="40"/>
    <s v="Electric Generators, Independent Power Producers"/>
    <x v="0"/>
    <n v="60392"/>
  </r>
  <r>
    <x v="0"/>
    <x v="40"/>
    <s v="Electric Generators, Independent Power Producers"/>
    <x v="2"/>
    <n v="60392"/>
  </r>
  <r>
    <x v="0"/>
    <x v="40"/>
    <s v="Electric Generators, Electric Utilities"/>
    <x v="0"/>
    <n v="69259815"/>
  </r>
  <r>
    <x v="0"/>
    <x v="40"/>
    <s v="Electric Generators, Electric Utilities"/>
    <x v="1"/>
    <n v="22874805"/>
  </r>
  <r>
    <x v="0"/>
    <x v="40"/>
    <s v="Electric Generators, Electric Utilities"/>
    <x v="2"/>
    <n v="3235298"/>
  </r>
  <r>
    <x v="0"/>
    <x v="40"/>
    <s v="Electric Generators, Electric Utilities"/>
    <x v="3"/>
    <n v="703435"/>
  </r>
  <r>
    <x v="0"/>
    <x v="40"/>
    <s v="Electric Generators, Electric Utilities"/>
    <x v="7"/>
    <n v="42880669"/>
  </r>
  <r>
    <x v="0"/>
    <x v="40"/>
    <s v="Electric Generators, Electric Utilities"/>
    <x v="4"/>
    <n v="71997"/>
  </r>
  <r>
    <x v="0"/>
    <x v="40"/>
    <s v="Electric Generators, Electric Utilities"/>
    <x v="10"/>
    <n v="-506389"/>
  </r>
  <r>
    <x v="0"/>
    <x v="40"/>
    <s v="Combined Heat and Power, Industrial Power"/>
    <x v="0"/>
    <n v="1975924"/>
  </r>
  <r>
    <x v="0"/>
    <x v="40"/>
    <s v="Combined Heat and Power, Industrial Power"/>
    <x v="1"/>
    <n v="537062"/>
  </r>
  <r>
    <x v="0"/>
    <x v="40"/>
    <s v="Combined Heat and Power, Industrial Power"/>
    <x v="3"/>
    <n v="63545"/>
  </r>
  <r>
    <x v="0"/>
    <x v="40"/>
    <s v="Combined Heat and Power, Industrial Power"/>
    <x v="8"/>
    <n v="8179"/>
  </r>
  <r>
    <x v="0"/>
    <x v="40"/>
    <s v="Combined Heat and Power, Industrial Power"/>
    <x v="4"/>
    <n v="97848"/>
  </r>
  <r>
    <x v="0"/>
    <x v="40"/>
    <s v="Combined Heat and Power, Industrial Power"/>
    <x v="6"/>
    <n v="1269290"/>
  </r>
  <r>
    <x v="0"/>
    <x v="40"/>
    <s v="Combined Heat and Power, Commercial Power"/>
    <x v="0"/>
    <n v="67043"/>
  </r>
  <r>
    <x v="0"/>
    <x v="40"/>
    <s v="Combined Heat and Power, Commercial Power"/>
    <x v="2"/>
    <n v="2376"/>
  </r>
  <r>
    <x v="0"/>
    <x v="40"/>
    <s v="Combined Heat and Power, Commercial Power"/>
    <x v="3"/>
    <n v="20555"/>
  </r>
  <r>
    <x v="0"/>
    <x v="40"/>
    <s v="Combined Heat and Power, Commercial Power"/>
    <x v="8"/>
    <n v="41382"/>
  </r>
  <r>
    <x v="0"/>
    <x v="40"/>
    <s v="Combined Heat and Power, Commercial Power"/>
    <x v="4"/>
    <n v="2730"/>
  </r>
  <r>
    <x v="0"/>
    <x v="41"/>
    <s v="Total Electric Power Industry"/>
    <x v="0"/>
    <n v="6427473"/>
  </r>
  <r>
    <x v="0"/>
    <x v="41"/>
    <s v="Total Electric Power Industry"/>
    <x v="1"/>
    <n v="2472514"/>
  </r>
  <r>
    <x v="0"/>
    <x v="41"/>
    <s v="Total Electric Power Industry"/>
    <x v="2"/>
    <n v="3934402"/>
  </r>
  <r>
    <x v="0"/>
    <x v="41"/>
    <s v="Total Electric Power Industry"/>
    <x v="3"/>
    <n v="12408"/>
  </r>
  <r>
    <x v="0"/>
    <x v="41"/>
    <s v="Total Electric Power Industry"/>
    <x v="4"/>
    <n v="8149"/>
  </r>
  <r>
    <x v="0"/>
    <x v="41"/>
    <s v="Electric Generators, Electric Utilities"/>
    <x v="0"/>
    <n v="6427473"/>
  </r>
  <r>
    <x v="0"/>
    <x v="41"/>
    <s v="Electric Generators, Electric Utilities"/>
    <x v="1"/>
    <n v="2472514"/>
  </r>
  <r>
    <x v="0"/>
    <x v="41"/>
    <s v="Electric Generators, Electric Utilities"/>
    <x v="2"/>
    <n v="3934402"/>
  </r>
  <r>
    <x v="0"/>
    <x v="41"/>
    <s v="Electric Generators, Electric Utilities"/>
    <x v="3"/>
    <n v="12408"/>
  </r>
  <r>
    <x v="0"/>
    <x v="41"/>
    <s v="Electric Generators, Electric Utilities"/>
    <x v="4"/>
    <n v="8149"/>
  </r>
  <r>
    <x v="0"/>
    <x v="42"/>
    <s v="Total Electric Power Industry"/>
    <x v="0"/>
    <n v="76187609"/>
  </r>
  <r>
    <x v="0"/>
    <x v="42"/>
    <s v="Total Electric Power Industry"/>
    <x v="1"/>
    <n v="51825606"/>
  </r>
  <r>
    <x v="0"/>
    <x v="42"/>
    <s v="Total Electric Power Industry"/>
    <x v="2"/>
    <n v="10015363"/>
  </r>
  <r>
    <x v="0"/>
    <x v="42"/>
    <s v="Total Electric Power Industry"/>
    <x v="3"/>
    <n v="224146"/>
  </r>
  <r>
    <x v="0"/>
    <x v="42"/>
    <s v="Total Electric Power Industry"/>
    <x v="7"/>
    <n v="14002591"/>
  </r>
  <r>
    <x v="0"/>
    <x v="42"/>
    <s v="Total Electric Power Industry"/>
    <x v="12"/>
    <n v="45000"/>
  </r>
  <r>
    <x v="0"/>
    <x v="42"/>
    <s v="Total Electric Power Industry"/>
    <x v="8"/>
    <n v="44919"/>
  </r>
  <r>
    <x v="0"/>
    <x v="42"/>
    <s v="Total Electric Power Industry"/>
    <x v="9"/>
    <n v="4210"/>
  </r>
  <r>
    <x v="0"/>
    <x v="42"/>
    <s v="Total Electric Power Industry"/>
    <x v="4"/>
    <n v="137067"/>
  </r>
  <r>
    <x v="0"/>
    <x v="42"/>
    <s v="Total Electric Power Industry"/>
    <x v="10"/>
    <n v="-478151"/>
  </r>
  <r>
    <x v="0"/>
    <x v="42"/>
    <s v="Total Electric Power Industry"/>
    <x v="6"/>
    <n v="366858"/>
  </r>
  <r>
    <x v="0"/>
    <x v="42"/>
    <s v="Electric Generators, Electric Utilities"/>
    <x v="0"/>
    <n v="73902614"/>
  </r>
  <r>
    <x v="0"/>
    <x v="42"/>
    <s v="Electric Generators, Electric Utilities"/>
    <x v="1"/>
    <n v="50186951"/>
  </r>
  <r>
    <x v="0"/>
    <x v="42"/>
    <s v="Electric Generators, Electric Utilities"/>
    <x v="2"/>
    <n v="10015363"/>
  </r>
  <r>
    <x v="0"/>
    <x v="42"/>
    <s v="Electric Generators, Electric Utilities"/>
    <x v="3"/>
    <n v="41463"/>
  </r>
  <r>
    <x v="0"/>
    <x v="42"/>
    <s v="Electric Generators, Electric Utilities"/>
    <x v="7"/>
    <n v="14002591"/>
  </r>
  <r>
    <x v="0"/>
    <x v="42"/>
    <s v="Electric Generators, Electric Utilities"/>
    <x v="4"/>
    <n v="134397"/>
  </r>
  <r>
    <x v="0"/>
    <x v="42"/>
    <s v="Electric Generators, Electric Utilities"/>
    <x v="10"/>
    <n v="-478151"/>
  </r>
  <r>
    <x v="0"/>
    <x v="42"/>
    <s v="Combined Heat and Power, Industrial Power"/>
    <x v="0"/>
    <n v="2198010"/>
  </r>
  <r>
    <x v="0"/>
    <x v="42"/>
    <s v="Combined Heat and Power, Industrial Power"/>
    <x v="1"/>
    <n v="1587032"/>
  </r>
  <r>
    <x v="0"/>
    <x v="42"/>
    <s v="Combined Heat and Power, Industrial Power"/>
    <x v="3"/>
    <n v="181982"/>
  </r>
  <r>
    <x v="0"/>
    <x v="42"/>
    <s v="Combined Heat and Power, Industrial Power"/>
    <x v="12"/>
    <n v="45000"/>
  </r>
  <r>
    <x v="0"/>
    <x v="42"/>
    <s v="Combined Heat and Power, Industrial Power"/>
    <x v="8"/>
    <n v="10258"/>
  </r>
  <r>
    <x v="0"/>
    <x v="42"/>
    <s v="Combined Heat and Power, Industrial Power"/>
    <x v="9"/>
    <n v="4210"/>
  </r>
  <r>
    <x v="0"/>
    <x v="42"/>
    <s v="Combined Heat and Power, Industrial Power"/>
    <x v="4"/>
    <n v="2670"/>
  </r>
  <r>
    <x v="0"/>
    <x v="42"/>
    <s v="Combined Heat and Power, Industrial Power"/>
    <x v="6"/>
    <n v="366858"/>
  </r>
  <r>
    <x v="0"/>
    <x v="42"/>
    <s v="Combined Heat and Power, Commercial Power"/>
    <x v="0"/>
    <n v="86985"/>
  </r>
  <r>
    <x v="0"/>
    <x v="42"/>
    <s v="Combined Heat and Power, Commercial Power"/>
    <x v="1"/>
    <n v="51623"/>
  </r>
  <r>
    <x v="0"/>
    <x v="42"/>
    <s v="Combined Heat and Power, Commercial Power"/>
    <x v="3"/>
    <n v="701"/>
  </r>
  <r>
    <x v="0"/>
    <x v="42"/>
    <s v="Combined Heat and Power, Commercial Power"/>
    <x v="8"/>
    <n v="34661"/>
  </r>
  <r>
    <x v="0"/>
    <x v="43"/>
    <s v="Total Electric Power Industry"/>
    <x v="0"/>
    <n v="281559635"/>
  </r>
  <r>
    <x v="0"/>
    <x v="43"/>
    <s v="Total Electric Power Industry"/>
    <x v="1"/>
    <n v="120921396"/>
  </r>
  <r>
    <x v="0"/>
    <x v="43"/>
    <s v="Total Electric Power Industry"/>
    <x v="2"/>
    <n v="1793625"/>
  </r>
  <r>
    <x v="0"/>
    <x v="43"/>
    <s v="Total Electric Power Industry"/>
    <x v="3"/>
    <n v="136234325"/>
  </r>
  <r>
    <x v="0"/>
    <x v="43"/>
    <s v="Total Electric Power Industry"/>
    <x v="7"/>
    <n v="15859258"/>
  </r>
  <r>
    <x v="0"/>
    <x v="43"/>
    <s v="Total Electric Power Industry"/>
    <x v="12"/>
    <n v="488731"/>
  </r>
  <r>
    <x v="0"/>
    <x v="43"/>
    <s v="Total Electric Power Industry"/>
    <x v="8"/>
    <n v="333132"/>
  </r>
  <r>
    <x v="0"/>
    <x v="43"/>
    <s v="Total Electric Power Industry"/>
    <x v="9"/>
    <n v="2997509"/>
  </r>
  <r>
    <x v="0"/>
    <x v="43"/>
    <s v="Total Electric Power Industry"/>
    <x v="4"/>
    <n v="1827803"/>
  </r>
  <r>
    <x v="0"/>
    <x v="43"/>
    <s v="Total Electric Power Industry"/>
    <x v="13"/>
    <n v="385"/>
  </r>
  <r>
    <x v="0"/>
    <x v="43"/>
    <s v="Total Electric Power Industry"/>
    <x v="6"/>
    <n v="1103471"/>
  </r>
  <r>
    <x v="0"/>
    <x v="43"/>
    <s v="Electric Generators, Independent Power Producers"/>
    <x v="0"/>
    <n v="23819"/>
  </r>
  <r>
    <x v="0"/>
    <x v="43"/>
    <s v="Electric Generators, Independent Power Producers"/>
    <x v="8"/>
    <n v="23819"/>
  </r>
  <r>
    <x v="0"/>
    <x v="43"/>
    <s v="Electric Generators, Electric Utilities"/>
    <x v="0"/>
    <n v="234047343"/>
  </r>
  <r>
    <x v="0"/>
    <x v="43"/>
    <s v="Electric Generators, Electric Utilities"/>
    <x v="1"/>
    <n v="118354490"/>
  </r>
  <r>
    <x v="0"/>
    <x v="43"/>
    <s v="Electric Generators, Electric Utilities"/>
    <x v="2"/>
    <n v="1793625"/>
  </r>
  <r>
    <x v="0"/>
    <x v="43"/>
    <s v="Electric Generators, Electric Utilities"/>
    <x v="3"/>
    <n v="97279980"/>
  </r>
  <r>
    <x v="0"/>
    <x v="43"/>
    <s v="Electric Generators, Electric Utilities"/>
    <x v="7"/>
    <n v="15859258"/>
  </r>
  <r>
    <x v="0"/>
    <x v="43"/>
    <s v="Electric Generators, Electric Utilities"/>
    <x v="8"/>
    <n v="278988"/>
  </r>
  <r>
    <x v="0"/>
    <x v="43"/>
    <s v="Electric Generators, Electric Utilities"/>
    <x v="4"/>
    <n v="480617"/>
  </r>
  <r>
    <x v="0"/>
    <x v="43"/>
    <s v="Electric Generators, Electric Utilities"/>
    <x v="13"/>
    <n v="385"/>
  </r>
  <r>
    <x v="0"/>
    <x v="43"/>
    <s v="Combined Heat and Power, Industrial Power"/>
    <x v="0"/>
    <n v="33333780"/>
  </r>
  <r>
    <x v="0"/>
    <x v="43"/>
    <s v="Combined Heat and Power, Industrial Power"/>
    <x v="1"/>
    <n v="2566906"/>
  </r>
  <r>
    <x v="0"/>
    <x v="43"/>
    <s v="Combined Heat and Power, Industrial Power"/>
    <x v="3"/>
    <n v="24970544"/>
  </r>
  <r>
    <x v="0"/>
    <x v="43"/>
    <s v="Combined Heat and Power, Industrial Power"/>
    <x v="12"/>
    <n v="476818"/>
  </r>
  <r>
    <x v="0"/>
    <x v="43"/>
    <s v="Combined Heat and Power, Industrial Power"/>
    <x v="8"/>
    <n v="27458"/>
  </r>
  <r>
    <x v="0"/>
    <x v="43"/>
    <s v="Combined Heat and Power, Industrial Power"/>
    <x v="9"/>
    <n v="2875858"/>
  </r>
  <r>
    <x v="0"/>
    <x v="43"/>
    <s v="Combined Heat and Power, Industrial Power"/>
    <x v="4"/>
    <n v="1312725"/>
  </r>
  <r>
    <x v="0"/>
    <x v="43"/>
    <s v="Combined Heat and Power, Industrial Power"/>
    <x v="6"/>
    <n v="1103471"/>
  </r>
  <r>
    <x v="0"/>
    <x v="43"/>
    <s v="Combined Heat and Power, Electric Power"/>
    <x v="0"/>
    <n v="13642255"/>
  </r>
  <r>
    <x v="0"/>
    <x v="43"/>
    <s v="Combined Heat and Power, Electric Power"/>
    <x v="3"/>
    <n v="13495902"/>
  </r>
  <r>
    <x v="0"/>
    <x v="43"/>
    <s v="Combined Heat and Power, Electric Power"/>
    <x v="12"/>
    <n v="11913"/>
  </r>
  <r>
    <x v="0"/>
    <x v="43"/>
    <s v="Combined Heat and Power, Electric Power"/>
    <x v="9"/>
    <n v="121651"/>
  </r>
  <r>
    <x v="0"/>
    <x v="43"/>
    <s v="Combined Heat and Power, Electric Power"/>
    <x v="4"/>
    <n v="12789"/>
  </r>
  <r>
    <x v="0"/>
    <x v="43"/>
    <s v="Combined Heat and Power, Commercial Power"/>
    <x v="0"/>
    <n v="512438"/>
  </r>
  <r>
    <x v="0"/>
    <x v="43"/>
    <s v="Combined Heat and Power, Commercial Power"/>
    <x v="3"/>
    <n v="487899"/>
  </r>
  <r>
    <x v="0"/>
    <x v="43"/>
    <s v="Combined Heat and Power, Commercial Power"/>
    <x v="8"/>
    <n v="2867"/>
  </r>
  <r>
    <x v="0"/>
    <x v="43"/>
    <s v="Combined Heat and Power, Commercial Power"/>
    <x v="4"/>
    <n v="21672"/>
  </r>
  <r>
    <x v="0"/>
    <x v="44"/>
    <s v="Total Electric Power Industry"/>
    <x v="0"/>
    <n v="3037827337"/>
  </r>
  <r>
    <x v="0"/>
    <x v="44"/>
    <s v="Total Electric Power Industry"/>
    <x v="1"/>
    <n v="1594011479"/>
  </r>
  <r>
    <x v="0"/>
    <x v="44"/>
    <s v="Total Electric Power Industry"/>
    <x v="11"/>
    <n v="15434271"/>
  </r>
  <r>
    <x v="0"/>
    <x v="44"/>
    <s v="Total Electric Power Industry"/>
    <x v="2"/>
    <n v="292865846"/>
  </r>
  <r>
    <x v="0"/>
    <x v="44"/>
    <s v="Total Electric Power Industry"/>
    <x v="3"/>
    <n v="372765154"/>
  </r>
  <r>
    <x v="0"/>
    <x v="44"/>
    <s v="Total Electric Power Industry"/>
    <x v="7"/>
    <n v="576861678"/>
  </r>
  <r>
    <x v="0"/>
    <x v="44"/>
    <s v="Total Electric Power Industry"/>
    <x v="12"/>
    <n v="3615663"/>
  </r>
  <r>
    <x v="0"/>
    <x v="44"/>
    <s v="Total Electric Power Industry"/>
    <x v="8"/>
    <n v="13260379"/>
  </r>
  <r>
    <x v="0"/>
    <x v="44"/>
    <s v="Total Electric Power Industry"/>
    <x v="9"/>
    <n v="10382830"/>
  </r>
  <r>
    <x v="0"/>
    <x v="44"/>
    <s v="Total Electric Power Industry"/>
    <x v="4"/>
    <n v="126460202"/>
  </r>
  <r>
    <x v="0"/>
    <x v="44"/>
    <s v="Total Electric Power Industry"/>
    <x v="10"/>
    <n v="-3507741"/>
  </r>
  <r>
    <x v="0"/>
    <x v="44"/>
    <s v="Total Electric Power Industry"/>
    <x v="13"/>
    <n v="367087"/>
  </r>
  <r>
    <x v="0"/>
    <x v="44"/>
    <s v="Total Electric Power Industry"/>
    <x v="5"/>
    <n v="2788600"/>
  </r>
  <r>
    <x v="0"/>
    <x v="44"/>
    <s v="Total Electric Power Industry"/>
    <x v="6"/>
    <n v="32521889"/>
  </r>
  <r>
    <x v="0"/>
    <x v="44"/>
    <s v="Electric Generators, Independent Power Producers"/>
    <x v="0"/>
    <n v="31895161"/>
  </r>
  <r>
    <x v="0"/>
    <x v="44"/>
    <s v="Electric Generators, Independent Power Producers"/>
    <x v="1"/>
    <n v="555917"/>
  </r>
  <r>
    <x v="0"/>
    <x v="44"/>
    <s v="Electric Generators, Independent Power Producers"/>
    <x v="11"/>
    <n v="6853043"/>
  </r>
  <r>
    <x v="0"/>
    <x v="44"/>
    <s v="Electric Generators, Independent Power Producers"/>
    <x v="2"/>
    <n v="6319465"/>
  </r>
  <r>
    <x v="0"/>
    <x v="44"/>
    <s v="Electric Generators, Independent Power Producers"/>
    <x v="3"/>
    <n v="588699"/>
  </r>
  <r>
    <x v="0"/>
    <x v="44"/>
    <s v="Electric Generators, Independent Power Producers"/>
    <x v="8"/>
    <n v="9098940"/>
  </r>
  <r>
    <x v="0"/>
    <x v="44"/>
    <s v="Electric Generators, Independent Power Producers"/>
    <x v="9"/>
    <n v="323"/>
  </r>
  <r>
    <x v="0"/>
    <x v="44"/>
    <s v="Electric Generators, Independent Power Producers"/>
    <x v="4"/>
    <n v="552783"/>
  </r>
  <r>
    <x v="0"/>
    <x v="44"/>
    <s v="Electric Generators, Independent Power Producers"/>
    <x v="13"/>
    <n v="364639"/>
  </r>
  <r>
    <x v="0"/>
    <x v="44"/>
    <s v="Electric Generators, Independent Power Producers"/>
    <x v="5"/>
    <n v="2788202"/>
  </r>
  <r>
    <x v="0"/>
    <x v="44"/>
    <s v="Electric Generators, Independent Power Producers"/>
    <x v="6"/>
    <n v="4773150"/>
  </r>
  <r>
    <x v="0"/>
    <x v="44"/>
    <s v="Electric Generators, Electric Utilities"/>
    <x v="0"/>
    <n v="2808151009"/>
  </r>
  <r>
    <x v="0"/>
    <x v="44"/>
    <s v="Electric Generators, Electric Utilities"/>
    <x v="1"/>
    <n v="1559605707"/>
  </r>
  <r>
    <x v="0"/>
    <x v="44"/>
    <s v="Electric Generators, Electric Utilities"/>
    <x v="11"/>
    <n v="8581228"/>
  </r>
  <r>
    <x v="0"/>
    <x v="44"/>
    <s v="Electric Generators, Electric Utilities"/>
    <x v="2"/>
    <n v="283433659"/>
  </r>
  <r>
    <x v="0"/>
    <x v="44"/>
    <s v="Electric Generators, Electric Utilities"/>
    <x v="3"/>
    <n v="264089401"/>
  </r>
  <r>
    <x v="0"/>
    <x v="44"/>
    <s v="Electric Generators, Electric Utilities"/>
    <x v="7"/>
    <n v="576861678"/>
  </r>
  <r>
    <x v="0"/>
    <x v="44"/>
    <s v="Electric Generators, Electric Utilities"/>
    <x v="8"/>
    <n v="1257134"/>
  </r>
  <r>
    <x v="0"/>
    <x v="44"/>
    <s v="Electric Generators, Electric Utilities"/>
    <x v="4"/>
    <n v="117016961"/>
  </r>
  <r>
    <x v="0"/>
    <x v="44"/>
    <s v="Electric Generators, Electric Utilities"/>
    <x v="10"/>
    <n v="-3507741"/>
  </r>
  <r>
    <x v="0"/>
    <x v="44"/>
    <s v="Electric Generators, Electric Utilities"/>
    <x v="13"/>
    <n v="2448"/>
  </r>
  <r>
    <x v="0"/>
    <x v="44"/>
    <s v="Electric Generators, Electric Utilities"/>
    <x v="5"/>
    <n v="398"/>
  </r>
  <r>
    <x v="0"/>
    <x v="44"/>
    <s v="Electric Generators, Electric Utilities"/>
    <x v="6"/>
    <n v="810136"/>
  </r>
  <r>
    <x v="0"/>
    <x v="44"/>
    <s v="Combined Heat and Power, Industrial Power"/>
    <x v="0"/>
    <n v="130668599"/>
  </r>
  <r>
    <x v="0"/>
    <x v="44"/>
    <s v="Combined Heat and Power, Industrial Power"/>
    <x v="1"/>
    <n v="21106875"/>
  </r>
  <r>
    <x v="0"/>
    <x v="44"/>
    <s v="Combined Heat and Power, Industrial Power"/>
    <x v="2"/>
    <n v="2975094"/>
  </r>
  <r>
    <x v="0"/>
    <x v="44"/>
    <s v="Combined Heat and Power, Industrial Power"/>
    <x v="3"/>
    <n v="60006633"/>
  </r>
  <r>
    <x v="0"/>
    <x v="44"/>
    <s v="Combined Heat and Power, Industrial Power"/>
    <x v="12"/>
    <n v="3603750"/>
  </r>
  <r>
    <x v="0"/>
    <x v="44"/>
    <s v="Combined Heat and Power, Industrial Power"/>
    <x v="8"/>
    <n v="948748"/>
  </r>
  <r>
    <x v="0"/>
    <x v="44"/>
    <s v="Combined Heat and Power, Industrial Power"/>
    <x v="9"/>
    <n v="9640731"/>
  </r>
  <r>
    <x v="0"/>
    <x v="44"/>
    <s v="Combined Heat and Power, Industrial Power"/>
    <x v="4"/>
    <n v="7007570"/>
  </r>
  <r>
    <x v="0"/>
    <x v="44"/>
    <s v="Combined Heat and Power, Industrial Power"/>
    <x v="6"/>
    <n v="25379198"/>
  </r>
  <r>
    <x v="0"/>
    <x v="44"/>
    <s v="Combined Heat and Power, Electric Power"/>
    <x v="0"/>
    <n v="61275449"/>
  </r>
  <r>
    <x v="0"/>
    <x v="44"/>
    <s v="Combined Heat and Power, Electric Power"/>
    <x v="1"/>
    <n v="11947298"/>
  </r>
  <r>
    <x v="0"/>
    <x v="44"/>
    <s v="Combined Heat and Power, Electric Power"/>
    <x v="3"/>
    <n v="44808251"/>
  </r>
  <r>
    <x v="0"/>
    <x v="44"/>
    <s v="Combined Heat and Power, Electric Power"/>
    <x v="12"/>
    <n v="11913"/>
  </r>
  <r>
    <x v="0"/>
    <x v="44"/>
    <s v="Combined Heat and Power, Electric Power"/>
    <x v="8"/>
    <n v="1143853"/>
  </r>
  <r>
    <x v="0"/>
    <x v="44"/>
    <s v="Combined Heat and Power, Electric Power"/>
    <x v="9"/>
    <n v="620789"/>
  </r>
  <r>
    <x v="0"/>
    <x v="44"/>
    <s v="Combined Heat and Power, Electric Power"/>
    <x v="4"/>
    <n v="1294185"/>
  </r>
  <r>
    <x v="0"/>
    <x v="44"/>
    <s v="Combined Heat and Power, Electric Power"/>
    <x v="6"/>
    <n v="1449160"/>
  </r>
  <r>
    <x v="0"/>
    <x v="44"/>
    <s v="Combined Heat and Power, Commercial Power"/>
    <x v="0"/>
    <n v="5837119"/>
  </r>
  <r>
    <x v="0"/>
    <x v="44"/>
    <s v="Combined Heat and Power, Commercial Power"/>
    <x v="1"/>
    <n v="795682"/>
  </r>
  <r>
    <x v="0"/>
    <x v="44"/>
    <s v="Combined Heat and Power, Commercial Power"/>
    <x v="2"/>
    <n v="137628"/>
  </r>
  <r>
    <x v="0"/>
    <x v="44"/>
    <s v="Combined Heat and Power, Commercial Power"/>
    <x v="3"/>
    <n v="3272170"/>
  </r>
  <r>
    <x v="0"/>
    <x v="44"/>
    <s v="Combined Heat and Power, Commercial Power"/>
    <x v="8"/>
    <n v="811704"/>
  </r>
  <r>
    <x v="0"/>
    <x v="44"/>
    <s v="Combined Heat and Power, Commercial Power"/>
    <x v="9"/>
    <n v="120987"/>
  </r>
  <r>
    <x v="0"/>
    <x v="44"/>
    <s v="Combined Heat and Power, Commercial Power"/>
    <x v="4"/>
    <n v="588703"/>
  </r>
  <r>
    <x v="0"/>
    <x v="44"/>
    <s v="Combined Heat and Power, Commercial Power"/>
    <x v="6"/>
    <n v="110245"/>
  </r>
  <r>
    <x v="0"/>
    <x v="45"/>
    <s v="Total Electric Power Industry"/>
    <x v="0"/>
    <n v="32563539"/>
  </r>
  <r>
    <x v="0"/>
    <x v="45"/>
    <s v="Total Electric Power Industry"/>
    <x v="1"/>
    <n v="31522926"/>
  </r>
  <r>
    <x v="0"/>
    <x v="45"/>
    <s v="Total Electric Power Industry"/>
    <x v="11"/>
    <n v="151825"/>
  </r>
  <r>
    <x v="0"/>
    <x v="45"/>
    <s v="Total Electric Power Industry"/>
    <x v="2"/>
    <n v="508443"/>
  </r>
  <r>
    <x v="0"/>
    <x v="45"/>
    <s v="Total Electric Power Industry"/>
    <x v="3"/>
    <n v="146488"/>
  </r>
  <r>
    <x v="0"/>
    <x v="45"/>
    <s v="Total Electric Power Industry"/>
    <x v="9"/>
    <n v="182005"/>
  </r>
  <r>
    <x v="0"/>
    <x v="45"/>
    <s v="Total Electric Power Industry"/>
    <x v="4"/>
    <n v="51852"/>
  </r>
  <r>
    <x v="0"/>
    <x v="45"/>
    <s v="Total Electric Power Industry"/>
    <x v="10"/>
    <n v="0"/>
  </r>
  <r>
    <x v="0"/>
    <x v="45"/>
    <s v="Electric Generators, Independent Power Producers"/>
    <x v="0"/>
    <n v="22701"/>
  </r>
  <r>
    <x v="0"/>
    <x v="45"/>
    <s v="Electric Generators, Independent Power Producers"/>
    <x v="2"/>
    <n v="22701"/>
  </r>
  <r>
    <x v="0"/>
    <x v="45"/>
    <s v="Electric Generators, Electric Utilities"/>
    <x v="0"/>
    <n v="32260340"/>
  </r>
  <r>
    <x v="0"/>
    <x v="45"/>
    <s v="Electric Generators, Electric Utilities"/>
    <x v="1"/>
    <n v="31519477"/>
  </r>
  <r>
    <x v="0"/>
    <x v="45"/>
    <s v="Electric Generators, Electric Utilities"/>
    <x v="11"/>
    <n v="151825"/>
  </r>
  <r>
    <x v="0"/>
    <x v="45"/>
    <s v="Electric Generators, Electric Utilities"/>
    <x v="2"/>
    <n v="485742"/>
  </r>
  <r>
    <x v="0"/>
    <x v="45"/>
    <s v="Electric Generators, Electric Utilities"/>
    <x v="3"/>
    <n v="54034"/>
  </r>
  <r>
    <x v="0"/>
    <x v="45"/>
    <s v="Electric Generators, Electric Utilities"/>
    <x v="4"/>
    <n v="49262"/>
  </r>
  <r>
    <x v="0"/>
    <x v="45"/>
    <s v="Electric Generators, Electric Utilities"/>
    <x v="10"/>
    <n v="0"/>
  </r>
  <r>
    <x v="0"/>
    <x v="45"/>
    <s v="Combined Heat and Power, Industrial Power"/>
    <x v="0"/>
    <n v="250170"/>
  </r>
  <r>
    <x v="0"/>
    <x v="45"/>
    <s v="Combined Heat and Power, Industrial Power"/>
    <x v="1"/>
    <n v="3449"/>
  </r>
  <r>
    <x v="0"/>
    <x v="45"/>
    <s v="Combined Heat and Power, Industrial Power"/>
    <x v="3"/>
    <n v="62204"/>
  </r>
  <r>
    <x v="0"/>
    <x v="45"/>
    <s v="Combined Heat and Power, Industrial Power"/>
    <x v="9"/>
    <n v="182005"/>
  </r>
  <r>
    <x v="0"/>
    <x v="45"/>
    <s v="Combined Heat and Power, Industrial Power"/>
    <x v="4"/>
    <n v="2512"/>
  </r>
  <r>
    <x v="0"/>
    <x v="45"/>
    <s v="Combined Heat and Power, Commercial Power"/>
    <x v="0"/>
    <n v="30328"/>
  </r>
  <r>
    <x v="0"/>
    <x v="45"/>
    <s v="Combined Heat and Power, Commercial Power"/>
    <x v="3"/>
    <n v="30250"/>
  </r>
  <r>
    <x v="0"/>
    <x v="45"/>
    <s v="Combined Heat and Power, Commercial Power"/>
    <x v="4"/>
    <n v="78"/>
  </r>
  <r>
    <x v="0"/>
    <x v="46"/>
    <s v="Total Electric Power Industry"/>
    <x v="0"/>
    <n v="52564458"/>
  </r>
  <r>
    <x v="0"/>
    <x v="46"/>
    <s v="Total Electric Power Industry"/>
    <x v="1"/>
    <n v="23899902"/>
  </r>
  <r>
    <x v="0"/>
    <x v="46"/>
    <s v="Total Electric Power Industry"/>
    <x v="2"/>
    <n v="1309499"/>
  </r>
  <r>
    <x v="0"/>
    <x v="46"/>
    <s v="Total Electric Power Industry"/>
    <x v="3"/>
    <n v="1134809"/>
  </r>
  <r>
    <x v="0"/>
    <x v="46"/>
    <s v="Total Electric Power Industry"/>
    <x v="7"/>
    <n v="23820152"/>
  </r>
  <r>
    <x v="0"/>
    <x v="46"/>
    <s v="Total Electric Power Industry"/>
    <x v="8"/>
    <n v="620794"/>
  </r>
  <r>
    <x v="0"/>
    <x v="46"/>
    <s v="Total Electric Power Industry"/>
    <x v="4"/>
    <n v="1438264"/>
  </r>
  <r>
    <x v="0"/>
    <x v="46"/>
    <s v="Total Electric Power Industry"/>
    <x v="10"/>
    <n v="-833669"/>
  </r>
  <r>
    <x v="0"/>
    <x v="46"/>
    <s v="Total Electric Power Industry"/>
    <x v="13"/>
    <n v="34"/>
  </r>
  <r>
    <x v="0"/>
    <x v="46"/>
    <s v="Total Electric Power Industry"/>
    <x v="6"/>
    <n v="1174673"/>
  </r>
  <r>
    <x v="0"/>
    <x v="46"/>
    <s v="Electric Generators, Independent Power Producers"/>
    <x v="0"/>
    <n v="427932"/>
  </r>
  <r>
    <x v="0"/>
    <x v="46"/>
    <s v="Electric Generators, Independent Power Producers"/>
    <x v="2"/>
    <n v="48136"/>
  </r>
  <r>
    <x v="0"/>
    <x v="46"/>
    <s v="Electric Generators, Independent Power Producers"/>
    <x v="8"/>
    <n v="379796"/>
  </r>
  <r>
    <x v="0"/>
    <x v="46"/>
    <s v="Electric Generators, Electric Utilities"/>
    <x v="0"/>
    <n v="47200499"/>
  </r>
  <r>
    <x v="0"/>
    <x v="46"/>
    <s v="Electric Generators, Electric Utilities"/>
    <x v="1"/>
    <n v="21000180"/>
  </r>
  <r>
    <x v="0"/>
    <x v="46"/>
    <s v="Electric Generators, Electric Utilities"/>
    <x v="2"/>
    <n v="1261363"/>
  </r>
  <r>
    <x v="0"/>
    <x v="46"/>
    <s v="Electric Generators, Electric Utilities"/>
    <x v="3"/>
    <n v="758289"/>
  </r>
  <r>
    <x v="0"/>
    <x v="46"/>
    <s v="Electric Generators, Electric Utilities"/>
    <x v="7"/>
    <n v="23820152"/>
  </r>
  <r>
    <x v="0"/>
    <x v="46"/>
    <s v="Electric Generators, Electric Utilities"/>
    <x v="4"/>
    <n v="1194150"/>
  </r>
  <r>
    <x v="0"/>
    <x v="46"/>
    <s v="Electric Generators, Electric Utilities"/>
    <x v="10"/>
    <n v="-833669"/>
  </r>
  <r>
    <x v="0"/>
    <x v="46"/>
    <s v="Electric Generators, Electric Utilities"/>
    <x v="13"/>
    <n v="34"/>
  </r>
  <r>
    <x v="0"/>
    <x v="46"/>
    <s v="Combined Heat and Power, Industrial Power"/>
    <x v="0"/>
    <n v="2509437"/>
  </r>
  <r>
    <x v="0"/>
    <x v="46"/>
    <s v="Combined Heat and Power, Industrial Power"/>
    <x v="1"/>
    <n v="1101269"/>
  </r>
  <r>
    <x v="0"/>
    <x v="46"/>
    <s v="Combined Heat and Power, Industrial Power"/>
    <x v="3"/>
    <n v="32293"/>
  </r>
  <r>
    <x v="0"/>
    <x v="46"/>
    <s v="Combined Heat and Power, Industrial Power"/>
    <x v="4"/>
    <n v="205373"/>
  </r>
  <r>
    <x v="0"/>
    <x v="46"/>
    <s v="Combined Heat and Power, Industrial Power"/>
    <x v="6"/>
    <n v="1170502"/>
  </r>
  <r>
    <x v="0"/>
    <x v="46"/>
    <s v="Combined Heat and Power, Electric Power"/>
    <x v="0"/>
    <n v="2161721"/>
  </r>
  <r>
    <x v="0"/>
    <x v="46"/>
    <s v="Combined Heat and Power, Electric Power"/>
    <x v="1"/>
    <n v="1774582"/>
  </r>
  <r>
    <x v="0"/>
    <x v="46"/>
    <s v="Combined Heat and Power, Electric Power"/>
    <x v="3"/>
    <n v="344227"/>
  </r>
  <r>
    <x v="0"/>
    <x v="46"/>
    <s v="Combined Heat and Power, Electric Power"/>
    <x v="4"/>
    <n v="38741"/>
  </r>
  <r>
    <x v="0"/>
    <x v="46"/>
    <s v="Combined Heat and Power, Electric Power"/>
    <x v="6"/>
    <n v="4171"/>
  </r>
  <r>
    <x v="0"/>
    <x v="46"/>
    <s v="Combined Heat and Power, Commercial Power"/>
    <x v="0"/>
    <n v="264869"/>
  </r>
  <r>
    <x v="0"/>
    <x v="46"/>
    <s v="Combined Heat and Power, Commercial Power"/>
    <x v="1"/>
    <n v="23871"/>
  </r>
  <r>
    <x v="0"/>
    <x v="46"/>
    <s v="Combined Heat and Power, Commercial Power"/>
    <x v="8"/>
    <n v="240998"/>
  </r>
  <r>
    <x v="0"/>
    <x v="47"/>
    <s v="Total Electric Power Industry"/>
    <x v="0"/>
    <n v="5164108"/>
  </r>
  <r>
    <x v="0"/>
    <x v="47"/>
    <s v="Total Electric Power Industry"/>
    <x v="2"/>
    <n v="1365031"/>
  </r>
  <r>
    <x v="0"/>
    <x v="47"/>
    <s v="Total Electric Power Industry"/>
    <x v="3"/>
    <n v="65281"/>
  </r>
  <r>
    <x v="0"/>
    <x v="47"/>
    <s v="Total Electric Power Industry"/>
    <x v="7"/>
    <n v="3616268"/>
  </r>
  <r>
    <x v="0"/>
    <x v="47"/>
    <s v="Total Electric Power Industry"/>
    <x v="4"/>
    <n v="2543"/>
  </r>
  <r>
    <x v="0"/>
    <x v="47"/>
    <s v="Total Electric Power Industry"/>
    <x v="5"/>
    <n v="0"/>
  </r>
  <r>
    <x v="0"/>
    <x v="47"/>
    <s v="Total Electric Power Industry"/>
    <x v="6"/>
    <n v="114985"/>
  </r>
  <r>
    <x v="0"/>
    <x v="47"/>
    <s v="Electric Generators, Independent Power Producers"/>
    <x v="0"/>
    <n v="133799"/>
  </r>
  <r>
    <x v="0"/>
    <x v="47"/>
    <s v="Electric Generators, Independent Power Producers"/>
    <x v="2"/>
    <n v="133799"/>
  </r>
  <r>
    <x v="0"/>
    <x v="47"/>
    <s v="Electric Generators, Electric Utilities"/>
    <x v="0"/>
    <n v="4992578"/>
  </r>
  <r>
    <x v="0"/>
    <x v="47"/>
    <s v="Electric Generators, Electric Utilities"/>
    <x v="2"/>
    <n v="1214248"/>
  </r>
  <r>
    <x v="0"/>
    <x v="47"/>
    <s v="Electric Generators, Electric Utilities"/>
    <x v="3"/>
    <n v="65281"/>
  </r>
  <r>
    <x v="0"/>
    <x v="47"/>
    <s v="Electric Generators, Electric Utilities"/>
    <x v="7"/>
    <n v="3616268"/>
  </r>
  <r>
    <x v="0"/>
    <x v="47"/>
    <s v="Electric Generators, Electric Utilities"/>
    <x v="4"/>
    <n v="2543"/>
  </r>
  <r>
    <x v="0"/>
    <x v="47"/>
    <s v="Electric Generators, Electric Utilities"/>
    <x v="5"/>
    <n v="0"/>
  </r>
  <r>
    <x v="0"/>
    <x v="47"/>
    <s v="Electric Generators, Electric Utilities"/>
    <x v="6"/>
    <n v="94238"/>
  </r>
  <r>
    <x v="0"/>
    <x v="47"/>
    <s v="Combined Heat and Power, Industrial Power"/>
    <x v="0"/>
    <n v="37731"/>
  </r>
  <r>
    <x v="0"/>
    <x v="47"/>
    <s v="Combined Heat and Power, Industrial Power"/>
    <x v="2"/>
    <n v="16984"/>
  </r>
  <r>
    <x v="0"/>
    <x v="47"/>
    <s v="Combined Heat and Power, Industrial Power"/>
    <x v="6"/>
    <n v="20747"/>
  </r>
  <r>
    <x v="0"/>
    <x v="48"/>
    <s v="Total Electric Power Industry"/>
    <x v="0"/>
    <n v="102071533"/>
  </r>
  <r>
    <x v="0"/>
    <x v="48"/>
    <s v="Total Electric Power Industry"/>
    <x v="1"/>
    <n v="7390279"/>
  </r>
  <r>
    <x v="0"/>
    <x v="48"/>
    <s v="Total Electric Power Industry"/>
    <x v="2"/>
    <n v="87466708"/>
  </r>
  <r>
    <x v="0"/>
    <x v="48"/>
    <s v="Total Electric Power Industry"/>
    <x v="3"/>
    <n v="288058"/>
  </r>
  <r>
    <x v="0"/>
    <x v="48"/>
    <s v="Total Electric Power Industry"/>
    <x v="7"/>
    <n v="5742027"/>
  </r>
  <r>
    <x v="0"/>
    <x v="48"/>
    <s v="Total Electric Power Industry"/>
    <x v="12"/>
    <n v="3750"/>
  </r>
  <r>
    <x v="0"/>
    <x v="48"/>
    <s v="Total Electric Power Industry"/>
    <x v="8"/>
    <n v="6499"/>
  </r>
  <r>
    <x v="0"/>
    <x v="48"/>
    <s v="Total Electric Power Industry"/>
    <x v="9"/>
    <n v="8460"/>
  </r>
  <r>
    <x v="0"/>
    <x v="48"/>
    <s v="Total Electric Power Industry"/>
    <x v="4"/>
    <n v="42981"/>
  </r>
  <r>
    <x v="0"/>
    <x v="48"/>
    <s v="Total Electric Power Industry"/>
    <x v="10"/>
    <n v="0"/>
  </r>
  <r>
    <x v="0"/>
    <x v="48"/>
    <s v="Total Electric Power Industry"/>
    <x v="6"/>
    <n v="1122771"/>
  </r>
  <r>
    <x v="0"/>
    <x v="48"/>
    <s v="Electric Generators, Independent Power Producers"/>
    <x v="0"/>
    <n v="176850"/>
  </r>
  <r>
    <x v="0"/>
    <x v="48"/>
    <s v="Electric Generators, Independent Power Producers"/>
    <x v="2"/>
    <n v="170351"/>
  </r>
  <r>
    <x v="0"/>
    <x v="48"/>
    <s v="Electric Generators, Independent Power Producers"/>
    <x v="8"/>
    <n v="6499"/>
  </r>
  <r>
    <x v="0"/>
    <x v="48"/>
    <s v="Electric Generators, Electric Utilities"/>
    <x v="0"/>
    <n v="100478861"/>
  </r>
  <r>
    <x v="0"/>
    <x v="48"/>
    <s v="Electric Generators, Electric Utilities"/>
    <x v="1"/>
    <n v="7351520"/>
  </r>
  <r>
    <x v="0"/>
    <x v="48"/>
    <s v="Electric Generators, Electric Utilities"/>
    <x v="2"/>
    <n v="87022217"/>
  </r>
  <r>
    <x v="0"/>
    <x v="48"/>
    <s v="Electric Generators, Electric Utilities"/>
    <x v="3"/>
    <n v="15501"/>
  </r>
  <r>
    <x v="0"/>
    <x v="48"/>
    <s v="Electric Generators, Electric Utilities"/>
    <x v="7"/>
    <n v="5742027"/>
  </r>
  <r>
    <x v="0"/>
    <x v="48"/>
    <s v="Electric Generators, Electric Utilities"/>
    <x v="4"/>
    <n v="14290"/>
  </r>
  <r>
    <x v="0"/>
    <x v="48"/>
    <s v="Electric Generators, Electric Utilities"/>
    <x v="10"/>
    <n v="0"/>
  </r>
  <r>
    <x v="0"/>
    <x v="48"/>
    <s v="Electric Generators, Electric Utilities"/>
    <x v="6"/>
    <n v="333306"/>
  </r>
  <r>
    <x v="0"/>
    <x v="48"/>
    <s v="Combined Heat and Power, Industrial Power"/>
    <x v="0"/>
    <n v="1306736"/>
  </r>
  <r>
    <x v="0"/>
    <x v="48"/>
    <s v="Combined Heat and Power, Industrial Power"/>
    <x v="1"/>
    <n v="25420"/>
  </r>
  <r>
    <x v="0"/>
    <x v="48"/>
    <s v="Combined Heat and Power, Industrial Power"/>
    <x v="2"/>
    <n v="189015"/>
  </r>
  <r>
    <x v="0"/>
    <x v="48"/>
    <s v="Combined Heat and Power, Industrial Power"/>
    <x v="3"/>
    <n v="270395"/>
  </r>
  <r>
    <x v="0"/>
    <x v="48"/>
    <s v="Combined Heat and Power, Industrial Power"/>
    <x v="12"/>
    <n v="3750"/>
  </r>
  <r>
    <x v="0"/>
    <x v="48"/>
    <s v="Combined Heat and Power, Industrial Power"/>
    <x v="8"/>
    <n v="0"/>
  </r>
  <r>
    <x v="0"/>
    <x v="48"/>
    <s v="Combined Heat and Power, Industrial Power"/>
    <x v="4"/>
    <n v="28691"/>
  </r>
  <r>
    <x v="0"/>
    <x v="48"/>
    <s v="Combined Heat and Power, Industrial Power"/>
    <x v="6"/>
    <n v="789465"/>
  </r>
  <r>
    <x v="0"/>
    <x v="48"/>
    <s v="Combined Heat and Power, Electric Power"/>
    <x v="0"/>
    <n v="8460"/>
  </r>
  <r>
    <x v="0"/>
    <x v="48"/>
    <s v="Combined Heat and Power, Electric Power"/>
    <x v="8"/>
    <n v="0"/>
  </r>
  <r>
    <x v="0"/>
    <x v="48"/>
    <s v="Combined Heat and Power, Electric Power"/>
    <x v="9"/>
    <n v="8460"/>
  </r>
  <r>
    <x v="0"/>
    <x v="48"/>
    <s v="Combined Heat and Power, Commercial Power"/>
    <x v="0"/>
    <n v="100626"/>
  </r>
  <r>
    <x v="0"/>
    <x v="48"/>
    <s v="Combined Heat and Power, Commercial Power"/>
    <x v="1"/>
    <n v="13339"/>
  </r>
  <r>
    <x v="0"/>
    <x v="48"/>
    <s v="Combined Heat and Power, Commercial Power"/>
    <x v="2"/>
    <n v="85125"/>
  </r>
  <r>
    <x v="0"/>
    <x v="48"/>
    <s v="Combined Heat and Power, Commercial Power"/>
    <x v="3"/>
    <n v="2162"/>
  </r>
  <r>
    <x v="0"/>
    <x v="49"/>
    <s v="Total Electric Power Industry"/>
    <x v="0"/>
    <n v="47768857"/>
  </r>
  <r>
    <x v="0"/>
    <x v="49"/>
    <s v="Total Electric Power Industry"/>
    <x v="1"/>
    <n v="33168941"/>
  </r>
  <r>
    <x v="0"/>
    <x v="49"/>
    <s v="Total Electric Power Industry"/>
    <x v="2"/>
    <n v="2014412"/>
  </r>
  <r>
    <x v="0"/>
    <x v="49"/>
    <s v="Total Electric Power Industry"/>
    <x v="3"/>
    <n v="347204"/>
  </r>
  <r>
    <x v="0"/>
    <x v="49"/>
    <s v="Total Electric Power Industry"/>
    <x v="7"/>
    <n v="11225913"/>
  </r>
  <r>
    <x v="0"/>
    <x v="49"/>
    <s v="Total Electric Power Industry"/>
    <x v="8"/>
    <n v="149770"/>
  </r>
  <r>
    <x v="0"/>
    <x v="49"/>
    <s v="Total Electric Power Industry"/>
    <x v="4"/>
    <n v="179457"/>
  </r>
  <r>
    <x v="0"/>
    <x v="49"/>
    <s v="Total Electric Power Industry"/>
    <x v="5"/>
    <n v="44"/>
  </r>
  <r>
    <x v="0"/>
    <x v="49"/>
    <s v="Total Electric Power Industry"/>
    <x v="6"/>
    <n v="683116"/>
  </r>
  <r>
    <x v="0"/>
    <x v="49"/>
    <s v="Electric Generators, Independent Power Producers"/>
    <x v="0"/>
    <n v="110157"/>
  </r>
  <r>
    <x v="0"/>
    <x v="49"/>
    <s v="Electric Generators, Independent Power Producers"/>
    <x v="2"/>
    <n v="10563"/>
  </r>
  <r>
    <x v="0"/>
    <x v="49"/>
    <s v="Electric Generators, Independent Power Producers"/>
    <x v="8"/>
    <n v="99594"/>
  </r>
  <r>
    <x v="0"/>
    <x v="49"/>
    <s v="Electric Generators, Electric Utilities"/>
    <x v="0"/>
    <n v="45550958"/>
  </r>
  <r>
    <x v="0"/>
    <x v="49"/>
    <s v="Electric Generators, Electric Utilities"/>
    <x v="1"/>
    <n v="32144557"/>
  </r>
  <r>
    <x v="0"/>
    <x v="49"/>
    <s v="Electric Generators, Electric Utilities"/>
    <x v="2"/>
    <n v="1791037"/>
  </r>
  <r>
    <x v="0"/>
    <x v="49"/>
    <s v="Electric Generators, Electric Utilities"/>
    <x v="3"/>
    <n v="169378"/>
  </r>
  <r>
    <x v="0"/>
    <x v="49"/>
    <s v="Electric Generators, Electric Utilities"/>
    <x v="7"/>
    <n v="11225913"/>
  </r>
  <r>
    <x v="0"/>
    <x v="49"/>
    <s v="Electric Generators, Electric Utilities"/>
    <x v="8"/>
    <n v="13754"/>
  </r>
  <r>
    <x v="0"/>
    <x v="49"/>
    <s v="Electric Generators, Electric Utilities"/>
    <x v="4"/>
    <n v="47444"/>
  </r>
  <r>
    <x v="0"/>
    <x v="49"/>
    <s v="Electric Generators, Electric Utilities"/>
    <x v="5"/>
    <n v="44"/>
  </r>
  <r>
    <x v="0"/>
    <x v="49"/>
    <s v="Electric Generators, Electric Utilities"/>
    <x v="6"/>
    <n v="158831"/>
  </r>
  <r>
    <x v="0"/>
    <x v="49"/>
    <s v="Combined Heat and Power, Industrial Power"/>
    <x v="0"/>
    <n v="2064804"/>
  </r>
  <r>
    <x v="0"/>
    <x v="49"/>
    <s v="Combined Heat and Power, Industrial Power"/>
    <x v="1"/>
    <n v="1006628"/>
  </r>
  <r>
    <x v="0"/>
    <x v="49"/>
    <s v="Combined Heat and Power, Industrial Power"/>
    <x v="2"/>
    <n v="201395"/>
  </r>
  <r>
    <x v="0"/>
    <x v="49"/>
    <s v="Combined Heat and Power, Industrial Power"/>
    <x v="3"/>
    <n v="170782"/>
  </r>
  <r>
    <x v="0"/>
    <x v="49"/>
    <s v="Combined Heat and Power, Industrial Power"/>
    <x v="8"/>
    <n v="30662"/>
  </r>
  <r>
    <x v="0"/>
    <x v="49"/>
    <s v="Combined Heat and Power, Industrial Power"/>
    <x v="4"/>
    <n v="131979"/>
  </r>
  <r>
    <x v="0"/>
    <x v="49"/>
    <s v="Combined Heat and Power, Industrial Power"/>
    <x v="6"/>
    <n v="523358"/>
  </r>
  <r>
    <x v="0"/>
    <x v="49"/>
    <s v="Combined Heat and Power, Electric Power"/>
    <x v="0"/>
    <n v="22651"/>
  </r>
  <r>
    <x v="0"/>
    <x v="49"/>
    <s v="Combined Heat and Power, Electric Power"/>
    <x v="1"/>
    <n v="15077"/>
  </r>
  <r>
    <x v="0"/>
    <x v="49"/>
    <s v="Combined Heat and Power, Electric Power"/>
    <x v="3"/>
    <n v="7014"/>
  </r>
  <r>
    <x v="0"/>
    <x v="49"/>
    <s v="Combined Heat and Power, Electric Power"/>
    <x v="4"/>
    <n v="34"/>
  </r>
  <r>
    <x v="0"/>
    <x v="49"/>
    <s v="Combined Heat and Power, Electric Power"/>
    <x v="6"/>
    <n v="526"/>
  </r>
  <r>
    <x v="0"/>
    <x v="49"/>
    <s v="Combined Heat and Power, Commercial Power"/>
    <x v="0"/>
    <n v="20287"/>
  </r>
  <r>
    <x v="0"/>
    <x v="49"/>
    <s v="Combined Heat and Power, Commercial Power"/>
    <x v="1"/>
    <n v="2679"/>
  </r>
  <r>
    <x v="0"/>
    <x v="49"/>
    <s v="Combined Heat and Power, Commercial Power"/>
    <x v="2"/>
    <n v="11417"/>
  </r>
  <r>
    <x v="0"/>
    <x v="49"/>
    <s v="Combined Heat and Power, Commercial Power"/>
    <x v="3"/>
    <n v="30"/>
  </r>
  <r>
    <x v="0"/>
    <x v="49"/>
    <s v="Combined Heat and Power, Commercial Power"/>
    <x v="8"/>
    <n v="5760"/>
  </r>
  <r>
    <x v="0"/>
    <x v="49"/>
    <s v="Combined Heat and Power, Commercial Power"/>
    <x v="6"/>
    <n v="401"/>
  </r>
  <r>
    <x v="0"/>
    <x v="50"/>
    <s v="Total Electric Power Industry"/>
    <x v="0"/>
    <n v="79539544"/>
  </r>
  <r>
    <x v="0"/>
    <x v="50"/>
    <s v="Total Electric Power Industry"/>
    <x v="1"/>
    <n v="77643366"/>
  </r>
  <r>
    <x v="0"/>
    <x v="50"/>
    <s v="Total Electric Power Industry"/>
    <x v="2"/>
    <n v="1295051"/>
  </r>
  <r>
    <x v="0"/>
    <x v="50"/>
    <s v="Total Electric Power Industry"/>
    <x v="3"/>
    <n v="90063"/>
  </r>
  <r>
    <x v="0"/>
    <x v="50"/>
    <s v="Total Electric Power Industry"/>
    <x v="12"/>
    <n v="11207"/>
  </r>
  <r>
    <x v="0"/>
    <x v="50"/>
    <s v="Total Electric Power Industry"/>
    <x v="9"/>
    <n v="174182"/>
  </r>
  <r>
    <x v="0"/>
    <x v="50"/>
    <s v="Total Electric Power Industry"/>
    <x v="4"/>
    <n v="325675"/>
  </r>
  <r>
    <x v="0"/>
    <x v="50"/>
    <s v="Electric Generators, Independent Power Producers"/>
    <x v="0"/>
    <n v="250443"/>
  </r>
  <r>
    <x v="0"/>
    <x v="50"/>
    <s v="Electric Generators, Independent Power Producers"/>
    <x v="2"/>
    <n v="250443"/>
  </r>
  <r>
    <x v="0"/>
    <x v="50"/>
    <s v="Electric Generators, Electric Utilities"/>
    <x v="0"/>
    <n v="77363692"/>
  </r>
  <r>
    <x v="0"/>
    <x v="50"/>
    <s v="Electric Generators, Electric Utilities"/>
    <x v="1"/>
    <n v="76635718"/>
  </r>
  <r>
    <x v="0"/>
    <x v="50"/>
    <s v="Electric Generators, Electric Utilities"/>
    <x v="2"/>
    <n v="435049"/>
  </r>
  <r>
    <x v="0"/>
    <x v="50"/>
    <s v="Electric Generators, Electric Utilities"/>
    <x v="3"/>
    <n v="18506"/>
  </r>
  <r>
    <x v="0"/>
    <x v="50"/>
    <s v="Electric Generators, Electric Utilities"/>
    <x v="4"/>
    <n v="274419"/>
  </r>
  <r>
    <x v="0"/>
    <x v="50"/>
    <s v="Combined Heat and Power, Industrial Power"/>
    <x v="0"/>
    <n v="1925409"/>
  </r>
  <r>
    <x v="0"/>
    <x v="50"/>
    <s v="Combined Heat and Power, Industrial Power"/>
    <x v="1"/>
    <n v="1007648"/>
  </r>
  <r>
    <x v="0"/>
    <x v="50"/>
    <s v="Combined Heat and Power, Industrial Power"/>
    <x v="2"/>
    <n v="609559"/>
  </r>
  <r>
    <x v="0"/>
    <x v="50"/>
    <s v="Combined Heat and Power, Industrial Power"/>
    <x v="3"/>
    <n v="71557"/>
  </r>
  <r>
    <x v="0"/>
    <x v="50"/>
    <s v="Combined Heat and Power, Industrial Power"/>
    <x v="12"/>
    <n v="11207"/>
  </r>
  <r>
    <x v="0"/>
    <x v="50"/>
    <s v="Combined Heat and Power, Industrial Power"/>
    <x v="9"/>
    <n v="174182"/>
  </r>
  <r>
    <x v="0"/>
    <x v="50"/>
    <s v="Combined Heat and Power, Industrial Power"/>
    <x v="4"/>
    <n v="51256"/>
  </r>
  <r>
    <x v="0"/>
    <x v="51"/>
    <s v="Total Electric Power Industry"/>
    <x v="0"/>
    <n v="39974965"/>
  </r>
  <r>
    <x v="0"/>
    <x v="51"/>
    <s v="Total Electric Power Industry"/>
    <x v="1"/>
    <n v="38908467"/>
  </r>
  <r>
    <x v="0"/>
    <x v="51"/>
    <s v="Total Electric Power Industry"/>
    <x v="2"/>
    <n v="644613"/>
  </r>
  <r>
    <x v="0"/>
    <x v="51"/>
    <s v="Total Electric Power Industry"/>
    <x v="3"/>
    <n v="268202"/>
  </r>
  <r>
    <x v="0"/>
    <x v="51"/>
    <s v="Total Electric Power Industry"/>
    <x v="12"/>
    <n v="45396"/>
  </r>
  <r>
    <x v="0"/>
    <x v="51"/>
    <s v="Total Electric Power Industry"/>
    <x v="9"/>
    <n v="8642"/>
  </r>
  <r>
    <x v="0"/>
    <x v="51"/>
    <s v="Total Electric Power Industry"/>
    <x v="4"/>
    <n v="49205"/>
  </r>
  <r>
    <x v="0"/>
    <x v="51"/>
    <s v="Total Electric Power Industry"/>
    <x v="6"/>
    <n v="50440"/>
  </r>
  <r>
    <x v="0"/>
    <x v="51"/>
    <s v="Electric Generators, Electric Utilities"/>
    <x v="0"/>
    <n v="39378154"/>
  </r>
  <r>
    <x v="0"/>
    <x v="51"/>
    <s v="Electric Generators, Electric Utilities"/>
    <x v="1"/>
    <n v="38681220"/>
  </r>
  <r>
    <x v="0"/>
    <x v="51"/>
    <s v="Electric Generators, Electric Utilities"/>
    <x v="2"/>
    <n v="644613"/>
  </r>
  <r>
    <x v="0"/>
    <x v="51"/>
    <s v="Electric Generators, Electric Utilities"/>
    <x v="3"/>
    <n v="6760"/>
  </r>
  <r>
    <x v="0"/>
    <x v="51"/>
    <s v="Electric Generators, Electric Utilities"/>
    <x v="4"/>
    <n v="45561"/>
  </r>
  <r>
    <x v="0"/>
    <x v="51"/>
    <s v="Combined Heat and Power, Industrial Power"/>
    <x v="0"/>
    <n v="596811"/>
  </r>
  <r>
    <x v="0"/>
    <x v="51"/>
    <s v="Combined Heat and Power, Industrial Power"/>
    <x v="1"/>
    <n v="227247"/>
  </r>
  <r>
    <x v="0"/>
    <x v="51"/>
    <s v="Combined Heat and Power, Industrial Power"/>
    <x v="3"/>
    <n v="261442"/>
  </r>
  <r>
    <x v="0"/>
    <x v="51"/>
    <s v="Combined Heat and Power, Industrial Power"/>
    <x v="12"/>
    <n v="45396"/>
  </r>
  <r>
    <x v="0"/>
    <x v="51"/>
    <s v="Combined Heat and Power, Industrial Power"/>
    <x v="9"/>
    <n v="8642"/>
  </r>
  <r>
    <x v="0"/>
    <x v="51"/>
    <s v="Combined Heat and Power, Industrial Power"/>
    <x v="4"/>
    <n v="3644"/>
  </r>
  <r>
    <x v="0"/>
    <x v="51"/>
    <s v="Combined Heat and Power, Industrial Power"/>
    <x v="6"/>
    <n v="50440"/>
  </r>
  <r>
    <x v="1"/>
    <x v="0"/>
    <s v="Total Electric Power Industry"/>
    <x v="0"/>
    <n v="5389828"/>
  </r>
  <r>
    <x v="1"/>
    <x v="0"/>
    <s v="Total Electric Power Industry"/>
    <x v="1"/>
    <n v="520514"/>
  </r>
  <r>
    <x v="1"/>
    <x v="0"/>
    <s v="Total Electric Power Industry"/>
    <x v="2"/>
    <n v="896113"/>
  </r>
  <r>
    <x v="1"/>
    <x v="0"/>
    <s v="Total Electric Power Industry"/>
    <x v="3"/>
    <n v="3319395"/>
  </r>
  <r>
    <x v="1"/>
    <x v="0"/>
    <s v="Total Electric Power Industry"/>
    <x v="4"/>
    <n v="513425"/>
  </r>
  <r>
    <x v="1"/>
    <x v="0"/>
    <s v="Total Electric Power Industry"/>
    <x v="5"/>
    <n v="0"/>
  </r>
  <r>
    <x v="1"/>
    <x v="0"/>
    <s v="Total Electric Power Industry"/>
    <x v="6"/>
    <n v="140381"/>
  </r>
  <r>
    <x v="1"/>
    <x v="0"/>
    <s v="Electric Generators, Electric Utilities"/>
    <x v="0"/>
    <n v="4286431"/>
  </r>
  <r>
    <x v="1"/>
    <x v="0"/>
    <s v="Electric Generators, Electric Utilities"/>
    <x v="1"/>
    <n v="325914"/>
  </r>
  <r>
    <x v="1"/>
    <x v="0"/>
    <s v="Electric Generators, Electric Utilities"/>
    <x v="2"/>
    <n v="896113"/>
  </r>
  <r>
    <x v="1"/>
    <x v="0"/>
    <s v="Electric Generators, Electric Utilities"/>
    <x v="3"/>
    <n v="2657316"/>
  </r>
  <r>
    <x v="1"/>
    <x v="0"/>
    <s v="Electric Generators, Electric Utilities"/>
    <x v="4"/>
    <n v="407088"/>
  </r>
  <r>
    <x v="1"/>
    <x v="0"/>
    <s v="Electric Generators, Electric Utilities"/>
    <x v="5"/>
    <n v="0"/>
  </r>
  <r>
    <x v="1"/>
    <x v="0"/>
    <s v="Combined Heat and Power, Industrial Power"/>
    <x v="0"/>
    <n v="898859"/>
  </r>
  <r>
    <x v="1"/>
    <x v="0"/>
    <s v="Combined Heat and Power, Industrial Power"/>
    <x v="3"/>
    <n v="653601"/>
  </r>
  <r>
    <x v="1"/>
    <x v="0"/>
    <s v="Combined Heat and Power, Industrial Power"/>
    <x v="4"/>
    <n v="104877"/>
  </r>
  <r>
    <x v="1"/>
    <x v="0"/>
    <s v="Combined Heat and Power, Industrial Power"/>
    <x v="6"/>
    <n v="140381"/>
  </r>
  <r>
    <x v="1"/>
    <x v="0"/>
    <s v="Combined Heat and Power, Commercial Power"/>
    <x v="0"/>
    <n v="204538"/>
  </r>
  <r>
    <x v="1"/>
    <x v="0"/>
    <s v="Combined Heat and Power, Commercial Power"/>
    <x v="1"/>
    <n v="194600"/>
  </r>
  <r>
    <x v="1"/>
    <x v="0"/>
    <s v="Combined Heat and Power, Commercial Power"/>
    <x v="3"/>
    <n v="8478"/>
  </r>
  <r>
    <x v="1"/>
    <x v="0"/>
    <s v="Combined Heat and Power, Commercial Power"/>
    <x v="4"/>
    <n v="1460"/>
  </r>
  <r>
    <x v="1"/>
    <x v="1"/>
    <s v="Total Electric Power Industry"/>
    <x v="0"/>
    <n v="88786612"/>
  </r>
  <r>
    <x v="1"/>
    <x v="1"/>
    <s v="Total Electric Power Industry"/>
    <x v="1"/>
    <n v="58222842"/>
  </r>
  <r>
    <x v="1"/>
    <x v="1"/>
    <s v="Total Electric Power Industry"/>
    <x v="2"/>
    <n v="10757723"/>
  </r>
  <r>
    <x v="1"/>
    <x v="1"/>
    <s v="Total Electric Power Industry"/>
    <x v="3"/>
    <n v="1222500"/>
  </r>
  <r>
    <x v="1"/>
    <x v="1"/>
    <s v="Total Electric Power Industry"/>
    <x v="7"/>
    <n v="15874637"/>
  </r>
  <r>
    <x v="1"/>
    <x v="1"/>
    <s v="Total Electric Power Industry"/>
    <x v="8"/>
    <n v="31330"/>
  </r>
  <r>
    <x v="1"/>
    <x v="1"/>
    <s v="Total Electric Power Industry"/>
    <x v="9"/>
    <n v="293206"/>
  </r>
  <r>
    <x v="1"/>
    <x v="1"/>
    <s v="Total Electric Power Industry"/>
    <x v="4"/>
    <n v="167824"/>
  </r>
  <r>
    <x v="1"/>
    <x v="1"/>
    <s v="Total Electric Power Industry"/>
    <x v="6"/>
    <n v="2216550"/>
  </r>
  <r>
    <x v="1"/>
    <x v="1"/>
    <s v="Electric Generators, Independent Power Producers"/>
    <x v="0"/>
    <n v="25233"/>
  </r>
  <r>
    <x v="1"/>
    <x v="1"/>
    <s v="Electric Generators, Independent Power Producers"/>
    <x v="8"/>
    <n v="25233"/>
  </r>
  <r>
    <x v="1"/>
    <x v="1"/>
    <s v="Electric Generators, Electric Utilities"/>
    <x v="0"/>
    <n v="85050801"/>
  </r>
  <r>
    <x v="1"/>
    <x v="1"/>
    <s v="Electric Generators, Electric Utilities"/>
    <x v="1"/>
    <n v="57897011"/>
  </r>
  <r>
    <x v="1"/>
    <x v="1"/>
    <s v="Electric Generators, Electric Utilities"/>
    <x v="2"/>
    <n v="10757723"/>
  </r>
  <r>
    <x v="1"/>
    <x v="1"/>
    <s v="Electric Generators, Electric Utilities"/>
    <x v="3"/>
    <n v="417106"/>
  </r>
  <r>
    <x v="1"/>
    <x v="1"/>
    <s v="Electric Generators, Electric Utilities"/>
    <x v="7"/>
    <n v="15874637"/>
  </r>
  <r>
    <x v="1"/>
    <x v="1"/>
    <s v="Electric Generators, Electric Utilities"/>
    <x v="4"/>
    <n v="104324"/>
  </r>
  <r>
    <x v="1"/>
    <x v="1"/>
    <s v="Combined Heat and Power, Industrial Power"/>
    <x v="0"/>
    <n v="2923624"/>
  </r>
  <r>
    <x v="1"/>
    <x v="1"/>
    <s v="Combined Heat and Power, Industrial Power"/>
    <x v="1"/>
    <n v="272127"/>
  </r>
  <r>
    <x v="1"/>
    <x v="1"/>
    <s v="Combined Heat and Power, Industrial Power"/>
    <x v="3"/>
    <n v="775400"/>
  </r>
  <r>
    <x v="1"/>
    <x v="1"/>
    <s v="Combined Heat and Power, Industrial Power"/>
    <x v="8"/>
    <n v="6097"/>
  </r>
  <r>
    <x v="1"/>
    <x v="1"/>
    <s v="Combined Heat and Power, Industrial Power"/>
    <x v="9"/>
    <n v="293206"/>
  </r>
  <r>
    <x v="1"/>
    <x v="1"/>
    <s v="Combined Heat and Power, Industrial Power"/>
    <x v="4"/>
    <n v="63500"/>
  </r>
  <r>
    <x v="1"/>
    <x v="1"/>
    <s v="Combined Heat and Power, Industrial Power"/>
    <x v="6"/>
    <n v="1513294"/>
  </r>
  <r>
    <x v="1"/>
    <x v="1"/>
    <s v="Combined Heat and Power, Electric Power"/>
    <x v="0"/>
    <n v="786954"/>
  </r>
  <r>
    <x v="1"/>
    <x v="1"/>
    <s v="Combined Heat and Power, Electric Power"/>
    <x v="1"/>
    <n v="53704"/>
  </r>
  <r>
    <x v="1"/>
    <x v="1"/>
    <s v="Combined Heat and Power, Electric Power"/>
    <x v="3"/>
    <n v="29994"/>
  </r>
  <r>
    <x v="1"/>
    <x v="1"/>
    <s v="Combined Heat and Power, Electric Power"/>
    <x v="6"/>
    <n v="703256"/>
  </r>
  <r>
    <x v="1"/>
    <x v="2"/>
    <s v="Total Electric Power Industry"/>
    <x v="0"/>
    <n v="40651244"/>
  </r>
  <r>
    <x v="1"/>
    <x v="2"/>
    <s v="Total Electric Power Industry"/>
    <x v="1"/>
    <n v="19644712"/>
  </r>
  <r>
    <x v="1"/>
    <x v="2"/>
    <s v="Total Electric Power Industry"/>
    <x v="2"/>
    <n v="3546966"/>
  </r>
  <r>
    <x v="1"/>
    <x v="2"/>
    <s v="Total Electric Power Industry"/>
    <x v="3"/>
    <n v="3324886"/>
  </r>
  <r>
    <x v="1"/>
    <x v="2"/>
    <s v="Total Electric Power Industry"/>
    <x v="7"/>
    <n v="12661793"/>
  </r>
  <r>
    <x v="1"/>
    <x v="2"/>
    <s v="Total Electric Power Industry"/>
    <x v="8"/>
    <n v="16613"/>
  </r>
  <r>
    <x v="1"/>
    <x v="2"/>
    <s v="Total Electric Power Industry"/>
    <x v="4"/>
    <n v="68257"/>
  </r>
  <r>
    <x v="1"/>
    <x v="2"/>
    <s v="Total Electric Power Industry"/>
    <x v="10"/>
    <n v="14103"/>
  </r>
  <r>
    <x v="1"/>
    <x v="2"/>
    <s v="Total Electric Power Industry"/>
    <x v="6"/>
    <n v="1373914"/>
  </r>
  <r>
    <x v="1"/>
    <x v="2"/>
    <s v="Electric Generators, Electric Utilities"/>
    <x v="0"/>
    <n v="38365135"/>
  </r>
  <r>
    <x v="1"/>
    <x v="2"/>
    <s v="Electric Generators, Electric Utilities"/>
    <x v="1"/>
    <n v="19573925"/>
  </r>
  <r>
    <x v="1"/>
    <x v="2"/>
    <s v="Electric Generators, Electric Utilities"/>
    <x v="2"/>
    <n v="3546966"/>
  </r>
  <r>
    <x v="1"/>
    <x v="2"/>
    <s v="Electric Generators, Electric Utilities"/>
    <x v="3"/>
    <n v="2504070"/>
  </r>
  <r>
    <x v="1"/>
    <x v="2"/>
    <s v="Electric Generators, Electric Utilities"/>
    <x v="7"/>
    <n v="12661793"/>
  </r>
  <r>
    <x v="1"/>
    <x v="2"/>
    <s v="Electric Generators, Electric Utilities"/>
    <x v="4"/>
    <n v="64278"/>
  </r>
  <r>
    <x v="1"/>
    <x v="2"/>
    <s v="Electric Generators, Electric Utilities"/>
    <x v="10"/>
    <n v="14103"/>
  </r>
  <r>
    <x v="1"/>
    <x v="2"/>
    <s v="Combined Heat and Power, Industrial Power"/>
    <x v="0"/>
    <n v="2241152"/>
  </r>
  <r>
    <x v="1"/>
    <x v="2"/>
    <s v="Combined Heat and Power, Industrial Power"/>
    <x v="1"/>
    <n v="70787"/>
  </r>
  <r>
    <x v="1"/>
    <x v="2"/>
    <s v="Combined Heat and Power, Industrial Power"/>
    <x v="3"/>
    <n v="783454"/>
  </r>
  <r>
    <x v="1"/>
    <x v="2"/>
    <s v="Combined Heat and Power, Industrial Power"/>
    <x v="8"/>
    <n v="11784"/>
  </r>
  <r>
    <x v="1"/>
    <x v="2"/>
    <s v="Combined Heat and Power, Industrial Power"/>
    <x v="4"/>
    <n v="1213"/>
  </r>
  <r>
    <x v="1"/>
    <x v="2"/>
    <s v="Combined Heat and Power, Industrial Power"/>
    <x v="6"/>
    <n v="1373914"/>
  </r>
  <r>
    <x v="1"/>
    <x v="2"/>
    <s v="Combined Heat and Power, Commercial Power"/>
    <x v="0"/>
    <n v="44957"/>
  </r>
  <r>
    <x v="1"/>
    <x v="2"/>
    <s v="Combined Heat and Power, Commercial Power"/>
    <x v="3"/>
    <n v="37362"/>
  </r>
  <r>
    <x v="1"/>
    <x v="2"/>
    <s v="Combined Heat and Power, Commercial Power"/>
    <x v="8"/>
    <n v="4829"/>
  </r>
  <r>
    <x v="1"/>
    <x v="2"/>
    <s v="Combined Heat and Power, Commercial Power"/>
    <x v="4"/>
    <n v="2766"/>
  </r>
  <r>
    <x v="1"/>
    <x v="3"/>
    <s v="Total Electric Power Industry"/>
    <x v="0"/>
    <n v="67202551"/>
  </r>
  <r>
    <x v="1"/>
    <x v="3"/>
    <s v="Total Electric Power Industry"/>
    <x v="1"/>
    <n v="32557748"/>
  </r>
  <r>
    <x v="1"/>
    <x v="3"/>
    <s v="Total Electric Power Industry"/>
    <x v="2"/>
    <n v="6735540"/>
  </r>
  <r>
    <x v="1"/>
    <x v="3"/>
    <s v="Total Electric Power Industry"/>
    <x v="3"/>
    <n v="2226388"/>
  </r>
  <r>
    <x v="1"/>
    <x v="3"/>
    <s v="Total Electric Power Industry"/>
    <x v="7"/>
    <n v="25095776"/>
  </r>
  <r>
    <x v="1"/>
    <x v="3"/>
    <s v="Total Electric Power Industry"/>
    <x v="4"/>
    <n v="117399"/>
  </r>
  <r>
    <x v="1"/>
    <x v="3"/>
    <s v="Total Electric Power Industry"/>
    <x v="10"/>
    <n v="362912"/>
  </r>
  <r>
    <x v="1"/>
    <x v="3"/>
    <s v="Total Electric Power Industry"/>
    <x v="6"/>
    <n v="106788"/>
  </r>
  <r>
    <x v="1"/>
    <x v="3"/>
    <s v="Electric Generators, Electric Utilities"/>
    <x v="0"/>
    <n v="66767347"/>
  </r>
  <r>
    <x v="1"/>
    <x v="3"/>
    <s v="Electric Generators, Electric Utilities"/>
    <x v="1"/>
    <n v="32306088"/>
  </r>
  <r>
    <x v="1"/>
    <x v="3"/>
    <s v="Electric Generators, Electric Utilities"/>
    <x v="2"/>
    <n v="6735540"/>
  </r>
  <r>
    <x v="1"/>
    <x v="3"/>
    <s v="Electric Generators, Electric Utilities"/>
    <x v="3"/>
    <n v="2178096"/>
  </r>
  <r>
    <x v="1"/>
    <x v="3"/>
    <s v="Electric Generators, Electric Utilities"/>
    <x v="7"/>
    <n v="25095776"/>
  </r>
  <r>
    <x v="1"/>
    <x v="3"/>
    <s v="Electric Generators, Electric Utilities"/>
    <x v="4"/>
    <n v="88935"/>
  </r>
  <r>
    <x v="1"/>
    <x v="3"/>
    <s v="Electric Generators, Electric Utilities"/>
    <x v="10"/>
    <n v="362912"/>
  </r>
  <r>
    <x v="1"/>
    <x v="3"/>
    <s v="Combined Heat and Power, Industrial Power"/>
    <x v="0"/>
    <n v="421763"/>
  </r>
  <r>
    <x v="1"/>
    <x v="3"/>
    <s v="Combined Heat and Power, Industrial Power"/>
    <x v="1"/>
    <n v="251660"/>
  </r>
  <r>
    <x v="1"/>
    <x v="3"/>
    <s v="Combined Heat and Power, Industrial Power"/>
    <x v="3"/>
    <n v="34851"/>
  </r>
  <r>
    <x v="1"/>
    <x v="3"/>
    <s v="Combined Heat and Power, Industrial Power"/>
    <x v="4"/>
    <n v="28464"/>
  </r>
  <r>
    <x v="1"/>
    <x v="3"/>
    <s v="Combined Heat and Power, Industrial Power"/>
    <x v="6"/>
    <n v="106788"/>
  </r>
  <r>
    <x v="1"/>
    <x v="3"/>
    <s v="Combined Heat and Power, Commercial Power"/>
    <x v="0"/>
    <n v="13441"/>
  </r>
  <r>
    <x v="1"/>
    <x v="3"/>
    <s v="Combined Heat and Power, Commercial Power"/>
    <x v="3"/>
    <n v="13441"/>
  </r>
  <r>
    <x v="1"/>
    <x v="3"/>
    <s v="Combined Heat and Power, Commercial Power"/>
    <x v="4"/>
    <n v="0"/>
  </r>
  <r>
    <x v="1"/>
    <x v="4"/>
    <s v="Total Electric Power Industry"/>
    <x v="0"/>
    <n v="158947642"/>
  </r>
  <r>
    <x v="1"/>
    <x v="4"/>
    <s v="Total Electric Power Industry"/>
    <x v="1"/>
    <n v="2632419"/>
  </r>
  <r>
    <x v="1"/>
    <x v="4"/>
    <s v="Total Electric Power Industry"/>
    <x v="11"/>
    <n v="14784796"/>
  </r>
  <r>
    <x v="1"/>
    <x v="4"/>
    <s v="Total Electric Power Industry"/>
    <x v="2"/>
    <n v="21957064"/>
  </r>
  <r>
    <x v="1"/>
    <x v="4"/>
    <s v="Total Electric Power Industry"/>
    <x v="3"/>
    <n v="74006160"/>
  </r>
  <r>
    <x v="1"/>
    <x v="4"/>
    <s v="Total Electric Power Industry"/>
    <x v="7"/>
    <n v="31541799"/>
  </r>
  <r>
    <x v="1"/>
    <x v="4"/>
    <s v="Total Electric Power Industry"/>
    <x v="12"/>
    <n v="5112"/>
  </r>
  <r>
    <x v="1"/>
    <x v="4"/>
    <s v="Total Electric Power Industry"/>
    <x v="8"/>
    <n v="2471400"/>
  </r>
  <r>
    <x v="1"/>
    <x v="4"/>
    <s v="Total Electric Power Industry"/>
    <x v="9"/>
    <n v="1978403"/>
  </r>
  <r>
    <x v="1"/>
    <x v="4"/>
    <s v="Total Electric Power Industry"/>
    <x v="4"/>
    <n v="1970119"/>
  </r>
  <r>
    <x v="1"/>
    <x v="4"/>
    <s v="Total Electric Power Industry"/>
    <x v="10"/>
    <n v="99860"/>
  </r>
  <r>
    <x v="1"/>
    <x v="4"/>
    <s v="Total Electric Power Industry"/>
    <x v="13"/>
    <n v="471361"/>
  </r>
  <r>
    <x v="1"/>
    <x v="4"/>
    <s v="Total Electric Power Industry"/>
    <x v="5"/>
    <n v="2914505"/>
  </r>
  <r>
    <x v="1"/>
    <x v="4"/>
    <s v="Total Electric Power Industry"/>
    <x v="6"/>
    <n v="4114644"/>
  </r>
  <r>
    <x v="1"/>
    <x v="4"/>
    <s v="Electric Generators, Independent Power Producers"/>
    <x v="0"/>
    <n v="17428213"/>
  </r>
  <r>
    <x v="1"/>
    <x v="4"/>
    <s v="Electric Generators, Independent Power Producers"/>
    <x v="1"/>
    <n v="121636"/>
  </r>
  <r>
    <x v="1"/>
    <x v="4"/>
    <s v="Electric Generators, Independent Power Producers"/>
    <x v="11"/>
    <n v="6883982"/>
  </r>
  <r>
    <x v="1"/>
    <x v="4"/>
    <s v="Electric Generators, Independent Power Producers"/>
    <x v="2"/>
    <n v="1074294"/>
  </r>
  <r>
    <x v="1"/>
    <x v="4"/>
    <s v="Electric Generators, Independent Power Producers"/>
    <x v="3"/>
    <n v="531799"/>
  </r>
  <r>
    <x v="1"/>
    <x v="4"/>
    <s v="Electric Generators, Independent Power Producers"/>
    <x v="8"/>
    <n v="2278951"/>
  </r>
  <r>
    <x v="1"/>
    <x v="4"/>
    <s v="Electric Generators, Independent Power Producers"/>
    <x v="9"/>
    <n v="329"/>
  </r>
  <r>
    <x v="1"/>
    <x v="4"/>
    <s v="Electric Generators, Independent Power Producers"/>
    <x v="4"/>
    <n v="698632"/>
  </r>
  <r>
    <x v="1"/>
    <x v="4"/>
    <s v="Electric Generators, Independent Power Producers"/>
    <x v="13"/>
    <n v="468427"/>
  </r>
  <r>
    <x v="1"/>
    <x v="4"/>
    <s v="Electric Generators, Independent Power Producers"/>
    <x v="5"/>
    <n v="2914505"/>
  </r>
  <r>
    <x v="1"/>
    <x v="4"/>
    <s v="Electric Generators, Independent Power Producers"/>
    <x v="6"/>
    <n v="2455658"/>
  </r>
  <r>
    <x v="1"/>
    <x v="4"/>
    <s v="Electric Generators, Electric Utilities"/>
    <x v="0"/>
    <n v="104967938"/>
  </r>
  <r>
    <x v="1"/>
    <x v="4"/>
    <s v="Electric Generators, Electric Utilities"/>
    <x v="11"/>
    <n v="7900814"/>
  </r>
  <r>
    <x v="1"/>
    <x v="4"/>
    <s v="Electric Generators, Electric Utilities"/>
    <x v="2"/>
    <n v="20875345"/>
  </r>
  <r>
    <x v="1"/>
    <x v="4"/>
    <s v="Electric Generators, Electric Utilities"/>
    <x v="3"/>
    <n v="43940427"/>
  </r>
  <r>
    <x v="1"/>
    <x v="4"/>
    <s v="Electric Generators, Electric Utilities"/>
    <x v="7"/>
    <n v="31541799"/>
  </r>
  <r>
    <x v="1"/>
    <x v="4"/>
    <s v="Electric Generators, Electric Utilities"/>
    <x v="8"/>
    <n v="8270"/>
  </r>
  <r>
    <x v="1"/>
    <x v="4"/>
    <s v="Electric Generators, Electric Utilities"/>
    <x v="4"/>
    <n v="598489"/>
  </r>
  <r>
    <x v="1"/>
    <x v="4"/>
    <s v="Electric Generators, Electric Utilities"/>
    <x v="10"/>
    <n v="99860"/>
  </r>
  <r>
    <x v="1"/>
    <x v="4"/>
    <s v="Electric Generators, Electric Utilities"/>
    <x v="13"/>
    <n v="2934"/>
  </r>
  <r>
    <x v="1"/>
    <x v="4"/>
    <s v="Combined Heat and Power, Industrial Power"/>
    <x v="0"/>
    <n v="15943468"/>
  </r>
  <r>
    <x v="1"/>
    <x v="4"/>
    <s v="Combined Heat and Power, Industrial Power"/>
    <x v="1"/>
    <n v="507344"/>
  </r>
  <r>
    <x v="1"/>
    <x v="4"/>
    <s v="Combined Heat and Power, Industrial Power"/>
    <x v="3"/>
    <n v="11226888"/>
  </r>
  <r>
    <x v="1"/>
    <x v="4"/>
    <s v="Combined Heat and Power, Industrial Power"/>
    <x v="12"/>
    <n v="5112"/>
  </r>
  <r>
    <x v="1"/>
    <x v="4"/>
    <s v="Combined Heat and Power, Industrial Power"/>
    <x v="8"/>
    <n v="66143"/>
  </r>
  <r>
    <x v="1"/>
    <x v="4"/>
    <s v="Combined Heat and Power, Industrial Power"/>
    <x v="9"/>
    <n v="1854166"/>
  </r>
  <r>
    <x v="1"/>
    <x v="4"/>
    <s v="Combined Heat and Power, Industrial Power"/>
    <x v="4"/>
    <n v="661148"/>
  </r>
  <r>
    <x v="1"/>
    <x v="4"/>
    <s v="Combined Heat and Power, Industrial Power"/>
    <x v="6"/>
    <n v="1622667"/>
  </r>
  <r>
    <x v="1"/>
    <x v="4"/>
    <s v="Combined Heat and Power, Electric Power"/>
    <x v="0"/>
    <n v="19021490"/>
  </r>
  <r>
    <x v="1"/>
    <x v="4"/>
    <s v="Combined Heat and Power, Electric Power"/>
    <x v="1"/>
    <n v="2003439"/>
  </r>
  <r>
    <x v="1"/>
    <x v="4"/>
    <s v="Combined Heat and Power, Electric Power"/>
    <x v="3"/>
    <n v="16873684"/>
  </r>
  <r>
    <x v="1"/>
    <x v="4"/>
    <s v="Combined Heat and Power, Electric Power"/>
    <x v="8"/>
    <n v="91182"/>
  </r>
  <r>
    <x v="1"/>
    <x v="4"/>
    <s v="Combined Heat and Power, Electric Power"/>
    <x v="9"/>
    <n v="8254"/>
  </r>
  <r>
    <x v="1"/>
    <x v="4"/>
    <s v="Combined Heat and Power, Electric Power"/>
    <x v="4"/>
    <n v="8612"/>
  </r>
  <r>
    <x v="1"/>
    <x v="4"/>
    <s v="Combined Heat and Power, Electric Power"/>
    <x v="6"/>
    <n v="36319"/>
  </r>
  <r>
    <x v="1"/>
    <x v="4"/>
    <s v="Combined Heat and Power, Commercial Power"/>
    <x v="0"/>
    <n v="1586533"/>
  </r>
  <r>
    <x v="1"/>
    <x v="4"/>
    <s v="Combined Heat and Power, Commercial Power"/>
    <x v="2"/>
    <n v="7425"/>
  </r>
  <r>
    <x v="1"/>
    <x v="4"/>
    <s v="Combined Heat and Power, Commercial Power"/>
    <x v="3"/>
    <n v="1433362"/>
  </r>
  <r>
    <x v="1"/>
    <x v="4"/>
    <s v="Combined Heat and Power, Commercial Power"/>
    <x v="8"/>
    <n v="26854"/>
  </r>
  <r>
    <x v="1"/>
    <x v="4"/>
    <s v="Combined Heat and Power, Commercial Power"/>
    <x v="9"/>
    <n v="115654"/>
  </r>
  <r>
    <x v="1"/>
    <x v="4"/>
    <s v="Combined Heat and Power, Commercial Power"/>
    <x v="4"/>
    <n v="3238"/>
  </r>
  <r>
    <x v="1"/>
    <x v="5"/>
    <s v="Total Electric Power Industry"/>
    <x v="0"/>
    <n v="32321593"/>
  </r>
  <r>
    <x v="1"/>
    <x v="5"/>
    <s v="Total Electric Power Industry"/>
    <x v="1"/>
    <n v="29134010"/>
  </r>
  <r>
    <x v="1"/>
    <x v="5"/>
    <s v="Total Electric Power Industry"/>
    <x v="2"/>
    <n v="1794290"/>
  </r>
  <r>
    <x v="1"/>
    <x v="5"/>
    <s v="Total Electric Power Industry"/>
    <x v="3"/>
    <n v="1314681"/>
  </r>
  <r>
    <x v="1"/>
    <x v="5"/>
    <s v="Total Electric Power Industry"/>
    <x v="8"/>
    <n v="58832"/>
  </r>
  <r>
    <x v="1"/>
    <x v="5"/>
    <s v="Total Electric Power Industry"/>
    <x v="4"/>
    <n v="37910"/>
  </r>
  <r>
    <x v="1"/>
    <x v="5"/>
    <s v="Total Electric Power Industry"/>
    <x v="10"/>
    <n v="-18130"/>
  </r>
  <r>
    <x v="1"/>
    <x v="5"/>
    <s v="Electric Generators, Independent Power Producers"/>
    <x v="0"/>
    <n v="206045"/>
  </r>
  <r>
    <x v="1"/>
    <x v="5"/>
    <s v="Electric Generators, Independent Power Producers"/>
    <x v="2"/>
    <n v="113465"/>
  </r>
  <r>
    <x v="1"/>
    <x v="5"/>
    <s v="Electric Generators, Independent Power Producers"/>
    <x v="3"/>
    <n v="92580"/>
  </r>
  <r>
    <x v="1"/>
    <x v="5"/>
    <s v="Electric Generators, Electric Utilities"/>
    <x v="0"/>
    <n v="31038231"/>
  </r>
  <r>
    <x v="1"/>
    <x v="5"/>
    <s v="Electric Generators, Electric Utilities"/>
    <x v="1"/>
    <n v="28922906"/>
  </r>
  <r>
    <x v="1"/>
    <x v="5"/>
    <s v="Electric Generators, Electric Utilities"/>
    <x v="2"/>
    <n v="1680825"/>
  </r>
  <r>
    <x v="1"/>
    <x v="5"/>
    <s v="Electric Generators, Electric Utilities"/>
    <x v="3"/>
    <n v="414689"/>
  </r>
  <r>
    <x v="1"/>
    <x v="5"/>
    <s v="Electric Generators, Electric Utilities"/>
    <x v="8"/>
    <n v="58"/>
  </r>
  <r>
    <x v="1"/>
    <x v="5"/>
    <s v="Electric Generators, Electric Utilities"/>
    <x v="4"/>
    <n v="37883"/>
  </r>
  <r>
    <x v="1"/>
    <x v="5"/>
    <s v="Electric Generators, Electric Utilities"/>
    <x v="10"/>
    <n v="-18130"/>
  </r>
  <r>
    <x v="1"/>
    <x v="5"/>
    <s v="Combined Heat and Power, Industrial Power"/>
    <x v="0"/>
    <n v="68209"/>
  </r>
  <r>
    <x v="1"/>
    <x v="5"/>
    <s v="Combined Heat and Power, Industrial Power"/>
    <x v="3"/>
    <n v="68182"/>
  </r>
  <r>
    <x v="1"/>
    <x v="5"/>
    <s v="Combined Heat and Power, Industrial Power"/>
    <x v="4"/>
    <n v="27"/>
  </r>
  <r>
    <x v="1"/>
    <x v="5"/>
    <s v="Combined Heat and Power, Electric Power"/>
    <x v="0"/>
    <n v="983900"/>
  </r>
  <r>
    <x v="1"/>
    <x v="5"/>
    <s v="Combined Heat and Power, Electric Power"/>
    <x v="1"/>
    <n v="211104"/>
  </r>
  <r>
    <x v="1"/>
    <x v="5"/>
    <s v="Combined Heat and Power, Electric Power"/>
    <x v="3"/>
    <n v="739230"/>
  </r>
  <r>
    <x v="1"/>
    <x v="5"/>
    <s v="Combined Heat and Power, Electric Power"/>
    <x v="8"/>
    <n v="33566"/>
  </r>
  <r>
    <x v="1"/>
    <x v="5"/>
    <s v="Combined Heat and Power, Commercial Power"/>
    <x v="0"/>
    <n v="25208"/>
  </r>
  <r>
    <x v="1"/>
    <x v="5"/>
    <s v="Combined Heat and Power, Commercial Power"/>
    <x v="8"/>
    <n v="25208"/>
  </r>
  <r>
    <x v="1"/>
    <x v="6"/>
    <s v="Total Electric Power Industry"/>
    <x v="0"/>
    <n v="27036467"/>
  </r>
  <r>
    <x v="1"/>
    <x v="6"/>
    <s v="Total Electric Power Industry"/>
    <x v="1"/>
    <n v="3633427"/>
  </r>
  <r>
    <x v="1"/>
    <x v="6"/>
    <s v="Total Electric Power Industry"/>
    <x v="2"/>
    <n v="433338"/>
  </r>
  <r>
    <x v="1"/>
    <x v="6"/>
    <s v="Total Electric Power Industry"/>
    <x v="3"/>
    <n v="1571856"/>
  </r>
  <r>
    <x v="1"/>
    <x v="6"/>
    <s v="Total Electric Power Industry"/>
    <x v="7"/>
    <n v="12242911"/>
  </r>
  <r>
    <x v="1"/>
    <x v="6"/>
    <s v="Total Electric Power Industry"/>
    <x v="12"/>
    <n v="0"/>
  </r>
  <r>
    <x v="1"/>
    <x v="6"/>
    <s v="Total Electric Power Industry"/>
    <x v="8"/>
    <n v="1162621"/>
  </r>
  <r>
    <x v="1"/>
    <x v="6"/>
    <s v="Total Electric Power Industry"/>
    <x v="9"/>
    <n v="2646"/>
  </r>
  <r>
    <x v="1"/>
    <x v="6"/>
    <s v="Total Electric Power Industry"/>
    <x v="4"/>
    <n v="7993224"/>
  </r>
  <r>
    <x v="1"/>
    <x v="6"/>
    <s v="Total Electric Power Industry"/>
    <x v="10"/>
    <n v="-3556"/>
  </r>
  <r>
    <x v="1"/>
    <x v="6"/>
    <s v="Electric Generators, Independent Power Producers"/>
    <x v="0"/>
    <n v="719005"/>
  </r>
  <r>
    <x v="1"/>
    <x v="6"/>
    <s v="Electric Generators, Independent Power Producers"/>
    <x v="2"/>
    <n v="28732"/>
  </r>
  <r>
    <x v="1"/>
    <x v="6"/>
    <s v="Electric Generators, Independent Power Producers"/>
    <x v="3"/>
    <n v="944"/>
  </r>
  <r>
    <x v="1"/>
    <x v="6"/>
    <s v="Electric Generators, Independent Power Producers"/>
    <x v="8"/>
    <n v="685248"/>
  </r>
  <r>
    <x v="1"/>
    <x v="6"/>
    <s v="Electric Generators, Independent Power Producers"/>
    <x v="9"/>
    <n v="2646"/>
  </r>
  <r>
    <x v="1"/>
    <x v="6"/>
    <s v="Electric Generators, Independent Power Producers"/>
    <x v="4"/>
    <n v="1435"/>
  </r>
  <r>
    <x v="1"/>
    <x v="6"/>
    <s v="Electric Generators, Electric Utilities"/>
    <x v="0"/>
    <n v="23552082"/>
  </r>
  <r>
    <x v="1"/>
    <x v="6"/>
    <s v="Electric Generators, Electric Utilities"/>
    <x v="1"/>
    <n v="2117781"/>
  </r>
  <r>
    <x v="1"/>
    <x v="6"/>
    <s v="Electric Generators, Electric Utilities"/>
    <x v="2"/>
    <n v="397074"/>
  </r>
  <r>
    <x v="1"/>
    <x v="6"/>
    <s v="Electric Generators, Electric Utilities"/>
    <x v="3"/>
    <n v="467997"/>
  </r>
  <r>
    <x v="1"/>
    <x v="6"/>
    <s v="Electric Generators, Electric Utilities"/>
    <x v="7"/>
    <n v="12242911"/>
  </r>
  <r>
    <x v="1"/>
    <x v="6"/>
    <s v="Electric Generators, Electric Utilities"/>
    <x v="8"/>
    <n v="439392"/>
  </r>
  <r>
    <x v="1"/>
    <x v="6"/>
    <s v="Electric Generators, Electric Utilities"/>
    <x v="4"/>
    <n v="7890483"/>
  </r>
  <r>
    <x v="1"/>
    <x v="6"/>
    <s v="Electric Generators, Electric Utilities"/>
    <x v="10"/>
    <n v="-3556"/>
  </r>
  <r>
    <x v="1"/>
    <x v="6"/>
    <s v="Combined Heat and Power, Industrial Power"/>
    <x v="0"/>
    <n v="91604"/>
  </r>
  <r>
    <x v="1"/>
    <x v="6"/>
    <s v="Combined Heat and Power, Industrial Power"/>
    <x v="2"/>
    <n v="7532"/>
  </r>
  <r>
    <x v="1"/>
    <x v="6"/>
    <s v="Combined Heat and Power, Industrial Power"/>
    <x v="3"/>
    <n v="10612"/>
  </r>
  <r>
    <x v="1"/>
    <x v="6"/>
    <s v="Combined Heat and Power, Industrial Power"/>
    <x v="12"/>
    <n v="0"/>
  </r>
  <r>
    <x v="1"/>
    <x v="6"/>
    <s v="Combined Heat and Power, Industrial Power"/>
    <x v="4"/>
    <n v="73460"/>
  </r>
  <r>
    <x v="1"/>
    <x v="6"/>
    <s v="Combined Heat and Power, Electric Power"/>
    <x v="0"/>
    <n v="2561652"/>
  </r>
  <r>
    <x v="1"/>
    <x v="6"/>
    <s v="Combined Heat and Power, Electric Power"/>
    <x v="1"/>
    <n v="1515646"/>
  </r>
  <r>
    <x v="1"/>
    <x v="6"/>
    <s v="Combined Heat and Power, Electric Power"/>
    <x v="3"/>
    <n v="992063"/>
  </r>
  <r>
    <x v="1"/>
    <x v="6"/>
    <s v="Combined Heat and Power, Electric Power"/>
    <x v="8"/>
    <n v="37981"/>
  </r>
  <r>
    <x v="1"/>
    <x v="6"/>
    <s v="Combined Heat and Power, Electric Power"/>
    <x v="4"/>
    <n v="15962"/>
  </r>
  <r>
    <x v="1"/>
    <x v="6"/>
    <s v="Combined Heat and Power, Commercial Power"/>
    <x v="0"/>
    <n v="112124"/>
  </r>
  <r>
    <x v="1"/>
    <x v="6"/>
    <s v="Combined Heat and Power, Commercial Power"/>
    <x v="3"/>
    <n v="100240"/>
  </r>
  <r>
    <x v="1"/>
    <x v="6"/>
    <s v="Combined Heat and Power, Commercial Power"/>
    <x v="4"/>
    <n v="11884"/>
  </r>
  <r>
    <x v="1"/>
    <x v="7"/>
    <s v="Total Electric Power Industry"/>
    <x v="0"/>
    <n v="179814"/>
  </r>
  <r>
    <x v="1"/>
    <x v="7"/>
    <s v="Total Electric Power Industry"/>
    <x v="1"/>
    <n v="0"/>
  </r>
  <r>
    <x v="1"/>
    <x v="7"/>
    <s v="Total Electric Power Industry"/>
    <x v="4"/>
    <n v="179814"/>
  </r>
  <r>
    <x v="1"/>
    <x v="7"/>
    <s v="Electric Generators, Electric Utilities"/>
    <x v="0"/>
    <n v="179814"/>
  </r>
  <r>
    <x v="1"/>
    <x v="7"/>
    <s v="Electric Generators, Electric Utilities"/>
    <x v="4"/>
    <n v="179814"/>
  </r>
  <r>
    <x v="1"/>
    <x v="7"/>
    <s v="Combined Heat and Power, Commercial Power"/>
    <x v="0"/>
    <n v="0"/>
  </r>
  <r>
    <x v="1"/>
    <x v="7"/>
    <s v="Combined Heat and Power, Commercial Power"/>
    <x v="1"/>
    <n v="0"/>
  </r>
  <r>
    <x v="1"/>
    <x v="8"/>
    <s v="Total Electric Power Industry"/>
    <x v="0"/>
    <n v="7838132"/>
  </r>
  <r>
    <x v="1"/>
    <x v="8"/>
    <s v="Total Electric Power Industry"/>
    <x v="1"/>
    <n v="4820759"/>
  </r>
  <r>
    <x v="1"/>
    <x v="8"/>
    <s v="Total Electric Power Industry"/>
    <x v="3"/>
    <n v="1110236"/>
  </r>
  <r>
    <x v="1"/>
    <x v="8"/>
    <s v="Total Electric Power Industry"/>
    <x v="12"/>
    <n v="6315"/>
  </r>
  <r>
    <x v="1"/>
    <x v="8"/>
    <s v="Total Electric Power Industry"/>
    <x v="9"/>
    <n v="0"/>
  </r>
  <r>
    <x v="1"/>
    <x v="8"/>
    <s v="Total Electric Power Industry"/>
    <x v="4"/>
    <n v="1900822"/>
  </r>
  <r>
    <x v="1"/>
    <x v="8"/>
    <s v="Electric Generators, Electric Utilities"/>
    <x v="0"/>
    <n v="7603723"/>
  </r>
  <r>
    <x v="1"/>
    <x v="8"/>
    <s v="Electric Generators, Electric Utilities"/>
    <x v="1"/>
    <n v="4598301"/>
  </r>
  <r>
    <x v="1"/>
    <x v="8"/>
    <s v="Electric Generators, Electric Utilities"/>
    <x v="3"/>
    <n v="1106221"/>
  </r>
  <r>
    <x v="1"/>
    <x v="8"/>
    <s v="Electric Generators, Electric Utilities"/>
    <x v="4"/>
    <n v="1899201"/>
  </r>
  <r>
    <x v="1"/>
    <x v="8"/>
    <s v="Combined Heat and Power, Industrial Power"/>
    <x v="0"/>
    <n v="234409"/>
  </r>
  <r>
    <x v="1"/>
    <x v="8"/>
    <s v="Combined Heat and Power, Industrial Power"/>
    <x v="1"/>
    <n v="222458"/>
  </r>
  <r>
    <x v="1"/>
    <x v="8"/>
    <s v="Combined Heat and Power, Industrial Power"/>
    <x v="3"/>
    <n v="4015"/>
  </r>
  <r>
    <x v="1"/>
    <x v="8"/>
    <s v="Combined Heat and Power, Industrial Power"/>
    <x v="12"/>
    <n v="6315"/>
  </r>
  <r>
    <x v="1"/>
    <x v="8"/>
    <s v="Combined Heat and Power, Industrial Power"/>
    <x v="9"/>
    <n v="0"/>
  </r>
  <r>
    <x v="1"/>
    <x v="8"/>
    <s v="Combined Heat and Power, Industrial Power"/>
    <x v="4"/>
    <n v="1621"/>
  </r>
  <r>
    <x v="1"/>
    <x v="9"/>
    <s v="Total Electric Power Industry"/>
    <x v="0"/>
    <n v="139416689"/>
  </r>
  <r>
    <x v="1"/>
    <x v="9"/>
    <s v="Total Electric Power Industry"/>
    <x v="1"/>
    <n v="62013484"/>
  </r>
  <r>
    <x v="1"/>
    <x v="9"/>
    <s v="Total Electric Power Industry"/>
    <x v="2"/>
    <n v="263066"/>
  </r>
  <r>
    <x v="1"/>
    <x v="9"/>
    <s v="Total Electric Power Industry"/>
    <x v="3"/>
    <n v="19758810"/>
  </r>
  <r>
    <x v="1"/>
    <x v="9"/>
    <s v="Total Electric Power Industry"/>
    <x v="7"/>
    <n v="20507569"/>
  </r>
  <r>
    <x v="1"/>
    <x v="9"/>
    <s v="Total Electric Power Industry"/>
    <x v="12"/>
    <n v="1917539"/>
  </r>
  <r>
    <x v="1"/>
    <x v="9"/>
    <s v="Total Electric Power Industry"/>
    <x v="8"/>
    <n v="2259842"/>
  </r>
  <r>
    <x v="1"/>
    <x v="9"/>
    <s v="Total Electric Power Industry"/>
    <x v="9"/>
    <n v="10292"/>
  </r>
  <r>
    <x v="1"/>
    <x v="9"/>
    <s v="Total Electric Power Industry"/>
    <x v="4"/>
    <n v="30599959"/>
  </r>
  <r>
    <x v="1"/>
    <x v="9"/>
    <s v="Total Electric Power Industry"/>
    <x v="6"/>
    <n v="2086128"/>
  </r>
  <r>
    <x v="1"/>
    <x v="9"/>
    <s v="Electric Generators, Independent Power Producers"/>
    <x v="0"/>
    <n v="2266867"/>
  </r>
  <r>
    <x v="1"/>
    <x v="9"/>
    <s v="Electric Generators, Independent Power Producers"/>
    <x v="3"/>
    <n v="876"/>
  </r>
  <r>
    <x v="1"/>
    <x v="9"/>
    <s v="Electric Generators, Independent Power Producers"/>
    <x v="8"/>
    <n v="2124837"/>
  </r>
  <r>
    <x v="1"/>
    <x v="9"/>
    <s v="Electric Generators, Independent Power Producers"/>
    <x v="4"/>
    <n v="37"/>
  </r>
  <r>
    <x v="1"/>
    <x v="9"/>
    <s v="Electric Generators, Independent Power Producers"/>
    <x v="6"/>
    <n v="141117"/>
  </r>
  <r>
    <x v="1"/>
    <x v="9"/>
    <s v="Electric Generators, Electric Utilities"/>
    <x v="0"/>
    <n v="130743964"/>
  </r>
  <r>
    <x v="1"/>
    <x v="9"/>
    <s v="Electric Generators, Electric Utilities"/>
    <x v="1"/>
    <n v="61122819"/>
  </r>
  <r>
    <x v="1"/>
    <x v="9"/>
    <s v="Electric Generators, Electric Utilities"/>
    <x v="2"/>
    <n v="263066"/>
  </r>
  <r>
    <x v="1"/>
    <x v="9"/>
    <s v="Electric Generators, Electric Utilities"/>
    <x v="3"/>
    <n v="18734892"/>
  </r>
  <r>
    <x v="1"/>
    <x v="9"/>
    <s v="Electric Generators, Electric Utilities"/>
    <x v="7"/>
    <n v="20507569"/>
  </r>
  <r>
    <x v="1"/>
    <x v="9"/>
    <s v="Electric Generators, Electric Utilities"/>
    <x v="4"/>
    <n v="30115618"/>
  </r>
  <r>
    <x v="1"/>
    <x v="9"/>
    <s v="Combined Heat and Power, Industrial Power"/>
    <x v="0"/>
    <n v="5576329"/>
  </r>
  <r>
    <x v="1"/>
    <x v="9"/>
    <s v="Combined Heat and Power, Industrial Power"/>
    <x v="1"/>
    <n v="343841"/>
  </r>
  <r>
    <x v="1"/>
    <x v="9"/>
    <s v="Combined Heat and Power, Industrial Power"/>
    <x v="3"/>
    <n v="778533"/>
  </r>
  <r>
    <x v="1"/>
    <x v="9"/>
    <s v="Combined Heat and Power, Industrial Power"/>
    <x v="12"/>
    <n v="1917539"/>
  </r>
  <r>
    <x v="1"/>
    <x v="9"/>
    <s v="Combined Heat and Power, Industrial Power"/>
    <x v="8"/>
    <n v="112572"/>
  </r>
  <r>
    <x v="1"/>
    <x v="9"/>
    <s v="Combined Heat and Power, Industrial Power"/>
    <x v="9"/>
    <n v="10292"/>
  </r>
  <r>
    <x v="1"/>
    <x v="9"/>
    <s v="Combined Heat and Power, Industrial Power"/>
    <x v="4"/>
    <n v="468541"/>
  </r>
  <r>
    <x v="1"/>
    <x v="9"/>
    <s v="Combined Heat and Power, Industrial Power"/>
    <x v="6"/>
    <n v="1945011"/>
  </r>
  <r>
    <x v="1"/>
    <x v="9"/>
    <s v="Combined Heat and Power, Electric Power"/>
    <x v="0"/>
    <n v="548869"/>
  </r>
  <r>
    <x v="1"/>
    <x v="9"/>
    <s v="Combined Heat and Power, Electric Power"/>
    <x v="1"/>
    <n v="546824"/>
  </r>
  <r>
    <x v="1"/>
    <x v="9"/>
    <s v="Combined Heat and Power, Electric Power"/>
    <x v="4"/>
    <n v="2045"/>
  </r>
  <r>
    <x v="1"/>
    <x v="9"/>
    <s v="Combined Heat and Power, Commercial Power"/>
    <x v="0"/>
    <n v="280660"/>
  </r>
  <r>
    <x v="1"/>
    <x v="9"/>
    <s v="Combined Heat and Power, Commercial Power"/>
    <x v="3"/>
    <n v="244509"/>
  </r>
  <r>
    <x v="1"/>
    <x v="9"/>
    <s v="Combined Heat and Power, Commercial Power"/>
    <x v="8"/>
    <n v="22433"/>
  </r>
  <r>
    <x v="1"/>
    <x v="9"/>
    <s v="Combined Heat and Power, Commercial Power"/>
    <x v="4"/>
    <n v="13718"/>
  </r>
  <r>
    <x v="1"/>
    <x v="10"/>
    <s v="Total Electric Power Industry"/>
    <x v="0"/>
    <n v="96173131"/>
  </r>
  <r>
    <x v="1"/>
    <x v="10"/>
    <s v="Total Electric Power Industry"/>
    <x v="1"/>
    <n v="61034072"/>
  </r>
  <r>
    <x v="1"/>
    <x v="10"/>
    <s v="Total Electric Power Industry"/>
    <x v="2"/>
    <n v="4232058"/>
  </r>
  <r>
    <x v="1"/>
    <x v="10"/>
    <s v="Total Electric Power Industry"/>
    <x v="3"/>
    <n v="809826"/>
  </r>
  <r>
    <x v="1"/>
    <x v="10"/>
    <s v="Total Electric Power Industry"/>
    <x v="7"/>
    <n v="26016023"/>
  </r>
  <r>
    <x v="1"/>
    <x v="10"/>
    <s v="Total Electric Power Industry"/>
    <x v="12"/>
    <n v="431"/>
  </r>
  <r>
    <x v="1"/>
    <x v="10"/>
    <s v="Total Electric Power Industry"/>
    <x v="8"/>
    <n v="65788"/>
  </r>
  <r>
    <x v="1"/>
    <x v="10"/>
    <s v="Total Electric Power Industry"/>
    <x v="4"/>
    <n v="541032"/>
  </r>
  <r>
    <x v="1"/>
    <x v="10"/>
    <s v="Total Electric Power Industry"/>
    <x v="10"/>
    <n v="432291"/>
  </r>
  <r>
    <x v="1"/>
    <x v="10"/>
    <s v="Total Electric Power Industry"/>
    <x v="6"/>
    <n v="3041610"/>
  </r>
  <r>
    <x v="1"/>
    <x v="10"/>
    <s v="Electric Generators, Independent Power Producers"/>
    <x v="0"/>
    <n v="7078"/>
  </r>
  <r>
    <x v="1"/>
    <x v="10"/>
    <s v="Electric Generators, Independent Power Producers"/>
    <x v="2"/>
    <n v="7078"/>
  </r>
  <r>
    <x v="1"/>
    <x v="10"/>
    <s v="Electric Generators, Electric Utilities"/>
    <x v="0"/>
    <n v="90809416"/>
  </r>
  <r>
    <x v="1"/>
    <x v="10"/>
    <s v="Electric Generators, Electric Utilities"/>
    <x v="1"/>
    <n v="59985395"/>
  </r>
  <r>
    <x v="1"/>
    <x v="10"/>
    <s v="Electric Generators, Electric Utilities"/>
    <x v="2"/>
    <n v="4207061"/>
  </r>
  <r>
    <x v="1"/>
    <x v="10"/>
    <s v="Electric Generators, Electric Utilities"/>
    <x v="3"/>
    <n v="60984"/>
  </r>
  <r>
    <x v="1"/>
    <x v="10"/>
    <s v="Electric Generators, Electric Utilities"/>
    <x v="7"/>
    <n v="26016023"/>
  </r>
  <r>
    <x v="1"/>
    <x v="10"/>
    <s v="Electric Generators, Electric Utilities"/>
    <x v="4"/>
    <n v="107662"/>
  </r>
  <r>
    <x v="1"/>
    <x v="10"/>
    <s v="Electric Generators, Electric Utilities"/>
    <x v="10"/>
    <n v="432291"/>
  </r>
  <r>
    <x v="1"/>
    <x v="10"/>
    <s v="Combined Heat and Power, Industrial Power"/>
    <x v="0"/>
    <n v="5353185"/>
  </r>
  <r>
    <x v="1"/>
    <x v="10"/>
    <s v="Combined Heat and Power, Industrial Power"/>
    <x v="1"/>
    <n v="1048677"/>
  </r>
  <r>
    <x v="1"/>
    <x v="10"/>
    <s v="Combined Heat and Power, Industrial Power"/>
    <x v="2"/>
    <n v="17919"/>
  </r>
  <r>
    <x v="1"/>
    <x v="10"/>
    <s v="Combined Heat and Power, Industrial Power"/>
    <x v="3"/>
    <n v="748842"/>
  </r>
  <r>
    <x v="1"/>
    <x v="10"/>
    <s v="Combined Heat and Power, Industrial Power"/>
    <x v="12"/>
    <n v="431"/>
  </r>
  <r>
    <x v="1"/>
    <x v="10"/>
    <s v="Combined Heat and Power, Industrial Power"/>
    <x v="8"/>
    <n v="65788"/>
  </r>
  <r>
    <x v="1"/>
    <x v="10"/>
    <s v="Combined Heat and Power, Industrial Power"/>
    <x v="4"/>
    <n v="429918"/>
  </r>
  <r>
    <x v="1"/>
    <x v="10"/>
    <s v="Combined Heat and Power, Industrial Power"/>
    <x v="6"/>
    <n v="3041610"/>
  </r>
  <r>
    <x v="1"/>
    <x v="10"/>
    <s v="Combined Heat and Power, Commercial Power"/>
    <x v="0"/>
    <n v="3452"/>
  </r>
  <r>
    <x v="1"/>
    <x v="10"/>
    <s v="Combined Heat and Power, Commercial Power"/>
    <x v="4"/>
    <n v="3452"/>
  </r>
  <r>
    <x v="1"/>
    <x v="11"/>
    <s v="Total Electric Power Industry"/>
    <x v="0"/>
    <n v="8703235"/>
  </r>
  <r>
    <x v="1"/>
    <x v="11"/>
    <s v="Total Electric Power Industry"/>
    <x v="1"/>
    <n v="7612"/>
  </r>
  <r>
    <x v="1"/>
    <x v="11"/>
    <s v="Total Electric Power Industry"/>
    <x v="2"/>
    <n v="70988"/>
  </r>
  <r>
    <x v="1"/>
    <x v="11"/>
    <s v="Total Electric Power Industry"/>
    <x v="8"/>
    <n v="823082"/>
  </r>
  <r>
    <x v="1"/>
    <x v="11"/>
    <s v="Total Electric Power Industry"/>
    <x v="9"/>
    <n v="51479"/>
  </r>
  <r>
    <x v="1"/>
    <x v="11"/>
    <s v="Total Electric Power Industry"/>
    <x v="4"/>
    <n v="7714453"/>
  </r>
  <r>
    <x v="1"/>
    <x v="11"/>
    <s v="Total Electric Power Industry"/>
    <x v="5"/>
    <n v="35621"/>
  </r>
  <r>
    <x v="1"/>
    <x v="11"/>
    <s v="Electric Generators, Independent Power Producers"/>
    <x v="0"/>
    <n v="376591"/>
  </r>
  <r>
    <x v="1"/>
    <x v="11"/>
    <s v="Electric Generators, Independent Power Producers"/>
    <x v="8"/>
    <n v="340970"/>
  </r>
  <r>
    <x v="1"/>
    <x v="11"/>
    <s v="Electric Generators, Independent Power Producers"/>
    <x v="5"/>
    <n v="35621"/>
  </r>
  <r>
    <x v="1"/>
    <x v="11"/>
    <s v="Electric Generators, Electric Utilities"/>
    <x v="0"/>
    <n v="7333192"/>
  </r>
  <r>
    <x v="1"/>
    <x v="11"/>
    <s v="Electric Generators, Electric Utilities"/>
    <x v="2"/>
    <n v="20401"/>
  </r>
  <r>
    <x v="1"/>
    <x v="11"/>
    <s v="Electric Generators, Electric Utilities"/>
    <x v="8"/>
    <n v="0"/>
  </r>
  <r>
    <x v="1"/>
    <x v="11"/>
    <s v="Electric Generators, Electric Utilities"/>
    <x v="4"/>
    <n v="7312791"/>
  </r>
  <r>
    <x v="1"/>
    <x v="11"/>
    <s v="Combined Heat and Power, Industrial Power"/>
    <x v="0"/>
    <n v="847735"/>
  </r>
  <r>
    <x v="1"/>
    <x v="11"/>
    <s v="Combined Heat and Power, Industrial Power"/>
    <x v="1"/>
    <n v="841"/>
  </r>
  <r>
    <x v="1"/>
    <x v="11"/>
    <s v="Combined Heat and Power, Industrial Power"/>
    <x v="2"/>
    <n v="50587"/>
  </r>
  <r>
    <x v="1"/>
    <x v="11"/>
    <s v="Combined Heat and Power, Industrial Power"/>
    <x v="8"/>
    <n v="404143"/>
  </r>
  <r>
    <x v="1"/>
    <x v="11"/>
    <s v="Combined Heat and Power, Industrial Power"/>
    <x v="9"/>
    <n v="51479"/>
  </r>
  <r>
    <x v="1"/>
    <x v="11"/>
    <s v="Combined Heat and Power, Industrial Power"/>
    <x v="4"/>
    <n v="340685"/>
  </r>
  <r>
    <x v="1"/>
    <x v="11"/>
    <s v="Combined Heat and Power, Electric Power"/>
    <x v="0"/>
    <n v="145717"/>
  </r>
  <r>
    <x v="1"/>
    <x v="11"/>
    <s v="Combined Heat and Power, Electric Power"/>
    <x v="1"/>
    <n v="6771"/>
  </r>
  <r>
    <x v="1"/>
    <x v="11"/>
    <s v="Combined Heat and Power, Electric Power"/>
    <x v="8"/>
    <n v="77969"/>
  </r>
  <r>
    <x v="1"/>
    <x v="11"/>
    <s v="Combined Heat and Power, Electric Power"/>
    <x v="4"/>
    <n v="60977"/>
  </r>
  <r>
    <x v="1"/>
    <x v="12"/>
    <s v="Total Electric Power Industry"/>
    <x v="0"/>
    <n v="32267856"/>
  </r>
  <r>
    <x v="1"/>
    <x v="12"/>
    <s v="Total Electric Power Industry"/>
    <x v="1"/>
    <n v="26756771"/>
  </r>
  <r>
    <x v="1"/>
    <x v="12"/>
    <s v="Total Electric Power Industry"/>
    <x v="2"/>
    <n v="901111"/>
  </r>
  <r>
    <x v="1"/>
    <x v="12"/>
    <s v="Total Electric Power Industry"/>
    <x v="3"/>
    <n v="388004"/>
  </r>
  <r>
    <x v="1"/>
    <x v="12"/>
    <s v="Total Electric Power Industry"/>
    <x v="7"/>
    <n v="4146811"/>
  </r>
  <r>
    <x v="1"/>
    <x v="12"/>
    <s v="Total Electric Power Industry"/>
    <x v="8"/>
    <n v="25267"/>
  </r>
  <r>
    <x v="1"/>
    <x v="12"/>
    <s v="Total Electric Power Industry"/>
    <x v="4"/>
    <n v="49892"/>
  </r>
  <r>
    <x v="1"/>
    <x v="12"/>
    <s v="Electric Generators, Independent Power Producers"/>
    <x v="0"/>
    <n v="20801"/>
  </r>
  <r>
    <x v="1"/>
    <x v="12"/>
    <s v="Electric Generators, Independent Power Producers"/>
    <x v="2"/>
    <n v="18266"/>
  </r>
  <r>
    <x v="1"/>
    <x v="12"/>
    <s v="Electric Generators, Independent Power Producers"/>
    <x v="3"/>
    <n v="1245"/>
  </r>
  <r>
    <x v="1"/>
    <x v="12"/>
    <s v="Electric Generators, Independent Power Producers"/>
    <x v="4"/>
    <n v="1290"/>
  </r>
  <r>
    <x v="1"/>
    <x v="12"/>
    <s v="Electric Generators, Electric Utilities"/>
    <x v="0"/>
    <n v="31228011"/>
  </r>
  <r>
    <x v="1"/>
    <x v="12"/>
    <s v="Electric Generators, Electric Utilities"/>
    <x v="1"/>
    <n v="25869811"/>
  </r>
  <r>
    <x v="1"/>
    <x v="12"/>
    <s v="Electric Generators, Electric Utilities"/>
    <x v="2"/>
    <n v="882845"/>
  </r>
  <r>
    <x v="1"/>
    <x v="12"/>
    <s v="Electric Generators, Electric Utilities"/>
    <x v="3"/>
    <n v="262011"/>
  </r>
  <r>
    <x v="1"/>
    <x v="12"/>
    <s v="Electric Generators, Electric Utilities"/>
    <x v="7"/>
    <n v="4146811"/>
  </r>
  <r>
    <x v="1"/>
    <x v="12"/>
    <s v="Electric Generators, Electric Utilities"/>
    <x v="8"/>
    <n v="19702"/>
  </r>
  <r>
    <x v="1"/>
    <x v="12"/>
    <s v="Electric Generators, Electric Utilities"/>
    <x v="4"/>
    <n v="46831"/>
  </r>
  <r>
    <x v="1"/>
    <x v="12"/>
    <s v="Combined Heat and Power, Industrial Power"/>
    <x v="0"/>
    <n v="875934"/>
  </r>
  <r>
    <x v="1"/>
    <x v="12"/>
    <s v="Combined Heat and Power, Industrial Power"/>
    <x v="1"/>
    <n v="773487"/>
  </r>
  <r>
    <x v="1"/>
    <x v="12"/>
    <s v="Combined Heat and Power, Industrial Power"/>
    <x v="3"/>
    <n v="100476"/>
  </r>
  <r>
    <x v="1"/>
    <x v="12"/>
    <s v="Combined Heat and Power, Industrial Power"/>
    <x v="8"/>
    <n v="444"/>
  </r>
  <r>
    <x v="1"/>
    <x v="12"/>
    <s v="Combined Heat and Power, Industrial Power"/>
    <x v="4"/>
    <n v="1527"/>
  </r>
  <r>
    <x v="1"/>
    <x v="12"/>
    <s v="Combined Heat and Power, Electric Power"/>
    <x v="0"/>
    <n v="116570"/>
  </r>
  <r>
    <x v="1"/>
    <x v="12"/>
    <s v="Combined Heat and Power, Electric Power"/>
    <x v="1"/>
    <n v="95098"/>
  </r>
  <r>
    <x v="1"/>
    <x v="12"/>
    <s v="Combined Heat and Power, Electric Power"/>
    <x v="3"/>
    <n v="21472"/>
  </r>
  <r>
    <x v="1"/>
    <x v="12"/>
    <s v="Combined Heat and Power, Commercial Power"/>
    <x v="0"/>
    <n v="26540"/>
  </r>
  <r>
    <x v="1"/>
    <x v="12"/>
    <s v="Combined Heat and Power, Commercial Power"/>
    <x v="1"/>
    <n v="18375"/>
  </r>
  <r>
    <x v="1"/>
    <x v="12"/>
    <s v="Combined Heat and Power, Commercial Power"/>
    <x v="3"/>
    <n v="2800"/>
  </r>
  <r>
    <x v="1"/>
    <x v="12"/>
    <s v="Combined Heat and Power, Commercial Power"/>
    <x v="8"/>
    <n v="5121"/>
  </r>
  <r>
    <x v="1"/>
    <x v="12"/>
    <s v="Combined Heat and Power, Commercial Power"/>
    <x v="4"/>
    <n v="244"/>
  </r>
  <r>
    <x v="1"/>
    <x v="13"/>
    <s v="Total Electric Power Industry"/>
    <x v="0"/>
    <n v="9428619"/>
  </r>
  <r>
    <x v="1"/>
    <x v="13"/>
    <s v="Total Electric Power Industry"/>
    <x v="1"/>
    <n v="16359"/>
  </r>
  <r>
    <x v="1"/>
    <x v="13"/>
    <s v="Total Electric Power Industry"/>
    <x v="2"/>
    <n v="8745279"/>
  </r>
  <r>
    <x v="1"/>
    <x v="13"/>
    <s v="Total Electric Power Industry"/>
    <x v="3"/>
    <n v="107243"/>
  </r>
  <r>
    <x v="1"/>
    <x v="13"/>
    <s v="Total Electric Power Industry"/>
    <x v="12"/>
    <n v="61948"/>
  </r>
  <r>
    <x v="1"/>
    <x v="13"/>
    <s v="Total Electric Power Industry"/>
    <x v="8"/>
    <n v="9784"/>
  </r>
  <r>
    <x v="1"/>
    <x v="13"/>
    <s v="Total Electric Power Industry"/>
    <x v="4"/>
    <n v="361"/>
  </r>
  <r>
    <x v="1"/>
    <x v="13"/>
    <s v="Total Electric Power Industry"/>
    <x v="6"/>
    <n v="487645"/>
  </r>
  <r>
    <x v="1"/>
    <x v="13"/>
    <s v="Electric Generators, Independent Power Producers"/>
    <x v="0"/>
    <n v="464088"/>
  </r>
  <r>
    <x v="1"/>
    <x v="13"/>
    <s v="Electric Generators, Independent Power Producers"/>
    <x v="2"/>
    <n v="464088"/>
  </r>
  <r>
    <x v="1"/>
    <x v="13"/>
    <s v="Electric Generators, Electric Utilities"/>
    <x v="0"/>
    <n v="8281502"/>
  </r>
  <r>
    <x v="1"/>
    <x v="13"/>
    <s v="Electric Generators, Electric Utilities"/>
    <x v="2"/>
    <n v="8281191"/>
  </r>
  <r>
    <x v="1"/>
    <x v="13"/>
    <s v="Electric Generators, Electric Utilities"/>
    <x v="4"/>
    <n v="311"/>
  </r>
  <r>
    <x v="1"/>
    <x v="13"/>
    <s v="Combined Heat and Power, Industrial Power"/>
    <x v="0"/>
    <n v="601580"/>
  </r>
  <r>
    <x v="1"/>
    <x v="13"/>
    <s v="Combined Heat and Power, Industrial Power"/>
    <x v="1"/>
    <n v="16359"/>
  </r>
  <r>
    <x v="1"/>
    <x v="13"/>
    <s v="Combined Heat and Power, Industrial Power"/>
    <x v="3"/>
    <n v="107243"/>
  </r>
  <r>
    <x v="1"/>
    <x v="13"/>
    <s v="Combined Heat and Power, Industrial Power"/>
    <x v="12"/>
    <n v="61948"/>
  </r>
  <r>
    <x v="1"/>
    <x v="13"/>
    <s v="Combined Heat and Power, Industrial Power"/>
    <x v="8"/>
    <n v="9784"/>
  </r>
  <r>
    <x v="1"/>
    <x v="13"/>
    <s v="Combined Heat and Power, Industrial Power"/>
    <x v="4"/>
    <n v="50"/>
  </r>
  <r>
    <x v="1"/>
    <x v="13"/>
    <s v="Combined Heat and Power, Industrial Power"/>
    <x v="6"/>
    <n v="406196"/>
  </r>
  <r>
    <x v="1"/>
    <x v="13"/>
    <s v="Combined Heat and Power, Electric Power"/>
    <x v="0"/>
    <n v="81449"/>
  </r>
  <r>
    <x v="1"/>
    <x v="13"/>
    <s v="Combined Heat and Power, Electric Power"/>
    <x v="6"/>
    <n v="81449"/>
  </r>
  <r>
    <x v="1"/>
    <x v="14"/>
    <s v="Total Electric Power Industry"/>
    <x v="0"/>
    <n v="130274345"/>
  </r>
  <r>
    <x v="1"/>
    <x v="14"/>
    <s v="Total Electric Power Industry"/>
    <x v="1"/>
    <n v="55060170"/>
  </r>
  <r>
    <x v="1"/>
    <x v="14"/>
    <s v="Total Electric Power Industry"/>
    <x v="2"/>
    <n v="134457"/>
  </r>
  <r>
    <x v="1"/>
    <x v="14"/>
    <s v="Total Electric Power Industry"/>
    <x v="3"/>
    <n v="1735870"/>
  </r>
  <r>
    <x v="1"/>
    <x v="14"/>
    <s v="Total Electric Power Industry"/>
    <x v="7"/>
    <n v="71866091"/>
  </r>
  <r>
    <x v="1"/>
    <x v="14"/>
    <s v="Total Electric Power Industry"/>
    <x v="8"/>
    <n v="182055"/>
  </r>
  <r>
    <x v="1"/>
    <x v="14"/>
    <s v="Total Electric Power Industry"/>
    <x v="9"/>
    <n v="385381"/>
  </r>
  <r>
    <x v="1"/>
    <x v="14"/>
    <s v="Total Electric Power Industry"/>
    <x v="4"/>
    <n v="910110"/>
  </r>
  <r>
    <x v="1"/>
    <x v="14"/>
    <s v="Total Electric Power Industry"/>
    <x v="6"/>
    <n v="211"/>
  </r>
  <r>
    <x v="1"/>
    <x v="14"/>
    <s v="Electric Generators, Independent Power Producers"/>
    <x v="0"/>
    <n v="223111"/>
  </r>
  <r>
    <x v="1"/>
    <x v="14"/>
    <s v="Electric Generators, Independent Power Producers"/>
    <x v="2"/>
    <n v="81753"/>
  </r>
  <r>
    <x v="1"/>
    <x v="14"/>
    <s v="Electric Generators, Independent Power Producers"/>
    <x v="8"/>
    <n v="141252"/>
  </r>
  <r>
    <x v="1"/>
    <x v="14"/>
    <s v="Electric Generators, Independent Power Producers"/>
    <x v="4"/>
    <n v="106"/>
  </r>
  <r>
    <x v="1"/>
    <x v="14"/>
    <s v="Electric Generators, Electric Utilities"/>
    <x v="0"/>
    <n v="127851375"/>
  </r>
  <r>
    <x v="1"/>
    <x v="14"/>
    <s v="Electric Generators, Electric Utilities"/>
    <x v="1"/>
    <n v="53955009"/>
  </r>
  <r>
    <x v="1"/>
    <x v="14"/>
    <s v="Electric Generators, Electric Utilities"/>
    <x v="2"/>
    <n v="52704"/>
  </r>
  <r>
    <x v="1"/>
    <x v="14"/>
    <s v="Electric Generators, Electric Utilities"/>
    <x v="3"/>
    <n v="1072070"/>
  </r>
  <r>
    <x v="1"/>
    <x v="14"/>
    <s v="Electric Generators, Electric Utilities"/>
    <x v="7"/>
    <n v="71866091"/>
  </r>
  <r>
    <x v="1"/>
    <x v="14"/>
    <s v="Electric Generators, Electric Utilities"/>
    <x v="4"/>
    <n v="905501"/>
  </r>
  <r>
    <x v="1"/>
    <x v="14"/>
    <s v="Combined Heat and Power, Industrial Power"/>
    <x v="0"/>
    <n v="2059762"/>
  </r>
  <r>
    <x v="1"/>
    <x v="14"/>
    <s v="Combined Heat and Power, Industrial Power"/>
    <x v="1"/>
    <n v="1105161"/>
  </r>
  <r>
    <x v="1"/>
    <x v="14"/>
    <s v="Combined Heat and Power, Industrial Power"/>
    <x v="3"/>
    <n v="559386"/>
  </r>
  <r>
    <x v="1"/>
    <x v="14"/>
    <s v="Combined Heat and Power, Industrial Power"/>
    <x v="8"/>
    <n v="5120"/>
  </r>
  <r>
    <x v="1"/>
    <x v="14"/>
    <s v="Combined Heat and Power, Industrial Power"/>
    <x v="9"/>
    <n v="385381"/>
  </r>
  <r>
    <x v="1"/>
    <x v="14"/>
    <s v="Combined Heat and Power, Industrial Power"/>
    <x v="4"/>
    <n v="4503"/>
  </r>
  <r>
    <x v="1"/>
    <x v="14"/>
    <s v="Combined Heat and Power, Industrial Power"/>
    <x v="6"/>
    <n v="211"/>
  </r>
  <r>
    <x v="1"/>
    <x v="14"/>
    <s v="Combined Heat and Power, Electric Power"/>
    <x v="0"/>
    <n v="37664"/>
  </r>
  <r>
    <x v="1"/>
    <x v="14"/>
    <s v="Combined Heat and Power, Electric Power"/>
    <x v="3"/>
    <n v="9334"/>
  </r>
  <r>
    <x v="1"/>
    <x v="14"/>
    <s v="Combined Heat and Power, Electric Power"/>
    <x v="8"/>
    <n v="28330"/>
  </r>
  <r>
    <x v="1"/>
    <x v="14"/>
    <s v="Combined Heat and Power, Commercial Power"/>
    <x v="0"/>
    <n v="102433"/>
  </r>
  <r>
    <x v="1"/>
    <x v="14"/>
    <s v="Combined Heat and Power, Commercial Power"/>
    <x v="3"/>
    <n v="95080"/>
  </r>
  <r>
    <x v="1"/>
    <x v="14"/>
    <s v="Combined Heat and Power, Commercial Power"/>
    <x v="8"/>
    <n v="7353"/>
  </r>
  <r>
    <x v="1"/>
    <x v="14"/>
    <s v="Combined Heat and Power, Commercial Power"/>
    <x v="4"/>
    <n v="0"/>
  </r>
  <r>
    <x v="1"/>
    <x v="15"/>
    <s v="Total Electric Power Industry"/>
    <x v="0"/>
    <n v="101981299"/>
  </r>
  <r>
    <x v="1"/>
    <x v="15"/>
    <s v="Total Electric Power Industry"/>
    <x v="1"/>
    <n v="97457227"/>
  </r>
  <r>
    <x v="1"/>
    <x v="15"/>
    <s v="Total Electric Power Industry"/>
    <x v="2"/>
    <n v="399051"/>
  </r>
  <r>
    <x v="1"/>
    <x v="15"/>
    <s v="Total Electric Power Industry"/>
    <x v="3"/>
    <n v="1454748"/>
  </r>
  <r>
    <x v="1"/>
    <x v="15"/>
    <s v="Total Electric Power Industry"/>
    <x v="8"/>
    <n v="33114"/>
  </r>
  <r>
    <x v="1"/>
    <x v="15"/>
    <s v="Total Electric Power Industry"/>
    <x v="9"/>
    <n v="2107806"/>
  </r>
  <r>
    <x v="1"/>
    <x v="15"/>
    <s v="Total Electric Power Industry"/>
    <x v="4"/>
    <n v="529353"/>
  </r>
  <r>
    <x v="1"/>
    <x v="15"/>
    <s v="Electric Generators, Electric Utilities"/>
    <x v="0"/>
    <n v="98199986"/>
  </r>
  <r>
    <x v="1"/>
    <x v="15"/>
    <s v="Electric Generators, Electric Utilities"/>
    <x v="1"/>
    <n v="96526976"/>
  </r>
  <r>
    <x v="1"/>
    <x v="15"/>
    <s v="Electric Generators, Electric Utilities"/>
    <x v="2"/>
    <n v="399051"/>
  </r>
  <r>
    <x v="1"/>
    <x v="15"/>
    <s v="Electric Generators, Electric Utilities"/>
    <x v="3"/>
    <n v="919662"/>
  </r>
  <r>
    <x v="1"/>
    <x v="15"/>
    <s v="Electric Generators, Electric Utilities"/>
    <x v="4"/>
    <n v="354297"/>
  </r>
  <r>
    <x v="1"/>
    <x v="15"/>
    <s v="Combined Heat and Power, Industrial Power"/>
    <x v="0"/>
    <n v="3647595"/>
  </r>
  <r>
    <x v="1"/>
    <x v="15"/>
    <s v="Combined Heat and Power, Industrial Power"/>
    <x v="1"/>
    <n v="842324"/>
  </r>
  <r>
    <x v="1"/>
    <x v="15"/>
    <s v="Combined Heat and Power, Industrial Power"/>
    <x v="3"/>
    <n v="523311"/>
  </r>
  <r>
    <x v="1"/>
    <x v="15"/>
    <s v="Combined Heat and Power, Industrial Power"/>
    <x v="9"/>
    <n v="2107806"/>
  </r>
  <r>
    <x v="1"/>
    <x v="15"/>
    <s v="Combined Heat and Power, Industrial Power"/>
    <x v="4"/>
    <n v="174154"/>
  </r>
  <r>
    <x v="1"/>
    <x v="15"/>
    <s v="Combined Heat and Power, Commercial Power"/>
    <x v="0"/>
    <n v="133718"/>
  </r>
  <r>
    <x v="1"/>
    <x v="15"/>
    <s v="Combined Heat and Power, Commercial Power"/>
    <x v="1"/>
    <n v="87927"/>
  </r>
  <r>
    <x v="1"/>
    <x v="15"/>
    <s v="Combined Heat and Power, Commercial Power"/>
    <x v="3"/>
    <n v="11775"/>
  </r>
  <r>
    <x v="1"/>
    <x v="15"/>
    <s v="Combined Heat and Power, Commercial Power"/>
    <x v="8"/>
    <n v="33114"/>
  </r>
  <r>
    <x v="1"/>
    <x v="15"/>
    <s v="Combined Heat and Power, Commercial Power"/>
    <x v="4"/>
    <n v="902"/>
  </r>
  <r>
    <x v="1"/>
    <x v="16"/>
    <s v="Total Electric Power Industry"/>
    <x v="0"/>
    <n v="32630743"/>
  </r>
  <r>
    <x v="1"/>
    <x v="16"/>
    <s v="Total Electric Power Industry"/>
    <x v="1"/>
    <n v="23435008"/>
  </r>
  <r>
    <x v="1"/>
    <x v="16"/>
    <s v="Total Electric Power Industry"/>
    <x v="2"/>
    <n v="10567"/>
  </r>
  <r>
    <x v="1"/>
    <x v="16"/>
    <s v="Total Electric Power Industry"/>
    <x v="3"/>
    <n v="3265529"/>
  </r>
  <r>
    <x v="1"/>
    <x v="16"/>
    <s v="Total Electric Power Industry"/>
    <x v="7"/>
    <n v="5858613"/>
  </r>
  <r>
    <x v="1"/>
    <x v="16"/>
    <s v="Total Electric Power Industry"/>
    <x v="4"/>
    <n v="60984"/>
  </r>
  <r>
    <x v="1"/>
    <x v="16"/>
    <s v="Total Electric Power Industry"/>
    <x v="5"/>
    <n v="42"/>
  </r>
  <r>
    <x v="1"/>
    <x v="16"/>
    <s v="Electric Generators, Independent Power Producers"/>
    <x v="0"/>
    <n v="1465"/>
  </r>
  <r>
    <x v="1"/>
    <x v="16"/>
    <s v="Electric Generators, Independent Power Producers"/>
    <x v="2"/>
    <n v="1465"/>
  </r>
  <r>
    <x v="1"/>
    <x v="16"/>
    <s v="Electric Generators, Electric Utilities"/>
    <x v="0"/>
    <n v="32314825"/>
  </r>
  <r>
    <x v="1"/>
    <x v="16"/>
    <s v="Electric Generators, Electric Utilities"/>
    <x v="1"/>
    <n v="23435008"/>
  </r>
  <r>
    <x v="1"/>
    <x v="16"/>
    <s v="Electric Generators, Electric Utilities"/>
    <x v="2"/>
    <n v="9102"/>
  </r>
  <r>
    <x v="1"/>
    <x v="16"/>
    <s v="Electric Generators, Electric Utilities"/>
    <x v="3"/>
    <n v="2959358"/>
  </r>
  <r>
    <x v="1"/>
    <x v="16"/>
    <s v="Electric Generators, Electric Utilities"/>
    <x v="7"/>
    <n v="5858613"/>
  </r>
  <r>
    <x v="1"/>
    <x v="16"/>
    <s v="Electric Generators, Electric Utilities"/>
    <x v="4"/>
    <n v="52702"/>
  </r>
  <r>
    <x v="1"/>
    <x v="16"/>
    <s v="Electric Generators, Electric Utilities"/>
    <x v="5"/>
    <n v="42"/>
  </r>
  <r>
    <x v="1"/>
    <x v="16"/>
    <s v="Combined Heat and Power, Industrial Power"/>
    <x v="0"/>
    <n v="314453"/>
  </r>
  <r>
    <x v="1"/>
    <x v="16"/>
    <s v="Combined Heat and Power, Industrial Power"/>
    <x v="3"/>
    <n v="306171"/>
  </r>
  <r>
    <x v="1"/>
    <x v="16"/>
    <s v="Combined Heat and Power, Industrial Power"/>
    <x v="4"/>
    <n v="8282"/>
  </r>
  <r>
    <x v="1"/>
    <x v="17"/>
    <s v="Total Electric Power Industry"/>
    <x v="0"/>
    <n v="75505081"/>
  </r>
  <r>
    <x v="1"/>
    <x v="17"/>
    <s v="Total Electric Power Industry"/>
    <x v="1"/>
    <n v="71713851"/>
  </r>
  <r>
    <x v="1"/>
    <x v="17"/>
    <s v="Total Electric Power Industry"/>
    <x v="2"/>
    <n v="3657801"/>
  </r>
  <r>
    <x v="1"/>
    <x v="17"/>
    <s v="Total Electric Power Industry"/>
    <x v="3"/>
    <n v="21871"/>
  </r>
  <r>
    <x v="1"/>
    <x v="17"/>
    <s v="Total Electric Power Industry"/>
    <x v="4"/>
    <n v="111558"/>
  </r>
  <r>
    <x v="1"/>
    <x v="17"/>
    <s v="Electric Generators, Electric Utilities"/>
    <x v="0"/>
    <n v="75505081"/>
  </r>
  <r>
    <x v="1"/>
    <x v="17"/>
    <s v="Electric Generators, Electric Utilities"/>
    <x v="1"/>
    <n v="71713851"/>
  </r>
  <r>
    <x v="1"/>
    <x v="17"/>
    <s v="Electric Generators, Electric Utilities"/>
    <x v="2"/>
    <n v="3657801"/>
  </r>
  <r>
    <x v="1"/>
    <x v="17"/>
    <s v="Electric Generators, Electric Utilities"/>
    <x v="3"/>
    <n v="21871"/>
  </r>
  <r>
    <x v="1"/>
    <x v="17"/>
    <s v="Electric Generators, Electric Utilities"/>
    <x v="4"/>
    <n v="111558"/>
  </r>
  <r>
    <x v="1"/>
    <x v="18"/>
    <s v="Total Electric Power Industry"/>
    <x v="0"/>
    <n v="74972693"/>
  </r>
  <r>
    <x v="1"/>
    <x v="18"/>
    <s v="Total Electric Power Industry"/>
    <x v="1"/>
    <n v="18968479"/>
  </r>
  <r>
    <x v="1"/>
    <x v="18"/>
    <s v="Total Electric Power Industry"/>
    <x v="2"/>
    <n v="656492"/>
  </r>
  <r>
    <x v="1"/>
    <x v="18"/>
    <s v="Total Electric Power Industry"/>
    <x v="3"/>
    <n v="36363381"/>
  </r>
  <r>
    <x v="1"/>
    <x v="18"/>
    <s v="Total Electric Power Industry"/>
    <x v="7"/>
    <n v="13956196"/>
  </r>
  <r>
    <x v="1"/>
    <x v="18"/>
    <s v="Total Electric Power Industry"/>
    <x v="12"/>
    <n v="1583053"/>
  </r>
  <r>
    <x v="1"/>
    <x v="18"/>
    <s v="Total Electric Power Industry"/>
    <x v="8"/>
    <n v="91661"/>
  </r>
  <r>
    <x v="1"/>
    <x v="18"/>
    <s v="Total Electric Power Industry"/>
    <x v="9"/>
    <n v="955600"/>
  </r>
  <r>
    <x v="1"/>
    <x v="18"/>
    <s v="Total Electric Power Industry"/>
    <x v="4"/>
    <n v="55760"/>
  </r>
  <r>
    <x v="1"/>
    <x v="18"/>
    <s v="Total Electric Power Industry"/>
    <x v="6"/>
    <n v="2342071"/>
  </r>
  <r>
    <x v="1"/>
    <x v="18"/>
    <s v="Electric Generators, Independent Power Producers"/>
    <x v="0"/>
    <n v="748753"/>
  </r>
  <r>
    <x v="1"/>
    <x v="18"/>
    <s v="Electric Generators, Independent Power Producers"/>
    <x v="2"/>
    <n v="656492"/>
  </r>
  <r>
    <x v="1"/>
    <x v="18"/>
    <s v="Electric Generators, Independent Power Producers"/>
    <x v="3"/>
    <n v="600"/>
  </r>
  <r>
    <x v="1"/>
    <x v="18"/>
    <s v="Electric Generators, Independent Power Producers"/>
    <x v="8"/>
    <n v="91661"/>
  </r>
  <r>
    <x v="1"/>
    <x v="18"/>
    <s v="Electric Generators, Independent Power Producers"/>
    <x v="4"/>
    <n v="0"/>
  </r>
  <r>
    <x v="1"/>
    <x v="18"/>
    <s v="Electric Generators, Electric Utilities"/>
    <x v="0"/>
    <n v="57157976"/>
  </r>
  <r>
    <x v="1"/>
    <x v="18"/>
    <s v="Electric Generators, Electric Utilities"/>
    <x v="1"/>
    <n v="18911856"/>
  </r>
  <r>
    <x v="1"/>
    <x v="18"/>
    <s v="Electric Generators, Electric Utilities"/>
    <x v="3"/>
    <n v="24244619"/>
  </r>
  <r>
    <x v="1"/>
    <x v="18"/>
    <s v="Electric Generators, Electric Utilities"/>
    <x v="7"/>
    <n v="13956196"/>
  </r>
  <r>
    <x v="1"/>
    <x v="18"/>
    <s v="Electric Generators, Electric Utilities"/>
    <x v="4"/>
    <n v="45305"/>
  </r>
  <r>
    <x v="1"/>
    <x v="18"/>
    <s v="Combined Heat and Power, Industrial Power"/>
    <x v="0"/>
    <n v="15457489"/>
  </r>
  <r>
    <x v="1"/>
    <x v="18"/>
    <s v="Combined Heat and Power, Industrial Power"/>
    <x v="1"/>
    <n v="56623"/>
  </r>
  <r>
    <x v="1"/>
    <x v="18"/>
    <s v="Combined Heat and Power, Industrial Power"/>
    <x v="3"/>
    <n v="10509687"/>
  </r>
  <r>
    <x v="1"/>
    <x v="18"/>
    <s v="Combined Heat and Power, Industrial Power"/>
    <x v="12"/>
    <n v="1583053"/>
  </r>
  <r>
    <x v="1"/>
    <x v="18"/>
    <s v="Combined Heat and Power, Industrial Power"/>
    <x v="8"/>
    <n v="0"/>
  </r>
  <r>
    <x v="1"/>
    <x v="18"/>
    <s v="Combined Heat and Power, Industrial Power"/>
    <x v="9"/>
    <n v="955600"/>
  </r>
  <r>
    <x v="1"/>
    <x v="18"/>
    <s v="Combined Heat and Power, Industrial Power"/>
    <x v="4"/>
    <n v="10455"/>
  </r>
  <r>
    <x v="1"/>
    <x v="18"/>
    <s v="Combined Heat and Power, Industrial Power"/>
    <x v="6"/>
    <n v="2342071"/>
  </r>
  <r>
    <x v="1"/>
    <x v="18"/>
    <s v="Combined Heat and Power, Electric Power"/>
    <x v="0"/>
    <n v="1580946"/>
  </r>
  <r>
    <x v="1"/>
    <x v="18"/>
    <s v="Combined Heat and Power, Electric Power"/>
    <x v="3"/>
    <n v="1580946"/>
  </r>
  <r>
    <x v="1"/>
    <x v="18"/>
    <s v="Combined Heat and Power, Commercial Power"/>
    <x v="0"/>
    <n v="27529"/>
  </r>
  <r>
    <x v="1"/>
    <x v="18"/>
    <s v="Combined Heat and Power, Commercial Power"/>
    <x v="3"/>
    <n v="27529"/>
  </r>
  <r>
    <x v="1"/>
    <x v="19"/>
    <s v="Total Electric Power Industry"/>
    <x v="0"/>
    <n v="41019791"/>
  </r>
  <r>
    <x v="1"/>
    <x v="19"/>
    <s v="Total Electric Power Industry"/>
    <x v="1"/>
    <n v="11985593"/>
  </r>
  <r>
    <x v="1"/>
    <x v="19"/>
    <s v="Total Electric Power Industry"/>
    <x v="2"/>
    <n v="1114929"/>
  </r>
  <r>
    <x v="1"/>
    <x v="19"/>
    <s v="Total Electric Power Industry"/>
    <x v="3"/>
    <n v="6329862"/>
  </r>
  <r>
    <x v="1"/>
    <x v="19"/>
    <s v="Total Electric Power Industry"/>
    <x v="7"/>
    <n v="4416611"/>
  </r>
  <r>
    <x v="1"/>
    <x v="19"/>
    <s v="Total Electric Power Industry"/>
    <x v="8"/>
    <n v="1634651"/>
  </r>
  <r>
    <x v="1"/>
    <x v="19"/>
    <s v="Total Electric Power Industry"/>
    <x v="9"/>
    <n v="800"/>
  </r>
  <r>
    <x v="1"/>
    <x v="19"/>
    <s v="Total Electric Power Industry"/>
    <x v="4"/>
    <n v="16159825"/>
  </r>
  <r>
    <x v="1"/>
    <x v="19"/>
    <s v="Total Electric Power Industry"/>
    <x v="10"/>
    <n v="-622480"/>
  </r>
  <r>
    <x v="1"/>
    <x v="19"/>
    <s v="Electric Generators, Independent Power Producers"/>
    <x v="0"/>
    <n v="1772224"/>
  </r>
  <r>
    <x v="1"/>
    <x v="19"/>
    <s v="Electric Generators, Independent Power Producers"/>
    <x v="2"/>
    <n v="248483"/>
  </r>
  <r>
    <x v="1"/>
    <x v="19"/>
    <s v="Electric Generators, Independent Power Producers"/>
    <x v="3"/>
    <n v="6901"/>
  </r>
  <r>
    <x v="1"/>
    <x v="19"/>
    <s v="Electric Generators, Independent Power Producers"/>
    <x v="8"/>
    <n v="1507484"/>
  </r>
  <r>
    <x v="1"/>
    <x v="19"/>
    <s v="Electric Generators, Independent Power Producers"/>
    <x v="4"/>
    <n v="9356"/>
  </r>
  <r>
    <x v="1"/>
    <x v="19"/>
    <s v="Electric Generators, Electric Utilities"/>
    <x v="0"/>
    <n v="35802358"/>
  </r>
  <r>
    <x v="1"/>
    <x v="19"/>
    <s v="Electric Generators, Electric Utilities"/>
    <x v="1"/>
    <n v="11861344"/>
  </r>
  <r>
    <x v="1"/>
    <x v="19"/>
    <s v="Electric Generators, Electric Utilities"/>
    <x v="2"/>
    <n v="855193"/>
  </r>
  <r>
    <x v="1"/>
    <x v="19"/>
    <s v="Electric Generators, Electric Utilities"/>
    <x v="3"/>
    <n v="3679433"/>
  </r>
  <r>
    <x v="1"/>
    <x v="19"/>
    <s v="Electric Generators, Electric Utilities"/>
    <x v="7"/>
    <n v="4416611"/>
  </r>
  <r>
    <x v="1"/>
    <x v="19"/>
    <s v="Electric Generators, Electric Utilities"/>
    <x v="4"/>
    <n v="15612257"/>
  </r>
  <r>
    <x v="1"/>
    <x v="19"/>
    <s v="Electric Generators, Electric Utilities"/>
    <x v="10"/>
    <n v="-622480"/>
  </r>
  <r>
    <x v="1"/>
    <x v="19"/>
    <s v="Combined Heat and Power, Industrial Power"/>
    <x v="0"/>
    <n v="546313"/>
  </r>
  <r>
    <x v="1"/>
    <x v="19"/>
    <s v="Combined Heat and Power, Industrial Power"/>
    <x v="1"/>
    <n v="50414"/>
  </r>
  <r>
    <x v="1"/>
    <x v="19"/>
    <s v="Combined Heat and Power, Industrial Power"/>
    <x v="2"/>
    <n v="11253"/>
  </r>
  <r>
    <x v="1"/>
    <x v="19"/>
    <s v="Combined Heat and Power, Industrial Power"/>
    <x v="3"/>
    <n v="166306"/>
  </r>
  <r>
    <x v="1"/>
    <x v="19"/>
    <s v="Combined Heat and Power, Industrial Power"/>
    <x v="8"/>
    <n v="64046"/>
  </r>
  <r>
    <x v="1"/>
    <x v="19"/>
    <s v="Combined Heat and Power, Industrial Power"/>
    <x v="4"/>
    <n v="254294"/>
  </r>
  <r>
    <x v="1"/>
    <x v="19"/>
    <s v="Combined Heat and Power, Electric Power"/>
    <x v="0"/>
    <n v="2573039"/>
  </r>
  <r>
    <x v="1"/>
    <x v="19"/>
    <s v="Combined Heat and Power, Electric Power"/>
    <x v="1"/>
    <n v="73835"/>
  </r>
  <r>
    <x v="1"/>
    <x v="19"/>
    <s v="Combined Heat and Power, Electric Power"/>
    <x v="3"/>
    <n v="2440904"/>
  </r>
  <r>
    <x v="1"/>
    <x v="19"/>
    <s v="Combined Heat and Power, Electric Power"/>
    <x v="8"/>
    <n v="45541"/>
  </r>
  <r>
    <x v="1"/>
    <x v="19"/>
    <s v="Combined Heat and Power, Electric Power"/>
    <x v="9"/>
    <n v="800"/>
  </r>
  <r>
    <x v="1"/>
    <x v="19"/>
    <s v="Combined Heat and Power, Electric Power"/>
    <x v="4"/>
    <n v="11959"/>
  </r>
  <r>
    <x v="1"/>
    <x v="19"/>
    <s v="Combined Heat and Power, Commercial Power"/>
    <x v="0"/>
    <n v="325857"/>
  </r>
  <r>
    <x v="1"/>
    <x v="19"/>
    <s v="Combined Heat and Power, Commercial Power"/>
    <x v="3"/>
    <n v="36318"/>
  </r>
  <r>
    <x v="1"/>
    <x v="19"/>
    <s v="Combined Heat and Power, Commercial Power"/>
    <x v="8"/>
    <n v="17580"/>
  </r>
  <r>
    <x v="1"/>
    <x v="19"/>
    <s v="Combined Heat and Power, Commercial Power"/>
    <x v="4"/>
    <n v="271959"/>
  </r>
  <r>
    <x v="1"/>
    <x v="20"/>
    <s v="Total Electric Power Industry"/>
    <x v="0"/>
    <n v="39850884"/>
  </r>
  <r>
    <x v="1"/>
    <x v="20"/>
    <s v="Total Electric Power Industry"/>
    <x v="1"/>
    <n v="22835671"/>
  </r>
  <r>
    <x v="1"/>
    <x v="20"/>
    <s v="Total Electric Power Industry"/>
    <x v="2"/>
    <n v="1407287"/>
  </r>
  <r>
    <x v="1"/>
    <x v="20"/>
    <s v="Total Electric Power Industry"/>
    <x v="3"/>
    <n v="1517463"/>
  </r>
  <r>
    <x v="1"/>
    <x v="20"/>
    <s v="Total Electric Power Industry"/>
    <x v="7"/>
    <n v="9036100"/>
  </r>
  <r>
    <x v="1"/>
    <x v="20"/>
    <s v="Total Electric Power Industry"/>
    <x v="8"/>
    <n v="336551"/>
  </r>
  <r>
    <x v="1"/>
    <x v="20"/>
    <s v="Total Electric Power Industry"/>
    <x v="9"/>
    <n v="478704"/>
  </r>
  <r>
    <x v="1"/>
    <x v="20"/>
    <s v="Total Electric Power Industry"/>
    <x v="4"/>
    <n v="4078506"/>
  </r>
  <r>
    <x v="1"/>
    <x v="20"/>
    <s v="Total Electric Power Industry"/>
    <x v="6"/>
    <n v="160602"/>
  </r>
  <r>
    <x v="1"/>
    <x v="20"/>
    <s v="Electric Generators, Independent Power Producers"/>
    <x v="0"/>
    <n v="19857"/>
  </r>
  <r>
    <x v="1"/>
    <x v="20"/>
    <s v="Electric Generators, Independent Power Producers"/>
    <x v="8"/>
    <n v="19857"/>
  </r>
  <r>
    <x v="1"/>
    <x v="20"/>
    <s v="Electric Generators, Electric Utilities"/>
    <x v="0"/>
    <n v="38215120"/>
  </r>
  <r>
    <x v="1"/>
    <x v="20"/>
    <s v="Electric Generators, Electric Utilities"/>
    <x v="1"/>
    <n v="22622989"/>
  </r>
  <r>
    <x v="1"/>
    <x v="20"/>
    <s v="Electric Generators, Electric Utilities"/>
    <x v="2"/>
    <n v="1407287"/>
  </r>
  <r>
    <x v="1"/>
    <x v="20"/>
    <s v="Electric Generators, Electric Utilities"/>
    <x v="3"/>
    <n v="1213523"/>
  </r>
  <r>
    <x v="1"/>
    <x v="20"/>
    <s v="Electric Generators, Electric Utilities"/>
    <x v="7"/>
    <n v="9036100"/>
  </r>
  <r>
    <x v="1"/>
    <x v="20"/>
    <s v="Electric Generators, Electric Utilities"/>
    <x v="8"/>
    <n v="0"/>
  </r>
  <r>
    <x v="1"/>
    <x v="20"/>
    <s v="Electric Generators, Electric Utilities"/>
    <x v="4"/>
    <n v="3935221"/>
  </r>
  <r>
    <x v="1"/>
    <x v="20"/>
    <s v="Combined Heat and Power, Industrial Power"/>
    <x v="0"/>
    <n v="407744"/>
  </r>
  <r>
    <x v="1"/>
    <x v="20"/>
    <s v="Combined Heat and Power, Industrial Power"/>
    <x v="1"/>
    <n v="212682"/>
  </r>
  <r>
    <x v="1"/>
    <x v="20"/>
    <s v="Combined Heat and Power, Industrial Power"/>
    <x v="3"/>
    <n v="31170"/>
  </r>
  <r>
    <x v="1"/>
    <x v="20"/>
    <s v="Combined Heat and Power, Industrial Power"/>
    <x v="4"/>
    <n v="3290"/>
  </r>
  <r>
    <x v="1"/>
    <x v="20"/>
    <s v="Combined Heat and Power, Industrial Power"/>
    <x v="6"/>
    <n v="160602"/>
  </r>
  <r>
    <x v="1"/>
    <x v="20"/>
    <s v="Combined Heat and Power, Electric Power"/>
    <x v="0"/>
    <n v="1191770"/>
  </r>
  <r>
    <x v="1"/>
    <x v="20"/>
    <s v="Combined Heat and Power, Electric Power"/>
    <x v="3"/>
    <n v="272770"/>
  </r>
  <r>
    <x v="1"/>
    <x v="20"/>
    <s v="Combined Heat and Power, Electric Power"/>
    <x v="8"/>
    <n v="300301"/>
  </r>
  <r>
    <x v="1"/>
    <x v="20"/>
    <s v="Combined Heat and Power, Electric Power"/>
    <x v="9"/>
    <n v="478704"/>
  </r>
  <r>
    <x v="1"/>
    <x v="20"/>
    <s v="Combined Heat and Power, Electric Power"/>
    <x v="4"/>
    <n v="139995"/>
  </r>
  <r>
    <x v="1"/>
    <x v="20"/>
    <s v="Combined Heat and Power, Commercial Power"/>
    <x v="0"/>
    <n v="16393"/>
  </r>
  <r>
    <x v="1"/>
    <x v="20"/>
    <s v="Combined Heat and Power, Commercial Power"/>
    <x v="8"/>
    <n v="16393"/>
  </r>
  <r>
    <x v="1"/>
    <x v="20"/>
    <s v="Combined Heat and Power, Commercial Power"/>
    <x v="4"/>
    <n v="0"/>
  </r>
  <r>
    <x v="1"/>
    <x v="20"/>
    <s v="Combined Heat and Power, Commercial Power"/>
    <x v="6"/>
    <n v="0"/>
  </r>
  <r>
    <x v="1"/>
    <x v="21"/>
    <s v="Total Electric Power Industry"/>
    <x v="0"/>
    <n v="17344783"/>
  </r>
  <r>
    <x v="1"/>
    <x v="21"/>
    <s v="Total Electric Power Industry"/>
    <x v="1"/>
    <n v="857960"/>
  </r>
  <r>
    <x v="1"/>
    <x v="21"/>
    <s v="Total Electric Power Industry"/>
    <x v="2"/>
    <n v="3817231"/>
  </r>
  <r>
    <x v="1"/>
    <x v="21"/>
    <s v="Total Electric Power Industry"/>
    <x v="3"/>
    <n v="49101"/>
  </r>
  <r>
    <x v="1"/>
    <x v="21"/>
    <s v="Total Electric Power Industry"/>
    <x v="7"/>
    <n v="6264366"/>
  </r>
  <r>
    <x v="1"/>
    <x v="21"/>
    <s v="Total Electric Power Industry"/>
    <x v="8"/>
    <n v="384419"/>
  </r>
  <r>
    <x v="1"/>
    <x v="21"/>
    <s v="Total Electric Power Industry"/>
    <x v="4"/>
    <n v="2152209"/>
  </r>
  <r>
    <x v="1"/>
    <x v="21"/>
    <s v="Total Electric Power Industry"/>
    <x v="6"/>
    <n v="3819497"/>
  </r>
  <r>
    <x v="1"/>
    <x v="21"/>
    <s v="Electric Generators, Independent Power Producers"/>
    <x v="0"/>
    <n v="1884042"/>
  </r>
  <r>
    <x v="1"/>
    <x v="21"/>
    <s v="Electric Generators, Independent Power Producers"/>
    <x v="2"/>
    <n v="600635"/>
  </r>
  <r>
    <x v="1"/>
    <x v="21"/>
    <s v="Electric Generators, Independent Power Producers"/>
    <x v="3"/>
    <n v="12414"/>
  </r>
  <r>
    <x v="1"/>
    <x v="21"/>
    <s v="Electric Generators, Independent Power Producers"/>
    <x v="8"/>
    <n v="215440"/>
  </r>
  <r>
    <x v="1"/>
    <x v="21"/>
    <s v="Electric Generators, Independent Power Producers"/>
    <x v="4"/>
    <n v="1417"/>
  </r>
  <r>
    <x v="1"/>
    <x v="21"/>
    <s v="Electric Generators, Independent Power Producers"/>
    <x v="6"/>
    <n v="1054136"/>
  </r>
  <r>
    <x v="1"/>
    <x v="21"/>
    <s v="Electric Generators, Electric Utilities"/>
    <x v="0"/>
    <n v="9518506"/>
  </r>
  <r>
    <x v="1"/>
    <x v="21"/>
    <s v="Electric Generators, Electric Utilities"/>
    <x v="2"/>
    <n v="1985152"/>
  </r>
  <r>
    <x v="1"/>
    <x v="21"/>
    <s v="Electric Generators, Electric Utilities"/>
    <x v="7"/>
    <n v="6264366"/>
  </r>
  <r>
    <x v="1"/>
    <x v="21"/>
    <s v="Electric Generators, Electric Utilities"/>
    <x v="4"/>
    <n v="1268988"/>
  </r>
  <r>
    <x v="1"/>
    <x v="21"/>
    <s v="Combined Heat and Power, Industrial Power"/>
    <x v="0"/>
    <n v="5021945"/>
  </r>
  <r>
    <x v="1"/>
    <x v="21"/>
    <s v="Combined Heat and Power, Industrial Power"/>
    <x v="1"/>
    <n v="384104"/>
  </r>
  <r>
    <x v="1"/>
    <x v="21"/>
    <s v="Combined Heat and Power, Industrial Power"/>
    <x v="2"/>
    <n v="1231444"/>
  </r>
  <r>
    <x v="1"/>
    <x v="21"/>
    <s v="Combined Heat and Power, Industrial Power"/>
    <x v="3"/>
    <n v="36687"/>
  </r>
  <r>
    <x v="1"/>
    <x v="21"/>
    <s v="Combined Heat and Power, Industrial Power"/>
    <x v="8"/>
    <n v="61780"/>
  </r>
  <r>
    <x v="1"/>
    <x v="21"/>
    <s v="Combined Heat and Power, Industrial Power"/>
    <x v="4"/>
    <n v="875356"/>
  </r>
  <r>
    <x v="1"/>
    <x v="21"/>
    <s v="Combined Heat and Power, Industrial Power"/>
    <x v="6"/>
    <n v="2432574"/>
  </r>
  <r>
    <x v="1"/>
    <x v="21"/>
    <s v="Combined Heat and Power, Electric Power"/>
    <x v="0"/>
    <n v="750982"/>
  </r>
  <r>
    <x v="1"/>
    <x v="21"/>
    <s v="Combined Heat and Power, Electric Power"/>
    <x v="1"/>
    <n v="473856"/>
  </r>
  <r>
    <x v="1"/>
    <x v="21"/>
    <s v="Combined Heat and Power, Electric Power"/>
    <x v="4"/>
    <n v="3633"/>
  </r>
  <r>
    <x v="1"/>
    <x v="21"/>
    <s v="Combined Heat and Power, Electric Power"/>
    <x v="6"/>
    <n v="273493"/>
  </r>
  <r>
    <x v="1"/>
    <x v="21"/>
    <s v="Combined Heat and Power, Commercial Power"/>
    <x v="0"/>
    <n v="169308"/>
  </r>
  <r>
    <x v="1"/>
    <x v="21"/>
    <s v="Combined Heat and Power, Commercial Power"/>
    <x v="1"/>
    <n v="0"/>
  </r>
  <r>
    <x v="1"/>
    <x v="21"/>
    <s v="Combined Heat and Power, Commercial Power"/>
    <x v="8"/>
    <n v="107199"/>
  </r>
  <r>
    <x v="1"/>
    <x v="21"/>
    <s v="Combined Heat and Power, Commercial Power"/>
    <x v="4"/>
    <n v="2815"/>
  </r>
  <r>
    <x v="1"/>
    <x v="21"/>
    <s v="Combined Heat and Power, Commercial Power"/>
    <x v="6"/>
    <n v="59294"/>
  </r>
  <r>
    <x v="1"/>
    <x v="22"/>
    <s v="Total Electric Power Industry"/>
    <x v="0"/>
    <n v="105978124"/>
  </r>
  <r>
    <x v="1"/>
    <x v="22"/>
    <s v="Total Electric Power Industry"/>
    <x v="1"/>
    <n v="66878223"/>
  </r>
  <r>
    <x v="1"/>
    <x v="22"/>
    <s v="Total Electric Power Industry"/>
    <x v="2"/>
    <n v="1751668"/>
  </r>
  <r>
    <x v="1"/>
    <x v="22"/>
    <s v="Total Electric Power Industry"/>
    <x v="3"/>
    <n v="8499078"/>
  </r>
  <r>
    <x v="1"/>
    <x v="22"/>
    <s v="Total Electric Power Industry"/>
    <x v="7"/>
    <n v="27021214"/>
  </r>
  <r>
    <x v="1"/>
    <x v="22"/>
    <s v="Total Electric Power Industry"/>
    <x v="12"/>
    <n v="28221"/>
  </r>
  <r>
    <x v="1"/>
    <x v="22"/>
    <s v="Total Electric Power Industry"/>
    <x v="8"/>
    <n v="504978"/>
  </r>
  <r>
    <x v="1"/>
    <x v="22"/>
    <s v="Total Electric Power Industry"/>
    <x v="9"/>
    <n v="217829"/>
  </r>
  <r>
    <x v="1"/>
    <x v="22"/>
    <s v="Total Electric Power Industry"/>
    <x v="4"/>
    <n v="658567"/>
  </r>
  <r>
    <x v="1"/>
    <x v="22"/>
    <s v="Total Electric Power Industry"/>
    <x v="10"/>
    <n v="-795785"/>
  </r>
  <r>
    <x v="1"/>
    <x v="22"/>
    <s v="Total Electric Power Industry"/>
    <x v="6"/>
    <n v="1214131"/>
  </r>
  <r>
    <x v="1"/>
    <x v="22"/>
    <s v="Electric Generators, Independent Power Producers"/>
    <x v="0"/>
    <n v="693687"/>
  </r>
  <r>
    <x v="1"/>
    <x v="22"/>
    <s v="Electric Generators, Independent Power Producers"/>
    <x v="2"/>
    <n v="76816"/>
  </r>
  <r>
    <x v="1"/>
    <x v="22"/>
    <s v="Electric Generators, Independent Power Producers"/>
    <x v="3"/>
    <n v="3720"/>
  </r>
  <r>
    <x v="1"/>
    <x v="22"/>
    <s v="Electric Generators, Independent Power Producers"/>
    <x v="8"/>
    <n v="174428"/>
  </r>
  <r>
    <x v="1"/>
    <x v="22"/>
    <s v="Electric Generators, Independent Power Producers"/>
    <x v="4"/>
    <n v="152"/>
  </r>
  <r>
    <x v="1"/>
    <x v="22"/>
    <s v="Electric Generators, Independent Power Producers"/>
    <x v="6"/>
    <n v="438571"/>
  </r>
  <r>
    <x v="1"/>
    <x v="22"/>
    <s v="Electric Generators, Electric Utilities"/>
    <x v="0"/>
    <n v="94567383"/>
  </r>
  <r>
    <x v="1"/>
    <x v="22"/>
    <s v="Electric Generators, Electric Utilities"/>
    <x v="1"/>
    <n v="65138291"/>
  </r>
  <r>
    <x v="1"/>
    <x v="22"/>
    <s v="Electric Generators, Electric Utilities"/>
    <x v="2"/>
    <n v="1651742"/>
  </r>
  <r>
    <x v="1"/>
    <x v="22"/>
    <s v="Electric Generators, Electric Utilities"/>
    <x v="3"/>
    <n v="998058"/>
  </r>
  <r>
    <x v="1"/>
    <x v="22"/>
    <s v="Electric Generators, Electric Utilities"/>
    <x v="7"/>
    <n v="27021214"/>
  </r>
  <r>
    <x v="1"/>
    <x v="22"/>
    <s v="Electric Generators, Electric Utilities"/>
    <x v="4"/>
    <n v="553863"/>
  </r>
  <r>
    <x v="1"/>
    <x v="22"/>
    <s v="Electric Generators, Electric Utilities"/>
    <x v="10"/>
    <n v="-795785"/>
  </r>
  <r>
    <x v="1"/>
    <x v="22"/>
    <s v="Combined Heat and Power, Industrial Power"/>
    <x v="0"/>
    <n v="3436531"/>
  </r>
  <r>
    <x v="1"/>
    <x v="22"/>
    <s v="Combined Heat and Power, Industrial Power"/>
    <x v="1"/>
    <n v="1148818"/>
  </r>
  <r>
    <x v="1"/>
    <x v="22"/>
    <s v="Combined Heat and Power, Industrial Power"/>
    <x v="2"/>
    <n v="23110"/>
  </r>
  <r>
    <x v="1"/>
    <x v="22"/>
    <s v="Combined Heat and Power, Industrial Power"/>
    <x v="3"/>
    <n v="1171259"/>
  </r>
  <r>
    <x v="1"/>
    <x v="22"/>
    <s v="Combined Heat and Power, Industrial Power"/>
    <x v="12"/>
    <n v="27606"/>
  </r>
  <r>
    <x v="1"/>
    <x v="22"/>
    <s v="Combined Heat and Power, Industrial Power"/>
    <x v="8"/>
    <n v="866"/>
  </r>
  <r>
    <x v="1"/>
    <x v="22"/>
    <s v="Combined Heat and Power, Industrial Power"/>
    <x v="9"/>
    <n v="217824"/>
  </r>
  <r>
    <x v="1"/>
    <x v="22"/>
    <s v="Combined Heat and Power, Industrial Power"/>
    <x v="4"/>
    <n v="102286"/>
  </r>
  <r>
    <x v="1"/>
    <x v="22"/>
    <s v="Combined Heat and Power, Industrial Power"/>
    <x v="6"/>
    <n v="744762"/>
  </r>
  <r>
    <x v="1"/>
    <x v="22"/>
    <s v="Combined Heat and Power, Electric Power"/>
    <x v="0"/>
    <n v="6702210"/>
  </r>
  <r>
    <x v="1"/>
    <x v="22"/>
    <s v="Combined Heat and Power, Electric Power"/>
    <x v="1"/>
    <n v="389096"/>
  </r>
  <r>
    <x v="1"/>
    <x v="22"/>
    <s v="Combined Heat and Power, Electric Power"/>
    <x v="3"/>
    <n v="6282097"/>
  </r>
  <r>
    <x v="1"/>
    <x v="22"/>
    <s v="Combined Heat and Power, Electric Power"/>
    <x v="9"/>
    <n v="5"/>
  </r>
  <r>
    <x v="1"/>
    <x v="22"/>
    <s v="Combined Heat and Power, Electric Power"/>
    <x v="4"/>
    <n v="214"/>
  </r>
  <r>
    <x v="1"/>
    <x v="22"/>
    <s v="Combined Heat and Power, Electric Power"/>
    <x v="6"/>
    <n v="30798"/>
  </r>
  <r>
    <x v="1"/>
    <x v="22"/>
    <s v="Combined Heat and Power, Commercial Power"/>
    <x v="0"/>
    <n v="578313"/>
  </r>
  <r>
    <x v="1"/>
    <x v="22"/>
    <s v="Combined Heat and Power, Commercial Power"/>
    <x v="1"/>
    <n v="202018"/>
  </r>
  <r>
    <x v="1"/>
    <x v="22"/>
    <s v="Combined Heat and Power, Commercial Power"/>
    <x v="3"/>
    <n v="43944"/>
  </r>
  <r>
    <x v="1"/>
    <x v="22"/>
    <s v="Combined Heat and Power, Commercial Power"/>
    <x v="12"/>
    <n v="615"/>
  </r>
  <r>
    <x v="1"/>
    <x v="22"/>
    <s v="Combined Heat and Power, Commercial Power"/>
    <x v="8"/>
    <n v="329684"/>
  </r>
  <r>
    <x v="1"/>
    <x v="22"/>
    <s v="Combined Heat and Power, Commercial Power"/>
    <x v="4"/>
    <n v="2052"/>
  </r>
  <r>
    <x v="1"/>
    <x v="23"/>
    <s v="Total Electric Power Industry"/>
    <x v="0"/>
    <n v="42132110"/>
  </r>
  <r>
    <x v="1"/>
    <x v="23"/>
    <s v="Total Electric Power Industry"/>
    <x v="1"/>
    <n v="26783813"/>
  </r>
  <r>
    <x v="1"/>
    <x v="23"/>
    <s v="Total Electric Power Industry"/>
    <x v="2"/>
    <n v="1037092"/>
  </r>
  <r>
    <x v="1"/>
    <x v="23"/>
    <s v="Total Electric Power Industry"/>
    <x v="3"/>
    <n v="803940"/>
  </r>
  <r>
    <x v="1"/>
    <x v="23"/>
    <s v="Total Electric Power Industry"/>
    <x v="7"/>
    <n v="12059055"/>
  </r>
  <r>
    <x v="1"/>
    <x v="23"/>
    <s v="Total Electric Power Industry"/>
    <x v="8"/>
    <n v="439811"/>
  </r>
  <r>
    <x v="1"/>
    <x v="23"/>
    <s v="Total Electric Power Industry"/>
    <x v="4"/>
    <n v="583697"/>
  </r>
  <r>
    <x v="1"/>
    <x v="23"/>
    <s v="Total Electric Power Industry"/>
    <x v="5"/>
    <n v="237"/>
  </r>
  <r>
    <x v="1"/>
    <x v="23"/>
    <s v="Total Electric Power Industry"/>
    <x v="6"/>
    <n v="424465"/>
  </r>
  <r>
    <x v="1"/>
    <x v="23"/>
    <s v="Electric Generators, Independent Power Producers"/>
    <x v="0"/>
    <n v="174474"/>
  </r>
  <r>
    <x v="1"/>
    <x v="23"/>
    <s v="Electric Generators, Independent Power Producers"/>
    <x v="2"/>
    <n v="35664"/>
  </r>
  <r>
    <x v="1"/>
    <x v="23"/>
    <s v="Electric Generators, Independent Power Producers"/>
    <x v="8"/>
    <n v="138810"/>
  </r>
  <r>
    <x v="1"/>
    <x v="23"/>
    <s v="Electric Generators, Electric Utilities"/>
    <x v="0"/>
    <n v="40427575"/>
  </r>
  <r>
    <x v="1"/>
    <x v="23"/>
    <s v="Electric Generators, Electric Utilities"/>
    <x v="1"/>
    <n v="26186299"/>
  </r>
  <r>
    <x v="1"/>
    <x v="23"/>
    <s v="Electric Generators, Electric Utilities"/>
    <x v="2"/>
    <n v="777563"/>
  </r>
  <r>
    <x v="1"/>
    <x v="23"/>
    <s v="Electric Generators, Electric Utilities"/>
    <x v="3"/>
    <n v="426122"/>
  </r>
  <r>
    <x v="1"/>
    <x v="23"/>
    <s v="Electric Generators, Electric Utilities"/>
    <x v="7"/>
    <n v="12059055"/>
  </r>
  <r>
    <x v="1"/>
    <x v="23"/>
    <s v="Electric Generators, Electric Utilities"/>
    <x v="8"/>
    <n v="260979"/>
  </r>
  <r>
    <x v="1"/>
    <x v="23"/>
    <s v="Electric Generators, Electric Utilities"/>
    <x v="4"/>
    <n v="575916"/>
  </r>
  <r>
    <x v="1"/>
    <x v="23"/>
    <s v="Electric Generators, Electric Utilities"/>
    <x v="5"/>
    <n v="237"/>
  </r>
  <r>
    <x v="1"/>
    <x v="23"/>
    <s v="Electric Generators, Electric Utilities"/>
    <x v="6"/>
    <n v="141404"/>
  </r>
  <r>
    <x v="1"/>
    <x v="23"/>
    <s v="Combined Heat and Power, Industrial Power"/>
    <x v="0"/>
    <n v="1434103"/>
  </r>
  <r>
    <x v="1"/>
    <x v="23"/>
    <s v="Combined Heat and Power, Industrial Power"/>
    <x v="1"/>
    <n v="597514"/>
  </r>
  <r>
    <x v="1"/>
    <x v="23"/>
    <s v="Combined Heat and Power, Industrial Power"/>
    <x v="2"/>
    <n v="223865"/>
  </r>
  <r>
    <x v="1"/>
    <x v="23"/>
    <s v="Combined Heat and Power, Industrial Power"/>
    <x v="3"/>
    <n v="306625"/>
  </r>
  <r>
    <x v="1"/>
    <x v="23"/>
    <s v="Combined Heat and Power, Industrial Power"/>
    <x v="8"/>
    <n v="20071"/>
  </r>
  <r>
    <x v="1"/>
    <x v="23"/>
    <s v="Combined Heat and Power, Industrial Power"/>
    <x v="4"/>
    <n v="2967"/>
  </r>
  <r>
    <x v="1"/>
    <x v="23"/>
    <s v="Combined Heat and Power, Industrial Power"/>
    <x v="6"/>
    <n v="283061"/>
  </r>
  <r>
    <x v="1"/>
    <x v="23"/>
    <s v="Combined Heat and Power, Commercial Power"/>
    <x v="0"/>
    <n v="95958"/>
  </r>
  <r>
    <x v="1"/>
    <x v="23"/>
    <s v="Combined Heat and Power, Commercial Power"/>
    <x v="3"/>
    <n v="71193"/>
  </r>
  <r>
    <x v="1"/>
    <x v="23"/>
    <s v="Combined Heat and Power, Commercial Power"/>
    <x v="8"/>
    <n v="19951"/>
  </r>
  <r>
    <x v="1"/>
    <x v="23"/>
    <s v="Combined Heat and Power, Commercial Power"/>
    <x v="4"/>
    <n v="4814"/>
  </r>
  <r>
    <x v="1"/>
    <x v="24"/>
    <s v="Total Electric Power Industry"/>
    <x v="0"/>
    <n v="60474726"/>
  </r>
  <r>
    <x v="1"/>
    <x v="24"/>
    <s v="Total Electric Power Industry"/>
    <x v="1"/>
    <n v="48211692"/>
  </r>
  <r>
    <x v="1"/>
    <x v="24"/>
    <s v="Total Electric Power Industry"/>
    <x v="2"/>
    <n v="1119389"/>
  </r>
  <r>
    <x v="1"/>
    <x v="24"/>
    <s v="Total Electric Power Industry"/>
    <x v="3"/>
    <n v="1093001"/>
  </r>
  <r>
    <x v="1"/>
    <x v="24"/>
    <s v="Total Electric Power Industry"/>
    <x v="7"/>
    <n v="9979371"/>
  </r>
  <r>
    <x v="1"/>
    <x v="24"/>
    <s v="Total Electric Power Industry"/>
    <x v="4"/>
    <n v="119145"/>
  </r>
  <r>
    <x v="1"/>
    <x v="24"/>
    <s v="Total Electric Power Industry"/>
    <x v="10"/>
    <n v="-47872"/>
  </r>
  <r>
    <x v="1"/>
    <x v="24"/>
    <s v="Electric Generators, Electric Utilities"/>
    <x v="0"/>
    <n v="60120689"/>
  </r>
  <r>
    <x v="1"/>
    <x v="24"/>
    <s v="Electric Generators, Electric Utilities"/>
    <x v="1"/>
    <n v="47907503"/>
  </r>
  <r>
    <x v="1"/>
    <x v="24"/>
    <s v="Electric Generators, Electric Utilities"/>
    <x v="2"/>
    <n v="1119389"/>
  </r>
  <r>
    <x v="1"/>
    <x v="24"/>
    <s v="Electric Generators, Electric Utilities"/>
    <x v="3"/>
    <n v="1043653"/>
  </r>
  <r>
    <x v="1"/>
    <x v="24"/>
    <s v="Electric Generators, Electric Utilities"/>
    <x v="7"/>
    <n v="9979371"/>
  </r>
  <r>
    <x v="1"/>
    <x v="24"/>
    <s v="Electric Generators, Electric Utilities"/>
    <x v="4"/>
    <n v="118645"/>
  </r>
  <r>
    <x v="1"/>
    <x v="24"/>
    <s v="Electric Generators, Electric Utilities"/>
    <x v="10"/>
    <n v="-47872"/>
  </r>
  <r>
    <x v="1"/>
    <x v="24"/>
    <s v="Combined Heat and Power, Industrial Power"/>
    <x v="0"/>
    <n v="209344"/>
  </r>
  <r>
    <x v="1"/>
    <x v="24"/>
    <s v="Combined Heat and Power, Industrial Power"/>
    <x v="1"/>
    <n v="160628"/>
  </r>
  <r>
    <x v="1"/>
    <x v="24"/>
    <s v="Combined Heat and Power, Industrial Power"/>
    <x v="3"/>
    <n v="48372"/>
  </r>
  <r>
    <x v="1"/>
    <x v="24"/>
    <s v="Combined Heat and Power, Industrial Power"/>
    <x v="4"/>
    <n v="344"/>
  </r>
  <r>
    <x v="1"/>
    <x v="24"/>
    <s v="Combined Heat and Power, Commercial Power"/>
    <x v="0"/>
    <n v="144693"/>
  </r>
  <r>
    <x v="1"/>
    <x v="24"/>
    <s v="Combined Heat and Power, Commercial Power"/>
    <x v="1"/>
    <n v="143561"/>
  </r>
  <r>
    <x v="1"/>
    <x v="24"/>
    <s v="Combined Heat and Power, Commercial Power"/>
    <x v="3"/>
    <n v="976"/>
  </r>
  <r>
    <x v="1"/>
    <x v="24"/>
    <s v="Combined Heat and Power, Commercial Power"/>
    <x v="4"/>
    <n v="156"/>
  </r>
  <r>
    <x v="1"/>
    <x v="25"/>
    <s v="Total Electric Power Industry"/>
    <x v="0"/>
    <n v="25876616"/>
  </r>
  <r>
    <x v="1"/>
    <x v="25"/>
    <s v="Total Electric Power Industry"/>
    <x v="1"/>
    <n v="8790265"/>
  </r>
  <r>
    <x v="1"/>
    <x v="25"/>
    <s v="Total Electric Power Industry"/>
    <x v="3"/>
    <n v="5718936"/>
  </r>
  <r>
    <x v="1"/>
    <x v="25"/>
    <s v="Total Electric Power Industry"/>
    <x v="7"/>
    <n v="9132933"/>
  </r>
  <r>
    <x v="1"/>
    <x v="25"/>
    <s v="Total Electric Power Industry"/>
    <x v="4"/>
    <n v="396188"/>
  </r>
  <r>
    <x v="1"/>
    <x v="25"/>
    <s v="Total Electric Power Industry"/>
    <x v="6"/>
    <n v="1838294"/>
  </r>
  <r>
    <x v="1"/>
    <x v="25"/>
    <s v="Electric Generators, Electric Utilities"/>
    <x v="0"/>
    <n v="23305127"/>
  </r>
  <r>
    <x v="1"/>
    <x v="25"/>
    <s v="Electric Generators, Electric Utilities"/>
    <x v="1"/>
    <n v="8750253"/>
  </r>
  <r>
    <x v="1"/>
    <x v="25"/>
    <s v="Electric Generators, Electric Utilities"/>
    <x v="3"/>
    <n v="5051811"/>
  </r>
  <r>
    <x v="1"/>
    <x v="25"/>
    <s v="Electric Generators, Electric Utilities"/>
    <x v="7"/>
    <n v="9132933"/>
  </r>
  <r>
    <x v="1"/>
    <x v="25"/>
    <s v="Electric Generators, Electric Utilities"/>
    <x v="4"/>
    <n v="370130"/>
  </r>
  <r>
    <x v="1"/>
    <x v="25"/>
    <s v="Combined Heat and Power, Industrial Power"/>
    <x v="0"/>
    <n v="2571489"/>
  </r>
  <r>
    <x v="1"/>
    <x v="25"/>
    <s v="Combined Heat and Power, Industrial Power"/>
    <x v="1"/>
    <n v="40012"/>
  </r>
  <r>
    <x v="1"/>
    <x v="25"/>
    <s v="Combined Heat and Power, Industrial Power"/>
    <x v="3"/>
    <n v="667125"/>
  </r>
  <r>
    <x v="1"/>
    <x v="25"/>
    <s v="Combined Heat and Power, Industrial Power"/>
    <x v="4"/>
    <n v="26058"/>
  </r>
  <r>
    <x v="1"/>
    <x v="25"/>
    <s v="Combined Heat and Power, Industrial Power"/>
    <x v="6"/>
    <n v="1838294"/>
  </r>
  <r>
    <x v="1"/>
    <x v="26"/>
    <s v="Total Electric Power Industry"/>
    <x v="0"/>
    <n v="28553148"/>
  </r>
  <r>
    <x v="1"/>
    <x v="26"/>
    <s v="Total Electric Power Industry"/>
    <x v="1"/>
    <n v="16432520"/>
  </r>
  <r>
    <x v="1"/>
    <x v="26"/>
    <s v="Total Electric Power Industry"/>
    <x v="2"/>
    <n v="11970007"/>
  </r>
  <r>
    <x v="1"/>
    <x v="26"/>
    <s v="Total Electric Power Industry"/>
    <x v="3"/>
    <n v="32344"/>
  </r>
  <r>
    <x v="1"/>
    <x v="26"/>
    <s v="Total Electric Power Industry"/>
    <x v="4"/>
    <n v="19654"/>
  </r>
  <r>
    <x v="1"/>
    <x v="26"/>
    <s v="Total Electric Power Industry"/>
    <x v="5"/>
    <n v="0"/>
  </r>
  <r>
    <x v="1"/>
    <x v="26"/>
    <s v="Total Electric Power Industry"/>
    <x v="6"/>
    <n v="98623"/>
  </r>
  <r>
    <x v="1"/>
    <x v="26"/>
    <s v="Electric Generators, Independent Power Producers"/>
    <x v="0"/>
    <n v="351137"/>
  </r>
  <r>
    <x v="1"/>
    <x v="26"/>
    <s v="Electric Generators, Independent Power Producers"/>
    <x v="1"/>
    <n v="300565"/>
  </r>
  <r>
    <x v="1"/>
    <x v="26"/>
    <s v="Electric Generators, Independent Power Producers"/>
    <x v="2"/>
    <n v="48938"/>
  </r>
  <r>
    <x v="1"/>
    <x v="26"/>
    <s v="Electric Generators, Independent Power Producers"/>
    <x v="4"/>
    <n v="1634"/>
  </r>
  <r>
    <x v="1"/>
    <x v="26"/>
    <s v="Electric Generators, Electric Utilities"/>
    <x v="0"/>
    <n v="28157328"/>
  </r>
  <r>
    <x v="1"/>
    <x v="26"/>
    <s v="Electric Generators, Electric Utilities"/>
    <x v="1"/>
    <n v="16131955"/>
  </r>
  <r>
    <x v="1"/>
    <x v="26"/>
    <s v="Electric Generators, Electric Utilities"/>
    <x v="2"/>
    <n v="11921069"/>
  </r>
  <r>
    <x v="1"/>
    <x v="26"/>
    <s v="Electric Generators, Electric Utilities"/>
    <x v="3"/>
    <n v="24370"/>
  </r>
  <r>
    <x v="1"/>
    <x v="26"/>
    <s v="Electric Generators, Electric Utilities"/>
    <x v="4"/>
    <n v="17598"/>
  </r>
  <r>
    <x v="1"/>
    <x v="26"/>
    <s v="Electric Generators, Electric Utilities"/>
    <x v="5"/>
    <n v="0"/>
  </r>
  <r>
    <x v="1"/>
    <x v="26"/>
    <s v="Electric Generators, Electric Utilities"/>
    <x v="6"/>
    <n v="62336"/>
  </r>
  <r>
    <x v="1"/>
    <x v="26"/>
    <s v="Combined Heat and Power, Industrial Power"/>
    <x v="0"/>
    <n v="44683"/>
  </r>
  <r>
    <x v="1"/>
    <x v="26"/>
    <s v="Combined Heat and Power, Industrial Power"/>
    <x v="3"/>
    <n v="7974"/>
  </r>
  <r>
    <x v="1"/>
    <x v="26"/>
    <s v="Combined Heat and Power, Industrial Power"/>
    <x v="4"/>
    <n v="422"/>
  </r>
  <r>
    <x v="1"/>
    <x v="26"/>
    <s v="Combined Heat and Power, Industrial Power"/>
    <x v="6"/>
    <n v="36287"/>
  </r>
  <r>
    <x v="1"/>
    <x v="27"/>
    <s v="Total Electric Power Industry"/>
    <x v="0"/>
    <n v="89375284"/>
  </r>
  <r>
    <x v="1"/>
    <x v="27"/>
    <s v="Total Electric Power Industry"/>
    <x v="1"/>
    <n v="50767188"/>
  </r>
  <r>
    <x v="1"/>
    <x v="27"/>
    <s v="Total Electric Power Industry"/>
    <x v="2"/>
    <n v="5850120"/>
  </r>
  <r>
    <x v="1"/>
    <x v="27"/>
    <s v="Total Electric Power Industry"/>
    <x v="3"/>
    <n v="385907"/>
  </r>
  <r>
    <x v="1"/>
    <x v="27"/>
    <s v="Total Electric Power Industry"/>
    <x v="7"/>
    <n v="30312425"/>
  </r>
  <r>
    <x v="1"/>
    <x v="27"/>
    <s v="Total Electric Power Industry"/>
    <x v="12"/>
    <n v="226926"/>
  </r>
  <r>
    <x v="1"/>
    <x v="27"/>
    <s v="Total Electric Power Industry"/>
    <x v="8"/>
    <n v="44128"/>
  </r>
  <r>
    <x v="1"/>
    <x v="27"/>
    <s v="Total Electric Power Industry"/>
    <x v="4"/>
    <n v="275785"/>
  </r>
  <r>
    <x v="1"/>
    <x v="27"/>
    <s v="Total Electric Power Industry"/>
    <x v="10"/>
    <n v="216432"/>
  </r>
  <r>
    <x v="1"/>
    <x v="27"/>
    <s v="Total Electric Power Industry"/>
    <x v="6"/>
    <n v="1296373"/>
  </r>
  <r>
    <x v="1"/>
    <x v="27"/>
    <s v="Electric Generators, Independent Power Producers"/>
    <x v="0"/>
    <n v="430570"/>
  </r>
  <r>
    <x v="1"/>
    <x v="27"/>
    <s v="Electric Generators, Independent Power Producers"/>
    <x v="2"/>
    <n v="15769"/>
  </r>
  <r>
    <x v="1"/>
    <x v="27"/>
    <s v="Electric Generators, Independent Power Producers"/>
    <x v="3"/>
    <n v="1293"/>
  </r>
  <r>
    <x v="1"/>
    <x v="27"/>
    <s v="Electric Generators, Independent Power Producers"/>
    <x v="8"/>
    <n v="39969"/>
  </r>
  <r>
    <x v="1"/>
    <x v="27"/>
    <s v="Electric Generators, Independent Power Producers"/>
    <x v="6"/>
    <n v="373539"/>
  </r>
  <r>
    <x v="1"/>
    <x v="27"/>
    <s v="Electric Generators, Electric Utilities"/>
    <x v="0"/>
    <n v="83520063"/>
  </r>
  <r>
    <x v="1"/>
    <x v="27"/>
    <s v="Electric Generators, Electric Utilities"/>
    <x v="1"/>
    <n v="46762330"/>
  </r>
  <r>
    <x v="1"/>
    <x v="27"/>
    <s v="Electric Generators, Electric Utilities"/>
    <x v="2"/>
    <n v="5807244"/>
  </r>
  <r>
    <x v="1"/>
    <x v="27"/>
    <s v="Electric Generators, Electric Utilities"/>
    <x v="3"/>
    <n v="247496"/>
  </r>
  <r>
    <x v="1"/>
    <x v="27"/>
    <s v="Electric Generators, Electric Utilities"/>
    <x v="7"/>
    <n v="30312425"/>
  </r>
  <r>
    <x v="1"/>
    <x v="27"/>
    <s v="Electric Generators, Electric Utilities"/>
    <x v="4"/>
    <n v="174136"/>
  </r>
  <r>
    <x v="1"/>
    <x v="27"/>
    <s v="Electric Generators, Electric Utilities"/>
    <x v="10"/>
    <n v="216432"/>
  </r>
  <r>
    <x v="1"/>
    <x v="27"/>
    <s v="Combined Heat and Power, Industrial Power"/>
    <x v="0"/>
    <n v="1890240"/>
  </r>
  <r>
    <x v="1"/>
    <x v="27"/>
    <s v="Combined Heat and Power, Industrial Power"/>
    <x v="1"/>
    <n v="635282"/>
  </r>
  <r>
    <x v="1"/>
    <x v="27"/>
    <s v="Combined Heat and Power, Industrial Power"/>
    <x v="2"/>
    <n v="2642"/>
  </r>
  <r>
    <x v="1"/>
    <x v="27"/>
    <s v="Combined Heat and Power, Industrial Power"/>
    <x v="3"/>
    <n v="14137"/>
  </r>
  <r>
    <x v="1"/>
    <x v="27"/>
    <s v="Combined Heat and Power, Industrial Power"/>
    <x v="12"/>
    <n v="226926"/>
  </r>
  <r>
    <x v="1"/>
    <x v="27"/>
    <s v="Combined Heat and Power, Industrial Power"/>
    <x v="8"/>
    <n v="4159"/>
  </r>
  <r>
    <x v="1"/>
    <x v="27"/>
    <s v="Combined Heat and Power, Industrial Power"/>
    <x v="4"/>
    <n v="84260"/>
  </r>
  <r>
    <x v="1"/>
    <x v="27"/>
    <s v="Combined Heat and Power, Industrial Power"/>
    <x v="6"/>
    <n v="922834"/>
  </r>
  <r>
    <x v="1"/>
    <x v="27"/>
    <s v="Combined Heat and Power, Electric Power"/>
    <x v="0"/>
    <n v="3469806"/>
  </r>
  <r>
    <x v="1"/>
    <x v="27"/>
    <s v="Combined Heat and Power, Electric Power"/>
    <x v="1"/>
    <n v="3339352"/>
  </r>
  <r>
    <x v="1"/>
    <x v="27"/>
    <s v="Combined Heat and Power, Electric Power"/>
    <x v="3"/>
    <n v="113343"/>
  </r>
  <r>
    <x v="1"/>
    <x v="27"/>
    <s v="Combined Heat and Power, Electric Power"/>
    <x v="4"/>
    <n v="17111"/>
  </r>
  <r>
    <x v="1"/>
    <x v="27"/>
    <s v="Combined Heat and Power, Commercial Power"/>
    <x v="0"/>
    <n v="64605"/>
  </r>
  <r>
    <x v="1"/>
    <x v="27"/>
    <s v="Combined Heat and Power, Commercial Power"/>
    <x v="1"/>
    <n v="30224"/>
  </r>
  <r>
    <x v="1"/>
    <x v="27"/>
    <s v="Combined Heat and Power, Commercial Power"/>
    <x v="2"/>
    <n v="24465"/>
  </r>
  <r>
    <x v="1"/>
    <x v="27"/>
    <s v="Combined Heat and Power, Commercial Power"/>
    <x v="3"/>
    <n v="9638"/>
  </r>
  <r>
    <x v="1"/>
    <x v="27"/>
    <s v="Combined Heat and Power, Commercial Power"/>
    <x v="4"/>
    <n v="278"/>
  </r>
  <r>
    <x v="1"/>
    <x v="28"/>
    <s v="Total Electric Power Industry"/>
    <x v="0"/>
    <n v="27679148"/>
  </r>
  <r>
    <x v="1"/>
    <x v="28"/>
    <s v="Total Electric Power Industry"/>
    <x v="1"/>
    <n v="25828747"/>
  </r>
  <r>
    <x v="1"/>
    <x v="28"/>
    <s v="Total Electric Power Industry"/>
    <x v="2"/>
    <n v="1756684"/>
  </r>
  <r>
    <x v="1"/>
    <x v="28"/>
    <s v="Total Electric Power Industry"/>
    <x v="3"/>
    <n v="940"/>
  </r>
  <r>
    <x v="1"/>
    <x v="28"/>
    <s v="Total Electric Power Industry"/>
    <x v="9"/>
    <n v="40131"/>
  </r>
  <r>
    <x v="1"/>
    <x v="28"/>
    <s v="Total Electric Power Industry"/>
    <x v="4"/>
    <n v="52646"/>
  </r>
  <r>
    <x v="1"/>
    <x v="28"/>
    <s v="Electric Generators, Electric Utilities"/>
    <x v="0"/>
    <n v="27535034"/>
  </r>
  <r>
    <x v="1"/>
    <x v="28"/>
    <s v="Electric Generators, Electric Utilities"/>
    <x v="1"/>
    <n v="25750792"/>
  </r>
  <r>
    <x v="1"/>
    <x v="28"/>
    <s v="Electric Generators, Electric Utilities"/>
    <x v="2"/>
    <n v="1756684"/>
  </r>
  <r>
    <x v="1"/>
    <x v="28"/>
    <s v="Electric Generators, Electric Utilities"/>
    <x v="3"/>
    <n v="-78"/>
  </r>
  <r>
    <x v="1"/>
    <x v="28"/>
    <s v="Electric Generators, Electric Utilities"/>
    <x v="4"/>
    <n v="27636"/>
  </r>
  <r>
    <x v="1"/>
    <x v="28"/>
    <s v="Combined Heat and Power, Industrial Power"/>
    <x v="0"/>
    <n v="144114"/>
  </r>
  <r>
    <x v="1"/>
    <x v="28"/>
    <s v="Combined Heat and Power, Industrial Power"/>
    <x v="1"/>
    <n v="77955"/>
  </r>
  <r>
    <x v="1"/>
    <x v="28"/>
    <s v="Combined Heat and Power, Industrial Power"/>
    <x v="3"/>
    <n v="1018"/>
  </r>
  <r>
    <x v="1"/>
    <x v="28"/>
    <s v="Combined Heat and Power, Industrial Power"/>
    <x v="9"/>
    <n v="40131"/>
  </r>
  <r>
    <x v="1"/>
    <x v="28"/>
    <s v="Combined Heat and Power, Industrial Power"/>
    <x v="4"/>
    <n v="25010"/>
  </r>
  <r>
    <x v="1"/>
    <x v="29"/>
    <s v="Total Electric Power Industry"/>
    <x v="0"/>
    <n v="23000347"/>
  </r>
  <r>
    <x v="1"/>
    <x v="29"/>
    <s v="Total Electric Power Industry"/>
    <x v="1"/>
    <n v="13591228"/>
  </r>
  <r>
    <x v="1"/>
    <x v="29"/>
    <s v="Total Electric Power Industry"/>
    <x v="2"/>
    <n v="1044671"/>
  </r>
  <r>
    <x v="1"/>
    <x v="29"/>
    <s v="Total Electric Power Industry"/>
    <x v="3"/>
    <n v="303327"/>
  </r>
  <r>
    <x v="1"/>
    <x v="29"/>
    <s v="Total Electric Power Industry"/>
    <x v="7"/>
    <n v="8047662"/>
  </r>
  <r>
    <x v="1"/>
    <x v="29"/>
    <s v="Total Electric Power Industry"/>
    <x v="4"/>
    <n v="13459"/>
  </r>
  <r>
    <x v="1"/>
    <x v="29"/>
    <s v="Electric Generators, Electric Utilities"/>
    <x v="0"/>
    <n v="22971934"/>
  </r>
  <r>
    <x v="1"/>
    <x v="29"/>
    <s v="Electric Generators, Electric Utilities"/>
    <x v="1"/>
    <n v="13562815"/>
  </r>
  <r>
    <x v="1"/>
    <x v="29"/>
    <s v="Electric Generators, Electric Utilities"/>
    <x v="2"/>
    <n v="1044671"/>
  </r>
  <r>
    <x v="1"/>
    <x v="29"/>
    <s v="Electric Generators, Electric Utilities"/>
    <x v="3"/>
    <n v="303327"/>
  </r>
  <r>
    <x v="1"/>
    <x v="29"/>
    <s v="Electric Generators, Electric Utilities"/>
    <x v="7"/>
    <n v="8047662"/>
  </r>
  <r>
    <x v="1"/>
    <x v="29"/>
    <s v="Electric Generators, Electric Utilities"/>
    <x v="4"/>
    <n v="13459"/>
  </r>
  <r>
    <x v="1"/>
    <x v="29"/>
    <s v="Combined Heat and Power, Industrial Power"/>
    <x v="0"/>
    <n v="28413"/>
  </r>
  <r>
    <x v="1"/>
    <x v="29"/>
    <s v="Combined Heat and Power, Industrial Power"/>
    <x v="1"/>
    <n v="28413"/>
  </r>
  <r>
    <x v="1"/>
    <x v="30"/>
    <s v="Total Electric Power Industry"/>
    <x v="0"/>
    <n v="14221341"/>
  </r>
  <r>
    <x v="1"/>
    <x v="30"/>
    <s v="Total Electric Power Industry"/>
    <x v="1"/>
    <n v="3168054"/>
  </r>
  <r>
    <x v="1"/>
    <x v="30"/>
    <s v="Total Electric Power Industry"/>
    <x v="2"/>
    <n v="1585286"/>
  </r>
  <r>
    <x v="1"/>
    <x v="30"/>
    <s v="Total Electric Power Industry"/>
    <x v="3"/>
    <n v="-1"/>
  </r>
  <r>
    <x v="1"/>
    <x v="30"/>
    <s v="Total Electric Power Industry"/>
    <x v="7"/>
    <n v="6787851"/>
  </r>
  <r>
    <x v="1"/>
    <x v="30"/>
    <s v="Total Electric Power Industry"/>
    <x v="8"/>
    <n v="141432"/>
  </r>
  <r>
    <x v="1"/>
    <x v="30"/>
    <s v="Total Electric Power Industry"/>
    <x v="4"/>
    <n v="1592175"/>
  </r>
  <r>
    <x v="1"/>
    <x v="30"/>
    <s v="Total Electric Power Industry"/>
    <x v="6"/>
    <n v="946544"/>
  </r>
  <r>
    <x v="1"/>
    <x v="30"/>
    <s v="Electric Generators, Independent Power Producers"/>
    <x v="0"/>
    <n v="1168301"/>
  </r>
  <r>
    <x v="1"/>
    <x v="30"/>
    <s v="Electric Generators, Independent Power Producers"/>
    <x v="2"/>
    <n v="222275"/>
  </r>
  <r>
    <x v="1"/>
    <x v="30"/>
    <s v="Electric Generators, Independent Power Producers"/>
    <x v="8"/>
    <n v="141432"/>
  </r>
  <r>
    <x v="1"/>
    <x v="30"/>
    <s v="Electric Generators, Independent Power Producers"/>
    <x v="4"/>
    <n v="3426"/>
  </r>
  <r>
    <x v="1"/>
    <x v="30"/>
    <s v="Electric Generators, Independent Power Producers"/>
    <x v="6"/>
    <n v="801168"/>
  </r>
  <r>
    <x v="1"/>
    <x v="30"/>
    <s v="Electric Generators, Electric Utilities"/>
    <x v="0"/>
    <n v="12705147"/>
  </r>
  <r>
    <x v="1"/>
    <x v="30"/>
    <s v="Electric Generators, Electric Utilities"/>
    <x v="1"/>
    <n v="3168054"/>
  </r>
  <r>
    <x v="1"/>
    <x v="30"/>
    <s v="Electric Generators, Electric Utilities"/>
    <x v="2"/>
    <n v="1187758"/>
  </r>
  <r>
    <x v="1"/>
    <x v="30"/>
    <s v="Electric Generators, Electric Utilities"/>
    <x v="3"/>
    <n v="-1"/>
  </r>
  <r>
    <x v="1"/>
    <x v="30"/>
    <s v="Electric Generators, Electric Utilities"/>
    <x v="7"/>
    <n v="6787851"/>
  </r>
  <r>
    <x v="1"/>
    <x v="30"/>
    <s v="Electric Generators, Electric Utilities"/>
    <x v="4"/>
    <n v="1561485"/>
  </r>
  <r>
    <x v="1"/>
    <x v="30"/>
    <s v="Combined Heat and Power, Industrial Power"/>
    <x v="0"/>
    <n v="244603"/>
  </r>
  <r>
    <x v="1"/>
    <x v="30"/>
    <s v="Combined Heat and Power, Industrial Power"/>
    <x v="2"/>
    <n v="175253"/>
  </r>
  <r>
    <x v="1"/>
    <x v="30"/>
    <s v="Combined Heat and Power, Industrial Power"/>
    <x v="8"/>
    <n v="0"/>
  </r>
  <r>
    <x v="1"/>
    <x v="30"/>
    <s v="Combined Heat and Power, Industrial Power"/>
    <x v="4"/>
    <n v="14376"/>
  </r>
  <r>
    <x v="1"/>
    <x v="30"/>
    <s v="Combined Heat and Power, Industrial Power"/>
    <x v="6"/>
    <n v="54974"/>
  </r>
  <r>
    <x v="1"/>
    <x v="30"/>
    <s v="Combined Heat and Power, Electric Power"/>
    <x v="0"/>
    <n v="90402"/>
  </r>
  <r>
    <x v="1"/>
    <x v="30"/>
    <s v="Combined Heat and Power, Electric Power"/>
    <x v="6"/>
    <n v="90402"/>
  </r>
  <r>
    <x v="1"/>
    <x v="30"/>
    <s v="Combined Heat and Power, Commercial Power"/>
    <x v="0"/>
    <n v="12888"/>
  </r>
  <r>
    <x v="1"/>
    <x v="30"/>
    <s v="Combined Heat and Power, Commercial Power"/>
    <x v="4"/>
    <n v="12888"/>
  </r>
  <r>
    <x v="1"/>
    <x v="31"/>
    <s v="Total Electric Power Industry"/>
    <x v="0"/>
    <n v="43526466"/>
  </r>
  <r>
    <x v="1"/>
    <x v="31"/>
    <s v="Total Electric Power Industry"/>
    <x v="1"/>
    <n v="5237132"/>
  </r>
  <r>
    <x v="1"/>
    <x v="31"/>
    <s v="Total Electric Power Industry"/>
    <x v="2"/>
    <n v="21598"/>
  </r>
  <r>
    <x v="1"/>
    <x v="31"/>
    <s v="Total Electric Power Industry"/>
    <x v="3"/>
    <n v="10592907"/>
  </r>
  <r>
    <x v="1"/>
    <x v="31"/>
    <s v="Total Electric Power Industry"/>
    <x v="7"/>
    <n v="24806606"/>
  </r>
  <r>
    <x v="1"/>
    <x v="31"/>
    <s v="Total Electric Power Industry"/>
    <x v="8"/>
    <n v="804765"/>
  </r>
  <r>
    <x v="1"/>
    <x v="31"/>
    <s v="Total Electric Power Industry"/>
    <x v="9"/>
    <n v="67544"/>
  </r>
  <r>
    <x v="1"/>
    <x v="31"/>
    <s v="Total Electric Power Industry"/>
    <x v="4"/>
    <n v="2151098"/>
  </r>
  <r>
    <x v="1"/>
    <x v="31"/>
    <s v="Total Electric Power Industry"/>
    <x v="10"/>
    <n v="-155184"/>
  </r>
  <r>
    <x v="1"/>
    <x v="31"/>
    <s v="Electric Generators, Independent Power Producers"/>
    <x v="0"/>
    <n v="716432"/>
  </r>
  <r>
    <x v="1"/>
    <x v="31"/>
    <s v="Electric Generators, Independent Power Producers"/>
    <x v="2"/>
    <n v="21598"/>
  </r>
  <r>
    <x v="1"/>
    <x v="31"/>
    <s v="Electric Generators, Independent Power Producers"/>
    <x v="3"/>
    <n v="404995"/>
  </r>
  <r>
    <x v="1"/>
    <x v="31"/>
    <s v="Electric Generators, Independent Power Producers"/>
    <x v="8"/>
    <n v="286714"/>
  </r>
  <r>
    <x v="1"/>
    <x v="31"/>
    <s v="Electric Generators, Independent Power Producers"/>
    <x v="4"/>
    <n v="3125"/>
  </r>
  <r>
    <x v="1"/>
    <x v="31"/>
    <s v="Electric Generators, Electric Utilities"/>
    <x v="0"/>
    <n v="37028965"/>
  </r>
  <r>
    <x v="1"/>
    <x v="31"/>
    <s v="Electric Generators, Electric Utilities"/>
    <x v="1"/>
    <n v="5237132"/>
  </r>
  <r>
    <x v="1"/>
    <x v="31"/>
    <s v="Electric Generators, Electric Utilities"/>
    <x v="3"/>
    <n v="5341636"/>
  </r>
  <r>
    <x v="1"/>
    <x v="31"/>
    <s v="Electric Generators, Electric Utilities"/>
    <x v="7"/>
    <n v="24806606"/>
  </r>
  <r>
    <x v="1"/>
    <x v="31"/>
    <s v="Electric Generators, Electric Utilities"/>
    <x v="4"/>
    <n v="1798775"/>
  </r>
  <r>
    <x v="1"/>
    <x v="31"/>
    <s v="Electric Generators, Electric Utilities"/>
    <x v="10"/>
    <n v="-155184"/>
  </r>
  <r>
    <x v="1"/>
    <x v="31"/>
    <s v="Combined Heat and Power, Industrial Power"/>
    <x v="0"/>
    <n v="1883351"/>
  </r>
  <r>
    <x v="1"/>
    <x v="31"/>
    <s v="Combined Heat and Power, Industrial Power"/>
    <x v="3"/>
    <n v="1486622"/>
  </r>
  <r>
    <x v="1"/>
    <x v="31"/>
    <s v="Combined Heat and Power, Industrial Power"/>
    <x v="9"/>
    <n v="67544"/>
  </r>
  <r>
    <x v="1"/>
    <x v="31"/>
    <s v="Combined Heat and Power, Industrial Power"/>
    <x v="4"/>
    <n v="329185"/>
  </r>
  <r>
    <x v="1"/>
    <x v="31"/>
    <s v="Combined Heat and Power, Electric Power"/>
    <x v="0"/>
    <n v="3823827"/>
  </r>
  <r>
    <x v="1"/>
    <x v="31"/>
    <s v="Combined Heat and Power, Electric Power"/>
    <x v="3"/>
    <n v="3288173"/>
  </r>
  <r>
    <x v="1"/>
    <x v="31"/>
    <s v="Combined Heat and Power, Electric Power"/>
    <x v="8"/>
    <n v="516071"/>
  </r>
  <r>
    <x v="1"/>
    <x v="31"/>
    <s v="Combined Heat and Power, Electric Power"/>
    <x v="4"/>
    <n v="19583"/>
  </r>
  <r>
    <x v="1"/>
    <x v="31"/>
    <s v="Combined Heat and Power, Commercial Power"/>
    <x v="0"/>
    <n v="73891"/>
  </r>
  <r>
    <x v="1"/>
    <x v="31"/>
    <s v="Combined Heat and Power, Commercial Power"/>
    <x v="3"/>
    <n v="71481"/>
  </r>
  <r>
    <x v="1"/>
    <x v="31"/>
    <s v="Combined Heat and Power, Commercial Power"/>
    <x v="8"/>
    <n v="1980"/>
  </r>
  <r>
    <x v="1"/>
    <x v="31"/>
    <s v="Combined Heat and Power, Commercial Power"/>
    <x v="4"/>
    <n v="430"/>
  </r>
  <r>
    <x v="1"/>
    <x v="32"/>
    <s v="Total Electric Power Industry"/>
    <x v="0"/>
    <n v="25277222"/>
  </r>
  <r>
    <x v="1"/>
    <x v="32"/>
    <s v="Total Electric Power Industry"/>
    <x v="1"/>
    <n v="22129312"/>
  </r>
  <r>
    <x v="1"/>
    <x v="32"/>
    <s v="Total Electric Power Industry"/>
    <x v="2"/>
    <n v="237108"/>
  </r>
  <r>
    <x v="1"/>
    <x v="32"/>
    <s v="Total Electric Power Industry"/>
    <x v="3"/>
    <n v="2863662"/>
  </r>
  <r>
    <x v="1"/>
    <x v="32"/>
    <s v="Total Electric Power Industry"/>
    <x v="8"/>
    <n v="14128"/>
  </r>
  <r>
    <x v="1"/>
    <x v="32"/>
    <s v="Total Electric Power Industry"/>
    <x v="4"/>
    <n v="33012"/>
  </r>
  <r>
    <x v="1"/>
    <x v="32"/>
    <s v="Electric Generators, Electric Utilities"/>
    <x v="0"/>
    <n v="25064613"/>
  </r>
  <r>
    <x v="1"/>
    <x v="32"/>
    <s v="Electric Generators, Electric Utilities"/>
    <x v="1"/>
    <n v="22129312"/>
  </r>
  <r>
    <x v="1"/>
    <x v="32"/>
    <s v="Electric Generators, Electric Utilities"/>
    <x v="2"/>
    <n v="237108"/>
  </r>
  <r>
    <x v="1"/>
    <x v="32"/>
    <s v="Electric Generators, Electric Utilities"/>
    <x v="3"/>
    <n v="2665953"/>
  </r>
  <r>
    <x v="1"/>
    <x v="32"/>
    <s v="Electric Generators, Electric Utilities"/>
    <x v="4"/>
    <n v="32240"/>
  </r>
  <r>
    <x v="1"/>
    <x v="32"/>
    <s v="Combined Heat and Power, Industrial Power"/>
    <x v="0"/>
    <n v="169452"/>
  </r>
  <r>
    <x v="1"/>
    <x v="32"/>
    <s v="Combined Heat and Power, Industrial Power"/>
    <x v="3"/>
    <n v="168680"/>
  </r>
  <r>
    <x v="1"/>
    <x v="32"/>
    <s v="Combined Heat and Power, Industrial Power"/>
    <x v="4"/>
    <n v="772"/>
  </r>
  <r>
    <x v="1"/>
    <x v="32"/>
    <s v="Combined Heat and Power, Electric Power"/>
    <x v="0"/>
    <n v="18890"/>
  </r>
  <r>
    <x v="1"/>
    <x v="32"/>
    <s v="Combined Heat and Power, Electric Power"/>
    <x v="3"/>
    <n v="4762"/>
  </r>
  <r>
    <x v="1"/>
    <x v="32"/>
    <s v="Combined Heat and Power, Electric Power"/>
    <x v="8"/>
    <n v="14128"/>
  </r>
  <r>
    <x v="1"/>
    <x v="32"/>
    <s v="Combined Heat and Power, Commercial Power"/>
    <x v="0"/>
    <n v="24267"/>
  </r>
  <r>
    <x v="1"/>
    <x v="32"/>
    <s v="Combined Heat and Power, Commercial Power"/>
    <x v="3"/>
    <n v="24267"/>
  </r>
  <r>
    <x v="1"/>
    <x v="33"/>
    <s v="Total Electric Power Industry"/>
    <x v="0"/>
    <n v="22065204"/>
  </r>
  <r>
    <x v="1"/>
    <x v="33"/>
    <s v="Total Electric Power Industry"/>
    <x v="1"/>
    <n v="16365730"/>
  </r>
  <r>
    <x v="1"/>
    <x v="33"/>
    <s v="Total Electric Power Industry"/>
    <x v="11"/>
    <n v="995408"/>
  </r>
  <r>
    <x v="1"/>
    <x v="33"/>
    <s v="Total Electric Power Industry"/>
    <x v="2"/>
    <n v="2365050"/>
  </r>
  <r>
    <x v="1"/>
    <x v="33"/>
    <s v="Total Electric Power Industry"/>
    <x v="3"/>
    <n v="2094971"/>
  </r>
  <r>
    <x v="1"/>
    <x v="33"/>
    <s v="Total Electric Power Industry"/>
    <x v="12"/>
    <n v="1568"/>
  </r>
  <r>
    <x v="1"/>
    <x v="33"/>
    <s v="Total Electric Power Industry"/>
    <x v="4"/>
    <n v="242477"/>
  </r>
  <r>
    <x v="1"/>
    <x v="33"/>
    <s v="Electric Generators, Independent Power Producers"/>
    <x v="0"/>
    <n v="998641"/>
  </r>
  <r>
    <x v="1"/>
    <x v="33"/>
    <s v="Electric Generators, Independent Power Producers"/>
    <x v="11"/>
    <n v="995408"/>
  </r>
  <r>
    <x v="1"/>
    <x v="33"/>
    <s v="Electric Generators, Independent Power Producers"/>
    <x v="2"/>
    <n v="3233"/>
  </r>
  <r>
    <x v="1"/>
    <x v="33"/>
    <s v="Electric Generators, Electric Utilities"/>
    <x v="0"/>
    <n v="20922439"/>
  </r>
  <r>
    <x v="1"/>
    <x v="33"/>
    <s v="Electric Generators, Electric Utilities"/>
    <x v="1"/>
    <n v="16365730"/>
  </r>
  <r>
    <x v="1"/>
    <x v="33"/>
    <s v="Electric Generators, Electric Utilities"/>
    <x v="2"/>
    <n v="2361817"/>
  </r>
  <r>
    <x v="1"/>
    <x v="33"/>
    <s v="Electric Generators, Electric Utilities"/>
    <x v="3"/>
    <n v="1956571"/>
  </r>
  <r>
    <x v="1"/>
    <x v="33"/>
    <s v="Electric Generators, Electric Utilities"/>
    <x v="4"/>
    <n v="238321"/>
  </r>
  <r>
    <x v="1"/>
    <x v="33"/>
    <s v="Combined Heat and Power, Electric Power"/>
    <x v="0"/>
    <n v="144124"/>
  </r>
  <r>
    <x v="1"/>
    <x v="33"/>
    <s v="Combined Heat and Power, Electric Power"/>
    <x v="3"/>
    <n v="138400"/>
  </r>
  <r>
    <x v="1"/>
    <x v="33"/>
    <s v="Combined Heat and Power, Electric Power"/>
    <x v="12"/>
    <n v="1568"/>
  </r>
  <r>
    <x v="1"/>
    <x v="33"/>
    <s v="Combined Heat and Power, Electric Power"/>
    <x v="4"/>
    <n v="4156"/>
  </r>
  <r>
    <x v="1"/>
    <x v="34"/>
    <s v="Total Electric Power Industry"/>
    <x v="0"/>
    <n v="134600499"/>
  </r>
  <r>
    <x v="1"/>
    <x v="34"/>
    <s v="Total Electric Power Industry"/>
    <x v="1"/>
    <n v="26659951"/>
  </r>
  <r>
    <x v="1"/>
    <x v="34"/>
    <s v="Total Electric Power Industry"/>
    <x v="2"/>
    <n v="27172120"/>
  </r>
  <r>
    <x v="1"/>
    <x v="34"/>
    <s v="Total Electric Power Industry"/>
    <x v="3"/>
    <n v="23074027"/>
  </r>
  <r>
    <x v="1"/>
    <x v="34"/>
    <s v="Total Electric Power Industry"/>
    <x v="7"/>
    <n v="28448293"/>
  </r>
  <r>
    <x v="1"/>
    <x v="34"/>
    <s v="Total Electric Power Industry"/>
    <x v="8"/>
    <n v="1660364"/>
  </r>
  <r>
    <x v="1"/>
    <x v="34"/>
    <s v="Total Electric Power Industry"/>
    <x v="9"/>
    <n v="51520"/>
  </r>
  <r>
    <x v="1"/>
    <x v="34"/>
    <s v="Total Electric Power Industry"/>
    <x v="4"/>
    <n v="28220555"/>
  </r>
  <r>
    <x v="1"/>
    <x v="34"/>
    <s v="Total Electric Power Industry"/>
    <x v="10"/>
    <n v="-1007269"/>
  </r>
  <r>
    <x v="1"/>
    <x v="34"/>
    <s v="Total Electric Power Industry"/>
    <x v="6"/>
    <n v="320938"/>
  </r>
  <r>
    <x v="1"/>
    <x v="34"/>
    <s v="Electric Generators, Independent Power Producers"/>
    <x v="0"/>
    <n v="2411244"/>
  </r>
  <r>
    <x v="1"/>
    <x v="34"/>
    <s v="Electric Generators, Independent Power Producers"/>
    <x v="2"/>
    <n v="1136238"/>
  </r>
  <r>
    <x v="1"/>
    <x v="34"/>
    <s v="Electric Generators, Independent Power Producers"/>
    <x v="3"/>
    <n v="715"/>
  </r>
  <r>
    <x v="1"/>
    <x v="34"/>
    <s v="Electric Generators, Independent Power Producers"/>
    <x v="8"/>
    <n v="1239339"/>
  </r>
  <r>
    <x v="1"/>
    <x v="34"/>
    <s v="Electric Generators, Independent Power Producers"/>
    <x v="6"/>
    <n v="34952"/>
  </r>
  <r>
    <x v="1"/>
    <x v="34"/>
    <s v="Electric Generators, Electric Utilities"/>
    <x v="0"/>
    <n v="126076830"/>
  </r>
  <r>
    <x v="1"/>
    <x v="34"/>
    <s v="Electric Generators, Electric Utilities"/>
    <x v="1"/>
    <n v="24938199"/>
  </r>
  <r>
    <x v="1"/>
    <x v="34"/>
    <s v="Electric Generators, Electric Utilities"/>
    <x v="2"/>
    <n v="25913018"/>
  </r>
  <r>
    <x v="1"/>
    <x v="34"/>
    <s v="Electric Generators, Electric Utilities"/>
    <x v="3"/>
    <n v="20030696"/>
  </r>
  <r>
    <x v="1"/>
    <x v="34"/>
    <s v="Electric Generators, Electric Utilities"/>
    <x v="7"/>
    <n v="28448293"/>
  </r>
  <r>
    <x v="1"/>
    <x v="34"/>
    <s v="Electric Generators, Electric Utilities"/>
    <x v="4"/>
    <n v="27753893"/>
  </r>
  <r>
    <x v="1"/>
    <x v="34"/>
    <s v="Electric Generators, Electric Utilities"/>
    <x v="10"/>
    <n v="-1007269"/>
  </r>
  <r>
    <x v="1"/>
    <x v="34"/>
    <s v="Combined Heat and Power, Industrial Power"/>
    <x v="0"/>
    <n v="3091062"/>
  </r>
  <r>
    <x v="1"/>
    <x v="34"/>
    <s v="Combined Heat and Power, Industrial Power"/>
    <x v="1"/>
    <n v="1164522"/>
  </r>
  <r>
    <x v="1"/>
    <x v="34"/>
    <s v="Combined Heat and Power, Industrial Power"/>
    <x v="2"/>
    <n v="116044"/>
  </r>
  <r>
    <x v="1"/>
    <x v="34"/>
    <s v="Combined Heat and Power, Industrial Power"/>
    <x v="3"/>
    <n v="1093461"/>
  </r>
  <r>
    <x v="1"/>
    <x v="34"/>
    <s v="Combined Heat and Power, Industrial Power"/>
    <x v="8"/>
    <n v="23147"/>
  </r>
  <r>
    <x v="1"/>
    <x v="34"/>
    <s v="Combined Heat and Power, Industrial Power"/>
    <x v="9"/>
    <n v="51520"/>
  </r>
  <r>
    <x v="1"/>
    <x v="34"/>
    <s v="Combined Heat and Power, Industrial Power"/>
    <x v="4"/>
    <n v="363776"/>
  </r>
  <r>
    <x v="1"/>
    <x v="34"/>
    <s v="Combined Heat and Power, Industrial Power"/>
    <x v="6"/>
    <n v="278592"/>
  </r>
  <r>
    <x v="1"/>
    <x v="34"/>
    <s v="Combined Heat and Power, Electric Power"/>
    <x v="0"/>
    <n v="2814630"/>
  </r>
  <r>
    <x v="1"/>
    <x v="34"/>
    <s v="Combined Heat and Power, Electric Power"/>
    <x v="1"/>
    <n v="541967"/>
  </r>
  <r>
    <x v="1"/>
    <x v="34"/>
    <s v="Combined Heat and Power, Electric Power"/>
    <x v="3"/>
    <n v="1807472"/>
  </r>
  <r>
    <x v="1"/>
    <x v="34"/>
    <s v="Combined Heat and Power, Electric Power"/>
    <x v="8"/>
    <n v="392745"/>
  </r>
  <r>
    <x v="1"/>
    <x v="34"/>
    <s v="Combined Heat and Power, Electric Power"/>
    <x v="4"/>
    <n v="65052"/>
  </r>
  <r>
    <x v="1"/>
    <x v="34"/>
    <s v="Combined Heat and Power, Electric Power"/>
    <x v="6"/>
    <n v="7394"/>
  </r>
  <r>
    <x v="1"/>
    <x v="34"/>
    <s v="Combined Heat and Power, Commercial Power"/>
    <x v="0"/>
    <n v="206733"/>
  </r>
  <r>
    <x v="1"/>
    <x v="34"/>
    <s v="Combined Heat and Power, Commercial Power"/>
    <x v="1"/>
    <n v="15263"/>
  </r>
  <r>
    <x v="1"/>
    <x v="34"/>
    <s v="Combined Heat and Power, Commercial Power"/>
    <x v="2"/>
    <n v="6820"/>
  </r>
  <r>
    <x v="1"/>
    <x v="34"/>
    <s v="Combined Heat and Power, Commercial Power"/>
    <x v="3"/>
    <n v="141683"/>
  </r>
  <r>
    <x v="1"/>
    <x v="34"/>
    <s v="Combined Heat and Power, Commercial Power"/>
    <x v="8"/>
    <n v="5133"/>
  </r>
  <r>
    <x v="1"/>
    <x v="34"/>
    <s v="Combined Heat and Power, Commercial Power"/>
    <x v="4"/>
    <n v="37834"/>
  </r>
  <r>
    <x v="1"/>
    <x v="35"/>
    <s v="Total Electric Power Industry"/>
    <x v="0"/>
    <n v="134036497"/>
  </r>
  <r>
    <x v="1"/>
    <x v="35"/>
    <s v="Total Electric Power Industry"/>
    <x v="1"/>
    <n v="117502355"/>
  </r>
  <r>
    <x v="1"/>
    <x v="35"/>
    <s v="Total Electric Power Industry"/>
    <x v="2"/>
    <n v="154224"/>
  </r>
  <r>
    <x v="1"/>
    <x v="35"/>
    <s v="Total Electric Power Industry"/>
    <x v="3"/>
    <n v="364566"/>
  </r>
  <r>
    <x v="1"/>
    <x v="35"/>
    <s v="Total Electric Power Industry"/>
    <x v="7"/>
    <n v="14832789"/>
  </r>
  <r>
    <x v="1"/>
    <x v="35"/>
    <s v="Total Electric Power Industry"/>
    <x v="8"/>
    <n v="324478"/>
  </r>
  <r>
    <x v="1"/>
    <x v="35"/>
    <s v="Total Electric Power Industry"/>
    <x v="9"/>
    <n v="57312"/>
  </r>
  <r>
    <x v="1"/>
    <x v="35"/>
    <s v="Total Electric Power Industry"/>
    <x v="4"/>
    <n v="427742"/>
  </r>
  <r>
    <x v="1"/>
    <x v="35"/>
    <s v="Total Electric Power Industry"/>
    <x v="6"/>
    <n v="373031"/>
  </r>
  <r>
    <x v="1"/>
    <x v="35"/>
    <s v="Electric Generators, Independent Power Producers"/>
    <x v="0"/>
    <n v="8813"/>
  </r>
  <r>
    <x v="1"/>
    <x v="35"/>
    <s v="Electric Generators, Independent Power Producers"/>
    <x v="2"/>
    <n v="8813"/>
  </r>
  <r>
    <x v="1"/>
    <x v="35"/>
    <s v="Electric Generators, Electric Utilities"/>
    <x v="0"/>
    <n v="132693706"/>
  </r>
  <r>
    <x v="1"/>
    <x v="35"/>
    <s v="Electric Generators, Electric Utilities"/>
    <x v="1"/>
    <n v="116813173"/>
  </r>
  <r>
    <x v="1"/>
    <x v="35"/>
    <s v="Electric Generators, Electric Utilities"/>
    <x v="2"/>
    <n v="145411"/>
  </r>
  <r>
    <x v="1"/>
    <x v="35"/>
    <s v="Electric Generators, Electric Utilities"/>
    <x v="3"/>
    <n v="234956"/>
  </r>
  <r>
    <x v="1"/>
    <x v="35"/>
    <s v="Electric Generators, Electric Utilities"/>
    <x v="7"/>
    <n v="14832789"/>
  </r>
  <r>
    <x v="1"/>
    <x v="35"/>
    <s v="Electric Generators, Electric Utilities"/>
    <x v="8"/>
    <n v="298016"/>
  </r>
  <r>
    <x v="1"/>
    <x v="35"/>
    <s v="Electric Generators, Electric Utilities"/>
    <x v="4"/>
    <n v="369361"/>
  </r>
  <r>
    <x v="1"/>
    <x v="35"/>
    <s v="Combined Heat and Power, Industrial Power"/>
    <x v="0"/>
    <n v="1238522"/>
  </r>
  <r>
    <x v="1"/>
    <x v="35"/>
    <s v="Combined Heat and Power, Industrial Power"/>
    <x v="1"/>
    <n v="687452"/>
  </r>
  <r>
    <x v="1"/>
    <x v="35"/>
    <s v="Combined Heat and Power, Industrial Power"/>
    <x v="3"/>
    <n v="68046"/>
  </r>
  <r>
    <x v="1"/>
    <x v="35"/>
    <s v="Combined Heat and Power, Industrial Power"/>
    <x v="9"/>
    <n v="57312"/>
  </r>
  <r>
    <x v="1"/>
    <x v="35"/>
    <s v="Combined Heat and Power, Industrial Power"/>
    <x v="4"/>
    <n v="52681"/>
  </r>
  <r>
    <x v="1"/>
    <x v="35"/>
    <s v="Combined Heat and Power, Industrial Power"/>
    <x v="6"/>
    <n v="373031"/>
  </r>
  <r>
    <x v="1"/>
    <x v="35"/>
    <s v="Combined Heat and Power, Electric Power"/>
    <x v="0"/>
    <n v="26462"/>
  </r>
  <r>
    <x v="1"/>
    <x v="35"/>
    <s v="Combined Heat and Power, Electric Power"/>
    <x v="8"/>
    <n v="26462"/>
  </r>
  <r>
    <x v="1"/>
    <x v="35"/>
    <s v="Combined Heat and Power, Commercial Power"/>
    <x v="0"/>
    <n v="68994"/>
  </r>
  <r>
    <x v="1"/>
    <x v="35"/>
    <s v="Combined Heat and Power, Commercial Power"/>
    <x v="1"/>
    <n v="1730"/>
  </r>
  <r>
    <x v="1"/>
    <x v="35"/>
    <s v="Combined Heat and Power, Commercial Power"/>
    <x v="3"/>
    <n v="61564"/>
  </r>
  <r>
    <x v="1"/>
    <x v="35"/>
    <s v="Combined Heat and Power, Commercial Power"/>
    <x v="4"/>
    <n v="5700"/>
  </r>
  <r>
    <x v="1"/>
    <x v="36"/>
    <s v="Total Electric Power Industry"/>
    <x v="0"/>
    <n v="49099117"/>
  </r>
  <r>
    <x v="1"/>
    <x v="36"/>
    <s v="Total Electric Power Industry"/>
    <x v="1"/>
    <n v="28404639"/>
  </r>
  <r>
    <x v="1"/>
    <x v="36"/>
    <s v="Total Electric Power Industry"/>
    <x v="2"/>
    <n v="1922137"/>
  </r>
  <r>
    <x v="1"/>
    <x v="36"/>
    <s v="Total Electric Power Industry"/>
    <x v="3"/>
    <n v="18416871"/>
  </r>
  <r>
    <x v="1"/>
    <x v="36"/>
    <s v="Total Electric Power Industry"/>
    <x v="8"/>
    <n v="0"/>
  </r>
  <r>
    <x v="1"/>
    <x v="36"/>
    <s v="Total Electric Power Industry"/>
    <x v="9"/>
    <n v="106620"/>
  </r>
  <r>
    <x v="1"/>
    <x v="36"/>
    <s v="Total Electric Power Industry"/>
    <x v="4"/>
    <n v="46069"/>
  </r>
  <r>
    <x v="1"/>
    <x v="36"/>
    <s v="Total Electric Power Industry"/>
    <x v="10"/>
    <n v="-65352"/>
  </r>
  <r>
    <x v="1"/>
    <x v="36"/>
    <s v="Total Electric Power Industry"/>
    <x v="6"/>
    <n v="268133"/>
  </r>
  <r>
    <x v="1"/>
    <x v="36"/>
    <s v="Electric Generators, Electric Utilities"/>
    <x v="0"/>
    <n v="44850089"/>
  </r>
  <r>
    <x v="1"/>
    <x v="36"/>
    <s v="Electric Generators, Electric Utilities"/>
    <x v="1"/>
    <n v="26027968"/>
  </r>
  <r>
    <x v="1"/>
    <x v="36"/>
    <s v="Electric Generators, Electric Utilities"/>
    <x v="2"/>
    <n v="1922137"/>
  </r>
  <r>
    <x v="1"/>
    <x v="36"/>
    <s v="Electric Generators, Electric Utilities"/>
    <x v="3"/>
    <n v="16946803"/>
  </r>
  <r>
    <x v="1"/>
    <x v="36"/>
    <s v="Electric Generators, Electric Utilities"/>
    <x v="4"/>
    <n v="18533"/>
  </r>
  <r>
    <x v="1"/>
    <x v="36"/>
    <s v="Electric Generators, Electric Utilities"/>
    <x v="10"/>
    <n v="-65352"/>
  </r>
  <r>
    <x v="1"/>
    <x v="36"/>
    <s v="Combined Heat and Power, Industrial Power"/>
    <x v="0"/>
    <n v="1235591"/>
  </r>
  <r>
    <x v="1"/>
    <x v="36"/>
    <s v="Combined Heat and Power, Industrial Power"/>
    <x v="1"/>
    <n v="335466"/>
  </r>
  <r>
    <x v="1"/>
    <x v="36"/>
    <s v="Combined Heat and Power, Industrial Power"/>
    <x v="3"/>
    <n v="497836"/>
  </r>
  <r>
    <x v="1"/>
    <x v="36"/>
    <s v="Combined Heat and Power, Industrial Power"/>
    <x v="8"/>
    <n v="0"/>
  </r>
  <r>
    <x v="1"/>
    <x v="36"/>
    <s v="Combined Heat and Power, Industrial Power"/>
    <x v="9"/>
    <n v="106620"/>
  </r>
  <r>
    <x v="1"/>
    <x v="36"/>
    <s v="Combined Heat and Power, Industrial Power"/>
    <x v="4"/>
    <n v="27536"/>
  </r>
  <r>
    <x v="1"/>
    <x v="36"/>
    <s v="Combined Heat and Power, Industrial Power"/>
    <x v="6"/>
    <n v="268133"/>
  </r>
  <r>
    <x v="1"/>
    <x v="36"/>
    <s v="Combined Heat and Power, Electric Power"/>
    <x v="0"/>
    <n v="2963591"/>
  </r>
  <r>
    <x v="1"/>
    <x v="36"/>
    <s v="Combined Heat and Power, Electric Power"/>
    <x v="1"/>
    <n v="2041205"/>
  </r>
  <r>
    <x v="1"/>
    <x v="36"/>
    <s v="Combined Heat and Power, Electric Power"/>
    <x v="3"/>
    <n v="922386"/>
  </r>
  <r>
    <x v="1"/>
    <x v="36"/>
    <s v="Combined Heat and Power, Commercial Power"/>
    <x v="0"/>
    <n v="49846"/>
  </r>
  <r>
    <x v="1"/>
    <x v="36"/>
    <s v="Combined Heat and Power, Commercial Power"/>
    <x v="3"/>
    <n v="49846"/>
  </r>
  <r>
    <x v="1"/>
    <x v="37"/>
    <s v="Total Electric Power Industry"/>
    <x v="0"/>
    <n v="47444889"/>
  </r>
  <r>
    <x v="1"/>
    <x v="37"/>
    <s v="Total Electric Power Industry"/>
    <x v="1"/>
    <n v="2814199"/>
  </r>
  <r>
    <x v="1"/>
    <x v="37"/>
    <s v="Total Electric Power Industry"/>
    <x v="2"/>
    <n v="41088337"/>
  </r>
  <r>
    <x v="1"/>
    <x v="37"/>
    <s v="Total Electric Power Industry"/>
    <x v="3"/>
    <n v="1223154"/>
  </r>
  <r>
    <x v="1"/>
    <x v="37"/>
    <s v="Total Electric Power Industry"/>
    <x v="7"/>
    <n v="1465368"/>
  </r>
  <r>
    <x v="1"/>
    <x v="37"/>
    <s v="Total Electric Power Industry"/>
    <x v="8"/>
    <n v="91428"/>
  </r>
  <r>
    <x v="1"/>
    <x v="37"/>
    <s v="Total Electric Power Industry"/>
    <x v="4"/>
    <n v="11000"/>
  </r>
  <r>
    <x v="1"/>
    <x v="37"/>
    <s v="Total Electric Power Industry"/>
    <x v="5"/>
    <n v="539"/>
  </r>
  <r>
    <x v="1"/>
    <x v="37"/>
    <s v="Total Electric Power Industry"/>
    <x v="6"/>
    <n v="750864"/>
  </r>
  <r>
    <x v="1"/>
    <x v="37"/>
    <s v="Electric Generators, Independent Power Producers"/>
    <x v="0"/>
    <n v="330166"/>
  </r>
  <r>
    <x v="1"/>
    <x v="37"/>
    <s v="Electric Generators, Independent Power Producers"/>
    <x v="2"/>
    <n v="238199"/>
  </r>
  <r>
    <x v="1"/>
    <x v="37"/>
    <s v="Electric Generators, Independent Power Producers"/>
    <x v="8"/>
    <n v="91428"/>
  </r>
  <r>
    <x v="1"/>
    <x v="37"/>
    <s v="Electric Generators, Independent Power Producers"/>
    <x v="5"/>
    <n v="539"/>
  </r>
  <r>
    <x v="1"/>
    <x v="37"/>
    <s v="Electric Generators, Electric Utilities"/>
    <x v="0"/>
    <n v="46298021"/>
  </r>
  <r>
    <x v="1"/>
    <x v="37"/>
    <s v="Electric Generators, Electric Utilities"/>
    <x v="1"/>
    <n v="2814199"/>
  </r>
  <r>
    <x v="1"/>
    <x v="37"/>
    <s v="Electric Generators, Electric Utilities"/>
    <x v="2"/>
    <n v="40844132"/>
  </r>
  <r>
    <x v="1"/>
    <x v="37"/>
    <s v="Electric Generators, Electric Utilities"/>
    <x v="3"/>
    <n v="1164413"/>
  </r>
  <r>
    <x v="1"/>
    <x v="37"/>
    <s v="Electric Generators, Electric Utilities"/>
    <x v="7"/>
    <n v="1465368"/>
  </r>
  <r>
    <x v="1"/>
    <x v="37"/>
    <s v="Electric Generators, Electric Utilities"/>
    <x v="4"/>
    <n v="9648"/>
  </r>
  <r>
    <x v="1"/>
    <x v="37"/>
    <s v="Electric Generators, Electric Utilities"/>
    <x v="6"/>
    <n v="261"/>
  </r>
  <r>
    <x v="1"/>
    <x v="37"/>
    <s v="Combined Heat and Power, Industrial Power"/>
    <x v="0"/>
    <n v="425181"/>
  </r>
  <r>
    <x v="1"/>
    <x v="37"/>
    <s v="Combined Heat and Power, Industrial Power"/>
    <x v="1"/>
    <n v="0"/>
  </r>
  <r>
    <x v="1"/>
    <x v="37"/>
    <s v="Combined Heat and Power, Industrial Power"/>
    <x v="2"/>
    <n v="6006"/>
  </r>
  <r>
    <x v="1"/>
    <x v="37"/>
    <s v="Combined Heat and Power, Industrial Power"/>
    <x v="3"/>
    <n v="19043"/>
  </r>
  <r>
    <x v="1"/>
    <x v="37"/>
    <s v="Combined Heat and Power, Industrial Power"/>
    <x v="8"/>
    <n v="0"/>
  </r>
  <r>
    <x v="1"/>
    <x v="37"/>
    <s v="Combined Heat and Power, Industrial Power"/>
    <x v="4"/>
    <n v="1352"/>
  </r>
  <r>
    <x v="1"/>
    <x v="37"/>
    <s v="Combined Heat and Power, Industrial Power"/>
    <x v="6"/>
    <n v="398780"/>
  </r>
  <r>
    <x v="1"/>
    <x v="37"/>
    <s v="Combined Heat and Power, Electric Power"/>
    <x v="0"/>
    <n v="324283"/>
  </r>
  <r>
    <x v="1"/>
    <x v="37"/>
    <s v="Combined Heat and Power, Electric Power"/>
    <x v="3"/>
    <n v="39698"/>
  </r>
  <r>
    <x v="1"/>
    <x v="37"/>
    <s v="Combined Heat and Power, Electric Power"/>
    <x v="6"/>
    <n v="284585"/>
  </r>
  <r>
    <x v="1"/>
    <x v="37"/>
    <s v="Combined Heat and Power, Commercial Power"/>
    <x v="0"/>
    <n v="67238"/>
  </r>
  <r>
    <x v="1"/>
    <x v="37"/>
    <s v="Combined Heat and Power, Commercial Power"/>
    <x v="6"/>
    <n v="67238"/>
  </r>
  <r>
    <x v="1"/>
    <x v="38"/>
    <s v="Total Electric Power Industry"/>
    <x v="0"/>
    <n v="172762709"/>
  </r>
  <r>
    <x v="1"/>
    <x v="38"/>
    <s v="Total Electric Power Industry"/>
    <x v="1"/>
    <n v="106028875"/>
  </r>
  <r>
    <x v="1"/>
    <x v="38"/>
    <s v="Total Electric Power Industry"/>
    <x v="2"/>
    <n v="1920358"/>
  </r>
  <r>
    <x v="1"/>
    <x v="38"/>
    <s v="Total Electric Power Industry"/>
    <x v="3"/>
    <n v="2108889"/>
  </r>
  <r>
    <x v="1"/>
    <x v="38"/>
    <s v="Total Electric Power Industry"/>
    <x v="7"/>
    <n v="57475671"/>
  </r>
  <r>
    <x v="1"/>
    <x v="38"/>
    <s v="Total Electric Power Industry"/>
    <x v="12"/>
    <n v="107372"/>
  </r>
  <r>
    <x v="1"/>
    <x v="38"/>
    <s v="Total Electric Power Industry"/>
    <x v="8"/>
    <n v="670825"/>
  </r>
  <r>
    <x v="1"/>
    <x v="38"/>
    <s v="Total Electric Power Industry"/>
    <x v="9"/>
    <n v="721051"/>
  </r>
  <r>
    <x v="1"/>
    <x v="38"/>
    <s v="Total Electric Power Industry"/>
    <x v="4"/>
    <n v="4125862"/>
  </r>
  <r>
    <x v="1"/>
    <x v="38"/>
    <s v="Total Electric Power Industry"/>
    <x v="10"/>
    <n v="-963145"/>
  </r>
  <r>
    <x v="1"/>
    <x v="38"/>
    <s v="Total Electric Power Industry"/>
    <x v="6"/>
    <n v="566951"/>
  </r>
  <r>
    <x v="1"/>
    <x v="38"/>
    <s v="Electric Generators, Independent Power Producers"/>
    <x v="0"/>
    <n v="1157855"/>
  </r>
  <r>
    <x v="1"/>
    <x v="38"/>
    <s v="Electric Generators, Independent Power Producers"/>
    <x v="1"/>
    <n v="216345"/>
  </r>
  <r>
    <x v="1"/>
    <x v="38"/>
    <s v="Electric Generators, Independent Power Producers"/>
    <x v="2"/>
    <n v="301565"/>
  </r>
  <r>
    <x v="1"/>
    <x v="38"/>
    <s v="Electric Generators, Independent Power Producers"/>
    <x v="3"/>
    <n v="9340"/>
  </r>
  <r>
    <x v="1"/>
    <x v="38"/>
    <s v="Electric Generators, Independent Power Producers"/>
    <x v="8"/>
    <n v="624756"/>
  </r>
  <r>
    <x v="1"/>
    <x v="38"/>
    <s v="Electric Generators, Independent Power Producers"/>
    <x v="4"/>
    <n v="5849"/>
  </r>
  <r>
    <x v="1"/>
    <x v="38"/>
    <s v="Electric Generators, Electric Utilities"/>
    <x v="0"/>
    <n v="162366875"/>
  </r>
  <r>
    <x v="1"/>
    <x v="38"/>
    <s v="Electric Generators, Electric Utilities"/>
    <x v="1"/>
    <n v="100359157"/>
  </r>
  <r>
    <x v="1"/>
    <x v="38"/>
    <s v="Electric Generators, Electric Utilities"/>
    <x v="2"/>
    <n v="1618793"/>
  </r>
  <r>
    <x v="1"/>
    <x v="38"/>
    <s v="Electric Generators, Electric Utilities"/>
    <x v="3"/>
    <n v="162793"/>
  </r>
  <r>
    <x v="1"/>
    <x v="38"/>
    <s v="Electric Generators, Electric Utilities"/>
    <x v="7"/>
    <n v="57475671"/>
  </r>
  <r>
    <x v="1"/>
    <x v="38"/>
    <s v="Electric Generators, Electric Utilities"/>
    <x v="4"/>
    <n v="3713606"/>
  </r>
  <r>
    <x v="1"/>
    <x v="38"/>
    <s v="Electric Generators, Electric Utilities"/>
    <x v="10"/>
    <n v="-963145"/>
  </r>
  <r>
    <x v="1"/>
    <x v="38"/>
    <s v="Combined Heat and Power, Industrial Power"/>
    <x v="0"/>
    <n v="4303474"/>
  </r>
  <r>
    <x v="1"/>
    <x v="38"/>
    <s v="Combined Heat and Power, Industrial Power"/>
    <x v="1"/>
    <n v="1664198"/>
  </r>
  <r>
    <x v="1"/>
    <x v="38"/>
    <s v="Combined Heat and Power, Industrial Power"/>
    <x v="3"/>
    <n v="1270219"/>
  </r>
  <r>
    <x v="1"/>
    <x v="38"/>
    <s v="Combined Heat and Power, Industrial Power"/>
    <x v="12"/>
    <n v="0"/>
  </r>
  <r>
    <x v="1"/>
    <x v="38"/>
    <s v="Combined Heat and Power, Industrial Power"/>
    <x v="9"/>
    <n v="720431"/>
  </r>
  <r>
    <x v="1"/>
    <x v="38"/>
    <s v="Combined Heat and Power, Industrial Power"/>
    <x v="4"/>
    <n v="273964"/>
  </r>
  <r>
    <x v="1"/>
    <x v="38"/>
    <s v="Combined Heat and Power, Industrial Power"/>
    <x v="6"/>
    <n v="374662"/>
  </r>
  <r>
    <x v="1"/>
    <x v="38"/>
    <s v="Combined Heat and Power, Electric Power"/>
    <x v="0"/>
    <n v="4726398"/>
  </r>
  <r>
    <x v="1"/>
    <x v="38"/>
    <s v="Combined Heat and Power, Electric Power"/>
    <x v="1"/>
    <n v="3784818"/>
  </r>
  <r>
    <x v="1"/>
    <x v="38"/>
    <s v="Combined Heat and Power, Electric Power"/>
    <x v="3"/>
    <n v="473463"/>
  </r>
  <r>
    <x v="1"/>
    <x v="38"/>
    <s v="Combined Heat and Power, Electric Power"/>
    <x v="12"/>
    <n v="107372"/>
  </r>
  <r>
    <x v="1"/>
    <x v="38"/>
    <s v="Combined Heat and Power, Electric Power"/>
    <x v="8"/>
    <n v="46069"/>
  </r>
  <r>
    <x v="1"/>
    <x v="38"/>
    <s v="Combined Heat and Power, Electric Power"/>
    <x v="9"/>
    <n v="620"/>
  </r>
  <r>
    <x v="1"/>
    <x v="38"/>
    <s v="Combined Heat and Power, Electric Power"/>
    <x v="4"/>
    <n v="121767"/>
  </r>
  <r>
    <x v="1"/>
    <x v="38"/>
    <s v="Combined Heat and Power, Electric Power"/>
    <x v="6"/>
    <n v="192289"/>
  </r>
  <r>
    <x v="1"/>
    <x v="38"/>
    <s v="Combined Heat and Power, Commercial Power"/>
    <x v="0"/>
    <n v="208107"/>
  </r>
  <r>
    <x v="1"/>
    <x v="38"/>
    <s v="Combined Heat and Power, Commercial Power"/>
    <x v="1"/>
    <n v="4357"/>
  </r>
  <r>
    <x v="1"/>
    <x v="38"/>
    <s v="Combined Heat and Power, Commercial Power"/>
    <x v="3"/>
    <n v="193074"/>
  </r>
  <r>
    <x v="1"/>
    <x v="38"/>
    <s v="Combined Heat and Power, Commercial Power"/>
    <x v="8"/>
    <n v="0"/>
  </r>
  <r>
    <x v="1"/>
    <x v="38"/>
    <s v="Combined Heat and Power, Commercial Power"/>
    <x v="4"/>
    <n v="10676"/>
  </r>
  <r>
    <x v="1"/>
    <x v="39"/>
    <s v="Total Electric Power Industry"/>
    <x v="0"/>
    <n v="2925819"/>
  </r>
  <r>
    <x v="1"/>
    <x v="39"/>
    <s v="Total Electric Power Industry"/>
    <x v="1"/>
    <n v="0"/>
  </r>
  <r>
    <x v="1"/>
    <x v="39"/>
    <s v="Total Electric Power Industry"/>
    <x v="2"/>
    <n v="9946"/>
  </r>
  <r>
    <x v="1"/>
    <x v="39"/>
    <s v="Total Electric Power Industry"/>
    <x v="3"/>
    <n v="2749067"/>
  </r>
  <r>
    <x v="1"/>
    <x v="39"/>
    <s v="Total Electric Power Industry"/>
    <x v="8"/>
    <n v="72155"/>
  </r>
  <r>
    <x v="1"/>
    <x v="39"/>
    <s v="Total Electric Power Industry"/>
    <x v="4"/>
    <n v="94651"/>
  </r>
  <r>
    <x v="1"/>
    <x v="39"/>
    <s v="Electric Generators, Independent Power Producers"/>
    <x v="0"/>
    <n v="2403265"/>
  </r>
  <r>
    <x v="1"/>
    <x v="39"/>
    <s v="Electric Generators, Independent Power Producers"/>
    <x v="2"/>
    <n v="9946"/>
  </r>
  <r>
    <x v="1"/>
    <x v="39"/>
    <s v="Electric Generators, Independent Power Producers"/>
    <x v="3"/>
    <n v="2308300"/>
  </r>
  <r>
    <x v="1"/>
    <x v="39"/>
    <s v="Electric Generators, Independent Power Producers"/>
    <x v="8"/>
    <n v="72155"/>
  </r>
  <r>
    <x v="1"/>
    <x v="39"/>
    <s v="Electric Generators, Independent Power Producers"/>
    <x v="4"/>
    <n v="12864"/>
  </r>
  <r>
    <x v="1"/>
    <x v="39"/>
    <s v="Electric Generators, Electric Utilities"/>
    <x v="0"/>
    <n v="171457"/>
  </r>
  <r>
    <x v="1"/>
    <x v="39"/>
    <s v="Electric Generators, Electric Utilities"/>
    <x v="1"/>
    <n v="0"/>
  </r>
  <r>
    <x v="1"/>
    <x v="39"/>
    <s v="Electric Generators, Electric Utilities"/>
    <x v="2"/>
    <n v="0"/>
  </r>
  <r>
    <x v="1"/>
    <x v="39"/>
    <s v="Electric Generators, Electric Utilities"/>
    <x v="3"/>
    <n v="117239"/>
  </r>
  <r>
    <x v="1"/>
    <x v="39"/>
    <s v="Electric Generators, Electric Utilities"/>
    <x v="4"/>
    <n v="54218"/>
  </r>
  <r>
    <x v="1"/>
    <x v="39"/>
    <s v="Combined Heat and Power, Industrial Power"/>
    <x v="0"/>
    <n v="19563"/>
  </r>
  <r>
    <x v="1"/>
    <x v="39"/>
    <s v="Combined Heat and Power, Industrial Power"/>
    <x v="3"/>
    <n v="19563"/>
  </r>
  <r>
    <x v="1"/>
    <x v="39"/>
    <s v="Combined Heat and Power, Industrial Power"/>
    <x v="4"/>
    <n v="0"/>
  </r>
  <r>
    <x v="1"/>
    <x v="39"/>
    <s v="Combined Heat and Power, Electric Power"/>
    <x v="0"/>
    <n v="292462"/>
  </r>
  <r>
    <x v="1"/>
    <x v="39"/>
    <s v="Combined Heat and Power, Electric Power"/>
    <x v="3"/>
    <n v="279629"/>
  </r>
  <r>
    <x v="1"/>
    <x v="39"/>
    <s v="Combined Heat and Power, Electric Power"/>
    <x v="4"/>
    <n v="12833"/>
  </r>
  <r>
    <x v="1"/>
    <x v="39"/>
    <s v="Combined Heat and Power, Commercial Power"/>
    <x v="0"/>
    <n v="39072"/>
  </r>
  <r>
    <x v="1"/>
    <x v="39"/>
    <s v="Combined Heat and Power, Commercial Power"/>
    <x v="3"/>
    <n v="24336"/>
  </r>
  <r>
    <x v="1"/>
    <x v="39"/>
    <s v="Combined Heat and Power, Commercial Power"/>
    <x v="4"/>
    <n v="14736"/>
  </r>
  <r>
    <x v="1"/>
    <x v="40"/>
    <s v="Total Electric Power Industry"/>
    <x v="0"/>
    <n v="72180007"/>
  </r>
  <r>
    <x v="1"/>
    <x v="40"/>
    <s v="Total Electric Power Industry"/>
    <x v="1"/>
    <n v="23821335"/>
  </r>
  <r>
    <x v="1"/>
    <x v="40"/>
    <s v="Total Electric Power Industry"/>
    <x v="2"/>
    <n v="3111318"/>
  </r>
  <r>
    <x v="1"/>
    <x v="40"/>
    <s v="Total Electric Power Industry"/>
    <x v="3"/>
    <n v="1081636"/>
  </r>
  <r>
    <x v="1"/>
    <x v="40"/>
    <s v="Total Electric Power Industry"/>
    <x v="7"/>
    <n v="43108073"/>
  </r>
  <r>
    <x v="1"/>
    <x v="40"/>
    <s v="Total Electric Power Industry"/>
    <x v="12"/>
    <n v="7945"/>
  </r>
  <r>
    <x v="1"/>
    <x v="40"/>
    <s v="Total Electric Power Industry"/>
    <x v="8"/>
    <n v="59411"/>
  </r>
  <r>
    <x v="1"/>
    <x v="40"/>
    <s v="Total Electric Power Industry"/>
    <x v="9"/>
    <n v="5821"/>
  </r>
  <r>
    <x v="1"/>
    <x v="40"/>
    <s v="Total Electric Power Industry"/>
    <x v="4"/>
    <n v="180889"/>
  </r>
  <r>
    <x v="1"/>
    <x v="40"/>
    <s v="Total Electric Power Industry"/>
    <x v="10"/>
    <n v="-574257"/>
  </r>
  <r>
    <x v="1"/>
    <x v="40"/>
    <s v="Total Electric Power Industry"/>
    <x v="6"/>
    <n v="1377836"/>
  </r>
  <r>
    <x v="1"/>
    <x v="40"/>
    <s v="Electric Generators, Independent Power Producers"/>
    <x v="0"/>
    <n v="37661"/>
  </r>
  <r>
    <x v="1"/>
    <x v="40"/>
    <s v="Electric Generators, Independent Power Producers"/>
    <x v="2"/>
    <n v="37661"/>
  </r>
  <r>
    <x v="1"/>
    <x v="40"/>
    <s v="Electric Generators, Electric Utilities"/>
    <x v="0"/>
    <n v="69837984"/>
  </r>
  <r>
    <x v="1"/>
    <x v="40"/>
    <s v="Electric Generators, Electric Utilities"/>
    <x v="1"/>
    <n v="23165807"/>
  </r>
  <r>
    <x v="1"/>
    <x v="40"/>
    <s v="Electric Generators, Electric Utilities"/>
    <x v="2"/>
    <n v="3071281"/>
  </r>
  <r>
    <x v="1"/>
    <x v="40"/>
    <s v="Electric Generators, Electric Utilities"/>
    <x v="3"/>
    <n v="983695"/>
  </r>
  <r>
    <x v="1"/>
    <x v="40"/>
    <s v="Electric Generators, Electric Utilities"/>
    <x v="7"/>
    <n v="43108073"/>
  </r>
  <r>
    <x v="1"/>
    <x v="40"/>
    <s v="Electric Generators, Electric Utilities"/>
    <x v="4"/>
    <n v="83385"/>
  </r>
  <r>
    <x v="1"/>
    <x v="40"/>
    <s v="Electric Generators, Electric Utilities"/>
    <x v="10"/>
    <n v="-574257"/>
  </r>
  <r>
    <x v="1"/>
    <x v="40"/>
    <s v="Combined Heat and Power, Industrial Power"/>
    <x v="0"/>
    <n v="2227620"/>
  </r>
  <r>
    <x v="1"/>
    <x v="40"/>
    <s v="Combined Heat and Power, Industrial Power"/>
    <x v="1"/>
    <n v="655528"/>
  </r>
  <r>
    <x v="1"/>
    <x v="40"/>
    <s v="Combined Heat and Power, Industrial Power"/>
    <x v="3"/>
    <n v="77386"/>
  </r>
  <r>
    <x v="1"/>
    <x v="40"/>
    <s v="Combined Heat and Power, Industrial Power"/>
    <x v="12"/>
    <n v="7945"/>
  </r>
  <r>
    <x v="1"/>
    <x v="40"/>
    <s v="Combined Heat and Power, Industrial Power"/>
    <x v="8"/>
    <n v="8330"/>
  </r>
  <r>
    <x v="1"/>
    <x v="40"/>
    <s v="Combined Heat and Power, Industrial Power"/>
    <x v="9"/>
    <n v="5821"/>
  </r>
  <r>
    <x v="1"/>
    <x v="40"/>
    <s v="Combined Heat and Power, Industrial Power"/>
    <x v="4"/>
    <n v="94774"/>
  </r>
  <r>
    <x v="1"/>
    <x v="40"/>
    <s v="Combined Heat and Power, Industrial Power"/>
    <x v="6"/>
    <n v="1377836"/>
  </r>
  <r>
    <x v="1"/>
    <x v="40"/>
    <s v="Combined Heat and Power, Commercial Power"/>
    <x v="0"/>
    <n v="76742"/>
  </r>
  <r>
    <x v="1"/>
    <x v="40"/>
    <s v="Combined Heat and Power, Commercial Power"/>
    <x v="2"/>
    <n v="2376"/>
  </r>
  <r>
    <x v="1"/>
    <x v="40"/>
    <s v="Combined Heat and Power, Commercial Power"/>
    <x v="3"/>
    <n v="20555"/>
  </r>
  <r>
    <x v="1"/>
    <x v="40"/>
    <s v="Combined Heat and Power, Commercial Power"/>
    <x v="8"/>
    <n v="51081"/>
  </r>
  <r>
    <x v="1"/>
    <x v="40"/>
    <s v="Combined Heat and Power, Commercial Power"/>
    <x v="4"/>
    <n v="2730"/>
  </r>
  <r>
    <x v="1"/>
    <x v="41"/>
    <s v="Total Electric Power Industry"/>
    <x v="0"/>
    <n v="6572666"/>
  </r>
  <r>
    <x v="1"/>
    <x v="41"/>
    <s v="Total Electric Power Industry"/>
    <x v="1"/>
    <n v="2727087"/>
  </r>
  <r>
    <x v="1"/>
    <x v="41"/>
    <s v="Total Electric Power Industry"/>
    <x v="2"/>
    <n v="3828116"/>
  </r>
  <r>
    <x v="1"/>
    <x v="41"/>
    <s v="Total Electric Power Industry"/>
    <x v="3"/>
    <n v="9036"/>
  </r>
  <r>
    <x v="1"/>
    <x v="41"/>
    <s v="Total Electric Power Industry"/>
    <x v="4"/>
    <n v="8427"/>
  </r>
  <r>
    <x v="1"/>
    <x v="41"/>
    <s v="Electric Generators, Electric Utilities"/>
    <x v="0"/>
    <n v="6572666"/>
  </r>
  <r>
    <x v="1"/>
    <x v="41"/>
    <s v="Electric Generators, Electric Utilities"/>
    <x v="1"/>
    <n v="2727087"/>
  </r>
  <r>
    <x v="1"/>
    <x v="41"/>
    <s v="Electric Generators, Electric Utilities"/>
    <x v="2"/>
    <n v="3828116"/>
  </r>
  <r>
    <x v="1"/>
    <x v="41"/>
    <s v="Electric Generators, Electric Utilities"/>
    <x v="3"/>
    <n v="9036"/>
  </r>
  <r>
    <x v="1"/>
    <x v="41"/>
    <s v="Electric Generators, Electric Utilities"/>
    <x v="4"/>
    <n v="8427"/>
  </r>
  <r>
    <x v="1"/>
    <x v="42"/>
    <s v="Total Electric Power Industry"/>
    <x v="0"/>
    <n v="76192806"/>
  </r>
  <r>
    <x v="1"/>
    <x v="42"/>
    <s v="Total Electric Power Industry"/>
    <x v="1"/>
    <n v="48236733"/>
  </r>
  <r>
    <x v="1"/>
    <x v="42"/>
    <s v="Total Electric Power Industry"/>
    <x v="2"/>
    <n v="10872944"/>
  </r>
  <r>
    <x v="1"/>
    <x v="42"/>
    <s v="Total Electric Power Industry"/>
    <x v="3"/>
    <n v="197260"/>
  </r>
  <r>
    <x v="1"/>
    <x v="42"/>
    <s v="Total Electric Power Industry"/>
    <x v="7"/>
    <n v="16586744"/>
  </r>
  <r>
    <x v="1"/>
    <x v="42"/>
    <s v="Total Electric Power Industry"/>
    <x v="12"/>
    <n v="38926"/>
  </r>
  <r>
    <x v="1"/>
    <x v="42"/>
    <s v="Total Electric Power Industry"/>
    <x v="8"/>
    <n v="36354"/>
  </r>
  <r>
    <x v="1"/>
    <x v="42"/>
    <s v="Total Electric Power Industry"/>
    <x v="9"/>
    <n v="3153"/>
  </r>
  <r>
    <x v="1"/>
    <x v="42"/>
    <s v="Total Electric Power Industry"/>
    <x v="4"/>
    <n v="172265"/>
  </r>
  <r>
    <x v="1"/>
    <x v="42"/>
    <s v="Total Electric Power Industry"/>
    <x v="10"/>
    <n v="-376338"/>
  </r>
  <r>
    <x v="1"/>
    <x v="42"/>
    <s v="Total Electric Power Industry"/>
    <x v="6"/>
    <n v="424765"/>
  </r>
  <r>
    <x v="1"/>
    <x v="42"/>
    <s v="Electric Generators, Electric Utilities"/>
    <x v="0"/>
    <n v="73931670"/>
  </r>
  <r>
    <x v="1"/>
    <x v="42"/>
    <s v="Electric Generators, Electric Utilities"/>
    <x v="1"/>
    <n v="46671234"/>
  </r>
  <r>
    <x v="1"/>
    <x v="42"/>
    <s v="Electric Generators, Electric Utilities"/>
    <x v="2"/>
    <n v="10872944"/>
  </r>
  <r>
    <x v="1"/>
    <x v="42"/>
    <s v="Electric Generators, Electric Utilities"/>
    <x v="3"/>
    <n v="17014"/>
  </r>
  <r>
    <x v="1"/>
    <x v="42"/>
    <s v="Electric Generators, Electric Utilities"/>
    <x v="7"/>
    <n v="16586744"/>
  </r>
  <r>
    <x v="1"/>
    <x v="42"/>
    <s v="Electric Generators, Electric Utilities"/>
    <x v="4"/>
    <n v="160072"/>
  </r>
  <r>
    <x v="1"/>
    <x v="42"/>
    <s v="Electric Generators, Electric Utilities"/>
    <x v="10"/>
    <n v="-376338"/>
  </r>
  <r>
    <x v="1"/>
    <x v="42"/>
    <s v="Combined Heat and Power, Industrial Power"/>
    <x v="0"/>
    <n v="2160388"/>
  </r>
  <r>
    <x v="1"/>
    <x v="42"/>
    <s v="Combined Heat and Power, Industrial Power"/>
    <x v="1"/>
    <n v="1501692"/>
  </r>
  <r>
    <x v="1"/>
    <x v="42"/>
    <s v="Combined Heat and Power, Industrial Power"/>
    <x v="3"/>
    <n v="179659"/>
  </r>
  <r>
    <x v="1"/>
    <x v="42"/>
    <s v="Combined Heat and Power, Industrial Power"/>
    <x v="12"/>
    <n v="38926"/>
  </r>
  <r>
    <x v="1"/>
    <x v="42"/>
    <s v="Combined Heat and Power, Industrial Power"/>
    <x v="9"/>
    <n v="3153"/>
  </r>
  <r>
    <x v="1"/>
    <x v="42"/>
    <s v="Combined Heat and Power, Industrial Power"/>
    <x v="4"/>
    <n v="12193"/>
  </r>
  <r>
    <x v="1"/>
    <x v="42"/>
    <s v="Combined Heat and Power, Industrial Power"/>
    <x v="6"/>
    <n v="424765"/>
  </r>
  <r>
    <x v="1"/>
    <x v="42"/>
    <s v="Combined Heat and Power, Commercial Power"/>
    <x v="0"/>
    <n v="100748"/>
  </r>
  <r>
    <x v="1"/>
    <x v="42"/>
    <s v="Combined Heat and Power, Commercial Power"/>
    <x v="1"/>
    <n v="63807"/>
  </r>
  <r>
    <x v="1"/>
    <x v="42"/>
    <s v="Combined Heat and Power, Commercial Power"/>
    <x v="3"/>
    <n v="587"/>
  </r>
  <r>
    <x v="1"/>
    <x v="42"/>
    <s v="Combined Heat and Power, Commercial Power"/>
    <x v="8"/>
    <n v="36354"/>
  </r>
  <r>
    <x v="1"/>
    <x v="43"/>
    <s v="Total Electric Power Industry"/>
    <x v="0"/>
    <n v="286328708"/>
  </r>
  <r>
    <x v="1"/>
    <x v="43"/>
    <s v="Total Electric Power Industry"/>
    <x v="1"/>
    <n v="120845051"/>
  </r>
  <r>
    <x v="1"/>
    <x v="43"/>
    <s v="Total Electric Power Industry"/>
    <x v="2"/>
    <n v="2224581"/>
  </r>
  <r>
    <x v="1"/>
    <x v="43"/>
    <s v="Total Electric Power Industry"/>
    <x v="3"/>
    <n v="136442893"/>
  </r>
  <r>
    <x v="1"/>
    <x v="43"/>
    <s v="Total Electric Power Industry"/>
    <x v="7"/>
    <n v="19799867"/>
  </r>
  <r>
    <x v="1"/>
    <x v="43"/>
    <s v="Total Electric Power Industry"/>
    <x v="12"/>
    <n v="705801"/>
  </r>
  <r>
    <x v="1"/>
    <x v="43"/>
    <s v="Total Electric Power Industry"/>
    <x v="8"/>
    <n v="330029"/>
  </r>
  <r>
    <x v="1"/>
    <x v="43"/>
    <s v="Total Electric Power Industry"/>
    <x v="9"/>
    <n v="3320535"/>
  </r>
  <r>
    <x v="1"/>
    <x v="43"/>
    <s v="Total Electric Power Industry"/>
    <x v="4"/>
    <n v="1492995"/>
  </r>
  <r>
    <x v="1"/>
    <x v="43"/>
    <s v="Total Electric Power Industry"/>
    <x v="13"/>
    <n v="371"/>
  </r>
  <r>
    <x v="1"/>
    <x v="43"/>
    <s v="Total Electric Power Industry"/>
    <x v="6"/>
    <n v="1166585"/>
  </r>
  <r>
    <x v="1"/>
    <x v="43"/>
    <s v="Electric Generators, Independent Power Producers"/>
    <x v="0"/>
    <n v="23819"/>
  </r>
  <r>
    <x v="1"/>
    <x v="43"/>
    <s v="Electric Generators, Independent Power Producers"/>
    <x v="8"/>
    <n v="23819"/>
  </r>
  <r>
    <x v="1"/>
    <x v="43"/>
    <s v="Electric Generators, Electric Utilities"/>
    <x v="0"/>
    <n v="238343368"/>
  </r>
  <r>
    <x v="1"/>
    <x v="43"/>
    <s v="Electric Generators, Electric Utilities"/>
    <x v="1"/>
    <n v="118085107"/>
  </r>
  <r>
    <x v="1"/>
    <x v="43"/>
    <s v="Electric Generators, Electric Utilities"/>
    <x v="2"/>
    <n v="2224581"/>
  </r>
  <r>
    <x v="1"/>
    <x v="43"/>
    <s v="Electric Generators, Electric Utilities"/>
    <x v="3"/>
    <n v="97738623"/>
  </r>
  <r>
    <x v="1"/>
    <x v="43"/>
    <s v="Electric Generators, Electric Utilities"/>
    <x v="7"/>
    <n v="19799867"/>
  </r>
  <r>
    <x v="1"/>
    <x v="43"/>
    <s v="Electric Generators, Electric Utilities"/>
    <x v="8"/>
    <n v="276105"/>
  </r>
  <r>
    <x v="1"/>
    <x v="43"/>
    <s v="Electric Generators, Electric Utilities"/>
    <x v="4"/>
    <n v="218714"/>
  </r>
  <r>
    <x v="1"/>
    <x v="43"/>
    <s v="Electric Generators, Electric Utilities"/>
    <x v="13"/>
    <n v="371"/>
  </r>
  <r>
    <x v="1"/>
    <x v="43"/>
    <s v="Combined Heat and Power, Industrial Power"/>
    <x v="0"/>
    <n v="33904641"/>
  </r>
  <r>
    <x v="1"/>
    <x v="43"/>
    <s v="Combined Heat and Power, Industrial Power"/>
    <x v="1"/>
    <n v="2759944"/>
  </r>
  <r>
    <x v="1"/>
    <x v="43"/>
    <s v="Combined Heat and Power, Industrial Power"/>
    <x v="3"/>
    <n v="25084689"/>
  </r>
  <r>
    <x v="1"/>
    <x v="43"/>
    <s v="Combined Heat and Power, Industrial Power"/>
    <x v="12"/>
    <n v="412160"/>
  </r>
  <r>
    <x v="1"/>
    <x v="43"/>
    <s v="Combined Heat and Power, Industrial Power"/>
    <x v="8"/>
    <n v="27238"/>
  </r>
  <r>
    <x v="1"/>
    <x v="43"/>
    <s v="Combined Heat and Power, Industrial Power"/>
    <x v="9"/>
    <n v="3190286"/>
  </r>
  <r>
    <x v="1"/>
    <x v="43"/>
    <s v="Combined Heat and Power, Industrial Power"/>
    <x v="4"/>
    <n v="1263739"/>
  </r>
  <r>
    <x v="1"/>
    <x v="43"/>
    <s v="Combined Heat and Power, Industrial Power"/>
    <x v="6"/>
    <n v="1166585"/>
  </r>
  <r>
    <x v="1"/>
    <x v="43"/>
    <s v="Combined Heat and Power, Electric Power"/>
    <x v="0"/>
    <n v="13588881"/>
  </r>
  <r>
    <x v="1"/>
    <x v="43"/>
    <s v="Combined Heat and Power, Electric Power"/>
    <x v="3"/>
    <n v="13163034"/>
  </r>
  <r>
    <x v="1"/>
    <x v="43"/>
    <s v="Combined Heat and Power, Electric Power"/>
    <x v="12"/>
    <n v="293641"/>
  </r>
  <r>
    <x v="1"/>
    <x v="43"/>
    <s v="Combined Heat and Power, Electric Power"/>
    <x v="9"/>
    <n v="130249"/>
  </r>
  <r>
    <x v="1"/>
    <x v="43"/>
    <s v="Combined Heat and Power, Electric Power"/>
    <x v="4"/>
    <n v="1957"/>
  </r>
  <r>
    <x v="1"/>
    <x v="43"/>
    <s v="Combined Heat and Power, Commercial Power"/>
    <x v="0"/>
    <n v="467999"/>
  </r>
  <r>
    <x v="1"/>
    <x v="43"/>
    <s v="Combined Heat and Power, Commercial Power"/>
    <x v="3"/>
    <n v="456547"/>
  </r>
  <r>
    <x v="1"/>
    <x v="43"/>
    <s v="Combined Heat and Power, Commercial Power"/>
    <x v="8"/>
    <n v="2867"/>
  </r>
  <r>
    <x v="1"/>
    <x v="43"/>
    <s v="Combined Heat and Power, Commercial Power"/>
    <x v="4"/>
    <n v="8585"/>
  </r>
  <r>
    <x v="1"/>
    <x v="44"/>
    <s v="Total Electric Power Industry"/>
    <x v="0"/>
    <n v="3073798885"/>
  </r>
  <r>
    <x v="1"/>
    <x v="44"/>
    <s v="Total Electric Power Industry"/>
    <x v="1"/>
    <n v="1590622748"/>
  </r>
  <r>
    <x v="1"/>
    <x v="44"/>
    <s v="Total Electric Power Industry"/>
    <x v="11"/>
    <n v="15966444"/>
  </r>
  <r>
    <x v="1"/>
    <x v="44"/>
    <s v="Total Electric Power Industry"/>
    <x v="2"/>
    <n v="288994189"/>
  </r>
  <r>
    <x v="1"/>
    <x v="44"/>
    <s v="Total Electric Power Industry"/>
    <x v="3"/>
    <n v="381553017"/>
  </r>
  <r>
    <x v="1"/>
    <x v="44"/>
    <s v="Total Electric Power Industry"/>
    <x v="7"/>
    <n v="612565087"/>
  </r>
  <r>
    <x v="1"/>
    <x v="44"/>
    <s v="Total Electric Power Industry"/>
    <x v="12"/>
    <n v="4738849"/>
  </r>
  <r>
    <x v="1"/>
    <x v="44"/>
    <s v="Total Electric Power Industry"/>
    <x v="8"/>
    <n v="15664746"/>
  </r>
  <r>
    <x v="1"/>
    <x v="44"/>
    <s v="Total Electric Power Industry"/>
    <x v="9"/>
    <n v="11335593"/>
  </r>
  <r>
    <x v="1"/>
    <x v="44"/>
    <s v="Total Electric Power Industry"/>
    <x v="4"/>
    <n v="119751573"/>
  </r>
  <r>
    <x v="1"/>
    <x v="44"/>
    <s v="Total Electric Power Industry"/>
    <x v="10"/>
    <n v="-4541435"/>
  </r>
  <r>
    <x v="1"/>
    <x v="44"/>
    <s v="Total Electric Power Industry"/>
    <x v="13"/>
    <n v="471765"/>
  </r>
  <r>
    <x v="1"/>
    <x v="44"/>
    <s v="Total Electric Power Industry"/>
    <x v="5"/>
    <n v="2950951"/>
  </r>
  <r>
    <x v="1"/>
    <x v="44"/>
    <s v="Total Electric Power Industry"/>
    <x v="6"/>
    <n v="33725358"/>
  </r>
  <r>
    <x v="1"/>
    <x v="44"/>
    <s v="Electric Generators, Independent Power Producers"/>
    <x v="0"/>
    <n v="38596051"/>
  </r>
  <r>
    <x v="1"/>
    <x v="44"/>
    <s v="Electric Generators, Independent Power Producers"/>
    <x v="1"/>
    <n v="757440"/>
  </r>
  <r>
    <x v="1"/>
    <x v="44"/>
    <s v="Electric Generators, Independent Power Producers"/>
    <x v="11"/>
    <n v="7879389"/>
  </r>
  <r>
    <x v="1"/>
    <x v="44"/>
    <s v="Electric Generators, Independent Power Producers"/>
    <x v="2"/>
    <n v="5958822"/>
  </r>
  <r>
    <x v="1"/>
    <x v="44"/>
    <s v="Electric Generators, Independent Power Producers"/>
    <x v="3"/>
    <n v="3604263"/>
  </r>
  <r>
    <x v="1"/>
    <x v="44"/>
    <s v="Electric Generators, Independent Power Producers"/>
    <x v="8"/>
    <n v="10929461"/>
  </r>
  <r>
    <x v="1"/>
    <x v="44"/>
    <s v="Electric Generators, Independent Power Producers"/>
    <x v="9"/>
    <n v="2975"/>
  </r>
  <r>
    <x v="1"/>
    <x v="44"/>
    <s v="Electric Generators, Independent Power Producers"/>
    <x v="4"/>
    <n v="745467"/>
  </r>
  <r>
    <x v="1"/>
    <x v="44"/>
    <s v="Electric Generators, Independent Power Producers"/>
    <x v="13"/>
    <n v="468427"/>
  </r>
  <r>
    <x v="1"/>
    <x v="44"/>
    <s v="Electric Generators, Independent Power Producers"/>
    <x v="5"/>
    <n v="2950666"/>
  </r>
  <r>
    <x v="1"/>
    <x v="44"/>
    <s v="Electric Generators, Independent Power Producers"/>
    <x v="6"/>
    <n v="5299141"/>
  </r>
  <r>
    <x v="1"/>
    <x v="44"/>
    <s v="Electric Generators, Electric Utilities"/>
    <x v="0"/>
    <n v="2825022865"/>
  </r>
  <r>
    <x v="1"/>
    <x v="44"/>
    <s v="Electric Generators, Electric Utilities"/>
    <x v="1"/>
    <n v="1551166838"/>
  </r>
  <r>
    <x v="1"/>
    <x v="44"/>
    <s v="Electric Generators, Electric Utilities"/>
    <x v="11"/>
    <n v="8087055"/>
  </r>
  <r>
    <x v="1"/>
    <x v="44"/>
    <s v="Electric Generators, Electric Utilities"/>
    <x v="2"/>
    <n v="280060621"/>
  </r>
  <r>
    <x v="1"/>
    <x v="44"/>
    <s v="Electric Generators, Electric Utilities"/>
    <x v="3"/>
    <n v="264171598"/>
  </r>
  <r>
    <x v="1"/>
    <x v="44"/>
    <s v="Electric Generators, Electric Utilities"/>
    <x v="7"/>
    <n v="612565087"/>
  </r>
  <r>
    <x v="1"/>
    <x v="44"/>
    <s v="Electric Generators, Electric Utilities"/>
    <x v="8"/>
    <n v="1314122"/>
  </r>
  <r>
    <x v="1"/>
    <x v="44"/>
    <s v="Electric Generators, Electric Utilities"/>
    <x v="4"/>
    <n v="111462979"/>
  </r>
  <r>
    <x v="1"/>
    <x v="44"/>
    <s v="Electric Generators, Electric Utilities"/>
    <x v="10"/>
    <n v="-4541435"/>
  </r>
  <r>
    <x v="1"/>
    <x v="44"/>
    <s v="Electric Generators, Electric Utilities"/>
    <x v="13"/>
    <n v="3338"/>
  </r>
  <r>
    <x v="1"/>
    <x v="44"/>
    <s v="Electric Generators, Electric Utilities"/>
    <x v="5"/>
    <n v="285"/>
  </r>
  <r>
    <x v="1"/>
    <x v="44"/>
    <s v="Electric Generators, Electric Utilities"/>
    <x v="6"/>
    <n v="732377"/>
  </r>
  <r>
    <x v="1"/>
    <x v="44"/>
    <s v="Combined Heat and Power, Industrial Power"/>
    <x v="0"/>
    <n v="132579190"/>
  </r>
  <r>
    <x v="1"/>
    <x v="44"/>
    <s v="Combined Heat and Power, Industrial Power"/>
    <x v="1"/>
    <n v="21001912"/>
  </r>
  <r>
    <x v="1"/>
    <x v="44"/>
    <s v="Combined Heat and Power, Industrial Power"/>
    <x v="2"/>
    <n v="2843550"/>
  </r>
  <r>
    <x v="1"/>
    <x v="44"/>
    <s v="Combined Heat and Power, Industrial Power"/>
    <x v="3"/>
    <n v="60566634"/>
  </r>
  <r>
    <x v="1"/>
    <x v="44"/>
    <s v="Combined Heat and Power, Industrial Power"/>
    <x v="12"/>
    <n v="4335653"/>
  </r>
  <r>
    <x v="1"/>
    <x v="44"/>
    <s v="Combined Heat and Power, Industrial Power"/>
    <x v="8"/>
    <n v="927410"/>
  </r>
  <r>
    <x v="1"/>
    <x v="44"/>
    <s v="Combined Heat and Power, Industrial Power"/>
    <x v="9"/>
    <n v="10500865"/>
  </r>
  <r>
    <x v="1"/>
    <x v="44"/>
    <s v="Combined Heat and Power, Industrial Power"/>
    <x v="4"/>
    <n v="6540015"/>
  </r>
  <r>
    <x v="1"/>
    <x v="44"/>
    <s v="Combined Heat and Power, Industrial Power"/>
    <x v="6"/>
    <n v="25863151"/>
  </r>
  <r>
    <x v="1"/>
    <x v="44"/>
    <s v="Combined Heat and Power, Electric Power"/>
    <x v="0"/>
    <n v="71941755"/>
  </r>
  <r>
    <x v="1"/>
    <x v="44"/>
    <s v="Combined Heat and Power, Electric Power"/>
    <x v="1"/>
    <n v="16921357"/>
  </r>
  <r>
    <x v="1"/>
    <x v="44"/>
    <s v="Combined Heat and Power, Electric Power"/>
    <x v="3"/>
    <n v="49997498"/>
  </r>
  <r>
    <x v="1"/>
    <x v="44"/>
    <s v="Combined Heat and Power, Electric Power"/>
    <x v="12"/>
    <n v="402581"/>
  </r>
  <r>
    <x v="1"/>
    <x v="44"/>
    <s v="Combined Heat and Power, Electric Power"/>
    <x v="8"/>
    <n v="1610345"/>
  </r>
  <r>
    <x v="1"/>
    <x v="44"/>
    <s v="Combined Heat and Power, Electric Power"/>
    <x v="9"/>
    <n v="716099"/>
  </r>
  <r>
    <x v="1"/>
    <x v="44"/>
    <s v="Combined Heat and Power, Electric Power"/>
    <x v="4"/>
    <n v="589718"/>
  </r>
  <r>
    <x v="1"/>
    <x v="44"/>
    <s v="Combined Heat and Power, Electric Power"/>
    <x v="6"/>
    <n v="1704157"/>
  </r>
  <r>
    <x v="1"/>
    <x v="44"/>
    <s v="Combined Heat and Power, Commercial Power"/>
    <x v="0"/>
    <n v="5659024"/>
  </r>
  <r>
    <x v="1"/>
    <x v="44"/>
    <s v="Combined Heat and Power, Commercial Power"/>
    <x v="1"/>
    <n v="775201"/>
  </r>
  <r>
    <x v="1"/>
    <x v="44"/>
    <s v="Combined Heat and Power, Commercial Power"/>
    <x v="2"/>
    <n v="131196"/>
  </r>
  <r>
    <x v="1"/>
    <x v="44"/>
    <s v="Combined Heat and Power, Commercial Power"/>
    <x v="3"/>
    <n v="3213024"/>
  </r>
  <r>
    <x v="1"/>
    <x v="44"/>
    <s v="Combined Heat and Power, Commercial Power"/>
    <x v="12"/>
    <n v="615"/>
  </r>
  <r>
    <x v="1"/>
    <x v="44"/>
    <s v="Combined Heat and Power, Commercial Power"/>
    <x v="8"/>
    <n v="883408"/>
  </r>
  <r>
    <x v="1"/>
    <x v="44"/>
    <s v="Combined Heat and Power, Commercial Power"/>
    <x v="9"/>
    <n v="115654"/>
  </r>
  <r>
    <x v="1"/>
    <x v="44"/>
    <s v="Combined Heat and Power, Commercial Power"/>
    <x v="4"/>
    <n v="413394"/>
  </r>
  <r>
    <x v="1"/>
    <x v="44"/>
    <s v="Combined Heat and Power, Commercial Power"/>
    <x v="6"/>
    <n v="126532"/>
  </r>
  <r>
    <x v="1"/>
    <x v="45"/>
    <s v="Total Electric Power Industry"/>
    <x v="0"/>
    <n v="30505906"/>
  </r>
  <r>
    <x v="1"/>
    <x v="45"/>
    <s v="Total Electric Power Industry"/>
    <x v="1"/>
    <n v="28887600"/>
  </r>
  <r>
    <x v="1"/>
    <x v="45"/>
    <s v="Total Electric Power Industry"/>
    <x v="11"/>
    <n v="186241"/>
  </r>
  <r>
    <x v="1"/>
    <x v="45"/>
    <s v="Total Electric Power Industry"/>
    <x v="2"/>
    <n v="626965"/>
  </r>
  <r>
    <x v="1"/>
    <x v="45"/>
    <s v="Total Electric Power Industry"/>
    <x v="3"/>
    <n v="549984"/>
  </r>
  <r>
    <x v="1"/>
    <x v="45"/>
    <s v="Total Electric Power Industry"/>
    <x v="9"/>
    <n v="203802"/>
  </r>
  <r>
    <x v="1"/>
    <x v="45"/>
    <s v="Total Electric Power Industry"/>
    <x v="4"/>
    <n v="51314"/>
  </r>
  <r>
    <x v="1"/>
    <x v="45"/>
    <s v="Total Electric Power Industry"/>
    <x v="10"/>
    <n v="0"/>
  </r>
  <r>
    <x v="1"/>
    <x v="45"/>
    <s v="Electric Generators, Independent Power Producers"/>
    <x v="0"/>
    <n v="22701"/>
  </r>
  <r>
    <x v="1"/>
    <x v="45"/>
    <s v="Electric Generators, Independent Power Producers"/>
    <x v="2"/>
    <n v="22701"/>
  </r>
  <r>
    <x v="1"/>
    <x v="45"/>
    <s v="Electric Generators, Electric Utilities"/>
    <x v="0"/>
    <n v="30158463"/>
  </r>
  <r>
    <x v="1"/>
    <x v="45"/>
    <s v="Electric Generators, Electric Utilities"/>
    <x v="1"/>
    <n v="28883914"/>
  </r>
  <r>
    <x v="1"/>
    <x v="45"/>
    <s v="Electric Generators, Electric Utilities"/>
    <x v="11"/>
    <n v="186241"/>
  </r>
  <r>
    <x v="1"/>
    <x v="45"/>
    <s v="Electric Generators, Electric Utilities"/>
    <x v="2"/>
    <n v="604264"/>
  </r>
  <r>
    <x v="1"/>
    <x v="45"/>
    <s v="Electric Generators, Electric Utilities"/>
    <x v="3"/>
    <n v="436458"/>
  </r>
  <r>
    <x v="1"/>
    <x v="45"/>
    <s v="Electric Generators, Electric Utilities"/>
    <x v="4"/>
    <n v="47586"/>
  </r>
  <r>
    <x v="1"/>
    <x v="45"/>
    <s v="Electric Generators, Electric Utilities"/>
    <x v="10"/>
    <n v="0"/>
  </r>
  <r>
    <x v="1"/>
    <x v="45"/>
    <s v="Combined Heat and Power, Industrial Power"/>
    <x v="0"/>
    <n v="294414"/>
  </r>
  <r>
    <x v="1"/>
    <x v="45"/>
    <s v="Combined Heat and Power, Industrial Power"/>
    <x v="1"/>
    <n v="3686"/>
  </r>
  <r>
    <x v="1"/>
    <x v="45"/>
    <s v="Combined Heat and Power, Industrial Power"/>
    <x v="3"/>
    <n v="83276"/>
  </r>
  <r>
    <x v="1"/>
    <x v="45"/>
    <s v="Combined Heat and Power, Industrial Power"/>
    <x v="9"/>
    <n v="203802"/>
  </r>
  <r>
    <x v="1"/>
    <x v="45"/>
    <s v="Combined Heat and Power, Industrial Power"/>
    <x v="4"/>
    <n v="3650"/>
  </r>
  <r>
    <x v="1"/>
    <x v="45"/>
    <s v="Combined Heat and Power, Commercial Power"/>
    <x v="0"/>
    <n v="30328"/>
  </r>
  <r>
    <x v="1"/>
    <x v="45"/>
    <s v="Combined Heat and Power, Commercial Power"/>
    <x v="3"/>
    <n v="30250"/>
  </r>
  <r>
    <x v="1"/>
    <x v="45"/>
    <s v="Combined Heat and Power, Commercial Power"/>
    <x v="4"/>
    <n v="78"/>
  </r>
  <r>
    <x v="1"/>
    <x v="46"/>
    <s v="Total Electric Power Industry"/>
    <x v="0"/>
    <n v="54729094"/>
  </r>
  <r>
    <x v="1"/>
    <x v="46"/>
    <s v="Total Electric Power Industry"/>
    <x v="1"/>
    <n v="24821391"/>
  </r>
  <r>
    <x v="1"/>
    <x v="46"/>
    <s v="Total Electric Power Industry"/>
    <x v="2"/>
    <n v="1080055"/>
  </r>
  <r>
    <x v="1"/>
    <x v="46"/>
    <s v="Total Electric Power Industry"/>
    <x v="3"/>
    <n v="1730887"/>
  </r>
  <r>
    <x v="1"/>
    <x v="46"/>
    <s v="Total Electric Power Industry"/>
    <x v="7"/>
    <n v="23886268"/>
  </r>
  <r>
    <x v="1"/>
    <x v="46"/>
    <s v="Total Electric Power Industry"/>
    <x v="8"/>
    <n v="701129"/>
  </r>
  <r>
    <x v="1"/>
    <x v="46"/>
    <s v="Total Electric Power Industry"/>
    <x v="4"/>
    <n v="2353996"/>
  </r>
  <r>
    <x v="1"/>
    <x v="46"/>
    <s v="Total Electric Power Industry"/>
    <x v="10"/>
    <n v="-1037665"/>
  </r>
  <r>
    <x v="1"/>
    <x v="46"/>
    <s v="Total Electric Power Industry"/>
    <x v="13"/>
    <n v="33"/>
  </r>
  <r>
    <x v="1"/>
    <x v="46"/>
    <s v="Total Electric Power Industry"/>
    <x v="6"/>
    <n v="1193000"/>
  </r>
  <r>
    <x v="1"/>
    <x v="46"/>
    <s v="Electric Generators, Independent Power Producers"/>
    <x v="0"/>
    <n v="813240"/>
  </r>
  <r>
    <x v="1"/>
    <x v="46"/>
    <s v="Electric Generators, Independent Power Producers"/>
    <x v="2"/>
    <n v="50437"/>
  </r>
  <r>
    <x v="1"/>
    <x v="46"/>
    <s v="Electric Generators, Independent Power Producers"/>
    <x v="3"/>
    <n v="228247"/>
  </r>
  <r>
    <x v="1"/>
    <x v="46"/>
    <s v="Electric Generators, Independent Power Producers"/>
    <x v="8"/>
    <n v="534556"/>
  </r>
  <r>
    <x v="1"/>
    <x v="46"/>
    <s v="Electric Generators, Electric Utilities"/>
    <x v="0"/>
    <n v="48940655"/>
  </r>
  <r>
    <x v="1"/>
    <x v="46"/>
    <s v="Electric Generators, Electric Utilities"/>
    <x v="1"/>
    <n v="21939027"/>
  </r>
  <r>
    <x v="1"/>
    <x v="46"/>
    <s v="Electric Generators, Electric Utilities"/>
    <x v="2"/>
    <n v="1012074"/>
  </r>
  <r>
    <x v="1"/>
    <x v="46"/>
    <s v="Electric Generators, Electric Utilities"/>
    <x v="3"/>
    <n v="1104440"/>
  </r>
  <r>
    <x v="1"/>
    <x v="46"/>
    <s v="Electric Generators, Electric Utilities"/>
    <x v="7"/>
    <n v="23886268"/>
  </r>
  <r>
    <x v="1"/>
    <x v="46"/>
    <s v="Electric Generators, Electric Utilities"/>
    <x v="4"/>
    <n v="2036478"/>
  </r>
  <r>
    <x v="1"/>
    <x v="46"/>
    <s v="Electric Generators, Electric Utilities"/>
    <x v="10"/>
    <n v="-1037665"/>
  </r>
  <r>
    <x v="1"/>
    <x v="46"/>
    <s v="Electric Generators, Electric Utilities"/>
    <x v="13"/>
    <n v="33"/>
  </r>
  <r>
    <x v="1"/>
    <x v="46"/>
    <s v="Combined Heat and Power, Industrial Power"/>
    <x v="0"/>
    <n v="2492829"/>
  </r>
  <r>
    <x v="1"/>
    <x v="46"/>
    <s v="Combined Heat and Power, Industrial Power"/>
    <x v="1"/>
    <n v="1037722"/>
  </r>
  <r>
    <x v="1"/>
    <x v="46"/>
    <s v="Combined Heat and Power, Industrial Power"/>
    <x v="2"/>
    <n v="17544"/>
  </r>
  <r>
    <x v="1"/>
    <x v="46"/>
    <s v="Combined Heat and Power, Industrial Power"/>
    <x v="3"/>
    <n v="31521"/>
  </r>
  <r>
    <x v="1"/>
    <x v="46"/>
    <s v="Combined Heat and Power, Industrial Power"/>
    <x v="8"/>
    <n v="2059"/>
  </r>
  <r>
    <x v="1"/>
    <x v="46"/>
    <s v="Combined Heat and Power, Industrial Power"/>
    <x v="4"/>
    <n v="215154"/>
  </r>
  <r>
    <x v="1"/>
    <x v="46"/>
    <s v="Combined Heat and Power, Industrial Power"/>
    <x v="6"/>
    <n v="1188829"/>
  </r>
  <r>
    <x v="1"/>
    <x v="46"/>
    <s v="Combined Heat and Power, Electric Power"/>
    <x v="0"/>
    <n v="2317856"/>
  </r>
  <r>
    <x v="1"/>
    <x v="46"/>
    <s v="Combined Heat and Power, Electric Power"/>
    <x v="1"/>
    <n v="1844642"/>
  </r>
  <r>
    <x v="1"/>
    <x v="46"/>
    <s v="Combined Heat and Power, Electric Power"/>
    <x v="3"/>
    <n v="366679"/>
  </r>
  <r>
    <x v="1"/>
    <x v="46"/>
    <s v="Combined Heat and Power, Electric Power"/>
    <x v="4"/>
    <n v="102364"/>
  </r>
  <r>
    <x v="1"/>
    <x v="46"/>
    <s v="Combined Heat and Power, Electric Power"/>
    <x v="6"/>
    <n v="4171"/>
  </r>
  <r>
    <x v="1"/>
    <x v="46"/>
    <s v="Combined Heat and Power, Commercial Power"/>
    <x v="0"/>
    <n v="164514"/>
  </r>
  <r>
    <x v="1"/>
    <x v="46"/>
    <s v="Combined Heat and Power, Commercial Power"/>
    <x v="8"/>
    <n v="164514"/>
  </r>
  <r>
    <x v="1"/>
    <x v="47"/>
    <s v="Total Electric Power Industry"/>
    <x v="0"/>
    <n v="5387985"/>
  </r>
  <r>
    <x v="1"/>
    <x v="47"/>
    <s v="Total Electric Power Industry"/>
    <x v="2"/>
    <n v="1052719"/>
  </r>
  <r>
    <x v="1"/>
    <x v="47"/>
    <s v="Total Electric Power Industry"/>
    <x v="3"/>
    <n v="95341"/>
  </r>
  <r>
    <x v="1"/>
    <x v="47"/>
    <s v="Total Electric Power Industry"/>
    <x v="7"/>
    <n v="4108314"/>
  </r>
  <r>
    <x v="1"/>
    <x v="47"/>
    <s v="Total Electric Power Industry"/>
    <x v="4"/>
    <n v="5244"/>
  </r>
  <r>
    <x v="1"/>
    <x v="47"/>
    <s v="Total Electric Power Industry"/>
    <x v="5"/>
    <n v="0"/>
  </r>
  <r>
    <x v="1"/>
    <x v="47"/>
    <s v="Total Electric Power Industry"/>
    <x v="6"/>
    <n v="126367"/>
  </r>
  <r>
    <x v="1"/>
    <x v="47"/>
    <s v="Electric Generators, Independent Power Producers"/>
    <x v="0"/>
    <n v="94518"/>
  </r>
  <r>
    <x v="1"/>
    <x v="47"/>
    <s v="Electric Generators, Independent Power Producers"/>
    <x v="2"/>
    <n v="94518"/>
  </r>
  <r>
    <x v="1"/>
    <x v="47"/>
    <s v="Electric Generators, Electric Utilities"/>
    <x v="0"/>
    <n v="5258829"/>
  </r>
  <r>
    <x v="1"/>
    <x v="47"/>
    <s v="Electric Generators, Electric Utilities"/>
    <x v="2"/>
    <n v="940608"/>
  </r>
  <r>
    <x v="1"/>
    <x v="47"/>
    <s v="Electric Generators, Electric Utilities"/>
    <x v="3"/>
    <n v="95341"/>
  </r>
  <r>
    <x v="1"/>
    <x v="47"/>
    <s v="Electric Generators, Electric Utilities"/>
    <x v="7"/>
    <n v="4108314"/>
  </r>
  <r>
    <x v="1"/>
    <x v="47"/>
    <s v="Electric Generators, Electric Utilities"/>
    <x v="4"/>
    <n v="5244"/>
  </r>
  <r>
    <x v="1"/>
    <x v="47"/>
    <s v="Electric Generators, Electric Utilities"/>
    <x v="5"/>
    <n v="0"/>
  </r>
  <r>
    <x v="1"/>
    <x v="47"/>
    <s v="Electric Generators, Electric Utilities"/>
    <x v="6"/>
    <n v="109322"/>
  </r>
  <r>
    <x v="1"/>
    <x v="47"/>
    <s v="Combined Heat and Power, Industrial Power"/>
    <x v="0"/>
    <n v="34638"/>
  </r>
  <r>
    <x v="1"/>
    <x v="47"/>
    <s v="Combined Heat and Power, Industrial Power"/>
    <x v="2"/>
    <n v="17593"/>
  </r>
  <r>
    <x v="1"/>
    <x v="47"/>
    <s v="Combined Heat and Power, Industrial Power"/>
    <x v="6"/>
    <n v="17045"/>
  </r>
  <r>
    <x v="1"/>
    <x v="48"/>
    <s v="Total Electric Power Industry"/>
    <x v="0"/>
    <n v="102870562"/>
  </r>
  <r>
    <x v="1"/>
    <x v="48"/>
    <s v="Total Electric Power Industry"/>
    <x v="1"/>
    <n v="7944779"/>
  </r>
  <r>
    <x v="1"/>
    <x v="48"/>
    <s v="Total Electric Power Industry"/>
    <x v="2"/>
    <n v="89342397"/>
  </r>
  <r>
    <x v="1"/>
    <x v="48"/>
    <s v="Total Electric Power Industry"/>
    <x v="3"/>
    <n v="460424"/>
  </r>
  <r>
    <x v="1"/>
    <x v="48"/>
    <s v="Total Electric Power Industry"/>
    <x v="7"/>
    <n v="4229868"/>
  </r>
  <r>
    <x v="1"/>
    <x v="48"/>
    <s v="Total Electric Power Industry"/>
    <x v="12"/>
    <n v="3"/>
  </r>
  <r>
    <x v="1"/>
    <x v="48"/>
    <s v="Total Electric Power Industry"/>
    <x v="8"/>
    <n v="46633"/>
  </r>
  <r>
    <x v="1"/>
    <x v="48"/>
    <s v="Total Electric Power Industry"/>
    <x v="9"/>
    <n v="97467"/>
  </r>
  <r>
    <x v="1"/>
    <x v="48"/>
    <s v="Total Electric Power Industry"/>
    <x v="4"/>
    <n v="31164"/>
  </r>
  <r>
    <x v="1"/>
    <x v="48"/>
    <s v="Total Electric Power Industry"/>
    <x v="10"/>
    <n v="0"/>
  </r>
  <r>
    <x v="1"/>
    <x v="48"/>
    <s v="Total Electric Power Industry"/>
    <x v="6"/>
    <n v="717827"/>
  </r>
  <r>
    <x v="1"/>
    <x v="48"/>
    <s v="Electric Generators, Independent Power Producers"/>
    <x v="0"/>
    <n v="188960"/>
  </r>
  <r>
    <x v="1"/>
    <x v="48"/>
    <s v="Electric Generators, Independent Power Producers"/>
    <x v="2"/>
    <n v="154225"/>
  </r>
  <r>
    <x v="1"/>
    <x v="48"/>
    <s v="Electric Generators, Independent Power Producers"/>
    <x v="3"/>
    <n v="294"/>
  </r>
  <r>
    <x v="1"/>
    <x v="48"/>
    <s v="Electric Generators, Independent Power Producers"/>
    <x v="8"/>
    <n v="34441"/>
  </r>
  <r>
    <x v="1"/>
    <x v="48"/>
    <s v="Electric Generators, Electric Utilities"/>
    <x v="0"/>
    <n v="101353045"/>
  </r>
  <r>
    <x v="1"/>
    <x v="48"/>
    <s v="Electric Generators, Electric Utilities"/>
    <x v="1"/>
    <n v="7903796"/>
  </r>
  <r>
    <x v="1"/>
    <x v="48"/>
    <s v="Electric Generators, Electric Utilities"/>
    <x v="2"/>
    <n v="88926102"/>
  </r>
  <r>
    <x v="1"/>
    <x v="48"/>
    <s v="Electric Generators, Electric Utilities"/>
    <x v="3"/>
    <n v="12093"/>
  </r>
  <r>
    <x v="1"/>
    <x v="48"/>
    <s v="Electric Generators, Electric Utilities"/>
    <x v="7"/>
    <n v="4229868"/>
  </r>
  <r>
    <x v="1"/>
    <x v="48"/>
    <s v="Electric Generators, Electric Utilities"/>
    <x v="4"/>
    <n v="7121"/>
  </r>
  <r>
    <x v="1"/>
    <x v="48"/>
    <s v="Electric Generators, Electric Utilities"/>
    <x v="10"/>
    <n v="0"/>
  </r>
  <r>
    <x v="1"/>
    <x v="48"/>
    <s v="Electric Generators, Electric Utilities"/>
    <x v="6"/>
    <n v="274065"/>
  </r>
  <r>
    <x v="1"/>
    <x v="48"/>
    <s v="Combined Heat and Power, Industrial Power"/>
    <x v="0"/>
    <n v="977534"/>
  </r>
  <r>
    <x v="1"/>
    <x v="48"/>
    <s v="Combined Heat and Power, Industrial Power"/>
    <x v="1"/>
    <n v="27644"/>
  </r>
  <r>
    <x v="1"/>
    <x v="48"/>
    <s v="Combined Heat and Power, Industrial Power"/>
    <x v="2"/>
    <n v="183377"/>
  </r>
  <r>
    <x v="1"/>
    <x v="48"/>
    <s v="Combined Heat and Power, Industrial Power"/>
    <x v="3"/>
    <n v="288014"/>
  </r>
  <r>
    <x v="1"/>
    <x v="48"/>
    <s v="Combined Heat and Power, Industrial Power"/>
    <x v="12"/>
    <n v="3"/>
  </r>
  <r>
    <x v="1"/>
    <x v="48"/>
    <s v="Combined Heat and Power, Industrial Power"/>
    <x v="8"/>
    <n v="12192"/>
  </r>
  <r>
    <x v="1"/>
    <x v="48"/>
    <s v="Combined Heat and Power, Industrial Power"/>
    <x v="4"/>
    <n v="22542"/>
  </r>
  <r>
    <x v="1"/>
    <x v="48"/>
    <s v="Combined Heat and Power, Industrial Power"/>
    <x v="6"/>
    <n v="443762"/>
  </r>
  <r>
    <x v="1"/>
    <x v="48"/>
    <s v="Combined Heat and Power, Electric Power"/>
    <x v="0"/>
    <n v="256829"/>
  </r>
  <r>
    <x v="1"/>
    <x v="48"/>
    <s v="Combined Heat and Power, Electric Power"/>
    <x v="3"/>
    <n v="157861"/>
  </r>
  <r>
    <x v="1"/>
    <x v="48"/>
    <s v="Combined Heat and Power, Electric Power"/>
    <x v="8"/>
    <n v="0"/>
  </r>
  <r>
    <x v="1"/>
    <x v="48"/>
    <s v="Combined Heat and Power, Electric Power"/>
    <x v="9"/>
    <n v="97467"/>
  </r>
  <r>
    <x v="1"/>
    <x v="48"/>
    <s v="Combined Heat and Power, Electric Power"/>
    <x v="4"/>
    <n v="1501"/>
  </r>
  <r>
    <x v="1"/>
    <x v="48"/>
    <s v="Combined Heat and Power, Commercial Power"/>
    <x v="0"/>
    <n v="94194"/>
  </r>
  <r>
    <x v="1"/>
    <x v="48"/>
    <s v="Combined Heat and Power, Commercial Power"/>
    <x v="1"/>
    <n v="13339"/>
  </r>
  <r>
    <x v="1"/>
    <x v="48"/>
    <s v="Combined Heat and Power, Commercial Power"/>
    <x v="2"/>
    <n v="78693"/>
  </r>
  <r>
    <x v="1"/>
    <x v="48"/>
    <s v="Combined Heat and Power, Commercial Power"/>
    <x v="3"/>
    <n v="2162"/>
  </r>
  <r>
    <x v="1"/>
    <x v="49"/>
    <s v="Total Electric Power Industry"/>
    <x v="0"/>
    <n v="49356737"/>
  </r>
  <r>
    <x v="1"/>
    <x v="49"/>
    <s v="Total Electric Power Industry"/>
    <x v="1"/>
    <n v="34487009"/>
  </r>
  <r>
    <x v="1"/>
    <x v="49"/>
    <s v="Total Electric Power Industry"/>
    <x v="2"/>
    <n v="2516633"/>
  </r>
  <r>
    <x v="1"/>
    <x v="49"/>
    <s v="Total Electric Power Industry"/>
    <x v="3"/>
    <n v="381590"/>
  </r>
  <r>
    <x v="1"/>
    <x v="49"/>
    <s v="Total Electric Power Industry"/>
    <x v="7"/>
    <n v="10991419"/>
  </r>
  <r>
    <x v="1"/>
    <x v="49"/>
    <s v="Total Electric Power Industry"/>
    <x v="8"/>
    <n v="135688"/>
  </r>
  <r>
    <x v="1"/>
    <x v="49"/>
    <s v="Total Electric Power Industry"/>
    <x v="4"/>
    <n v="164243"/>
  </r>
  <r>
    <x v="1"/>
    <x v="49"/>
    <s v="Total Electric Power Industry"/>
    <x v="5"/>
    <n v="6"/>
  </r>
  <r>
    <x v="1"/>
    <x v="49"/>
    <s v="Total Electric Power Industry"/>
    <x v="6"/>
    <n v="680149"/>
  </r>
  <r>
    <x v="1"/>
    <x v="49"/>
    <s v="Electric Generators, Independent Power Producers"/>
    <x v="0"/>
    <n v="107242"/>
  </r>
  <r>
    <x v="1"/>
    <x v="49"/>
    <s v="Electric Generators, Independent Power Producers"/>
    <x v="2"/>
    <n v="10563"/>
  </r>
  <r>
    <x v="1"/>
    <x v="49"/>
    <s v="Electric Generators, Independent Power Producers"/>
    <x v="8"/>
    <n v="96679"/>
  </r>
  <r>
    <x v="1"/>
    <x v="49"/>
    <s v="Electric Generators, Electric Utilities"/>
    <x v="0"/>
    <n v="47148818"/>
  </r>
  <r>
    <x v="1"/>
    <x v="49"/>
    <s v="Electric Generators, Electric Utilities"/>
    <x v="1"/>
    <n v="33489286"/>
  </r>
  <r>
    <x v="1"/>
    <x v="49"/>
    <s v="Electric Generators, Electric Utilities"/>
    <x v="2"/>
    <n v="2269563"/>
  </r>
  <r>
    <x v="1"/>
    <x v="49"/>
    <s v="Electric Generators, Electric Utilities"/>
    <x v="3"/>
    <n v="179793"/>
  </r>
  <r>
    <x v="1"/>
    <x v="49"/>
    <s v="Electric Generators, Electric Utilities"/>
    <x v="7"/>
    <n v="10991419"/>
  </r>
  <r>
    <x v="1"/>
    <x v="49"/>
    <s v="Electric Generators, Electric Utilities"/>
    <x v="8"/>
    <n v="11600"/>
  </r>
  <r>
    <x v="1"/>
    <x v="49"/>
    <s v="Electric Generators, Electric Utilities"/>
    <x v="4"/>
    <n v="62162"/>
  </r>
  <r>
    <x v="1"/>
    <x v="49"/>
    <s v="Electric Generators, Electric Utilities"/>
    <x v="5"/>
    <n v="6"/>
  </r>
  <r>
    <x v="1"/>
    <x v="49"/>
    <s v="Electric Generators, Electric Utilities"/>
    <x v="6"/>
    <n v="144989"/>
  </r>
  <r>
    <x v="1"/>
    <x v="49"/>
    <s v="Combined Heat and Power, Industrial Power"/>
    <x v="0"/>
    <n v="2083470"/>
  </r>
  <r>
    <x v="1"/>
    <x v="49"/>
    <s v="Combined Heat and Power, Industrial Power"/>
    <x v="1"/>
    <n v="997723"/>
  </r>
  <r>
    <x v="1"/>
    <x v="49"/>
    <s v="Combined Heat and Power, Industrial Power"/>
    <x v="2"/>
    <n v="225090"/>
  </r>
  <r>
    <x v="1"/>
    <x v="49"/>
    <s v="Combined Heat and Power, Industrial Power"/>
    <x v="3"/>
    <n v="201767"/>
  </r>
  <r>
    <x v="1"/>
    <x v="49"/>
    <s v="Combined Heat and Power, Industrial Power"/>
    <x v="8"/>
    <n v="21649"/>
  </r>
  <r>
    <x v="1"/>
    <x v="49"/>
    <s v="Combined Heat and Power, Industrial Power"/>
    <x v="4"/>
    <n v="102081"/>
  </r>
  <r>
    <x v="1"/>
    <x v="49"/>
    <s v="Combined Heat and Power, Industrial Power"/>
    <x v="6"/>
    <n v="535160"/>
  </r>
  <r>
    <x v="1"/>
    <x v="49"/>
    <s v="Combined Heat and Power, Commercial Power"/>
    <x v="0"/>
    <n v="17207"/>
  </r>
  <r>
    <x v="1"/>
    <x v="49"/>
    <s v="Combined Heat and Power, Commercial Power"/>
    <x v="2"/>
    <n v="11417"/>
  </r>
  <r>
    <x v="1"/>
    <x v="49"/>
    <s v="Combined Heat and Power, Commercial Power"/>
    <x v="3"/>
    <n v="30"/>
  </r>
  <r>
    <x v="1"/>
    <x v="49"/>
    <s v="Combined Heat and Power, Commercial Power"/>
    <x v="8"/>
    <n v="5760"/>
  </r>
  <r>
    <x v="1"/>
    <x v="50"/>
    <s v="Total Electric Power Industry"/>
    <x v="0"/>
    <n v="73423735"/>
  </r>
  <r>
    <x v="1"/>
    <x v="50"/>
    <s v="Total Electric Power Industry"/>
    <x v="1"/>
    <n v="71867808"/>
  </r>
  <r>
    <x v="1"/>
    <x v="50"/>
    <s v="Total Electric Power Industry"/>
    <x v="2"/>
    <n v="1065385"/>
  </r>
  <r>
    <x v="1"/>
    <x v="50"/>
    <s v="Total Electric Power Industry"/>
    <x v="3"/>
    <n v="58808"/>
  </r>
  <r>
    <x v="1"/>
    <x v="50"/>
    <s v="Total Electric Power Industry"/>
    <x v="12"/>
    <n v="198"/>
  </r>
  <r>
    <x v="1"/>
    <x v="50"/>
    <s v="Total Electric Power Industry"/>
    <x v="9"/>
    <n v="178489"/>
  </r>
  <r>
    <x v="1"/>
    <x v="50"/>
    <s v="Total Electric Power Industry"/>
    <x v="4"/>
    <n v="253047"/>
  </r>
  <r>
    <x v="1"/>
    <x v="50"/>
    <s v="Electric Generators, Independent Power Producers"/>
    <x v="0"/>
    <n v="299951"/>
  </r>
  <r>
    <x v="1"/>
    <x v="50"/>
    <s v="Electric Generators, Independent Power Producers"/>
    <x v="1"/>
    <n v="118894"/>
  </r>
  <r>
    <x v="1"/>
    <x v="50"/>
    <s v="Electric Generators, Independent Power Producers"/>
    <x v="2"/>
    <n v="174913"/>
  </r>
  <r>
    <x v="1"/>
    <x v="50"/>
    <s v="Electric Generators, Independent Power Producers"/>
    <x v="4"/>
    <n v="6144"/>
  </r>
  <r>
    <x v="1"/>
    <x v="50"/>
    <s v="Electric Generators, Electric Utilities"/>
    <x v="0"/>
    <n v="71254116"/>
  </r>
  <r>
    <x v="1"/>
    <x v="50"/>
    <s v="Electric Generators, Electric Utilities"/>
    <x v="1"/>
    <n v="70648850"/>
  </r>
  <r>
    <x v="1"/>
    <x v="50"/>
    <s v="Electric Generators, Electric Utilities"/>
    <x v="2"/>
    <n v="356180"/>
  </r>
  <r>
    <x v="1"/>
    <x v="50"/>
    <s v="Electric Generators, Electric Utilities"/>
    <x v="3"/>
    <n v="17146"/>
  </r>
  <r>
    <x v="1"/>
    <x v="50"/>
    <s v="Electric Generators, Electric Utilities"/>
    <x v="4"/>
    <n v="231940"/>
  </r>
  <r>
    <x v="1"/>
    <x v="50"/>
    <s v="Combined Heat and Power, Industrial Power"/>
    <x v="0"/>
    <n v="1869564"/>
  </r>
  <r>
    <x v="1"/>
    <x v="50"/>
    <s v="Combined Heat and Power, Industrial Power"/>
    <x v="1"/>
    <n v="1100063"/>
  </r>
  <r>
    <x v="1"/>
    <x v="50"/>
    <s v="Combined Heat and Power, Industrial Power"/>
    <x v="2"/>
    <n v="534292"/>
  </r>
  <r>
    <x v="1"/>
    <x v="50"/>
    <s v="Combined Heat and Power, Industrial Power"/>
    <x v="3"/>
    <n v="41559"/>
  </r>
  <r>
    <x v="1"/>
    <x v="50"/>
    <s v="Combined Heat and Power, Industrial Power"/>
    <x v="12"/>
    <n v="198"/>
  </r>
  <r>
    <x v="1"/>
    <x v="50"/>
    <s v="Combined Heat and Power, Industrial Power"/>
    <x v="9"/>
    <n v="178489"/>
  </r>
  <r>
    <x v="1"/>
    <x v="50"/>
    <s v="Combined Heat and Power, Industrial Power"/>
    <x v="4"/>
    <n v="14963"/>
  </r>
  <r>
    <x v="1"/>
    <x v="50"/>
    <s v="Combined Heat and Power, Electric Power"/>
    <x v="0"/>
    <n v="104"/>
  </r>
  <r>
    <x v="1"/>
    <x v="50"/>
    <s v="Combined Heat and Power, Electric Power"/>
    <x v="1"/>
    <n v="1"/>
  </r>
  <r>
    <x v="1"/>
    <x v="50"/>
    <s v="Combined Heat and Power, Electric Power"/>
    <x v="3"/>
    <n v="103"/>
  </r>
  <r>
    <x v="1"/>
    <x v="51"/>
    <s v="Total Electric Power Industry"/>
    <x v="0"/>
    <n v="39298388"/>
  </r>
  <r>
    <x v="1"/>
    <x v="51"/>
    <s v="Total Electric Power Industry"/>
    <x v="1"/>
    <n v="38081345"/>
  </r>
  <r>
    <x v="1"/>
    <x v="51"/>
    <s v="Total Electric Power Industry"/>
    <x v="2"/>
    <n v="735932"/>
  </r>
  <r>
    <x v="1"/>
    <x v="51"/>
    <s v="Total Electric Power Industry"/>
    <x v="3"/>
    <n v="321763"/>
  </r>
  <r>
    <x v="1"/>
    <x v="51"/>
    <s v="Total Electric Power Industry"/>
    <x v="12"/>
    <n v="47491"/>
  </r>
  <r>
    <x v="1"/>
    <x v="51"/>
    <s v="Total Electric Power Industry"/>
    <x v="4"/>
    <n v="61417"/>
  </r>
  <r>
    <x v="1"/>
    <x v="51"/>
    <s v="Total Electric Power Industry"/>
    <x v="6"/>
    <n v="50440"/>
  </r>
  <r>
    <x v="1"/>
    <x v="51"/>
    <s v="Electric Generators, Electric Utilities"/>
    <x v="0"/>
    <n v="38667162"/>
  </r>
  <r>
    <x v="1"/>
    <x v="51"/>
    <s v="Electric Generators, Electric Utilities"/>
    <x v="1"/>
    <n v="37862584"/>
  </r>
  <r>
    <x v="1"/>
    <x v="51"/>
    <s v="Electric Generators, Electric Utilities"/>
    <x v="2"/>
    <n v="735932"/>
  </r>
  <r>
    <x v="1"/>
    <x v="51"/>
    <s v="Electric Generators, Electric Utilities"/>
    <x v="3"/>
    <n v="7796"/>
  </r>
  <r>
    <x v="1"/>
    <x v="51"/>
    <s v="Electric Generators, Electric Utilities"/>
    <x v="4"/>
    <n v="60850"/>
  </r>
  <r>
    <x v="1"/>
    <x v="51"/>
    <s v="Combined Heat and Power, Industrial Power"/>
    <x v="0"/>
    <n v="631226"/>
  </r>
  <r>
    <x v="1"/>
    <x v="51"/>
    <s v="Combined Heat and Power, Industrial Power"/>
    <x v="1"/>
    <n v="218761"/>
  </r>
  <r>
    <x v="1"/>
    <x v="51"/>
    <s v="Combined Heat and Power, Industrial Power"/>
    <x v="3"/>
    <n v="313967"/>
  </r>
  <r>
    <x v="1"/>
    <x v="51"/>
    <s v="Combined Heat and Power, Industrial Power"/>
    <x v="12"/>
    <n v="47491"/>
  </r>
  <r>
    <x v="1"/>
    <x v="51"/>
    <s v="Combined Heat and Power, Industrial Power"/>
    <x v="4"/>
    <n v="567"/>
  </r>
  <r>
    <x v="1"/>
    <x v="51"/>
    <s v="Combined Heat and Power, Industrial Power"/>
    <x v="6"/>
    <n v="50440"/>
  </r>
  <r>
    <x v="2"/>
    <x v="0"/>
    <s v="Total Electric Power Industry"/>
    <x v="0"/>
    <n v="5298424"/>
  </r>
  <r>
    <x v="2"/>
    <x v="0"/>
    <s v="Total Electric Power Industry"/>
    <x v="1"/>
    <n v="495795"/>
  </r>
  <r>
    <x v="2"/>
    <x v="0"/>
    <s v="Total Electric Power Industry"/>
    <x v="2"/>
    <n v="918120"/>
  </r>
  <r>
    <x v="2"/>
    <x v="0"/>
    <s v="Total Electric Power Industry"/>
    <x v="3"/>
    <n v="3214330"/>
  </r>
  <r>
    <x v="2"/>
    <x v="0"/>
    <s v="Total Electric Power Industry"/>
    <x v="8"/>
    <n v="16295"/>
  </r>
  <r>
    <x v="2"/>
    <x v="0"/>
    <s v="Total Electric Power Industry"/>
    <x v="4"/>
    <n v="521950"/>
  </r>
  <r>
    <x v="2"/>
    <x v="0"/>
    <s v="Total Electric Power Industry"/>
    <x v="5"/>
    <n v="0"/>
  </r>
  <r>
    <x v="2"/>
    <x v="0"/>
    <s v="Total Electric Power Industry"/>
    <x v="6"/>
    <n v="131934"/>
  </r>
  <r>
    <x v="2"/>
    <x v="0"/>
    <s v="Electric Generators, Electric Utilities"/>
    <x v="0"/>
    <n v="4167054"/>
  </r>
  <r>
    <x v="2"/>
    <x v="0"/>
    <s v="Electric Generators, Electric Utilities"/>
    <x v="1"/>
    <n v="289529"/>
  </r>
  <r>
    <x v="2"/>
    <x v="0"/>
    <s v="Electric Generators, Electric Utilities"/>
    <x v="2"/>
    <n v="918120"/>
  </r>
  <r>
    <x v="2"/>
    <x v="0"/>
    <s v="Electric Generators, Electric Utilities"/>
    <x v="3"/>
    <n v="2552417"/>
  </r>
  <r>
    <x v="2"/>
    <x v="0"/>
    <s v="Electric Generators, Electric Utilities"/>
    <x v="4"/>
    <n v="406988"/>
  </r>
  <r>
    <x v="2"/>
    <x v="0"/>
    <s v="Electric Generators, Electric Utilities"/>
    <x v="5"/>
    <n v="0"/>
  </r>
  <r>
    <x v="2"/>
    <x v="0"/>
    <s v="Combined Heat and Power, Industrial Power"/>
    <x v="0"/>
    <n v="915111"/>
  </r>
  <r>
    <x v="2"/>
    <x v="0"/>
    <s v="Combined Heat and Power, Industrial Power"/>
    <x v="3"/>
    <n v="653435"/>
  </r>
  <r>
    <x v="2"/>
    <x v="0"/>
    <s v="Combined Heat and Power, Industrial Power"/>
    <x v="8"/>
    <n v="16295"/>
  </r>
  <r>
    <x v="2"/>
    <x v="0"/>
    <s v="Combined Heat and Power, Industrial Power"/>
    <x v="4"/>
    <n v="113447"/>
  </r>
  <r>
    <x v="2"/>
    <x v="0"/>
    <s v="Combined Heat and Power, Industrial Power"/>
    <x v="6"/>
    <n v="131934"/>
  </r>
  <r>
    <x v="2"/>
    <x v="0"/>
    <s v="Combined Heat and Power, Commercial Power"/>
    <x v="0"/>
    <n v="216259"/>
  </r>
  <r>
    <x v="2"/>
    <x v="0"/>
    <s v="Combined Heat and Power, Commercial Power"/>
    <x v="1"/>
    <n v="206266"/>
  </r>
  <r>
    <x v="2"/>
    <x v="0"/>
    <s v="Combined Heat and Power, Commercial Power"/>
    <x v="3"/>
    <n v="8478"/>
  </r>
  <r>
    <x v="2"/>
    <x v="0"/>
    <s v="Combined Heat and Power, Commercial Power"/>
    <x v="4"/>
    <n v="1515"/>
  </r>
  <r>
    <x v="2"/>
    <x v="1"/>
    <s v="Total Electric Power Industry"/>
    <x v="0"/>
    <n v="95234422"/>
  </r>
  <r>
    <x v="2"/>
    <x v="1"/>
    <s v="Total Electric Power Industry"/>
    <x v="1"/>
    <n v="61160671"/>
  </r>
  <r>
    <x v="2"/>
    <x v="1"/>
    <s v="Total Electric Power Industry"/>
    <x v="2"/>
    <n v="10260023"/>
  </r>
  <r>
    <x v="2"/>
    <x v="1"/>
    <s v="Total Electric Power Industry"/>
    <x v="3"/>
    <n v="1396063"/>
  </r>
  <r>
    <x v="2"/>
    <x v="1"/>
    <s v="Total Electric Power Industry"/>
    <x v="7"/>
    <n v="19397436"/>
  </r>
  <r>
    <x v="2"/>
    <x v="1"/>
    <s v="Total Electric Power Industry"/>
    <x v="8"/>
    <n v="28790"/>
  </r>
  <r>
    <x v="2"/>
    <x v="1"/>
    <s v="Total Electric Power Industry"/>
    <x v="9"/>
    <n v="328720"/>
  </r>
  <r>
    <x v="2"/>
    <x v="1"/>
    <s v="Total Electric Power Industry"/>
    <x v="4"/>
    <n v="194866"/>
  </r>
  <r>
    <x v="2"/>
    <x v="1"/>
    <s v="Total Electric Power Industry"/>
    <x v="6"/>
    <n v="2467853"/>
  </r>
  <r>
    <x v="2"/>
    <x v="1"/>
    <s v="Electric Generators, Independent Power Producers"/>
    <x v="0"/>
    <n v="25233"/>
  </r>
  <r>
    <x v="2"/>
    <x v="1"/>
    <s v="Electric Generators, Independent Power Producers"/>
    <x v="8"/>
    <n v="25233"/>
  </r>
  <r>
    <x v="2"/>
    <x v="1"/>
    <s v="Electric Generators, Electric Utilities"/>
    <x v="0"/>
    <n v="90792233"/>
  </r>
  <r>
    <x v="2"/>
    <x v="1"/>
    <s v="Electric Generators, Electric Utilities"/>
    <x v="1"/>
    <n v="60689987"/>
  </r>
  <r>
    <x v="2"/>
    <x v="1"/>
    <s v="Electric Generators, Electric Utilities"/>
    <x v="2"/>
    <n v="10260023"/>
  </r>
  <r>
    <x v="2"/>
    <x v="1"/>
    <s v="Electric Generators, Electric Utilities"/>
    <x v="3"/>
    <n v="362658"/>
  </r>
  <r>
    <x v="2"/>
    <x v="1"/>
    <s v="Electric Generators, Electric Utilities"/>
    <x v="7"/>
    <n v="19397436"/>
  </r>
  <r>
    <x v="2"/>
    <x v="1"/>
    <s v="Electric Generators, Electric Utilities"/>
    <x v="4"/>
    <n v="82129"/>
  </r>
  <r>
    <x v="2"/>
    <x v="1"/>
    <s v="Combined Heat and Power, Industrial Power"/>
    <x v="0"/>
    <n v="3638460"/>
  </r>
  <r>
    <x v="2"/>
    <x v="1"/>
    <s v="Combined Heat and Power, Industrial Power"/>
    <x v="1"/>
    <n v="415878"/>
  </r>
  <r>
    <x v="2"/>
    <x v="1"/>
    <s v="Combined Heat and Power, Industrial Power"/>
    <x v="3"/>
    <n v="991027"/>
  </r>
  <r>
    <x v="2"/>
    <x v="1"/>
    <s v="Combined Heat and Power, Industrial Power"/>
    <x v="8"/>
    <n v="3557"/>
  </r>
  <r>
    <x v="2"/>
    <x v="1"/>
    <s v="Combined Heat and Power, Industrial Power"/>
    <x v="9"/>
    <n v="328720"/>
  </r>
  <r>
    <x v="2"/>
    <x v="1"/>
    <s v="Combined Heat and Power, Industrial Power"/>
    <x v="4"/>
    <n v="112737"/>
  </r>
  <r>
    <x v="2"/>
    <x v="1"/>
    <s v="Combined Heat and Power, Industrial Power"/>
    <x v="6"/>
    <n v="1786541"/>
  </r>
  <r>
    <x v="2"/>
    <x v="1"/>
    <s v="Combined Heat and Power, Electric Power"/>
    <x v="0"/>
    <n v="778496"/>
  </r>
  <r>
    <x v="2"/>
    <x v="1"/>
    <s v="Combined Heat and Power, Electric Power"/>
    <x v="1"/>
    <n v="54806"/>
  </r>
  <r>
    <x v="2"/>
    <x v="1"/>
    <s v="Combined Heat and Power, Electric Power"/>
    <x v="3"/>
    <n v="42378"/>
  </r>
  <r>
    <x v="2"/>
    <x v="1"/>
    <s v="Combined Heat and Power, Electric Power"/>
    <x v="6"/>
    <n v="681312"/>
  </r>
  <r>
    <x v="2"/>
    <x v="2"/>
    <s v="Total Electric Power Industry"/>
    <x v="0"/>
    <n v="39746101"/>
  </r>
  <r>
    <x v="2"/>
    <x v="2"/>
    <s v="Total Electric Power Industry"/>
    <x v="1"/>
    <n v="20093600"/>
  </r>
  <r>
    <x v="2"/>
    <x v="2"/>
    <s v="Total Electric Power Industry"/>
    <x v="2"/>
    <n v="3377255"/>
  </r>
  <r>
    <x v="2"/>
    <x v="2"/>
    <s v="Total Electric Power Industry"/>
    <x v="3"/>
    <n v="3426632"/>
  </r>
  <r>
    <x v="2"/>
    <x v="2"/>
    <s v="Total Electric Power Industry"/>
    <x v="7"/>
    <n v="11325661"/>
  </r>
  <r>
    <x v="2"/>
    <x v="2"/>
    <s v="Total Electric Power Industry"/>
    <x v="8"/>
    <n v="14983"/>
  </r>
  <r>
    <x v="2"/>
    <x v="2"/>
    <s v="Total Electric Power Industry"/>
    <x v="4"/>
    <n v="52668"/>
  </r>
  <r>
    <x v="2"/>
    <x v="2"/>
    <s v="Total Electric Power Industry"/>
    <x v="10"/>
    <n v="2692"/>
  </r>
  <r>
    <x v="2"/>
    <x v="2"/>
    <s v="Total Electric Power Industry"/>
    <x v="6"/>
    <n v="1452610"/>
  </r>
  <r>
    <x v="2"/>
    <x v="2"/>
    <s v="Electric Generators, Independent Power Producers"/>
    <x v="0"/>
    <n v="136"/>
  </r>
  <r>
    <x v="2"/>
    <x v="2"/>
    <s v="Electric Generators, Independent Power Producers"/>
    <x v="2"/>
    <n v="136"/>
  </r>
  <r>
    <x v="2"/>
    <x v="2"/>
    <s v="Electric Generators, Electric Utilities"/>
    <x v="0"/>
    <n v="37369823"/>
  </r>
  <r>
    <x v="2"/>
    <x v="2"/>
    <s v="Electric Generators, Electric Utilities"/>
    <x v="1"/>
    <n v="20030355"/>
  </r>
  <r>
    <x v="2"/>
    <x v="2"/>
    <s v="Electric Generators, Electric Utilities"/>
    <x v="2"/>
    <n v="3377119"/>
  </r>
  <r>
    <x v="2"/>
    <x v="2"/>
    <s v="Electric Generators, Electric Utilities"/>
    <x v="3"/>
    <n v="2584356"/>
  </r>
  <r>
    <x v="2"/>
    <x v="2"/>
    <s v="Electric Generators, Electric Utilities"/>
    <x v="7"/>
    <n v="11325661"/>
  </r>
  <r>
    <x v="2"/>
    <x v="2"/>
    <s v="Electric Generators, Electric Utilities"/>
    <x v="4"/>
    <n v="49640"/>
  </r>
  <r>
    <x v="2"/>
    <x v="2"/>
    <s v="Electric Generators, Electric Utilities"/>
    <x v="10"/>
    <n v="2692"/>
  </r>
  <r>
    <x v="2"/>
    <x v="2"/>
    <s v="Combined Heat and Power, Industrial Power"/>
    <x v="0"/>
    <n v="2331313"/>
  </r>
  <r>
    <x v="2"/>
    <x v="2"/>
    <s v="Combined Heat and Power, Industrial Power"/>
    <x v="1"/>
    <n v="63245"/>
  </r>
  <r>
    <x v="2"/>
    <x v="2"/>
    <s v="Combined Heat and Power, Industrial Power"/>
    <x v="3"/>
    <n v="805224"/>
  </r>
  <r>
    <x v="2"/>
    <x v="2"/>
    <s v="Combined Heat and Power, Industrial Power"/>
    <x v="8"/>
    <n v="10154"/>
  </r>
  <r>
    <x v="2"/>
    <x v="2"/>
    <s v="Combined Heat and Power, Industrial Power"/>
    <x v="4"/>
    <n v="80"/>
  </r>
  <r>
    <x v="2"/>
    <x v="2"/>
    <s v="Combined Heat and Power, Industrial Power"/>
    <x v="6"/>
    <n v="1452610"/>
  </r>
  <r>
    <x v="2"/>
    <x v="2"/>
    <s v="Combined Heat and Power, Commercial Power"/>
    <x v="0"/>
    <n v="44829"/>
  </r>
  <r>
    <x v="2"/>
    <x v="2"/>
    <s v="Combined Heat and Power, Commercial Power"/>
    <x v="3"/>
    <n v="37052"/>
  </r>
  <r>
    <x v="2"/>
    <x v="2"/>
    <s v="Combined Heat and Power, Commercial Power"/>
    <x v="8"/>
    <n v="4829"/>
  </r>
  <r>
    <x v="2"/>
    <x v="2"/>
    <s v="Combined Heat and Power, Commercial Power"/>
    <x v="4"/>
    <n v="2948"/>
  </r>
  <r>
    <x v="2"/>
    <x v="3"/>
    <s v="Total Electric Power Industry"/>
    <x v="0"/>
    <n v="70552727"/>
  </r>
  <r>
    <x v="2"/>
    <x v="3"/>
    <s v="Total Electric Power Industry"/>
    <x v="1"/>
    <n v="34817088"/>
  </r>
  <r>
    <x v="2"/>
    <x v="3"/>
    <s v="Total Electric Power Industry"/>
    <x v="2"/>
    <n v="6620757"/>
  </r>
  <r>
    <x v="2"/>
    <x v="3"/>
    <s v="Total Electric Power Industry"/>
    <x v="3"/>
    <n v="2975365"/>
  </r>
  <r>
    <x v="2"/>
    <x v="3"/>
    <s v="Total Electric Power Industry"/>
    <x v="7"/>
    <n v="25608706"/>
  </r>
  <r>
    <x v="2"/>
    <x v="3"/>
    <s v="Total Electric Power Industry"/>
    <x v="4"/>
    <n v="101915"/>
  </r>
  <r>
    <x v="2"/>
    <x v="3"/>
    <s v="Total Electric Power Industry"/>
    <x v="10"/>
    <n v="290465"/>
  </r>
  <r>
    <x v="2"/>
    <x v="3"/>
    <s v="Total Electric Power Industry"/>
    <x v="6"/>
    <n v="138431"/>
  </r>
  <r>
    <x v="2"/>
    <x v="3"/>
    <s v="Electric Generators, Electric Utilities"/>
    <x v="0"/>
    <n v="70108979"/>
  </r>
  <r>
    <x v="2"/>
    <x v="3"/>
    <s v="Electric Generators, Electric Utilities"/>
    <x v="1"/>
    <n v="34602347"/>
  </r>
  <r>
    <x v="2"/>
    <x v="3"/>
    <s v="Electric Generators, Electric Utilities"/>
    <x v="2"/>
    <n v="6620757"/>
  </r>
  <r>
    <x v="2"/>
    <x v="3"/>
    <s v="Electric Generators, Electric Utilities"/>
    <x v="3"/>
    <n v="2913866"/>
  </r>
  <r>
    <x v="2"/>
    <x v="3"/>
    <s v="Electric Generators, Electric Utilities"/>
    <x v="7"/>
    <n v="25608706"/>
  </r>
  <r>
    <x v="2"/>
    <x v="3"/>
    <s v="Electric Generators, Electric Utilities"/>
    <x v="4"/>
    <n v="72838"/>
  </r>
  <r>
    <x v="2"/>
    <x v="3"/>
    <s v="Electric Generators, Electric Utilities"/>
    <x v="10"/>
    <n v="290465"/>
  </r>
  <r>
    <x v="2"/>
    <x v="3"/>
    <s v="Combined Heat and Power, Industrial Power"/>
    <x v="0"/>
    <n v="413664"/>
  </r>
  <r>
    <x v="2"/>
    <x v="3"/>
    <s v="Combined Heat and Power, Industrial Power"/>
    <x v="1"/>
    <n v="214741"/>
  </r>
  <r>
    <x v="2"/>
    <x v="3"/>
    <s v="Combined Heat and Power, Industrial Power"/>
    <x v="3"/>
    <n v="32629"/>
  </r>
  <r>
    <x v="2"/>
    <x v="3"/>
    <s v="Combined Heat and Power, Industrial Power"/>
    <x v="4"/>
    <n v="27863"/>
  </r>
  <r>
    <x v="2"/>
    <x v="3"/>
    <s v="Combined Heat and Power, Industrial Power"/>
    <x v="6"/>
    <n v="138431"/>
  </r>
  <r>
    <x v="2"/>
    <x v="3"/>
    <s v="Combined Heat and Power, Commercial Power"/>
    <x v="0"/>
    <n v="30084"/>
  </r>
  <r>
    <x v="2"/>
    <x v="3"/>
    <s v="Combined Heat and Power, Commercial Power"/>
    <x v="3"/>
    <n v="28870"/>
  </r>
  <r>
    <x v="2"/>
    <x v="3"/>
    <s v="Combined Heat and Power, Commercial Power"/>
    <x v="4"/>
    <n v="1214"/>
  </r>
  <r>
    <x v="2"/>
    <x v="4"/>
    <s v="Total Electric Power Industry"/>
    <x v="0"/>
    <n v="177155459"/>
  </r>
  <r>
    <x v="2"/>
    <x v="4"/>
    <s v="Total Electric Power Industry"/>
    <x v="1"/>
    <n v="3299510"/>
  </r>
  <r>
    <x v="2"/>
    <x v="4"/>
    <s v="Total Electric Power Industry"/>
    <x v="11"/>
    <n v="14771487"/>
  </r>
  <r>
    <x v="2"/>
    <x v="4"/>
    <s v="Total Electric Power Industry"/>
    <x v="2"/>
    <n v="20167410"/>
  </r>
  <r>
    <x v="2"/>
    <x v="4"/>
    <s v="Total Electric Power Industry"/>
    <x v="3"/>
    <n v="88704787"/>
  </r>
  <r>
    <x v="2"/>
    <x v="4"/>
    <s v="Total Electric Power Industry"/>
    <x v="7"/>
    <n v="35244336"/>
  </r>
  <r>
    <x v="2"/>
    <x v="4"/>
    <s v="Total Electric Power Industry"/>
    <x v="12"/>
    <n v="10211"/>
  </r>
  <r>
    <x v="2"/>
    <x v="4"/>
    <s v="Total Electric Power Industry"/>
    <x v="8"/>
    <n v="2783356"/>
  </r>
  <r>
    <x v="2"/>
    <x v="4"/>
    <s v="Total Electric Power Industry"/>
    <x v="9"/>
    <n v="2714688"/>
  </r>
  <r>
    <x v="2"/>
    <x v="4"/>
    <s v="Total Electric Power Industry"/>
    <x v="4"/>
    <n v="1948539"/>
  </r>
  <r>
    <x v="2"/>
    <x v="4"/>
    <s v="Total Electric Power Industry"/>
    <x v="10"/>
    <n v="-4495"/>
  </r>
  <r>
    <x v="2"/>
    <x v="4"/>
    <s v="Total Electric Power Industry"/>
    <x v="13"/>
    <n v="399260"/>
  </r>
  <r>
    <x v="2"/>
    <x v="4"/>
    <s v="Total Electric Power Industry"/>
    <x v="5"/>
    <n v="2863999"/>
  </r>
  <r>
    <x v="2"/>
    <x v="4"/>
    <s v="Total Electric Power Industry"/>
    <x v="6"/>
    <n v="4252371"/>
  </r>
  <r>
    <x v="2"/>
    <x v="4"/>
    <s v="Electric Generators, Independent Power Producers"/>
    <x v="0"/>
    <n v="17919147"/>
  </r>
  <r>
    <x v="2"/>
    <x v="4"/>
    <s v="Electric Generators, Independent Power Producers"/>
    <x v="1"/>
    <n v="131196"/>
  </r>
  <r>
    <x v="2"/>
    <x v="4"/>
    <s v="Electric Generators, Independent Power Producers"/>
    <x v="11"/>
    <n v="6854047"/>
  </r>
  <r>
    <x v="2"/>
    <x v="4"/>
    <s v="Electric Generators, Independent Power Producers"/>
    <x v="2"/>
    <n v="950197"/>
  </r>
  <r>
    <x v="2"/>
    <x v="4"/>
    <s v="Electric Generators, Independent Power Producers"/>
    <x v="3"/>
    <n v="696771"/>
  </r>
  <r>
    <x v="2"/>
    <x v="4"/>
    <s v="Electric Generators, Independent Power Producers"/>
    <x v="8"/>
    <n v="2573415"/>
  </r>
  <r>
    <x v="2"/>
    <x v="4"/>
    <s v="Electric Generators, Independent Power Producers"/>
    <x v="9"/>
    <n v="323"/>
  </r>
  <r>
    <x v="2"/>
    <x v="4"/>
    <s v="Electric Generators, Independent Power Producers"/>
    <x v="4"/>
    <n v="814992"/>
  </r>
  <r>
    <x v="2"/>
    <x v="4"/>
    <s v="Electric Generators, Independent Power Producers"/>
    <x v="13"/>
    <n v="396471"/>
  </r>
  <r>
    <x v="2"/>
    <x v="4"/>
    <s v="Electric Generators, Independent Power Producers"/>
    <x v="5"/>
    <n v="2863999"/>
  </r>
  <r>
    <x v="2"/>
    <x v="4"/>
    <s v="Electric Generators, Independent Power Producers"/>
    <x v="6"/>
    <n v="2637736"/>
  </r>
  <r>
    <x v="2"/>
    <x v="4"/>
    <s v="Electric Generators, Electric Utilities"/>
    <x v="0"/>
    <n v="119309725"/>
  </r>
  <r>
    <x v="2"/>
    <x v="4"/>
    <s v="Electric Generators, Electric Utilities"/>
    <x v="11"/>
    <n v="7917440"/>
  </r>
  <r>
    <x v="2"/>
    <x v="4"/>
    <s v="Electric Generators, Electric Utilities"/>
    <x v="2"/>
    <n v="19209788"/>
  </r>
  <r>
    <x v="2"/>
    <x v="4"/>
    <s v="Electric Generators, Electric Utilities"/>
    <x v="3"/>
    <n v="56609607"/>
  </r>
  <r>
    <x v="2"/>
    <x v="4"/>
    <s v="Electric Generators, Electric Utilities"/>
    <x v="7"/>
    <n v="35244336"/>
  </r>
  <r>
    <x v="2"/>
    <x v="4"/>
    <s v="Electric Generators, Electric Utilities"/>
    <x v="8"/>
    <n v="4836"/>
  </r>
  <r>
    <x v="2"/>
    <x v="4"/>
    <s v="Electric Generators, Electric Utilities"/>
    <x v="4"/>
    <n v="325424"/>
  </r>
  <r>
    <x v="2"/>
    <x v="4"/>
    <s v="Electric Generators, Electric Utilities"/>
    <x v="10"/>
    <n v="-4495"/>
  </r>
  <r>
    <x v="2"/>
    <x v="4"/>
    <s v="Electric Generators, Electric Utilities"/>
    <x v="13"/>
    <n v="2789"/>
  </r>
  <r>
    <x v="2"/>
    <x v="4"/>
    <s v="Combined Heat and Power, Industrial Power"/>
    <x v="0"/>
    <n v="17039578"/>
  </r>
  <r>
    <x v="2"/>
    <x v="4"/>
    <s v="Combined Heat and Power, Industrial Power"/>
    <x v="1"/>
    <n v="933997"/>
  </r>
  <r>
    <x v="2"/>
    <x v="4"/>
    <s v="Combined Heat and Power, Industrial Power"/>
    <x v="3"/>
    <n v="11360751"/>
  </r>
  <r>
    <x v="2"/>
    <x v="4"/>
    <s v="Combined Heat and Power, Industrial Power"/>
    <x v="12"/>
    <n v="10211"/>
  </r>
  <r>
    <x v="2"/>
    <x v="4"/>
    <s v="Combined Heat and Power, Industrial Power"/>
    <x v="8"/>
    <n v="81690"/>
  </r>
  <r>
    <x v="2"/>
    <x v="4"/>
    <s v="Combined Heat and Power, Industrial Power"/>
    <x v="9"/>
    <n v="2270011"/>
  </r>
  <r>
    <x v="2"/>
    <x v="4"/>
    <s v="Combined Heat and Power, Industrial Power"/>
    <x v="4"/>
    <n v="798888"/>
  </r>
  <r>
    <x v="2"/>
    <x v="4"/>
    <s v="Combined Heat and Power, Industrial Power"/>
    <x v="6"/>
    <n v="1584030"/>
  </r>
  <r>
    <x v="2"/>
    <x v="4"/>
    <s v="Combined Heat and Power, Electric Power"/>
    <x v="0"/>
    <n v="21148684"/>
  </r>
  <r>
    <x v="2"/>
    <x v="4"/>
    <s v="Combined Heat and Power, Electric Power"/>
    <x v="1"/>
    <n v="2234317"/>
  </r>
  <r>
    <x v="2"/>
    <x v="4"/>
    <s v="Combined Heat and Power, Electric Power"/>
    <x v="3"/>
    <n v="18441802"/>
  </r>
  <r>
    <x v="2"/>
    <x v="4"/>
    <s v="Combined Heat and Power, Electric Power"/>
    <x v="8"/>
    <n v="96561"/>
  </r>
  <r>
    <x v="2"/>
    <x v="4"/>
    <s v="Combined Heat and Power, Electric Power"/>
    <x v="9"/>
    <n v="339294"/>
  </r>
  <r>
    <x v="2"/>
    <x v="4"/>
    <s v="Combined Heat and Power, Electric Power"/>
    <x v="4"/>
    <n v="6105"/>
  </r>
  <r>
    <x v="2"/>
    <x v="4"/>
    <s v="Combined Heat and Power, Electric Power"/>
    <x v="6"/>
    <n v="30605"/>
  </r>
  <r>
    <x v="2"/>
    <x v="4"/>
    <s v="Combined Heat and Power, Commercial Power"/>
    <x v="0"/>
    <n v="1738325"/>
  </r>
  <r>
    <x v="2"/>
    <x v="4"/>
    <s v="Combined Heat and Power, Commercial Power"/>
    <x v="2"/>
    <n v="7425"/>
  </r>
  <r>
    <x v="2"/>
    <x v="4"/>
    <s v="Combined Heat and Power, Commercial Power"/>
    <x v="3"/>
    <n v="1595856"/>
  </r>
  <r>
    <x v="2"/>
    <x v="4"/>
    <s v="Combined Heat and Power, Commercial Power"/>
    <x v="8"/>
    <n v="26854"/>
  </r>
  <r>
    <x v="2"/>
    <x v="4"/>
    <s v="Combined Heat and Power, Commercial Power"/>
    <x v="9"/>
    <n v="105060"/>
  </r>
  <r>
    <x v="2"/>
    <x v="4"/>
    <s v="Combined Heat and Power, Commercial Power"/>
    <x v="4"/>
    <n v="3130"/>
  </r>
  <r>
    <x v="2"/>
    <x v="5"/>
    <s v="Total Electric Power Industry"/>
    <x v="0"/>
    <n v="33295490"/>
  </r>
  <r>
    <x v="2"/>
    <x v="5"/>
    <s v="Total Electric Power Industry"/>
    <x v="1"/>
    <n v="30247748"/>
  </r>
  <r>
    <x v="2"/>
    <x v="5"/>
    <s v="Total Electric Power Industry"/>
    <x v="2"/>
    <n v="1499162"/>
  </r>
  <r>
    <x v="2"/>
    <x v="5"/>
    <s v="Total Electric Power Industry"/>
    <x v="3"/>
    <n v="1347188"/>
  </r>
  <r>
    <x v="2"/>
    <x v="5"/>
    <s v="Total Electric Power Industry"/>
    <x v="8"/>
    <n v="28173"/>
  </r>
  <r>
    <x v="2"/>
    <x v="5"/>
    <s v="Total Electric Power Industry"/>
    <x v="4"/>
    <n v="40888"/>
  </r>
  <r>
    <x v="2"/>
    <x v="5"/>
    <s v="Total Electric Power Industry"/>
    <x v="10"/>
    <n v="132331"/>
  </r>
  <r>
    <x v="2"/>
    <x v="5"/>
    <s v="Electric Generators, Independent Power Producers"/>
    <x v="0"/>
    <n v="217502"/>
  </r>
  <r>
    <x v="2"/>
    <x v="5"/>
    <s v="Electric Generators, Independent Power Producers"/>
    <x v="2"/>
    <n v="126672"/>
  </r>
  <r>
    <x v="2"/>
    <x v="5"/>
    <s v="Electric Generators, Independent Power Producers"/>
    <x v="3"/>
    <n v="90830"/>
  </r>
  <r>
    <x v="2"/>
    <x v="5"/>
    <s v="Electric Generators, Electric Utilities"/>
    <x v="0"/>
    <n v="31899303"/>
  </r>
  <r>
    <x v="2"/>
    <x v="5"/>
    <s v="Electric Generators, Electric Utilities"/>
    <x v="1"/>
    <n v="30001882"/>
  </r>
  <r>
    <x v="2"/>
    <x v="5"/>
    <s v="Electric Generators, Electric Utilities"/>
    <x v="2"/>
    <n v="1372490"/>
  </r>
  <r>
    <x v="2"/>
    <x v="5"/>
    <s v="Electric Generators, Electric Utilities"/>
    <x v="3"/>
    <n v="353436"/>
  </r>
  <r>
    <x v="2"/>
    <x v="5"/>
    <s v="Electric Generators, Electric Utilities"/>
    <x v="8"/>
    <n v="0"/>
  </r>
  <r>
    <x v="2"/>
    <x v="5"/>
    <s v="Electric Generators, Electric Utilities"/>
    <x v="4"/>
    <n v="39164"/>
  </r>
  <r>
    <x v="2"/>
    <x v="5"/>
    <s v="Electric Generators, Electric Utilities"/>
    <x v="10"/>
    <n v="132331"/>
  </r>
  <r>
    <x v="2"/>
    <x v="5"/>
    <s v="Combined Heat and Power, Industrial Power"/>
    <x v="0"/>
    <n v="76966"/>
  </r>
  <r>
    <x v="2"/>
    <x v="5"/>
    <s v="Combined Heat and Power, Industrial Power"/>
    <x v="3"/>
    <n v="76939"/>
  </r>
  <r>
    <x v="2"/>
    <x v="5"/>
    <s v="Combined Heat and Power, Industrial Power"/>
    <x v="4"/>
    <n v="27"/>
  </r>
  <r>
    <x v="2"/>
    <x v="5"/>
    <s v="Combined Heat and Power, Electric Power"/>
    <x v="0"/>
    <n v="1011572"/>
  </r>
  <r>
    <x v="2"/>
    <x v="5"/>
    <s v="Combined Heat and Power, Electric Power"/>
    <x v="1"/>
    <n v="245866"/>
  </r>
  <r>
    <x v="2"/>
    <x v="5"/>
    <s v="Combined Heat and Power, Electric Power"/>
    <x v="3"/>
    <n v="762547"/>
  </r>
  <r>
    <x v="2"/>
    <x v="5"/>
    <s v="Combined Heat and Power, Electric Power"/>
    <x v="8"/>
    <n v="2965"/>
  </r>
  <r>
    <x v="2"/>
    <x v="5"/>
    <s v="Combined Heat and Power, Electric Power"/>
    <x v="4"/>
    <n v="194"/>
  </r>
  <r>
    <x v="2"/>
    <x v="5"/>
    <s v="Combined Heat and Power, Commercial Power"/>
    <x v="0"/>
    <n v="90147"/>
  </r>
  <r>
    <x v="2"/>
    <x v="5"/>
    <s v="Combined Heat and Power, Commercial Power"/>
    <x v="3"/>
    <n v="63436"/>
  </r>
  <r>
    <x v="2"/>
    <x v="5"/>
    <s v="Combined Heat and Power, Commercial Power"/>
    <x v="8"/>
    <n v="25208"/>
  </r>
  <r>
    <x v="2"/>
    <x v="5"/>
    <s v="Combined Heat and Power, Commercial Power"/>
    <x v="4"/>
    <n v="1503"/>
  </r>
  <r>
    <x v="2"/>
    <x v="6"/>
    <s v="Total Electric Power Industry"/>
    <x v="0"/>
    <n v="29211380"/>
  </r>
  <r>
    <x v="2"/>
    <x v="6"/>
    <s v="Total Electric Power Industry"/>
    <x v="1"/>
    <n v="3717996"/>
  </r>
  <r>
    <x v="2"/>
    <x v="6"/>
    <s v="Total Electric Power Industry"/>
    <x v="2"/>
    <n v="423713"/>
  </r>
  <r>
    <x v="2"/>
    <x v="6"/>
    <s v="Total Electric Power Industry"/>
    <x v="3"/>
    <n v="1471825"/>
  </r>
  <r>
    <x v="2"/>
    <x v="6"/>
    <s v="Total Electric Power Industry"/>
    <x v="7"/>
    <n v="16770708"/>
  </r>
  <r>
    <x v="2"/>
    <x v="6"/>
    <s v="Total Electric Power Industry"/>
    <x v="12"/>
    <n v="0"/>
  </r>
  <r>
    <x v="2"/>
    <x v="6"/>
    <s v="Total Electric Power Industry"/>
    <x v="8"/>
    <n v="1337177"/>
  </r>
  <r>
    <x v="2"/>
    <x v="6"/>
    <s v="Total Electric Power Industry"/>
    <x v="9"/>
    <n v="2819"/>
  </r>
  <r>
    <x v="2"/>
    <x v="6"/>
    <s v="Total Electric Power Industry"/>
    <x v="4"/>
    <n v="5483841"/>
  </r>
  <r>
    <x v="2"/>
    <x v="6"/>
    <s v="Total Electric Power Industry"/>
    <x v="10"/>
    <n v="3301"/>
  </r>
  <r>
    <x v="2"/>
    <x v="6"/>
    <s v="Electric Generators, Independent Power Producers"/>
    <x v="0"/>
    <n v="1023564"/>
  </r>
  <r>
    <x v="2"/>
    <x v="6"/>
    <s v="Electric Generators, Independent Power Producers"/>
    <x v="2"/>
    <n v="59533"/>
  </r>
  <r>
    <x v="2"/>
    <x v="6"/>
    <s v="Electric Generators, Independent Power Producers"/>
    <x v="8"/>
    <n v="959669"/>
  </r>
  <r>
    <x v="2"/>
    <x v="6"/>
    <s v="Electric Generators, Independent Power Producers"/>
    <x v="9"/>
    <n v="2815"/>
  </r>
  <r>
    <x v="2"/>
    <x v="6"/>
    <s v="Electric Generators, Independent Power Producers"/>
    <x v="4"/>
    <n v="1547"/>
  </r>
  <r>
    <x v="2"/>
    <x v="6"/>
    <s v="Electric Generators, Electric Utilities"/>
    <x v="0"/>
    <n v="25153644"/>
  </r>
  <r>
    <x v="2"/>
    <x v="6"/>
    <s v="Electric Generators, Electric Utilities"/>
    <x v="1"/>
    <n v="2148078"/>
  </r>
  <r>
    <x v="2"/>
    <x v="6"/>
    <s v="Electric Generators, Electric Utilities"/>
    <x v="2"/>
    <n v="356648"/>
  </r>
  <r>
    <x v="2"/>
    <x v="6"/>
    <s v="Electric Generators, Electric Utilities"/>
    <x v="3"/>
    <n v="203183"/>
  </r>
  <r>
    <x v="2"/>
    <x v="6"/>
    <s v="Electric Generators, Electric Utilities"/>
    <x v="7"/>
    <n v="16770708"/>
  </r>
  <r>
    <x v="2"/>
    <x v="6"/>
    <s v="Electric Generators, Electric Utilities"/>
    <x v="8"/>
    <n v="374302"/>
  </r>
  <r>
    <x v="2"/>
    <x v="6"/>
    <s v="Electric Generators, Electric Utilities"/>
    <x v="4"/>
    <n v="5297424"/>
  </r>
  <r>
    <x v="2"/>
    <x v="6"/>
    <s v="Electric Generators, Electric Utilities"/>
    <x v="10"/>
    <n v="3301"/>
  </r>
  <r>
    <x v="2"/>
    <x v="6"/>
    <s v="Combined Heat and Power, Industrial Power"/>
    <x v="0"/>
    <n v="255700"/>
  </r>
  <r>
    <x v="2"/>
    <x v="6"/>
    <s v="Combined Heat and Power, Industrial Power"/>
    <x v="2"/>
    <n v="7532"/>
  </r>
  <r>
    <x v="2"/>
    <x v="6"/>
    <s v="Combined Heat and Power, Industrial Power"/>
    <x v="3"/>
    <n v="73903"/>
  </r>
  <r>
    <x v="2"/>
    <x v="6"/>
    <s v="Combined Heat and Power, Industrial Power"/>
    <x v="12"/>
    <n v="0"/>
  </r>
  <r>
    <x v="2"/>
    <x v="6"/>
    <s v="Combined Heat and Power, Industrial Power"/>
    <x v="4"/>
    <n v="174265"/>
  </r>
  <r>
    <x v="2"/>
    <x v="6"/>
    <s v="Combined Heat and Power, Electric Power"/>
    <x v="0"/>
    <n v="2670940"/>
  </r>
  <r>
    <x v="2"/>
    <x v="6"/>
    <s v="Combined Heat and Power, Electric Power"/>
    <x v="1"/>
    <n v="1569918"/>
  </r>
  <r>
    <x v="2"/>
    <x v="6"/>
    <s v="Combined Heat and Power, Electric Power"/>
    <x v="3"/>
    <n v="1088703"/>
  </r>
  <r>
    <x v="2"/>
    <x v="6"/>
    <s v="Combined Heat and Power, Electric Power"/>
    <x v="8"/>
    <n v="3206"/>
  </r>
  <r>
    <x v="2"/>
    <x v="6"/>
    <s v="Combined Heat and Power, Electric Power"/>
    <x v="9"/>
    <n v="4"/>
  </r>
  <r>
    <x v="2"/>
    <x v="6"/>
    <s v="Combined Heat and Power, Electric Power"/>
    <x v="4"/>
    <n v="9109"/>
  </r>
  <r>
    <x v="2"/>
    <x v="6"/>
    <s v="Combined Heat and Power, Commercial Power"/>
    <x v="0"/>
    <n v="107532"/>
  </r>
  <r>
    <x v="2"/>
    <x v="6"/>
    <s v="Combined Heat and Power, Commercial Power"/>
    <x v="3"/>
    <n v="106036"/>
  </r>
  <r>
    <x v="2"/>
    <x v="6"/>
    <s v="Combined Heat and Power, Commercial Power"/>
    <x v="4"/>
    <n v="1496"/>
  </r>
  <r>
    <x v="2"/>
    <x v="7"/>
    <s v="Total Electric Power Industry"/>
    <x v="0"/>
    <n v="73991"/>
  </r>
  <r>
    <x v="2"/>
    <x v="7"/>
    <s v="Total Electric Power Industry"/>
    <x v="1"/>
    <n v="0"/>
  </r>
  <r>
    <x v="2"/>
    <x v="7"/>
    <s v="Total Electric Power Industry"/>
    <x v="4"/>
    <n v="73991"/>
  </r>
  <r>
    <x v="2"/>
    <x v="7"/>
    <s v="Electric Generators, Electric Utilities"/>
    <x v="0"/>
    <n v="73991"/>
  </r>
  <r>
    <x v="2"/>
    <x v="7"/>
    <s v="Electric Generators, Electric Utilities"/>
    <x v="4"/>
    <n v="73991"/>
  </r>
  <r>
    <x v="2"/>
    <x v="7"/>
    <s v="Combined Heat and Power, Commercial Power"/>
    <x v="0"/>
    <n v="0"/>
  </r>
  <r>
    <x v="2"/>
    <x v="7"/>
    <s v="Combined Heat and Power, Commercial Power"/>
    <x v="1"/>
    <n v="0"/>
  </r>
  <r>
    <x v="2"/>
    <x v="8"/>
    <s v="Total Electric Power Industry"/>
    <x v="0"/>
    <n v="6984285"/>
  </r>
  <r>
    <x v="2"/>
    <x v="8"/>
    <s v="Total Electric Power Industry"/>
    <x v="1"/>
    <n v="4003881"/>
  </r>
  <r>
    <x v="2"/>
    <x v="8"/>
    <s v="Total Electric Power Industry"/>
    <x v="3"/>
    <n v="627975"/>
  </r>
  <r>
    <x v="2"/>
    <x v="8"/>
    <s v="Total Electric Power Industry"/>
    <x v="12"/>
    <n v="6315"/>
  </r>
  <r>
    <x v="2"/>
    <x v="8"/>
    <s v="Total Electric Power Industry"/>
    <x v="9"/>
    <n v="164881"/>
  </r>
  <r>
    <x v="2"/>
    <x v="8"/>
    <s v="Total Electric Power Industry"/>
    <x v="4"/>
    <n v="2181233"/>
  </r>
  <r>
    <x v="2"/>
    <x v="8"/>
    <s v="Electric Generators, Electric Utilities"/>
    <x v="0"/>
    <n v="6267492"/>
  </r>
  <r>
    <x v="2"/>
    <x v="8"/>
    <s v="Electric Generators, Electric Utilities"/>
    <x v="1"/>
    <n v="3813594"/>
  </r>
  <r>
    <x v="2"/>
    <x v="8"/>
    <s v="Electric Generators, Electric Utilities"/>
    <x v="3"/>
    <n v="623960"/>
  </r>
  <r>
    <x v="2"/>
    <x v="8"/>
    <s v="Electric Generators, Electric Utilities"/>
    <x v="4"/>
    <n v="1829938"/>
  </r>
  <r>
    <x v="2"/>
    <x v="8"/>
    <s v="Combined Heat and Power, Industrial Power"/>
    <x v="0"/>
    <n v="716793"/>
  </r>
  <r>
    <x v="2"/>
    <x v="8"/>
    <s v="Combined Heat and Power, Industrial Power"/>
    <x v="1"/>
    <n v="190287"/>
  </r>
  <r>
    <x v="2"/>
    <x v="8"/>
    <s v="Combined Heat and Power, Industrial Power"/>
    <x v="3"/>
    <n v="4015"/>
  </r>
  <r>
    <x v="2"/>
    <x v="8"/>
    <s v="Combined Heat and Power, Industrial Power"/>
    <x v="12"/>
    <n v="6315"/>
  </r>
  <r>
    <x v="2"/>
    <x v="8"/>
    <s v="Combined Heat and Power, Industrial Power"/>
    <x v="9"/>
    <n v="164881"/>
  </r>
  <r>
    <x v="2"/>
    <x v="8"/>
    <s v="Combined Heat and Power, Industrial Power"/>
    <x v="4"/>
    <n v="351295"/>
  </r>
  <r>
    <x v="2"/>
    <x v="9"/>
    <s v="Total Electric Power Industry"/>
    <x v="0"/>
    <n v="143777143"/>
  </r>
  <r>
    <x v="2"/>
    <x v="9"/>
    <s v="Total Electric Power Industry"/>
    <x v="1"/>
    <n v="62709653"/>
  </r>
  <r>
    <x v="2"/>
    <x v="9"/>
    <s v="Total Electric Power Industry"/>
    <x v="2"/>
    <n v="235604"/>
  </r>
  <r>
    <x v="2"/>
    <x v="9"/>
    <s v="Total Electric Power Industry"/>
    <x v="3"/>
    <n v="19919616"/>
  </r>
  <r>
    <x v="2"/>
    <x v="9"/>
    <s v="Total Electric Power Industry"/>
    <x v="7"/>
    <n v="25115956"/>
  </r>
  <r>
    <x v="2"/>
    <x v="9"/>
    <s v="Total Electric Power Industry"/>
    <x v="12"/>
    <n v="1951858"/>
  </r>
  <r>
    <x v="2"/>
    <x v="9"/>
    <s v="Total Electric Power Industry"/>
    <x v="8"/>
    <n v="2920768"/>
  </r>
  <r>
    <x v="2"/>
    <x v="9"/>
    <s v="Total Electric Power Industry"/>
    <x v="9"/>
    <n v="15178"/>
  </r>
  <r>
    <x v="2"/>
    <x v="9"/>
    <s v="Total Electric Power Industry"/>
    <x v="4"/>
    <n v="28617786"/>
  </r>
  <r>
    <x v="2"/>
    <x v="9"/>
    <s v="Total Electric Power Industry"/>
    <x v="6"/>
    <n v="2290724"/>
  </r>
  <r>
    <x v="2"/>
    <x v="9"/>
    <s v="Electric Generators, Independent Power Producers"/>
    <x v="0"/>
    <n v="3024692"/>
  </r>
  <r>
    <x v="2"/>
    <x v="9"/>
    <s v="Electric Generators, Independent Power Producers"/>
    <x v="3"/>
    <n v="64753"/>
  </r>
  <r>
    <x v="2"/>
    <x v="9"/>
    <s v="Electric Generators, Independent Power Producers"/>
    <x v="8"/>
    <n v="2771432"/>
  </r>
  <r>
    <x v="2"/>
    <x v="9"/>
    <s v="Electric Generators, Independent Power Producers"/>
    <x v="4"/>
    <n v="58288"/>
  </r>
  <r>
    <x v="2"/>
    <x v="9"/>
    <s v="Electric Generators, Independent Power Producers"/>
    <x v="6"/>
    <n v="130219"/>
  </r>
  <r>
    <x v="2"/>
    <x v="9"/>
    <s v="Electric Generators, Electric Utilities"/>
    <x v="0"/>
    <n v="133976775"/>
  </r>
  <r>
    <x v="2"/>
    <x v="9"/>
    <s v="Electric Generators, Electric Utilities"/>
    <x v="1"/>
    <n v="61631012"/>
  </r>
  <r>
    <x v="2"/>
    <x v="9"/>
    <s v="Electric Generators, Electric Utilities"/>
    <x v="2"/>
    <n v="235604"/>
  </r>
  <r>
    <x v="2"/>
    <x v="9"/>
    <s v="Electric Generators, Electric Utilities"/>
    <x v="3"/>
    <n v="18818019"/>
  </r>
  <r>
    <x v="2"/>
    <x v="9"/>
    <s v="Electric Generators, Electric Utilities"/>
    <x v="7"/>
    <n v="25115956"/>
  </r>
  <r>
    <x v="2"/>
    <x v="9"/>
    <s v="Electric Generators, Electric Utilities"/>
    <x v="4"/>
    <n v="28176184"/>
  </r>
  <r>
    <x v="2"/>
    <x v="9"/>
    <s v="Combined Heat and Power, Industrial Power"/>
    <x v="0"/>
    <n v="5767687"/>
  </r>
  <r>
    <x v="2"/>
    <x v="9"/>
    <s v="Combined Heat and Power, Industrial Power"/>
    <x v="1"/>
    <n v="335183"/>
  </r>
  <r>
    <x v="2"/>
    <x v="9"/>
    <s v="Combined Heat and Power, Industrial Power"/>
    <x v="3"/>
    <n v="814015"/>
  </r>
  <r>
    <x v="2"/>
    <x v="9"/>
    <s v="Combined Heat and Power, Industrial Power"/>
    <x v="12"/>
    <n v="1951858"/>
  </r>
  <r>
    <x v="2"/>
    <x v="9"/>
    <s v="Combined Heat and Power, Industrial Power"/>
    <x v="8"/>
    <n v="112774"/>
  </r>
  <r>
    <x v="2"/>
    <x v="9"/>
    <s v="Combined Heat and Power, Industrial Power"/>
    <x v="9"/>
    <n v="15178"/>
  </r>
  <r>
    <x v="2"/>
    <x v="9"/>
    <s v="Combined Heat and Power, Industrial Power"/>
    <x v="4"/>
    <n v="378174"/>
  </r>
  <r>
    <x v="2"/>
    <x v="9"/>
    <s v="Combined Heat and Power, Industrial Power"/>
    <x v="6"/>
    <n v="2160505"/>
  </r>
  <r>
    <x v="2"/>
    <x v="9"/>
    <s v="Combined Heat and Power, Electric Power"/>
    <x v="0"/>
    <n v="744962"/>
  </r>
  <r>
    <x v="2"/>
    <x v="9"/>
    <s v="Combined Heat and Power, Electric Power"/>
    <x v="1"/>
    <n v="743458"/>
  </r>
  <r>
    <x v="2"/>
    <x v="9"/>
    <s v="Combined Heat and Power, Electric Power"/>
    <x v="4"/>
    <n v="1504"/>
  </r>
  <r>
    <x v="2"/>
    <x v="9"/>
    <s v="Combined Heat and Power, Commercial Power"/>
    <x v="0"/>
    <n v="263027"/>
  </r>
  <r>
    <x v="2"/>
    <x v="9"/>
    <s v="Combined Heat and Power, Commercial Power"/>
    <x v="3"/>
    <n v="222829"/>
  </r>
  <r>
    <x v="2"/>
    <x v="9"/>
    <s v="Combined Heat and Power, Commercial Power"/>
    <x v="8"/>
    <n v="36562"/>
  </r>
  <r>
    <x v="2"/>
    <x v="9"/>
    <s v="Combined Heat and Power, Commercial Power"/>
    <x v="4"/>
    <n v="3636"/>
  </r>
  <r>
    <x v="2"/>
    <x v="10"/>
    <s v="Total Electric Power Industry"/>
    <x v="0"/>
    <n v="97358229"/>
  </r>
  <r>
    <x v="2"/>
    <x v="10"/>
    <s v="Total Electric Power Industry"/>
    <x v="1"/>
    <n v="59227954"/>
  </r>
  <r>
    <x v="2"/>
    <x v="10"/>
    <s v="Total Electric Power Industry"/>
    <x v="2"/>
    <n v="4915318"/>
  </r>
  <r>
    <x v="2"/>
    <x v="10"/>
    <s v="Total Electric Power Industry"/>
    <x v="3"/>
    <n v="729290"/>
  </r>
  <r>
    <x v="2"/>
    <x v="10"/>
    <s v="Total Electric Power Industry"/>
    <x v="7"/>
    <n v="27996298"/>
  </r>
  <r>
    <x v="2"/>
    <x v="10"/>
    <s v="Total Electric Power Industry"/>
    <x v="8"/>
    <n v="87064"/>
  </r>
  <r>
    <x v="2"/>
    <x v="10"/>
    <s v="Total Electric Power Industry"/>
    <x v="4"/>
    <n v="813405"/>
  </r>
  <r>
    <x v="2"/>
    <x v="10"/>
    <s v="Total Electric Power Industry"/>
    <x v="10"/>
    <n v="483079"/>
  </r>
  <r>
    <x v="2"/>
    <x v="10"/>
    <s v="Total Electric Power Industry"/>
    <x v="6"/>
    <n v="3105821"/>
  </r>
  <r>
    <x v="2"/>
    <x v="10"/>
    <s v="Electric Generators, Independent Power Producers"/>
    <x v="0"/>
    <n v="8021"/>
  </r>
  <r>
    <x v="2"/>
    <x v="10"/>
    <s v="Electric Generators, Independent Power Producers"/>
    <x v="2"/>
    <n v="7982"/>
  </r>
  <r>
    <x v="2"/>
    <x v="10"/>
    <s v="Electric Generators, Independent Power Producers"/>
    <x v="3"/>
    <n v="24"/>
  </r>
  <r>
    <x v="2"/>
    <x v="10"/>
    <s v="Electric Generators, Independent Power Producers"/>
    <x v="4"/>
    <n v="15"/>
  </r>
  <r>
    <x v="2"/>
    <x v="10"/>
    <s v="Electric Generators, Electric Utilities"/>
    <x v="0"/>
    <n v="91779352"/>
  </r>
  <r>
    <x v="2"/>
    <x v="10"/>
    <s v="Electric Generators, Electric Utilities"/>
    <x v="1"/>
    <n v="58235454"/>
  </r>
  <r>
    <x v="2"/>
    <x v="10"/>
    <s v="Electric Generators, Electric Utilities"/>
    <x v="2"/>
    <n v="4859204"/>
  </r>
  <r>
    <x v="2"/>
    <x v="10"/>
    <s v="Electric Generators, Electric Utilities"/>
    <x v="3"/>
    <n v="76832"/>
  </r>
  <r>
    <x v="2"/>
    <x v="10"/>
    <s v="Electric Generators, Electric Utilities"/>
    <x v="7"/>
    <n v="27996298"/>
  </r>
  <r>
    <x v="2"/>
    <x v="10"/>
    <s v="Electric Generators, Electric Utilities"/>
    <x v="4"/>
    <n v="128485"/>
  </r>
  <r>
    <x v="2"/>
    <x v="10"/>
    <s v="Electric Generators, Electric Utilities"/>
    <x v="10"/>
    <n v="483079"/>
  </r>
  <r>
    <x v="2"/>
    <x v="10"/>
    <s v="Combined Heat and Power, Industrial Power"/>
    <x v="0"/>
    <n v="5567836"/>
  </r>
  <r>
    <x v="2"/>
    <x v="10"/>
    <s v="Combined Heat and Power, Industrial Power"/>
    <x v="1"/>
    <n v="992500"/>
  </r>
  <r>
    <x v="2"/>
    <x v="10"/>
    <s v="Combined Heat and Power, Industrial Power"/>
    <x v="2"/>
    <n v="48132"/>
  </r>
  <r>
    <x v="2"/>
    <x v="10"/>
    <s v="Combined Heat and Power, Industrial Power"/>
    <x v="3"/>
    <n v="652316"/>
  </r>
  <r>
    <x v="2"/>
    <x v="10"/>
    <s v="Combined Heat and Power, Industrial Power"/>
    <x v="8"/>
    <n v="87064"/>
  </r>
  <r>
    <x v="2"/>
    <x v="10"/>
    <s v="Combined Heat and Power, Industrial Power"/>
    <x v="4"/>
    <n v="682003"/>
  </r>
  <r>
    <x v="2"/>
    <x v="10"/>
    <s v="Combined Heat and Power, Industrial Power"/>
    <x v="6"/>
    <n v="3105821"/>
  </r>
  <r>
    <x v="2"/>
    <x v="10"/>
    <s v="Combined Heat and Power, Commercial Power"/>
    <x v="0"/>
    <n v="3020"/>
  </r>
  <r>
    <x v="2"/>
    <x v="10"/>
    <s v="Combined Heat and Power, Commercial Power"/>
    <x v="3"/>
    <n v="118"/>
  </r>
  <r>
    <x v="2"/>
    <x v="10"/>
    <s v="Combined Heat and Power, Commercial Power"/>
    <x v="4"/>
    <n v="2902"/>
  </r>
  <r>
    <x v="2"/>
    <x v="11"/>
    <s v="Total Electric Power Industry"/>
    <x v="0"/>
    <n v="9844461"/>
  </r>
  <r>
    <x v="2"/>
    <x v="11"/>
    <s v="Total Electric Power Industry"/>
    <x v="1"/>
    <n v="556628"/>
  </r>
  <r>
    <x v="2"/>
    <x v="11"/>
    <s v="Total Electric Power Industry"/>
    <x v="11"/>
    <n v="2134"/>
  </r>
  <r>
    <x v="2"/>
    <x v="11"/>
    <s v="Total Electric Power Industry"/>
    <x v="2"/>
    <n v="61123"/>
  </r>
  <r>
    <x v="2"/>
    <x v="11"/>
    <s v="Total Electric Power Industry"/>
    <x v="8"/>
    <n v="805042"/>
  </r>
  <r>
    <x v="2"/>
    <x v="11"/>
    <s v="Total Electric Power Industry"/>
    <x v="9"/>
    <n v="62401"/>
  </r>
  <r>
    <x v="2"/>
    <x v="11"/>
    <s v="Total Electric Power Industry"/>
    <x v="4"/>
    <n v="8334203"/>
  </r>
  <r>
    <x v="2"/>
    <x v="11"/>
    <s v="Total Electric Power Industry"/>
    <x v="5"/>
    <n v="22676"/>
  </r>
  <r>
    <x v="2"/>
    <x v="11"/>
    <s v="Total Electric Power Industry"/>
    <x v="6"/>
    <n v="254"/>
  </r>
  <r>
    <x v="2"/>
    <x v="11"/>
    <s v="Electric Generators, Independent Power Producers"/>
    <x v="0"/>
    <n v="408419"/>
  </r>
  <r>
    <x v="2"/>
    <x v="11"/>
    <s v="Electric Generators, Independent Power Producers"/>
    <x v="11"/>
    <n v="2134"/>
  </r>
  <r>
    <x v="2"/>
    <x v="11"/>
    <s v="Electric Generators, Independent Power Producers"/>
    <x v="8"/>
    <n v="364089"/>
  </r>
  <r>
    <x v="2"/>
    <x v="11"/>
    <s v="Electric Generators, Independent Power Producers"/>
    <x v="4"/>
    <n v="19520"/>
  </r>
  <r>
    <x v="2"/>
    <x v="11"/>
    <s v="Electric Generators, Independent Power Producers"/>
    <x v="5"/>
    <n v="22676"/>
  </r>
  <r>
    <x v="2"/>
    <x v="11"/>
    <s v="Electric Generators, Electric Utilities"/>
    <x v="0"/>
    <n v="6861255"/>
  </r>
  <r>
    <x v="2"/>
    <x v="11"/>
    <s v="Electric Generators, Electric Utilities"/>
    <x v="2"/>
    <n v="9823"/>
  </r>
  <r>
    <x v="2"/>
    <x v="11"/>
    <s v="Electric Generators, Electric Utilities"/>
    <x v="8"/>
    <n v="0"/>
  </r>
  <r>
    <x v="2"/>
    <x v="11"/>
    <s v="Electric Generators, Electric Utilities"/>
    <x v="4"/>
    <n v="6851432"/>
  </r>
  <r>
    <x v="2"/>
    <x v="11"/>
    <s v="Combined Heat and Power, Industrial Power"/>
    <x v="0"/>
    <n v="814750"/>
  </r>
  <r>
    <x v="2"/>
    <x v="11"/>
    <s v="Combined Heat and Power, Industrial Power"/>
    <x v="1"/>
    <n v="29548"/>
  </r>
  <r>
    <x v="2"/>
    <x v="11"/>
    <s v="Combined Heat and Power, Industrial Power"/>
    <x v="2"/>
    <n v="51300"/>
  </r>
  <r>
    <x v="2"/>
    <x v="11"/>
    <s v="Combined Heat and Power, Industrial Power"/>
    <x v="8"/>
    <n v="387089"/>
  </r>
  <r>
    <x v="2"/>
    <x v="11"/>
    <s v="Combined Heat and Power, Industrial Power"/>
    <x v="9"/>
    <n v="62401"/>
  </r>
  <r>
    <x v="2"/>
    <x v="11"/>
    <s v="Combined Heat and Power, Industrial Power"/>
    <x v="4"/>
    <n v="284158"/>
  </r>
  <r>
    <x v="2"/>
    <x v="11"/>
    <s v="Combined Heat and Power, Industrial Power"/>
    <x v="6"/>
    <n v="254"/>
  </r>
  <r>
    <x v="2"/>
    <x v="11"/>
    <s v="Combined Heat and Power, Electric Power"/>
    <x v="0"/>
    <n v="1760037"/>
  </r>
  <r>
    <x v="2"/>
    <x v="11"/>
    <s v="Combined Heat and Power, Electric Power"/>
    <x v="1"/>
    <n v="527080"/>
  </r>
  <r>
    <x v="2"/>
    <x v="11"/>
    <s v="Combined Heat and Power, Electric Power"/>
    <x v="8"/>
    <n v="53864"/>
  </r>
  <r>
    <x v="2"/>
    <x v="11"/>
    <s v="Combined Heat and Power, Electric Power"/>
    <x v="4"/>
    <n v="1179093"/>
  </r>
  <r>
    <x v="2"/>
    <x v="12"/>
    <s v="Total Electric Power Industry"/>
    <x v="0"/>
    <n v="30496927"/>
  </r>
  <r>
    <x v="2"/>
    <x v="12"/>
    <s v="Total Electric Power Industry"/>
    <x v="1"/>
    <n v="25763013"/>
  </r>
  <r>
    <x v="2"/>
    <x v="12"/>
    <s v="Total Electric Power Industry"/>
    <x v="2"/>
    <n v="999665"/>
  </r>
  <r>
    <x v="2"/>
    <x v="12"/>
    <s v="Total Electric Power Industry"/>
    <x v="3"/>
    <n v="269011"/>
  </r>
  <r>
    <x v="2"/>
    <x v="12"/>
    <s v="Total Electric Power Industry"/>
    <x v="7"/>
    <n v="3405144"/>
  </r>
  <r>
    <x v="2"/>
    <x v="12"/>
    <s v="Total Electric Power Industry"/>
    <x v="8"/>
    <n v="20009"/>
  </r>
  <r>
    <x v="2"/>
    <x v="12"/>
    <s v="Total Electric Power Industry"/>
    <x v="4"/>
    <n v="40085"/>
  </r>
  <r>
    <x v="2"/>
    <x v="12"/>
    <s v="Electric Generators, Independent Power Producers"/>
    <x v="0"/>
    <n v="20358"/>
  </r>
  <r>
    <x v="2"/>
    <x v="12"/>
    <s v="Electric Generators, Independent Power Producers"/>
    <x v="2"/>
    <n v="18266"/>
  </r>
  <r>
    <x v="2"/>
    <x v="12"/>
    <s v="Electric Generators, Independent Power Producers"/>
    <x v="3"/>
    <n v="1392"/>
  </r>
  <r>
    <x v="2"/>
    <x v="12"/>
    <s v="Electric Generators, Independent Power Producers"/>
    <x v="4"/>
    <n v="700"/>
  </r>
  <r>
    <x v="2"/>
    <x v="12"/>
    <s v="Electric Generators, Electric Utilities"/>
    <x v="0"/>
    <n v="29426852"/>
  </r>
  <r>
    <x v="2"/>
    <x v="12"/>
    <s v="Electric Generators, Electric Utilities"/>
    <x v="1"/>
    <n v="24843631"/>
  </r>
  <r>
    <x v="2"/>
    <x v="12"/>
    <s v="Electric Generators, Electric Utilities"/>
    <x v="2"/>
    <n v="981399"/>
  </r>
  <r>
    <x v="2"/>
    <x v="12"/>
    <s v="Electric Generators, Electric Utilities"/>
    <x v="3"/>
    <n v="146254"/>
  </r>
  <r>
    <x v="2"/>
    <x v="12"/>
    <s v="Electric Generators, Electric Utilities"/>
    <x v="7"/>
    <n v="3405144"/>
  </r>
  <r>
    <x v="2"/>
    <x v="12"/>
    <s v="Electric Generators, Electric Utilities"/>
    <x v="8"/>
    <n v="14218"/>
  </r>
  <r>
    <x v="2"/>
    <x v="12"/>
    <s v="Electric Generators, Electric Utilities"/>
    <x v="4"/>
    <n v="36206"/>
  </r>
  <r>
    <x v="2"/>
    <x v="12"/>
    <s v="Combined Heat and Power, Industrial Power"/>
    <x v="0"/>
    <n v="896553"/>
  </r>
  <r>
    <x v="2"/>
    <x v="12"/>
    <s v="Combined Heat and Power, Industrial Power"/>
    <x v="1"/>
    <n v="797261"/>
  </r>
  <r>
    <x v="2"/>
    <x v="12"/>
    <s v="Combined Heat and Power, Industrial Power"/>
    <x v="3"/>
    <n v="97616"/>
  </r>
  <r>
    <x v="2"/>
    <x v="12"/>
    <s v="Combined Heat and Power, Industrial Power"/>
    <x v="8"/>
    <n v="670"/>
  </r>
  <r>
    <x v="2"/>
    <x v="12"/>
    <s v="Combined Heat and Power, Industrial Power"/>
    <x v="4"/>
    <n v="1006"/>
  </r>
  <r>
    <x v="2"/>
    <x v="12"/>
    <s v="Combined Heat and Power, Electric Power"/>
    <x v="0"/>
    <n v="123970"/>
  </r>
  <r>
    <x v="2"/>
    <x v="12"/>
    <s v="Combined Heat and Power, Electric Power"/>
    <x v="1"/>
    <n v="103126"/>
  </r>
  <r>
    <x v="2"/>
    <x v="12"/>
    <s v="Combined Heat and Power, Electric Power"/>
    <x v="3"/>
    <n v="20844"/>
  </r>
  <r>
    <x v="2"/>
    <x v="12"/>
    <s v="Combined Heat and Power, Commercial Power"/>
    <x v="0"/>
    <n v="29194"/>
  </r>
  <r>
    <x v="2"/>
    <x v="12"/>
    <s v="Combined Heat and Power, Commercial Power"/>
    <x v="1"/>
    <n v="18995"/>
  </r>
  <r>
    <x v="2"/>
    <x v="12"/>
    <s v="Combined Heat and Power, Commercial Power"/>
    <x v="3"/>
    <n v="2905"/>
  </r>
  <r>
    <x v="2"/>
    <x v="12"/>
    <s v="Combined Heat and Power, Commercial Power"/>
    <x v="8"/>
    <n v="5121"/>
  </r>
  <r>
    <x v="2"/>
    <x v="12"/>
    <s v="Combined Heat and Power, Commercial Power"/>
    <x v="4"/>
    <n v="2173"/>
  </r>
  <r>
    <x v="2"/>
    <x v="13"/>
    <s v="Total Electric Power Industry"/>
    <x v="0"/>
    <n v="7463004"/>
  </r>
  <r>
    <x v="2"/>
    <x v="13"/>
    <s v="Total Electric Power Industry"/>
    <x v="1"/>
    <n v="44371"/>
  </r>
  <r>
    <x v="2"/>
    <x v="13"/>
    <s v="Total Electric Power Industry"/>
    <x v="2"/>
    <n v="6653977"/>
  </r>
  <r>
    <x v="2"/>
    <x v="13"/>
    <s v="Total Electric Power Industry"/>
    <x v="3"/>
    <n v="137549"/>
  </r>
  <r>
    <x v="2"/>
    <x v="13"/>
    <s v="Total Electric Power Industry"/>
    <x v="12"/>
    <n v="72032"/>
  </r>
  <r>
    <x v="2"/>
    <x v="13"/>
    <s v="Total Electric Power Industry"/>
    <x v="8"/>
    <n v="8619"/>
  </r>
  <r>
    <x v="2"/>
    <x v="13"/>
    <s v="Total Electric Power Industry"/>
    <x v="4"/>
    <n v="2313"/>
  </r>
  <r>
    <x v="2"/>
    <x v="13"/>
    <s v="Total Electric Power Industry"/>
    <x v="6"/>
    <n v="544143"/>
  </r>
  <r>
    <x v="2"/>
    <x v="13"/>
    <s v="Electric Generators, Independent Power Producers"/>
    <x v="0"/>
    <n v="394427"/>
  </r>
  <r>
    <x v="2"/>
    <x v="13"/>
    <s v="Electric Generators, Independent Power Producers"/>
    <x v="2"/>
    <n v="394427"/>
  </r>
  <r>
    <x v="2"/>
    <x v="13"/>
    <s v="Electric Generators, Electric Utilities"/>
    <x v="0"/>
    <n v="6260025"/>
  </r>
  <r>
    <x v="2"/>
    <x v="13"/>
    <s v="Electric Generators, Electric Utilities"/>
    <x v="2"/>
    <n v="6259550"/>
  </r>
  <r>
    <x v="2"/>
    <x v="13"/>
    <s v="Electric Generators, Electric Utilities"/>
    <x v="4"/>
    <n v="475"/>
  </r>
  <r>
    <x v="2"/>
    <x v="13"/>
    <s v="Combined Heat and Power, Industrial Power"/>
    <x v="0"/>
    <n v="727379"/>
  </r>
  <r>
    <x v="2"/>
    <x v="13"/>
    <s v="Combined Heat and Power, Industrial Power"/>
    <x v="1"/>
    <n v="44371"/>
  </r>
  <r>
    <x v="2"/>
    <x v="13"/>
    <s v="Combined Heat and Power, Industrial Power"/>
    <x v="3"/>
    <n v="137549"/>
  </r>
  <r>
    <x v="2"/>
    <x v="13"/>
    <s v="Combined Heat and Power, Industrial Power"/>
    <x v="12"/>
    <n v="72032"/>
  </r>
  <r>
    <x v="2"/>
    <x v="13"/>
    <s v="Combined Heat and Power, Industrial Power"/>
    <x v="8"/>
    <n v="8619"/>
  </r>
  <r>
    <x v="2"/>
    <x v="13"/>
    <s v="Combined Heat and Power, Industrial Power"/>
    <x v="4"/>
    <n v="1838"/>
  </r>
  <r>
    <x v="2"/>
    <x v="13"/>
    <s v="Combined Heat and Power, Industrial Power"/>
    <x v="6"/>
    <n v="462970"/>
  </r>
  <r>
    <x v="2"/>
    <x v="13"/>
    <s v="Combined Heat and Power, Electric Power"/>
    <x v="0"/>
    <n v="81173"/>
  </r>
  <r>
    <x v="2"/>
    <x v="13"/>
    <s v="Combined Heat and Power, Electric Power"/>
    <x v="6"/>
    <n v="81173"/>
  </r>
  <r>
    <x v="2"/>
    <x v="14"/>
    <s v="Total Electric Power Industry"/>
    <x v="0"/>
    <n v="128046228"/>
  </r>
  <r>
    <x v="2"/>
    <x v="14"/>
    <s v="Total Electric Power Industry"/>
    <x v="1"/>
    <n v="51416591"/>
  </r>
  <r>
    <x v="2"/>
    <x v="14"/>
    <s v="Total Electric Power Industry"/>
    <x v="2"/>
    <n v="139308"/>
  </r>
  <r>
    <x v="2"/>
    <x v="14"/>
    <s v="Total Electric Power Industry"/>
    <x v="3"/>
    <n v="1703597"/>
  </r>
  <r>
    <x v="2"/>
    <x v="14"/>
    <s v="Total Electric Power Industry"/>
    <x v="7"/>
    <n v="73742321"/>
  </r>
  <r>
    <x v="2"/>
    <x v="14"/>
    <s v="Total Electric Power Industry"/>
    <x v="8"/>
    <n v="202394"/>
  </r>
  <r>
    <x v="2"/>
    <x v="14"/>
    <s v="Total Electric Power Industry"/>
    <x v="9"/>
    <n v="404078"/>
  </r>
  <r>
    <x v="2"/>
    <x v="14"/>
    <s v="Total Electric Power Industry"/>
    <x v="4"/>
    <n v="437893"/>
  </r>
  <r>
    <x v="2"/>
    <x v="14"/>
    <s v="Total Electric Power Industry"/>
    <x v="6"/>
    <n v="46"/>
  </r>
  <r>
    <x v="2"/>
    <x v="14"/>
    <s v="Electric Generators, Independent Power Producers"/>
    <x v="0"/>
    <n v="218537"/>
  </r>
  <r>
    <x v="2"/>
    <x v="14"/>
    <s v="Electric Generators, Independent Power Producers"/>
    <x v="2"/>
    <n v="81138"/>
  </r>
  <r>
    <x v="2"/>
    <x v="14"/>
    <s v="Electric Generators, Independent Power Producers"/>
    <x v="8"/>
    <n v="137293"/>
  </r>
  <r>
    <x v="2"/>
    <x v="14"/>
    <s v="Electric Generators, Independent Power Producers"/>
    <x v="4"/>
    <n v="106"/>
  </r>
  <r>
    <x v="2"/>
    <x v="14"/>
    <s v="Electric Generators, Electric Utilities"/>
    <x v="0"/>
    <n v="124824093"/>
  </r>
  <r>
    <x v="2"/>
    <x v="14"/>
    <s v="Electric Generators, Electric Utilities"/>
    <x v="1"/>
    <n v="49814805"/>
  </r>
  <r>
    <x v="2"/>
    <x v="14"/>
    <s v="Electric Generators, Electric Utilities"/>
    <x v="2"/>
    <n v="51600"/>
  </r>
  <r>
    <x v="2"/>
    <x v="14"/>
    <s v="Electric Generators, Electric Utilities"/>
    <x v="3"/>
    <n v="772560"/>
  </r>
  <r>
    <x v="2"/>
    <x v="14"/>
    <s v="Electric Generators, Electric Utilities"/>
    <x v="7"/>
    <n v="73742321"/>
  </r>
  <r>
    <x v="2"/>
    <x v="14"/>
    <s v="Electric Generators, Electric Utilities"/>
    <x v="8"/>
    <n v="8448"/>
  </r>
  <r>
    <x v="2"/>
    <x v="14"/>
    <s v="Electric Generators, Electric Utilities"/>
    <x v="4"/>
    <n v="434359"/>
  </r>
  <r>
    <x v="2"/>
    <x v="14"/>
    <s v="Combined Heat and Power, Industrial Power"/>
    <x v="0"/>
    <n v="2830993"/>
  </r>
  <r>
    <x v="2"/>
    <x v="14"/>
    <s v="Combined Heat and Power, Industrial Power"/>
    <x v="1"/>
    <n v="1601786"/>
  </r>
  <r>
    <x v="2"/>
    <x v="14"/>
    <s v="Combined Heat and Power, Industrial Power"/>
    <x v="3"/>
    <n v="800685"/>
  </r>
  <r>
    <x v="2"/>
    <x v="14"/>
    <s v="Combined Heat and Power, Industrial Power"/>
    <x v="8"/>
    <n v="20970"/>
  </r>
  <r>
    <x v="2"/>
    <x v="14"/>
    <s v="Combined Heat and Power, Industrial Power"/>
    <x v="9"/>
    <n v="404078"/>
  </r>
  <r>
    <x v="2"/>
    <x v="14"/>
    <s v="Combined Heat and Power, Industrial Power"/>
    <x v="4"/>
    <n v="3428"/>
  </r>
  <r>
    <x v="2"/>
    <x v="14"/>
    <s v="Combined Heat and Power, Industrial Power"/>
    <x v="6"/>
    <n v="46"/>
  </r>
  <r>
    <x v="2"/>
    <x v="14"/>
    <s v="Combined Heat and Power, Electric Power"/>
    <x v="0"/>
    <n v="37664"/>
  </r>
  <r>
    <x v="2"/>
    <x v="14"/>
    <s v="Combined Heat and Power, Electric Power"/>
    <x v="3"/>
    <n v="9334"/>
  </r>
  <r>
    <x v="2"/>
    <x v="14"/>
    <s v="Combined Heat and Power, Electric Power"/>
    <x v="8"/>
    <n v="28330"/>
  </r>
  <r>
    <x v="2"/>
    <x v="14"/>
    <s v="Combined Heat and Power, Commercial Power"/>
    <x v="0"/>
    <n v="134941"/>
  </r>
  <r>
    <x v="2"/>
    <x v="14"/>
    <s v="Combined Heat and Power, Commercial Power"/>
    <x v="2"/>
    <n v="6570"/>
  </r>
  <r>
    <x v="2"/>
    <x v="14"/>
    <s v="Combined Heat and Power, Commercial Power"/>
    <x v="3"/>
    <n v="121018"/>
  </r>
  <r>
    <x v="2"/>
    <x v="14"/>
    <s v="Combined Heat and Power, Commercial Power"/>
    <x v="8"/>
    <n v="7353"/>
  </r>
  <r>
    <x v="2"/>
    <x v="15"/>
    <s v="Total Electric Power Industry"/>
    <x v="0"/>
    <n v="101018564"/>
  </r>
  <r>
    <x v="2"/>
    <x v="15"/>
    <s v="Total Electric Power Industry"/>
    <x v="1"/>
    <n v="96616880"/>
  </r>
  <r>
    <x v="2"/>
    <x v="15"/>
    <s v="Total Electric Power Industry"/>
    <x v="2"/>
    <n v="562476"/>
  </r>
  <r>
    <x v="2"/>
    <x v="15"/>
    <s v="Total Electric Power Industry"/>
    <x v="3"/>
    <n v="1184257"/>
  </r>
  <r>
    <x v="2"/>
    <x v="15"/>
    <s v="Total Electric Power Industry"/>
    <x v="8"/>
    <n v="33471"/>
  </r>
  <r>
    <x v="2"/>
    <x v="15"/>
    <s v="Total Electric Power Industry"/>
    <x v="9"/>
    <n v="2133416"/>
  </r>
  <r>
    <x v="2"/>
    <x v="15"/>
    <s v="Total Electric Power Industry"/>
    <x v="4"/>
    <n v="488064"/>
  </r>
  <r>
    <x v="2"/>
    <x v="15"/>
    <s v="Electric Generators, Electric Utilities"/>
    <x v="0"/>
    <n v="97299582"/>
  </r>
  <r>
    <x v="2"/>
    <x v="15"/>
    <s v="Electric Generators, Electric Utilities"/>
    <x v="1"/>
    <n v="95745949"/>
  </r>
  <r>
    <x v="2"/>
    <x v="15"/>
    <s v="Electric Generators, Electric Utilities"/>
    <x v="2"/>
    <n v="562476"/>
  </r>
  <r>
    <x v="2"/>
    <x v="15"/>
    <s v="Electric Generators, Electric Utilities"/>
    <x v="3"/>
    <n v="704093"/>
  </r>
  <r>
    <x v="2"/>
    <x v="15"/>
    <s v="Electric Generators, Electric Utilities"/>
    <x v="4"/>
    <n v="287064"/>
  </r>
  <r>
    <x v="2"/>
    <x v="15"/>
    <s v="Combined Heat and Power, Industrial Power"/>
    <x v="0"/>
    <n v="3572121"/>
  </r>
  <r>
    <x v="2"/>
    <x v="15"/>
    <s v="Combined Heat and Power, Industrial Power"/>
    <x v="1"/>
    <n v="787039"/>
  </r>
  <r>
    <x v="2"/>
    <x v="15"/>
    <s v="Combined Heat and Power, Industrial Power"/>
    <x v="3"/>
    <n v="452335"/>
  </r>
  <r>
    <x v="2"/>
    <x v="15"/>
    <s v="Combined Heat and Power, Industrial Power"/>
    <x v="9"/>
    <n v="2133416"/>
  </r>
  <r>
    <x v="2"/>
    <x v="15"/>
    <s v="Combined Heat and Power, Industrial Power"/>
    <x v="4"/>
    <n v="199331"/>
  </r>
  <r>
    <x v="2"/>
    <x v="15"/>
    <s v="Combined Heat and Power, Commercial Power"/>
    <x v="0"/>
    <n v="146861"/>
  </r>
  <r>
    <x v="2"/>
    <x v="15"/>
    <s v="Combined Heat and Power, Commercial Power"/>
    <x v="1"/>
    <n v="83892"/>
  </r>
  <r>
    <x v="2"/>
    <x v="15"/>
    <s v="Combined Heat and Power, Commercial Power"/>
    <x v="3"/>
    <n v="27829"/>
  </r>
  <r>
    <x v="2"/>
    <x v="15"/>
    <s v="Combined Heat and Power, Commercial Power"/>
    <x v="8"/>
    <n v="33471"/>
  </r>
  <r>
    <x v="2"/>
    <x v="15"/>
    <s v="Combined Heat and Power, Commercial Power"/>
    <x v="4"/>
    <n v="1669"/>
  </r>
  <r>
    <x v="2"/>
    <x v="16"/>
    <s v="Total Electric Power Industry"/>
    <x v="0"/>
    <n v="32078493"/>
  </r>
  <r>
    <x v="2"/>
    <x v="16"/>
    <s v="Total Electric Power Industry"/>
    <x v="1"/>
    <n v="22152736"/>
  </r>
  <r>
    <x v="2"/>
    <x v="16"/>
    <s v="Total Electric Power Industry"/>
    <x v="2"/>
    <n v="9768"/>
  </r>
  <r>
    <x v="2"/>
    <x v="16"/>
    <s v="Total Electric Power Industry"/>
    <x v="3"/>
    <n v="1372392"/>
  </r>
  <r>
    <x v="2"/>
    <x v="16"/>
    <s v="Total Electric Power Industry"/>
    <x v="7"/>
    <n v="8490658"/>
  </r>
  <r>
    <x v="2"/>
    <x v="16"/>
    <s v="Total Electric Power Industry"/>
    <x v="4"/>
    <n v="52826"/>
  </r>
  <r>
    <x v="2"/>
    <x v="16"/>
    <s v="Total Electric Power Industry"/>
    <x v="5"/>
    <n v="113"/>
  </r>
  <r>
    <x v="2"/>
    <x v="16"/>
    <s v="Electric Generators, Independent Power Producers"/>
    <x v="0"/>
    <n v="9768"/>
  </r>
  <r>
    <x v="2"/>
    <x v="16"/>
    <s v="Electric Generators, Independent Power Producers"/>
    <x v="2"/>
    <n v="9768"/>
  </r>
  <r>
    <x v="2"/>
    <x v="16"/>
    <s v="Electric Generators, Electric Utilities"/>
    <x v="0"/>
    <n v="31763765"/>
  </r>
  <r>
    <x v="2"/>
    <x v="16"/>
    <s v="Electric Generators, Electric Utilities"/>
    <x v="1"/>
    <n v="22152736"/>
  </r>
  <r>
    <x v="2"/>
    <x v="16"/>
    <s v="Electric Generators, Electric Utilities"/>
    <x v="3"/>
    <n v="1075714"/>
  </r>
  <r>
    <x v="2"/>
    <x v="16"/>
    <s v="Electric Generators, Electric Utilities"/>
    <x v="7"/>
    <n v="8490658"/>
  </r>
  <r>
    <x v="2"/>
    <x v="16"/>
    <s v="Electric Generators, Electric Utilities"/>
    <x v="4"/>
    <n v="44544"/>
  </r>
  <r>
    <x v="2"/>
    <x v="16"/>
    <s v="Electric Generators, Electric Utilities"/>
    <x v="5"/>
    <n v="113"/>
  </r>
  <r>
    <x v="2"/>
    <x v="16"/>
    <s v="Combined Heat and Power, Industrial Power"/>
    <x v="0"/>
    <n v="304960"/>
  </r>
  <r>
    <x v="2"/>
    <x v="16"/>
    <s v="Combined Heat and Power, Industrial Power"/>
    <x v="3"/>
    <n v="296678"/>
  </r>
  <r>
    <x v="2"/>
    <x v="16"/>
    <s v="Combined Heat and Power, Industrial Power"/>
    <x v="4"/>
    <n v="8282"/>
  </r>
  <r>
    <x v="2"/>
    <x v="17"/>
    <s v="Total Electric Power Industry"/>
    <x v="0"/>
    <n v="77351259"/>
  </r>
  <r>
    <x v="2"/>
    <x v="17"/>
    <s v="Total Electric Power Industry"/>
    <x v="1"/>
    <n v="73476309"/>
  </r>
  <r>
    <x v="2"/>
    <x v="17"/>
    <s v="Total Electric Power Industry"/>
    <x v="2"/>
    <n v="3767232"/>
  </r>
  <r>
    <x v="2"/>
    <x v="17"/>
    <s v="Total Electric Power Industry"/>
    <x v="3"/>
    <n v="23832"/>
  </r>
  <r>
    <x v="2"/>
    <x v="17"/>
    <s v="Total Electric Power Industry"/>
    <x v="4"/>
    <n v="83886"/>
  </r>
  <r>
    <x v="2"/>
    <x v="17"/>
    <s v="Electric Generators, Electric Utilities"/>
    <x v="0"/>
    <n v="77351259"/>
  </r>
  <r>
    <x v="2"/>
    <x v="17"/>
    <s v="Electric Generators, Electric Utilities"/>
    <x v="1"/>
    <n v="73476309"/>
  </r>
  <r>
    <x v="2"/>
    <x v="17"/>
    <s v="Electric Generators, Electric Utilities"/>
    <x v="2"/>
    <n v="3767232"/>
  </r>
  <r>
    <x v="2"/>
    <x v="17"/>
    <s v="Electric Generators, Electric Utilities"/>
    <x v="3"/>
    <n v="23832"/>
  </r>
  <r>
    <x v="2"/>
    <x v="17"/>
    <s v="Electric Generators, Electric Utilities"/>
    <x v="4"/>
    <n v="83886"/>
  </r>
  <r>
    <x v="2"/>
    <x v="18"/>
    <s v="Total Electric Power Industry"/>
    <x v="0"/>
    <n v="73374124"/>
  </r>
  <r>
    <x v="2"/>
    <x v="18"/>
    <s v="Total Electric Power Industry"/>
    <x v="1"/>
    <n v="19840001"/>
  </r>
  <r>
    <x v="2"/>
    <x v="18"/>
    <s v="Total Electric Power Industry"/>
    <x v="2"/>
    <n v="656492"/>
  </r>
  <r>
    <x v="2"/>
    <x v="18"/>
    <s v="Total Electric Power Industry"/>
    <x v="3"/>
    <n v="36977798"/>
  </r>
  <r>
    <x v="2"/>
    <x v="18"/>
    <s v="Total Electric Power Industry"/>
    <x v="7"/>
    <n v="10355520"/>
  </r>
  <r>
    <x v="2"/>
    <x v="18"/>
    <s v="Total Electric Power Industry"/>
    <x v="12"/>
    <n v="702002"/>
  </r>
  <r>
    <x v="2"/>
    <x v="18"/>
    <s v="Total Electric Power Industry"/>
    <x v="8"/>
    <n v="80251"/>
  </r>
  <r>
    <x v="2"/>
    <x v="18"/>
    <s v="Total Electric Power Industry"/>
    <x v="9"/>
    <n v="1162816"/>
  </r>
  <r>
    <x v="2"/>
    <x v="18"/>
    <s v="Total Electric Power Industry"/>
    <x v="4"/>
    <n v="1065464"/>
  </r>
  <r>
    <x v="2"/>
    <x v="18"/>
    <s v="Total Electric Power Industry"/>
    <x v="6"/>
    <n v="2533780"/>
  </r>
  <r>
    <x v="2"/>
    <x v="18"/>
    <s v="Electric Generators, Independent Power Producers"/>
    <x v="0"/>
    <n v="854615"/>
  </r>
  <r>
    <x v="2"/>
    <x v="18"/>
    <s v="Electric Generators, Independent Power Producers"/>
    <x v="2"/>
    <n v="656492"/>
  </r>
  <r>
    <x v="2"/>
    <x v="18"/>
    <s v="Electric Generators, Independent Power Producers"/>
    <x v="3"/>
    <n v="28563"/>
  </r>
  <r>
    <x v="2"/>
    <x v="18"/>
    <s v="Electric Generators, Independent Power Producers"/>
    <x v="8"/>
    <n v="79937"/>
  </r>
  <r>
    <x v="2"/>
    <x v="18"/>
    <s v="Electric Generators, Independent Power Producers"/>
    <x v="4"/>
    <n v="89623"/>
  </r>
  <r>
    <x v="2"/>
    <x v="18"/>
    <s v="Electric Generators, Electric Utilities"/>
    <x v="0"/>
    <n v="55188230"/>
  </r>
  <r>
    <x v="2"/>
    <x v="18"/>
    <s v="Electric Generators, Electric Utilities"/>
    <x v="1"/>
    <n v="19795693"/>
  </r>
  <r>
    <x v="2"/>
    <x v="18"/>
    <s v="Electric Generators, Electric Utilities"/>
    <x v="3"/>
    <n v="24554198"/>
  </r>
  <r>
    <x v="2"/>
    <x v="18"/>
    <s v="Electric Generators, Electric Utilities"/>
    <x v="7"/>
    <n v="10355520"/>
  </r>
  <r>
    <x v="2"/>
    <x v="18"/>
    <s v="Electric Generators, Electric Utilities"/>
    <x v="4"/>
    <n v="482819"/>
  </r>
  <r>
    <x v="2"/>
    <x v="18"/>
    <s v="Combined Heat and Power, Industrial Power"/>
    <x v="0"/>
    <n v="16346615"/>
  </r>
  <r>
    <x v="2"/>
    <x v="18"/>
    <s v="Combined Heat and Power, Industrial Power"/>
    <x v="1"/>
    <n v="44308"/>
  </r>
  <r>
    <x v="2"/>
    <x v="18"/>
    <s v="Combined Heat and Power, Industrial Power"/>
    <x v="3"/>
    <n v="11881918"/>
  </r>
  <r>
    <x v="2"/>
    <x v="18"/>
    <s v="Combined Heat and Power, Industrial Power"/>
    <x v="12"/>
    <n v="702002"/>
  </r>
  <r>
    <x v="2"/>
    <x v="18"/>
    <s v="Combined Heat and Power, Industrial Power"/>
    <x v="8"/>
    <n v="314"/>
  </r>
  <r>
    <x v="2"/>
    <x v="18"/>
    <s v="Combined Heat and Power, Industrial Power"/>
    <x v="9"/>
    <n v="1162816"/>
  </r>
  <r>
    <x v="2"/>
    <x v="18"/>
    <s v="Combined Heat and Power, Industrial Power"/>
    <x v="4"/>
    <n v="21477"/>
  </r>
  <r>
    <x v="2"/>
    <x v="18"/>
    <s v="Combined Heat and Power, Industrial Power"/>
    <x v="6"/>
    <n v="2533780"/>
  </r>
  <r>
    <x v="2"/>
    <x v="18"/>
    <s v="Combined Heat and Power, Electric Power"/>
    <x v="0"/>
    <n v="953995"/>
  </r>
  <r>
    <x v="2"/>
    <x v="18"/>
    <s v="Combined Heat and Power, Electric Power"/>
    <x v="3"/>
    <n v="482450"/>
  </r>
  <r>
    <x v="2"/>
    <x v="18"/>
    <s v="Combined Heat and Power, Electric Power"/>
    <x v="4"/>
    <n v="471545"/>
  </r>
  <r>
    <x v="2"/>
    <x v="18"/>
    <s v="Combined Heat and Power, Commercial Power"/>
    <x v="0"/>
    <n v="30669"/>
  </r>
  <r>
    <x v="2"/>
    <x v="18"/>
    <s v="Combined Heat and Power, Commercial Power"/>
    <x v="3"/>
    <n v="30669"/>
  </r>
  <r>
    <x v="2"/>
    <x v="19"/>
    <s v="Total Electric Power Industry"/>
    <x v="0"/>
    <n v="40087655"/>
  </r>
  <r>
    <x v="2"/>
    <x v="19"/>
    <s v="Total Electric Power Industry"/>
    <x v="1"/>
    <n v="11064697"/>
  </r>
  <r>
    <x v="2"/>
    <x v="19"/>
    <s v="Total Electric Power Industry"/>
    <x v="2"/>
    <n v="1010856"/>
  </r>
  <r>
    <x v="2"/>
    <x v="19"/>
    <s v="Total Electric Power Industry"/>
    <x v="3"/>
    <n v="8479397"/>
  </r>
  <r>
    <x v="2"/>
    <x v="19"/>
    <s v="Total Electric Power Industry"/>
    <x v="7"/>
    <n v="4741968"/>
  </r>
  <r>
    <x v="2"/>
    <x v="19"/>
    <s v="Total Electric Power Industry"/>
    <x v="8"/>
    <n v="1681890"/>
  </r>
  <r>
    <x v="2"/>
    <x v="19"/>
    <s v="Total Electric Power Industry"/>
    <x v="4"/>
    <n v="13726316"/>
  </r>
  <r>
    <x v="2"/>
    <x v="19"/>
    <s v="Total Electric Power Industry"/>
    <x v="10"/>
    <n v="-648685"/>
  </r>
  <r>
    <x v="2"/>
    <x v="19"/>
    <s v="Total Electric Power Industry"/>
    <x v="6"/>
    <n v="31216"/>
  </r>
  <r>
    <x v="2"/>
    <x v="19"/>
    <s v="Electric Generators, Independent Power Producers"/>
    <x v="0"/>
    <n v="1940520"/>
  </r>
  <r>
    <x v="2"/>
    <x v="19"/>
    <s v="Electric Generators, Independent Power Producers"/>
    <x v="2"/>
    <n v="231815"/>
  </r>
  <r>
    <x v="2"/>
    <x v="19"/>
    <s v="Electric Generators, Independent Power Producers"/>
    <x v="3"/>
    <n v="130215"/>
  </r>
  <r>
    <x v="2"/>
    <x v="19"/>
    <s v="Electric Generators, Independent Power Producers"/>
    <x v="8"/>
    <n v="1540488"/>
  </r>
  <r>
    <x v="2"/>
    <x v="19"/>
    <s v="Electric Generators, Independent Power Producers"/>
    <x v="4"/>
    <n v="8494"/>
  </r>
  <r>
    <x v="2"/>
    <x v="19"/>
    <s v="Electric Generators, Independent Power Producers"/>
    <x v="6"/>
    <n v="29508"/>
  </r>
  <r>
    <x v="2"/>
    <x v="19"/>
    <s v="Electric Generators, Electric Utilities"/>
    <x v="0"/>
    <n v="32838301"/>
  </r>
  <r>
    <x v="2"/>
    <x v="19"/>
    <s v="Electric Generators, Electric Utilities"/>
    <x v="1"/>
    <n v="10949228"/>
  </r>
  <r>
    <x v="2"/>
    <x v="19"/>
    <s v="Electric Generators, Electric Utilities"/>
    <x v="2"/>
    <n v="762764"/>
  </r>
  <r>
    <x v="2"/>
    <x v="19"/>
    <s v="Electric Generators, Electric Utilities"/>
    <x v="3"/>
    <n v="3750925"/>
  </r>
  <r>
    <x v="2"/>
    <x v="19"/>
    <s v="Electric Generators, Electric Utilities"/>
    <x v="7"/>
    <n v="4741968"/>
  </r>
  <r>
    <x v="2"/>
    <x v="19"/>
    <s v="Electric Generators, Electric Utilities"/>
    <x v="4"/>
    <n v="13282101"/>
  </r>
  <r>
    <x v="2"/>
    <x v="19"/>
    <s v="Electric Generators, Electric Utilities"/>
    <x v="10"/>
    <n v="-648685"/>
  </r>
  <r>
    <x v="2"/>
    <x v="19"/>
    <s v="Combined Heat and Power, Industrial Power"/>
    <x v="0"/>
    <n v="568949"/>
  </r>
  <r>
    <x v="2"/>
    <x v="19"/>
    <s v="Combined Heat and Power, Industrial Power"/>
    <x v="1"/>
    <n v="47236"/>
  </r>
  <r>
    <x v="2"/>
    <x v="19"/>
    <s v="Combined Heat and Power, Industrial Power"/>
    <x v="2"/>
    <n v="16277"/>
  </r>
  <r>
    <x v="2"/>
    <x v="19"/>
    <s v="Combined Heat and Power, Industrial Power"/>
    <x v="3"/>
    <n v="187612"/>
  </r>
  <r>
    <x v="2"/>
    <x v="19"/>
    <s v="Combined Heat and Power, Industrial Power"/>
    <x v="8"/>
    <n v="62036"/>
  </r>
  <r>
    <x v="2"/>
    <x v="19"/>
    <s v="Combined Heat and Power, Industrial Power"/>
    <x v="4"/>
    <n v="255788"/>
  </r>
  <r>
    <x v="2"/>
    <x v="19"/>
    <s v="Combined Heat and Power, Electric Power"/>
    <x v="0"/>
    <n v="4422231"/>
  </r>
  <r>
    <x v="2"/>
    <x v="19"/>
    <s v="Combined Heat and Power, Electric Power"/>
    <x v="1"/>
    <n v="68233"/>
  </r>
  <r>
    <x v="2"/>
    <x v="19"/>
    <s v="Combined Heat and Power, Electric Power"/>
    <x v="3"/>
    <n v="4273775"/>
  </r>
  <r>
    <x v="2"/>
    <x v="19"/>
    <s v="Combined Heat and Power, Electric Power"/>
    <x v="8"/>
    <n v="51635"/>
  </r>
  <r>
    <x v="2"/>
    <x v="19"/>
    <s v="Combined Heat and Power, Electric Power"/>
    <x v="4"/>
    <n v="26880"/>
  </r>
  <r>
    <x v="2"/>
    <x v="19"/>
    <s v="Combined Heat and Power, Electric Power"/>
    <x v="6"/>
    <n v="1708"/>
  </r>
  <r>
    <x v="2"/>
    <x v="19"/>
    <s v="Combined Heat and Power, Commercial Power"/>
    <x v="0"/>
    <n v="317654"/>
  </r>
  <r>
    <x v="2"/>
    <x v="19"/>
    <s v="Combined Heat and Power, Commercial Power"/>
    <x v="3"/>
    <n v="136870"/>
  </r>
  <r>
    <x v="2"/>
    <x v="19"/>
    <s v="Combined Heat and Power, Commercial Power"/>
    <x v="8"/>
    <n v="27731"/>
  </r>
  <r>
    <x v="2"/>
    <x v="19"/>
    <s v="Combined Heat and Power, Commercial Power"/>
    <x v="4"/>
    <n v="153053"/>
  </r>
  <r>
    <x v="2"/>
    <x v="20"/>
    <s v="Total Electric Power Industry"/>
    <x v="0"/>
    <n v="41177359"/>
  </r>
  <r>
    <x v="2"/>
    <x v="20"/>
    <s v="Total Electric Power Industry"/>
    <x v="1"/>
    <n v="23850470"/>
  </r>
  <r>
    <x v="2"/>
    <x v="20"/>
    <s v="Total Electric Power Industry"/>
    <x v="2"/>
    <n v="1824659"/>
  </r>
  <r>
    <x v="2"/>
    <x v="20"/>
    <s v="Total Electric Power Industry"/>
    <x v="3"/>
    <n v="1077542"/>
  </r>
  <r>
    <x v="2"/>
    <x v="20"/>
    <s v="Total Electric Power Industry"/>
    <x v="7"/>
    <n v="10663950"/>
  </r>
  <r>
    <x v="2"/>
    <x v="20"/>
    <s v="Total Electric Power Industry"/>
    <x v="8"/>
    <n v="329854"/>
  </r>
  <r>
    <x v="2"/>
    <x v="20"/>
    <s v="Total Electric Power Industry"/>
    <x v="9"/>
    <n v="506572"/>
  </r>
  <r>
    <x v="2"/>
    <x v="20"/>
    <s v="Total Electric Power Industry"/>
    <x v="4"/>
    <n v="2749511"/>
  </r>
  <r>
    <x v="2"/>
    <x v="20"/>
    <s v="Total Electric Power Industry"/>
    <x v="6"/>
    <n v="174801"/>
  </r>
  <r>
    <x v="2"/>
    <x v="20"/>
    <s v="Electric Generators, Independent Power Producers"/>
    <x v="0"/>
    <n v="19857"/>
  </r>
  <r>
    <x v="2"/>
    <x v="20"/>
    <s v="Electric Generators, Independent Power Producers"/>
    <x v="8"/>
    <n v="19857"/>
  </r>
  <r>
    <x v="2"/>
    <x v="20"/>
    <s v="Electric Generators, Electric Utilities"/>
    <x v="0"/>
    <n v="39586558"/>
  </r>
  <r>
    <x v="2"/>
    <x v="20"/>
    <s v="Electric Generators, Electric Utilities"/>
    <x v="1"/>
    <n v="23625314"/>
  </r>
  <r>
    <x v="2"/>
    <x v="20"/>
    <s v="Electric Generators, Electric Utilities"/>
    <x v="2"/>
    <n v="1824659"/>
  </r>
  <r>
    <x v="2"/>
    <x v="20"/>
    <s v="Electric Generators, Electric Utilities"/>
    <x v="3"/>
    <n v="860815"/>
  </r>
  <r>
    <x v="2"/>
    <x v="20"/>
    <s v="Electric Generators, Electric Utilities"/>
    <x v="7"/>
    <n v="10663950"/>
  </r>
  <r>
    <x v="2"/>
    <x v="20"/>
    <s v="Electric Generators, Electric Utilities"/>
    <x v="8"/>
    <n v="0"/>
  </r>
  <r>
    <x v="2"/>
    <x v="20"/>
    <s v="Electric Generators, Electric Utilities"/>
    <x v="4"/>
    <n v="2611820"/>
  </r>
  <r>
    <x v="2"/>
    <x v="20"/>
    <s v="Combined Heat and Power, Industrial Power"/>
    <x v="0"/>
    <n v="414178"/>
  </r>
  <r>
    <x v="2"/>
    <x v="20"/>
    <s v="Combined Heat and Power, Industrial Power"/>
    <x v="1"/>
    <n v="225156"/>
  </r>
  <r>
    <x v="2"/>
    <x v="20"/>
    <s v="Combined Heat and Power, Industrial Power"/>
    <x v="3"/>
    <n v="29019"/>
  </r>
  <r>
    <x v="2"/>
    <x v="20"/>
    <s v="Combined Heat and Power, Industrial Power"/>
    <x v="4"/>
    <n v="2672"/>
  </r>
  <r>
    <x v="2"/>
    <x v="20"/>
    <s v="Combined Heat and Power, Industrial Power"/>
    <x v="6"/>
    <n v="157331"/>
  </r>
  <r>
    <x v="2"/>
    <x v="20"/>
    <s v="Combined Heat and Power, Electric Power"/>
    <x v="0"/>
    <n v="1122296"/>
  </r>
  <r>
    <x v="2"/>
    <x v="20"/>
    <s v="Combined Heat and Power, Electric Power"/>
    <x v="3"/>
    <n v="187708"/>
  </r>
  <r>
    <x v="2"/>
    <x v="20"/>
    <s v="Combined Heat and Power, Electric Power"/>
    <x v="8"/>
    <n v="293604"/>
  </r>
  <r>
    <x v="2"/>
    <x v="20"/>
    <s v="Combined Heat and Power, Electric Power"/>
    <x v="9"/>
    <n v="506572"/>
  </r>
  <r>
    <x v="2"/>
    <x v="20"/>
    <s v="Combined Heat and Power, Electric Power"/>
    <x v="4"/>
    <n v="134412"/>
  </r>
  <r>
    <x v="2"/>
    <x v="20"/>
    <s v="Combined Heat and Power, Commercial Power"/>
    <x v="0"/>
    <n v="34470"/>
  </r>
  <r>
    <x v="2"/>
    <x v="20"/>
    <s v="Combined Heat and Power, Commercial Power"/>
    <x v="8"/>
    <n v="16393"/>
  </r>
  <r>
    <x v="2"/>
    <x v="20"/>
    <s v="Combined Heat and Power, Commercial Power"/>
    <x v="4"/>
    <n v="607"/>
  </r>
  <r>
    <x v="2"/>
    <x v="20"/>
    <s v="Combined Heat and Power, Commercial Power"/>
    <x v="6"/>
    <n v="17470"/>
  </r>
  <r>
    <x v="2"/>
    <x v="21"/>
    <s v="Total Electric Power Industry"/>
    <x v="0"/>
    <n v="15683544"/>
  </r>
  <r>
    <x v="2"/>
    <x v="21"/>
    <s v="Total Electric Power Industry"/>
    <x v="1"/>
    <n v="559844"/>
  </r>
  <r>
    <x v="2"/>
    <x v="21"/>
    <s v="Total Electric Power Industry"/>
    <x v="2"/>
    <n v="3512606"/>
  </r>
  <r>
    <x v="2"/>
    <x v="21"/>
    <s v="Total Electric Power Industry"/>
    <x v="3"/>
    <n v="24687"/>
  </r>
  <r>
    <x v="2"/>
    <x v="21"/>
    <s v="Total Electric Power Industry"/>
    <x v="7"/>
    <n v="5357999"/>
  </r>
  <r>
    <x v="2"/>
    <x v="21"/>
    <s v="Total Electric Power Industry"/>
    <x v="8"/>
    <n v="409247"/>
  </r>
  <r>
    <x v="2"/>
    <x v="21"/>
    <s v="Total Electric Power Industry"/>
    <x v="4"/>
    <n v="2187082"/>
  </r>
  <r>
    <x v="2"/>
    <x v="21"/>
    <s v="Total Electric Power Industry"/>
    <x v="6"/>
    <n v="3632079"/>
  </r>
  <r>
    <x v="2"/>
    <x v="21"/>
    <s v="Electric Generators, Independent Power Producers"/>
    <x v="0"/>
    <n v="1807408"/>
  </r>
  <r>
    <x v="2"/>
    <x v="21"/>
    <s v="Electric Generators, Independent Power Producers"/>
    <x v="2"/>
    <n v="581654"/>
  </r>
  <r>
    <x v="2"/>
    <x v="21"/>
    <s v="Electric Generators, Independent Power Producers"/>
    <x v="3"/>
    <n v="9088"/>
  </r>
  <r>
    <x v="2"/>
    <x v="21"/>
    <s v="Electric Generators, Independent Power Producers"/>
    <x v="8"/>
    <n v="224573"/>
  </r>
  <r>
    <x v="2"/>
    <x v="21"/>
    <s v="Electric Generators, Independent Power Producers"/>
    <x v="4"/>
    <n v="2695"/>
  </r>
  <r>
    <x v="2"/>
    <x v="21"/>
    <s v="Electric Generators, Independent Power Producers"/>
    <x v="6"/>
    <n v="989398"/>
  </r>
  <r>
    <x v="2"/>
    <x v="21"/>
    <s v="Electric Generators, Electric Utilities"/>
    <x v="0"/>
    <n v="8334852"/>
  </r>
  <r>
    <x v="2"/>
    <x v="21"/>
    <s v="Electric Generators, Electric Utilities"/>
    <x v="2"/>
    <n v="1715107"/>
  </r>
  <r>
    <x v="2"/>
    <x v="21"/>
    <s v="Electric Generators, Electric Utilities"/>
    <x v="7"/>
    <n v="5357999"/>
  </r>
  <r>
    <x v="2"/>
    <x v="21"/>
    <s v="Electric Generators, Electric Utilities"/>
    <x v="4"/>
    <n v="1261746"/>
  </r>
  <r>
    <x v="2"/>
    <x v="21"/>
    <s v="Combined Heat and Power, Industrial Power"/>
    <x v="0"/>
    <n v="4531632"/>
  </r>
  <r>
    <x v="2"/>
    <x v="21"/>
    <s v="Combined Heat and Power, Industrial Power"/>
    <x v="1"/>
    <n v="264823"/>
  </r>
  <r>
    <x v="2"/>
    <x v="21"/>
    <s v="Combined Heat and Power, Industrial Power"/>
    <x v="2"/>
    <n v="1215845"/>
  </r>
  <r>
    <x v="2"/>
    <x v="21"/>
    <s v="Combined Heat and Power, Industrial Power"/>
    <x v="3"/>
    <n v="15599"/>
  </r>
  <r>
    <x v="2"/>
    <x v="21"/>
    <s v="Combined Heat and Power, Industrial Power"/>
    <x v="8"/>
    <n v="45264"/>
  </r>
  <r>
    <x v="2"/>
    <x v="21"/>
    <s v="Combined Heat and Power, Industrial Power"/>
    <x v="4"/>
    <n v="914643"/>
  </r>
  <r>
    <x v="2"/>
    <x v="21"/>
    <s v="Combined Heat and Power, Industrial Power"/>
    <x v="6"/>
    <n v="2075458"/>
  </r>
  <r>
    <x v="2"/>
    <x v="21"/>
    <s v="Combined Heat and Power, Electric Power"/>
    <x v="0"/>
    <n v="824465"/>
  </r>
  <r>
    <x v="2"/>
    <x v="21"/>
    <s v="Combined Heat and Power, Electric Power"/>
    <x v="1"/>
    <n v="295021"/>
  </r>
  <r>
    <x v="2"/>
    <x v="21"/>
    <s v="Combined Heat and Power, Electric Power"/>
    <x v="4"/>
    <n v="6224"/>
  </r>
  <r>
    <x v="2"/>
    <x v="21"/>
    <s v="Combined Heat and Power, Electric Power"/>
    <x v="6"/>
    <n v="523220"/>
  </r>
  <r>
    <x v="2"/>
    <x v="21"/>
    <s v="Combined Heat and Power, Commercial Power"/>
    <x v="0"/>
    <n v="185187"/>
  </r>
  <r>
    <x v="2"/>
    <x v="21"/>
    <s v="Combined Heat and Power, Commercial Power"/>
    <x v="1"/>
    <n v="0"/>
  </r>
  <r>
    <x v="2"/>
    <x v="21"/>
    <s v="Combined Heat and Power, Commercial Power"/>
    <x v="8"/>
    <n v="139410"/>
  </r>
  <r>
    <x v="2"/>
    <x v="21"/>
    <s v="Combined Heat and Power, Commercial Power"/>
    <x v="4"/>
    <n v="1774"/>
  </r>
  <r>
    <x v="2"/>
    <x v="21"/>
    <s v="Combined Heat and Power, Commercial Power"/>
    <x v="6"/>
    <n v="44003"/>
  </r>
  <r>
    <x v="2"/>
    <x v="22"/>
    <s v="Total Electric Power Industry"/>
    <x v="0"/>
    <n v="95321939"/>
  </r>
  <r>
    <x v="2"/>
    <x v="22"/>
    <s v="Total Electric Power Industry"/>
    <x v="1"/>
    <n v="63346702"/>
  </r>
  <r>
    <x v="2"/>
    <x v="22"/>
    <s v="Total Electric Power Industry"/>
    <x v="2"/>
    <n v="1782271"/>
  </r>
  <r>
    <x v="2"/>
    <x v="22"/>
    <s v="Total Electric Power Industry"/>
    <x v="3"/>
    <n v="9528639"/>
  </r>
  <r>
    <x v="2"/>
    <x v="22"/>
    <s v="Total Electric Power Industry"/>
    <x v="7"/>
    <n v="18848731"/>
  </r>
  <r>
    <x v="2"/>
    <x v="22"/>
    <s v="Total Electric Power Industry"/>
    <x v="12"/>
    <n v="31190"/>
  </r>
  <r>
    <x v="2"/>
    <x v="22"/>
    <s v="Total Electric Power Industry"/>
    <x v="8"/>
    <n v="330502"/>
  </r>
  <r>
    <x v="2"/>
    <x v="22"/>
    <s v="Total Electric Power Industry"/>
    <x v="9"/>
    <n v="243754"/>
  </r>
  <r>
    <x v="2"/>
    <x v="22"/>
    <s v="Total Electric Power Industry"/>
    <x v="4"/>
    <n v="628767"/>
  </r>
  <r>
    <x v="2"/>
    <x v="22"/>
    <s v="Total Electric Power Industry"/>
    <x v="10"/>
    <n v="-770902"/>
  </r>
  <r>
    <x v="2"/>
    <x v="22"/>
    <s v="Total Electric Power Industry"/>
    <x v="6"/>
    <n v="1352285"/>
  </r>
  <r>
    <x v="2"/>
    <x v="22"/>
    <s v="Electric Generators, Independent Power Producers"/>
    <x v="0"/>
    <n v="868191"/>
  </r>
  <r>
    <x v="2"/>
    <x v="22"/>
    <s v="Electric Generators, Independent Power Producers"/>
    <x v="2"/>
    <n v="111986"/>
  </r>
  <r>
    <x v="2"/>
    <x v="22"/>
    <s v="Electric Generators, Independent Power Producers"/>
    <x v="3"/>
    <n v="1374"/>
  </r>
  <r>
    <x v="2"/>
    <x v="22"/>
    <s v="Electric Generators, Independent Power Producers"/>
    <x v="8"/>
    <n v="226446"/>
  </r>
  <r>
    <x v="2"/>
    <x v="22"/>
    <s v="Electric Generators, Independent Power Producers"/>
    <x v="6"/>
    <n v="528385"/>
  </r>
  <r>
    <x v="2"/>
    <x v="22"/>
    <s v="Electric Generators, Electric Utilities"/>
    <x v="0"/>
    <n v="82679444"/>
  </r>
  <r>
    <x v="2"/>
    <x v="22"/>
    <s v="Electric Generators, Electric Utilities"/>
    <x v="1"/>
    <n v="61434530"/>
  </r>
  <r>
    <x v="2"/>
    <x v="22"/>
    <s v="Electric Generators, Electric Utilities"/>
    <x v="2"/>
    <n v="1647175"/>
  </r>
  <r>
    <x v="2"/>
    <x v="22"/>
    <s v="Electric Generators, Electric Utilities"/>
    <x v="3"/>
    <n v="1021751"/>
  </r>
  <r>
    <x v="2"/>
    <x v="22"/>
    <s v="Electric Generators, Electric Utilities"/>
    <x v="7"/>
    <n v="18848731"/>
  </r>
  <r>
    <x v="2"/>
    <x v="22"/>
    <s v="Electric Generators, Electric Utilities"/>
    <x v="4"/>
    <n v="498159"/>
  </r>
  <r>
    <x v="2"/>
    <x v="22"/>
    <s v="Electric Generators, Electric Utilities"/>
    <x v="10"/>
    <n v="-770902"/>
  </r>
  <r>
    <x v="2"/>
    <x v="22"/>
    <s v="Combined Heat and Power, Industrial Power"/>
    <x v="0"/>
    <n v="3535517"/>
  </r>
  <r>
    <x v="2"/>
    <x v="22"/>
    <s v="Combined Heat and Power, Industrial Power"/>
    <x v="1"/>
    <n v="1221762"/>
  </r>
  <r>
    <x v="2"/>
    <x v="22"/>
    <s v="Combined Heat and Power, Industrial Power"/>
    <x v="2"/>
    <n v="23110"/>
  </r>
  <r>
    <x v="2"/>
    <x v="22"/>
    <s v="Combined Heat and Power, Industrial Power"/>
    <x v="3"/>
    <n v="1077170"/>
  </r>
  <r>
    <x v="2"/>
    <x v="22"/>
    <s v="Combined Heat and Power, Industrial Power"/>
    <x v="12"/>
    <n v="30575"/>
  </r>
  <r>
    <x v="2"/>
    <x v="22"/>
    <s v="Combined Heat and Power, Industrial Power"/>
    <x v="8"/>
    <n v="1128"/>
  </r>
  <r>
    <x v="2"/>
    <x v="22"/>
    <s v="Combined Heat and Power, Industrial Power"/>
    <x v="9"/>
    <n v="243754"/>
  </r>
  <r>
    <x v="2"/>
    <x v="22"/>
    <s v="Combined Heat and Power, Industrial Power"/>
    <x v="4"/>
    <n v="114118"/>
  </r>
  <r>
    <x v="2"/>
    <x v="22"/>
    <s v="Combined Heat and Power, Industrial Power"/>
    <x v="6"/>
    <n v="823900"/>
  </r>
  <r>
    <x v="2"/>
    <x v="22"/>
    <s v="Combined Heat and Power, Electric Power"/>
    <x v="0"/>
    <n v="7907290"/>
  </r>
  <r>
    <x v="2"/>
    <x v="22"/>
    <s v="Combined Heat and Power, Electric Power"/>
    <x v="1"/>
    <n v="507438"/>
  </r>
  <r>
    <x v="2"/>
    <x v="22"/>
    <s v="Combined Heat and Power, Electric Power"/>
    <x v="3"/>
    <n v="7384843"/>
  </r>
  <r>
    <x v="2"/>
    <x v="22"/>
    <s v="Combined Heat and Power, Electric Power"/>
    <x v="4"/>
    <n v="15009"/>
  </r>
  <r>
    <x v="2"/>
    <x v="22"/>
    <s v="Combined Heat and Power, Commercial Power"/>
    <x v="0"/>
    <n v="331497"/>
  </r>
  <r>
    <x v="2"/>
    <x v="22"/>
    <s v="Combined Heat and Power, Commercial Power"/>
    <x v="1"/>
    <n v="182972"/>
  </r>
  <r>
    <x v="2"/>
    <x v="22"/>
    <s v="Combined Heat and Power, Commercial Power"/>
    <x v="3"/>
    <n v="43501"/>
  </r>
  <r>
    <x v="2"/>
    <x v="22"/>
    <s v="Combined Heat and Power, Commercial Power"/>
    <x v="12"/>
    <n v="615"/>
  </r>
  <r>
    <x v="2"/>
    <x v="22"/>
    <s v="Combined Heat and Power, Commercial Power"/>
    <x v="8"/>
    <n v="102928"/>
  </r>
  <r>
    <x v="2"/>
    <x v="22"/>
    <s v="Combined Heat and Power, Commercial Power"/>
    <x v="4"/>
    <n v="1481"/>
  </r>
  <r>
    <x v="2"/>
    <x v="23"/>
    <s v="Total Electric Power Industry"/>
    <x v="0"/>
    <n v="40258884"/>
  </r>
  <r>
    <x v="2"/>
    <x v="23"/>
    <s v="Total Electric Power Industry"/>
    <x v="1"/>
    <n v="25701266"/>
  </r>
  <r>
    <x v="2"/>
    <x v="23"/>
    <s v="Total Electric Power Industry"/>
    <x v="2"/>
    <n v="1062506"/>
  </r>
  <r>
    <x v="2"/>
    <x v="23"/>
    <s v="Total Electric Power Industry"/>
    <x v="3"/>
    <n v="645888"/>
  </r>
  <r>
    <x v="2"/>
    <x v="23"/>
    <s v="Total Electric Power Industry"/>
    <x v="7"/>
    <n v="11166355"/>
  </r>
  <r>
    <x v="2"/>
    <x v="23"/>
    <s v="Total Electric Power Industry"/>
    <x v="8"/>
    <n v="525005"/>
  </r>
  <r>
    <x v="2"/>
    <x v="23"/>
    <s v="Total Electric Power Industry"/>
    <x v="4"/>
    <n v="648658"/>
  </r>
  <r>
    <x v="2"/>
    <x v="23"/>
    <s v="Total Electric Power Industry"/>
    <x v="5"/>
    <n v="145"/>
  </r>
  <r>
    <x v="2"/>
    <x v="23"/>
    <s v="Total Electric Power Industry"/>
    <x v="6"/>
    <n v="509061"/>
  </r>
  <r>
    <x v="2"/>
    <x v="23"/>
    <s v="Electric Generators, Independent Power Producers"/>
    <x v="0"/>
    <n v="315608"/>
  </r>
  <r>
    <x v="2"/>
    <x v="23"/>
    <s v="Electric Generators, Independent Power Producers"/>
    <x v="2"/>
    <n v="71755"/>
  </r>
  <r>
    <x v="2"/>
    <x v="23"/>
    <s v="Electric Generators, Independent Power Producers"/>
    <x v="8"/>
    <n v="243853"/>
  </r>
  <r>
    <x v="2"/>
    <x v="23"/>
    <s v="Electric Generators, Electric Utilities"/>
    <x v="0"/>
    <n v="37783876"/>
  </r>
  <r>
    <x v="2"/>
    <x v="23"/>
    <s v="Electric Generators, Electric Utilities"/>
    <x v="1"/>
    <n v="24443013"/>
  </r>
  <r>
    <x v="2"/>
    <x v="23"/>
    <s v="Electric Generators, Electric Utilities"/>
    <x v="2"/>
    <n v="757962"/>
  </r>
  <r>
    <x v="2"/>
    <x v="23"/>
    <s v="Electric Generators, Electric Utilities"/>
    <x v="3"/>
    <n v="370267"/>
  </r>
  <r>
    <x v="2"/>
    <x v="23"/>
    <s v="Electric Generators, Electric Utilities"/>
    <x v="7"/>
    <n v="11166355"/>
  </r>
  <r>
    <x v="2"/>
    <x v="23"/>
    <s v="Electric Generators, Electric Utilities"/>
    <x v="8"/>
    <n v="261201"/>
  </r>
  <r>
    <x v="2"/>
    <x v="23"/>
    <s v="Electric Generators, Electric Utilities"/>
    <x v="4"/>
    <n v="638979"/>
  </r>
  <r>
    <x v="2"/>
    <x v="23"/>
    <s v="Electric Generators, Electric Utilities"/>
    <x v="5"/>
    <n v="145"/>
  </r>
  <r>
    <x v="2"/>
    <x v="23"/>
    <s v="Electric Generators, Electric Utilities"/>
    <x v="6"/>
    <n v="145954"/>
  </r>
  <r>
    <x v="2"/>
    <x v="23"/>
    <s v="Combined Heat and Power, Industrial Power"/>
    <x v="0"/>
    <n v="2058279"/>
  </r>
  <r>
    <x v="2"/>
    <x v="23"/>
    <s v="Combined Heat and Power, Industrial Power"/>
    <x v="1"/>
    <n v="1258253"/>
  </r>
  <r>
    <x v="2"/>
    <x v="23"/>
    <s v="Combined Heat and Power, Industrial Power"/>
    <x v="2"/>
    <n v="232789"/>
  </r>
  <r>
    <x v="2"/>
    <x v="23"/>
    <s v="Combined Heat and Power, Industrial Power"/>
    <x v="3"/>
    <n v="196982"/>
  </r>
  <r>
    <x v="2"/>
    <x v="23"/>
    <s v="Combined Heat and Power, Industrial Power"/>
    <x v="4"/>
    <n v="7148"/>
  </r>
  <r>
    <x v="2"/>
    <x v="23"/>
    <s v="Combined Heat and Power, Industrial Power"/>
    <x v="6"/>
    <n v="363107"/>
  </r>
  <r>
    <x v="2"/>
    <x v="23"/>
    <s v="Combined Heat and Power, Commercial Power"/>
    <x v="0"/>
    <n v="101121"/>
  </r>
  <r>
    <x v="2"/>
    <x v="23"/>
    <s v="Combined Heat and Power, Commercial Power"/>
    <x v="3"/>
    <n v="78639"/>
  </r>
  <r>
    <x v="2"/>
    <x v="23"/>
    <s v="Combined Heat and Power, Commercial Power"/>
    <x v="8"/>
    <n v="19951"/>
  </r>
  <r>
    <x v="2"/>
    <x v="23"/>
    <s v="Combined Heat and Power, Commercial Power"/>
    <x v="4"/>
    <n v="2531"/>
  </r>
  <r>
    <x v="2"/>
    <x v="24"/>
    <s v="Total Electric Power Industry"/>
    <x v="0"/>
    <n v="56951673"/>
  </r>
  <r>
    <x v="2"/>
    <x v="24"/>
    <s v="Total Electric Power Industry"/>
    <x v="1"/>
    <n v="47099235"/>
  </r>
  <r>
    <x v="2"/>
    <x v="24"/>
    <s v="Total Electric Power Industry"/>
    <x v="2"/>
    <n v="1481265"/>
  </r>
  <r>
    <x v="2"/>
    <x v="24"/>
    <s v="Total Electric Power Industry"/>
    <x v="3"/>
    <n v="237779"/>
  </r>
  <r>
    <x v="2"/>
    <x v="24"/>
    <s v="Total Electric Power Industry"/>
    <x v="7"/>
    <n v="8083975"/>
  </r>
  <r>
    <x v="2"/>
    <x v="24"/>
    <s v="Total Electric Power Industry"/>
    <x v="8"/>
    <n v="85"/>
  </r>
  <r>
    <x v="2"/>
    <x v="24"/>
    <s v="Total Electric Power Industry"/>
    <x v="4"/>
    <n v="81078"/>
  </r>
  <r>
    <x v="2"/>
    <x v="24"/>
    <s v="Total Electric Power Industry"/>
    <x v="10"/>
    <n v="-31744"/>
  </r>
  <r>
    <x v="2"/>
    <x v="24"/>
    <s v="Electric Generators, Electric Utilities"/>
    <x v="0"/>
    <n v="56627107"/>
  </r>
  <r>
    <x v="2"/>
    <x v="24"/>
    <s v="Electric Generators, Electric Utilities"/>
    <x v="1"/>
    <n v="46829678"/>
  </r>
  <r>
    <x v="2"/>
    <x v="24"/>
    <s v="Electric Generators, Electric Utilities"/>
    <x v="2"/>
    <n v="1481265"/>
  </r>
  <r>
    <x v="2"/>
    <x v="24"/>
    <s v="Electric Generators, Electric Utilities"/>
    <x v="3"/>
    <n v="183411"/>
  </r>
  <r>
    <x v="2"/>
    <x v="24"/>
    <s v="Electric Generators, Electric Utilities"/>
    <x v="7"/>
    <n v="8083975"/>
  </r>
  <r>
    <x v="2"/>
    <x v="24"/>
    <s v="Electric Generators, Electric Utilities"/>
    <x v="4"/>
    <n v="80522"/>
  </r>
  <r>
    <x v="2"/>
    <x v="24"/>
    <s v="Electric Generators, Electric Utilities"/>
    <x v="10"/>
    <n v="-31744"/>
  </r>
  <r>
    <x v="2"/>
    <x v="24"/>
    <s v="Combined Heat and Power, Industrial Power"/>
    <x v="0"/>
    <n v="196982"/>
  </r>
  <r>
    <x v="2"/>
    <x v="24"/>
    <s v="Combined Heat and Power, Industrial Power"/>
    <x v="1"/>
    <n v="143048"/>
  </r>
  <r>
    <x v="2"/>
    <x v="24"/>
    <s v="Combined Heat and Power, Industrial Power"/>
    <x v="3"/>
    <n v="53450"/>
  </r>
  <r>
    <x v="2"/>
    <x v="24"/>
    <s v="Combined Heat and Power, Industrial Power"/>
    <x v="8"/>
    <n v="85"/>
  </r>
  <r>
    <x v="2"/>
    <x v="24"/>
    <s v="Combined Heat and Power, Industrial Power"/>
    <x v="4"/>
    <n v="399"/>
  </r>
  <r>
    <x v="2"/>
    <x v="24"/>
    <s v="Combined Heat and Power, Commercial Power"/>
    <x v="0"/>
    <n v="127584"/>
  </r>
  <r>
    <x v="2"/>
    <x v="24"/>
    <s v="Combined Heat and Power, Commercial Power"/>
    <x v="1"/>
    <n v="126509"/>
  </r>
  <r>
    <x v="2"/>
    <x v="24"/>
    <s v="Combined Heat and Power, Commercial Power"/>
    <x v="3"/>
    <n v="918"/>
  </r>
  <r>
    <x v="2"/>
    <x v="24"/>
    <s v="Combined Heat and Power, Commercial Power"/>
    <x v="4"/>
    <n v="157"/>
  </r>
  <r>
    <x v="2"/>
    <x v="25"/>
    <s v="Total Electric Power Industry"/>
    <x v="0"/>
    <n v="23134963"/>
  </r>
  <r>
    <x v="2"/>
    <x v="25"/>
    <s v="Total Electric Power Industry"/>
    <x v="1"/>
    <n v="7836090"/>
  </r>
  <r>
    <x v="2"/>
    <x v="25"/>
    <s v="Total Electric Power Industry"/>
    <x v="3"/>
    <n v="4735182"/>
  </r>
  <r>
    <x v="2"/>
    <x v="25"/>
    <s v="Total Electric Power Industry"/>
    <x v="7"/>
    <n v="8173763"/>
  </r>
  <r>
    <x v="2"/>
    <x v="25"/>
    <s v="Total Electric Power Industry"/>
    <x v="4"/>
    <n v="413903"/>
  </r>
  <r>
    <x v="2"/>
    <x v="25"/>
    <s v="Total Electric Power Industry"/>
    <x v="6"/>
    <n v="1976025"/>
  </r>
  <r>
    <x v="2"/>
    <x v="25"/>
    <s v="Electric Generators, Electric Utilities"/>
    <x v="0"/>
    <n v="20487946"/>
  </r>
  <r>
    <x v="2"/>
    <x v="25"/>
    <s v="Electric Generators, Electric Utilities"/>
    <x v="1"/>
    <n v="7796112"/>
  </r>
  <r>
    <x v="2"/>
    <x v="25"/>
    <s v="Electric Generators, Electric Utilities"/>
    <x v="3"/>
    <n v="4146503"/>
  </r>
  <r>
    <x v="2"/>
    <x v="25"/>
    <s v="Electric Generators, Electric Utilities"/>
    <x v="7"/>
    <n v="8173763"/>
  </r>
  <r>
    <x v="2"/>
    <x v="25"/>
    <s v="Electric Generators, Electric Utilities"/>
    <x v="4"/>
    <n v="371568"/>
  </r>
  <r>
    <x v="2"/>
    <x v="25"/>
    <s v="Combined Heat and Power, Industrial Power"/>
    <x v="0"/>
    <n v="2623400"/>
  </r>
  <r>
    <x v="2"/>
    <x v="25"/>
    <s v="Combined Heat and Power, Industrial Power"/>
    <x v="1"/>
    <n v="39978"/>
  </r>
  <r>
    <x v="2"/>
    <x v="25"/>
    <s v="Combined Heat and Power, Industrial Power"/>
    <x v="3"/>
    <n v="565062"/>
  </r>
  <r>
    <x v="2"/>
    <x v="25"/>
    <s v="Combined Heat and Power, Industrial Power"/>
    <x v="4"/>
    <n v="42335"/>
  </r>
  <r>
    <x v="2"/>
    <x v="25"/>
    <s v="Combined Heat and Power, Industrial Power"/>
    <x v="6"/>
    <n v="1976025"/>
  </r>
  <r>
    <x v="2"/>
    <x v="25"/>
    <s v="Combined Heat and Power, Commercial Power"/>
    <x v="0"/>
    <n v="23617"/>
  </r>
  <r>
    <x v="2"/>
    <x v="25"/>
    <s v="Combined Heat and Power, Commercial Power"/>
    <x v="3"/>
    <n v="23617"/>
  </r>
  <r>
    <x v="2"/>
    <x v="26"/>
    <s v="Total Electric Power Industry"/>
    <x v="0"/>
    <n v="25899645"/>
  </r>
  <r>
    <x v="2"/>
    <x v="26"/>
    <s v="Total Electric Power Industry"/>
    <x v="1"/>
    <n v="17453833"/>
  </r>
  <r>
    <x v="2"/>
    <x v="26"/>
    <s v="Total Electric Power Industry"/>
    <x v="2"/>
    <n v="8270838"/>
  </r>
  <r>
    <x v="2"/>
    <x v="26"/>
    <s v="Total Electric Power Industry"/>
    <x v="3"/>
    <n v="34569"/>
  </r>
  <r>
    <x v="2"/>
    <x v="26"/>
    <s v="Total Electric Power Industry"/>
    <x v="4"/>
    <n v="16956"/>
  </r>
  <r>
    <x v="2"/>
    <x v="26"/>
    <s v="Total Electric Power Industry"/>
    <x v="5"/>
    <n v="50"/>
  </r>
  <r>
    <x v="2"/>
    <x v="26"/>
    <s v="Total Electric Power Industry"/>
    <x v="6"/>
    <n v="123399"/>
  </r>
  <r>
    <x v="2"/>
    <x v="26"/>
    <s v="Electric Generators, Independent Power Producers"/>
    <x v="0"/>
    <n v="375561"/>
  </r>
  <r>
    <x v="2"/>
    <x v="26"/>
    <s v="Electric Generators, Independent Power Producers"/>
    <x v="1"/>
    <n v="327615"/>
  </r>
  <r>
    <x v="2"/>
    <x v="26"/>
    <s v="Electric Generators, Independent Power Producers"/>
    <x v="2"/>
    <n v="47418"/>
  </r>
  <r>
    <x v="2"/>
    <x v="26"/>
    <s v="Electric Generators, Independent Power Producers"/>
    <x v="4"/>
    <n v="528"/>
  </r>
  <r>
    <x v="2"/>
    <x v="26"/>
    <s v="Electric Generators, Electric Utilities"/>
    <x v="0"/>
    <n v="25467703"/>
  </r>
  <r>
    <x v="2"/>
    <x v="26"/>
    <s v="Electric Generators, Electric Utilities"/>
    <x v="1"/>
    <n v="17126218"/>
  </r>
  <r>
    <x v="2"/>
    <x v="26"/>
    <s v="Electric Generators, Electric Utilities"/>
    <x v="2"/>
    <n v="8223420"/>
  </r>
  <r>
    <x v="2"/>
    <x v="26"/>
    <s v="Electric Generators, Electric Utilities"/>
    <x v="3"/>
    <n v="23338"/>
  </r>
  <r>
    <x v="2"/>
    <x v="26"/>
    <s v="Electric Generators, Electric Utilities"/>
    <x v="4"/>
    <n v="15607"/>
  </r>
  <r>
    <x v="2"/>
    <x v="26"/>
    <s v="Electric Generators, Electric Utilities"/>
    <x v="5"/>
    <n v="50"/>
  </r>
  <r>
    <x v="2"/>
    <x v="26"/>
    <s v="Electric Generators, Electric Utilities"/>
    <x v="6"/>
    <n v="79070"/>
  </r>
  <r>
    <x v="2"/>
    <x v="26"/>
    <s v="Combined Heat and Power, Industrial Power"/>
    <x v="0"/>
    <n v="56381"/>
  </r>
  <r>
    <x v="2"/>
    <x v="26"/>
    <s v="Combined Heat and Power, Industrial Power"/>
    <x v="3"/>
    <n v="11231"/>
  </r>
  <r>
    <x v="2"/>
    <x v="26"/>
    <s v="Combined Heat and Power, Industrial Power"/>
    <x v="4"/>
    <n v="821"/>
  </r>
  <r>
    <x v="2"/>
    <x v="26"/>
    <s v="Combined Heat and Power, Industrial Power"/>
    <x v="6"/>
    <n v="44329"/>
  </r>
  <r>
    <x v="2"/>
    <x v="27"/>
    <s v="Total Electric Power Industry"/>
    <x v="0"/>
    <n v="89535255"/>
  </r>
  <r>
    <x v="2"/>
    <x v="27"/>
    <s v="Total Electric Power Industry"/>
    <x v="1"/>
    <n v="58274019"/>
  </r>
  <r>
    <x v="2"/>
    <x v="27"/>
    <s v="Total Electric Power Industry"/>
    <x v="2"/>
    <n v="5768453"/>
  </r>
  <r>
    <x v="2"/>
    <x v="27"/>
    <s v="Total Electric Power Industry"/>
    <x v="3"/>
    <n v="361308"/>
  </r>
  <r>
    <x v="2"/>
    <x v="27"/>
    <s v="Total Electric Power Industry"/>
    <x v="7"/>
    <n v="22753813"/>
  </r>
  <r>
    <x v="2"/>
    <x v="27"/>
    <s v="Total Electric Power Industry"/>
    <x v="12"/>
    <n v="225149"/>
  </r>
  <r>
    <x v="2"/>
    <x v="27"/>
    <s v="Total Electric Power Industry"/>
    <x v="8"/>
    <n v="30506"/>
  </r>
  <r>
    <x v="2"/>
    <x v="27"/>
    <s v="Total Electric Power Industry"/>
    <x v="4"/>
    <n v="335046"/>
  </r>
  <r>
    <x v="2"/>
    <x v="27"/>
    <s v="Total Electric Power Industry"/>
    <x v="10"/>
    <n v="109885"/>
  </r>
  <r>
    <x v="2"/>
    <x v="27"/>
    <s v="Total Electric Power Industry"/>
    <x v="6"/>
    <n v="1677076"/>
  </r>
  <r>
    <x v="2"/>
    <x v="27"/>
    <s v="Electric Generators, Independent Power Producers"/>
    <x v="0"/>
    <n v="431987"/>
  </r>
  <r>
    <x v="2"/>
    <x v="27"/>
    <s v="Electric Generators, Independent Power Producers"/>
    <x v="2"/>
    <n v="15769"/>
  </r>
  <r>
    <x v="2"/>
    <x v="27"/>
    <s v="Electric Generators, Independent Power Producers"/>
    <x v="3"/>
    <n v="992"/>
  </r>
  <r>
    <x v="2"/>
    <x v="27"/>
    <s v="Electric Generators, Independent Power Producers"/>
    <x v="8"/>
    <n v="30506"/>
  </r>
  <r>
    <x v="2"/>
    <x v="27"/>
    <s v="Electric Generators, Independent Power Producers"/>
    <x v="6"/>
    <n v="384720"/>
  </r>
  <r>
    <x v="2"/>
    <x v="27"/>
    <s v="Electric Generators, Electric Utilities"/>
    <x v="0"/>
    <n v="83007307"/>
  </r>
  <r>
    <x v="2"/>
    <x v="27"/>
    <s v="Electric Generators, Electric Utilities"/>
    <x v="1"/>
    <n v="54011457"/>
  </r>
  <r>
    <x v="2"/>
    <x v="27"/>
    <s v="Electric Generators, Electric Utilities"/>
    <x v="2"/>
    <n v="5725577"/>
  </r>
  <r>
    <x v="2"/>
    <x v="27"/>
    <s v="Electric Generators, Electric Utilities"/>
    <x v="3"/>
    <n v="259441"/>
  </r>
  <r>
    <x v="2"/>
    <x v="27"/>
    <s v="Electric Generators, Electric Utilities"/>
    <x v="7"/>
    <n v="22753813"/>
  </r>
  <r>
    <x v="2"/>
    <x v="27"/>
    <s v="Electric Generators, Electric Utilities"/>
    <x v="4"/>
    <n v="147134"/>
  </r>
  <r>
    <x v="2"/>
    <x v="27"/>
    <s v="Electric Generators, Electric Utilities"/>
    <x v="10"/>
    <n v="109885"/>
  </r>
  <r>
    <x v="2"/>
    <x v="27"/>
    <s v="Combined Heat and Power, Industrial Power"/>
    <x v="0"/>
    <n v="2457533"/>
  </r>
  <r>
    <x v="2"/>
    <x v="27"/>
    <s v="Combined Heat and Power, Industrial Power"/>
    <x v="1"/>
    <n v="697697"/>
  </r>
  <r>
    <x v="2"/>
    <x v="27"/>
    <s v="Combined Heat and Power, Industrial Power"/>
    <x v="2"/>
    <n v="2642"/>
  </r>
  <r>
    <x v="2"/>
    <x v="27"/>
    <s v="Combined Heat and Power, Industrial Power"/>
    <x v="3"/>
    <n v="53436"/>
  </r>
  <r>
    <x v="2"/>
    <x v="27"/>
    <s v="Combined Heat and Power, Industrial Power"/>
    <x v="12"/>
    <n v="225149"/>
  </r>
  <r>
    <x v="2"/>
    <x v="27"/>
    <s v="Combined Heat and Power, Industrial Power"/>
    <x v="4"/>
    <n v="186253"/>
  </r>
  <r>
    <x v="2"/>
    <x v="27"/>
    <s v="Combined Heat and Power, Industrial Power"/>
    <x v="6"/>
    <n v="1292356"/>
  </r>
  <r>
    <x v="2"/>
    <x v="27"/>
    <s v="Combined Heat and Power, Electric Power"/>
    <x v="0"/>
    <n v="3578912"/>
  </r>
  <r>
    <x v="2"/>
    <x v="27"/>
    <s v="Combined Heat and Power, Electric Power"/>
    <x v="1"/>
    <n v="3531371"/>
  </r>
  <r>
    <x v="2"/>
    <x v="27"/>
    <s v="Combined Heat and Power, Electric Power"/>
    <x v="3"/>
    <n v="45887"/>
  </r>
  <r>
    <x v="2"/>
    <x v="27"/>
    <s v="Combined Heat and Power, Electric Power"/>
    <x v="4"/>
    <n v="1654"/>
  </r>
  <r>
    <x v="2"/>
    <x v="27"/>
    <s v="Combined Heat and Power, Commercial Power"/>
    <x v="0"/>
    <n v="59516"/>
  </r>
  <r>
    <x v="2"/>
    <x v="27"/>
    <s v="Combined Heat and Power, Commercial Power"/>
    <x v="1"/>
    <n v="33494"/>
  </r>
  <r>
    <x v="2"/>
    <x v="27"/>
    <s v="Combined Heat and Power, Commercial Power"/>
    <x v="2"/>
    <n v="24465"/>
  </r>
  <r>
    <x v="2"/>
    <x v="27"/>
    <s v="Combined Heat and Power, Commercial Power"/>
    <x v="3"/>
    <n v="1552"/>
  </r>
  <r>
    <x v="2"/>
    <x v="27"/>
    <s v="Combined Heat and Power, Commercial Power"/>
    <x v="4"/>
    <n v="5"/>
  </r>
  <r>
    <x v="2"/>
    <x v="28"/>
    <s v="Total Electric Power Industry"/>
    <x v="0"/>
    <n v="28766897"/>
  </r>
  <r>
    <x v="2"/>
    <x v="28"/>
    <s v="Total Electric Power Industry"/>
    <x v="1"/>
    <n v="26960827"/>
  </r>
  <r>
    <x v="2"/>
    <x v="28"/>
    <s v="Total Electric Power Industry"/>
    <x v="2"/>
    <n v="1698854"/>
  </r>
  <r>
    <x v="2"/>
    <x v="28"/>
    <s v="Total Electric Power Industry"/>
    <x v="3"/>
    <n v="13411"/>
  </r>
  <r>
    <x v="2"/>
    <x v="28"/>
    <s v="Total Electric Power Industry"/>
    <x v="9"/>
    <n v="38523"/>
  </r>
  <r>
    <x v="2"/>
    <x v="28"/>
    <s v="Total Electric Power Industry"/>
    <x v="4"/>
    <n v="55282"/>
  </r>
  <r>
    <x v="2"/>
    <x v="28"/>
    <s v="Electric Generators, Electric Utilities"/>
    <x v="0"/>
    <n v="28592323"/>
  </r>
  <r>
    <x v="2"/>
    <x v="28"/>
    <s v="Electric Generators, Electric Utilities"/>
    <x v="1"/>
    <n v="26864520"/>
  </r>
  <r>
    <x v="2"/>
    <x v="28"/>
    <s v="Electric Generators, Electric Utilities"/>
    <x v="2"/>
    <n v="1698854"/>
  </r>
  <r>
    <x v="2"/>
    <x v="28"/>
    <s v="Electric Generators, Electric Utilities"/>
    <x v="3"/>
    <n v="-2"/>
  </r>
  <r>
    <x v="2"/>
    <x v="28"/>
    <s v="Electric Generators, Electric Utilities"/>
    <x v="4"/>
    <n v="28951"/>
  </r>
  <r>
    <x v="2"/>
    <x v="28"/>
    <s v="Combined Heat and Power, Industrial Power"/>
    <x v="0"/>
    <n v="174574"/>
  </r>
  <r>
    <x v="2"/>
    <x v="28"/>
    <s v="Combined Heat and Power, Industrial Power"/>
    <x v="1"/>
    <n v="96307"/>
  </r>
  <r>
    <x v="2"/>
    <x v="28"/>
    <s v="Combined Heat and Power, Industrial Power"/>
    <x v="3"/>
    <n v="13413"/>
  </r>
  <r>
    <x v="2"/>
    <x v="28"/>
    <s v="Combined Heat and Power, Industrial Power"/>
    <x v="9"/>
    <n v="38523"/>
  </r>
  <r>
    <x v="2"/>
    <x v="28"/>
    <s v="Combined Heat and Power, Industrial Power"/>
    <x v="4"/>
    <n v="26331"/>
  </r>
  <r>
    <x v="2"/>
    <x v="29"/>
    <s v="Total Electric Power Industry"/>
    <x v="0"/>
    <n v="22425498"/>
  </r>
  <r>
    <x v="2"/>
    <x v="29"/>
    <s v="Total Electric Power Industry"/>
    <x v="1"/>
    <n v="12440175"/>
  </r>
  <r>
    <x v="2"/>
    <x v="29"/>
    <s v="Total Electric Power Industry"/>
    <x v="2"/>
    <n v="1075446"/>
  </r>
  <r>
    <x v="2"/>
    <x v="29"/>
    <s v="Total Electric Power Industry"/>
    <x v="3"/>
    <n v="145492"/>
  </r>
  <r>
    <x v="2"/>
    <x v="29"/>
    <s v="Total Electric Power Industry"/>
    <x v="7"/>
    <n v="8748468"/>
  </r>
  <r>
    <x v="2"/>
    <x v="29"/>
    <s v="Total Electric Power Industry"/>
    <x v="8"/>
    <n v="6435"/>
  </r>
  <r>
    <x v="2"/>
    <x v="29"/>
    <s v="Total Electric Power Industry"/>
    <x v="4"/>
    <n v="9482"/>
  </r>
  <r>
    <x v="2"/>
    <x v="29"/>
    <s v="Electric Generators, Electric Utilities"/>
    <x v="0"/>
    <n v="22387247"/>
  </r>
  <r>
    <x v="2"/>
    <x v="29"/>
    <s v="Electric Generators, Electric Utilities"/>
    <x v="1"/>
    <n v="12402148"/>
  </r>
  <r>
    <x v="2"/>
    <x v="29"/>
    <s v="Electric Generators, Electric Utilities"/>
    <x v="2"/>
    <n v="1075446"/>
  </r>
  <r>
    <x v="2"/>
    <x v="29"/>
    <s v="Electric Generators, Electric Utilities"/>
    <x v="3"/>
    <n v="145268"/>
  </r>
  <r>
    <x v="2"/>
    <x v="29"/>
    <s v="Electric Generators, Electric Utilities"/>
    <x v="7"/>
    <n v="8748468"/>
  </r>
  <r>
    <x v="2"/>
    <x v="29"/>
    <s v="Electric Generators, Electric Utilities"/>
    <x v="8"/>
    <n v="6435"/>
  </r>
  <r>
    <x v="2"/>
    <x v="29"/>
    <s v="Electric Generators, Electric Utilities"/>
    <x v="4"/>
    <n v="9482"/>
  </r>
  <r>
    <x v="2"/>
    <x v="29"/>
    <s v="Combined Heat and Power, Industrial Power"/>
    <x v="0"/>
    <n v="38251"/>
  </r>
  <r>
    <x v="2"/>
    <x v="29"/>
    <s v="Combined Heat and Power, Industrial Power"/>
    <x v="1"/>
    <n v="38027"/>
  </r>
  <r>
    <x v="2"/>
    <x v="29"/>
    <s v="Combined Heat and Power, Industrial Power"/>
    <x v="3"/>
    <n v="224"/>
  </r>
  <r>
    <x v="2"/>
    <x v="30"/>
    <s v="Total Electric Power Industry"/>
    <x v="0"/>
    <n v="15117253"/>
  </r>
  <r>
    <x v="2"/>
    <x v="30"/>
    <s v="Total Electric Power Industry"/>
    <x v="1"/>
    <n v="3187087"/>
  </r>
  <r>
    <x v="2"/>
    <x v="30"/>
    <s v="Total Electric Power Industry"/>
    <x v="2"/>
    <n v="1393631"/>
  </r>
  <r>
    <x v="2"/>
    <x v="30"/>
    <s v="Total Electric Power Industry"/>
    <x v="3"/>
    <n v="57001"/>
  </r>
  <r>
    <x v="2"/>
    <x v="30"/>
    <s v="Total Electric Power Industry"/>
    <x v="7"/>
    <n v="7868653"/>
  </r>
  <r>
    <x v="2"/>
    <x v="30"/>
    <s v="Total Electric Power Industry"/>
    <x v="8"/>
    <n v="164099"/>
  </r>
  <r>
    <x v="2"/>
    <x v="30"/>
    <s v="Total Electric Power Industry"/>
    <x v="4"/>
    <n v="1413274"/>
  </r>
  <r>
    <x v="2"/>
    <x v="30"/>
    <s v="Total Electric Power Industry"/>
    <x v="6"/>
    <n v="1033508"/>
  </r>
  <r>
    <x v="2"/>
    <x v="30"/>
    <s v="Electric Generators, Independent Power Producers"/>
    <x v="0"/>
    <n v="1209021"/>
  </r>
  <r>
    <x v="2"/>
    <x v="30"/>
    <s v="Electric Generators, Independent Power Producers"/>
    <x v="2"/>
    <n v="234918"/>
  </r>
  <r>
    <x v="2"/>
    <x v="30"/>
    <s v="Electric Generators, Independent Power Producers"/>
    <x v="8"/>
    <n v="162258"/>
  </r>
  <r>
    <x v="2"/>
    <x v="30"/>
    <s v="Electric Generators, Independent Power Producers"/>
    <x v="4"/>
    <n v="2162"/>
  </r>
  <r>
    <x v="2"/>
    <x v="30"/>
    <s v="Electric Generators, Independent Power Producers"/>
    <x v="6"/>
    <n v="809683"/>
  </r>
  <r>
    <x v="2"/>
    <x v="30"/>
    <s v="Electric Generators, Electric Utilities"/>
    <x v="0"/>
    <n v="13451183"/>
  </r>
  <r>
    <x v="2"/>
    <x v="30"/>
    <s v="Electric Generators, Electric Utilities"/>
    <x v="1"/>
    <n v="3187087"/>
  </r>
  <r>
    <x v="2"/>
    <x v="30"/>
    <s v="Electric Generators, Electric Utilities"/>
    <x v="2"/>
    <n v="964442"/>
  </r>
  <r>
    <x v="2"/>
    <x v="30"/>
    <s v="Electric Generators, Electric Utilities"/>
    <x v="3"/>
    <n v="57001"/>
  </r>
  <r>
    <x v="2"/>
    <x v="30"/>
    <s v="Electric Generators, Electric Utilities"/>
    <x v="7"/>
    <n v="7868653"/>
  </r>
  <r>
    <x v="2"/>
    <x v="30"/>
    <s v="Electric Generators, Electric Utilities"/>
    <x v="4"/>
    <n v="1374000"/>
  </r>
  <r>
    <x v="2"/>
    <x v="30"/>
    <s v="Combined Heat and Power, Industrial Power"/>
    <x v="0"/>
    <n v="357499"/>
  </r>
  <r>
    <x v="2"/>
    <x v="30"/>
    <s v="Combined Heat and Power, Industrial Power"/>
    <x v="2"/>
    <n v="194271"/>
  </r>
  <r>
    <x v="2"/>
    <x v="30"/>
    <s v="Combined Heat and Power, Industrial Power"/>
    <x v="8"/>
    <n v="1841"/>
  </r>
  <r>
    <x v="2"/>
    <x v="30"/>
    <s v="Combined Heat and Power, Industrial Power"/>
    <x v="4"/>
    <n v="24283"/>
  </r>
  <r>
    <x v="2"/>
    <x v="30"/>
    <s v="Combined Heat and Power, Industrial Power"/>
    <x v="6"/>
    <n v="137104"/>
  </r>
  <r>
    <x v="2"/>
    <x v="30"/>
    <s v="Combined Heat and Power, Electric Power"/>
    <x v="0"/>
    <n v="86736"/>
  </r>
  <r>
    <x v="2"/>
    <x v="30"/>
    <s v="Combined Heat and Power, Electric Power"/>
    <x v="4"/>
    <n v="15"/>
  </r>
  <r>
    <x v="2"/>
    <x v="30"/>
    <s v="Combined Heat and Power, Electric Power"/>
    <x v="6"/>
    <n v="86721"/>
  </r>
  <r>
    <x v="2"/>
    <x v="30"/>
    <s v="Combined Heat and Power, Commercial Power"/>
    <x v="0"/>
    <n v="12814"/>
  </r>
  <r>
    <x v="2"/>
    <x v="30"/>
    <s v="Combined Heat and Power, Commercial Power"/>
    <x v="4"/>
    <n v="12814"/>
  </r>
  <r>
    <x v="2"/>
    <x v="31"/>
    <s v="Total Electric Power Industry"/>
    <x v="0"/>
    <n v="43664014"/>
  </r>
  <r>
    <x v="2"/>
    <x v="31"/>
    <s v="Total Electric Power Industry"/>
    <x v="1"/>
    <n v="5409083"/>
  </r>
  <r>
    <x v="2"/>
    <x v="31"/>
    <s v="Total Electric Power Industry"/>
    <x v="2"/>
    <n v="22380"/>
  </r>
  <r>
    <x v="2"/>
    <x v="31"/>
    <s v="Total Electric Power Industry"/>
    <x v="3"/>
    <n v="14515031"/>
  </r>
  <r>
    <x v="2"/>
    <x v="31"/>
    <s v="Total Electric Power Industry"/>
    <x v="7"/>
    <n v="21595097"/>
  </r>
  <r>
    <x v="2"/>
    <x v="31"/>
    <s v="Total Electric Power Industry"/>
    <x v="8"/>
    <n v="904189"/>
  </r>
  <r>
    <x v="2"/>
    <x v="31"/>
    <s v="Total Electric Power Industry"/>
    <x v="9"/>
    <n v="48157"/>
  </r>
  <r>
    <x v="2"/>
    <x v="31"/>
    <s v="Total Electric Power Industry"/>
    <x v="4"/>
    <n v="1308375"/>
  </r>
  <r>
    <x v="2"/>
    <x v="31"/>
    <s v="Total Electric Power Industry"/>
    <x v="10"/>
    <n v="-138298"/>
  </r>
  <r>
    <x v="2"/>
    <x v="31"/>
    <s v="Electric Generators, Independent Power Producers"/>
    <x v="0"/>
    <n v="1240236"/>
  </r>
  <r>
    <x v="2"/>
    <x v="31"/>
    <s v="Electric Generators, Independent Power Producers"/>
    <x v="2"/>
    <n v="22380"/>
  </r>
  <r>
    <x v="2"/>
    <x v="31"/>
    <s v="Electric Generators, Independent Power Producers"/>
    <x v="3"/>
    <n v="808353"/>
  </r>
  <r>
    <x v="2"/>
    <x v="31"/>
    <s v="Electric Generators, Independent Power Producers"/>
    <x v="8"/>
    <n v="409012"/>
  </r>
  <r>
    <x v="2"/>
    <x v="31"/>
    <s v="Electric Generators, Independent Power Producers"/>
    <x v="4"/>
    <n v="491"/>
  </r>
  <r>
    <x v="2"/>
    <x v="31"/>
    <s v="Electric Generators, Electric Utilities"/>
    <x v="0"/>
    <n v="31166593"/>
  </r>
  <r>
    <x v="2"/>
    <x v="31"/>
    <s v="Electric Generators, Electric Utilities"/>
    <x v="1"/>
    <n v="5409083"/>
  </r>
  <r>
    <x v="2"/>
    <x v="31"/>
    <s v="Electric Generators, Electric Utilities"/>
    <x v="3"/>
    <n v="3284673"/>
  </r>
  <r>
    <x v="2"/>
    <x v="31"/>
    <s v="Electric Generators, Electric Utilities"/>
    <x v="7"/>
    <n v="21595097"/>
  </r>
  <r>
    <x v="2"/>
    <x v="31"/>
    <s v="Electric Generators, Electric Utilities"/>
    <x v="4"/>
    <n v="1016038"/>
  </r>
  <r>
    <x v="2"/>
    <x v="31"/>
    <s v="Electric Generators, Electric Utilities"/>
    <x v="10"/>
    <n v="-138298"/>
  </r>
  <r>
    <x v="2"/>
    <x v="31"/>
    <s v="Combined Heat and Power, Industrial Power"/>
    <x v="0"/>
    <n v="2770852"/>
  </r>
  <r>
    <x v="2"/>
    <x v="31"/>
    <s v="Combined Heat and Power, Industrial Power"/>
    <x v="3"/>
    <n v="2492533"/>
  </r>
  <r>
    <x v="2"/>
    <x v="31"/>
    <s v="Combined Heat and Power, Industrial Power"/>
    <x v="9"/>
    <n v="48157"/>
  </r>
  <r>
    <x v="2"/>
    <x v="31"/>
    <s v="Combined Heat and Power, Industrial Power"/>
    <x v="4"/>
    <n v="230162"/>
  </r>
  <r>
    <x v="2"/>
    <x v="31"/>
    <s v="Combined Heat and Power, Electric Power"/>
    <x v="0"/>
    <n v="8384117"/>
  </r>
  <r>
    <x v="2"/>
    <x v="31"/>
    <s v="Combined Heat and Power, Electric Power"/>
    <x v="3"/>
    <n v="7830627"/>
  </r>
  <r>
    <x v="2"/>
    <x v="31"/>
    <s v="Combined Heat and Power, Electric Power"/>
    <x v="8"/>
    <n v="493197"/>
  </r>
  <r>
    <x v="2"/>
    <x v="31"/>
    <s v="Combined Heat and Power, Electric Power"/>
    <x v="4"/>
    <n v="60293"/>
  </r>
  <r>
    <x v="2"/>
    <x v="31"/>
    <s v="Combined Heat and Power, Commercial Power"/>
    <x v="0"/>
    <n v="102216"/>
  </r>
  <r>
    <x v="2"/>
    <x v="31"/>
    <s v="Combined Heat and Power, Commercial Power"/>
    <x v="3"/>
    <n v="98845"/>
  </r>
  <r>
    <x v="2"/>
    <x v="31"/>
    <s v="Combined Heat and Power, Commercial Power"/>
    <x v="8"/>
    <n v="1980"/>
  </r>
  <r>
    <x v="2"/>
    <x v="31"/>
    <s v="Combined Heat and Power, Commercial Power"/>
    <x v="4"/>
    <n v="1391"/>
  </r>
  <r>
    <x v="2"/>
    <x v="32"/>
    <s v="Total Electric Power Industry"/>
    <x v="0"/>
    <n v="28069438"/>
  </r>
  <r>
    <x v="2"/>
    <x v="32"/>
    <s v="Total Electric Power Industry"/>
    <x v="1"/>
    <n v="25348413"/>
  </r>
  <r>
    <x v="2"/>
    <x v="32"/>
    <s v="Total Electric Power Industry"/>
    <x v="2"/>
    <n v="255046"/>
  </r>
  <r>
    <x v="2"/>
    <x v="32"/>
    <s v="Total Electric Power Industry"/>
    <x v="3"/>
    <n v="2414692"/>
  </r>
  <r>
    <x v="2"/>
    <x v="32"/>
    <s v="Total Electric Power Industry"/>
    <x v="8"/>
    <n v="14128"/>
  </r>
  <r>
    <x v="2"/>
    <x v="32"/>
    <s v="Total Electric Power Industry"/>
    <x v="4"/>
    <n v="37159"/>
  </r>
  <r>
    <x v="2"/>
    <x v="32"/>
    <s v="Electric Generators, Electric Utilities"/>
    <x v="0"/>
    <n v="27707513"/>
  </r>
  <r>
    <x v="2"/>
    <x v="32"/>
    <s v="Electric Generators, Electric Utilities"/>
    <x v="1"/>
    <n v="25348413"/>
  </r>
  <r>
    <x v="2"/>
    <x v="32"/>
    <s v="Electric Generators, Electric Utilities"/>
    <x v="2"/>
    <n v="255046"/>
  </r>
  <r>
    <x v="2"/>
    <x v="32"/>
    <s v="Electric Generators, Electric Utilities"/>
    <x v="3"/>
    <n v="2068440"/>
  </r>
  <r>
    <x v="2"/>
    <x v="32"/>
    <s v="Electric Generators, Electric Utilities"/>
    <x v="4"/>
    <n v="35614"/>
  </r>
  <r>
    <x v="2"/>
    <x v="32"/>
    <s v="Combined Heat and Power, Industrial Power"/>
    <x v="0"/>
    <n v="318768"/>
  </r>
  <r>
    <x v="2"/>
    <x v="32"/>
    <s v="Combined Heat and Power, Industrial Power"/>
    <x v="3"/>
    <n v="317223"/>
  </r>
  <r>
    <x v="2"/>
    <x v="32"/>
    <s v="Combined Heat and Power, Industrial Power"/>
    <x v="4"/>
    <n v="1545"/>
  </r>
  <r>
    <x v="2"/>
    <x v="32"/>
    <s v="Combined Heat and Power, Electric Power"/>
    <x v="0"/>
    <n v="18890"/>
  </r>
  <r>
    <x v="2"/>
    <x v="32"/>
    <s v="Combined Heat and Power, Electric Power"/>
    <x v="3"/>
    <n v="4762"/>
  </r>
  <r>
    <x v="2"/>
    <x v="32"/>
    <s v="Combined Heat and Power, Electric Power"/>
    <x v="8"/>
    <n v="14128"/>
  </r>
  <r>
    <x v="2"/>
    <x v="32"/>
    <s v="Combined Heat and Power, Commercial Power"/>
    <x v="0"/>
    <n v="24267"/>
  </r>
  <r>
    <x v="2"/>
    <x v="32"/>
    <s v="Combined Heat and Power, Commercial Power"/>
    <x v="3"/>
    <n v="24267"/>
  </r>
  <r>
    <x v="2"/>
    <x v="33"/>
    <s v="Total Electric Power Industry"/>
    <x v="0"/>
    <n v="23347543"/>
  </r>
  <r>
    <x v="2"/>
    <x v="33"/>
    <s v="Total Electric Power Industry"/>
    <x v="1"/>
    <n v="16443169"/>
  </r>
  <r>
    <x v="2"/>
    <x v="33"/>
    <s v="Total Electric Power Industry"/>
    <x v="11"/>
    <n v="1177972"/>
  </r>
  <r>
    <x v="2"/>
    <x v="33"/>
    <s v="Total Electric Power Industry"/>
    <x v="2"/>
    <n v="1985691"/>
  </r>
  <r>
    <x v="2"/>
    <x v="33"/>
    <s v="Total Electric Power Industry"/>
    <x v="3"/>
    <n v="3392197"/>
  </r>
  <r>
    <x v="2"/>
    <x v="33"/>
    <s v="Total Electric Power Industry"/>
    <x v="12"/>
    <n v="20929"/>
  </r>
  <r>
    <x v="2"/>
    <x v="33"/>
    <s v="Total Electric Power Industry"/>
    <x v="4"/>
    <n v="327585"/>
  </r>
  <r>
    <x v="2"/>
    <x v="33"/>
    <s v="Electric Generators, Independent Power Producers"/>
    <x v="0"/>
    <n v="1181205"/>
  </r>
  <r>
    <x v="2"/>
    <x v="33"/>
    <s v="Electric Generators, Independent Power Producers"/>
    <x v="11"/>
    <n v="1177972"/>
  </r>
  <r>
    <x v="2"/>
    <x v="33"/>
    <s v="Electric Generators, Independent Power Producers"/>
    <x v="2"/>
    <n v="3233"/>
  </r>
  <r>
    <x v="2"/>
    <x v="33"/>
    <s v="Electric Generators, Electric Utilities"/>
    <x v="0"/>
    <n v="20962974"/>
  </r>
  <r>
    <x v="2"/>
    <x v="33"/>
    <s v="Electric Generators, Electric Utilities"/>
    <x v="1"/>
    <n v="16443169"/>
  </r>
  <r>
    <x v="2"/>
    <x v="33"/>
    <s v="Electric Generators, Electric Utilities"/>
    <x v="2"/>
    <n v="1982458"/>
  </r>
  <r>
    <x v="2"/>
    <x v="33"/>
    <s v="Electric Generators, Electric Utilities"/>
    <x v="3"/>
    <n v="2209762"/>
  </r>
  <r>
    <x v="2"/>
    <x v="33"/>
    <s v="Electric Generators, Electric Utilities"/>
    <x v="4"/>
    <n v="327585"/>
  </r>
  <r>
    <x v="2"/>
    <x v="33"/>
    <s v="Combined Heat and Power, Electric Power"/>
    <x v="0"/>
    <n v="1203364"/>
  </r>
  <r>
    <x v="2"/>
    <x v="33"/>
    <s v="Combined Heat and Power, Electric Power"/>
    <x v="3"/>
    <n v="1182435"/>
  </r>
  <r>
    <x v="2"/>
    <x v="33"/>
    <s v="Combined Heat and Power, Electric Power"/>
    <x v="12"/>
    <n v="20929"/>
  </r>
  <r>
    <x v="2"/>
    <x v="34"/>
    <s v="Total Electric Power Industry"/>
    <x v="0"/>
    <n v="125948924"/>
  </r>
  <r>
    <x v="2"/>
    <x v="34"/>
    <s v="Total Electric Power Industry"/>
    <x v="1"/>
    <n v="27279703"/>
  </r>
  <r>
    <x v="2"/>
    <x v="34"/>
    <s v="Total Electric Power Industry"/>
    <x v="2"/>
    <n v="28056647"/>
  </r>
  <r>
    <x v="2"/>
    <x v="34"/>
    <s v="Total Electric Power Industry"/>
    <x v="3"/>
    <n v="26849697"/>
  </r>
  <r>
    <x v="2"/>
    <x v="34"/>
    <s v="Total Electric Power Industry"/>
    <x v="7"/>
    <n v="24154932"/>
  </r>
  <r>
    <x v="2"/>
    <x v="34"/>
    <s v="Total Electric Power Industry"/>
    <x v="8"/>
    <n v="1738485"/>
  </r>
  <r>
    <x v="2"/>
    <x v="34"/>
    <s v="Total Electric Power Industry"/>
    <x v="9"/>
    <n v="91985"/>
  </r>
  <r>
    <x v="2"/>
    <x v="34"/>
    <s v="Total Electric Power Industry"/>
    <x v="4"/>
    <n v="18319258"/>
  </r>
  <r>
    <x v="2"/>
    <x v="34"/>
    <s v="Total Electric Power Industry"/>
    <x v="10"/>
    <n v="-1031645"/>
  </r>
  <r>
    <x v="2"/>
    <x v="34"/>
    <s v="Total Electric Power Industry"/>
    <x v="6"/>
    <n v="489862"/>
  </r>
  <r>
    <x v="2"/>
    <x v="34"/>
    <s v="Electric Generators, Independent Power Producers"/>
    <x v="0"/>
    <n v="2837127"/>
  </r>
  <r>
    <x v="2"/>
    <x v="34"/>
    <s v="Electric Generators, Independent Power Producers"/>
    <x v="2"/>
    <n v="1295893"/>
  </r>
  <r>
    <x v="2"/>
    <x v="34"/>
    <s v="Electric Generators, Independent Power Producers"/>
    <x v="3"/>
    <n v="309"/>
  </r>
  <r>
    <x v="2"/>
    <x v="34"/>
    <s v="Electric Generators, Independent Power Producers"/>
    <x v="8"/>
    <n v="1333829"/>
  </r>
  <r>
    <x v="2"/>
    <x v="34"/>
    <s v="Electric Generators, Independent Power Producers"/>
    <x v="6"/>
    <n v="207096"/>
  </r>
  <r>
    <x v="2"/>
    <x v="34"/>
    <s v="Electric Generators, Electric Utilities"/>
    <x v="0"/>
    <n v="112228796"/>
  </r>
  <r>
    <x v="2"/>
    <x v="34"/>
    <s v="Electric Generators, Electric Utilities"/>
    <x v="1"/>
    <n v="24921250"/>
  </r>
  <r>
    <x v="2"/>
    <x v="34"/>
    <s v="Electric Generators, Electric Utilities"/>
    <x v="2"/>
    <n v="26624178"/>
  </r>
  <r>
    <x v="2"/>
    <x v="34"/>
    <s v="Electric Generators, Electric Utilities"/>
    <x v="3"/>
    <n v="19773930"/>
  </r>
  <r>
    <x v="2"/>
    <x v="34"/>
    <s v="Electric Generators, Electric Utilities"/>
    <x v="7"/>
    <n v="24154932"/>
  </r>
  <r>
    <x v="2"/>
    <x v="34"/>
    <s v="Electric Generators, Electric Utilities"/>
    <x v="4"/>
    <n v="17786151"/>
  </r>
  <r>
    <x v="2"/>
    <x v="34"/>
    <s v="Electric Generators, Electric Utilities"/>
    <x v="10"/>
    <n v="-1031645"/>
  </r>
  <r>
    <x v="2"/>
    <x v="34"/>
    <s v="Electric Generators, Electric Utilities"/>
    <x v="6"/>
    <n v="0"/>
  </r>
  <r>
    <x v="2"/>
    <x v="34"/>
    <s v="Combined Heat and Power, Industrial Power"/>
    <x v="0"/>
    <n v="4162804"/>
  </r>
  <r>
    <x v="2"/>
    <x v="34"/>
    <s v="Combined Heat and Power, Industrial Power"/>
    <x v="1"/>
    <n v="1116700"/>
  </r>
  <r>
    <x v="2"/>
    <x v="34"/>
    <s v="Combined Heat and Power, Industrial Power"/>
    <x v="2"/>
    <n v="129756"/>
  </r>
  <r>
    <x v="2"/>
    <x v="34"/>
    <s v="Combined Heat and Power, Industrial Power"/>
    <x v="3"/>
    <n v="2115348"/>
  </r>
  <r>
    <x v="2"/>
    <x v="34"/>
    <s v="Combined Heat and Power, Industrial Power"/>
    <x v="8"/>
    <n v="23177"/>
  </r>
  <r>
    <x v="2"/>
    <x v="34"/>
    <s v="Combined Heat and Power, Industrial Power"/>
    <x v="9"/>
    <n v="91985"/>
  </r>
  <r>
    <x v="2"/>
    <x v="34"/>
    <s v="Combined Heat and Power, Industrial Power"/>
    <x v="4"/>
    <n v="437930"/>
  </r>
  <r>
    <x v="2"/>
    <x v="34"/>
    <s v="Combined Heat and Power, Industrial Power"/>
    <x v="6"/>
    <n v="247908"/>
  </r>
  <r>
    <x v="2"/>
    <x v="34"/>
    <s v="Combined Heat and Power, Electric Power"/>
    <x v="0"/>
    <n v="6252399"/>
  </r>
  <r>
    <x v="2"/>
    <x v="34"/>
    <s v="Combined Heat and Power, Electric Power"/>
    <x v="1"/>
    <n v="1223199"/>
  </r>
  <r>
    <x v="2"/>
    <x v="34"/>
    <s v="Combined Heat and Power, Electric Power"/>
    <x v="3"/>
    <n v="4574725"/>
  </r>
  <r>
    <x v="2"/>
    <x v="34"/>
    <s v="Combined Heat and Power, Electric Power"/>
    <x v="8"/>
    <n v="376346"/>
  </r>
  <r>
    <x v="2"/>
    <x v="34"/>
    <s v="Combined Heat and Power, Electric Power"/>
    <x v="4"/>
    <n v="43271"/>
  </r>
  <r>
    <x v="2"/>
    <x v="34"/>
    <s v="Combined Heat and Power, Electric Power"/>
    <x v="6"/>
    <n v="34858"/>
  </r>
  <r>
    <x v="2"/>
    <x v="34"/>
    <s v="Combined Heat and Power, Commercial Power"/>
    <x v="0"/>
    <n v="467798"/>
  </r>
  <r>
    <x v="2"/>
    <x v="34"/>
    <s v="Combined Heat and Power, Commercial Power"/>
    <x v="1"/>
    <n v="18554"/>
  </r>
  <r>
    <x v="2"/>
    <x v="34"/>
    <s v="Combined Heat and Power, Commercial Power"/>
    <x v="2"/>
    <n v="6820"/>
  </r>
  <r>
    <x v="2"/>
    <x v="34"/>
    <s v="Combined Heat and Power, Commercial Power"/>
    <x v="3"/>
    <n v="385385"/>
  </r>
  <r>
    <x v="2"/>
    <x v="34"/>
    <s v="Combined Heat and Power, Commercial Power"/>
    <x v="8"/>
    <n v="5133"/>
  </r>
  <r>
    <x v="2"/>
    <x v="34"/>
    <s v="Combined Heat and Power, Commercial Power"/>
    <x v="4"/>
    <n v="51906"/>
  </r>
  <r>
    <x v="2"/>
    <x v="35"/>
    <s v="Total Electric Power Industry"/>
    <x v="0"/>
    <n v="137661728"/>
  </r>
  <r>
    <x v="2"/>
    <x v="35"/>
    <s v="Total Electric Power Industry"/>
    <x v="1"/>
    <n v="121249946"/>
  </r>
  <r>
    <x v="2"/>
    <x v="35"/>
    <s v="Total Electric Power Industry"/>
    <x v="2"/>
    <n v="253165"/>
  </r>
  <r>
    <x v="2"/>
    <x v="35"/>
    <s v="Total Electric Power Industry"/>
    <x v="3"/>
    <n v="340236"/>
  </r>
  <r>
    <x v="2"/>
    <x v="35"/>
    <s v="Total Electric Power Industry"/>
    <x v="7"/>
    <n v="14805499"/>
  </r>
  <r>
    <x v="2"/>
    <x v="35"/>
    <s v="Total Electric Power Industry"/>
    <x v="8"/>
    <n v="349113"/>
  </r>
  <r>
    <x v="2"/>
    <x v="35"/>
    <s v="Total Electric Power Industry"/>
    <x v="9"/>
    <n v="73545"/>
  </r>
  <r>
    <x v="2"/>
    <x v="35"/>
    <s v="Total Electric Power Industry"/>
    <x v="4"/>
    <n v="258124"/>
  </r>
  <r>
    <x v="2"/>
    <x v="35"/>
    <s v="Total Electric Power Industry"/>
    <x v="6"/>
    <n v="332100"/>
  </r>
  <r>
    <x v="2"/>
    <x v="35"/>
    <s v="Electric Generators, Independent Power Producers"/>
    <x v="0"/>
    <n v="8813"/>
  </r>
  <r>
    <x v="2"/>
    <x v="35"/>
    <s v="Electric Generators, Independent Power Producers"/>
    <x v="2"/>
    <n v="8813"/>
  </r>
  <r>
    <x v="2"/>
    <x v="35"/>
    <s v="Electric Generators, Electric Utilities"/>
    <x v="0"/>
    <n v="136296552"/>
  </r>
  <r>
    <x v="2"/>
    <x v="35"/>
    <s v="Electric Generators, Electric Utilities"/>
    <x v="1"/>
    <n v="120529191"/>
  </r>
  <r>
    <x v="2"/>
    <x v="35"/>
    <s v="Electric Generators, Electric Utilities"/>
    <x v="2"/>
    <n v="244352"/>
  </r>
  <r>
    <x v="2"/>
    <x v="35"/>
    <s v="Electric Generators, Electric Utilities"/>
    <x v="3"/>
    <n v="212669"/>
  </r>
  <r>
    <x v="2"/>
    <x v="35"/>
    <s v="Electric Generators, Electric Utilities"/>
    <x v="7"/>
    <n v="14805499"/>
  </r>
  <r>
    <x v="2"/>
    <x v="35"/>
    <s v="Electric Generators, Electric Utilities"/>
    <x v="8"/>
    <n v="309613"/>
  </r>
  <r>
    <x v="2"/>
    <x v="35"/>
    <s v="Electric Generators, Electric Utilities"/>
    <x v="4"/>
    <n v="195228"/>
  </r>
  <r>
    <x v="2"/>
    <x v="35"/>
    <s v="Combined Heat and Power, Industrial Power"/>
    <x v="0"/>
    <n v="1248825"/>
  </r>
  <r>
    <x v="2"/>
    <x v="35"/>
    <s v="Combined Heat and Power, Industrial Power"/>
    <x v="1"/>
    <n v="720135"/>
  </r>
  <r>
    <x v="2"/>
    <x v="35"/>
    <s v="Combined Heat and Power, Industrial Power"/>
    <x v="3"/>
    <n v="66797"/>
  </r>
  <r>
    <x v="2"/>
    <x v="35"/>
    <s v="Combined Heat and Power, Industrial Power"/>
    <x v="9"/>
    <n v="73545"/>
  </r>
  <r>
    <x v="2"/>
    <x v="35"/>
    <s v="Combined Heat and Power, Industrial Power"/>
    <x v="4"/>
    <n v="56248"/>
  </r>
  <r>
    <x v="2"/>
    <x v="35"/>
    <s v="Combined Heat and Power, Industrial Power"/>
    <x v="6"/>
    <n v="332100"/>
  </r>
  <r>
    <x v="2"/>
    <x v="35"/>
    <s v="Combined Heat and Power, Electric Power"/>
    <x v="0"/>
    <n v="32738"/>
  </r>
  <r>
    <x v="2"/>
    <x v="35"/>
    <s v="Combined Heat and Power, Electric Power"/>
    <x v="8"/>
    <n v="32738"/>
  </r>
  <r>
    <x v="2"/>
    <x v="35"/>
    <s v="Combined Heat and Power, Commercial Power"/>
    <x v="0"/>
    <n v="74800"/>
  </r>
  <r>
    <x v="2"/>
    <x v="35"/>
    <s v="Combined Heat and Power, Commercial Power"/>
    <x v="1"/>
    <n v="620"/>
  </r>
  <r>
    <x v="2"/>
    <x v="35"/>
    <s v="Combined Heat and Power, Commercial Power"/>
    <x v="3"/>
    <n v="60770"/>
  </r>
  <r>
    <x v="2"/>
    <x v="35"/>
    <s v="Combined Heat and Power, Commercial Power"/>
    <x v="8"/>
    <n v="6762"/>
  </r>
  <r>
    <x v="2"/>
    <x v="35"/>
    <s v="Combined Heat and Power, Commercial Power"/>
    <x v="4"/>
    <n v="6648"/>
  </r>
  <r>
    <x v="2"/>
    <x v="36"/>
    <s v="Total Electric Power Industry"/>
    <x v="0"/>
    <n v="50006448"/>
  </r>
  <r>
    <x v="2"/>
    <x v="36"/>
    <s v="Total Electric Power Industry"/>
    <x v="1"/>
    <n v="30003846"/>
  </r>
  <r>
    <x v="2"/>
    <x v="36"/>
    <s v="Total Electric Power Industry"/>
    <x v="2"/>
    <n v="3241701"/>
  </r>
  <r>
    <x v="2"/>
    <x v="36"/>
    <s v="Total Electric Power Industry"/>
    <x v="3"/>
    <n v="16419444"/>
  </r>
  <r>
    <x v="2"/>
    <x v="36"/>
    <s v="Total Electric Power Industry"/>
    <x v="8"/>
    <n v="1832"/>
  </r>
  <r>
    <x v="2"/>
    <x v="36"/>
    <s v="Total Electric Power Industry"/>
    <x v="9"/>
    <n v="72380"/>
  </r>
  <r>
    <x v="2"/>
    <x v="36"/>
    <s v="Total Electric Power Industry"/>
    <x v="4"/>
    <n v="51626"/>
  </r>
  <r>
    <x v="2"/>
    <x v="36"/>
    <s v="Total Electric Power Industry"/>
    <x v="10"/>
    <n v="-31864"/>
  </r>
  <r>
    <x v="2"/>
    <x v="36"/>
    <s v="Total Electric Power Industry"/>
    <x v="6"/>
    <n v="247483"/>
  </r>
  <r>
    <x v="2"/>
    <x v="36"/>
    <s v="Electric Generators, Electric Utilities"/>
    <x v="0"/>
    <n v="45942891"/>
  </r>
  <r>
    <x v="2"/>
    <x v="36"/>
    <s v="Electric Generators, Electric Utilities"/>
    <x v="1"/>
    <n v="27666494"/>
  </r>
  <r>
    <x v="2"/>
    <x v="36"/>
    <s v="Electric Generators, Electric Utilities"/>
    <x v="2"/>
    <n v="3241701"/>
  </r>
  <r>
    <x v="2"/>
    <x v="36"/>
    <s v="Electric Generators, Electric Utilities"/>
    <x v="3"/>
    <n v="15051380"/>
  </r>
  <r>
    <x v="2"/>
    <x v="36"/>
    <s v="Electric Generators, Electric Utilities"/>
    <x v="4"/>
    <n v="15180"/>
  </r>
  <r>
    <x v="2"/>
    <x v="36"/>
    <s v="Electric Generators, Electric Utilities"/>
    <x v="10"/>
    <n v="-31864"/>
  </r>
  <r>
    <x v="2"/>
    <x v="36"/>
    <s v="Combined Heat and Power, Industrial Power"/>
    <x v="0"/>
    <n v="1139239"/>
  </r>
  <r>
    <x v="2"/>
    <x v="36"/>
    <s v="Combined Heat and Power, Industrial Power"/>
    <x v="1"/>
    <n v="301526"/>
  </r>
  <r>
    <x v="2"/>
    <x v="36"/>
    <s v="Combined Heat and Power, Industrial Power"/>
    <x v="3"/>
    <n v="479572"/>
  </r>
  <r>
    <x v="2"/>
    <x v="36"/>
    <s v="Combined Heat and Power, Industrial Power"/>
    <x v="8"/>
    <n v="1832"/>
  </r>
  <r>
    <x v="2"/>
    <x v="36"/>
    <s v="Combined Heat and Power, Industrial Power"/>
    <x v="9"/>
    <n v="72380"/>
  </r>
  <r>
    <x v="2"/>
    <x v="36"/>
    <s v="Combined Heat and Power, Industrial Power"/>
    <x v="4"/>
    <n v="36446"/>
  </r>
  <r>
    <x v="2"/>
    <x v="36"/>
    <s v="Combined Heat and Power, Industrial Power"/>
    <x v="6"/>
    <n v="247483"/>
  </r>
  <r>
    <x v="2"/>
    <x v="36"/>
    <s v="Combined Heat and Power, Electric Power"/>
    <x v="0"/>
    <n v="2895340"/>
  </r>
  <r>
    <x v="2"/>
    <x v="36"/>
    <s v="Combined Heat and Power, Electric Power"/>
    <x v="1"/>
    <n v="2035826"/>
  </r>
  <r>
    <x v="2"/>
    <x v="36"/>
    <s v="Combined Heat and Power, Electric Power"/>
    <x v="3"/>
    <n v="859514"/>
  </r>
  <r>
    <x v="2"/>
    <x v="36"/>
    <s v="Combined Heat and Power, Commercial Power"/>
    <x v="0"/>
    <n v="28978"/>
  </r>
  <r>
    <x v="2"/>
    <x v="36"/>
    <s v="Combined Heat and Power, Commercial Power"/>
    <x v="3"/>
    <n v="28978"/>
  </r>
  <r>
    <x v="2"/>
    <x v="37"/>
    <s v="Total Electric Power Industry"/>
    <x v="0"/>
    <n v="42345374"/>
  </r>
  <r>
    <x v="2"/>
    <x v="37"/>
    <s v="Total Electric Power Industry"/>
    <x v="1"/>
    <n v="3702081"/>
  </r>
  <r>
    <x v="2"/>
    <x v="37"/>
    <s v="Total Electric Power Industry"/>
    <x v="2"/>
    <n v="31718535"/>
  </r>
  <r>
    <x v="2"/>
    <x v="37"/>
    <s v="Total Electric Power Industry"/>
    <x v="3"/>
    <n v="1527911"/>
  </r>
  <r>
    <x v="2"/>
    <x v="37"/>
    <s v="Total Electric Power Industry"/>
    <x v="7"/>
    <n v="4572587"/>
  </r>
  <r>
    <x v="2"/>
    <x v="37"/>
    <s v="Total Electric Power Industry"/>
    <x v="8"/>
    <n v="93795"/>
  </r>
  <r>
    <x v="2"/>
    <x v="37"/>
    <s v="Total Electric Power Industry"/>
    <x v="4"/>
    <n v="10655"/>
  </r>
  <r>
    <x v="2"/>
    <x v="37"/>
    <s v="Total Electric Power Industry"/>
    <x v="5"/>
    <n v="539"/>
  </r>
  <r>
    <x v="2"/>
    <x v="37"/>
    <s v="Total Electric Power Industry"/>
    <x v="6"/>
    <n v="719271"/>
  </r>
  <r>
    <x v="2"/>
    <x v="37"/>
    <s v="Electric Generators, Independent Power Producers"/>
    <x v="0"/>
    <n v="334795"/>
  </r>
  <r>
    <x v="2"/>
    <x v="37"/>
    <s v="Electric Generators, Independent Power Producers"/>
    <x v="2"/>
    <n v="240461"/>
  </r>
  <r>
    <x v="2"/>
    <x v="37"/>
    <s v="Electric Generators, Independent Power Producers"/>
    <x v="8"/>
    <n v="93795"/>
  </r>
  <r>
    <x v="2"/>
    <x v="37"/>
    <s v="Electric Generators, Independent Power Producers"/>
    <x v="5"/>
    <n v="539"/>
  </r>
  <r>
    <x v="2"/>
    <x v="37"/>
    <s v="Electric Generators, Electric Utilities"/>
    <x v="0"/>
    <n v="41220343"/>
  </r>
  <r>
    <x v="2"/>
    <x v="37"/>
    <s v="Electric Generators, Electric Utilities"/>
    <x v="1"/>
    <n v="3682715"/>
  </r>
  <r>
    <x v="2"/>
    <x v="37"/>
    <s v="Electric Generators, Electric Utilities"/>
    <x v="2"/>
    <n v="31475583"/>
  </r>
  <r>
    <x v="2"/>
    <x v="37"/>
    <s v="Electric Generators, Electric Utilities"/>
    <x v="3"/>
    <n v="1474449"/>
  </r>
  <r>
    <x v="2"/>
    <x v="37"/>
    <s v="Electric Generators, Electric Utilities"/>
    <x v="7"/>
    <n v="4572587"/>
  </r>
  <r>
    <x v="2"/>
    <x v="37"/>
    <s v="Electric Generators, Electric Utilities"/>
    <x v="4"/>
    <n v="9212"/>
  </r>
  <r>
    <x v="2"/>
    <x v="37"/>
    <s v="Electric Generators, Electric Utilities"/>
    <x v="6"/>
    <n v="5797"/>
  </r>
  <r>
    <x v="2"/>
    <x v="37"/>
    <s v="Combined Heat and Power, Industrial Power"/>
    <x v="0"/>
    <n v="430725"/>
  </r>
  <r>
    <x v="2"/>
    <x v="37"/>
    <s v="Combined Heat and Power, Industrial Power"/>
    <x v="1"/>
    <n v="19366"/>
  </r>
  <r>
    <x v="2"/>
    <x v="37"/>
    <s v="Combined Heat and Power, Industrial Power"/>
    <x v="2"/>
    <n v="2491"/>
  </r>
  <r>
    <x v="2"/>
    <x v="37"/>
    <s v="Combined Heat and Power, Industrial Power"/>
    <x v="3"/>
    <n v="26747"/>
  </r>
  <r>
    <x v="2"/>
    <x v="37"/>
    <s v="Combined Heat and Power, Industrial Power"/>
    <x v="4"/>
    <n v="1443"/>
  </r>
  <r>
    <x v="2"/>
    <x v="37"/>
    <s v="Combined Heat and Power, Industrial Power"/>
    <x v="6"/>
    <n v="380678"/>
  </r>
  <r>
    <x v="2"/>
    <x v="37"/>
    <s v="Combined Heat and Power, Electric Power"/>
    <x v="0"/>
    <n v="299540"/>
  </r>
  <r>
    <x v="2"/>
    <x v="37"/>
    <s v="Combined Heat and Power, Electric Power"/>
    <x v="3"/>
    <n v="26715"/>
  </r>
  <r>
    <x v="2"/>
    <x v="37"/>
    <s v="Combined Heat and Power, Electric Power"/>
    <x v="6"/>
    <n v="272825"/>
  </r>
  <r>
    <x v="2"/>
    <x v="37"/>
    <s v="Combined Heat and Power, Commercial Power"/>
    <x v="0"/>
    <n v="59971"/>
  </r>
  <r>
    <x v="2"/>
    <x v="37"/>
    <s v="Combined Heat and Power, Commercial Power"/>
    <x v="6"/>
    <n v="59971"/>
  </r>
  <r>
    <x v="2"/>
    <x v="38"/>
    <s v="Total Electric Power Industry"/>
    <x v="0"/>
    <n v="179405645"/>
  </r>
  <r>
    <x v="2"/>
    <x v="38"/>
    <s v="Total Electric Power Industry"/>
    <x v="1"/>
    <n v="109124697"/>
  </r>
  <r>
    <x v="2"/>
    <x v="38"/>
    <s v="Total Electric Power Industry"/>
    <x v="2"/>
    <n v="2577615"/>
  </r>
  <r>
    <x v="2"/>
    <x v="38"/>
    <s v="Total Electric Power Industry"/>
    <x v="3"/>
    <n v="2707834"/>
  </r>
  <r>
    <x v="2"/>
    <x v="38"/>
    <s v="Total Electric Power Industry"/>
    <x v="7"/>
    <n v="60132729"/>
  </r>
  <r>
    <x v="2"/>
    <x v="38"/>
    <s v="Total Electric Power Industry"/>
    <x v="12"/>
    <n v="243730"/>
  </r>
  <r>
    <x v="2"/>
    <x v="38"/>
    <s v="Total Electric Power Industry"/>
    <x v="8"/>
    <n v="1252363"/>
  </r>
  <r>
    <x v="2"/>
    <x v="38"/>
    <s v="Total Electric Power Industry"/>
    <x v="9"/>
    <n v="1011223"/>
  </r>
  <r>
    <x v="2"/>
    <x v="38"/>
    <s v="Total Electric Power Industry"/>
    <x v="4"/>
    <n v="2648000"/>
  </r>
  <r>
    <x v="2"/>
    <x v="38"/>
    <s v="Total Electric Power Industry"/>
    <x v="10"/>
    <n v="-918889"/>
  </r>
  <r>
    <x v="2"/>
    <x v="38"/>
    <s v="Total Electric Power Industry"/>
    <x v="6"/>
    <n v="626343"/>
  </r>
  <r>
    <x v="2"/>
    <x v="38"/>
    <s v="Electric Generators, Independent Power Producers"/>
    <x v="0"/>
    <n v="1891987"/>
  </r>
  <r>
    <x v="2"/>
    <x v="38"/>
    <s v="Electric Generators, Independent Power Producers"/>
    <x v="1"/>
    <n v="421496"/>
  </r>
  <r>
    <x v="2"/>
    <x v="38"/>
    <s v="Electric Generators, Independent Power Producers"/>
    <x v="2"/>
    <n v="442161"/>
  </r>
  <r>
    <x v="2"/>
    <x v="38"/>
    <s v="Electric Generators, Independent Power Producers"/>
    <x v="3"/>
    <n v="11156"/>
  </r>
  <r>
    <x v="2"/>
    <x v="38"/>
    <s v="Electric Generators, Independent Power Producers"/>
    <x v="8"/>
    <n v="996447"/>
  </r>
  <r>
    <x v="2"/>
    <x v="38"/>
    <s v="Electric Generators, Independent Power Producers"/>
    <x v="4"/>
    <n v="20727"/>
  </r>
  <r>
    <x v="2"/>
    <x v="38"/>
    <s v="Electric Generators, Electric Utilities"/>
    <x v="0"/>
    <n v="166034292"/>
  </r>
  <r>
    <x v="2"/>
    <x v="38"/>
    <s v="Electric Generators, Electric Utilities"/>
    <x v="1"/>
    <n v="102198817"/>
  </r>
  <r>
    <x v="2"/>
    <x v="38"/>
    <s v="Electric Generators, Electric Utilities"/>
    <x v="2"/>
    <n v="2135454"/>
  </r>
  <r>
    <x v="2"/>
    <x v="38"/>
    <s v="Electric Generators, Electric Utilities"/>
    <x v="3"/>
    <n v="265249"/>
  </r>
  <r>
    <x v="2"/>
    <x v="38"/>
    <s v="Electric Generators, Electric Utilities"/>
    <x v="7"/>
    <n v="60132729"/>
  </r>
  <r>
    <x v="2"/>
    <x v="38"/>
    <s v="Electric Generators, Electric Utilities"/>
    <x v="4"/>
    <n v="2220932"/>
  </r>
  <r>
    <x v="2"/>
    <x v="38"/>
    <s v="Electric Generators, Electric Utilities"/>
    <x v="10"/>
    <n v="-918889"/>
  </r>
  <r>
    <x v="2"/>
    <x v="38"/>
    <s v="Combined Heat and Power, Industrial Power"/>
    <x v="0"/>
    <n v="4776794"/>
  </r>
  <r>
    <x v="2"/>
    <x v="38"/>
    <s v="Combined Heat and Power, Industrial Power"/>
    <x v="1"/>
    <n v="1809453"/>
  </r>
  <r>
    <x v="2"/>
    <x v="38"/>
    <s v="Combined Heat and Power, Industrial Power"/>
    <x v="3"/>
    <n v="1297217"/>
  </r>
  <r>
    <x v="2"/>
    <x v="38"/>
    <s v="Combined Heat and Power, Industrial Power"/>
    <x v="12"/>
    <n v="732"/>
  </r>
  <r>
    <x v="2"/>
    <x v="38"/>
    <s v="Combined Heat and Power, Industrial Power"/>
    <x v="9"/>
    <n v="1009831"/>
  </r>
  <r>
    <x v="2"/>
    <x v="38"/>
    <s v="Combined Heat and Power, Industrial Power"/>
    <x v="4"/>
    <n v="239835"/>
  </r>
  <r>
    <x v="2"/>
    <x v="38"/>
    <s v="Combined Heat and Power, Industrial Power"/>
    <x v="6"/>
    <n v="419726"/>
  </r>
  <r>
    <x v="2"/>
    <x v="38"/>
    <s v="Combined Heat and Power, Electric Power"/>
    <x v="0"/>
    <n v="6302005"/>
  </r>
  <r>
    <x v="2"/>
    <x v="38"/>
    <s v="Combined Heat and Power, Electric Power"/>
    <x v="1"/>
    <n v="4684532"/>
  </r>
  <r>
    <x v="2"/>
    <x v="38"/>
    <s v="Combined Heat and Power, Electric Power"/>
    <x v="3"/>
    <n v="970533"/>
  </r>
  <r>
    <x v="2"/>
    <x v="38"/>
    <s v="Combined Heat and Power, Electric Power"/>
    <x v="12"/>
    <n v="242998"/>
  </r>
  <r>
    <x v="2"/>
    <x v="38"/>
    <s v="Combined Heat and Power, Electric Power"/>
    <x v="8"/>
    <n v="40728"/>
  </r>
  <r>
    <x v="2"/>
    <x v="38"/>
    <s v="Combined Heat and Power, Electric Power"/>
    <x v="9"/>
    <n v="1392"/>
  </r>
  <r>
    <x v="2"/>
    <x v="38"/>
    <s v="Combined Heat and Power, Electric Power"/>
    <x v="4"/>
    <n v="155205"/>
  </r>
  <r>
    <x v="2"/>
    <x v="38"/>
    <s v="Combined Heat and Power, Electric Power"/>
    <x v="6"/>
    <n v="206617"/>
  </r>
  <r>
    <x v="2"/>
    <x v="38"/>
    <s v="Combined Heat and Power, Commercial Power"/>
    <x v="0"/>
    <n v="400567"/>
  </r>
  <r>
    <x v="2"/>
    <x v="38"/>
    <s v="Combined Heat and Power, Commercial Power"/>
    <x v="1"/>
    <n v="10399"/>
  </r>
  <r>
    <x v="2"/>
    <x v="38"/>
    <s v="Combined Heat and Power, Commercial Power"/>
    <x v="3"/>
    <n v="163679"/>
  </r>
  <r>
    <x v="2"/>
    <x v="38"/>
    <s v="Combined Heat and Power, Commercial Power"/>
    <x v="8"/>
    <n v="215188"/>
  </r>
  <r>
    <x v="2"/>
    <x v="38"/>
    <s v="Combined Heat and Power, Commercial Power"/>
    <x v="4"/>
    <n v="11301"/>
  </r>
  <r>
    <x v="2"/>
    <x v="39"/>
    <s v="Total Electric Power Industry"/>
    <x v="0"/>
    <n v="4785205"/>
  </r>
  <r>
    <x v="2"/>
    <x v="39"/>
    <s v="Total Electric Power Industry"/>
    <x v="1"/>
    <n v="0"/>
  </r>
  <r>
    <x v="2"/>
    <x v="39"/>
    <s v="Total Electric Power Industry"/>
    <x v="2"/>
    <n v="9946"/>
  </r>
  <r>
    <x v="2"/>
    <x v="39"/>
    <s v="Total Electric Power Industry"/>
    <x v="3"/>
    <n v="4612506"/>
  </r>
  <r>
    <x v="2"/>
    <x v="39"/>
    <s v="Total Electric Power Industry"/>
    <x v="8"/>
    <n v="63834"/>
  </r>
  <r>
    <x v="2"/>
    <x v="39"/>
    <s v="Total Electric Power Industry"/>
    <x v="4"/>
    <n v="98919"/>
  </r>
  <r>
    <x v="2"/>
    <x v="39"/>
    <s v="Electric Generators, Independent Power Producers"/>
    <x v="0"/>
    <n v="4314938"/>
  </r>
  <r>
    <x v="2"/>
    <x v="39"/>
    <s v="Electric Generators, Independent Power Producers"/>
    <x v="2"/>
    <n v="9946"/>
  </r>
  <r>
    <x v="2"/>
    <x v="39"/>
    <s v="Electric Generators, Independent Power Producers"/>
    <x v="3"/>
    <n v="4241013"/>
  </r>
  <r>
    <x v="2"/>
    <x v="39"/>
    <s v="Electric Generators, Independent Power Producers"/>
    <x v="8"/>
    <n v="63834"/>
  </r>
  <r>
    <x v="2"/>
    <x v="39"/>
    <s v="Electric Generators, Independent Power Producers"/>
    <x v="4"/>
    <n v="145"/>
  </r>
  <r>
    <x v="2"/>
    <x v="39"/>
    <s v="Electric Generators, Electric Utilities"/>
    <x v="0"/>
    <n v="109308"/>
  </r>
  <r>
    <x v="2"/>
    <x v="39"/>
    <s v="Electric Generators, Electric Utilities"/>
    <x v="1"/>
    <n v="0"/>
  </r>
  <r>
    <x v="2"/>
    <x v="39"/>
    <s v="Electric Generators, Electric Utilities"/>
    <x v="2"/>
    <n v="0"/>
  </r>
  <r>
    <x v="2"/>
    <x v="39"/>
    <s v="Electric Generators, Electric Utilities"/>
    <x v="3"/>
    <n v="34593"/>
  </r>
  <r>
    <x v="2"/>
    <x v="39"/>
    <s v="Electric Generators, Electric Utilities"/>
    <x v="4"/>
    <n v="74715"/>
  </r>
  <r>
    <x v="2"/>
    <x v="39"/>
    <s v="Combined Heat and Power, Industrial Power"/>
    <x v="0"/>
    <n v="19563"/>
  </r>
  <r>
    <x v="2"/>
    <x v="39"/>
    <s v="Combined Heat and Power, Industrial Power"/>
    <x v="3"/>
    <n v="19563"/>
  </r>
  <r>
    <x v="2"/>
    <x v="39"/>
    <s v="Combined Heat and Power, Electric Power"/>
    <x v="0"/>
    <n v="291388"/>
  </r>
  <r>
    <x v="2"/>
    <x v="39"/>
    <s v="Combined Heat and Power, Electric Power"/>
    <x v="3"/>
    <n v="291388"/>
  </r>
  <r>
    <x v="2"/>
    <x v="39"/>
    <s v="Combined Heat and Power, Commercial Power"/>
    <x v="0"/>
    <n v="50008"/>
  </r>
  <r>
    <x v="2"/>
    <x v="39"/>
    <s v="Combined Heat and Power, Commercial Power"/>
    <x v="3"/>
    <n v="25949"/>
  </r>
  <r>
    <x v="2"/>
    <x v="39"/>
    <s v="Combined Heat and Power, Commercial Power"/>
    <x v="4"/>
    <n v="24059"/>
  </r>
  <r>
    <x v="2"/>
    <x v="40"/>
    <s v="Total Electric Power Industry"/>
    <x v="0"/>
    <n v="74170509"/>
  </r>
  <r>
    <x v="2"/>
    <x v="40"/>
    <s v="Total Electric Power Industry"/>
    <x v="1"/>
    <n v="23677865"/>
  </r>
  <r>
    <x v="2"/>
    <x v="40"/>
    <s v="Total Electric Power Industry"/>
    <x v="2"/>
    <n v="3310446"/>
  </r>
  <r>
    <x v="2"/>
    <x v="40"/>
    <s v="Total Electric Power Industry"/>
    <x v="3"/>
    <n v="271179"/>
  </r>
  <r>
    <x v="2"/>
    <x v="40"/>
    <s v="Total Electric Power Industry"/>
    <x v="7"/>
    <n v="45536530"/>
  </r>
  <r>
    <x v="2"/>
    <x v="40"/>
    <s v="Total Electric Power Industry"/>
    <x v="12"/>
    <n v="6027"/>
  </r>
  <r>
    <x v="2"/>
    <x v="40"/>
    <s v="Total Electric Power Industry"/>
    <x v="8"/>
    <n v="63812"/>
  </r>
  <r>
    <x v="2"/>
    <x v="40"/>
    <s v="Total Electric Power Industry"/>
    <x v="9"/>
    <n v="17359"/>
  </r>
  <r>
    <x v="2"/>
    <x v="40"/>
    <s v="Total Electric Power Industry"/>
    <x v="4"/>
    <n v="158187"/>
  </r>
  <r>
    <x v="2"/>
    <x v="40"/>
    <s v="Total Electric Power Industry"/>
    <x v="10"/>
    <n v="-535497"/>
  </r>
  <r>
    <x v="2"/>
    <x v="40"/>
    <s v="Total Electric Power Industry"/>
    <x v="6"/>
    <n v="1664601"/>
  </r>
  <r>
    <x v="2"/>
    <x v="40"/>
    <s v="Electric Generators, Independent Power Producers"/>
    <x v="0"/>
    <n v="62597"/>
  </r>
  <r>
    <x v="2"/>
    <x v="40"/>
    <s v="Electric Generators, Independent Power Producers"/>
    <x v="2"/>
    <n v="62597"/>
  </r>
  <r>
    <x v="2"/>
    <x v="40"/>
    <s v="Electric Generators, Electric Utilities"/>
    <x v="0"/>
    <n v="71478648"/>
  </r>
  <r>
    <x v="2"/>
    <x v="40"/>
    <s v="Electric Generators, Electric Utilities"/>
    <x v="1"/>
    <n v="23013743"/>
  </r>
  <r>
    <x v="2"/>
    <x v="40"/>
    <s v="Electric Generators, Electric Utilities"/>
    <x v="2"/>
    <n v="3245473"/>
  </r>
  <r>
    <x v="2"/>
    <x v="40"/>
    <s v="Electric Generators, Electric Utilities"/>
    <x v="3"/>
    <n v="150024"/>
  </r>
  <r>
    <x v="2"/>
    <x v="40"/>
    <s v="Electric Generators, Electric Utilities"/>
    <x v="7"/>
    <n v="45536530"/>
  </r>
  <r>
    <x v="2"/>
    <x v="40"/>
    <s v="Electric Generators, Electric Utilities"/>
    <x v="4"/>
    <n v="68375"/>
  </r>
  <r>
    <x v="2"/>
    <x v="40"/>
    <s v="Electric Generators, Electric Utilities"/>
    <x v="10"/>
    <n v="-535497"/>
  </r>
  <r>
    <x v="2"/>
    <x v="40"/>
    <s v="Combined Heat and Power, Industrial Power"/>
    <x v="0"/>
    <n v="2547675"/>
  </r>
  <r>
    <x v="2"/>
    <x v="40"/>
    <s v="Combined Heat and Power, Industrial Power"/>
    <x v="1"/>
    <n v="664122"/>
  </r>
  <r>
    <x v="2"/>
    <x v="40"/>
    <s v="Combined Heat and Power, Industrial Power"/>
    <x v="3"/>
    <n v="100600"/>
  </r>
  <r>
    <x v="2"/>
    <x v="40"/>
    <s v="Combined Heat and Power, Industrial Power"/>
    <x v="12"/>
    <n v="6027"/>
  </r>
  <r>
    <x v="2"/>
    <x v="40"/>
    <s v="Combined Heat and Power, Industrial Power"/>
    <x v="8"/>
    <n v="8219"/>
  </r>
  <r>
    <x v="2"/>
    <x v="40"/>
    <s v="Combined Heat and Power, Industrial Power"/>
    <x v="9"/>
    <n v="17359"/>
  </r>
  <r>
    <x v="2"/>
    <x v="40"/>
    <s v="Combined Heat and Power, Industrial Power"/>
    <x v="4"/>
    <n v="86747"/>
  </r>
  <r>
    <x v="2"/>
    <x v="40"/>
    <s v="Combined Heat and Power, Industrial Power"/>
    <x v="6"/>
    <n v="1664601"/>
  </r>
  <r>
    <x v="2"/>
    <x v="40"/>
    <s v="Combined Heat and Power, Commercial Power"/>
    <x v="0"/>
    <n v="81589"/>
  </r>
  <r>
    <x v="2"/>
    <x v="40"/>
    <s v="Combined Heat and Power, Commercial Power"/>
    <x v="2"/>
    <n v="2376"/>
  </r>
  <r>
    <x v="2"/>
    <x v="40"/>
    <s v="Combined Heat and Power, Commercial Power"/>
    <x v="3"/>
    <n v="20555"/>
  </r>
  <r>
    <x v="2"/>
    <x v="40"/>
    <s v="Combined Heat and Power, Commercial Power"/>
    <x v="8"/>
    <n v="55593"/>
  </r>
  <r>
    <x v="2"/>
    <x v="40"/>
    <s v="Combined Heat and Power, Commercial Power"/>
    <x v="4"/>
    <n v="3065"/>
  </r>
  <r>
    <x v="2"/>
    <x v="41"/>
    <s v="Total Electric Power Industry"/>
    <x v="0"/>
    <n v="6246414"/>
  </r>
  <r>
    <x v="2"/>
    <x v="41"/>
    <s v="Total Electric Power Industry"/>
    <x v="1"/>
    <n v="2626290"/>
  </r>
  <r>
    <x v="2"/>
    <x v="41"/>
    <s v="Total Electric Power Industry"/>
    <x v="2"/>
    <n v="3612010"/>
  </r>
  <r>
    <x v="2"/>
    <x v="41"/>
    <s v="Total Electric Power Industry"/>
    <x v="3"/>
    <n v="642"/>
  </r>
  <r>
    <x v="2"/>
    <x v="41"/>
    <s v="Total Electric Power Industry"/>
    <x v="4"/>
    <n v="7472"/>
  </r>
  <r>
    <x v="2"/>
    <x v="41"/>
    <s v="Electric Generators, Electric Utilities"/>
    <x v="0"/>
    <n v="6246414"/>
  </r>
  <r>
    <x v="2"/>
    <x v="41"/>
    <s v="Electric Generators, Electric Utilities"/>
    <x v="1"/>
    <n v="2626290"/>
  </r>
  <r>
    <x v="2"/>
    <x v="41"/>
    <s v="Electric Generators, Electric Utilities"/>
    <x v="2"/>
    <n v="3612010"/>
  </r>
  <r>
    <x v="2"/>
    <x v="41"/>
    <s v="Electric Generators, Electric Utilities"/>
    <x v="3"/>
    <n v="642"/>
  </r>
  <r>
    <x v="2"/>
    <x v="41"/>
    <s v="Electric Generators, Electric Utilities"/>
    <x v="4"/>
    <n v="7472"/>
  </r>
  <r>
    <x v="2"/>
    <x v="42"/>
    <s v="Total Electric Power Industry"/>
    <x v="0"/>
    <n v="77748112"/>
  </r>
  <r>
    <x v="2"/>
    <x v="42"/>
    <s v="Total Electric Power Industry"/>
    <x v="1"/>
    <n v="51527665"/>
  </r>
  <r>
    <x v="2"/>
    <x v="42"/>
    <s v="Total Electric Power Industry"/>
    <x v="2"/>
    <n v="10011047"/>
  </r>
  <r>
    <x v="2"/>
    <x v="42"/>
    <s v="Total Electric Power Industry"/>
    <x v="3"/>
    <n v="275511"/>
  </r>
  <r>
    <x v="2"/>
    <x v="42"/>
    <s v="Total Electric Power Industry"/>
    <x v="7"/>
    <n v="15653580"/>
  </r>
  <r>
    <x v="2"/>
    <x v="42"/>
    <s v="Total Electric Power Industry"/>
    <x v="12"/>
    <n v="79537"/>
  </r>
  <r>
    <x v="2"/>
    <x v="42"/>
    <s v="Total Electric Power Industry"/>
    <x v="8"/>
    <n v="54764"/>
  </r>
  <r>
    <x v="2"/>
    <x v="42"/>
    <s v="Total Electric Power Industry"/>
    <x v="9"/>
    <n v="3454"/>
  </r>
  <r>
    <x v="2"/>
    <x v="42"/>
    <s v="Total Electric Power Industry"/>
    <x v="4"/>
    <n v="129598"/>
  </r>
  <r>
    <x v="2"/>
    <x v="42"/>
    <s v="Total Electric Power Industry"/>
    <x v="10"/>
    <n v="-421383"/>
  </r>
  <r>
    <x v="2"/>
    <x v="42"/>
    <s v="Total Electric Power Industry"/>
    <x v="6"/>
    <n v="434339"/>
  </r>
  <r>
    <x v="2"/>
    <x v="42"/>
    <s v="Electric Generators, Independent Power Producers"/>
    <x v="0"/>
    <n v="15761"/>
  </r>
  <r>
    <x v="2"/>
    <x v="42"/>
    <s v="Electric Generators, Independent Power Producers"/>
    <x v="8"/>
    <n v="15761"/>
  </r>
  <r>
    <x v="2"/>
    <x v="42"/>
    <s v="Electric Generators, Electric Utilities"/>
    <x v="0"/>
    <n v="75396209"/>
  </r>
  <r>
    <x v="2"/>
    <x v="42"/>
    <s v="Electric Generators, Electric Utilities"/>
    <x v="1"/>
    <n v="49995747"/>
  </r>
  <r>
    <x v="2"/>
    <x v="42"/>
    <s v="Electric Generators, Electric Utilities"/>
    <x v="2"/>
    <n v="10011047"/>
  </r>
  <r>
    <x v="2"/>
    <x v="42"/>
    <s v="Electric Generators, Electric Utilities"/>
    <x v="3"/>
    <n v="29936"/>
  </r>
  <r>
    <x v="2"/>
    <x v="42"/>
    <s v="Electric Generators, Electric Utilities"/>
    <x v="7"/>
    <n v="15653580"/>
  </r>
  <r>
    <x v="2"/>
    <x v="42"/>
    <s v="Electric Generators, Electric Utilities"/>
    <x v="4"/>
    <n v="127282"/>
  </r>
  <r>
    <x v="2"/>
    <x v="42"/>
    <s v="Electric Generators, Electric Utilities"/>
    <x v="10"/>
    <n v="-421383"/>
  </r>
  <r>
    <x v="2"/>
    <x v="42"/>
    <s v="Combined Heat and Power, Industrial Power"/>
    <x v="0"/>
    <n v="2234707"/>
  </r>
  <r>
    <x v="2"/>
    <x v="42"/>
    <s v="Combined Heat and Power, Industrial Power"/>
    <x v="1"/>
    <n v="1480817"/>
  </r>
  <r>
    <x v="2"/>
    <x v="42"/>
    <s v="Combined Heat and Power, Industrial Power"/>
    <x v="3"/>
    <n v="234244"/>
  </r>
  <r>
    <x v="2"/>
    <x v="42"/>
    <s v="Combined Heat and Power, Industrial Power"/>
    <x v="12"/>
    <n v="79537"/>
  </r>
  <r>
    <x v="2"/>
    <x v="42"/>
    <s v="Combined Heat and Power, Industrial Power"/>
    <x v="9"/>
    <n v="3454"/>
  </r>
  <r>
    <x v="2"/>
    <x v="42"/>
    <s v="Combined Heat and Power, Industrial Power"/>
    <x v="4"/>
    <n v="2316"/>
  </r>
  <r>
    <x v="2"/>
    <x v="42"/>
    <s v="Combined Heat and Power, Industrial Power"/>
    <x v="6"/>
    <n v="434339"/>
  </r>
  <r>
    <x v="2"/>
    <x v="42"/>
    <s v="Combined Heat and Power, Commercial Power"/>
    <x v="0"/>
    <n v="101435"/>
  </r>
  <r>
    <x v="2"/>
    <x v="42"/>
    <s v="Combined Heat and Power, Commercial Power"/>
    <x v="1"/>
    <n v="51101"/>
  </r>
  <r>
    <x v="2"/>
    <x v="42"/>
    <s v="Combined Heat and Power, Commercial Power"/>
    <x v="3"/>
    <n v="11331"/>
  </r>
  <r>
    <x v="2"/>
    <x v="42"/>
    <s v="Combined Heat and Power, Commercial Power"/>
    <x v="8"/>
    <n v="39003"/>
  </r>
  <r>
    <x v="2"/>
    <x v="43"/>
    <s v="Total Electric Power Industry"/>
    <x v="0"/>
    <n v="290292313"/>
  </r>
  <r>
    <x v="2"/>
    <x v="43"/>
    <s v="Total Electric Power Industry"/>
    <x v="1"/>
    <n v="121395162"/>
  </r>
  <r>
    <x v="2"/>
    <x v="43"/>
    <s v="Total Electric Power Industry"/>
    <x v="2"/>
    <n v="2638164"/>
  </r>
  <r>
    <x v="2"/>
    <x v="43"/>
    <s v="Total Electric Power Industry"/>
    <x v="3"/>
    <n v="134639387"/>
  </r>
  <r>
    <x v="2"/>
    <x v="43"/>
    <s v="Total Electric Power Industry"/>
    <x v="7"/>
    <n v="24496392"/>
  </r>
  <r>
    <x v="2"/>
    <x v="43"/>
    <s v="Total Electric Power Industry"/>
    <x v="12"/>
    <n v="324978"/>
  </r>
  <r>
    <x v="2"/>
    <x v="43"/>
    <s v="Total Electric Power Industry"/>
    <x v="8"/>
    <n v="340652"/>
  </r>
  <r>
    <x v="2"/>
    <x v="43"/>
    <s v="Total Electric Power Industry"/>
    <x v="9"/>
    <n v="3527112"/>
  </r>
  <r>
    <x v="2"/>
    <x v="43"/>
    <s v="Total Electric Power Industry"/>
    <x v="4"/>
    <n v="1628161"/>
  </r>
  <r>
    <x v="2"/>
    <x v="43"/>
    <s v="Total Electric Power Industry"/>
    <x v="13"/>
    <n v="369"/>
  </r>
  <r>
    <x v="2"/>
    <x v="43"/>
    <s v="Total Electric Power Industry"/>
    <x v="6"/>
    <n v="1301936"/>
  </r>
  <r>
    <x v="2"/>
    <x v="43"/>
    <s v="Electric Generators, Independent Power Producers"/>
    <x v="0"/>
    <n v="23819"/>
  </r>
  <r>
    <x v="2"/>
    <x v="43"/>
    <s v="Electric Generators, Independent Power Producers"/>
    <x v="8"/>
    <n v="23819"/>
  </r>
  <r>
    <x v="2"/>
    <x v="43"/>
    <s v="Electric Generators, Electric Utilities"/>
    <x v="0"/>
    <n v="239964014"/>
  </r>
  <r>
    <x v="2"/>
    <x v="43"/>
    <s v="Electric Generators, Electric Utilities"/>
    <x v="1"/>
    <n v="118673068"/>
  </r>
  <r>
    <x v="2"/>
    <x v="43"/>
    <s v="Electric Generators, Electric Utilities"/>
    <x v="2"/>
    <n v="2638164"/>
  </r>
  <r>
    <x v="2"/>
    <x v="43"/>
    <s v="Electric Generators, Electric Utilities"/>
    <x v="3"/>
    <n v="93621327"/>
  </r>
  <r>
    <x v="2"/>
    <x v="43"/>
    <s v="Electric Generators, Electric Utilities"/>
    <x v="7"/>
    <n v="24496392"/>
  </r>
  <r>
    <x v="2"/>
    <x v="43"/>
    <s v="Electric Generators, Electric Utilities"/>
    <x v="8"/>
    <n v="281022"/>
  </r>
  <r>
    <x v="2"/>
    <x v="43"/>
    <s v="Electric Generators, Electric Utilities"/>
    <x v="4"/>
    <n v="253672"/>
  </r>
  <r>
    <x v="2"/>
    <x v="43"/>
    <s v="Electric Generators, Electric Utilities"/>
    <x v="13"/>
    <n v="369"/>
  </r>
  <r>
    <x v="2"/>
    <x v="43"/>
    <s v="Combined Heat and Power, Industrial Power"/>
    <x v="0"/>
    <n v="35391191"/>
  </r>
  <r>
    <x v="2"/>
    <x v="43"/>
    <s v="Combined Heat and Power, Industrial Power"/>
    <x v="1"/>
    <n v="2722094"/>
  </r>
  <r>
    <x v="2"/>
    <x v="43"/>
    <s v="Combined Heat and Power, Industrial Power"/>
    <x v="3"/>
    <n v="26461996"/>
  </r>
  <r>
    <x v="2"/>
    <x v="43"/>
    <s v="Combined Heat and Power, Industrial Power"/>
    <x v="12"/>
    <n v="109583"/>
  </r>
  <r>
    <x v="2"/>
    <x v="43"/>
    <s v="Combined Heat and Power, Industrial Power"/>
    <x v="8"/>
    <n v="32944"/>
  </r>
  <r>
    <x v="2"/>
    <x v="43"/>
    <s v="Combined Heat and Power, Industrial Power"/>
    <x v="9"/>
    <n v="3399061"/>
  </r>
  <r>
    <x v="2"/>
    <x v="43"/>
    <s v="Combined Heat and Power, Industrial Power"/>
    <x v="4"/>
    <n v="1363577"/>
  </r>
  <r>
    <x v="2"/>
    <x v="43"/>
    <s v="Combined Heat and Power, Industrial Power"/>
    <x v="6"/>
    <n v="1301936"/>
  </r>
  <r>
    <x v="2"/>
    <x v="43"/>
    <s v="Combined Heat and Power, Electric Power"/>
    <x v="0"/>
    <n v="14417113"/>
  </r>
  <r>
    <x v="2"/>
    <x v="43"/>
    <s v="Combined Heat and Power, Electric Power"/>
    <x v="3"/>
    <n v="14071233"/>
  </r>
  <r>
    <x v="2"/>
    <x v="43"/>
    <s v="Combined Heat and Power, Electric Power"/>
    <x v="12"/>
    <n v="215395"/>
  </r>
  <r>
    <x v="2"/>
    <x v="43"/>
    <s v="Combined Heat and Power, Electric Power"/>
    <x v="9"/>
    <n v="128051"/>
  </r>
  <r>
    <x v="2"/>
    <x v="43"/>
    <s v="Combined Heat and Power, Electric Power"/>
    <x v="4"/>
    <n v="2434"/>
  </r>
  <r>
    <x v="2"/>
    <x v="43"/>
    <s v="Combined Heat and Power, Commercial Power"/>
    <x v="0"/>
    <n v="496176"/>
  </r>
  <r>
    <x v="2"/>
    <x v="43"/>
    <s v="Combined Heat and Power, Commercial Power"/>
    <x v="3"/>
    <n v="484831"/>
  </r>
  <r>
    <x v="2"/>
    <x v="43"/>
    <s v="Combined Heat and Power, Commercial Power"/>
    <x v="8"/>
    <n v="2867"/>
  </r>
  <r>
    <x v="2"/>
    <x v="43"/>
    <s v="Combined Heat and Power, Commercial Power"/>
    <x v="4"/>
    <n v="8478"/>
  </r>
  <r>
    <x v="2"/>
    <x v="44"/>
    <s v="Total Electric Power Industry"/>
    <x v="0"/>
    <n v="3083882204"/>
  </r>
  <r>
    <x v="2"/>
    <x v="44"/>
    <s v="Total Electric Power Industry"/>
    <x v="1"/>
    <n v="1621206039"/>
  </r>
  <r>
    <x v="2"/>
    <x v="44"/>
    <s v="Total Electric Power Industry"/>
    <x v="11"/>
    <n v="16137962"/>
  </r>
  <r>
    <x v="2"/>
    <x v="44"/>
    <s v="Total Electric Power Industry"/>
    <x v="2"/>
    <n v="253088003"/>
  </r>
  <r>
    <x v="2"/>
    <x v="44"/>
    <s v="Total Electric Power Industry"/>
    <x v="3"/>
    <n v="404074372"/>
  </r>
  <r>
    <x v="2"/>
    <x v="44"/>
    <s v="Total Electric Power Industry"/>
    <x v="7"/>
    <n v="618776263"/>
  </r>
  <r>
    <x v="2"/>
    <x v="44"/>
    <s v="Total Electric Power Industry"/>
    <x v="12"/>
    <n v="3719887"/>
  </r>
  <r>
    <x v="2"/>
    <x v="44"/>
    <s v="Total Electric Power Industry"/>
    <x v="8"/>
    <n v="17816035"/>
  </r>
  <r>
    <x v="2"/>
    <x v="44"/>
    <s v="Total Electric Power Industry"/>
    <x v="9"/>
    <n v="13270237"/>
  </r>
  <r>
    <x v="2"/>
    <x v="44"/>
    <s v="Total Electric Power Industry"/>
    <x v="4"/>
    <n v="100154163"/>
  </r>
  <r>
    <x v="2"/>
    <x v="44"/>
    <s v="Total Electric Power Industry"/>
    <x v="10"/>
    <n v="-4176582"/>
  </r>
  <r>
    <x v="2"/>
    <x v="44"/>
    <s v="Total Electric Power Industry"/>
    <x v="13"/>
    <n v="399640"/>
  </r>
  <r>
    <x v="2"/>
    <x v="44"/>
    <s v="Total Electric Power Industry"/>
    <x v="5"/>
    <n v="2887523"/>
  </r>
  <r>
    <x v="2"/>
    <x v="44"/>
    <s v="Total Electric Power Industry"/>
    <x v="6"/>
    <n v="36528662"/>
  </r>
  <r>
    <x v="2"/>
    <x v="44"/>
    <s v="Electric Generators, Independent Power Producers"/>
    <x v="0"/>
    <n v="45835540"/>
  </r>
  <r>
    <x v="2"/>
    <x v="44"/>
    <s v="Electric Generators, Independent Power Producers"/>
    <x v="1"/>
    <n v="1165316"/>
  </r>
  <r>
    <x v="2"/>
    <x v="44"/>
    <s v="Electric Generators, Independent Power Producers"/>
    <x v="11"/>
    <n v="8034153"/>
  </r>
  <r>
    <x v="2"/>
    <x v="44"/>
    <s v="Electric Generators, Independent Power Producers"/>
    <x v="2"/>
    <n v="6279655"/>
  </r>
  <r>
    <x v="2"/>
    <x v="44"/>
    <s v="Electric Generators, Independent Power Producers"/>
    <x v="3"/>
    <n v="6999185"/>
  </r>
  <r>
    <x v="2"/>
    <x v="44"/>
    <s v="Electric Generators, Independent Power Producers"/>
    <x v="8"/>
    <n v="13160123"/>
  </r>
  <r>
    <x v="2"/>
    <x v="44"/>
    <s v="Electric Generators, Independent Power Producers"/>
    <x v="9"/>
    <n v="3138"/>
  </r>
  <r>
    <x v="2"/>
    <x v="44"/>
    <s v="Electric Generators, Independent Power Producers"/>
    <x v="4"/>
    <n v="1159790"/>
  </r>
  <r>
    <x v="2"/>
    <x v="44"/>
    <s v="Electric Generators, Independent Power Producers"/>
    <x v="13"/>
    <n v="396471"/>
  </r>
  <r>
    <x v="2"/>
    <x v="44"/>
    <s v="Electric Generators, Independent Power Producers"/>
    <x v="5"/>
    <n v="2887215"/>
  </r>
  <r>
    <x v="2"/>
    <x v="44"/>
    <s v="Electric Generators, Independent Power Producers"/>
    <x v="6"/>
    <n v="5750494"/>
  </r>
  <r>
    <x v="2"/>
    <x v="44"/>
    <s v="Electric Generators, Electric Utilities"/>
    <x v="0"/>
    <n v="2797219151"/>
  </r>
  <r>
    <x v="2"/>
    <x v="44"/>
    <s v="Electric Generators, Electric Utilities"/>
    <x v="1"/>
    <n v="1575895394"/>
  </r>
  <r>
    <x v="2"/>
    <x v="44"/>
    <s v="Electric Generators, Electric Utilities"/>
    <x v="11"/>
    <n v="8103809"/>
  </r>
  <r>
    <x v="2"/>
    <x v="44"/>
    <s v="Electric Generators, Electric Utilities"/>
    <x v="2"/>
    <n v="243736029"/>
  </r>
  <r>
    <x v="2"/>
    <x v="44"/>
    <s v="Electric Generators, Electric Utilities"/>
    <x v="3"/>
    <n v="263871508"/>
  </r>
  <r>
    <x v="2"/>
    <x v="44"/>
    <s v="Electric Generators, Electric Utilities"/>
    <x v="7"/>
    <n v="618776263"/>
  </r>
  <r>
    <x v="2"/>
    <x v="44"/>
    <s v="Electric Generators, Electric Utilities"/>
    <x v="8"/>
    <n v="1276458"/>
  </r>
  <r>
    <x v="2"/>
    <x v="44"/>
    <s v="Electric Generators, Electric Utilities"/>
    <x v="4"/>
    <n v="88916308"/>
  </r>
  <r>
    <x v="2"/>
    <x v="44"/>
    <s v="Electric Generators, Electric Utilities"/>
    <x v="10"/>
    <n v="-4176582"/>
  </r>
  <r>
    <x v="2"/>
    <x v="44"/>
    <s v="Electric Generators, Electric Utilities"/>
    <x v="13"/>
    <n v="3169"/>
  </r>
  <r>
    <x v="2"/>
    <x v="44"/>
    <s v="Electric Generators, Electric Utilities"/>
    <x v="5"/>
    <n v="308"/>
  </r>
  <r>
    <x v="2"/>
    <x v="44"/>
    <s v="Electric Generators, Electric Utilities"/>
    <x v="6"/>
    <n v="816487"/>
  </r>
  <r>
    <x v="2"/>
    <x v="44"/>
    <s v="Combined Heat and Power, Industrial Power"/>
    <x v="0"/>
    <n v="143280469"/>
  </r>
  <r>
    <x v="2"/>
    <x v="44"/>
    <s v="Combined Heat and Power, Industrial Power"/>
    <x v="1"/>
    <n v="22743402"/>
  </r>
  <r>
    <x v="2"/>
    <x v="44"/>
    <s v="Combined Heat and Power, Industrial Power"/>
    <x v="2"/>
    <n v="2949883"/>
  </r>
  <r>
    <x v="2"/>
    <x v="44"/>
    <s v="Combined Heat and Power, Industrial Power"/>
    <x v="3"/>
    <n v="65933032"/>
  </r>
  <r>
    <x v="2"/>
    <x v="44"/>
    <s v="Combined Heat and Power, Industrial Power"/>
    <x v="12"/>
    <n v="3239466"/>
  </r>
  <r>
    <x v="2"/>
    <x v="44"/>
    <s v="Combined Heat and Power, Industrial Power"/>
    <x v="8"/>
    <n v="931544"/>
  </r>
  <r>
    <x v="2"/>
    <x v="44"/>
    <s v="Combined Heat and Power, Industrial Power"/>
    <x v="9"/>
    <n v="11952702"/>
  </r>
  <r>
    <x v="2"/>
    <x v="44"/>
    <s v="Combined Heat and Power, Industrial Power"/>
    <x v="4"/>
    <n v="7614718"/>
  </r>
  <r>
    <x v="2"/>
    <x v="44"/>
    <s v="Combined Heat and Power, Industrial Power"/>
    <x v="6"/>
    <n v="27915722"/>
  </r>
  <r>
    <x v="2"/>
    <x v="44"/>
    <s v="Combined Heat and Power, Electric Power"/>
    <x v="0"/>
    <n v="91318913"/>
  </r>
  <r>
    <x v="2"/>
    <x v="44"/>
    <s v="Combined Heat and Power, Electric Power"/>
    <x v="1"/>
    <n v="20653109"/>
  </r>
  <r>
    <x v="2"/>
    <x v="44"/>
    <s v="Combined Heat and Power, Electric Power"/>
    <x v="3"/>
    <n v="63403429"/>
  </r>
  <r>
    <x v="2"/>
    <x v="44"/>
    <s v="Combined Heat and Power, Electric Power"/>
    <x v="12"/>
    <n v="479806"/>
  </r>
  <r>
    <x v="2"/>
    <x v="44"/>
    <s v="Combined Heat and Power, Electric Power"/>
    <x v="8"/>
    <n v="1487304"/>
  </r>
  <r>
    <x v="2"/>
    <x v="44"/>
    <s v="Combined Heat and Power, Electric Power"/>
    <x v="9"/>
    <n v="1209337"/>
  </r>
  <r>
    <x v="2"/>
    <x v="44"/>
    <s v="Combined Heat and Power, Electric Power"/>
    <x v="4"/>
    <n v="2161814"/>
  </r>
  <r>
    <x v="2"/>
    <x v="44"/>
    <s v="Combined Heat and Power, Electric Power"/>
    <x v="6"/>
    <n v="1924114"/>
  </r>
  <r>
    <x v="2"/>
    <x v="44"/>
    <s v="Combined Heat and Power, Commercial Power"/>
    <x v="0"/>
    <n v="6228131"/>
  </r>
  <r>
    <x v="2"/>
    <x v="44"/>
    <s v="Combined Heat and Power, Commercial Power"/>
    <x v="1"/>
    <n v="748818"/>
  </r>
  <r>
    <x v="2"/>
    <x v="44"/>
    <s v="Combined Heat and Power, Commercial Power"/>
    <x v="2"/>
    <n v="122436"/>
  </r>
  <r>
    <x v="2"/>
    <x v="44"/>
    <s v="Combined Heat and Power, Commercial Power"/>
    <x v="3"/>
    <n v="3867218"/>
  </r>
  <r>
    <x v="2"/>
    <x v="44"/>
    <s v="Combined Heat and Power, Commercial Power"/>
    <x v="12"/>
    <n v="615"/>
  </r>
  <r>
    <x v="2"/>
    <x v="44"/>
    <s v="Combined Heat and Power, Commercial Power"/>
    <x v="8"/>
    <n v="960606"/>
  </r>
  <r>
    <x v="2"/>
    <x v="44"/>
    <s v="Combined Heat and Power, Commercial Power"/>
    <x v="9"/>
    <n v="105060"/>
  </r>
  <r>
    <x v="2"/>
    <x v="44"/>
    <s v="Combined Heat and Power, Commercial Power"/>
    <x v="4"/>
    <n v="301533"/>
  </r>
  <r>
    <x v="2"/>
    <x v="44"/>
    <s v="Combined Heat and Power, Commercial Power"/>
    <x v="6"/>
    <n v="121845"/>
  </r>
  <r>
    <x v="2"/>
    <x v="45"/>
    <s v="Total Electric Power Industry"/>
    <x v="0"/>
    <n v="33237139"/>
  </r>
  <r>
    <x v="2"/>
    <x v="45"/>
    <s v="Total Electric Power Industry"/>
    <x v="1"/>
    <n v="31552990"/>
  </r>
  <r>
    <x v="2"/>
    <x v="45"/>
    <s v="Total Electric Power Industry"/>
    <x v="11"/>
    <n v="186369"/>
  </r>
  <r>
    <x v="2"/>
    <x v="45"/>
    <s v="Total Electric Power Industry"/>
    <x v="2"/>
    <n v="602384"/>
  </r>
  <r>
    <x v="2"/>
    <x v="45"/>
    <s v="Total Electric Power Industry"/>
    <x v="3"/>
    <n v="631435"/>
  </r>
  <r>
    <x v="2"/>
    <x v="45"/>
    <s v="Total Electric Power Industry"/>
    <x v="9"/>
    <n v="230326"/>
  </r>
  <r>
    <x v="2"/>
    <x v="45"/>
    <s v="Total Electric Power Industry"/>
    <x v="4"/>
    <n v="33635"/>
  </r>
  <r>
    <x v="2"/>
    <x v="45"/>
    <s v="Total Electric Power Industry"/>
    <x v="10"/>
    <n v="0"/>
  </r>
  <r>
    <x v="2"/>
    <x v="45"/>
    <s v="Electric Generators, Independent Power Producers"/>
    <x v="0"/>
    <n v="22701"/>
  </r>
  <r>
    <x v="2"/>
    <x v="45"/>
    <s v="Electric Generators, Independent Power Producers"/>
    <x v="2"/>
    <n v="22701"/>
  </r>
  <r>
    <x v="2"/>
    <x v="45"/>
    <s v="Electric Generators, Electric Utilities"/>
    <x v="0"/>
    <n v="32920738"/>
  </r>
  <r>
    <x v="2"/>
    <x v="45"/>
    <s v="Electric Generators, Electric Utilities"/>
    <x v="1"/>
    <n v="31543011"/>
  </r>
  <r>
    <x v="2"/>
    <x v="45"/>
    <s v="Electric Generators, Electric Utilities"/>
    <x v="11"/>
    <n v="186369"/>
  </r>
  <r>
    <x v="2"/>
    <x v="45"/>
    <s v="Electric Generators, Electric Utilities"/>
    <x v="2"/>
    <n v="579683"/>
  </r>
  <r>
    <x v="2"/>
    <x v="45"/>
    <s v="Electric Generators, Electric Utilities"/>
    <x v="3"/>
    <n v="578118"/>
  </r>
  <r>
    <x v="2"/>
    <x v="45"/>
    <s v="Electric Generators, Electric Utilities"/>
    <x v="4"/>
    <n v="33557"/>
  </r>
  <r>
    <x v="2"/>
    <x v="45"/>
    <s v="Electric Generators, Electric Utilities"/>
    <x v="10"/>
    <n v="0"/>
  </r>
  <r>
    <x v="2"/>
    <x v="45"/>
    <s v="Combined Heat and Power, Industrial Power"/>
    <x v="0"/>
    <n v="263372"/>
  </r>
  <r>
    <x v="2"/>
    <x v="45"/>
    <s v="Combined Heat and Power, Industrial Power"/>
    <x v="1"/>
    <n v="9979"/>
  </r>
  <r>
    <x v="2"/>
    <x v="45"/>
    <s v="Combined Heat and Power, Industrial Power"/>
    <x v="3"/>
    <n v="23067"/>
  </r>
  <r>
    <x v="2"/>
    <x v="45"/>
    <s v="Combined Heat and Power, Industrial Power"/>
    <x v="9"/>
    <n v="230326"/>
  </r>
  <r>
    <x v="2"/>
    <x v="45"/>
    <s v="Combined Heat and Power, Industrial Power"/>
    <x v="4"/>
    <n v="0"/>
  </r>
  <r>
    <x v="2"/>
    <x v="45"/>
    <s v="Combined Heat and Power, Commercial Power"/>
    <x v="0"/>
    <n v="30328"/>
  </r>
  <r>
    <x v="2"/>
    <x v="45"/>
    <s v="Combined Heat and Power, Commercial Power"/>
    <x v="3"/>
    <n v="30250"/>
  </r>
  <r>
    <x v="2"/>
    <x v="45"/>
    <s v="Combined Heat and Power, Commercial Power"/>
    <x v="4"/>
    <n v="78"/>
  </r>
  <r>
    <x v="2"/>
    <x v="46"/>
    <s v="Total Electric Power Industry"/>
    <x v="0"/>
    <n v="56352354"/>
  </r>
  <r>
    <x v="2"/>
    <x v="46"/>
    <s v="Total Electric Power Industry"/>
    <x v="1"/>
    <n v="26225034"/>
  </r>
  <r>
    <x v="2"/>
    <x v="46"/>
    <s v="Total Electric Power Industry"/>
    <x v="2"/>
    <n v="1089975"/>
  </r>
  <r>
    <x v="2"/>
    <x v="46"/>
    <s v="Total Electric Power Industry"/>
    <x v="3"/>
    <n v="2475690"/>
  </r>
  <r>
    <x v="2"/>
    <x v="46"/>
    <s v="Total Electric Power Industry"/>
    <x v="7"/>
    <n v="23334340"/>
  </r>
  <r>
    <x v="2"/>
    <x v="46"/>
    <s v="Total Electric Power Industry"/>
    <x v="12"/>
    <n v="484"/>
  </r>
  <r>
    <x v="2"/>
    <x v="46"/>
    <s v="Total Electric Power Industry"/>
    <x v="8"/>
    <n v="759914"/>
  </r>
  <r>
    <x v="2"/>
    <x v="46"/>
    <s v="Total Electric Power Industry"/>
    <x v="4"/>
    <n v="1852865"/>
  </r>
  <r>
    <x v="2"/>
    <x v="46"/>
    <s v="Total Electric Power Industry"/>
    <x v="10"/>
    <n v="-664933"/>
  </r>
  <r>
    <x v="2"/>
    <x v="46"/>
    <s v="Total Electric Power Industry"/>
    <x v="13"/>
    <n v="11"/>
  </r>
  <r>
    <x v="2"/>
    <x v="46"/>
    <s v="Total Electric Power Industry"/>
    <x v="6"/>
    <n v="1278974"/>
  </r>
  <r>
    <x v="2"/>
    <x v="46"/>
    <s v="Electric Generators, Independent Power Producers"/>
    <x v="0"/>
    <n v="1670272"/>
  </r>
  <r>
    <x v="2"/>
    <x v="46"/>
    <s v="Electric Generators, Independent Power Producers"/>
    <x v="2"/>
    <n v="53515"/>
  </r>
  <r>
    <x v="2"/>
    <x v="46"/>
    <s v="Electric Generators, Independent Power Producers"/>
    <x v="3"/>
    <n v="910386"/>
  </r>
  <r>
    <x v="2"/>
    <x v="46"/>
    <s v="Electric Generators, Independent Power Producers"/>
    <x v="8"/>
    <n v="575322"/>
  </r>
  <r>
    <x v="2"/>
    <x v="46"/>
    <s v="Electric Generators, Independent Power Producers"/>
    <x v="4"/>
    <n v="131049"/>
  </r>
  <r>
    <x v="2"/>
    <x v="46"/>
    <s v="Electric Generators, Electric Utilities"/>
    <x v="0"/>
    <n v="48963593"/>
  </r>
  <r>
    <x v="2"/>
    <x v="46"/>
    <s v="Electric Generators, Electric Utilities"/>
    <x v="1"/>
    <n v="22676018"/>
  </r>
  <r>
    <x v="2"/>
    <x v="46"/>
    <s v="Electric Generators, Electric Utilities"/>
    <x v="2"/>
    <n v="1017844"/>
  </r>
  <r>
    <x v="2"/>
    <x v="46"/>
    <s v="Electric Generators, Electric Utilities"/>
    <x v="3"/>
    <n v="1177489"/>
  </r>
  <r>
    <x v="2"/>
    <x v="46"/>
    <s v="Electric Generators, Electric Utilities"/>
    <x v="7"/>
    <n v="23334340"/>
  </r>
  <r>
    <x v="2"/>
    <x v="46"/>
    <s v="Electric Generators, Electric Utilities"/>
    <x v="4"/>
    <n v="1422824"/>
  </r>
  <r>
    <x v="2"/>
    <x v="46"/>
    <s v="Electric Generators, Electric Utilities"/>
    <x v="10"/>
    <n v="-664933"/>
  </r>
  <r>
    <x v="2"/>
    <x v="46"/>
    <s v="Electric Generators, Electric Utilities"/>
    <x v="13"/>
    <n v="11"/>
  </r>
  <r>
    <x v="2"/>
    <x v="46"/>
    <s v="Combined Heat and Power, Industrial Power"/>
    <x v="0"/>
    <n v="2650239"/>
  </r>
  <r>
    <x v="2"/>
    <x v="46"/>
    <s v="Combined Heat and Power, Industrial Power"/>
    <x v="1"/>
    <n v="1065842"/>
  </r>
  <r>
    <x v="2"/>
    <x v="46"/>
    <s v="Combined Heat and Power, Industrial Power"/>
    <x v="2"/>
    <n v="18616"/>
  </r>
  <r>
    <x v="2"/>
    <x v="46"/>
    <s v="Combined Heat and Power, Industrial Power"/>
    <x v="3"/>
    <n v="38049"/>
  </r>
  <r>
    <x v="2"/>
    <x v="46"/>
    <s v="Combined Heat and Power, Industrial Power"/>
    <x v="8"/>
    <n v="2083"/>
  </r>
  <r>
    <x v="2"/>
    <x v="46"/>
    <s v="Combined Heat and Power, Industrial Power"/>
    <x v="4"/>
    <n v="251224"/>
  </r>
  <r>
    <x v="2"/>
    <x v="46"/>
    <s v="Combined Heat and Power, Industrial Power"/>
    <x v="6"/>
    <n v="1274425"/>
  </r>
  <r>
    <x v="2"/>
    <x v="46"/>
    <s v="Combined Heat and Power, Electric Power"/>
    <x v="0"/>
    <n v="2885741"/>
  </r>
  <r>
    <x v="2"/>
    <x v="46"/>
    <s v="Combined Heat and Power, Electric Power"/>
    <x v="1"/>
    <n v="2483174"/>
  </r>
  <r>
    <x v="2"/>
    <x v="46"/>
    <s v="Combined Heat and Power, Electric Power"/>
    <x v="3"/>
    <n v="349766"/>
  </r>
  <r>
    <x v="2"/>
    <x v="46"/>
    <s v="Combined Heat and Power, Electric Power"/>
    <x v="12"/>
    <n v="484"/>
  </r>
  <r>
    <x v="2"/>
    <x v="46"/>
    <s v="Combined Heat and Power, Electric Power"/>
    <x v="4"/>
    <n v="47768"/>
  </r>
  <r>
    <x v="2"/>
    <x v="46"/>
    <s v="Combined Heat and Power, Electric Power"/>
    <x v="6"/>
    <n v="4549"/>
  </r>
  <r>
    <x v="2"/>
    <x v="46"/>
    <s v="Combined Heat and Power, Commercial Power"/>
    <x v="0"/>
    <n v="182509"/>
  </r>
  <r>
    <x v="2"/>
    <x v="46"/>
    <s v="Combined Heat and Power, Commercial Power"/>
    <x v="8"/>
    <n v="182509"/>
  </r>
  <r>
    <x v="2"/>
    <x v="47"/>
    <s v="Total Electric Power Industry"/>
    <x v="0"/>
    <n v="4870142"/>
  </r>
  <r>
    <x v="2"/>
    <x v="47"/>
    <s v="Total Electric Power Industry"/>
    <x v="2"/>
    <n v="921498"/>
  </r>
  <r>
    <x v="2"/>
    <x v="47"/>
    <s v="Total Electric Power Industry"/>
    <x v="3"/>
    <n v="63120"/>
  </r>
  <r>
    <x v="2"/>
    <x v="47"/>
    <s v="Total Electric Power Industry"/>
    <x v="7"/>
    <n v="3734594"/>
  </r>
  <r>
    <x v="2"/>
    <x v="47"/>
    <s v="Total Electric Power Industry"/>
    <x v="4"/>
    <n v="2688"/>
  </r>
  <r>
    <x v="2"/>
    <x v="47"/>
    <s v="Total Electric Power Industry"/>
    <x v="5"/>
    <n v="0"/>
  </r>
  <r>
    <x v="2"/>
    <x v="47"/>
    <s v="Total Electric Power Industry"/>
    <x v="6"/>
    <n v="148242"/>
  </r>
  <r>
    <x v="2"/>
    <x v="47"/>
    <s v="Electric Generators, Independent Power Producers"/>
    <x v="0"/>
    <n v="131840"/>
  </r>
  <r>
    <x v="2"/>
    <x v="47"/>
    <s v="Electric Generators, Independent Power Producers"/>
    <x v="2"/>
    <n v="98091"/>
  </r>
  <r>
    <x v="2"/>
    <x v="47"/>
    <s v="Electric Generators, Independent Power Producers"/>
    <x v="6"/>
    <n v="33749"/>
  </r>
  <r>
    <x v="2"/>
    <x v="47"/>
    <s v="Electric Generators, Electric Utilities"/>
    <x v="0"/>
    <n v="4698045"/>
  </r>
  <r>
    <x v="2"/>
    <x v="47"/>
    <s v="Electric Generators, Electric Utilities"/>
    <x v="2"/>
    <n v="805858"/>
  </r>
  <r>
    <x v="2"/>
    <x v="47"/>
    <s v="Electric Generators, Electric Utilities"/>
    <x v="3"/>
    <n v="63120"/>
  </r>
  <r>
    <x v="2"/>
    <x v="47"/>
    <s v="Electric Generators, Electric Utilities"/>
    <x v="7"/>
    <n v="3734594"/>
  </r>
  <r>
    <x v="2"/>
    <x v="47"/>
    <s v="Electric Generators, Electric Utilities"/>
    <x v="4"/>
    <n v="2581"/>
  </r>
  <r>
    <x v="2"/>
    <x v="47"/>
    <s v="Electric Generators, Electric Utilities"/>
    <x v="5"/>
    <n v="0"/>
  </r>
  <r>
    <x v="2"/>
    <x v="47"/>
    <s v="Electric Generators, Electric Utilities"/>
    <x v="6"/>
    <n v="91892"/>
  </r>
  <r>
    <x v="2"/>
    <x v="47"/>
    <s v="Combined Heat and Power, Industrial Power"/>
    <x v="0"/>
    <n v="40257"/>
  </r>
  <r>
    <x v="2"/>
    <x v="47"/>
    <s v="Combined Heat and Power, Industrial Power"/>
    <x v="2"/>
    <n v="17549"/>
  </r>
  <r>
    <x v="2"/>
    <x v="47"/>
    <s v="Combined Heat and Power, Industrial Power"/>
    <x v="4"/>
    <n v="107"/>
  </r>
  <r>
    <x v="2"/>
    <x v="47"/>
    <s v="Combined Heat and Power, Industrial Power"/>
    <x v="6"/>
    <n v="22601"/>
  </r>
  <r>
    <x v="2"/>
    <x v="48"/>
    <s v="Total Electric Power Industry"/>
    <x v="0"/>
    <n v="86482429"/>
  </r>
  <r>
    <x v="2"/>
    <x v="48"/>
    <s v="Total Electric Power Industry"/>
    <x v="1"/>
    <n v="9658148"/>
  </r>
  <r>
    <x v="2"/>
    <x v="48"/>
    <s v="Total Electric Power Industry"/>
    <x v="2"/>
    <n v="68324659"/>
  </r>
  <r>
    <x v="2"/>
    <x v="48"/>
    <s v="Total Electric Power Industry"/>
    <x v="3"/>
    <n v="1273763"/>
  </r>
  <r>
    <x v="2"/>
    <x v="48"/>
    <s v="Total Electric Power Industry"/>
    <x v="7"/>
    <n v="5692379"/>
  </r>
  <r>
    <x v="2"/>
    <x v="48"/>
    <s v="Total Electric Power Industry"/>
    <x v="12"/>
    <n v="1"/>
  </r>
  <r>
    <x v="2"/>
    <x v="48"/>
    <s v="Total Electric Power Industry"/>
    <x v="8"/>
    <n v="172810"/>
  </r>
  <r>
    <x v="2"/>
    <x v="48"/>
    <s v="Total Electric Power Industry"/>
    <x v="9"/>
    <n v="234023"/>
  </r>
  <r>
    <x v="2"/>
    <x v="48"/>
    <s v="Total Electric Power Industry"/>
    <x v="4"/>
    <n v="25745"/>
  </r>
  <r>
    <x v="2"/>
    <x v="48"/>
    <s v="Total Electric Power Industry"/>
    <x v="10"/>
    <n v="0"/>
  </r>
  <r>
    <x v="2"/>
    <x v="48"/>
    <s v="Total Electric Power Industry"/>
    <x v="6"/>
    <n v="1100901"/>
  </r>
  <r>
    <x v="2"/>
    <x v="48"/>
    <s v="Electric Generators, Independent Power Producers"/>
    <x v="0"/>
    <n v="311951"/>
  </r>
  <r>
    <x v="2"/>
    <x v="48"/>
    <s v="Electric Generators, Independent Power Producers"/>
    <x v="2"/>
    <n v="139141"/>
  </r>
  <r>
    <x v="2"/>
    <x v="48"/>
    <s v="Electric Generators, Independent Power Producers"/>
    <x v="8"/>
    <n v="172810"/>
  </r>
  <r>
    <x v="2"/>
    <x v="48"/>
    <s v="Electric Generators, Electric Utilities"/>
    <x v="0"/>
    <n v="84114917"/>
  </r>
  <r>
    <x v="2"/>
    <x v="48"/>
    <s v="Electric Generators, Electric Utilities"/>
    <x v="1"/>
    <n v="9625252"/>
  </r>
  <r>
    <x v="2"/>
    <x v="48"/>
    <s v="Electric Generators, Electric Utilities"/>
    <x v="2"/>
    <n v="67967061"/>
  </r>
  <r>
    <x v="2"/>
    <x v="48"/>
    <s v="Electric Generators, Electric Utilities"/>
    <x v="3"/>
    <n v="463951"/>
  </r>
  <r>
    <x v="2"/>
    <x v="48"/>
    <s v="Electric Generators, Electric Utilities"/>
    <x v="7"/>
    <n v="5692379"/>
  </r>
  <r>
    <x v="2"/>
    <x v="48"/>
    <s v="Electric Generators, Electric Utilities"/>
    <x v="4"/>
    <n v="5624"/>
  </r>
  <r>
    <x v="2"/>
    <x v="48"/>
    <s v="Electric Generators, Electric Utilities"/>
    <x v="10"/>
    <n v="0"/>
  </r>
  <r>
    <x v="2"/>
    <x v="48"/>
    <s v="Electric Generators, Electric Utilities"/>
    <x v="6"/>
    <n v="360650"/>
  </r>
  <r>
    <x v="2"/>
    <x v="48"/>
    <s v="Combined Heat and Power, Industrial Power"/>
    <x v="0"/>
    <n v="1270461"/>
  </r>
  <r>
    <x v="2"/>
    <x v="48"/>
    <s v="Combined Heat and Power, Industrial Power"/>
    <x v="1"/>
    <n v="19557"/>
  </r>
  <r>
    <x v="2"/>
    <x v="48"/>
    <s v="Combined Heat and Power, Industrial Power"/>
    <x v="2"/>
    <n v="155094"/>
  </r>
  <r>
    <x v="2"/>
    <x v="48"/>
    <s v="Combined Heat and Power, Industrial Power"/>
    <x v="3"/>
    <n v="336501"/>
  </r>
  <r>
    <x v="2"/>
    <x v="48"/>
    <s v="Combined Heat and Power, Industrial Power"/>
    <x v="12"/>
    <n v="1"/>
  </r>
  <r>
    <x v="2"/>
    <x v="48"/>
    <s v="Combined Heat and Power, Industrial Power"/>
    <x v="4"/>
    <n v="19057"/>
  </r>
  <r>
    <x v="2"/>
    <x v="48"/>
    <s v="Combined Heat and Power, Industrial Power"/>
    <x v="6"/>
    <n v="740251"/>
  </r>
  <r>
    <x v="2"/>
    <x v="48"/>
    <s v="Combined Heat and Power, Electric Power"/>
    <x v="0"/>
    <n v="706236"/>
  </r>
  <r>
    <x v="2"/>
    <x v="48"/>
    <s v="Combined Heat and Power, Electric Power"/>
    <x v="3"/>
    <n v="471149"/>
  </r>
  <r>
    <x v="2"/>
    <x v="48"/>
    <s v="Combined Heat and Power, Electric Power"/>
    <x v="9"/>
    <n v="234023"/>
  </r>
  <r>
    <x v="2"/>
    <x v="48"/>
    <s v="Combined Heat and Power, Electric Power"/>
    <x v="4"/>
    <n v="1064"/>
  </r>
  <r>
    <x v="2"/>
    <x v="48"/>
    <s v="Combined Heat and Power, Commercial Power"/>
    <x v="0"/>
    <n v="78864"/>
  </r>
  <r>
    <x v="2"/>
    <x v="48"/>
    <s v="Combined Heat and Power, Commercial Power"/>
    <x v="1"/>
    <n v="13339"/>
  </r>
  <r>
    <x v="2"/>
    <x v="48"/>
    <s v="Combined Heat and Power, Commercial Power"/>
    <x v="2"/>
    <n v="63363"/>
  </r>
  <r>
    <x v="2"/>
    <x v="48"/>
    <s v="Combined Heat and Power, Commercial Power"/>
    <x v="3"/>
    <n v="2162"/>
  </r>
  <r>
    <x v="2"/>
    <x v="49"/>
    <s v="Total Electric Power Industry"/>
    <x v="0"/>
    <n v="48893401"/>
  </r>
  <r>
    <x v="2"/>
    <x v="49"/>
    <s v="Total Electric Power Industry"/>
    <x v="1"/>
    <n v="33833943"/>
  </r>
  <r>
    <x v="2"/>
    <x v="49"/>
    <s v="Total Electric Power Industry"/>
    <x v="2"/>
    <n v="2401605"/>
  </r>
  <r>
    <x v="2"/>
    <x v="49"/>
    <s v="Total Electric Power Industry"/>
    <x v="3"/>
    <n v="379591"/>
  </r>
  <r>
    <x v="2"/>
    <x v="49"/>
    <s v="Total Electric Power Industry"/>
    <x v="7"/>
    <n v="11207185"/>
  </r>
  <r>
    <x v="2"/>
    <x v="49"/>
    <s v="Total Electric Power Industry"/>
    <x v="8"/>
    <n v="162325"/>
  </r>
  <r>
    <x v="2"/>
    <x v="49"/>
    <s v="Total Electric Power Industry"/>
    <x v="4"/>
    <n v="155249"/>
  </r>
  <r>
    <x v="2"/>
    <x v="49"/>
    <s v="Total Electric Power Industry"/>
    <x v="5"/>
    <n v="0"/>
  </r>
  <r>
    <x v="2"/>
    <x v="49"/>
    <s v="Total Electric Power Industry"/>
    <x v="6"/>
    <n v="753503"/>
  </r>
  <r>
    <x v="2"/>
    <x v="49"/>
    <s v="Electric Generators, Independent Power Producers"/>
    <x v="0"/>
    <n v="127008"/>
  </r>
  <r>
    <x v="2"/>
    <x v="49"/>
    <s v="Electric Generators, Independent Power Producers"/>
    <x v="2"/>
    <n v="10563"/>
  </r>
  <r>
    <x v="2"/>
    <x v="49"/>
    <s v="Electric Generators, Independent Power Producers"/>
    <x v="8"/>
    <n v="116445"/>
  </r>
  <r>
    <x v="2"/>
    <x v="49"/>
    <s v="Electric Generators, Electric Utilities"/>
    <x v="0"/>
    <n v="46463756"/>
  </r>
  <r>
    <x v="2"/>
    <x v="49"/>
    <s v="Electric Generators, Electric Utilities"/>
    <x v="1"/>
    <n v="32740540"/>
  </r>
  <r>
    <x v="2"/>
    <x v="49"/>
    <s v="Electric Generators, Electric Utilities"/>
    <x v="2"/>
    <n v="2123353"/>
  </r>
  <r>
    <x v="2"/>
    <x v="49"/>
    <s v="Electric Generators, Electric Utilities"/>
    <x v="3"/>
    <n v="188839"/>
  </r>
  <r>
    <x v="2"/>
    <x v="49"/>
    <s v="Electric Generators, Electric Utilities"/>
    <x v="7"/>
    <n v="11207185"/>
  </r>
  <r>
    <x v="2"/>
    <x v="49"/>
    <s v="Electric Generators, Electric Utilities"/>
    <x v="8"/>
    <n v="16383"/>
  </r>
  <r>
    <x v="2"/>
    <x v="49"/>
    <s v="Electric Generators, Electric Utilities"/>
    <x v="4"/>
    <n v="54332"/>
  </r>
  <r>
    <x v="2"/>
    <x v="49"/>
    <s v="Electric Generators, Electric Utilities"/>
    <x v="5"/>
    <n v="0"/>
  </r>
  <r>
    <x v="2"/>
    <x v="49"/>
    <s v="Electric Generators, Electric Utilities"/>
    <x v="6"/>
    <n v="133124"/>
  </r>
  <r>
    <x v="2"/>
    <x v="49"/>
    <s v="Combined Heat and Power, Industrial Power"/>
    <x v="0"/>
    <n v="2259699"/>
  </r>
  <r>
    <x v="2"/>
    <x v="49"/>
    <s v="Combined Heat and Power, Industrial Power"/>
    <x v="1"/>
    <n v="1075647"/>
  </r>
  <r>
    <x v="2"/>
    <x v="49"/>
    <s v="Combined Heat and Power, Industrial Power"/>
    <x v="2"/>
    <n v="256272"/>
  </r>
  <r>
    <x v="2"/>
    <x v="49"/>
    <s v="Combined Heat and Power, Industrial Power"/>
    <x v="3"/>
    <n v="183708"/>
  </r>
  <r>
    <x v="2"/>
    <x v="49"/>
    <s v="Combined Heat and Power, Industrial Power"/>
    <x v="8"/>
    <n v="23737"/>
  </r>
  <r>
    <x v="2"/>
    <x v="49"/>
    <s v="Combined Heat and Power, Industrial Power"/>
    <x v="4"/>
    <n v="100883"/>
  </r>
  <r>
    <x v="2"/>
    <x v="49"/>
    <s v="Combined Heat and Power, Industrial Power"/>
    <x v="6"/>
    <n v="619452"/>
  </r>
  <r>
    <x v="2"/>
    <x v="49"/>
    <s v="Combined Heat and Power, Electric Power"/>
    <x v="0"/>
    <n v="22651"/>
  </r>
  <r>
    <x v="2"/>
    <x v="49"/>
    <s v="Combined Heat and Power, Electric Power"/>
    <x v="1"/>
    <n v="15077"/>
  </r>
  <r>
    <x v="2"/>
    <x v="49"/>
    <s v="Combined Heat and Power, Electric Power"/>
    <x v="3"/>
    <n v="7014"/>
  </r>
  <r>
    <x v="2"/>
    <x v="49"/>
    <s v="Combined Heat and Power, Electric Power"/>
    <x v="4"/>
    <n v="34"/>
  </r>
  <r>
    <x v="2"/>
    <x v="49"/>
    <s v="Combined Heat and Power, Electric Power"/>
    <x v="6"/>
    <n v="526"/>
  </r>
  <r>
    <x v="2"/>
    <x v="49"/>
    <s v="Combined Heat and Power, Commercial Power"/>
    <x v="0"/>
    <n v="20287"/>
  </r>
  <r>
    <x v="2"/>
    <x v="49"/>
    <s v="Combined Heat and Power, Commercial Power"/>
    <x v="1"/>
    <n v="2679"/>
  </r>
  <r>
    <x v="2"/>
    <x v="49"/>
    <s v="Combined Heat and Power, Commercial Power"/>
    <x v="2"/>
    <n v="11417"/>
  </r>
  <r>
    <x v="2"/>
    <x v="49"/>
    <s v="Combined Heat and Power, Commercial Power"/>
    <x v="3"/>
    <n v="30"/>
  </r>
  <r>
    <x v="2"/>
    <x v="49"/>
    <s v="Combined Heat and Power, Commercial Power"/>
    <x v="8"/>
    <n v="5760"/>
  </r>
  <r>
    <x v="2"/>
    <x v="49"/>
    <s v="Combined Heat and Power, Commercial Power"/>
    <x v="6"/>
    <n v="401"/>
  </r>
  <r>
    <x v="2"/>
    <x v="50"/>
    <s v="Total Electric Power Industry"/>
    <x v="0"/>
    <n v="75159914"/>
  </r>
  <r>
    <x v="2"/>
    <x v="50"/>
    <s v="Total Electric Power Industry"/>
    <x v="1"/>
    <n v="73352552"/>
  </r>
  <r>
    <x v="2"/>
    <x v="50"/>
    <s v="Total Electric Power Industry"/>
    <x v="2"/>
    <n v="1271063"/>
  </r>
  <r>
    <x v="2"/>
    <x v="50"/>
    <s v="Total Electric Power Industry"/>
    <x v="3"/>
    <n v="120856"/>
  </r>
  <r>
    <x v="2"/>
    <x v="50"/>
    <s v="Total Electric Power Industry"/>
    <x v="12"/>
    <n v="50"/>
  </r>
  <r>
    <x v="2"/>
    <x v="50"/>
    <s v="Total Electric Power Industry"/>
    <x v="9"/>
    <n v="174182"/>
  </r>
  <r>
    <x v="2"/>
    <x v="50"/>
    <s v="Total Electric Power Industry"/>
    <x v="4"/>
    <n v="241211"/>
  </r>
  <r>
    <x v="2"/>
    <x v="50"/>
    <s v="Electric Generators, Independent Power Producers"/>
    <x v="0"/>
    <n v="567918"/>
  </r>
  <r>
    <x v="2"/>
    <x v="50"/>
    <s v="Electric Generators, Independent Power Producers"/>
    <x v="1"/>
    <n v="285008"/>
  </r>
  <r>
    <x v="2"/>
    <x v="50"/>
    <s v="Electric Generators, Independent Power Producers"/>
    <x v="2"/>
    <n v="270235"/>
  </r>
  <r>
    <x v="2"/>
    <x v="50"/>
    <s v="Electric Generators, Independent Power Producers"/>
    <x v="3"/>
    <n v="3967"/>
  </r>
  <r>
    <x v="2"/>
    <x v="50"/>
    <s v="Electric Generators, Independent Power Producers"/>
    <x v="4"/>
    <n v="8708"/>
  </r>
  <r>
    <x v="2"/>
    <x v="50"/>
    <s v="Electric Generators, Electric Utilities"/>
    <x v="0"/>
    <n v="72333924"/>
  </r>
  <r>
    <x v="2"/>
    <x v="50"/>
    <s v="Electric Generators, Electric Utilities"/>
    <x v="1"/>
    <n v="71708390"/>
  </r>
  <r>
    <x v="2"/>
    <x v="50"/>
    <s v="Electric Generators, Electric Utilities"/>
    <x v="2"/>
    <n v="422620"/>
  </r>
  <r>
    <x v="2"/>
    <x v="50"/>
    <s v="Electric Generators, Electric Utilities"/>
    <x v="3"/>
    <n v="20878"/>
  </r>
  <r>
    <x v="2"/>
    <x v="50"/>
    <s v="Electric Generators, Electric Utilities"/>
    <x v="4"/>
    <n v="182036"/>
  </r>
  <r>
    <x v="2"/>
    <x v="50"/>
    <s v="Combined Heat and Power, Industrial Power"/>
    <x v="0"/>
    <n v="1904106"/>
  </r>
  <r>
    <x v="2"/>
    <x v="50"/>
    <s v="Combined Heat and Power, Industrial Power"/>
    <x v="1"/>
    <n v="1028487"/>
  </r>
  <r>
    <x v="2"/>
    <x v="50"/>
    <s v="Combined Heat and Power, Industrial Power"/>
    <x v="2"/>
    <n v="578208"/>
  </r>
  <r>
    <x v="2"/>
    <x v="50"/>
    <s v="Combined Heat and Power, Industrial Power"/>
    <x v="3"/>
    <n v="72712"/>
  </r>
  <r>
    <x v="2"/>
    <x v="50"/>
    <s v="Combined Heat and Power, Industrial Power"/>
    <x v="12"/>
    <n v="50"/>
  </r>
  <r>
    <x v="2"/>
    <x v="50"/>
    <s v="Combined Heat and Power, Industrial Power"/>
    <x v="9"/>
    <n v="174182"/>
  </r>
  <r>
    <x v="2"/>
    <x v="50"/>
    <s v="Combined Heat and Power, Industrial Power"/>
    <x v="4"/>
    <n v="50467"/>
  </r>
  <r>
    <x v="2"/>
    <x v="50"/>
    <s v="Combined Heat and Power, Electric Power"/>
    <x v="0"/>
    <n v="353966"/>
  </r>
  <r>
    <x v="2"/>
    <x v="50"/>
    <s v="Combined Heat and Power, Electric Power"/>
    <x v="1"/>
    <n v="330667"/>
  </r>
  <r>
    <x v="2"/>
    <x v="50"/>
    <s v="Combined Heat and Power, Electric Power"/>
    <x v="3"/>
    <n v="23299"/>
  </r>
  <r>
    <x v="2"/>
    <x v="51"/>
    <s v="Total Electric Power Industry"/>
    <x v="0"/>
    <n v="42473894"/>
  </r>
  <r>
    <x v="2"/>
    <x v="51"/>
    <s v="Total Electric Power Industry"/>
    <x v="1"/>
    <n v="41380784"/>
  </r>
  <r>
    <x v="2"/>
    <x v="51"/>
    <s v="Total Electric Power Industry"/>
    <x v="2"/>
    <n v="635640"/>
  </r>
  <r>
    <x v="2"/>
    <x v="51"/>
    <s v="Total Electric Power Industry"/>
    <x v="3"/>
    <n v="341257"/>
  </r>
  <r>
    <x v="2"/>
    <x v="51"/>
    <s v="Total Electric Power Industry"/>
    <x v="12"/>
    <n v="45396"/>
  </r>
  <r>
    <x v="2"/>
    <x v="51"/>
    <s v="Total Electric Power Industry"/>
    <x v="9"/>
    <n v="8642"/>
  </r>
  <r>
    <x v="2"/>
    <x v="51"/>
    <s v="Total Electric Power Industry"/>
    <x v="4"/>
    <n v="58483"/>
  </r>
  <r>
    <x v="2"/>
    <x v="51"/>
    <s v="Total Electric Power Industry"/>
    <x v="6"/>
    <n v="3692"/>
  </r>
  <r>
    <x v="2"/>
    <x v="51"/>
    <s v="Electric Generators, Electric Utilities"/>
    <x v="0"/>
    <n v="41852352"/>
  </r>
  <r>
    <x v="2"/>
    <x v="51"/>
    <s v="Electric Generators, Electric Utilities"/>
    <x v="1"/>
    <n v="41153537"/>
  </r>
  <r>
    <x v="2"/>
    <x v="51"/>
    <s v="Electric Generators, Electric Utilities"/>
    <x v="2"/>
    <n v="635640"/>
  </r>
  <r>
    <x v="2"/>
    <x v="51"/>
    <s v="Electric Generators, Electric Utilities"/>
    <x v="3"/>
    <n v="8336"/>
  </r>
  <r>
    <x v="2"/>
    <x v="51"/>
    <s v="Electric Generators, Electric Utilities"/>
    <x v="4"/>
    <n v="54839"/>
  </r>
  <r>
    <x v="2"/>
    <x v="51"/>
    <s v="Combined Heat and Power, Industrial Power"/>
    <x v="0"/>
    <n v="621542"/>
  </r>
  <r>
    <x v="2"/>
    <x v="51"/>
    <s v="Combined Heat and Power, Industrial Power"/>
    <x v="1"/>
    <n v="227247"/>
  </r>
  <r>
    <x v="2"/>
    <x v="51"/>
    <s v="Combined Heat and Power, Industrial Power"/>
    <x v="3"/>
    <n v="332921"/>
  </r>
  <r>
    <x v="2"/>
    <x v="51"/>
    <s v="Combined Heat and Power, Industrial Power"/>
    <x v="12"/>
    <n v="45396"/>
  </r>
  <r>
    <x v="2"/>
    <x v="51"/>
    <s v="Combined Heat and Power, Industrial Power"/>
    <x v="9"/>
    <n v="8642"/>
  </r>
  <r>
    <x v="2"/>
    <x v="51"/>
    <s v="Combined Heat and Power, Industrial Power"/>
    <x v="4"/>
    <n v="3644"/>
  </r>
  <r>
    <x v="2"/>
    <x v="51"/>
    <s v="Combined Heat and Power, Industrial Power"/>
    <x v="6"/>
    <n v="3692"/>
  </r>
  <r>
    <x v="3"/>
    <x v="0"/>
    <s v="Total Electric Power Industry"/>
    <x v="0"/>
    <n v="5721277"/>
  </r>
  <r>
    <x v="3"/>
    <x v="0"/>
    <s v="Total Electric Power Industry"/>
    <x v="1"/>
    <n v="533123"/>
  </r>
  <r>
    <x v="3"/>
    <x v="0"/>
    <s v="Total Electric Power Industry"/>
    <x v="2"/>
    <n v="1302992"/>
  </r>
  <r>
    <x v="3"/>
    <x v="0"/>
    <s v="Total Electric Power Industry"/>
    <x v="3"/>
    <n v="3191814"/>
  </r>
  <r>
    <x v="3"/>
    <x v="0"/>
    <s v="Total Electric Power Industry"/>
    <x v="8"/>
    <n v="15422"/>
  </r>
  <r>
    <x v="3"/>
    <x v="0"/>
    <s v="Total Electric Power Industry"/>
    <x v="4"/>
    <n v="587422"/>
  </r>
  <r>
    <x v="3"/>
    <x v="0"/>
    <s v="Total Electric Power Industry"/>
    <x v="5"/>
    <n v="0"/>
  </r>
  <r>
    <x v="3"/>
    <x v="0"/>
    <s v="Total Electric Power Industry"/>
    <x v="6"/>
    <n v="90504"/>
  </r>
  <r>
    <x v="3"/>
    <x v="0"/>
    <s v="Electric Generators, Electric Utilities"/>
    <x v="0"/>
    <n v="4581047"/>
  </r>
  <r>
    <x v="3"/>
    <x v="0"/>
    <s v="Electric Generators, Electric Utilities"/>
    <x v="1"/>
    <n v="322564"/>
  </r>
  <r>
    <x v="3"/>
    <x v="0"/>
    <s v="Electric Generators, Electric Utilities"/>
    <x v="2"/>
    <n v="1302992"/>
  </r>
  <r>
    <x v="3"/>
    <x v="0"/>
    <s v="Electric Generators, Electric Utilities"/>
    <x v="3"/>
    <n v="2496949"/>
  </r>
  <r>
    <x v="3"/>
    <x v="0"/>
    <s v="Electric Generators, Electric Utilities"/>
    <x v="4"/>
    <n v="458542"/>
  </r>
  <r>
    <x v="3"/>
    <x v="0"/>
    <s v="Electric Generators, Electric Utilities"/>
    <x v="5"/>
    <n v="0"/>
  </r>
  <r>
    <x v="3"/>
    <x v="0"/>
    <s v="Combined Heat and Power, Industrial Power"/>
    <x v="0"/>
    <n v="928717"/>
  </r>
  <r>
    <x v="3"/>
    <x v="0"/>
    <s v="Combined Heat and Power, Industrial Power"/>
    <x v="3"/>
    <n v="694865"/>
  </r>
  <r>
    <x v="3"/>
    <x v="0"/>
    <s v="Combined Heat and Power, Industrial Power"/>
    <x v="8"/>
    <n v="15422"/>
  </r>
  <r>
    <x v="3"/>
    <x v="0"/>
    <s v="Combined Heat and Power, Industrial Power"/>
    <x v="4"/>
    <n v="127926"/>
  </r>
  <r>
    <x v="3"/>
    <x v="0"/>
    <s v="Combined Heat and Power, Industrial Power"/>
    <x v="6"/>
    <n v="90504"/>
  </r>
  <r>
    <x v="3"/>
    <x v="0"/>
    <s v="Combined Heat and Power, Commercial Power"/>
    <x v="0"/>
    <n v="211513"/>
  </r>
  <r>
    <x v="3"/>
    <x v="0"/>
    <s v="Combined Heat and Power, Commercial Power"/>
    <x v="1"/>
    <n v="210559"/>
  </r>
  <r>
    <x v="3"/>
    <x v="0"/>
    <s v="Combined Heat and Power, Commercial Power"/>
    <x v="4"/>
    <n v="954"/>
  </r>
  <r>
    <x v="3"/>
    <x v="1"/>
    <s v="Total Electric Power Industry"/>
    <x v="0"/>
    <n v="99336996"/>
  </r>
  <r>
    <x v="3"/>
    <x v="1"/>
    <s v="Total Electric Power Industry"/>
    <x v="1"/>
    <n v="67336321"/>
  </r>
  <r>
    <x v="3"/>
    <x v="1"/>
    <s v="Total Electric Power Industry"/>
    <x v="2"/>
    <n v="9034210"/>
  </r>
  <r>
    <x v="3"/>
    <x v="1"/>
    <s v="Total Electric Power Industry"/>
    <x v="3"/>
    <n v="1260978"/>
  </r>
  <r>
    <x v="3"/>
    <x v="1"/>
    <s v="Total Electric Power Industry"/>
    <x v="7"/>
    <n v="17823325"/>
  </r>
  <r>
    <x v="3"/>
    <x v="1"/>
    <s v="Total Electric Power Industry"/>
    <x v="8"/>
    <n v="2383"/>
  </r>
  <r>
    <x v="3"/>
    <x v="1"/>
    <s v="Total Electric Power Industry"/>
    <x v="9"/>
    <n v="338105"/>
  </r>
  <r>
    <x v="3"/>
    <x v="1"/>
    <s v="Total Electric Power Industry"/>
    <x v="4"/>
    <n v="192944"/>
  </r>
  <r>
    <x v="3"/>
    <x v="1"/>
    <s v="Total Electric Power Industry"/>
    <x v="6"/>
    <n v="3348730"/>
  </r>
  <r>
    <x v="3"/>
    <x v="1"/>
    <s v="Electric Generators, Independent Power Producers"/>
    <x v="0"/>
    <n v="10989"/>
  </r>
  <r>
    <x v="3"/>
    <x v="1"/>
    <s v="Electric Generators, Independent Power Producers"/>
    <x v="3"/>
    <n v="4791"/>
  </r>
  <r>
    <x v="3"/>
    <x v="1"/>
    <s v="Electric Generators, Independent Power Producers"/>
    <x v="8"/>
    <n v="2383"/>
  </r>
  <r>
    <x v="3"/>
    <x v="1"/>
    <s v="Electric Generators, Independent Power Producers"/>
    <x v="6"/>
    <n v="3815"/>
  </r>
  <r>
    <x v="3"/>
    <x v="1"/>
    <s v="Electric Generators, Electric Utilities"/>
    <x v="0"/>
    <n v="94123557"/>
  </r>
  <r>
    <x v="3"/>
    <x v="1"/>
    <s v="Electric Generators, Electric Utilities"/>
    <x v="1"/>
    <n v="66758044"/>
  </r>
  <r>
    <x v="3"/>
    <x v="1"/>
    <s v="Electric Generators, Electric Utilities"/>
    <x v="2"/>
    <n v="9034210"/>
  </r>
  <r>
    <x v="3"/>
    <x v="1"/>
    <s v="Electric Generators, Electric Utilities"/>
    <x v="3"/>
    <n v="435761"/>
  </r>
  <r>
    <x v="3"/>
    <x v="1"/>
    <s v="Electric Generators, Electric Utilities"/>
    <x v="7"/>
    <n v="17823325"/>
  </r>
  <r>
    <x v="3"/>
    <x v="1"/>
    <s v="Electric Generators, Electric Utilities"/>
    <x v="4"/>
    <n v="72217"/>
  </r>
  <r>
    <x v="3"/>
    <x v="1"/>
    <s v="Combined Heat and Power, Industrial Power"/>
    <x v="0"/>
    <n v="4414607"/>
  </r>
  <r>
    <x v="3"/>
    <x v="1"/>
    <s v="Combined Heat and Power, Industrial Power"/>
    <x v="1"/>
    <n v="516677"/>
  </r>
  <r>
    <x v="3"/>
    <x v="1"/>
    <s v="Combined Heat and Power, Industrial Power"/>
    <x v="3"/>
    <n v="780497"/>
  </r>
  <r>
    <x v="3"/>
    <x v="1"/>
    <s v="Combined Heat and Power, Industrial Power"/>
    <x v="9"/>
    <n v="338105"/>
  </r>
  <r>
    <x v="3"/>
    <x v="1"/>
    <s v="Combined Heat and Power, Industrial Power"/>
    <x v="4"/>
    <n v="120727"/>
  </r>
  <r>
    <x v="3"/>
    <x v="1"/>
    <s v="Combined Heat and Power, Industrial Power"/>
    <x v="6"/>
    <n v="2658601"/>
  </r>
  <r>
    <x v="3"/>
    <x v="1"/>
    <s v="Combined Heat and Power, Electric Power"/>
    <x v="0"/>
    <n v="787843"/>
  </r>
  <r>
    <x v="3"/>
    <x v="1"/>
    <s v="Combined Heat and Power, Electric Power"/>
    <x v="1"/>
    <n v="61600"/>
  </r>
  <r>
    <x v="3"/>
    <x v="1"/>
    <s v="Combined Heat and Power, Electric Power"/>
    <x v="3"/>
    <n v="39929"/>
  </r>
  <r>
    <x v="3"/>
    <x v="1"/>
    <s v="Combined Heat and Power, Electric Power"/>
    <x v="6"/>
    <n v="686314"/>
  </r>
  <r>
    <x v="3"/>
    <x v="2"/>
    <s v="Total Electric Power Industry"/>
    <x v="0"/>
    <n v="40498654"/>
  </r>
  <r>
    <x v="3"/>
    <x v="2"/>
    <s v="Total Electric Power Industry"/>
    <x v="1"/>
    <n v="18091528"/>
  </r>
  <r>
    <x v="3"/>
    <x v="2"/>
    <s v="Total Electric Power Industry"/>
    <x v="2"/>
    <n v="4509292"/>
  </r>
  <r>
    <x v="3"/>
    <x v="2"/>
    <s v="Total Electric Power Industry"/>
    <x v="3"/>
    <n v="2703261"/>
  </r>
  <r>
    <x v="3"/>
    <x v="2"/>
    <s v="Total Electric Power Industry"/>
    <x v="7"/>
    <n v="13521676"/>
  </r>
  <r>
    <x v="3"/>
    <x v="2"/>
    <s v="Total Electric Power Industry"/>
    <x v="8"/>
    <n v="29607"/>
  </r>
  <r>
    <x v="3"/>
    <x v="2"/>
    <s v="Total Electric Power Industry"/>
    <x v="4"/>
    <n v="73127"/>
  </r>
  <r>
    <x v="3"/>
    <x v="2"/>
    <s v="Total Electric Power Industry"/>
    <x v="10"/>
    <n v="0"/>
  </r>
  <r>
    <x v="3"/>
    <x v="2"/>
    <s v="Total Electric Power Industry"/>
    <x v="6"/>
    <n v="1570163"/>
  </r>
  <r>
    <x v="3"/>
    <x v="2"/>
    <s v="Electric Generators, Independent Power Producers"/>
    <x v="0"/>
    <n v="1534"/>
  </r>
  <r>
    <x v="3"/>
    <x v="2"/>
    <s v="Electric Generators, Independent Power Producers"/>
    <x v="2"/>
    <n v="1534"/>
  </r>
  <r>
    <x v="3"/>
    <x v="2"/>
    <s v="Electric Generators, Electric Utilities"/>
    <x v="0"/>
    <n v="38049072"/>
  </r>
  <r>
    <x v="3"/>
    <x v="2"/>
    <s v="Electric Generators, Electric Utilities"/>
    <x v="1"/>
    <n v="18025615"/>
  </r>
  <r>
    <x v="3"/>
    <x v="2"/>
    <s v="Electric Generators, Electric Utilities"/>
    <x v="2"/>
    <n v="4507758"/>
  </r>
  <r>
    <x v="3"/>
    <x v="2"/>
    <s v="Electric Generators, Electric Utilities"/>
    <x v="3"/>
    <n v="1928399"/>
  </r>
  <r>
    <x v="3"/>
    <x v="2"/>
    <s v="Electric Generators, Electric Utilities"/>
    <x v="7"/>
    <n v="13521676"/>
  </r>
  <r>
    <x v="3"/>
    <x v="2"/>
    <s v="Electric Generators, Electric Utilities"/>
    <x v="4"/>
    <n v="65624"/>
  </r>
  <r>
    <x v="3"/>
    <x v="2"/>
    <s v="Electric Generators, Electric Utilities"/>
    <x v="10"/>
    <n v="0"/>
  </r>
  <r>
    <x v="3"/>
    <x v="2"/>
    <s v="Combined Heat and Power, Industrial Power"/>
    <x v="0"/>
    <n v="2399385"/>
  </r>
  <r>
    <x v="3"/>
    <x v="2"/>
    <s v="Combined Heat and Power, Industrial Power"/>
    <x v="1"/>
    <n v="65913"/>
  </r>
  <r>
    <x v="3"/>
    <x v="2"/>
    <s v="Combined Heat and Power, Industrial Power"/>
    <x v="3"/>
    <n v="734643"/>
  </r>
  <r>
    <x v="3"/>
    <x v="2"/>
    <s v="Combined Heat and Power, Industrial Power"/>
    <x v="8"/>
    <n v="24182"/>
  </r>
  <r>
    <x v="3"/>
    <x v="2"/>
    <s v="Combined Heat and Power, Industrial Power"/>
    <x v="4"/>
    <n v="4484"/>
  </r>
  <r>
    <x v="3"/>
    <x v="2"/>
    <s v="Combined Heat and Power, Industrial Power"/>
    <x v="6"/>
    <n v="1570163"/>
  </r>
  <r>
    <x v="3"/>
    <x v="2"/>
    <s v="Combined Heat and Power, Commercial Power"/>
    <x v="0"/>
    <n v="48663"/>
  </r>
  <r>
    <x v="3"/>
    <x v="2"/>
    <s v="Combined Heat and Power, Commercial Power"/>
    <x v="3"/>
    <n v="40219"/>
  </r>
  <r>
    <x v="3"/>
    <x v="2"/>
    <s v="Combined Heat and Power, Commercial Power"/>
    <x v="8"/>
    <n v="5425"/>
  </r>
  <r>
    <x v="3"/>
    <x v="2"/>
    <s v="Combined Heat and Power, Commercial Power"/>
    <x v="4"/>
    <n v="3019"/>
  </r>
  <r>
    <x v="3"/>
    <x v="3"/>
    <s v="Total Electric Power Industry"/>
    <x v="0"/>
    <n v="68468986"/>
  </r>
  <r>
    <x v="3"/>
    <x v="3"/>
    <s v="Total Electric Power Industry"/>
    <x v="1"/>
    <n v="37272195"/>
  </r>
  <r>
    <x v="3"/>
    <x v="3"/>
    <s v="Total Electric Power Industry"/>
    <x v="2"/>
    <n v="6697088"/>
  </r>
  <r>
    <x v="3"/>
    <x v="3"/>
    <s v="Total Electric Power Industry"/>
    <x v="3"/>
    <n v="1936549"/>
  </r>
  <r>
    <x v="3"/>
    <x v="3"/>
    <s v="Total Electric Power Industry"/>
    <x v="7"/>
    <n v="22048880"/>
  </r>
  <r>
    <x v="3"/>
    <x v="3"/>
    <s v="Total Electric Power Industry"/>
    <x v="4"/>
    <n v="85442"/>
  </r>
  <r>
    <x v="3"/>
    <x v="3"/>
    <s v="Total Electric Power Industry"/>
    <x v="10"/>
    <n v="325983"/>
  </r>
  <r>
    <x v="3"/>
    <x v="3"/>
    <s v="Total Electric Power Industry"/>
    <x v="6"/>
    <n v="102849"/>
  </r>
  <r>
    <x v="3"/>
    <x v="3"/>
    <s v="Electric Generators, Electric Utilities"/>
    <x v="0"/>
    <n v="68025039"/>
  </r>
  <r>
    <x v="3"/>
    <x v="3"/>
    <s v="Electric Generators, Electric Utilities"/>
    <x v="1"/>
    <n v="37020817"/>
  </r>
  <r>
    <x v="3"/>
    <x v="3"/>
    <s v="Electric Generators, Electric Utilities"/>
    <x v="2"/>
    <n v="6697088"/>
  </r>
  <r>
    <x v="3"/>
    <x v="3"/>
    <s v="Electric Generators, Electric Utilities"/>
    <x v="3"/>
    <n v="1872396"/>
  </r>
  <r>
    <x v="3"/>
    <x v="3"/>
    <s v="Electric Generators, Electric Utilities"/>
    <x v="7"/>
    <n v="22048880"/>
  </r>
  <r>
    <x v="3"/>
    <x v="3"/>
    <s v="Electric Generators, Electric Utilities"/>
    <x v="4"/>
    <n v="59875"/>
  </r>
  <r>
    <x v="3"/>
    <x v="3"/>
    <s v="Electric Generators, Electric Utilities"/>
    <x v="10"/>
    <n v="325983"/>
  </r>
  <r>
    <x v="3"/>
    <x v="3"/>
    <s v="Combined Heat and Power, Industrial Power"/>
    <x v="0"/>
    <n v="412657"/>
  </r>
  <r>
    <x v="3"/>
    <x v="3"/>
    <s v="Combined Heat and Power, Industrial Power"/>
    <x v="1"/>
    <n v="251378"/>
  </r>
  <r>
    <x v="3"/>
    <x v="3"/>
    <s v="Combined Heat and Power, Industrial Power"/>
    <x v="3"/>
    <n v="33703"/>
  </r>
  <r>
    <x v="3"/>
    <x v="3"/>
    <s v="Combined Heat and Power, Industrial Power"/>
    <x v="4"/>
    <n v="24727"/>
  </r>
  <r>
    <x v="3"/>
    <x v="3"/>
    <s v="Combined Heat and Power, Industrial Power"/>
    <x v="6"/>
    <n v="102849"/>
  </r>
  <r>
    <x v="3"/>
    <x v="3"/>
    <s v="Combined Heat and Power, Commercial Power"/>
    <x v="0"/>
    <n v="31290"/>
  </r>
  <r>
    <x v="3"/>
    <x v="3"/>
    <s v="Combined Heat and Power, Commercial Power"/>
    <x v="3"/>
    <n v="30450"/>
  </r>
  <r>
    <x v="3"/>
    <x v="3"/>
    <s v="Combined Heat and Power, Commercial Power"/>
    <x v="4"/>
    <n v="840"/>
  </r>
  <r>
    <x v="3"/>
    <x v="4"/>
    <s v="Total Electric Power Industry"/>
    <x v="0"/>
    <n v="186990642"/>
  </r>
  <r>
    <x v="3"/>
    <x v="4"/>
    <s v="Total Electric Power Industry"/>
    <x v="1"/>
    <n v="3129951"/>
  </r>
  <r>
    <x v="3"/>
    <x v="4"/>
    <s v="Total Electric Power Industry"/>
    <x v="11"/>
    <n v="14948113"/>
  </r>
  <r>
    <x v="3"/>
    <x v="4"/>
    <s v="Total Electric Power Industry"/>
    <x v="2"/>
    <n v="40492526"/>
  </r>
  <r>
    <x v="3"/>
    <x v="4"/>
    <s v="Total Electric Power Industry"/>
    <x v="3"/>
    <n v="79644169"/>
  </r>
  <r>
    <x v="3"/>
    <x v="4"/>
    <s v="Total Electric Power Industry"/>
    <x v="7"/>
    <n v="31580692"/>
  </r>
  <r>
    <x v="3"/>
    <x v="4"/>
    <s v="Total Electric Power Industry"/>
    <x v="12"/>
    <n v="11423"/>
  </r>
  <r>
    <x v="3"/>
    <x v="4"/>
    <s v="Total Electric Power Industry"/>
    <x v="8"/>
    <n v="2891154"/>
  </r>
  <r>
    <x v="3"/>
    <x v="4"/>
    <s v="Total Electric Power Industry"/>
    <x v="9"/>
    <n v="3097462"/>
  </r>
  <r>
    <x v="3"/>
    <x v="4"/>
    <s v="Total Electric Power Industry"/>
    <x v="4"/>
    <n v="3601682"/>
  </r>
  <r>
    <x v="3"/>
    <x v="4"/>
    <s v="Total Electric Power Industry"/>
    <x v="10"/>
    <n v="282924"/>
  </r>
  <r>
    <x v="3"/>
    <x v="4"/>
    <s v="Total Electric Power Industry"/>
    <x v="13"/>
    <n v="462078"/>
  </r>
  <r>
    <x v="3"/>
    <x v="4"/>
    <s v="Total Electric Power Industry"/>
    <x v="5"/>
    <n v="2983640"/>
  </r>
  <r>
    <x v="3"/>
    <x v="4"/>
    <s v="Total Electric Power Industry"/>
    <x v="6"/>
    <n v="3864828"/>
  </r>
  <r>
    <x v="3"/>
    <x v="4"/>
    <s v="Electric Generators, Independent Power Producers"/>
    <x v="0"/>
    <n v="20462154"/>
  </r>
  <r>
    <x v="3"/>
    <x v="4"/>
    <s v="Electric Generators, Independent Power Producers"/>
    <x v="1"/>
    <n v="110808"/>
  </r>
  <r>
    <x v="3"/>
    <x v="4"/>
    <s v="Electric Generators, Independent Power Producers"/>
    <x v="11"/>
    <n v="7525262"/>
  </r>
  <r>
    <x v="3"/>
    <x v="4"/>
    <s v="Electric Generators, Independent Power Producers"/>
    <x v="2"/>
    <n v="2499424"/>
  </r>
  <r>
    <x v="3"/>
    <x v="4"/>
    <s v="Electric Generators, Independent Power Producers"/>
    <x v="3"/>
    <n v="902935"/>
  </r>
  <r>
    <x v="3"/>
    <x v="4"/>
    <s v="Electric Generators, Independent Power Producers"/>
    <x v="8"/>
    <n v="2631252"/>
  </r>
  <r>
    <x v="3"/>
    <x v="4"/>
    <s v="Electric Generators, Independent Power Producers"/>
    <x v="9"/>
    <n v="2"/>
  </r>
  <r>
    <x v="3"/>
    <x v="4"/>
    <s v="Electric Generators, Independent Power Producers"/>
    <x v="4"/>
    <n v="825287"/>
  </r>
  <r>
    <x v="3"/>
    <x v="4"/>
    <s v="Electric Generators, Independent Power Producers"/>
    <x v="13"/>
    <n v="458650"/>
  </r>
  <r>
    <x v="3"/>
    <x v="4"/>
    <s v="Electric Generators, Independent Power Producers"/>
    <x v="5"/>
    <n v="2983640"/>
  </r>
  <r>
    <x v="3"/>
    <x v="4"/>
    <s v="Electric Generators, Independent Power Producers"/>
    <x v="6"/>
    <n v="2524894"/>
  </r>
  <r>
    <x v="3"/>
    <x v="4"/>
    <s v="Electric Generators, Electric Utilities"/>
    <x v="0"/>
    <n v="125782063"/>
  </r>
  <r>
    <x v="3"/>
    <x v="4"/>
    <s v="Electric Generators, Electric Utilities"/>
    <x v="11"/>
    <n v="7422851"/>
  </r>
  <r>
    <x v="3"/>
    <x v="4"/>
    <s v="Electric Generators, Electric Utilities"/>
    <x v="2"/>
    <n v="37981519"/>
  </r>
  <r>
    <x v="3"/>
    <x v="4"/>
    <s v="Electric Generators, Electric Utilities"/>
    <x v="3"/>
    <n v="46499103"/>
  </r>
  <r>
    <x v="3"/>
    <x v="4"/>
    <s v="Electric Generators, Electric Utilities"/>
    <x v="7"/>
    <n v="31580692"/>
  </r>
  <r>
    <x v="3"/>
    <x v="4"/>
    <s v="Electric Generators, Electric Utilities"/>
    <x v="8"/>
    <n v="3872"/>
  </r>
  <r>
    <x v="3"/>
    <x v="4"/>
    <s v="Electric Generators, Electric Utilities"/>
    <x v="4"/>
    <n v="2007674"/>
  </r>
  <r>
    <x v="3"/>
    <x v="4"/>
    <s v="Electric Generators, Electric Utilities"/>
    <x v="10"/>
    <n v="282924"/>
  </r>
  <r>
    <x v="3"/>
    <x v="4"/>
    <s v="Electric Generators, Electric Utilities"/>
    <x v="13"/>
    <n v="3428"/>
  </r>
  <r>
    <x v="3"/>
    <x v="4"/>
    <s v="Combined Heat and Power, Industrial Power"/>
    <x v="0"/>
    <n v="17394027"/>
  </r>
  <r>
    <x v="3"/>
    <x v="4"/>
    <s v="Combined Heat and Power, Industrial Power"/>
    <x v="1"/>
    <n v="792017"/>
  </r>
  <r>
    <x v="3"/>
    <x v="4"/>
    <s v="Combined Heat and Power, Industrial Power"/>
    <x v="3"/>
    <n v="11676504"/>
  </r>
  <r>
    <x v="3"/>
    <x v="4"/>
    <s v="Combined Heat and Power, Industrial Power"/>
    <x v="12"/>
    <n v="11423"/>
  </r>
  <r>
    <x v="3"/>
    <x v="4"/>
    <s v="Combined Heat and Power, Industrial Power"/>
    <x v="8"/>
    <n v="93198"/>
  </r>
  <r>
    <x v="3"/>
    <x v="4"/>
    <s v="Combined Heat and Power, Industrial Power"/>
    <x v="9"/>
    <n v="2760723"/>
  </r>
  <r>
    <x v="3"/>
    <x v="4"/>
    <s v="Combined Heat and Power, Industrial Power"/>
    <x v="4"/>
    <n v="761643"/>
  </r>
  <r>
    <x v="3"/>
    <x v="4"/>
    <s v="Combined Heat and Power, Industrial Power"/>
    <x v="6"/>
    <n v="1298519"/>
  </r>
  <r>
    <x v="3"/>
    <x v="4"/>
    <s v="Combined Heat and Power, Electric Power"/>
    <x v="0"/>
    <n v="21598132"/>
  </r>
  <r>
    <x v="3"/>
    <x v="4"/>
    <s v="Combined Heat and Power, Electric Power"/>
    <x v="1"/>
    <n v="2227126"/>
  </r>
  <r>
    <x v="3"/>
    <x v="4"/>
    <s v="Combined Heat and Power, Electric Power"/>
    <x v="3"/>
    <n v="18983857"/>
  </r>
  <r>
    <x v="3"/>
    <x v="4"/>
    <s v="Combined Heat and Power, Electric Power"/>
    <x v="8"/>
    <n v="104230"/>
  </r>
  <r>
    <x v="3"/>
    <x v="4"/>
    <s v="Combined Heat and Power, Electric Power"/>
    <x v="9"/>
    <n v="237185"/>
  </r>
  <r>
    <x v="3"/>
    <x v="4"/>
    <s v="Combined Heat and Power, Electric Power"/>
    <x v="4"/>
    <n v="4319"/>
  </r>
  <r>
    <x v="3"/>
    <x v="4"/>
    <s v="Combined Heat and Power, Electric Power"/>
    <x v="6"/>
    <n v="41415"/>
  </r>
  <r>
    <x v="3"/>
    <x v="4"/>
    <s v="Combined Heat and Power, Commercial Power"/>
    <x v="0"/>
    <n v="1754266"/>
  </r>
  <r>
    <x v="3"/>
    <x v="4"/>
    <s v="Combined Heat and Power, Commercial Power"/>
    <x v="2"/>
    <n v="11583"/>
  </r>
  <r>
    <x v="3"/>
    <x v="4"/>
    <s v="Combined Heat and Power, Commercial Power"/>
    <x v="3"/>
    <n v="1581770"/>
  </r>
  <r>
    <x v="3"/>
    <x v="4"/>
    <s v="Combined Heat and Power, Commercial Power"/>
    <x v="8"/>
    <n v="58602"/>
  </r>
  <r>
    <x v="3"/>
    <x v="4"/>
    <s v="Combined Heat and Power, Commercial Power"/>
    <x v="9"/>
    <n v="99552"/>
  </r>
  <r>
    <x v="3"/>
    <x v="4"/>
    <s v="Combined Heat and Power, Commercial Power"/>
    <x v="4"/>
    <n v="2759"/>
  </r>
  <r>
    <x v="3"/>
    <x v="5"/>
    <s v="Total Electric Power Industry"/>
    <x v="0"/>
    <n v="34240183"/>
  </r>
  <r>
    <x v="3"/>
    <x v="5"/>
    <s v="Total Electric Power Industry"/>
    <x v="1"/>
    <n v="30701319"/>
  </r>
  <r>
    <x v="3"/>
    <x v="5"/>
    <s v="Total Electric Power Industry"/>
    <x v="2"/>
    <n v="1911842"/>
  </r>
  <r>
    <x v="3"/>
    <x v="5"/>
    <s v="Total Electric Power Industry"/>
    <x v="3"/>
    <n v="1510863"/>
  </r>
  <r>
    <x v="3"/>
    <x v="5"/>
    <s v="Total Electric Power Industry"/>
    <x v="8"/>
    <n v="34448"/>
  </r>
  <r>
    <x v="3"/>
    <x v="5"/>
    <s v="Total Electric Power Industry"/>
    <x v="4"/>
    <n v="8966"/>
  </r>
  <r>
    <x v="3"/>
    <x v="5"/>
    <s v="Total Electric Power Industry"/>
    <x v="10"/>
    <n v="72745"/>
  </r>
  <r>
    <x v="3"/>
    <x v="5"/>
    <s v="Electric Generators, Independent Power Producers"/>
    <x v="0"/>
    <n v="230771"/>
  </r>
  <r>
    <x v="3"/>
    <x v="5"/>
    <s v="Electric Generators, Independent Power Producers"/>
    <x v="2"/>
    <n v="126756"/>
  </r>
  <r>
    <x v="3"/>
    <x v="5"/>
    <s v="Electric Generators, Independent Power Producers"/>
    <x v="3"/>
    <n v="104015"/>
  </r>
  <r>
    <x v="3"/>
    <x v="5"/>
    <s v="Electric Generators, Electric Utilities"/>
    <x v="0"/>
    <n v="32687317"/>
  </r>
  <r>
    <x v="3"/>
    <x v="5"/>
    <s v="Electric Generators, Electric Utilities"/>
    <x v="1"/>
    <n v="30456351"/>
  </r>
  <r>
    <x v="3"/>
    <x v="5"/>
    <s v="Electric Generators, Electric Utilities"/>
    <x v="2"/>
    <n v="1785086"/>
  </r>
  <r>
    <x v="3"/>
    <x v="5"/>
    <s v="Electric Generators, Electric Utilities"/>
    <x v="3"/>
    <n v="364237"/>
  </r>
  <r>
    <x v="3"/>
    <x v="5"/>
    <s v="Electric Generators, Electric Utilities"/>
    <x v="8"/>
    <n v="0"/>
  </r>
  <r>
    <x v="3"/>
    <x v="5"/>
    <s v="Electric Generators, Electric Utilities"/>
    <x v="4"/>
    <n v="8898"/>
  </r>
  <r>
    <x v="3"/>
    <x v="5"/>
    <s v="Electric Generators, Electric Utilities"/>
    <x v="10"/>
    <n v="72745"/>
  </r>
  <r>
    <x v="3"/>
    <x v="5"/>
    <s v="Combined Heat and Power, Industrial Power"/>
    <x v="0"/>
    <n v="88618"/>
  </r>
  <r>
    <x v="3"/>
    <x v="5"/>
    <s v="Combined Heat and Power, Industrial Power"/>
    <x v="3"/>
    <n v="88618"/>
  </r>
  <r>
    <x v="3"/>
    <x v="5"/>
    <s v="Combined Heat and Power, Industrial Power"/>
    <x v="4"/>
    <n v="0"/>
  </r>
  <r>
    <x v="3"/>
    <x v="5"/>
    <s v="Combined Heat and Power, Electric Power"/>
    <x v="0"/>
    <n v="1012843"/>
  </r>
  <r>
    <x v="3"/>
    <x v="5"/>
    <s v="Combined Heat and Power, Electric Power"/>
    <x v="1"/>
    <n v="244968"/>
  </r>
  <r>
    <x v="3"/>
    <x v="5"/>
    <s v="Combined Heat and Power, Electric Power"/>
    <x v="3"/>
    <n v="765228"/>
  </r>
  <r>
    <x v="3"/>
    <x v="5"/>
    <s v="Combined Heat and Power, Electric Power"/>
    <x v="8"/>
    <n v="2645"/>
  </r>
  <r>
    <x v="3"/>
    <x v="5"/>
    <s v="Combined Heat and Power, Electric Power"/>
    <x v="4"/>
    <n v="2"/>
  </r>
  <r>
    <x v="3"/>
    <x v="5"/>
    <s v="Combined Heat and Power, Commercial Power"/>
    <x v="0"/>
    <n v="220634"/>
  </r>
  <r>
    <x v="3"/>
    <x v="5"/>
    <s v="Combined Heat and Power, Commercial Power"/>
    <x v="3"/>
    <n v="188765"/>
  </r>
  <r>
    <x v="3"/>
    <x v="5"/>
    <s v="Combined Heat and Power, Commercial Power"/>
    <x v="8"/>
    <n v="31803"/>
  </r>
  <r>
    <x v="3"/>
    <x v="5"/>
    <s v="Combined Heat and Power, Commercial Power"/>
    <x v="4"/>
    <n v="66"/>
  </r>
  <r>
    <x v="3"/>
    <x v="6"/>
    <s v="Total Electric Power Industry"/>
    <x v="0"/>
    <n v="32884571"/>
  </r>
  <r>
    <x v="3"/>
    <x v="6"/>
    <s v="Total Electric Power Industry"/>
    <x v="1"/>
    <n v="3508317"/>
  </r>
  <r>
    <x v="3"/>
    <x v="6"/>
    <s v="Total Electric Power Industry"/>
    <x v="2"/>
    <n v="414685"/>
  </r>
  <r>
    <x v="3"/>
    <x v="6"/>
    <s v="Total Electric Power Industry"/>
    <x v="3"/>
    <n v="1383916"/>
  </r>
  <r>
    <x v="3"/>
    <x v="6"/>
    <s v="Total Electric Power Industry"/>
    <x v="7"/>
    <n v="21801782"/>
  </r>
  <r>
    <x v="3"/>
    <x v="6"/>
    <s v="Total Electric Power Industry"/>
    <x v="12"/>
    <n v="0"/>
  </r>
  <r>
    <x v="3"/>
    <x v="6"/>
    <s v="Total Electric Power Industry"/>
    <x v="8"/>
    <n v="1395624"/>
  </r>
  <r>
    <x v="3"/>
    <x v="6"/>
    <s v="Total Electric Power Industry"/>
    <x v="4"/>
    <n v="4384501"/>
  </r>
  <r>
    <x v="3"/>
    <x v="6"/>
    <s v="Total Electric Power Industry"/>
    <x v="10"/>
    <n v="-4254"/>
  </r>
  <r>
    <x v="3"/>
    <x v="6"/>
    <s v="Electric Generators, Independent Power Producers"/>
    <x v="0"/>
    <n v="1058105"/>
  </r>
  <r>
    <x v="3"/>
    <x v="6"/>
    <s v="Electric Generators, Independent Power Producers"/>
    <x v="2"/>
    <n v="57427"/>
  </r>
  <r>
    <x v="3"/>
    <x v="6"/>
    <s v="Electric Generators, Independent Power Producers"/>
    <x v="3"/>
    <n v="432"/>
  </r>
  <r>
    <x v="3"/>
    <x v="6"/>
    <s v="Electric Generators, Independent Power Producers"/>
    <x v="8"/>
    <n v="989529"/>
  </r>
  <r>
    <x v="3"/>
    <x v="6"/>
    <s v="Electric Generators, Independent Power Producers"/>
    <x v="4"/>
    <n v="10717"/>
  </r>
  <r>
    <x v="3"/>
    <x v="6"/>
    <s v="Electric Generators, Electric Utilities"/>
    <x v="0"/>
    <n v="28714867"/>
  </r>
  <r>
    <x v="3"/>
    <x v="6"/>
    <s v="Electric Generators, Electric Utilities"/>
    <x v="1"/>
    <n v="1907826"/>
  </r>
  <r>
    <x v="3"/>
    <x v="6"/>
    <s v="Electric Generators, Electric Utilities"/>
    <x v="2"/>
    <n v="349663"/>
  </r>
  <r>
    <x v="3"/>
    <x v="6"/>
    <s v="Electric Generators, Electric Utilities"/>
    <x v="3"/>
    <n v="47401"/>
  </r>
  <r>
    <x v="3"/>
    <x v="6"/>
    <s v="Electric Generators, Electric Utilities"/>
    <x v="7"/>
    <n v="21801782"/>
  </r>
  <r>
    <x v="3"/>
    <x v="6"/>
    <s v="Electric Generators, Electric Utilities"/>
    <x v="8"/>
    <n v="406095"/>
  </r>
  <r>
    <x v="3"/>
    <x v="6"/>
    <s v="Electric Generators, Electric Utilities"/>
    <x v="4"/>
    <n v="4206354"/>
  </r>
  <r>
    <x v="3"/>
    <x v="6"/>
    <s v="Electric Generators, Electric Utilities"/>
    <x v="10"/>
    <n v="-4254"/>
  </r>
  <r>
    <x v="3"/>
    <x v="6"/>
    <s v="Combined Heat and Power, Industrial Power"/>
    <x v="0"/>
    <n v="317015"/>
  </r>
  <r>
    <x v="3"/>
    <x v="6"/>
    <s v="Combined Heat and Power, Industrial Power"/>
    <x v="2"/>
    <n v="7595"/>
  </r>
  <r>
    <x v="3"/>
    <x v="6"/>
    <s v="Combined Heat and Power, Industrial Power"/>
    <x v="3"/>
    <n v="152544"/>
  </r>
  <r>
    <x v="3"/>
    <x v="6"/>
    <s v="Combined Heat and Power, Industrial Power"/>
    <x v="12"/>
    <n v="0"/>
  </r>
  <r>
    <x v="3"/>
    <x v="6"/>
    <s v="Combined Heat and Power, Industrial Power"/>
    <x v="4"/>
    <n v="156876"/>
  </r>
  <r>
    <x v="3"/>
    <x v="6"/>
    <s v="Combined Heat and Power, Electric Power"/>
    <x v="0"/>
    <n v="2690508"/>
  </r>
  <r>
    <x v="3"/>
    <x v="6"/>
    <s v="Combined Heat and Power, Electric Power"/>
    <x v="1"/>
    <n v="1600491"/>
  </r>
  <r>
    <x v="3"/>
    <x v="6"/>
    <s v="Combined Heat and Power, Electric Power"/>
    <x v="3"/>
    <n v="1082172"/>
  </r>
  <r>
    <x v="3"/>
    <x v="6"/>
    <s v="Combined Heat and Power, Electric Power"/>
    <x v="4"/>
    <n v="7845"/>
  </r>
  <r>
    <x v="3"/>
    <x v="6"/>
    <s v="Combined Heat and Power, Commercial Power"/>
    <x v="0"/>
    <n v="104076"/>
  </r>
  <r>
    <x v="3"/>
    <x v="6"/>
    <s v="Combined Heat and Power, Commercial Power"/>
    <x v="3"/>
    <n v="101367"/>
  </r>
  <r>
    <x v="3"/>
    <x v="6"/>
    <s v="Combined Heat and Power, Commercial Power"/>
    <x v="4"/>
    <n v="2709"/>
  </r>
  <r>
    <x v="3"/>
    <x v="7"/>
    <s v="Total Electric Power Industry"/>
    <x v="0"/>
    <n v="188452"/>
  </r>
  <r>
    <x v="3"/>
    <x v="7"/>
    <s v="Total Electric Power Industry"/>
    <x v="1"/>
    <n v="0"/>
  </r>
  <r>
    <x v="3"/>
    <x v="7"/>
    <s v="Total Electric Power Industry"/>
    <x v="4"/>
    <n v="188452"/>
  </r>
  <r>
    <x v="3"/>
    <x v="7"/>
    <s v="Electric Generators, Electric Utilities"/>
    <x v="0"/>
    <n v="188452"/>
  </r>
  <r>
    <x v="3"/>
    <x v="7"/>
    <s v="Electric Generators, Electric Utilities"/>
    <x v="4"/>
    <n v="188452"/>
  </r>
  <r>
    <x v="3"/>
    <x v="7"/>
    <s v="Combined Heat and Power, Commercial Power"/>
    <x v="0"/>
    <n v="0"/>
  </r>
  <r>
    <x v="3"/>
    <x v="7"/>
    <s v="Combined Heat and Power, Commercial Power"/>
    <x v="1"/>
    <n v="0"/>
  </r>
  <r>
    <x v="3"/>
    <x v="8"/>
    <s v="Total Electric Power Industry"/>
    <x v="0"/>
    <n v="9017680"/>
  </r>
  <r>
    <x v="3"/>
    <x v="8"/>
    <s v="Total Electric Power Industry"/>
    <x v="1"/>
    <n v="5374615"/>
  </r>
  <r>
    <x v="3"/>
    <x v="8"/>
    <s v="Total Electric Power Industry"/>
    <x v="3"/>
    <n v="1029190"/>
  </r>
  <r>
    <x v="3"/>
    <x v="8"/>
    <s v="Total Electric Power Industry"/>
    <x v="12"/>
    <n v="6049"/>
  </r>
  <r>
    <x v="3"/>
    <x v="8"/>
    <s v="Total Electric Power Industry"/>
    <x v="9"/>
    <n v="103206"/>
  </r>
  <r>
    <x v="3"/>
    <x v="8"/>
    <s v="Total Electric Power Industry"/>
    <x v="4"/>
    <n v="2504620"/>
  </r>
  <r>
    <x v="3"/>
    <x v="8"/>
    <s v="Electric Generators, Electric Utilities"/>
    <x v="0"/>
    <n v="8306462"/>
  </r>
  <r>
    <x v="3"/>
    <x v="8"/>
    <s v="Electric Generators, Electric Utilities"/>
    <x v="1"/>
    <n v="5185396"/>
  </r>
  <r>
    <x v="3"/>
    <x v="8"/>
    <s v="Electric Generators, Electric Utilities"/>
    <x v="3"/>
    <n v="1026683"/>
  </r>
  <r>
    <x v="3"/>
    <x v="8"/>
    <s v="Electric Generators, Electric Utilities"/>
    <x v="4"/>
    <n v="2094383"/>
  </r>
  <r>
    <x v="3"/>
    <x v="8"/>
    <s v="Combined Heat and Power, Industrial Power"/>
    <x v="0"/>
    <n v="711218"/>
  </r>
  <r>
    <x v="3"/>
    <x v="8"/>
    <s v="Combined Heat and Power, Industrial Power"/>
    <x v="1"/>
    <n v="189219"/>
  </r>
  <r>
    <x v="3"/>
    <x v="8"/>
    <s v="Combined Heat and Power, Industrial Power"/>
    <x v="3"/>
    <n v="2507"/>
  </r>
  <r>
    <x v="3"/>
    <x v="8"/>
    <s v="Combined Heat and Power, Industrial Power"/>
    <x v="12"/>
    <n v="6049"/>
  </r>
  <r>
    <x v="3"/>
    <x v="8"/>
    <s v="Combined Heat and Power, Industrial Power"/>
    <x v="9"/>
    <n v="103206"/>
  </r>
  <r>
    <x v="3"/>
    <x v="8"/>
    <s v="Combined Heat and Power, Industrial Power"/>
    <x v="4"/>
    <n v="410237"/>
  </r>
  <r>
    <x v="3"/>
    <x v="9"/>
    <s v="Total Electric Power Industry"/>
    <x v="0"/>
    <n v="151934156"/>
  </r>
  <r>
    <x v="3"/>
    <x v="9"/>
    <s v="Total Electric Power Industry"/>
    <x v="1"/>
    <n v="63138674"/>
  </r>
  <r>
    <x v="3"/>
    <x v="9"/>
    <s v="Total Electric Power Industry"/>
    <x v="2"/>
    <n v="210776"/>
  </r>
  <r>
    <x v="3"/>
    <x v="9"/>
    <s v="Total Electric Power Industry"/>
    <x v="3"/>
    <n v="20754801"/>
  </r>
  <r>
    <x v="3"/>
    <x v="9"/>
    <s v="Total Electric Power Industry"/>
    <x v="7"/>
    <n v="25886864"/>
  </r>
  <r>
    <x v="3"/>
    <x v="9"/>
    <s v="Total Electric Power Industry"/>
    <x v="12"/>
    <n v="1676955"/>
  </r>
  <r>
    <x v="3"/>
    <x v="9"/>
    <s v="Total Electric Power Industry"/>
    <x v="8"/>
    <n v="3096959"/>
  </r>
  <r>
    <x v="3"/>
    <x v="9"/>
    <s v="Total Electric Power Industry"/>
    <x v="9"/>
    <n v="72413"/>
  </r>
  <r>
    <x v="3"/>
    <x v="9"/>
    <s v="Total Electric Power Industry"/>
    <x v="4"/>
    <n v="34727092"/>
  </r>
  <r>
    <x v="3"/>
    <x v="9"/>
    <s v="Total Electric Power Industry"/>
    <x v="6"/>
    <n v="2369622"/>
  </r>
  <r>
    <x v="3"/>
    <x v="9"/>
    <s v="Electric Generators, Independent Power Producers"/>
    <x v="0"/>
    <n v="3471850"/>
  </r>
  <r>
    <x v="3"/>
    <x v="9"/>
    <s v="Electric Generators, Independent Power Producers"/>
    <x v="3"/>
    <n v="368842"/>
  </r>
  <r>
    <x v="3"/>
    <x v="9"/>
    <s v="Electric Generators, Independent Power Producers"/>
    <x v="8"/>
    <n v="2950858"/>
  </r>
  <r>
    <x v="3"/>
    <x v="9"/>
    <s v="Electric Generators, Independent Power Producers"/>
    <x v="4"/>
    <n v="12558"/>
  </r>
  <r>
    <x v="3"/>
    <x v="9"/>
    <s v="Electric Generators, Independent Power Producers"/>
    <x v="6"/>
    <n v="139592"/>
  </r>
  <r>
    <x v="3"/>
    <x v="9"/>
    <s v="Electric Generators, Electric Utilities"/>
    <x v="0"/>
    <n v="140066943"/>
  </r>
  <r>
    <x v="3"/>
    <x v="9"/>
    <s v="Electric Generators, Electric Utilities"/>
    <x v="1"/>
    <n v="61889050"/>
  </r>
  <r>
    <x v="3"/>
    <x v="9"/>
    <s v="Electric Generators, Electric Utilities"/>
    <x v="2"/>
    <n v="210776"/>
  </r>
  <r>
    <x v="3"/>
    <x v="9"/>
    <s v="Electric Generators, Electric Utilities"/>
    <x v="3"/>
    <n v="17802730"/>
  </r>
  <r>
    <x v="3"/>
    <x v="9"/>
    <s v="Electric Generators, Electric Utilities"/>
    <x v="7"/>
    <n v="25886864"/>
  </r>
  <r>
    <x v="3"/>
    <x v="9"/>
    <s v="Electric Generators, Electric Utilities"/>
    <x v="4"/>
    <n v="34277523"/>
  </r>
  <r>
    <x v="3"/>
    <x v="9"/>
    <s v="Combined Heat and Power, Industrial Power"/>
    <x v="0"/>
    <n v="6010379"/>
  </r>
  <r>
    <x v="3"/>
    <x v="9"/>
    <s v="Combined Heat and Power, Industrial Power"/>
    <x v="1"/>
    <n v="367484"/>
  </r>
  <r>
    <x v="3"/>
    <x v="9"/>
    <s v="Combined Heat and Power, Industrial Power"/>
    <x v="3"/>
    <n v="1122109"/>
  </r>
  <r>
    <x v="3"/>
    <x v="9"/>
    <s v="Combined Heat and Power, Industrial Power"/>
    <x v="12"/>
    <n v="1676955"/>
  </r>
  <r>
    <x v="3"/>
    <x v="9"/>
    <s v="Combined Heat and Power, Industrial Power"/>
    <x v="8"/>
    <n v="112450"/>
  </r>
  <r>
    <x v="3"/>
    <x v="9"/>
    <s v="Combined Heat and Power, Industrial Power"/>
    <x v="9"/>
    <n v="72413"/>
  </r>
  <r>
    <x v="3"/>
    <x v="9"/>
    <s v="Combined Heat and Power, Industrial Power"/>
    <x v="4"/>
    <n v="428938"/>
  </r>
  <r>
    <x v="3"/>
    <x v="9"/>
    <s v="Combined Heat and Power, Industrial Power"/>
    <x v="6"/>
    <n v="2230030"/>
  </r>
  <r>
    <x v="3"/>
    <x v="9"/>
    <s v="Combined Heat and Power, Electric Power"/>
    <x v="0"/>
    <n v="2137877"/>
  </r>
  <r>
    <x v="3"/>
    <x v="9"/>
    <s v="Combined Heat and Power, Electric Power"/>
    <x v="1"/>
    <n v="882140"/>
  </r>
  <r>
    <x v="3"/>
    <x v="9"/>
    <s v="Combined Heat and Power, Electric Power"/>
    <x v="3"/>
    <n v="1249149"/>
  </r>
  <r>
    <x v="3"/>
    <x v="9"/>
    <s v="Combined Heat and Power, Electric Power"/>
    <x v="4"/>
    <n v="6588"/>
  </r>
  <r>
    <x v="3"/>
    <x v="9"/>
    <s v="Combined Heat and Power, Commercial Power"/>
    <x v="0"/>
    <n v="247107"/>
  </r>
  <r>
    <x v="3"/>
    <x v="9"/>
    <s v="Combined Heat and Power, Commercial Power"/>
    <x v="3"/>
    <n v="211971"/>
  </r>
  <r>
    <x v="3"/>
    <x v="9"/>
    <s v="Combined Heat and Power, Commercial Power"/>
    <x v="8"/>
    <n v="33651"/>
  </r>
  <r>
    <x v="3"/>
    <x v="9"/>
    <s v="Combined Heat and Power, Commercial Power"/>
    <x v="4"/>
    <n v="1485"/>
  </r>
  <r>
    <x v="3"/>
    <x v="10"/>
    <s v="Total Electric Power Industry"/>
    <x v="0"/>
    <n v="101447571"/>
  </r>
  <r>
    <x v="3"/>
    <x v="10"/>
    <s v="Total Electric Power Industry"/>
    <x v="1"/>
    <n v="64252566"/>
  </r>
  <r>
    <x v="3"/>
    <x v="10"/>
    <s v="Total Electric Power Industry"/>
    <x v="2"/>
    <n v="4456651"/>
  </r>
  <r>
    <x v="3"/>
    <x v="10"/>
    <s v="Total Electric Power Industry"/>
    <x v="3"/>
    <n v="696214"/>
  </r>
  <r>
    <x v="3"/>
    <x v="10"/>
    <s v="Total Electric Power Industry"/>
    <x v="7"/>
    <n v="27233352"/>
  </r>
  <r>
    <x v="3"/>
    <x v="10"/>
    <s v="Total Electric Power Industry"/>
    <x v="8"/>
    <n v="113394"/>
  </r>
  <r>
    <x v="3"/>
    <x v="10"/>
    <s v="Total Electric Power Industry"/>
    <x v="4"/>
    <n v="1137913"/>
  </r>
  <r>
    <x v="3"/>
    <x v="10"/>
    <s v="Total Electric Power Industry"/>
    <x v="10"/>
    <n v="344444"/>
  </r>
  <r>
    <x v="3"/>
    <x v="10"/>
    <s v="Total Electric Power Industry"/>
    <x v="6"/>
    <n v="3213037"/>
  </r>
  <r>
    <x v="3"/>
    <x v="10"/>
    <s v="Electric Generators, Independent Power Producers"/>
    <x v="0"/>
    <n v="10654"/>
  </r>
  <r>
    <x v="3"/>
    <x v="10"/>
    <s v="Electric Generators, Independent Power Producers"/>
    <x v="2"/>
    <n v="6371"/>
  </r>
  <r>
    <x v="3"/>
    <x v="10"/>
    <s v="Electric Generators, Independent Power Producers"/>
    <x v="3"/>
    <n v="0"/>
  </r>
  <r>
    <x v="3"/>
    <x v="10"/>
    <s v="Electric Generators, Independent Power Producers"/>
    <x v="8"/>
    <n v="4229"/>
  </r>
  <r>
    <x v="3"/>
    <x v="10"/>
    <s v="Electric Generators, Independent Power Producers"/>
    <x v="4"/>
    <n v="54"/>
  </r>
  <r>
    <x v="3"/>
    <x v="10"/>
    <s v="Electric Generators, Electric Utilities"/>
    <x v="0"/>
    <n v="95737505"/>
  </r>
  <r>
    <x v="3"/>
    <x v="10"/>
    <s v="Electric Generators, Electric Utilities"/>
    <x v="1"/>
    <n v="63295811"/>
  </r>
  <r>
    <x v="3"/>
    <x v="10"/>
    <s v="Electric Generators, Electric Utilities"/>
    <x v="2"/>
    <n v="4408207"/>
  </r>
  <r>
    <x v="3"/>
    <x v="10"/>
    <s v="Electric Generators, Electric Utilities"/>
    <x v="3"/>
    <n v="218218"/>
  </r>
  <r>
    <x v="3"/>
    <x v="10"/>
    <s v="Electric Generators, Electric Utilities"/>
    <x v="7"/>
    <n v="27233352"/>
  </r>
  <r>
    <x v="3"/>
    <x v="10"/>
    <s v="Electric Generators, Electric Utilities"/>
    <x v="4"/>
    <n v="237473"/>
  </r>
  <r>
    <x v="3"/>
    <x v="10"/>
    <s v="Electric Generators, Electric Utilities"/>
    <x v="10"/>
    <n v="344444"/>
  </r>
  <r>
    <x v="3"/>
    <x v="10"/>
    <s v="Combined Heat and Power, Industrial Power"/>
    <x v="0"/>
    <n v="5674929"/>
  </r>
  <r>
    <x v="3"/>
    <x v="10"/>
    <s v="Combined Heat and Power, Industrial Power"/>
    <x v="1"/>
    <n v="956755"/>
  </r>
  <r>
    <x v="3"/>
    <x v="10"/>
    <s v="Combined Heat and Power, Industrial Power"/>
    <x v="2"/>
    <n v="42073"/>
  </r>
  <r>
    <x v="3"/>
    <x v="10"/>
    <s v="Combined Heat and Power, Industrial Power"/>
    <x v="3"/>
    <n v="477922"/>
  </r>
  <r>
    <x v="3"/>
    <x v="10"/>
    <s v="Combined Heat and Power, Industrial Power"/>
    <x v="8"/>
    <n v="109165"/>
  </r>
  <r>
    <x v="3"/>
    <x v="10"/>
    <s v="Combined Heat and Power, Industrial Power"/>
    <x v="4"/>
    <n v="875977"/>
  </r>
  <r>
    <x v="3"/>
    <x v="10"/>
    <s v="Combined Heat and Power, Industrial Power"/>
    <x v="6"/>
    <n v="3213037"/>
  </r>
  <r>
    <x v="3"/>
    <x v="10"/>
    <s v="Combined Heat and Power, Commercial Power"/>
    <x v="0"/>
    <n v="24483"/>
  </r>
  <r>
    <x v="3"/>
    <x v="10"/>
    <s v="Combined Heat and Power, Commercial Power"/>
    <x v="3"/>
    <n v="74"/>
  </r>
  <r>
    <x v="3"/>
    <x v="10"/>
    <s v="Combined Heat and Power, Commercial Power"/>
    <x v="4"/>
    <n v="24409"/>
  </r>
  <r>
    <x v="3"/>
    <x v="11"/>
    <s v="Total Electric Power Industry"/>
    <x v="0"/>
    <n v="9943687"/>
  </r>
  <r>
    <x v="3"/>
    <x v="11"/>
    <s v="Total Electric Power Industry"/>
    <x v="1"/>
    <n v="1479074"/>
  </r>
  <r>
    <x v="3"/>
    <x v="11"/>
    <s v="Total Electric Power Industry"/>
    <x v="11"/>
    <n v="152249"/>
  </r>
  <r>
    <x v="3"/>
    <x v="11"/>
    <s v="Total Electric Power Industry"/>
    <x v="2"/>
    <n v="56243"/>
  </r>
  <r>
    <x v="3"/>
    <x v="11"/>
    <s v="Total Electric Power Industry"/>
    <x v="8"/>
    <n v="777056"/>
  </r>
  <r>
    <x v="3"/>
    <x v="11"/>
    <s v="Total Electric Power Industry"/>
    <x v="9"/>
    <n v="63068"/>
  </r>
  <r>
    <x v="3"/>
    <x v="11"/>
    <s v="Total Electric Power Industry"/>
    <x v="4"/>
    <n v="7393981"/>
  </r>
  <r>
    <x v="3"/>
    <x v="11"/>
    <s v="Total Electric Power Industry"/>
    <x v="5"/>
    <n v="21944"/>
  </r>
  <r>
    <x v="3"/>
    <x v="11"/>
    <s v="Total Electric Power Industry"/>
    <x v="6"/>
    <n v="72"/>
  </r>
  <r>
    <x v="3"/>
    <x v="11"/>
    <s v="Electric Generators, Independent Power Producers"/>
    <x v="0"/>
    <n v="512344"/>
  </r>
  <r>
    <x v="3"/>
    <x v="11"/>
    <s v="Electric Generators, Independent Power Producers"/>
    <x v="11"/>
    <n v="152249"/>
  </r>
  <r>
    <x v="3"/>
    <x v="11"/>
    <s v="Electric Generators, Independent Power Producers"/>
    <x v="8"/>
    <n v="338151"/>
  </r>
  <r>
    <x v="3"/>
    <x v="11"/>
    <s v="Electric Generators, Independent Power Producers"/>
    <x v="5"/>
    <n v="21944"/>
  </r>
  <r>
    <x v="3"/>
    <x v="11"/>
    <s v="Electric Generators, Electric Utilities"/>
    <x v="0"/>
    <n v="6083815"/>
  </r>
  <r>
    <x v="3"/>
    <x v="11"/>
    <s v="Electric Generators, Electric Utilities"/>
    <x v="2"/>
    <n v="13752"/>
  </r>
  <r>
    <x v="3"/>
    <x v="11"/>
    <s v="Electric Generators, Electric Utilities"/>
    <x v="4"/>
    <n v="6070063"/>
  </r>
  <r>
    <x v="3"/>
    <x v="11"/>
    <s v="Combined Heat and Power, Industrial Power"/>
    <x v="0"/>
    <n v="762928"/>
  </r>
  <r>
    <x v="3"/>
    <x v="11"/>
    <s v="Combined Heat and Power, Industrial Power"/>
    <x v="1"/>
    <n v="19253"/>
  </r>
  <r>
    <x v="3"/>
    <x v="11"/>
    <s v="Combined Heat and Power, Industrial Power"/>
    <x v="2"/>
    <n v="42491"/>
  </r>
  <r>
    <x v="3"/>
    <x v="11"/>
    <s v="Combined Heat and Power, Industrial Power"/>
    <x v="8"/>
    <n v="368412"/>
  </r>
  <r>
    <x v="3"/>
    <x v="11"/>
    <s v="Combined Heat and Power, Industrial Power"/>
    <x v="9"/>
    <n v="63068"/>
  </r>
  <r>
    <x v="3"/>
    <x v="11"/>
    <s v="Combined Heat and Power, Industrial Power"/>
    <x v="4"/>
    <n v="269632"/>
  </r>
  <r>
    <x v="3"/>
    <x v="11"/>
    <s v="Combined Heat and Power, Industrial Power"/>
    <x v="6"/>
    <n v="72"/>
  </r>
  <r>
    <x v="3"/>
    <x v="11"/>
    <s v="Combined Heat and Power, Electric Power"/>
    <x v="0"/>
    <n v="2584600"/>
  </r>
  <r>
    <x v="3"/>
    <x v="11"/>
    <s v="Combined Heat and Power, Electric Power"/>
    <x v="1"/>
    <n v="1459821"/>
  </r>
  <r>
    <x v="3"/>
    <x v="11"/>
    <s v="Combined Heat and Power, Electric Power"/>
    <x v="8"/>
    <n v="70493"/>
  </r>
  <r>
    <x v="3"/>
    <x v="11"/>
    <s v="Combined Heat and Power, Electric Power"/>
    <x v="4"/>
    <n v="1054286"/>
  </r>
  <r>
    <x v="3"/>
    <x v="12"/>
    <s v="Total Electric Power Industry"/>
    <x v="0"/>
    <n v="32049013"/>
  </r>
  <r>
    <x v="3"/>
    <x v="12"/>
    <s v="Total Electric Power Industry"/>
    <x v="1"/>
    <n v="27531644"/>
  </r>
  <r>
    <x v="3"/>
    <x v="12"/>
    <s v="Total Electric Power Industry"/>
    <x v="2"/>
    <n v="747182"/>
  </r>
  <r>
    <x v="3"/>
    <x v="12"/>
    <s v="Total Electric Power Industry"/>
    <x v="3"/>
    <n v="448989"/>
  </r>
  <r>
    <x v="3"/>
    <x v="12"/>
    <s v="Total Electric Power Industry"/>
    <x v="7"/>
    <n v="3235009"/>
  </r>
  <r>
    <x v="3"/>
    <x v="12"/>
    <s v="Total Electric Power Industry"/>
    <x v="8"/>
    <n v="29264"/>
  </r>
  <r>
    <x v="3"/>
    <x v="12"/>
    <s v="Total Electric Power Industry"/>
    <x v="4"/>
    <n v="56925"/>
  </r>
  <r>
    <x v="3"/>
    <x v="12"/>
    <s v="Total Electric Power Industry"/>
    <x v="5"/>
    <n v="0"/>
  </r>
  <r>
    <x v="3"/>
    <x v="12"/>
    <s v="Electric Generators, Independent Power Producers"/>
    <x v="0"/>
    <n v="14604"/>
  </r>
  <r>
    <x v="3"/>
    <x v="12"/>
    <s v="Electric Generators, Independent Power Producers"/>
    <x v="2"/>
    <n v="10159"/>
  </r>
  <r>
    <x v="3"/>
    <x v="12"/>
    <s v="Electric Generators, Independent Power Producers"/>
    <x v="3"/>
    <n v="2342"/>
  </r>
  <r>
    <x v="3"/>
    <x v="12"/>
    <s v="Electric Generators, Independent Power Producers"/>
    <x v="4"/>
    <n v="2103"/>
  </r>
  <r>
    <x v="3"/>
    <x v="12"/>
    <s v="Electric Generators, Electric Utilities"/>
    <x v="0"/>
    <n v="30991690"/>
  </r>
  <r>
    <x v="3"/>
    <x v="12"/>
    <s v="Electric Generators, Electric Utilities"/>
    <x v="1"/>
    <n v="26642524"/>
  </r>
  <r>
    <x v="3"/>
    <x v="12"/>
    <s v="Electric Generators, Electric Utilities"/>
    <x v="2"/>
    <n v="737023"/>
  </r>
  <r>
    <x v="3"/>
    <x v="12"/>
    <s v="Electric Generators, Electric Utilities"/>
    <x v="3"/>
    <n v="308065"/>
  </r>
  <r>
    <x v="3"/>
    <x v="12"/>
    <s v="Electric Generators, Electric Utilities"/>
    <x v="7"/>
    <n v="3235009"/>
  </r>
  <r>
    <x v="3"/>
    <x v="12"/>
    <s v="Electric Generators, Electric Utilities"/>
    <x v="8"/>
    <n v="19558"/>
  </r>
  <r>
    <x v="3"/>
    <x v="12"/>
    <s v="Electric Generators, Electric Utilities"/>
    <x v="4"/>
    <n v="49511"/>
  </r>
  <r>
    <x v="3"/>
    <x v="12"/>
    <s v="Electric Generators, Electric Utilities"/>
    <x v="5"/>
    <n v="0"/>
  </r>
  <r>
    <x v="3"/>
    <x v="12"/>
    <s v="Combined Heat and Power, Industrial Power"/>
    <x v="0"/>
    <n v="860640"/>
  </r>
  <r>
    <x v="3"/>
    <x v="12"/>
    <s v="Combined Heat and Power, Industrial Power"/>
    <x v="1"/>
    <n v="751583"/>
  </r>
  <r>
    <x v="3"/>
    <x v="12"/>
    <s v="Combined Heat and Power, Industrial Power"/>
    <x v="3"/>
    <n v="107914"/>
  </r>
  <r>
    <x v="3"/>
    <x v="12"/>
    <s v="Combined Heat and Power, Industrial Power"/>
    <x v="8"/>
    <n v="393"/>
  </r>
  <r>
    <x v="3"/>
    <x v="12"/>
    <s v="Combined Heat and Power, Industrial Power"/>
    <x v="4"/>
    <n v="750"/>
  </r>
  <r>
    <x v="3"/>
    <x v="12"/>
    <s v="Combined Heat and Power, Electric Power"/>
    <x v="0"/>
    <n v="98493"/>
  </r>
  <r>
    <x v="3"/>
    <x v="12"/>
    <s v="Combined Heat and Power, Electric Power"/>
    <x v="1"/>
    <n v="87852"/>
  </r>
  <r>
    <x v="3"/>
    <x v="12"/>
    <s v="Combined Heat and Power, Electric Power"/>
    <x v="3"/>
    <n v="7391"/>
  </r>
  <r>
    <x v="3"/>
    <x v="12"/>
    <s v="Combined Heat and Power, Electric Power"/>
    <x v="8"/>
    <n v="3250"/>
  </r>
  <r>
    <x v="3"/>
    <x v="12"/>
    <s v="Combined Heat and Power, Commercial Power"/>
    <x v="0"/>
    <n v="83586"/>
  </r>
  <r>
    <x v="3"/>
    <x v="12"/>
    <s v="Combined Heat and Power, Commercial Power"/>
    <x v="1"/>
    <n v="49685"/>
  </r>
  <r>
    <x v="3"/>
    <x v="12"/>
    <s v="Combined Heat and Power, Commercial Power"/>
    <x v="3"/>
    <n v="23277"/>
  </r>
  <r>
    <x v="3"/>
    <x v="12"/>
    <s v="Combined Heat and Power, Commercial Power"/>
    <x v="8"/>
    <n v="6063"/>
  </r>
  <r>
    <x v="3"/>
    <x v="12"/>
    <s v="Combined Heat and Power, Commercial Power"/>
    <x v="4"/>
    <n v="4561"/>
  </r>
  <r>
    <x v="3"/>
    <x v="13"/>
    <s v="Total Electric Power Industry"/>
    <x v="0"/>
    <n v="10533433"/>
  </r>
  <r>
    <x v="3"/>
    <x v="13"/>
    <s v="Total Electric Power Industry"/>
    <x v="1"/>
    <n v="39299"/>
  </r>
  <r>
    <x v="3"/>
    <x v="13"/>
    <s v="Total Electric Power Industry"/>
    <x v="2"/>
    <n v="9715485"/>
  </r>
  <r>
    <x v="3"/>
    <x v="13"/>
    <s v="Total Electric Power Industry"/>
    <x v="3"/>
    <n v="156736"/>
  </r>
  <r>
    <x v="3"/>
    <x v="13"/>
    <s v="Total Electric Power Industry"/>
    <x v="12"/>
    <n v="74844"/>
  </r>
  <r>
    <x v="3"/>
    <x v="13"/>
    <s v="Total Electric Power Industry"/>
    <x v="8"/>
    <n v="10240"/>
  </r>
  <r>
    <x v="3"/>
    <x v="13"/>
    <s v="Total Electric Power Industry"/>
    <x v="4"/>
    <n v="432"/>
  </r>
  <r>
    <x v="3"/>
    <x v="13"/>
    <s v="Total Electric Power Industry"/>
    <x v="6"/>
    <n v="536397"/>
  </r>
  <r>
    <x v="3"/>
    <x v="13"/>
    <s v="Electric Generators, Independent Power Producers"/>
    <x v="0"/>
    <n v="692934"/>
  </r>
  <r>
    <x v="3"/>
    <x v="13"/>
    <s v="Electric Generators, Independent Power Producers"/>
    <x v="2"/>
    <n v="692934"/>
  </r>
  <r>
    <x v="3"/>
    <x v="13"/>
    <s v="Electric Generators, Electric Utilities"/>
    <x v="0"/>
    <n v="9022654"/>
  </r>
  <r>
    <x v="3"/>
    <x v="13"/>
    <s v="Electric Generators, Electric Utilities"/>
    <x v="2"/>
    <n v="9022551"/>
  </r>
  <r>
    <x v="3"/>
    <x v="13"/>
    <s v="Electric Generators, Electric Utilities"/>
    <x v="4"/>
    <n v="103"/>
  </r>
  <r>
    <x v="3"/>
    <x v="13"/>
    <s v="Combined Heat and Power, Industrial Power"/>
    <x v="0"/>
    <n v="734718"/>
  </r>
  <r>
    <x v="3"/>
    <x v="13"/>
    <s v="Combined Heat and Power, Industrial Power"/>
    <x v="1"/>
    <n v="39299"/>
  </r>
  <r>
    <x v="3"/>
    <x v="13"/>
    <s v="Combined Heat and Power, Industrial Power"/>
    <x v="3"/>
    <n v="156736"/>
  </r>
  <r>
    <x v="3"/>
    <x v="13"/>
    <s v="Combined Heat and Power, Industrial Power"/>
    <x v="12"/>
    <n v="74844"/>
  </r>
  <r>
    <x v="3"/>
    <x v="13"/>
    <s v="Combined Heat and Power, Industrial Power"/>
    <x v="8"/>
    <n v="10240"/>
  </r>
  <r>
    <x v="3"/>
    <x v="13"/>
    <s v="Combined Heat and Power, Industrial Power"/>
    <x v="4"/>
    <n v="329"/>
  </r>
  <r>
    <x v="3"/>
    <x v="13"/>
    <s v="Combined Heat and Power, Industrial Power"/>
    <x v="6"/>
    <n v="453270"/>
  </r>
  <r>
    <x v="3"/>
    <x v="13"/>
    <s v="Combined Heat and Power, Electric Power"/>
    <x v="0"/>
    <n v="83127"/>
  </r>
  <r>
    <x v="3"/>
    <x v="13"/>
    <s v="Combined Heat and Power, Electric Power"/>
    <x v="6"/>
    <n v="83127"/>
  </r>
  <r>
    <x v="3"/>
    <x v="14"/>
    <s v="Total Electric Power Industry"/>
    <x v="0"/>
    <n v="143453091"/>
  </r>
  <r>
    <x v="3"/>
    <x v="14"/>
    <s v="Total Electric Power Industry"/>
    <x v="1"/>
    <n v="61490315"/>
  </r>
  <r>
    <x v="3"/>
    <x v="14"/>
    <s v="Total Electric Power Industry"/>
    <x v="2"/>
    <n v="130194"/>
  </r>
  <r>
    <x v="3"/>
    <x v="14"/>
    <s v="Total Electric Power Industry"/>
    <x v="3"/>
    <n v="2126611"/>
  </r>
  <r>
    <x v="3"/>
    <x v="14"/>
    <s v="Total Electric Power Industry"/>
    <x v="7"/>
    <n v="78373458"/>
  </r>
  <r>
    <x v="3"/>
    <x v="14"/>
    <s v="Total Electric Power Industry"/>
    <x v="8"/>
    <n v="251034"/>
  </r>
  <r>
    <x v="3"/>
    <x v="14"/>
    <s v="Total Electric Power Industry"/>
    <x v="9"/>
    <n v="347139"/>
  </r>
  <r>
    <x v="3"/>
    <x v="14"/>
    <s v="Total Electric Power Industry"/>
    <x v="4"/>
    <n v="734092"/>
  </r>
  <r>
    <x v="3"/>
    <x v="14"/>
    <s v="Total Electric Power Industry"/>
    <x v="6"/>
    <n v="248"/>
  </r>
  <r>
    <x v="3"/>
    <x v="14"/>
    <s v="Electric Generators, Independent Power Producers"/>
    <x v="0"/>
    <n v="273532"/>
  </r>
  <r>
    <x v="3"/>
    <x v="14"/>
    <s v="Electric Generators, Independent Power Producers"/>
    <x v="2"/>
    <n v="86856"/>
  </r>
  <r>
    <x v="3"/>
    <x v="14"/>
    <s v="Electric Generators, Independent Power Producers"/>
    <x v="8"/>
    <n v="186552"/>
  </r>
  <r>
    <x v="3"/>
    <x v="14"/>
    <s v="Electric Generators, Independent Power Producers"/>
    <x v="4"/>
    <n v="124"/>
  </r>
  <r>
    <x v="3"/>
    <x v="14"/>
    <s v="Electric Generators, Electric Utilities"/>
    <x v="0"/>
    <n v="140081020"/>
  </r>
  <r>
    <x v="3"/>
    <x v="14"/>
    <s v="Electric Generators, Electric Utilities"/>
    <x v="1"/>
    <n v="59764568"/>
  </r>
  <r>
    <x v="3"/>
    <x v="14"/>
    <s v="Electric Generators, Electric Utilities"/>
    <x v="2"/>
    <n v="39647"/>
  </r>
  <r>
    <x v="3"/>
    <x v="14"/>
    <s v="Electric Generators, Electric Utilities"/>
    <x v="3"/>
    <n v="1184217"/>
  </r>
  <r>
    <x v="3"/>
    <x v="14"/>
    <s v="Electric Generators, Electric Utilities"/>
    <x v="7"/>
    <n v="78373458"/>
  </r>
  <r>
    <x v="3"/>
    <x v="14"/>
    <s v="Electric Generators, Electric Utilities"/>
    <x v="8"/>
    <n v="0"/>
  </r>
  <r>
    <x v="3"/>
    <x v="14"/>
    <s v="Electric Generators, Electric Utilities"/>
    <x v="4"/>
    <n v="719130"/>
  </r>
  <r>
    <x v="3"/>
    <x v="14"/>
    <s v="Combined Heat and Power, Industrial Power"/>
    <x v="0"/>
    <n v="2763299"/>
  </r>
  <r>
    <x v="3"/>
    <x v="14"/>
    <s v="Combined Heat and Power, Industrial Power"/>
    <x v="1"/>
    <n v="1680298"/>
  </r>
  <r>
    <x v="3"/>
    <x v="14"/>
    <s v="Combined Heat and Power, Industrial Power"/>
    <x v="3"/>
    <n v="692522"/>
  </r>
  <r>
    <x v="3"/>
    <x v="14"/>
    <s v="Combined Heat and Power, Industrial Power"/>
    <x v="8"/>
    <n v="29657"/>
  </r>
  <r>
    <x v="3"/>
    <x v="14"/>
    <s v="Combined Heat and Power, Industrial Power"/>
    <x v="9"/>
    <n v="347139"/>
  </r>
  <r>
    <x v="3"/>
    <x v="14"/>
    <s v="Combined Heat and Power, Industrial Power"/>
    <x v="4"/>
    <n v="13435"/>
  </r>
  <r>
    <x v="3"/>
    <x v="14"/>
    <s v="Combined Heat and Power, Industrial Power"/>
    <x v="6"/>
    <n v="248"/>
  </r>
  <r>
    <x v="3"/>
    <x v="14"/>
    <s v="Combined Heat and Power, Electric Power"/>
    <x v="0"/>
    <n v="42089"/>
  </r>
  <r>
    <x v="3"/>
    <x v="14"/>
    <s v="Combined Heat and Power, Electric Power"/>
    <x v="3"/>
    <n v="10415"/>
  </r>
  <r>
    <x v="3"/>
    <x v="14"/>
    <s v="Combined Heat and Power, Electric Power"/>
    <x v="8"/>
    <n v="31674"/>
  </r>
  <r>
    <x v="3"/>
    <x v="14"/>
    <s v="Combined Heat and Power, Commercial Power"/>
    <x v="0"/>
    <n v="293151"/>
  </r>
  <r>
    <x v="3"/>
    <x v="14"/>
    <s v="Combined Heat and Power, Commercial Power"/>
    <x v="1"/>
    <n v="45449"/>
  </r>
  <r>
    <x v="3"/>
    <x v="14"/>
    <s v="Combined Heat and Power, Commercial Power"/>
    <x v="2"/>
    <n v="3691"/>
  </r>
  <r>
    <x v="3"/>
    <x v="14"/>
    <s v="Combined Heat and Power, Commercial Power"/>
    <x v="3"/>
    <n v="239457"/>
  </r>
  <r>
    <x v="3"/>
    <x v="14"/>
    <s v="Combined Heat and Power, Commercial Power"/>
    <x v="8"/>
    <n v="3151"/>
  </r>
  <r>
    <x v="3"/>
    <x v="14"/>
    <s v="Combined Heat and Power, Commercial Power"/>
    <x v="4"/>
    <n v="1403"/>
  </r>
  <r>
    <x v="3"/>
    <x v="15"/>
    <s v="Total Electric Power Industry"/>
    <x v="0"/>
    <n v="103635138"/>
  </r>
  <r>
    <x v="3"/>
    <x v="15"/>
    <s v="Total Electric Power Industry"/>
    <x v="1"/>
    <n v="99676953"/>
  </r>
  <r>
    <x v="3"/>
    <x v="15"/>
    <s v="Total Electric Power Industry"/>
    <x v="2"/>
    <n v="448400"/>
  </r>
  <r>
    <x v="3"/>
    <x v="15"/>
    <s v="Total Electric Power Industry"/>
    <x v="3"/>
    <n v="974598"/>
  </r>
  <r>
    <x v="3"/>
    <x v="15"/>
    <s v="Total Electric Power Industry"/>
    <x v="8"/>
    <n v="32454"/>
  </r>
  <r>
    <x v="3"/>
    <x v="15"/>
    <s v="Total Electric Power Industry"/>
    <x v="9"/>
    <n v="2130459"/>
  </r>
  <r>
    <x v="3"/>
    <x v="15"/>
    <s v="Total Electric Power Industry"/>
    <x v="4"/>
    <n v="372274"/>
  </r>
  <r>
    <x v="3"/>
    <x v="15"/>
    <s v="Electric Generators, Electric Utilities"/>
    <x v="0"/>
    <n v="99951149"/>
  </r>
  <r>
    <x v="3"/>
    <x v="15"/>
    <s v="Electric Generators, Electric Utilities"/>
    <x v="1"/>
    <n v="98776088"/>
  </r>
  <r>
    <x v="3"/>
    <x v="15"/>
    <s v="Electric Generators, Electric Utilities"/>
    <x v="2"/>
    <n v="448400"/>
  </r>
  <r>
    <x v="3"/>
    <x v="15"/>
    <s v="Electric Generators, Electric Utilities"/>
    <x v="3"/>
    <n v="528813"/>
  </r>
  <r>
    <x v="3"/>
    <x v="15"/>
    <s v="Electric Generators, Electric Utilities"/>
    <x v="4"/>
    <n v="197848"/>
  </r>
  <r>
    <x v="3"/>
    <x v="15"/>
    <s v="Combined Heat and Power, Industrial Power"/>
    <x v="0"/>
    <n v="3533293"/>
  </r>
  <r>
    <x v="3"/>
    <x v="15"/>
    <s v="Combined Heat and Power, Industrial Power"/>
    <x v="1"/>
    <n v="815007"/>
  </r>
  <r>
    <x v="3"/>
    <x v="15"/>
    <s v="Combined Heat and Power, Industrial Power"/>
    <x v="3"/>
    <n v="416301"/>
  </r>
  <r>
    <x v="3"/>
    <x v="15"/>
    <s v="Combined Heat and Power, Industrial Power"/>
    <x v="9"/>
    <n v="2130459"/>
  </r>
  <r>
    <x v="3"/>
    <x v="15"/>
    <s v="Combined Heat and Power, Industrial Power"/>
    <x v="4"/>
    <n v="171526"/>
  </r>
  <r>
    <x v="3"/>
    <x v="15"/>
    <s v="Combined Heat and Power, Commercial Power"/>
    <x v="0"/>
    <n v="150696"/>
  </r>
  <r>
    <x v="3"/>
    <x v="15"/>
    <s v="Combined Heat and Power, Commercial Power"/>
    <x v="1"/>
    <n v="85858"/>
  </r>
  <r>
    <x v="3"/>
    <x v="15"/>
    <s v="Combined Heat and Power, Commercial Power"/>
    <x v="3"/>
    <n v="29484"/>
  </r>
  <r>
    <x v="3"/>
    <x v="15"/>
    <s v="Combined Heat and Power, Commercial Power"/>
    <x v="8"/>
    <n v="32454"/>
  </r>
  <r>
    <x v="3"/>
    <x v="15"/>
    <s v="Combined Heat and Power, Commercial Power"/>
    <x v="4"/>
    <n v="2900"/>
  </r>
  <r>
    <x v="3"/>
    <x v="16"/>
    <s v="Total Electric Power Industry"/>
    <x v="0"/>
    <n v="36742567"/>
  </r>
  <r>
    <x v="3"/>
    <x v="16"/>
    <s v="Total Electric Power Industry"/>
    <x v="1"/>
    <n v="26799665"/>
  </r>
  <r>
    <x v="3"/>
    <x v="16"/>
    <s v="Total Electric Power Industry"/>
    <x v="2"/>
    <n v="4985"/>
  </r>
  <r>
    <x v="3"/>
    <x v="16"/>
    <s v="Total Electric Power Industry"/>
    <x v="3"/>
    <n v="1942454"/>
  </r>
  <r>
    <x v="3"/>
    <x v="16"/>
    <s v="Total Electric Power Industry"/>
    <x v="7"/>
    <n v="7899543"/>
  </r>
  <r>
    <x v="3"/>
    <x v="16"/>
    <s v="Total Electric Power Industry"/>
    <x v="4"/>
    <n v="95862"/>
  </r>
  <r>
    <x v="3"/>
    <x v="16"/>
    <s v="Total Electric Power Industry"/>
    <x v="5"/>
    <n v="58"/>
  </r>
  <r>
    <x v="3"/>
    <x v="16"/>
    <s v="Electric Generators, Independent Power Producers"/>
    <x v="0"/>
    <n v="4985"/>
  </r>
  <r>
    <x v="3"/>
    <x v="16"/>
    <s v="Electric Generators, Independent Power Producers"/>
    <x v="2"/>
    <n v="4985"/>
  </r>
  <r>
    <x v="3"/>
    <x v="16"/>
    <s v="Electric Generators, Electric Utilities"/>
    <x v="0"/>
    <n v="36432577"/>
  </r>
  <r>
    <x v="3"/>
    <x v="16"/>
    <s v="Electric Generators, Electric Utilities"/>
    <x v="1"/>
    <n v="26799665"/>
  </r>
  <r>
    <x v="3"/>
    <x v="16"/>
    <s v="Electric Generators, Electric Utilities"/>
    <x v="3"/>
    <n v="1656848"/>
  </r>
  <r>
    <x v="3"/>
    <x v="16"/>
    <s v="Electric Generators, Electric Utilities"/>
    <x v="7"/>
    <n v="7899543"/>
  </r>
  <r>
    <x v="3"/>
    <x v="16"/>
    <s v="Electric Generators, Electric Utilities"/>
    <x v="4"/>
    <n v="76463"/>
  </r>
  <r>
    <x v="3"/>
    <x v="16"/>
    <s v="Electric Generators, Electric Utilities"/>
    <x v="5"/>
    <n v="58"/>
  </r>
  <r>
    <x v="3"/>
    <x v="16"/>
    <s v="Combined Heat and Power, Industrial Power"/>
    <x v="0"/>
    <n v="305005"/>
  </r>
  <r>
    <x v="3"/>
    <x v="16"/>
    <s v="Combined Heat and Power, Industrial Power"/>
    <x v="3"/>
    <n v="285606"/>
  </r>
  <r>
    <x v="3"/>
    <x v="16"/>
    <s v="Combined Heat and Power, Industrial Power"/>
    <x v="4"/>
    <n v="19399"/>
  </r>
  <r>
    <x v="3"/>
    <x v="17"/>
    <s v="Total Electric Power Industry"/>
    <x v="0"/>
    <n v="84997718"/>
  </r>
  <r>
    <x v="3"/>
    <x v="17"/>
    <s v="Total Electric Power Industry"/>
    <x v="1"/>
    <n v="81722246"/>
  </r>
  <r>
    <x v="3"/>
    <x v="17"/>
    <s v="Total Electric Power Industry"/>
    <x v="2"/>
    <n v="3155113"/>
  </r>
  <r>
    <x v="3"/>
    <x v="17"/>
    <s v="Total Electric Power Industry"/>
    <x v="3"/>
    <n v="23632"/>
  </r>
  <r>
    <x v="3"/>
    <x v="17"/>
    <s v="Total Electric Power Industry"/>
    <x v="4"/>
    <n v="96727"/>
  </r>
  <r>
    <x v="3"/>
    <x v="17"/>
    <s v="Electric Generators, Electric Utilities"/>
    <x v="0"/>
    <n v="84997718"/>
  </r>
  <r>
    <x v="3"/>
    <x v="17"/>
    <s v="Electric Generators, Electric Utilities"/>
    <x v="1"/>
    <n v="81722246"/>
  </r>
  <r>
    <x v="3"/>
    <x v="17"/>
    <s v="Electric Generators, Electric Utilities"/>
    <x v="2"/>
    <n v="3155113"/>
  </r>
  <r>
    <x v="3"/>
    <x v="17"/>
    <s v="Electric Generators, Electric Utilities"/>
    <x v="3"/>
    <n v="23632"/>
  </r>
  <r>
    <x v="3"/>
    <x v="17"/>
    <s v="Electric Generators, Electric Utilities"/>
    <x v="4"/>
    <n v="96727"/>
  </r>
  <r>
    <x v="3"/>
    <x v="18"/>
    <s v="Total Electric Power Industry"/>
    <x v="0"/>
    <n v="78975535"/>
  </r>
  <r>
    <x v="3"/>
    <x v="18"/>
    <s v="Total Electric Power Industry"/>
    <x v="1"/>
    <n v="19411728"/>
  </r>
  <r>
    <x v="3"/>
    <x v="18"/>
    <s v="Total Electric Power Industry"/>
    <x v="2"/>
    <n v="1231946"/>
  </r>
  <r>
    <x v="3"/>
    <x v="18"/>
    <s v="Total Electric Power Industry"/>
    <x v="3"/>
    <n v="36355225"/>
  </r>
  <r>
    <x v="3"/>
    <x v="18"/>
    <s v="Total Electric Power Industry"/>
    <x v="7"/>
    <n v="14398103"/>
  </r>
  <r>
    <x v="3"/>
    <x v="18"/>
    <s v="Total Electric Power Industry"/>
    <x v="12"/>
    <n v="716315"/>
  </r>
  <r>
    <x v="3"/>
    <x v="18"/>
    <s v="Total Electric Power Industry"/>
    <x v="8"/>
    <n v="84369"/>
  </r>
  <r>
    <x v="3"/>
    <x v="18"/>
    <s v="Total Electric Power Industry"/>
    <x v="9"/>
    <n v="700587"/>
  </r>
  <r>
    <x v="3"/>
    <x v="18"/>
    <s v="Total Electric Power Industry"/>
    <x v="4"/>
    <n v="3487566"/>
  </r>
  <r>
    <x v="3"/>
    <x v="18"/>
    <s v="Total Electric Power Industry"/>
    <x v="6"/>
    <n v="2589696"/>
  </r>
  <r>
    <x v="3"/>
    <x v="18"/>
    <s v="Electric Generators, Independent Power Producers"/>
    <x v="0"/>
    <n v="1434475"/>
  </r>
  <r>
    <x v="3"/>
    <x v="18"/>
    <s v="Electric Generators, Independent Power Producers"/>
    <x v="2"/>
    <n v="1231946"/>
  </r>
  <r>
    <x v="3"/>
    <x v="18"/>
    <s v="Electric Generators, Independent Power Producers"/>
    <x v="3"/>
    <n v="25247"/>
  </r>
  <r>
    <x v="3"/>
    <x v="18"/>
    <s v="Electric Generators, Independent Power Producers"/>
    <x v="8"/>
    <n v="80529"/>
  </r>
  <r>
    <x v="3"/>
    <x v="18"/>
    <s v="Electric Generators, Independent Power Producers"/>
    <x v="4"/>
    <n v="96753"/>
  </r>
  <r>
    <x v="3"/>
    <x v="18"/>
    <s v="Electric Generators, Electric Utilities"/>
    <x v="0"/>
    <n v="59352572"/>
  </r>
  <r>
    <x v="3"/>
    <x v="18"/>
    <s v="Electric Generators, Electric Utilities"/>
    <x v="1"/>
    <n v="19365873"/>
  </r>
  <r>
    <x v="3"/>
    <x v="18"/>
    <s v="Electric Generators, Electric Utilities"/>
    <x v="3"/>
    <n v="23750752"/>
  </r>
  <r>
    <x v="3"/>
    <x v="18"/>
    <s v="Electric Generators, Electric Utilities"/>
    <x v="7"/>
    <n v="14398103"/>
  </r>
  <r>
    <x v="3"/>
    <x v="18"/>
    <s v="Electric Generators, Electric Utilities"/>
    <x v="4"/>
    <n v="1837844"/>
  </r>
  <r>
    <x v="3"/>
    <x v="18"/>
    <s v="Combined Heat and Power, Industrial Power"/>
    <x v="0"/>
    <n v="16584423"/>
  </r>
  <r>
    <x v="3"/>
    <x v="18"/>
    <s v="Combined Heat and Power, Industrial Power"/>
    <x v="1"/>
    <n v="45855"/>
  </r>
  <r>
    <x v="3"/>
    <x v="18"/>
    <s v="Combined Heat and Power, Industrial Power"/>
    <x v="3"/>
    <n v="12508108"/>
  </r>
  <r>
    <x v="3"/>
    <x v="18"/>
    <s v="Combined Heat and Power, Industrial Power"/>
    <x v="12"/>
    <n v="716315"/>
  </r>
  <r>
    <x v="3"/>
    <x v="18"/>
    <s v="Combined Heat and Power, Industrial Power"/>
    <x v="8"/>
    <n v="3840"/>
  </r>
  <r>
    <x v="3"/>
    <x v="18"/>
    <s v="Combined Heat and Power, Industrial Power"/>
    <x v="9"/>
    <n v="700587"/>
  </r>
  <r>
    <x v="3"/>
    <x v="18"/>
    <s v="Combined Heat and Power, Industrial Power"/>
    <x v="4"/>
    <n v="20022"/>
  </r>
  <r>
    <x v="3"/>
    <x v="18"/>
    <s v="Combined Heat and Power, Industrial Power"/>
    <x v="6"/>
    <n v="2589696"/>
  </r>
  <r>
    <x v="3"/>
    <x v="18"/>
    <s v="Combined Heat and Power, Electric Power"/>
    <x v="0"/>
    <n v="1579013"/>
  </r>
  <r>
    <x v="3"/>
    <x v="18"/>
    <s v="Combined Heat and Power, Electric Power"/>
    <x v="3"/>
    <n v="46066"/>
  </r>
  <r>
    <x v="3"/>
    <x v="18"/>
    <s v="Combined Heat and Power, Electric Power"/>
    <x v="4"/>
    <n v="1532947"/>
  </r>
  <r>
    <x v="3"/>
    <x v="18"/>
    <s v="Combined Heat and Power, Commercial Power"/>
    <x v="0"/>
    <n v="25052"/>
  </r>
  <r>
    <x v="3"/>
    <x v="18"/>
    <s v="Combined Heat and Power, Commercial Power"/>
    <x v="3"/>
    <n v="25052"/>
  </r>
  <r>
    <x v="3"/>
    <x v="19"/>
    <s v="Total Electric Power Industry"/>
    <x v="0"/>
    <n v="37079208"/>
  </r>
  <r>
    <x v="3"/>
    <x v="19"/>
    <s v="Total Electric Power Industry"/>
    <x v="1"/>
    <n v="9930394"/>
  </r>
  <r>
    <x v="3"/>
    <x v="19"/>
    <s v="Total Electric Power Industry"/>
    <x v="2"/>
    <n v="882373"/>
  </r>
  <r>
    <x v="3"/>
    <x v="19"/>
    <s v="Total Electric Power Industry"/>
    <x v="3"/>
    <n v="9050108"/>
  </r>
  <r>
    <x v="3"/>
    <x v="19"/>
    <s v="Total Electric Power Industry"/>
    <x v="7"/>
    <n v="4338685"/>
  </r>
  <r>
    <x v="3"/>
    <x v="19"/>
    <s v="Total Electric Power Industry"/>
    <x v="8"/>
    <n v="1858998"/>
  </r>
  <r>
    <x v="3"/>
    <x v="19"/>
    <s v="Total Electric Power Industry"/>
    <x v="4"/>
    <n v="11591852"/>
  </r>
  <r>
    <x v="3"/>
    <x v="19"/>
    <s v="Total Electric Power Industry"/>
    <x v="10"/>
    <n v="-678809"/>
  </r>
  <r>
    <x v="3"/>
    <x v="19"/>
    <s v="Total Electric Power Industry"/>
    <x v="5"/>
    <n v="0"/>
  </r>
  <r>
    <x v="3"/>
    <x v="19"/>
    <s v="Total Electric Power Industry"/>
    <x v="6"/>
    <n v="105607"/>
  </r>
  <r>
    <x v="3"/>
    <x v="19"/>
    <s v="Electric Generators, Independent Power Producers"/>
    <x v="0"/>
    <n v="2397608"/>
  </r>
  <r>
    <x v="3"/>
    <x v="19"/>
    <s v="Electric Generators, Independent Power Producers"/>
    <x v="2"/>
    <n v="194017"/>
  </r>
  <r>
    <x v="3"/>
    <x v="19"/>
    <s v="Electric Generators, Independent Power Producers"/>
    <x v="3"/>
    <n v="391370"/>
  </r>
  <r>
    <x v="3"/>
    <x v="19"/>
    <s v="Electric Generators, Independent Power Producers"/>
    <x v="8"/>
    <n v="1694471"/>
  </r>
  <r>
    <x v="3"/>
    <x v="19"/>
    <s v="Electric Generators, Independent Power Producers"/>
    <x v="4"/>
    <n v="13938"/>
  </r>
  <r>
    <x v="3"/>
    <x v="19"/>
    <s v="Electric Generators, Independent Power Producers"/>
    <x v="6"/>
    <n v="103812"/>
  </r>
  <r>
    <x v="3"/>
    <x v="19"/>
    <s v="Electric Generators, Electric Utilities"/>
    <x v="0"/>
    <n v="28163544"/>
  </r>
  <r>
    <x v="3"/>
    <x v="19"/>
    <s v="Electric Generators, Electric Utilities"/>
    <x v="1"/>
    <n v="9815909"/>
  </r>
  <r>
    <x v="3"/>
    <x v="19"/>
    <s v="Electric Generators, Electric Utilities"/>
    <x v="2"/>
    <n v="677833"/>
  </r>
  <r>
    <x v="3"/>
    <x v="19"/>
    <s v="Electric Generators, Electric Utilities"/>
    <x v="3"/>
    <n v="2897352"/>
  </r>
  <r>
    <x v="3"/>
    <x v="19"/>
    <s v="Electric Generators, Electric Utilities"/>
    <x v="7"/>
    <n v="4338685"/>
  </r>
  <r>
    <x v="3"/>
    <x v="19"/>
    <s v="Electric Generators, Electric Utilities"/>
    <x v="4"/>
    <n v="11112574"/>
  </r>
  <r>
    <x v="3"/>
    <x v="19"/>
    <s v="Electric Generators, Electric Utilities"/>
    <x v="10"/>
    <n v="-678809"/>
  </r>
  <r>
    <x v="3"/>
    <x v="19"/>
    <s v="Electric Generators, Electric Utilities"/>
    <x v="5"/>
    <n v="0"/>
  </r>
  <r>
    <x v="3"/>
    <x v="19"/>
    <s v="Combined Heat and Power, Industrial Power"/>
    <x v="0"/>
    <n v="604432"/>
  </r>
  <r>
    <x v="3"/>
    <x v="19"/>
    <s v="Combined Heat and Power, Industrial Power"/>
    <x v="1"/>
    <n v="41529"/>
  </r>
  <r>
    <x v="3"/>
    <x v="19"/>
    <s v="Combined Heat and Power, Industrial Power"/>
    <x v="2"/>
    <n v="10523"/>
  </r>
  <r>
    <x v="3"/>
    <x v="19"/>
    <s v="Combined Heat and Power, Industrial Power"/>
    <x v="3"/>
    <n v="150308"/>
  </r>
  <r>
    <x v="3"/>
    <x v="19"/>
    <s v="Combined Heat and Power, Industrial Power"/>
    <x v="8"/>
    <n v="103218"/>
  </r>
  <r>
    <x v="3"/>
    <x v="19"/>
    <s v="Combined Heat and Power, Industrial Power"/>
    <x v="4"/>
    <n v="298854"/>
  </r>
  <r>
    <x v="3"/>
    <x v="19"/>
    <s v="Combined Heat and Power, Electric Power"/>
    <x v="0"/>
    <n v="5618537"/>
  </r>
  <r>
    <x v="3"/>
    <x v="19"/>
    <s v="Combined Heat and Power, Electric Power"/>
    <x v="1"/>
    <n v="72956"/>
  </r>
  <r>
    <x v="3"/>
    <x v="19"/>
    <s v="Combined Heat and Power, Electric Power"/>
    <x v="3"/>
    <n v="5466540"/>
  </r>
  <r>
    <x v="3"/>
    <x v="19"/>
    <s v="Combined Heat and Power, Electric Power"/>
    <x v="8"/>
    <n v="45271"/>
  </r>
  <r>
    <x v="3"/>
    <x v="19"/>
    <s v="Combined Heat and Power, Electric Power"/>
    <x v="4"/>
    <n v="31975"/>
  </r>
  <r>
    <x v="3"/>
    <x v="19"/>
    <s v="Combined Heat and Power, Electric Power"/>
    <x v="6"/>
    <n v="1795"/>
  </r>
  <r>
    <x v="3"/>
    <x v="19"/>
    <s v="Combined Heat and Power, Commercial Power"/>
    <x v="0"/>
    <n v="295087"/>
  </r>
  <r>
    <x v="3"/>
    <x v="19"/>
    <s v="Combined Heat and Power, Commercial Power"/>
    <x v="3"/>
    <n v="144538"/>
  </r>
  <r>
    <x v="3"/>
    <x v="19"/>
    <s v="Combined Heat and Power, Commercial Power"/>
    <x v="8"/>
    <n v="16038"/>
  </r>
  <r>
    <x v="3"/>
    <x v="19"/>
    <s v="Combined Heat and Power, Commercial Power"/>
    <x v="4"/>
    <n v="134511"/>
  </r>
  <r>
    <x v="3"/>
    <x v="20"/>
    <s v="Total Electric Power Industry"/>
    <x v="0"/>
    <n v="44977888"/>
  </r>
  <r>
    <x v="3"/>
    <x v="20"/>
    <s v="Total Electric Power Industry"/>
    <x v="1"/>
    <n v="25126979"/>
  </r>
  <r>
    <x v="3"/>
    <x v="20"/>
    <s v="Total Electric Power Industry"/>
    <x v="2"/>
    <n v="1658271"/>
  </r>
  <r>
    <x v="3"/>
    <x v="20"/>
    <s v="Total Electric Power Industry"/>
    <x v="3"/>
    <n v="772304"/>
  </r>
  <r>
    <x v="3"/>
    <x v="20"/>
    <s v="Total Electric Power Industry"/>
    <x v="7"/>
    <n v="12300816"/>
  </r>
  <r>
    <x v="3"/>
    <x v="20"/>
    <s v="Total Electric Power Industry"/>
    <x v="8"/>
    <n v="303818"/>
  </r>
  <r>
    <x v="3"/>
    <x v="20"/>
    <s v="Total Electric Power Industry"/>
    <x v="9"/>
    <n v="475788"/>
  </r>
  <r>
    <x v="3"/>
    <x v="20"/>
    <s v="Total Electric Power Industry"/>
    <x v="4"/>
    <n v="4164790"/>
  </r>
  <r>
    <x v="3"/>
    <x v="20"/>
    <s v="Total Electric Power Industry"/>
    <x v="6"/>
    <n v="175122"/>
  </r>
  <r>
    <x v="3"/>
    <x v="20"/>
    <s v="Electric Generators, Independent Power Producers"/>
    <x v="0"/>
    <n v="18436"/>
  </r>
  <r>
    <x v="3"/>
    <x v="20"/>
    <s v="Electric Generators, Independent Power Producers"/>
    <x v="3"/>
    <n v="102"/>
  </r>
  <r>
    <x v="3"/>
    <x v="20"/>
    <s v="Electric Generators, Independent Power Producers"/>
    <x v="8"/>
    <n v="18334"/>
  </r>
  <r>
    <x v="3"/>
    <x v="20"/>
    <s v="Electric Generators, Electric Utilities"/>
    <x v="0"/>
    <n v="43488284"/>
  </r>
  <r>
    <x v="3"/>
    <x v="20"/>
    <s v="Electric Generators, Electric Utilities"/>
    <x v="1"/>
    <n v="24890670"/>
  </r>
  <r>
    <x v="3"/>
    <x v="20"/>
    <s v="Electric Generators, Electric Utilities"/>
    <x v="2"/>
    <n v="1658271"/>
  </r>
  <r>
    <x v="3"/>
    <x v="20"/>
    <s v="Electric Generators, Electric Utilities"/>
    <x v="3"/>
    <n v="684750"/>
  </r>
  <r>
    <x v="3"/>
    <x v="20"/>
    <s v="Electric Generators, Electric Utilities"/>
    <x v="7"/>
    <n v="12300816"/>
  </r>
  <r>
    <x v="3"/>
    <x v="20"/>
    <s v="Electric Generators, Electric Utilities"/>
    <x v="4"/>
    <n v="3953777"/>
  </r>
  <r>
    <x v="3"/>
    <x v="20"/>
    <s v="Combined Heat and Power, Industrial Power"/>
    <x v="0"/>
    <n v="426309"/>
  </r>
  <r>
    <x v="3"/>
    <x v="20"/>
    <s v="Combined Heat and Power, Industrial Power"/>
    <x v="1"/>
    <n v="236309"/>
  </r>
  <r>
    <x v="3"/>
    <x v="20"/>
    <s v="Combined Heat and Power, Industrial Power"/>
    <x v="3"/>
    <n v="28295"/>
  </r>
  <r>
    <x v="3"/>
    <x v="20"/>
    <s v="Combined Heat and Power, Industrial Power"/>
    <x v="4"/>
    <n v="2209"/>
  </r>
  <r>
    <x v="3"/>
    <x v="20"/>
    <s v="Combined Heat and Power, Industrial Power"/>
    <x v="6"/>
    <n v="159496"/>
  </r>
  <r>
    <x v="3"/>
    <x v="20"/>
    <s v="Combined Heat and Power, Electric Power"/>
    <x v="0"/>
    <n v="1017379"/>
  </r>
  <r>
    <x v="3"/>
    <x v="20"/>
    <s v="Combined Heat and Power, Electric Power"/>
    <x v="3"/>
    <n v="59157"/>
  </r>
  <r>
    <x v="3"/>
    <x v="20"/>
    <s v="Combined Heat and Power, Electric Power"/>
    <x v="8"/>
    <n v="274214"/>
  </r>
  <r>
    <x v="3"/>
    <x v="20"/>
    <s v="Combined Heat and Power, Electric Power"/>
    <x v="9"/>
    <n v="475788"/>
  </r>
  <r>
    <x v="3"/>
    <x v="20"/>
    <s v="Combined Heat and Power, Electric Power"/>
    <x v="4"/>
    <n v="208220"/>
  </r>
  <r>
    <x v="3"/>
    <x v="20"/>
    <s v="Combined Heat and Power, Commercial Power"/>
    <x v="0"/>
    <n v="27480"/>
  </r>
  <r>
    <x v="3"/>
    <x v="20"/>
    <s v="Combined Heat and Power, Commercial Power"/>
    <x v="8"/>
    <n v="11270"/>
  </r>
  <r>
    <x v="3"/>
    <x v="20"/>
    <s v="Combined Heat and Power, Commercial Power"/>
    <x v="4"/>
    <n v="584"/>
  </r>
  <r>
    <x v="3"/>
    <x v="20"/>
    <s v="Combined Heat and Power, Commercial Power"/>
    <x v="6"/>
    <n v="15626"/>
  </r>
  <r>
    <x v="3"/>
    <x v="21"/>
    <s v="Total Electric Power Industry"/>
    <x v="0"/>
    <n v="15614272"/>
  </r>
  <r>
    <x v="3"/>
    <x v="21"/>
    <s v="Total Electric Power Industry"/>
    <x v="1"/>
    <n v="549170"/>
  </r>
  <r>
    <x v="3"/>
    <x v="21"/>
    <s v="Total Electric Power Industry"/>
    <x v="2"/>
    <n v="3245780"/>
  </r>
  <r>
    <x v="3"/>
    <x v="21"/>
    <s v="Total Electric Power Industry"/>
    <x v="3"/>
    <n v="9878"/>
  </r>
  <r>
    <x v="3"/>
    <x v="21"/>
    <s v="Total Electric Power Industry"/>
    <x v="7"/>
    <n v="5739866"/>
  </r>
  <r>
    <x v="3"/>
    <x v="21"/>
    <s v="Total Electric Power Industry"/>
    <x v="8"/>
    <n v="489107"/>
  </r>
  <r>
    <x v="3"/>
    <x v="21"/>
    <s v="Total Electric Power Industry"/>
    <x v="9"/>
    <n v="4788"/>
  </r>
  <r>
    <x v="3"/>
    <x v="21"/>
    <s v="Total Electric Power Industry"/>
    <x v="4"/>
    <n v="1863091"/>
  </r>
  <r>
    <x v="3"/>
    <x v="21"/>
    <s v="Total Electric Power Industry"/>
    <x v="6"/>
    <n v="3712592"/>
  </r>
  <r>
    <x v="3"/>
    <x v="21"/>
    <s v="Electric Generators, Independent Power Producers"/>
    <x v="0"/>
    <n v="1921714"/>
  </r>
  <r>
    <x v="3"/>
    <x v="21"/>
    <s v="Electric Generators, Independent Power Producers"/>
    <x v="2"/>
    <n v="509963"/>
  </r>
  <r>
    <x v="3"/>
    <x v="21"/>
    <s v="Electric Generators, Independent Power Producers"/>
    <x v="3"/>
    <n v="9862"/>
  </r>
  <r>
    <x v="3"/>
    <x v="21"/>
    <s v="Electric Generators, Independent Power Producers"/>
    <x v="8"/>
    <n v="234453"/>
  </r>
  <r>
    <x v="3"/>
    <x v="21"/>
    <s v="Electric Generators, Independent Power Producers"/>
    <x v="4"/>
    <n v="1872"/>
  </r>
  <r>
    <x v="3"/>
    <x v="21"/>
    <s v="Electric Generators, Independent Power Producers"/>
    <x v="6"/>
    <n v="1165564"/>
  </r>
  <r>
    <x v="3"/>
    <x v="21"/>
    <s v="Electric Generators, Electric Utilities"/>
    <x v="0"/>
    <n v="8075919"/>
  </r>
  <r>
    <x v="3"/>
    <x v="21"/>
    <s v="Electric Generators, Electric Utilities"/>
    <x v="2"/>
    <n v="1575593"/>
  </r>
  <r>
    <x v="3"/>
    <x v="21"/>
    <s v="Electric Generators, Electric Utilities"/>
    <x v="7"/>
    <n v="5739866"/>
  </r>
  <r>
    <x v="3"/>
    <x v="21"/>
    <s v="Electric Generators, Electric Utilities"/>
    <x v="4"/>
    <n v="760460"/>
  </r>
  <r>
    <x v="3"/>
    <x v="21"/>
    <s v="Combined Heat and Power, Industrial Power"/>
    <x v="0"/>
    <n v="4611234"/>
  </r>
  <r>
    <x v="3"/>
    <x v="21"/>
    <s v="Combined Heat and Power, Industrial Power"/>
    <x v="1"/>
    <n v="273575"/>
  </r>
  <r>
    <x v="3"/>
    <x v="21"/>
    <s v="Combined Heat and Power, Industrial Power"/>
    <x v="2"/>
    <n v="1160224"/>
  </r>
  <r>
    <x v="3"/>
    <x v="21"/>
    <s v="Combined Heat and Power, Industrial Power"/>
    <x v="8"/>
    <n v="75582"/>
  </r>
  <r>
    <x v="3"/>
    <x v="21"/>
    <s v="Combined Heat and Power, Industrial Power"/>
    <x v="9"/>
    <n v="4788"/>
  </r>
  <r>
    <x v="3"/>
    <x v="21"/>
    <s v="Combined Heat and Power, Industrial Power"/>
    <x v="4"/>
    <n v="1066224"/>
  </r>
  <r>
    <x v="3"/>
    <x v="21"/>
    <s v="Combined Heat and Power, Industrial Power"/>
    <x v="6"/>
    <n v="2030841"/>
  </r>
  <r>
    <x v="3"/>
    <x v="21"/>
    <s v="Combined Heat and Power, Electric Power"/>
    <x v="0"/>
    <n v="801154"/>
  </r>
  <r>
    <x v="3"/>
    <x v="21"/>
    <s v="Combined Heat and Power, Electric Power"/>
    <x v="1"/>
    <n v="275595"/>
  </r>
  <r>
    <x v="3"/>
    <x v="21"/>
    <s v="Combined Heat and Power, Electric Power"/>
    <x v="8"/>
    <n v="7065"/>
  </r>
  <r>
    <x v="3"/>
    <x v="21"/>
    <s v="Combined Heat and Power, Electric Power"/>
    <x v="4"/>
    <n v="33602"/>
  </r>
  <r>
    <x v="3"/>
    <x v="21"/>
    <s v="Combined Heat and Power, Electric Power"/>
    <x v="6"/>
    <n v="484892"/>
  </r>
  <r>
    <x v="3"/>
    <x v="21"/>
    <s v="Combined Heat and Power, Commercial Power"/>
    <x v="0"/>
    <n v="204251"/>
  </r>
  <r>
    <x v="3"/>
    <x v="21"/>
    <s v="Combined Heat and Power, Commercial Power"/>
    <x v="1"/>
    <n v="0"/>
  </r>
  <r>
    <x v="3"/>
    <x v="21"/>
    <s v="Combined Heat and Power, Commercial Power"/>
    <x v="3"/>
    <n v="16"/>
  </r>
  <r>
    <x v="3"/>
    <x v="21"/>
    <s v="Combined Heat and Power, Commercial Power"/>
    <x v="8"/>
    <n v="172007"/>
  </r>
  <r>
    <x v="3"/>
    <x v="21"/>
    <s v="Combined Heat and Power, Commercial Power"/>
    <x v="4"/>
    <n v="933"/>
  </r>
  <r>
    <x v="3"/>
    <x v="21"/>
    <s v="Combined Heat and Power, Commercial Power"/>
    <x v="6"/>
    <n v="31295"/>
  </r>
  <r>
    <x v="3"/>
    <x v="22"/>
    <s v="Total Electric Power Industry"/>
    <x v="0"/>
    <n v="106368549"/>
  </r>
  <r>
    <x v="3"/>
    <x v="22"/>
    <s v="Total Electric Power Industry"/>
    <x v="1"/>
    <n v="63959080"/>
  </r>
  <r>
    <x v="3"/>
    <x v="22"/>
    <s v="Total Electric Power Industry"/>
    <x v="2"/>
    <n v="1761842"/>
  </r>
  <r>
    <x v="3"/>
    <x v="22"/>
    <s v="Total Electric Power Industry"/>
    <x v="3"/>
    <n v="10020213"/>
  </r>
  <r>
    <x v="3"/>
    <x v="22"/>
    <s v="Total Electric Power Industry"/>
    <x v="7"/>
    <n v="28525000"/>
  </r>
  <r>
    <x v="3"/>
    <x v="22"/>
    <s v="Total Electric Power Industry"/>
    <x v="12"/>
    <n v="37111"/>
  </r>
  <r>
    <x v="3"/>
    <x v="22"/>
    <s v="Total Electric Power Industry"/>
    <x v="8"/>
    <n v="487404"/>
  </r>
  <r>
    <x v="3"/>
    <x v="22"/>
    <s v="Total Electric Power Industry"/>
    <x v="9"/>
    <n v="3371"/>
  </r>
  <r>
    <x v="3"/>
    <x v="22"/>
    <s v="Total Electric Power Industry"/>
    <x v="4"/>
    <n v="761575"/>
  </r>
  <r>
    <x v="3"/>
    <x v="22"/>
    <s v="Total Electric Power Industry"/>
    <x v="10"/>
    <n v="-773214"/>
  </r>
  <r>
    <x v="3"/>
    <x v="22"/>
    <s v="Total Electric Power Industry"/>
    <x v="6"/>
    <n v="1586167"/>
  </r>
  <r>
    <x v="3"/>
    <x v="22"/>
    <s v="Electric Generators, Independent Power Producers"/>
    <x v="0"/>
    <n v="1185746"/>
  </r>
  <r>
    <x v="3"/>
    <x v="22"/>
    <s v="Electric Generators, Independent Power Producers"/>
    <x v="2"/>
    <n v="100589"/>
  </r>
  <r>
    <x v="3"/>
    <x v="22"/>
    <s v="Electric Generators, Independent Power Producers"/>
    <x v="3"/>
    <n v="5548"/>
  </r>
  <r>
    <x v="3"/>
    <x v="22"/>
    <s v="Electric Generators, Independent Power Producers"/>
    <x v="8"/>
    <n v="300517"/>
  </r>
  <r>
    <x v="3"/>
    <x v="22"/>
    <s v="Electric Generators, Independent Power Producers"/>
    <x v="6"/>
    <n v="779092"/>
  </r>
  <r>
    <x v="3"/>
    <x v="22"/>
    <s v="Electric Generators, Electric Utilities"/>
    <x v="0"/>
    <n v="92250107"/>
  </r>
  <r>
    <x v="3"/>
    <x v="22"/>
    <s v="Electric Generators, Electric Utilities"/>
    <x v="1"/>
    <n v="61558991"/>
  </r>
  <r>
    <x v="3"/>
    <x v="22"/>
    <s v="Electric Generators, Electric Utilities"/>
    <x v="2"/>
    <n v="1639359"/>
  </r>
  <r>
    <x v="3"/>
    <x v="22"/>
    <s v="Electric Generators, Electric Utilities"/>
    <x v="3"/>
    <n v="680194"/>
  </r>
  <r>
    <x v="3"/>
    <x v="22"/>
    <s v="Electric Generators, Electric Utilities"/>
    <x v="7"/>
    <n v="28525000"/>
  </r>
  <r>
    <x v="3"/>
    <x v="22"/>
    <s v="Electric Generators, Electric Utilities"/>
    <x v="4"/>
    <n v="619777"/>
  </r>
  <r>
    <x v="3"/>
    <x v="22"/>
    <s v="Electric Generators, Electric Utilities"/>
    <x v="10"/>
    <n v="-773214"/>
  </r>
  <r>
    <x v="3"/>
    <x v="22"/>
    <s v="Combined Heat and Power, Industrial Power"/>
    <x v="0"/>
    <n v="3574668"/>
  </r>
  <r>
    <x v="3"/>
    <x v="22"/>
    <s v="Combined Heat and Power, Industrial Power"/>
    <x v="1"/>
    <n v="1698370"/>
  </r>
  <r>
    <x v="3"/>
    <x v="22"/>
    <s v="Combined Heat and Power, Industrial Power"/>
    <x v="2"/>
    <n v="21894"/>
  </r>
  <r>
    <x v="3"/>
    <x v="22"/>
    <s v="Combined Heat and Power, Industrial Power"/>
    <x v="3"/>
    <n v="870559"/>
  </r>
  <r>
    <x v="3"/>
    <x v="22"/>
    <s v="Combined Heat and Power, Industrial Power"/>
    <x v="12"/>
    <n v="37080"/>
  </r>
  <r>
    <x v="3"/>
    <x v="22"/>
    <s v="Combined Heat and Power, Industrial Power"/>
    <x v="8"/>
    <n v="1778"/>
  </r>
  <r>
    <x v="3"/>
    <x v="22"/>
    <s v="Combined Heat and Power, Industrial Power"/>
    <x v="9"/>
    <n v="898"/>
  </r>
  <r>
    <x v="3"/>
    <x v="22"/>
    <s v="Combined Heat and Power, Industrial Power"/>
    <x v="4"/>
    <n v="137014"/>
  </r>
  <r>
    <x v="3"/>
    <x v="22"/>
    <s v="Combined Heat and Power, Industrial Power"/>
    <x v="6"/>
    <n v="807075"/>
  </r>
  <r>
    <x v="3"/>
    <x v="22"/>
    <s v="Combined Heat and Power, Electric Power"/>
    <x v="0"/>
    <n v="8905594"/>
  </r>
  <r>
    <x v="3"/>
    <x v="22"/>
    <s v="Combined Heat and Power, Electric Power"/>
    <x v="1"/>
    <n v="497293"/>
  </r>
  <r>
    <x v="3"/>
    <x v="22"/>
    <s v="Combined Heat and Power, Electric Power"/>
    <x v="3"/>
    <n v="8404941"/>
  </r>
  <r>
    <x v="3"/>
    <x v="22"/>
    <s v="Combined Heat and Power, Electric Power"/>
    <x v="9"/>
    <n v="2473"/>
  </r>
  <r>
    <x v="3"/>
    <x v="22"/>
    <s v="Combined Heat and Power, Electric Power"/>
    <x v="4"/>
    <n v="887"/>
  </r>
  <r>
    <x v="3"/>
    <x v="22"/>
    <s v="Combined Heat and Power, Commercial Power"/>
    <x v="0"/>
    <n v="452434"/>
  </r>
  <r>
    <x v="3"/>
    <x v="22"/>
    <s v="Combined Heat and Power, Commercial Power"/>
    <x v="1"/>
    <n v="204426"/>
  </r>
  <r>
    <x v="3"/>
    <x v="22"/>
    <s v="Combined Heat and Power, Commercial Power"/>
    <x v="3"/>
    <n v="58971"/>
  </r>
  <r>
    <x v="3"/>
    <x v="22"/>
    <s v="Combined Heat and Power, Commercial Power"/>
    <x v="12"/>
    <n v="31"/>
  </r>
  <r>
    <x v="3"/>
    <x v="22"/>
    <s v="Combined Heat and Power, Commercial Power"/>
    <x v="8"/>
    <n v="185109"/>
  </r>
  <r>
    <x v="3"/>
    <x v="22"/>
    <s v="Combined Heat and Power, Commercial Power"/>
    <x v="4"/>
    <n v="3897"/>
  </r>
  <r>
    <x v="3"/>
    <x v="23"/>
    <s v="Total Electric Power Industry"/>
    <x v="0"/>
    <n v="44040635"/>
  </r>
  <r>
    <x v="3"/>
    <x v="23"/>
    <s v="Total Electric Power Industry"/>
    <x v="1"/>
    <n v="28652362"/>
  </r>
  <r>
    <x v="3"/>
    <x v="23"/>
    <s v="Total Electric Power Industry"/>
    <x v="2"/>
    <n v="1150808"/>
  </r>
  <r>
    <x v="3"/>
    <x v="23"/>
    <s v="Total Electric Power Industry"/>
    <x v="3"/>
    <n v="512693"/>
  </r>
  <r>
    <x v="3"/>
    <x v="23"/>
    <s v="Total Electric Power Industry"/>
    <x v="7"/>
    <n v="11986053"/>
  </r>
  <r>
    <x v="3"/>
    <x v="23"/>
    <s v="Total Electric Power Industry"/>
    <x v="8"/>
    <n v="526975"/>
  </r>
  <r>
    <x v="3"/>
    <x v="23"/>
    <s v="Total Electric Power Industry"/>
    <x v="4"/>
    <n v="637904"/>
  </r>
  <r>
    <x v="3"/>
    <x v="23"/>
    <s v="Total Electric Power Industry"/>
    <x v="5"/>
    <n v="185"/>
  </r>
  <r>
    <x v="3"/>
    <x v="23"/>
    <s v="Total Electric Power Industry"/>
    <x v="6"/>
    <n v="573655"/>
  </r>
  <r>
    <x v="3"/>
    <x v="23"/>
    <s v="Electric Generators, Independent Power Producers"/>
    <x v="0"/>
    <n v="294195"/>
  </r>
  <r>
    <x v="3"/>
    <x v="23"/>
    <s v="Electric Generators, Independent Power Producers"/>
    <x v="2"/>
    <n v="61147"/>
  </r>
  <r>
    <x v="3"/>
    <x v="23"/>
    <s v="Electric Generators, Independent Power Producers"/>
    <x v="3"/>
    <n v="1933"/>
  </r>
  <r>
    <x v="3"/>
    <x v="23"/>
    <s v="Electric Generators, Independent Power Producers"/>
    <x v="8"/>
    <n v="231115"/>
  </r>
  <r>
    <x v="3"/>
    <x v="23"/>
    <s v="Electric Generators, Electric Utilities"/>
    <x v="0"/>
    <n v="41254101"/>
  </r>
  <r>
    <x v="3"/>
    <x v="23"/>
    <s v="Electric Generators, Electric Utilities"/>
    <x v="1"/>
    <n v="27110850"/>
  </r>
  <r>
    <x v="3"/>
    <x v="23"/>
    <s v="Electric Generators, Electric Utilities"/>
    <x v="2"/>
    <n v="833736"/>
  </r>
  <r>
    <x v="3"/>
    <x v="23"/>
    <s v="Electric Generators, Electric Utilities"/>
    <x v="3"/>
    <n v="279415"/>
  </r>
  <r>
    <x v="3"/>
    <x v="23"/>
    <s v="Electric Generators, Electric Utilities"/>
    <x v="7"/>
    <n v="11986053"/>
  </r>
  <r>
    <x v="3"/>
    <x v="23"/>
    <s v="Electric Generators, Electric Utilities"/>
    <x v="8"/>
    <n v="275508"/>
  </r>
  <r>
    <x v="3"/>
    <x v="23"/>
    <s v="Electric Generators, Electric Utilities"/>
    <x v="4"/>
    <n v="630166"/>
  </r>
  <r>
    <x v="3"/>
    <x v="23"/>
    <s v="Electric Generators, Electric Utilities"/>
    <x v="5"/>
    <n v="185"/>
  </r>
  <r>
    <x v="3"/>
    <x v="23"/>
    <s v="Electric Generators, Electric Utilities"/>
    <x v="6"/>
    <n v="138188"/>
  </r>
  <r>
    <x v="3"/>
    <x v="23"/>
    <s v="Combined Heat and Power, Industrial Power"/>
    <x v="0"/>
    <n v="2406612"/>
  </r>
  <r>
    <x v="3"/>
    <x v="23"/>
    <s v="Combined Heat and Power, Industrial Power"/>
    <x v="1"/>
    <n v="1541512"/>
  </r>
  <r>
    <x v="3"/>
    <x v="23"/>
    <s v="Combined Heat and Power, Industrial Power"/>
    <x v="2"/>
    <n v="255925"/>
  </r>
  <r>
    <x v="3"/>
    <x v="23"/>
    <s v="Combined Heat and Power, Industrial Power"/>
    <x v="3"/>
    <n v="169322"/>
  </r>
  <r>
    <x v="3"/>
    <x v="23"/>
    <s v="Combined Heat and Power, Industrial Power"/>
    <x v="4"/>
    <n v="4386"/>
  </r>
  <r>
    <x v="3"/>
    <x v="23"/>
    <s v="Combined Heat and Power, Industrial Power"/>
    <x v="6"/>
    <n v="435467"/>
  </r>
  <r>
    <x v="3"/>
    <x v="23"/>
    <s v="Combined Heat and Power, Commercial Power"/>
    <x v="0"/>
    <n v="85727"/>
  </r>
  <r>
    <x v="3"/>
    <x v="23"/>
    <s v="Combined Heat and Power, Commercial Power"/>
    <x v="3"/>
    <n v="62023"/>
  </r>
  <r>
    <x v="3"/>
    <x v="23"/>
    <s v="Combined Heat and Power, Commercial Power"/>
    <x v="8"/>
    <n v="20352"/>
  </r>
  <r>
    <x v="3"/>
    <x v="23"/>
    <s v="Combined Heat and Power, Commercial Power"/>
    <x v="4"/>
    <n v="3352"/>
  </r>
  <r>
    <x v="3"/>
    <x v="24"/>
    <s v="Total Electric Power Industry"/>
    <x v="0"/>
    <n v="53552969"/>
  </r>
  <r>
    <x v="3"/>
    <x v="24"/>
    <s v="Total Electric Power Industry"/>
    <x v="1"/>
    <n v="40983960"/>
  </r>
  <r>
    <x v="3"/>
    <x v="24"/>
    <s v="Total Electric Power Industry"/>
    <x v="2"/>
    <n v="3184483"/>
  </r>
  <r>
    <x v="3"/>
    <x v="24"/>
    <s v="Total Electric Power Industry"/>
    <x v="3"/>
    <n v="439974"/>
  </r>
  <r>
    <x v="3"/>
    <x v="24"/>
    <s v="Total Electric Power Industry"/>
    <x v="7"/>
    <n v="8381333"/>
  </r>
  <r>
    <x v="3"/>
    <x v="24"/>
    <s v="Total Electric Power Industry"/>
    <x v="8"/>
    <n v="2248"/>
  </r>
  <r>
    <x v="3"/>
    <x v="24"/>
    <s v="Total Electric Power Industry"/>
    <x v="4"/>
    <n v="635278"/>
  </r>
  <r>
    <x v="3"/>
    <x v="24"/>
    <s v="Total Electric Power Industry"/>
    <x v="10"/>
    <n v="-74307"/>
  </r>
  <r>
    <x v="3"/>
    <x v="24"/>
    <s v="Electric Generators, Electric Utilities"/>
    <x v="0"/>
    <n v="53202268"/>
  </r>
  <r>
    <x v="3"/>
    <x v="24"/>
    <s v="Electric Generators, Electric Utilities"/>
    <x v="1"/>
    <n v="40688696"/>
  </r>
  <r>
    <x v="3"/>
    <x v="24"/>
    <s v="Electric Generators, Electric Utilities"/>
    <x v="2"/>
    <n v="3184483"/>
  </r>
  <r>
    <x v="3"/>
    <x v="24"/>
    <s v="Electric Generators, Electric Utilities"/>
    <x v="3"/>
    <n v="386378"/>
  </r>
  <r>
    <x v="3"/>
    <x v="24"/>
    <s v="Electric Generators, Electric Utilities"/>
    <x v="7"/>
    <n v="8381333"/>
  </r>
  <r>
    <x v="3"/>
    <x v="24"/>
    <s v="Electric Generators, Electric Utilities"/>
    <x v="8"/>
    <n v="1253"/>
  </r>
  <r>
    <x v="3"/>
    <x v="24"/>
    <s v="Electric Generators, Electric Utilities"/>
    <x v="4"/>
    <n v="634432"/>
  </r>
  <r>
    <x v="3"/>
    <x v="24"/>
    <s v="Electric Generators, Electric Utilities"/>
    <x v="10"/>
    <n v="-74307"/>
  </r>
  <r>
    <x v="3"/>
    <x v="24"/>
    <s v="Combined Heat and Power, Industrial Power"/>
    <x v="0"/>
    <n v="201507"/>
  </r>
  <r>
    <x v="3"/>
    <x v="24"/>
    <s v="Combined Heat and Power, Industrial Power"/>
    <x v="1"/>
    <n v="147924"/>
  </r>
  <r>
    <x v="3"/>
    <x v="24"/>
    <s v="Combined Heat and Power, Industrial Power"/>
    <x v="3"/>
    <n v="51860"/>
  </r>
  <r>
    <x v="3"/>
    <x v="24"/>
    <s v="Combined Heat and Power, Industrial Power"/>
    <x v="8"/>
    <n v="995"/>
  </r>
  <r>
    <x v="3"/>
    <x v="24"/>
    <s v="Combined Heat and Power, Industrial Power"/>
    <x v="4"/>
    <n v="728"/>
  </r>
  <r>
    <x v="3"/>
    <x v="24"/>
    <s v="Combined Heat and Power, Commercial Power"/>
    <x v="0"/>
    <n v="149194"/>
  </r>
  <r>
    <x v="3"/>
    <x v="24"/>
    <s v="Combined Heat and Power, Commercial Power"/>
    <x v="1"/>
    <n v="147340"/>
  </r>
  <r>
    <x v="3"/>
    <x v="24"/>
    <s v="Combined Heat and Power, Commercial Power"/>
    <x v="3"/>
    <n v="1736"/>
  </r>
  <r>
    <x v="3"/>
    <x v="24"/>
    <s v="Combined Heat and Power, Commercial Power"/>
    <x v="4"/>
    <n v="118"/>
  </r>
  <r>
    <x v="3"/>
    <x v="25"/>
    <s v="Total Electric Power Industry"/>
    <x v="0"/>
    <n v="25941526"/>
  </r>
  <r>
    <x v="3"/>
    <x v="25"/>
    <s v="Total Electric Power Industry"/>
    <x v="1"/>
    <n v="8880214"/>
  </r>
  <r>
    <x v="3"/>
    <x v="25"/>
    <s v="Total Electric Power Industry"/>
    <x v="3"/>
    <n v="3604647"/>
  </r>
  <r>
    <x v="3"/>
    <x v="25"/>
    <s v="Total Electric Power Industry"/>
    <x v="7"/>
    <n v="7903547"/>
  </r>
  <r>
    <x v="3"/>
    <x v="25"/>
    <s v="Total Electric Power Industry"/>
    <x v="4"/>
    <n v="3600540"/>
  </r>
  <r>
    <x v="3"/>
    <x v="25"/>
    <s v="Total Electric Power Industry"/>
    <x v="6"/>
    <n v="1952578"/>
  </r>
  <r>
    <x v="3"/>
    <x v="25"/>
    <s v="Electric Generators, Independent Power Producers"/>
    <x v="0"/>
    <n v="3279"/>
  </r>
  <r>
    <x v="3"/>
    <x v="25"/>
    <s v="Electric Generators, Independent Power Producers"/>
    <x v="3"/>
    <n v="3279"/>
  </r>
  <r>
    <x v="3"/>
    <x v="25"/>
    <s v="Electric Generators, Electric Utilities"/>
    <x v="0"/>
    <n v="23234028"/>
  </r>
  <r>
    <x v="3"/>
    <x v="25"/>
    <s v="Electric Generators, Electric Utilities"/>
    <x v="1"/>
    <n v="8819755"/>
  </r>
  <r>
    <x v="3"/>
    <x v="25"/>
    <s v="Electric Generators, Electric Utilities"/>
    <x v="3"/>
    <n v="2965671"/>
  </r>
  <r>
    <x v="3"/>
    <x v="25"/>
    <s v="Electric Generators, Electric Utilities"/>
    <x v="7"/>
    <n v="7903547"/>
  </r>
  <r>
    <x v="3"/>
    <x v="25"/>
    <s v="Electric Generators, Electric Utilities"/>
    <x v="4"/>
    <n v="3545055"/>
  </r>
  <r>
    <x v="3"/>
    <x v="25"/>
    <s v="Combined Heat and Power, Industrial Power"/>
    <x v="0"/>
    <n v="2681390"/>
  </r>
  <r>
    <x v="3"/>
    <x v="25"/>
    <s v="Combined Heat and Power, Industrial Power"/>
    <x v="1"/>
    <n v="60459"/>
  </r>
  <r>
    <x v="3"/>
    <x v="25"/>
    <s v="Combined Heat and Power, Industrial Power"/>
    <x v="3"/>
    <n v="612868"/>
  </r>
  <r>
    <x v="3"/>
    <x v="25"/>
    <s v="Combined Heat and Power, Industrial Power"/>
    <x v="4"/>
    <n v="55485"/>
  </r>
  <r>
    <x v="3"/>
    <x v="25"/>
    <s v="Combined Heat and Power, Industrial Power"/>
    <x v="6"/>
    <n v="1952578"/>
  </r>
  <r>
    <x v="3"/>
    <x v="25"/>
    <s v="Combined Heat and Power, Commercial Power"/>
    <x v="0"/>
    <n v="22829"/>
  </r>
  <r>
    <x v="3"/>
    <x v="25"/>
    <s v="Combined Heat and Power, Commercial Power"/>
    <x v="3"/>
    <n v="22829"/>
  </r>
  <r>
    <x v="3"/>
    <x v="26"/>
    <s v="Total Electric Power Industry"/>
    <x v="0"/>
    <n v="23872854"/>
  </r>
  <r>
    <x v="3"/>
    <x v="26"/>
    <s v="Total Electric Power Industry"/>
    <x v="1"/>
    <n v="14082858"/>
  </r>
  <r>
    <x v="3"/>
    <x v="26"/>
    <s v="Total Electric Power Industry"/>
    <x v="2"/>
    <n v="9614088"/>
  </r>
  <r>
    <x v="3"/>
    <x v="26"/>
    <s v="Total Electric Power Industry"/>
    <x v="3"/>
    <n v="34920"/>
  </r>
  <r>
    <x v="3"/>
    <x v="26"/>
    <s v="Total Electric Power Industry"/>
    <x v="4"/>
    <n v="22069"/>
  </r>
  <r>
    <x v="3"/>
    <x v="26"/>
    <s v="Total Electric Power Industry"/>
    <x v="6"/>
    <n v="118919"/>
  </r>
  <r>
    <x v="3"/>
    <x v="26"/>
    <s v="Electric Generators, Independent Power Producers"/>
    <x v="0"/>
    <n v="373618"/>
  </r>
  <r>
    <x v="3"/>
    <x v="26"/>
    <s v="Electric Generators, Independent Power Producers"/>
    <x v="1"/>
    <n v="308168"/>
  </r>
  <r>
    <x v="3"/>
    <x v="26"/>
    <s v="Electric Generators, Independent Power Producers"/>
    <x v="2"/>
    <n v="64724"/>
  </r>
  <r>
    <x v="3"/>
    <x v="26"/>
    <s v="Electric Generators, Independent Power Producers"/>
    <x v="4"/>
    <n v="726"/>
  </r>
  <r>
    <x v="3"/>
    <x v="26"/>
    <s v="Electric Generators, Electric Utilities"/>
    <x v="0"/>
    <n v="23447322"/>
  </r>
  <r>
    <x v="3"/>
    <x v="26"/>
    <s v="Electric Generators, Electric Utilities"/>
    <x v="1"/>
    <n v="13774690"/>
  </r>
  <r>
    <x v="3"/>
    <x v="26"/>
    <s v="Electric Generators, Electric Utilities"/>
    <x v="2"/>
    <n v="9549364"/>
  </r>
  <r>
    <x v="3"/>
    <x v="26"/>
    <s v="Electric Generators, Electric Utilities"/>
    <x v="3"/>
    <n v="24159"/>
  </r>
  <r>
    <x v="3"/>
    <x v="26"/>
    <s v="Electric Generators, Electric Utilities"/>
    <x v="4"/>
    <n v="20885"/>
  </r>
  <r>
    <x v="3"/>
    <x v="26"/>
    <s v="Electric Generators, Electric Utilities"/>
    <x v="6"/>
    <n v="78224"/>
  </r>
  <r>
    <x v="3"/>
    <x v="26"/>
    <s v="Combined Heat and Power, Industrial Power"/>
    <x v="0"/>
    <n v="51914"/>
  </r>
  <r>
    <x v="3"/>
    <x v="26"/>
    <s v="Combined Heat and Power, Industrial Power"/>
    <x v="3"/>
    <n v="10761"/>
  </r>
  <r>
    <x v="3"/>
    <x v="26"/>
    <s v="Combined Heat and Power, Industrial Power"/>
    <x v="4"/>
    <n v="458"/>
  </r>
  <r>
    <x v="3"/>
    <x v="26"/>
    <s v="Combined Heat and Power, Industrial Power"/>
    <x v="6"/>
    <n v="40695"/>
  </r>
  <r>
    <x v="3"/>
    <x v="27"/>
    <s v="Total Electric Power Industry"/>
    <x v="0"/>
    <n v="95314444"/>
  </r>
  <r>
    <x v="3"/>
    <x v="27"/>
    <s v="Total Electric Power Industry"/>
    <x v="1"/>
    <n v="63572654"/>
  </r>
  <r>
    <x v="3"/>
    <x v="27"/>
    <s v="Total Electric Power Industry"/>
    <x v="2"/>
    <n v="4987070"/>
  </r>
  <r>
    <x v="3"/>
    <x v="27"/>
    <s v="Total Electric Power Industry"/>
    <x v="3"/>
    <n v="394750"/>
  </r>
  <r>
    <x v="3"/>
    <x v="27"/>
    <s v="Total Electric Power Industry"/>
    <x v="7"/>
    <n v="23758927"/>
  </r>
  <r>
    <x v="3"/>
    <x v="27"/>
    <s v="Total Electric Power Industry"/>
    <x v="12"/>
    <n v="234982"/>
  </r>
  <r>
    <x v="3"/>
    <x v="27"/>
    <s v="Total Electric Power Industry"/>
    <x v="8"/>
    <n v="42505"/>
  </r>
  <r>
    <x v="3"/>
    <x v="27"/>
    <s v="Total Electric Power Industry"/>
    <x v="4"/>
    <n v="407255"/>
  </r>
  <r>
    <x v="3"/>
    <x v="27"/>
    <s v="Total Electric Power Industry"/>
    <x v="10"/>
    <n v="246302"/>
  </r>
  <r>
    <x v="3"/>
    <x v="27"/>
    <s v="Total Electric Power Industry"/>
    <x v="6"/>
    <n v="1669999"/>
  </r>
  <r>
    <x v="3"/>
    <x v="27"/>
    <s v="Electric Generators, Independent Power Producers"/>
    <x v="0"/>
    <n v="429165"/>
  </r>
  <r>
    <x v="3"/>
    <x v="27"/>
    <s v="Electric Generators, Independent Power Producers"/>
    <x v="2"/>
    <n v="12046"/>
  </r>
  <r>
    <x v="3"/>
    <x v="27"/>
    <s v="Electric Generators, Independent Power Producers"/>
    <x v="3"/>
    <n v="1366"/>
  </r>
  <r>
    <x v="3"/>
    <x v="27"/>
    <s v="Electric Generators, Independent Power Producers"/>
    <x v="8"/>
    <n v="39190"/>
  </r>
  <r>
    <x v="3"/>
    <x v="27"/>
    <s v="Electric Generators, Independent Power Producers"/>
    <x v="6"/>
    <n v="376563"/>
  </r>
  <r>
    <x v="3"/>
    <x v="27"/>
    <s v="Electric Generators, Electric Utilities"/>
    <x v="0"/>
    <n v="88753614"/>
  </r>
  <r>
    <x v="3"/>
    <x v="27"/>
    <s v="Electric Generators, Electric Utilities"/>
    <x v="1"/>
    <n v="59383147"/>
  </r>
  <r>
    <x v="3"/>
    <x v="27"/>
    <s v="Electric Generators, Electric Utilities"/>
    <x v="2"/>
    <n v="4960533"/>
  </r>
  <r>
    <x v="3"/>
    <x v="27"/>
    <s v="Electric Generators, Electric Utilities"/>
    <x v="3"/>
    <n v="239530"/>
  </r>
  <r>
    <x v="3"/>
    <x v="27"/>
    <s v="Electric Generators, Electric Utilities"/>
    <x v="7"/>
    <n v="23758927"/>
  </r>
  <r>
    <x v="3"/>
    <x v="27"/>
    <s v="Electric Generators, Electric Utilities"/>
    <x v="4"/>
    <n v="165175"/>
  </r>
  <r>
    <x v="3"/>
    <x v="27"/>
    <s v="Electric Generators, Electric Utilities"/>
    <x v="10"/>
    <n v="246302"/>
  </r>
  <r>
    <x v="3"/>
    <x v="27"/>
    <s v="Combined Heat and Power, Industrial Power"/>
    <x v="0"/>
    <n v="2598189"/>
  </r>
  <r>
    <x v="3"/>
    <x v="27"/>
    <s v="Combined Heat and Power, Industrial Power"/>
    <x v="1"/>
    <n v="702642"/>
  </r>
  <r>
    <x v="3"/>
    <x v="27"/>
    <s v="Combined Heat and Power, Industrial Power"/>
    <x v="2"/>
    <n v="2057"/>
  </r>
  <r>
    <x v="3"/>
    <x v="27"/>
    <s v="Combined Heat and Power, Industrial Power"/>
    <x v="3"/>
    <n v="136966"/>
  </r>
  <r>
    <x v="3"/>
    <x v="27"/>
    <s v="Combined Heat and Power, Industrial Power"/>
    <x v="12"/>
    <n v="234982"/>
  </r>
  <r>
    <x v="3"/>
    <x v="27"/>
    <s v="Combined Heat and Power, Industrial Power"/>
    <x v="8"/>
    <n v="3315"/>
  </r>
  <r>
    <x v="3"/>
    <x v="27"/>
    <s v="Combined Heat and Power, Industrial Power"/>
    <x v="4"/>
    <n v="224791"/>
  </r>
  <r>
    <x v="3"/>
    <x v="27"/>
    <s v="Combined Heat and Power, Industrial Power"/>
    <x v="6"/>
    <n v="1293436"/>
  </r>
  <r>
    <x v="3"/>
    <x v="27"/>
    <s v="Combined Heat and Power, Electric Power"/>
    <x v="0"/>
    <n v="3482247"/>
  </r>
  <r>
    <x v="3"/>
    <x v="27"/>
    <s v="Combined Heat and Power, Electric Power"/>
    <x v="1"/>
    <n v="3448934"/>
  </r>
  <r>
    <x v="3"/>
    <x v="27"/>
    <s v="Combined Heat and Power, Electric Power"/>
    <x v="3"/>
    <n v="16107"/>
  </r>
  <r>
    <x v="3"/>
    <x v="27"/>
    <s v="Combined Heat and Power, Electric Power"/>
    <x v="4"/>
    <n v="17206"/>
  </r>
  <r>
    <x v="3"/>
    <x v="27"/>
    <s v="Combined Heat and Power, Commercial Power"/>
    <x v="0"/>
    <n v="51229"/>
  </r>
  <r>
    <x v="3"/>
    <x v="27"/>
    <s v="Combined Heat and Power, Commercial Power"/>
    <x v="1"/>
    <n v="37931"/>
  </r>
  <r>
    <x v="3"/>
    <x v="27"/>
    <s v="Combined Heat and Power, Commercial Power"/>
    <x v="2"/>
    <n v="12434"/>
  </r>
  <r>
    <x v="3"/>
    <x v="27"/>
    <s v="Combined Heat and Power, Commercial Power"/>
    <x v="3"/>
    <n v="781"/>
  </r>
  <r>
    <x v="3"/>
    <x v="27"/>
    <s v="Combined Heat and Power, Commercial Power"/>
    <x v="4"/>
    <n v="83"/>
  </r>
  <r>
    <x v="3"/>
    <x v="28"/>
    <s v="Total Electric Power Industry"/>
    <x v="0"/>
    <n v="28663410"/>
  </r>
  <r>
    <x v="3"/>
    <x v="28"/>
    <s v="Total Electric Power Industry"/>
    <x v="1"/>
    <n v="27140713"/>
  </r>
  <r>
    <x v="3"/>
    <x v="28"/>
    <s v="Total Electric Power Industry"/>
    <x v="2"/>
    <n v="1415110"/>
  </r>
  <r>
    <x v="3"/>
    <x v="28"/>
    <s v="Total Electric Power Industry"/>
    <x v="3"/>
    <n v="7076"/>
  </r>
  <r>
    <x v="3"/>
    <x v="28"/>
    <s v="Total Electric Power Industry"/>
    <x v="9"/>
    <n v="39393"/>
  </r>
  <r>
    <x v="3"/>
    <x v="28"/>
    <s v="Total Electric Power Industry"/>
    <x v="4"/>
    <n v="61118"/>
  </r>
  <r>
    <x v="3"/>
    <x v="28"/>
    <s v="Electric Generators, Electric Utilities"/>
    <x v="0"/>
    <n v="28499824"/>
  </r>
  <r>
    <x v="3"/>
    <x v="28"/>
    <s v="Electric Generators, Electric Utilities"/>
    <x v="1"/>
    <n v="27048924"/>
  </r>
  <r>
    <x v="3"/>
    <x v="28"/>
    <s v="Electric Generators, Electric Utilities"/>
    <x v="2"/>
    <n v="1415110"/>
  </r>
  <r>
    <x v="3"/>
    <x v="28"/>
    <s v="Electric Generators, Electric Utilities"/>
    <x v="3"/>
    <n v="-5"/>
  </r>
  <r>
    <x v="3"/>
    <x v="28"/>
    <s v="Electric Generators, Electric Utilities"/>
    <x v="4"/>
    <n v="35795"/>
  </r>
  <r>
    <x v="3"/>
    <x v="28"/>
    <s v="Combined Heat and Power, Industrial Power"/>
    <x v="0"/>
    <n v="163586"/>
  </r>
  <r>
    <x v="3"/>
    <x v="28"/>
    <s v="Combined Heat and Power, Industrial Power"/>
    <x v="1"/>
    <n v="91789"/>
  </r>
  <r>
    <x v="3"/>
    <x v="28"/>
    <s v="Combined Heat and Power, Industrial Power"/>
    <x v="3"/>
    <n v="7081"/>
  </r>
  <r>
    <x v="3"/>
    <x v="28"/>
    <s v="Combined Heat and Power, Industrial Power"/>
    <x v="9"/>
    <n v="39393"/>
  </r>
  <r>
    <x v="3"/>
    <x v="28"/>
    <s v="Combined Heat and Power, Industrial Power"/>
    <x v="4"/>
    <n v="25323"/>
  </r>
  <r>
    <x v="3"/>
    <x v="29"/>
    <s v="Total Electric Power Industry"/>
    <x v="0"/>
    <n v="22760857"/>
  </r>
  <r>
    <x v="3"/>
    <x v="29"/>
    <s v="Total Electric Power Industry"/>
    <x v="1"/>
    <n v="14776211"/>
  </r>
  <r>
    <x v="3"/>
    <x v="29"/>
    <s v="Total Electric Power Industry"/>
    <x v="2"/>
    <n v="1001663"/>
  </r>
  <r>
    <x v="3"/>
    <x v="29"/>
    <s v="Total Electric Power Industry"/>
    <x v="3"/>
    <n v="153065"/>
  </r>
  <r>
    <x v="3"/>
    <x v="29"/>
    <s v="Total Electric Power Industry"/>
    <x v="7"/>
    <n v="6805133"/>
  </r>
  <r>
    <x v="3"/>
    <x v="29"/>
    <s v="Total Electric Power Industry"/>
    <x v="8"/>
    <n v="5750"/>
  </r>
  <r>
    <x v="3"/>
    <x v="29"/>
    <s v="Total Electric Power Industry"/>
    <x v="4"/>
    <n v="19035"/>
  </r>
  <r>
    <x v="3"/>
    <x v="29"/>
    <s v="Electric Generators, Electric Utilities"/>
    <x v="0"/>
    <n v="22724286"/>
  </r>
  <r>
    <x v="3"/>
    <x v="29"/>
    <s v="Electric Generators, Electric Utilities"/>
    <x v="1"/>
    <n v="14739783"/>
  </r>
  <r>
    <x v="3"/>
    <x v="29"/>
    <s v="Electric Generators, Electric Utilities"/>
    <x v="2"/>
    <n v="1001663"/>
  </r>
  <r>
    <x v="3"/>
    <x v="29"/>
    <s v="Electric Generators, Electric Utilities"/>
    <x v="3"/>
    <n v="152922"/>
  </r>
  <r>
    <x v="3"/>
    <x v="29"/>
    <s v="Electric Generators, Electric Utilities"/>
    <x v="7"/>
    <n v="6805133"/>
  </r>
  <r>
    <x v="3"/>
    <x v="29"/>
    <s v="Electric Generators, Electric Utilities"/>
    <x v="8"/>
    <n v="5750"/>
  </r>
  <r>
    <x v="3"/>
    <x v="29"/>
    <s v="Electric Generators, Electric Utilities"/>
    <x v="4"/>
    <n v="19035"/>
  </r>
  <r>
    <x v="3"/>
    <x v="29"/>
    <s v="Combined Heat and Power, Industrial Power"/>
    <x v="0"/>
    <n v="36571"/>
  </r>
  <r>
    <x v="3"/>
    <x v="29"/>
    <s v="Combined Heat and Power, Industrial Power"/>
    <x v="1"/>
    <n v="36428"/>
  </r>
  <r>
    <x v="3"/>
    <x v="29"/>
    <s v="Combined Heat and Power, Industrial Power"/>
    <x v="3"/>
    <n v="143"/>
  </r>
  <r>
    <x v="3"/>
    <x v="30"/>
    <s v="Total Electric Power Industry"/>
    <x v="0"/>
    <n v="16242760"/>
  </r>
  <r>
    <x v="3"/>
    <x v="30"/>
    <s v="Total Electric Power Industry"/>
    <x v="1"/>
    <n v="3263241"/>
  </r>
  <r>
    <x v="3"/>
    <x v="30"/>
    <s v="Total Electric Power Industry"/>
    <x v="2"/>
    <n v="1410609"/>
  </r>
  <r>
    <x v="3"/>
    <x v="30"/>
    <s v="Total Electric Power Industry"/>
    <x v="3"/>
    <n v="11503"/>
  </r>
  <r>
    <x v="3"/>
    <x v="30"/>
    <s v="Total Electric Power Industry"/>
    <x v="7"/>
    <n v="9046805"/>
  </r>
  <r>
    <x v="3"/>
    <x v="30"/>
    <s v="Total Electric Power Industry"/>
    <x v="8"/>
    <n v="167871"/>
  </r>
  <r>
    <x v="3"/>
    <x v="30"/>
    <s v="Total Electric Power Industry"/>
    <x v="4"/>
    <n v="1304573"/>
  </r>
  <r>
    <x v="3"/>
    <x v="30"/>
    <s v="Total Electric Power Industry"/>
    <x v="6"/>
    <n v="1038158"/>
  </r>
  <r>
    <x v="3"/>
    <x v="30"/>
    <s v="Electric Generators, Independent Power Producers"/>
    <x v="0"/>
    <n v="1215904"/>
  </r>
  <r>
    <x v="3"/>
    <x v="30"/>
    <s v="Electric Generators, Independent Power Producers"/>
    <x v="2"/>
    <n v="213601"/>
  </r>
  <r>
    <x v="3"/>
    <x v="30"/>
    <s v="Electric Generators, Independent Power Producers"/>
    <x v="8"/>
    <n v="166454"/>
  </r>
  <r>
    <x v="3"/>
    <x v="30"/>
    <s v="Electric Generators, Independent Power Producers"/>
    <x v="4"/>
    <n v="795"/>
  </r>
  <r>
    <x v="3"/>
    <x v="30"/>
    <s v="Electric Generators, Independent Power Producers"/>
    <x v="6"/>
    <n v="835054"/>
  </r>
  <r>
    <x v="3"/>
    <x v="30"/>
    <s v="Electric Generators, Electric Utilities"/>
    <x v="0"/>
    <n v="14586006"/>
  </r>
  <r>
    <x v="3"/>
    <x v="30"/>
    <s v="Electric Generators, Electric Utilities"/>
    <x v="1"/>
    <n v="3263241"/>
  </r>
  <r>
    <x v="3"/>
    <x v="30"/>
    <s v="Electric Generators, Electric Utilities"/>
    <x v="2"/>
    <n v="1001769"/>
  </r>
  <r>
    <x v="3"/>
    <x v="30"/>
    <s v="Electric Generators, Electric Utilities"/>
    <x v="3"/>
    <n v="11503"/>
  </r>
  <r>
    <x v="3"/>
    <x v="30"/>
    <s v="Electric Generators, Electric Utilities"/>
    <x v="7"/>
    <n v="9046805"/>
  </r>
  <r>
    <x v="3"/>
    <x v="30"/>
    <s v="Electric Generators, Electric Utilities"/>
    <x v="4"/>
    <n v="1262688"/>
  </r>
  <r>
    <x v="3"/>
    <x v="30"/>
    <s v="Combined Heat and Power, Industrial Power"/>
    <x v="0"/>
    <n v="341519"/>
  </r>
  <r>
    <x v="3"/>
    <x v="30"/>
    <s v="Combined Heat and Power, Industrial Power"/>
    <x v="2"/>
    <n v="195239"/>
  </r>
  <r>
    <x v="3"/>
    <x v="30"/>
    <s v="Combined Heat and Power, Industrial Power"/>
    <x v="8"/>
    <n v="1417"/>
  </r>
  <r>
    <x v="3"/>
    <x v="30"/>
    <s v="Combined Heat and Power, Industrial Power"/>
    <x v="4"/>
    <n v="25094"/>
  </r>
  <r>
    <x v="3"/>
    <x v="30"/>
    <s v="Combined Heat and Power, Industrial Power"/>
    <x v="6"/>
    <n v="119769"/>
  </r>
  <r>
    <x v="3"/>
    <x v="30"/>
    <s v="Combined Heat and Power, Electric Power"/>
    <x v="0"/>
    <n v="83397"/>
  </r>
  <r>
    <x v="3"/>
    <x v="30"/>
    <s v="Combined Heat and Power, Electric Power"/>
    <x v="4"/>
    <n v="62"/>
  </r>
  <r>
    <x v="3"/>
    <x v="30"/>
    <s v="Combined Heat and Power, Electric Power"/>
    <x v="6"/>
    <n v="83335"/>
  </r>
  <r>
    <x v="3"/>
    <x v="30"/>
    <s v="Combined Heat and Power, Commercial Power"/>
    <x v="0"/>
    <n v="15934"/>
  </r>
  <r>
    <x v="3"/>
    <x v="30"/>
    <s v="Combined Heat and Power, Commercial Power"/>
    <x v="4"/>
    <n v="15934"/>
  </r>
  <r>
    <x v="3"/>
    <x v="31"/>
    <s v="Total Electric Power Industry"/>
    <x v="0"/>
    <n v="48344882"/>
  </r>
  <r>
    <x v="3"/>
    <x v="31"/>
    <s v="Total Electric Power Industry"/>
    <x v="1"/>
    <n v="5465771"/>
  </r>
  <r>
    <x v="3"/>
    <x v="31"/>
    <s v="Total Electric Power Industry"/>
    <x v="2"/>
    <n v="19005"/>
  </r>
  <r>
    <x v="3"/>
    <x v="31"/>
    <s v="Total Electric Power Industry"/>
    <x v="3"/>
    <n v="15545039"/>
  </r>
  <r>
    <x v="3"/>
    <x v="31"/>
    <s v="Total Electric Power Industry"/>
    <x v="7"/>
    <n v="24932240"/>
  </r>
  <r>
    <x v="3"/>
    <x v="31"/>
    <s v="Total Electric Power Industry"/>
    <x v="8"/>
    <n v="943977"/>
  </r>
  <r>
    <x v="3"/>
    <x v="31"/>
    <s v="Total Electric Power Industry"/>
    <x v="9"/>
    <n v="86860"/>
  </r>
  <r>
    <x v="3"/>
    <x v="31"/>
    <s v="Total Electric Power Industry"/>
    <x v="4"/>
    <n v="1475224"/>
  </r>
  <r>
    <x v="3"/>
    <x v="31"/>
    <s v="Total Electric Power Industry"/>
    <x v="10"/>
    <n v="-123234"/>
  </r>
  <r>
    <x v="3"/>
    <x v="31"/>
    <s v="Electric Generators, Independent Power Producers"/>
    <x v="0"/>
    <n v="1098948"/>
  </r>
  <r>
    <x v="3"/>
    <x v="31"/>
    <s v="Electric Generators, Independent Power Producers"/>
    <x v="2"/>
    <n v="19005"/>
  </r>
  <r>
    <x v="3"/>
    <x v="31"/>
    <s v="Electric Generators, Independent Power Producers"/>
    <x v="3"/>
    <n v="633578"/>
  </r>
  <r>
    <x v="3"/>
    <x v="31"/>
    <s v="Electric Generators, Independent Power Producers"/>
    <x v="8"/>
    <n v="445251"/>
  </r>
  <r>
    <x v="3"/>
    <x v="31"/>
    <s v="Electric Generators, Independent Power Producers"/>
    <x v="4"/>
    <n v="1114"/>
  </r>
  <r>
    <x v="3"/>
    <x v="31"/>
    <s v="Electric Generators, Electric Utilities"/>
    <x v="0"/>
    <n v="34284622"/>
  </r>
  <r>
    <x v="3"/>
    <x v="31"/>
    <s v="Electric Generators, Electric Utilities"/>
    <x v="1"/>
    <n v="5465762"/>
  </r>
  <r>
    <x v="3"/>
    <x v="31"/>
    <s v="Electric Generators, Electric Utilities"/>
    <x v="3"/>
    <n v="2981168"/>
  </r>
  <r>
    <x v="3"/>
    <x v="31"/>
    <s v="Electric Generators, Electric Utilities"/>
    <x v="7"/>
    <n v="24932240"/>
  </r>
  <r>
    <x v="3"/>
    <x v="31"/>
    <s v="Electric Generators, Electric Utilities"/>
    <x v="4"/>
    <n v="1028686"/>
  </r>
  <r>
    <x v="3"/>
    <x v="31"/>
    <s v="Electric Generators, Electric Utilities"/>
    <x v="10"/>
    <n v="-123234"/>
  </r>
  <r>
    <x v="3"/>
    <x v="31"/>
    <s v="Combined Heat and Power, Industrial Power"/>
    <x v="0"/>
    <n v="2867872"/>
  </r>
  <r>
    <x v="3"/>
    <x v="31"/>
    <s v="Combined Heat and Power, Industrial Power"/>
    <x v="3"/>
    <n v="2515712"/>
  </r>
  <r>
    <x v="3"/>
    <x v="31"/>
    <s v="Combined Heat and Power, Industrial Power"/>
    <x v="9"/>
    <n v="86860"/>
  </r>
  <r>
    <x v="3"/>
    <x v="31"/>
    <s v="Combined Heat and Power, Industrial Power"/>
    <x v="4"/>
    <n v="265300"/>
  </r>
  <r>
    <x v="3"/>
    <x v="31"/>
    <s v="Combined Heat and Power, Electric Power"/>
    <x v="0"/>
    <n v="9975388"/>
  </r>
  <r>
    <x v="3"/>
    <x v="31"/>
    <s v="Combined Heat and Power, Electric Power"/>
    <x v="1"/>
    <n v="9"/>
  </r>
  <r>
    <x v="3"/>
    <x v="31"/>
    <s v="Combined Heat and Power, Electric Power"/>
    <x v="3"/>
    <n v="9301087"/>
  </r>
  <r>
    <x v="3"/>
    <x v="31"/>
    <s v="Combined Heat and Power, Electric Power"/>
    <x v="8"/>
    <n v="495926"/>
  </r>
  <r>
    <x v="3"/>
    <x v="31"/>
    <s v="Combined Heat and Power, Electric Power"/>
    <x v="4"/>
    <n v="178366"/>
  </r>
  <r>
    <x v="3"/>
    <x v="31"/>
    <s v="Combined Heat and Power, Commercial Power"/>
    <x v="0"/>
    <n v="118052"/>
  </r>
  <r>
    <x v="3"/>
    <x v="31"/>
    <s v="Combined Heat and Power, Commercial Power"/>
    <x v="3"/>
    <n v="113494"/>
  </r>
  <r>
    <x v="3"/>
    <x v="31"/>
    <s v="Combined Heat and Power, Commercial Power"/>
    <x v="8"/>
    <n v="2800"/>
  </r>
  <r>
    <x v="3"/>
    <x v="31"/>
    <s v="Combined Heat and Power, Commercial Power"/>
    <x v="4"/>
    <n v="1758"/>
  </r>
  <r>
    <x v="3"/>
    <x v="32"/>
    <s v="Total Electric Power Industry"/>
    <x v="0"/>
    <n v="28744528"/>
  </r>
  <r>
    <x v="3"/>
    <x v="32"/>
    <s v="Total Electric Power Industry"/>
    <x v="1"/>
    <n v="25507029"/>
  </r>
  <r>
    <x v="3"/>
    <x v="32"/>
    <s v="Total Electric Power Industry"/>
    <x v="2"/>
    <n v="293827"/>
  </r>
  <r>
    <x v="3"/>
    <x v="32"/>
    <s v="Total Electric Power Industry"/>
    <x v="3"/>
    <n v="2888566"/>
  </r>
  <r>
    <x v="3"/>
    <x v="32"/>
    <s v="Total Electric Power Industry"/>
    <x v="8"/>
    <n v="11816"/>
  </r>
  <r>
    <x v="3"/>
    <x v="32"/>
    <s v="Total Electric Power Industry"/>
    <x v="4"/>
    <n v="43290"/>
  </r>
  <r>
    <x v="3"/>
    <x v="32"/>
    <s v="Electric Generators, Electric Utilities"/>
    <x v="0"/>
    <n v="28364368"/>
  </r>
  <r>
    <x v="3"/>
    <x v="32"/>
    <s v="Electric Generators, Electric Utilities"/>
    <x v="1"/>
    <n v="25507029"/>
  </r>
  <r>
    <x v="3"/>
    <x v="32"/>
    <s v="Electric Generators, Electric Utilities"/>
    <x v="2"/>
    <n v="293827"/>
  </r>
  <r>
    <x v="3"/>
    <x v="32"/>
    <s v="Electric Generators, Electric Utilities"/>
    <x v="3"/>
    <n v="2528175"/>
  </r>
  <r>
    <x v="3"/>
    <x v="32"/>
    <s v="Electric Generators, Electric Utilities"/>
    <x v="4"/>
    <n v="35337"/>
  </r>
  <r>
    <x v="3"/>
    <x v="32"/>
    <s v="Combined Heat and Power, Industrial Power"/>
    <x v="0"/>
    <n v="343710"/>
  </r>
  <r>
    <x v="3"/>
    <x v="32"/>
    <s v="Combined Heat and Power, Industrial Power"/>
    <x v="3"/>
    <n v="335757"/>
  </r>
  <r>
    <x v="3"/>
    <x v="32"/>
    <s v="Combined Heat and Power, Industrial Power"/>
    <x v="4"/>
    <n v="7953"/>
  </r>
  <r>
    <x v="3"/>
    <x v="32"/>
    <s v="Combined Heat and Power, Electric Power"/>
    <x v="0"/>
    <n v="17169"/>
  </r>
  <r>
    <x v="3"/>
    <x v="32"/>
    <s v="Combined Heat and Power, Electric Power"/>
    <x v="3"/>
    <n v="5353"/>
  </r>
  <r>
    <x v="3"/>
    <x v="32"/>
    <s v="Combined Heat and Power, Electric Power"/>
    <x v="8"/>
    <n v="11816"/>
  </r>
  <r>
    <x v="3"/>
    <x v="32"/>
    <s v="Combined Heat and Power, Commercial Power"/>
    <x v="0"/>
    <n v="19281"/>
  </r>
  <r>
    <x v="3"/>
    <x v="32"/>
    <s v="Combined Heat and Power, Commercial Power"/>
    <x v="3"/>
    <n v="19281"/>
  </r>
  <r>
    <x v="3"/>
    <x v="33"/>
    <s v="Total Electric Power Industry"/>
    <x v="0"/>
    <n v="23502472"/>
  </r>
  <r>
    <x v="3"/>
    <x v="33"/>
    <s v="Total Electric Power Industry"/>
    <x v="1"/>
    <n v="15627860"/>
  </r>
  <r>
    <x v="3"/>
    <x v="33"/>
    <s v="Total Electric Power Industry"/>
    <x v="11"/>
    <n v="1540055"/>
  </r>
  <r>
    <x v="3"/>
    <x v="33"/>
    <s v="Total Electric Power Industry"/>
    <x v="2"/>
    <n v="1972180"/>
  </r>
  <r>
    <x v="3"/>
    <x v="33"/>
    <s v="Total Electric Power Industry"/>
    <x v="3"/>
    <n v="4033198"/>
  </r>
  <r>
    <x v="3"/>
    <x v="33"/>
    <s v="Total Electric Power Industry"/>
    <x v="12"/>
    <n v="2198"/>
  </r>
  <r>
    <x v="3"/>
    <x v="33"/>
    <s v="Total Electric Power Industry"/>
    <x v="4"/>
    <n v="326981"/>
  </r>
  <r>
    <x v="3"/>
    <x v="33"/>
    <s v="Electric Generators, Independent Power Producers"/>
    <x v="0"/>
    <n v="1552282"/>
  </r>
  <r>
    <x v="3"/>
    <x v="33"/>
    <s v="Electric Generators, Independent Power Producers"/>
    <x v="11"/>
    <n v="1540055"/>
  </r>
  <r>
    <x v="3"/>
    <x v="33"/>
    <s v="Electric Generators, Independent Power Producers"/>
    <x v="2"/>
    <n v="12227"/>
  </r>
  <r>
    <x v="3"/>
    <x v="33"/>
    <s v="Electric Generators, Electric Utilities"/>
    <x v="0"/>
    <n v="19820333"/>
  </r>
  <r>
    <x v="3"/>
    <x v="33"/>
    <s v="Electric Generators, Electric Utilities"/>
    <x v="1"/>
    <n v="15627860"/>
  </r>
  <r>
    <x v="3"/>
    <x v="33"/>
    <s v="Electric Generators, Electric Utilities"/>
    <x v="2"/>
    <n v="1959953"/>
  </r>
  <r>
    <x v="3"/>
    <x v="33"/>
    <s v="Electric Generators, Electric Utilities"/>
    <x v="3"/>
    <n v="1986014"/>
  </r>
  <r>
    <x v="3"/>
    <x v="33"/>
    <s v="Electric Generators, Electric Utilities"/>
    <x v="4"/>
    <n v="246506"/>
  </r>
  <r>
    <x v="3"/>
    <x v="33"/>
    <s v="Combined Heat and Power, Electric Power"/>
    <x v="0"/>
    <n v="2129857"/>
  </r>
  <r>
    <x v="3"/>
    <x v="33"/>
    <s v="Combined Heat and Power, Electric Power"/>
    <x v="3"/>
    <n v="2047184"/>
  </r>
  <r>
    <x v="3"/>
    <x v="33"/>
    <s v="Combined Heat and Power, Electric Power"/>
    <x v="12"/>
    <n v="2198"/>
  </r>
  <r>
    <x v="3"/>
    <x v="33"/>
    <s v="Combined Heat and Power, Electric Power"/>
    <x v="4"/>
    <n v="80475"/>
  </r>
  <r>
    <x v="3"/>
    <x v="34"/>
    <s v="Total Electric Power Industry"/>
    <x v="0"/>
    <n v="124221031"/>
  </r>
  <r>
    <x v="3"/>
    <x v="34"/>
    <s v="Total Electric Power Industry"/>
    <x v="1"/>
    <n v="24501966"/>
  </r>
  <r>
    <x v="3"/>
    <x v="34"/>
    <s v="Total Electric Power Industry"/>
    <x v="2"/>
    <n v="29443296"/>
  </r>
  <r>
    <x v="3"/>
    <x v="34"/>
    <s v="Total Electric Power Industry"/>
    <x v="3"/>
    <n v="27075267"/>
  </r>
  <r>
    <x v="3"/>
    <x v="34"/>
    <s v="Total Electric Power Industry"/>
    <x v="7"/>
    <n v="26889261"/>
  </r>
  <r>
    <x v="3"/>
    <x v="34"/>
    <s v="Total Electric Power Industry"/>
    <x v="8"/>
    <n v="1724963"/>
  </r>
  <r>
    <x v="3"/>
    <x v="34"/>
    <s v="Total Electric Power Industry"/>
    <x v="9"/>
    <n v="90980"/>
  </r>
  <r>
    <x v="3"/>
    <x v="34"/>
    <s v="Total Electric Power Industry"/>
    <x v="4"/>
    <n v="15072965"/>
  </r>
  <r>
    <x v="3"/>
    <x v="34"/>
    <s v="Total Electric Power Industry"/>
    <x v="10"/>
    <n v="-1135702"/>
  </r>
  <r>
    <x v="3"/>
    <x v="34"/>
    <s v="Total Electric Power Industry"/>
    <x v="6"/>
    <n v="558035"/>
  </r>
  <r>
    <x v="3"/>
    <x v="34"/>
    <s v="Electric Generators, Independent Power Producers"/>
    <x v="0"/>
    <n v="2832894"/>
  </r>
  <r>
    <x v="3"/>
    <x v="34"/>
    <s v="Electric Generators, Independent Power Producers"/>
    <x v="2"/>
    <n v="1180421"/>
  </r>
  <r>
    <x v="3"/>
    <x v="34"/>
    <s v="Electric Generators, Independent Power Producers"/>
    <x v="3"/>
    <n v="684"/>
  </r>
  <r>
    <x v="3"/>
    <x v="34"/>
    <s v="Electric Generators, Independent Power Producers"/>
    <x v="8"/>
    <n v="1469475"/>
  </r>
  <r>
    <x v="3"/>
    <x v="34"/>
    <s v="Electric Generators, Independent Power Producers"/>
    <x v="4"/>
    <n v="22440"/>
  </r>
  <r>
    <x v="3"/>
    <x v="34"/>
    <s v="Electric Generators, Independent Power Producers"/>
    <x v="6"/>
    <n v="159874"/>
  </r>
  <r>
    <x v="3"/>
    <x v="34"/>
    <s v="Electric Generators, Electric Utilities"/>
    <x v="0"/>
    <n v="106314502"/>
  </r>
  <r>
    <x v="3"/>
    <x v="34"/>
    <s v="Electric Generators, Electric Utilities"/>
    <x v="1"/>
    <n v="21819763"/>
  </r>
  <r>
    <x v="3"/>
    <x v="34"/>
    <s v="Electric Generators, Electric Utilities"/>
    <x v="2"/>
    <n v="28123706"/>
  </r>
  <r>
    <x v="3"/>
    <x v="34"/>
    <s v="Electric Generators, Electric Utilities"/>
    <x v="3"/>
    <n v="16165604"/>
  </r>
  <r>
    <x v="3"/>
    <x v="34"/>
    <s v="Electric Generators, Electric Utilities"/>
    <x v="7"/>
    <n v="26889261"/>
  </r>
  <r>
    <x v="3"/>
    <x v="34"/>
    <s v="Electric Generators, Electric Utilities"/>
    <x v="4"/>
    <n v="14438633"/>
  </r>
  <r>
    <x v="3"/>
    <x v="34"/>
    <s v="Electric Generators, Electric Utilities"/>
    <x v="10"/>
    <n v="-1135702"/>
  </r>
  <r>
    <x v="3"/>
    <x v="34"/>
    <s v="Electric Generators, Electric Utilities"/>
    <x v="6"/>
    <n v="13237"/>
  </r>
  <r>
    <x v="3"/>
    <x v="34"/>
    <s v="Combined Heat and Power, Industrial Power"/>
    <x v="0"/>
    <n v="4557654"/>
  </r>
  <r>
    <x v="3"/>
    <x v="34"/>
    <s v="Combined Heat and Power, Industrial Power"/>
    <x v="1"/>
    <n v="1126976"/>
  </r>
  <r>
    <x v="3"/>
    <x v="34"/>
    <s v="Combined Heat and Power, Industrial Power"/>
    <x v="2"/>
    <n v="132564"/>
  </r>
  <r>
    <x v="3"/>
    <x v="34"/>
    <s v="Combined Heat and Power, Industrial Power"/>
    <x v="3"/>
    <n v="2556337"/>
  </r>
  <r>
    <x v="3"/>
    <x v="34"/>
    <s v="Combined Heat and Power, Industrial Power"/>
    <x v="8"/>
    <n v="12576"/>
  </r>
  <r>
    <x v="3"/>
    <x v="34"/>
    <s v="Combined Heat and Power, Industrial Power"/>
    <x v="9"/>
    <n v="90980"/>
  </r>
  <r>
    <x v="3"/>
    <x v="34"/>
    <s v="Combined Heat and Power, Industrial Power"/>
    <x v="4"/>
    <n v="401724"/>
  </r>
  <r>
    <x v="3"/>
    <x v="34"/>
    <s v="Combined Heat and Power, Industrial Power"/>
    <x v="6"/>
    <n v="236497"/>
  </r>
  <r>
    <x v="3"/>
    <x v="34"/>
    <s v="Combined Heat and Power, Electric Power"/>
    <x v="0"/>
    <n v="9651715"/>
  </r>
  <r>
    <x v="3"/>
    <x v="34"/>
    <s v="Combined Heat and Power, Electric Power"/>
    <x v="1"/>
    <n v="1534808"/>
  </r>
  <r>
    <x v="3"/>
    <x v="34"/>
    <s v="Combined Heat and Power, Electric Power"/>
    <x v="3"/>
    <n v="7576925"/>
  </r>
  <r>
    <x v="3"/>
    <x v="34"/>
    <s v="Combined Heat and Power, Electric Power"/>
    <x v="8"/>
    <n v="240966"/>
  </r>
  <r>
    <x v="3"/>
    <x v="34"/>
    <s v="Combined Heat and Power, Electric Power"/>
    <x v="4"/>
    <n v="150589"/>
  </r>
  <r>
    <x v="3"/>
    <x v="34"/>
    <s v="Combined Heat and Power, Electric Power"/>
    <x v="6"/>
    <n v="148427"/>
  </r>
  <r>
    <x v="3"/>
    <x v="34"/>
    <s v="Combined Heat and Power, Commercial Power"/>
    <x v="0"/>
    <n v="864266"/>
  </r>
  <r>
    <x v="3"/>
    <x v="34"/>
    <s v="Combined Heat and Power, Commercial Power"/>
    <x v="1"/>
    <n v="20419"/>
  </r>
  <r>
    <x v="3"/>
    <x v="34"/>
    <s v="Combined Heat and Power, Commercial Power"/>
    <x v="2"/>
    <n v="6605"/>
  </r>
  <r>
    <x v="3"/>
    <x v="34"/>
    <s v="Combined Heat and Power, Commercial Power"/>
    <x v="3"/>
    <n v="775717"/>
  </r>
  <r>
    <x v="3"/>
    <x v="34"/>
    <s v="Combined Heat and Power, Commercial Power"/>
    <x v="8"/>
    <n v="1946"/>
  </r>
  <r>
    <x v="3"/>
    <x v="34"/>
    <s v="Combined Heat and Power, Commercial Power"/>
    <x v="4"/>
    <n v="59579"/>
  </r>
  <r>
    <x v="3"/>
    <x v="35"/>
    <s v="Total Electric Power Industry"/>
    <x v="0"/>
    <n v="135237292"/>
  </r>
  <r>
    <x v="3"/>
    <x v="35"/>
    <s v="Total Electric Power Industry"/>
    <x v="1"/>
    <n v="123795912"/>
  </r>
  <r>
    <x v="3"/>
    <x v="35"/>
    <s v="Total Electric Power Industry"/>
    <x v="2"/>
    <n v="189613"/>
  </r>
  <r>
    <x v="3"/>
    <x v="35"/>
    <s v="Total Electric Power Industry"/>
    <x v="3"/>
    <n v="371452"/>
  </r>
  <r>
    <x v="3"/>
    <x v="35"/>
    <s v="Total Electric Power Industry"/>
    <x v="7"/>
    <n v="10010661"/>
  </r>
  <r>
    <x v="3"/>
    <x v="35"/>
    <s v="Total Electric Power Industry"/>
    <x v="8"/>
    <n v="99045"/>
  </r>
  <r>
    <x v="3"/>
    <x v="35"/>
    <s v="Total Electric Power Industry"/>
    <x v="9"/>
    <n v="128520"/>
  </r>
  <r>
    <x v="3"/>
    <x v="35"/>
    <s v="Total Electric Power Industry"/>
    <x v="4"/>
    <n v="346002"/>
  </r>
  <r>
    <x v="3"/>
    <x v="35"/>
    <s v="Total Electric Power Industry"/>
    <x v="6"/>
    <n v="296087"/>
  </r>
  <r>
    <x v="3"/>
    <x v="35"/>
    <s v="Electric Generators, Independent Power Producers"/>
    <x v="0"/>
    <n v="6544"/>
  </r>
  <r>
    <x v="3"/>
    <x v="35"/>
    <s v="Electric Generators, Independent Power Producers"/>
    <x v="2"/>
    <n v="6544"/>
  </r>
  <r>
    <x v="3"/>
    <x v="35"/>
    <s v="Electric Generators, Electric Utilities"/>
    <x v="0"/>
    <n v="133735428"/>
  </r>
  <r>
    <x v="3"/>
    <x v="35"/>
    <s v="Electric Generators, Electric Utilities"/>
    <x v="1"/>
    <n v="123024655"/>
  </r>
  <r>
    <x v="3"/>
    <x v="35"/>
    <s v="Electric Generators, Electric Utilities"/>
    <x v="2"/>
    <n v="183069"/>
  </r>
  <r>
    <x v="3"/>
    <x v="35"/>
    <s v="Electric Generators, Electric Utilities"/>
    <x v="3"/>
    <n v="176872"/>
  </r>
  <r>
    <x v="3"/>
    <x v="35"/>
    <s v="Electric Generators, Electric Utilities"/>
    <x v="7"/>
    <n v="10010661"/>
  </r>
  <r>
    <x v="3"/>
    <x v="35"/>
    <s v="Electric Generators, Electric Utilities"/>
    <x v="8"/>
    <n v="64134"/>
  </r>
  <r>
    <x v="3"/>
    <x v="35"/>
    <s v="Electric Generators, Electric Utilities"/>
    <x v="4"/>
    <n v="276037"/>
  </r>
  <r>
    <x v="3"/>
    <x v="35"/>
    <s v="Combined Heat and Power, Industrial Power"/>
    <x v="0"/>
    <n v="1405005"/>
  </r>
  <r>
    <x v="3"/>
    <x v="35"/>
    <s v="Combined Heat and Power, Industrial Power"/>
    <x v="1"/>
    <n v="771257"/>
  </r>
  <r>
    <x v="3"/>
    <x v="35"/>
    <s v="Combined Heat and Power, Industrial Power"/>
    <x v="3"/>
    <n v="145446"/>
  </r>
  <r>
    <x v="3"/>
    <x v="35"/>
    <s v="Combined Heat and Power, Industrial Power"/>
    <x v="9"/>
    <n v="128520"/>
  </r>
  <r>
    <x v="3"/>
    <x v="35"/>
    <s v="Combined Heat and Power, Industrial Power"/>
    <x v="4"/>
    <n v="63695"/>
  </r>
  <r>
    <x v="3"/>
    <x v="35"/>
    <s v="Combined Heat and Power, Industrial Power"/>
    <x v="6"/>
    <n v="296087"/>
  </r>
  <r>
    <x v="3"/>
    <x v="35"/>
    <s v="Combined Heat and Power, Electric Power"/>
    <x v="0"/>
    <n v="26093"/>
  </r>
  <r>
    <x v="3"/>
    <x v="35"/>
    <s v="Combined Heat and Power, Electric Power"/>
    <x v="8"/>
    <n v="26093"/>
  </r>
  <r>
    <x v="3"/>
    <x v="35"/>
    <s v="Combined Heat and Power, Commercial Power"/>
    <x v="0"/>
    <n v="64222"/>
  </r>
  <r>
    <x v="3"/>
    <x v="35"/>
    <s v="Combined Heat and Power, Commercial Power"/>
    <x v="1"/>
    <n v="0"/>
  </r>
  <r>
    <x v="3"/>
    <x v="35"/>
    <s v="Combined Heat and Power, Commercial Power"/>
    <x v="3"/>
    <n v="49134"/>
  </r>
  <r>
    <x v="3"/>
    <x v="35"/>
    <s v="Combined Heat and Power, Commercial Power"/>
    <x v="8"/>
    <n v="8818"/>
  </r>
  <r>
    <x v="3"/>
    <x v="35"/>
    <s v="Combined Heat and Power, Commercial Power"/>
    <x v="4"/>
    <n v="6270"/>
  </r>
  <r>
    <x v="3"/>
    <x v="36"/>
    <s v="Total Electric Power Industry"/>
    <x v="0"/>
    <n v="53159673"/>
  </r>
  <r>
    <x v="3"/>
    <x v="36"/>
    <s v="Total Electric Power Industry"/>
    <x v="1"/>
    <n v="31692175"/>
  </r>
  <r>
    <x v="3"/>
    <x v="36"/>
    <s v="Total Electric Power Industry"/>
    <x v="2"/>
    <n v="4357456"/>
  </r>
  <r>
    <x v="3"/>
    <x v="36"/>
    <s v="Total Electric Power Industry"/>
    <x v="3"/>
    <n v="16762567"/>
  </r>
  <r>
    <x v="3"/>
    <x v="36"/>
    <s v="Total Electric Power Industry"/>
    <x v="8"/>
    <n v="0"/>
  </r>
  <r>
    <x v="3"/>
    <x v="36"/>
    <s v="Total Electric Power Industry"/>
    <x v="9"/>
    <n v="89656"/>
  </r>
  <r>
    <x v="3"/>
    <x v="36"/>
    <s v="Total Electric Power Industry"/>
    <x v="4"/>
    <n v="56319"/>
  </r>
  <r>
    <x v="3"/>
    <x v="36"/>
    <s v="Total Electric Power Industry"/>
    <x v="10"/>
    <n v="-61044"/>
  </r>
  <r>
    <x v="3"/>
    <x v="36"/>
    <s v="Total Electric Power Industry"/>
    <x v="6"/>
    <n v="262544"/>
  </r>
  <r>
    <x v="3"/>
    <x v="36"/>
    <s v="Electric Generators, Electric Utilities"/>
    <x v="0"/>
    <n v="48810720"/>
  </r>
  <r>
    <x v="3"/>
    <x v="36"/>
    <s v="Electric Generators, Electric Utilities"/>
    <x v="1"/>
    <n v="28990113"/>
  </r>
  <r>
    <x v="3"/>
    <x v="36"/>
    <s v="Electric Generators, Electric Utilities"/>
    <x v="2"/>
    <n v="4357456"/>
  </r>
  <r>
    <x v="3"/>
    <x v="36"/>
    <s v="Electric Generators, Electric Utilities"/>
    <x v="3"/>
    <n v="15510168"/>
  </r>
  <r>
    <x v="3"/>
    <x v="36"/>
    <s v="Electric Generators, Electric Utilities"/>
    <x v="4"/>
    <n v="14027"/>
  </r>
  <r>
    <x v="3"/>
    <x v="36"/>
    <s v="Electric Generators, Electric Utilities"/>
    <x v="10"/>
    <n v="-61044"/>
  </r>
  <r>
    <x v="3"/>
    <x v="36"/>
    <s v="Combined Heat and Power, Industrial Power"/>
    <x v="0"/>
    <n v="1166980"/>
  </r>
  <r>
    <x v="3"/>
    <x v="36"/>
    <s v="Combined Heat and Power, Industrial Power"/>
    <x v="1"/>
    <n v="309522"/>
  </r>
  <r>
    <x v="3"/>
    <x v="36"/>
    <s v="Combined Heat and Power, Industrial Power"/>
    <x v="3"/>
    <n v="462966"/>
  </r>
  <r>
    <x v="3"/>
    <x v="36"/>
    <s v="Combined Heat and Power, Industrial Power"/>
    <x v="8"/>
    <n v="0"/>
  </r>
  <r>
    <x v="3"/>
    <x v="36"/>
    <s v="Combined Heat and Power, Industrial Power"/>
    <x v="9"/>
    <n v="89656"/>
  </r>
  <r>
    <x v="3"/>
    <x v="36"/>
    <s v="Combined Heat and Power, Industrial Power"/>
    <x v="4"/>
    <n v="42292"/>
  </r>
  <r>
    <x v="3"/>
    <x v="36"/>
    <s v="Combined Heat and Power, Industrial Power"/>
    <x v="6"/>
    <n v="262544"/>
  </r>
  <r>
    <x v="3"/>
    <x v="36"/>
    <s v="Combined Heat and Power, Electric Power"/>
    <x v="0"/>
    <n v="3138720"/>
  </r>
  <r>
    <x v="3"/>
    <x v="36"/>
    <s v="Combined Heat and Power, Electric Power"/>
    <x v="1"/>
    <n v="2392540"/>
  </r>
  <r>
    <x v="3"/>
    <x v="36"/>
    <s v="Combined Heat and Power, Electric Power"/>
    <x v="3"/>
    <n v="746180"/>
  </r>
  <r>
    <x v="3"/>
    <x v="36"/>
    <s v="Combined Heat and Power, Commercial Power"/>
    <x v="0"/>
    <n v="43253"/>
  </r>
  <r>
    <x v="3"/>
    <x v="36"/>
    <s v="Combined Heat and Power, Commercial Power"/>
    <x v="3"/>
    <n v="43253"/>
  </r>
  <r>
    <x v="3"/>
    <x v="37"/>
    <s v="Total Electric Power Industry"/>
    <x v="0"/>
    <n v="41909585"/>
  </r>
  <r>
    <x v="3"/>
    <x v="37"/>
    <s v="Total Electric Power Industry"/>
    <x v="1"/>
    <n v="3520392"/>
  </r>
  <r>
    <x v="3"/>
    <x v="37"/>
    <s v="Total Electric Power Industry"/>
    <x v="2"/>
    <n v="35864080"/>
  </r>
  <r>
    <x v="3"/>
    <x v="37"/>
    <s v="Total Electric Power Industry"/>
    <x v="3"/>
    <n v="1778067"/>
  </r>
  <r>
    <x v="3"/>
    <x v="37"/>
    <s v="Total Electric Power Industry"/>
    <x v="7"/>
    <n v="-21276"/>
  </r>
  <r>
    <x v="3"/>
    <x v="37"/>
    <s v="Total Electric Power Industry"/>
    <x v="8"/>
    <n v="95238"/>
  </r>
  <r>
    <x v="3"/>
    <x v="37"/>
    <s v="Total Electric Power Industry"/>
    <x v="4"/>
    <n v="33668"/>
  </r>
  <r>
    <x v="3"/>
    <x v="37"/>
    <s v="Total Electric Power Industry"/>
    <x v="6"/>
    <n v="639416"/>
  </r>
  <r>
    <x v="3"/>
    <x v="37"/>
    <s v="Electric Generators, Independent Power Producers"/>
    <x v="0"/>
    <n v="426801"/>
  </r>
  <r>
    <x v="3"/>
    <x v="37"/>
    <s v="Electric Generators, Independent Power Producers"/>
    <x v="2"/>
    <n v="331051"/>
  </r>
  <r>
    <x v="3"/>
    <x v="37"/>
    <s v="Electric Generators, Independent Power Producers"/>
    <x v="3"/>
    <n v="512"/>
  </r>
  <r>
    <x v="3"/>
    <x v="37"/>
    <s v="Electric Generators, Independent Power Producers"/>
    <x v="8"/>
    <n v="95238"/>
  </r>
  <r>
    <x v="3"/>
    <x v="37"/>
    <s v="Electric Generators, Electric Utilities"/>
    <x v="0"/>
    <n v="40743085"/>
  </r>
  <r>
    <x v="3"/>
    <x v="37"/>
    <s v="Electric Generators, Electric Utilities"/>
    <x v="1"/>
    <n v="3502742"/>
  </r>
  <r>
    <x v="3"/>
    <x v="37"/>
    <s v="Electric Generators, Electric Utilities"/>
    <x v="2"/>
    <n v="35531031"/>
  </r>
  <r>
    <x v="3"/>
    <x v="37"/>
    <s v="Electric Generators, Electric Utilities"/>
    <x v="3"/>
    <n v="1687456"/>
  </r>
  <r>
    <x v="3"/>
    <x v="37"/>
    <s v="Electric Generators, Electric Utilities"/>
    <x v="7"/>
    <n v="-21276"/>
  </r>
  <r>
    <x v="3"/>
    <x v="37"/>
    <s v="Electric Generators, Electric Utilities"/>
    <x v="8"/>
    <n v="0"/>
  </r>
  <r>
    <x v="3"/>
    <x v="37"/>
    <s v="Electric Generators, Electric Utilities"/>
    <x v="4"/>
    <n v="32365"/>
  </r>
  <r>
    <x v="3"/>
    <x v="37"/>
    <s v="Electric Generators, Electric Utilities"/>
    <x v="6"/>
    <n v="10767"/>
  </r>
  <r>
    <x v="3"/>
    <x v="37"/>
    <s v="Combined Heat and Power, Industrial Power"/>
    <x v="0"/>
    <n v="346825"/>
  </r>
  <r>
    <x v="3"/>
    <x v="37"/>
    <s v="Combined Heat and Power, Industrial Power"/>
    <x v="1"/>
    <n v="17650"/>
  </r>
  <r>
    <x v="3"/>
    <x v="37"/>
    <s v="Combined Heat and Power, Industrial Power"/>
    <x v="2"/>
    <n v="1998"/>
  </r>
  <r>
    <x v="3"/>
    <x v="37"/>
    <s v="Combined Heat and Power, Industrial Power"/>
    <x v="3"/>
    <n v="27551"/>
  </r>
  <r>
    <x v="3"/>
    <x v="37"/>
    <s v="Combined Heat and Power, Industrial Power"/>
    <x v="4"/>
    <n v="1303"/>
  </r>
  <r>
    <x v="3"/>
    <x v="37"/>
    <s v="Combined Heat and Power, Industrial Power"/>
    <x v="6"/>
    <n v="298323"/>
  </r>
  <r>
    <x v="3"/>
    <x v="37"/>
    <s v="Combined Heat and Power, Electric Power"/>
    <x v="0"/>
    <n v="326466"/>
  </r>
  <r>
    <x v="3"/>
    <x v="37"/>
    <s v="Combined Heat and Power, Electric Power"/>
    <x v="3"/>
    <n v="62548"/>
  </r>
  <r>
    <x v="3"/>
    <x v="37"/>
    <s v="Combined Heat and Power, Electric Power"/>
    <x v="6"/>
    <n v="263918"/>
  </r>
  <r>
    <x v="3"/>
    <x v="37"/>
    <s v="Combined Heat and Power, Commercial Power"/>
    <x v="0"/>
    <n v="66408"/>
  </r>
  <r>
    <x v="3"/>
    <x v="37"/>
    <s v="Combined Heat and Power, Commercial Power"/>
    <x v="6"/>
    <n v="66408"/>
  </r>
  <r>
    <x v="3"/>
    <x v="38"/>
    <s v="Total Electric Power Industry"/>
    <x v="0"/>
    <n v="181214132"/>
  </r>
  <r>
    <x v="3"/>
    <x v="38"/>
    <s v="Total Electric Power Industry"/>
    <x v="1"/>
    <n v="108131818"/>
  </r>
  <r>
    <x v="3"/>
    <x v="38"/>
    <s v="Total Electric Power Industry"/>
    <x v="2"/>
    <n v="2376466"/>
  </r>
  <r>
    <x v="3"/>
    <x v="38"/>
    <s v="Total Electric Power Industry"/>
    <x v="3"/>
    <n v="3869669"/>
  </r>
  <r>
    <x v="3"/>
    <x v="38"/>
    <s v="Total Electric Power Industry"/>
    <x v="7"/>
    <n v="59330534"/>
  </r>
  <r>
    <x v="3"/>
    <x v="38"/>
    <s v="Total Electric Power Industry"/>
    <x v="12"/>
    <n v="207510"/>
  </r>
  <r>
    <x v="3"/>
    <x v="38"/>
    <s v="Total Electric Power Industry"/>
    <x v="8"/>
    <n v="1425981"/>
  </r>
  <r>
    <x v="3"/>
    <x v="38"/>
    <s v="Total Electric Power Industry"/>
    <x v="9"/>
    <n v="1097975"/>
  </r>
  <r>
    <x v="3"/>
    <x v="38"/>
    <s v="Total Electric Power Industry"/>
    <x v="4"/>
    <n v="5013320"/>
  </r>
  <r>
    <x v="3"/>
    <x v="38"/>
    <s v="Total Electric Power Industry"/>
    <x v="10"/>
    <n v="-884047"/>
  </r>
  <r>
    <x v="3"/>
    <x v="38"/>
    <s v="Total Electric Power Industry"/>
    <x v="6"/>
    <n v="644906"/>
  </r>
  <r>
    <x v="3"/>
    <x v="38"/>
    <s v="Electric Generators, Independent Power Producers"/>
    <x v="0"/>
    <n v="2839062"/>
  </r>
  <r>
    <x v="3"/>
    <x v="38"/>
    <s v="Electric Generators, Independent Power Producers"/>
    <x v="1"/>
    <n v="1281553"/>
  </r>
  <r>
    <x v="3"/>
    <x v="38"/>
    <s v="Electric Generators, Independent Power Producers"/>
    <x v="2"/>
    <n v="368216"/>
  </r>
  <r>
    <x v="3"/>
    <x v="38"/>
    <s v="Electric Generators, Independent Power Producers"/>
    <x v="3"/>
    <n v="6373"/>
  </r>
  <r>
    <x v="3"/>
    <x v="38"/>
    <s v="Electric Generators, Independent Power Producers"/>
    <x v="8"/>
    <n v="1151186"/>
  </r>
  <r>
    <x v="3"/>
    <x v="38"/>
    <s v="Electric Generators, Independent Power Producers"/>
    <x v="9"/>
    <n v="7075"/>
  </r>
  <r>
    <x v="3"/>
    <x v="38"/>
    <s v="Electric Generators, Independent Power Producers"/>
    <x v="4"/>
    <n v="24659"/>
  </r>
  <r>
    <x v="3"/>
    <x v="38"/>
    <s v="Electric Generators, Electric Utilities"/>
    <x v="0"/>
    <n v="166200686"/>
  </r>
  <r>
    <x v="3"/>
    <x v="38"/>
    <s v="Electric Generators, Electric Utilities"/>
    <x v="1"/>
    <n v="100390066"/>
  </r>
  <r>
    <x v="3"/>
    <x v="38"/>
    <s v="Electric Generators, Electric Utilities"/>
    <x v="2"/>
    <n v="2008250"/>
  </r>
  <r>
    <x v="3"/>
    <x v="38"/>
    <s v="Electric Generators, Electric Utilities"/>
    <x v="3"/>
    <n v="796697"/>
  </r>
  <r>
    <x v="3"/>
    <x v="38"/>
    <s v="Electric Generators, Electric Utilities"/>
    <x v="7"/>
    <n v="59330534"/>
  </r>
  <r>
    <x v="3"/>
    <x v="38"/>
    <s v="Electric Generators, Electric Utilities"/>
    <x v="4"/>
    <n v="4559186"/>
  </r>
  <r>
    <x v="3"/>
    <x v="38"/>
    <s v="Electric Generators, Electric Utilities"/>
    <x v="10"/>
    <n v="-884047"/>
  </r>
  <r>
    <x v="3"/>
    <x v="38"/>
    <s v="Combined Heat and Power, Industrial Power"/>
    <x v="0"/>
    <n v="5093770"/>
  </r>
  <r>
    <x v="3"/>
    <x v="38"/>
    <s v="Combined Heat and Power, Industrial Power"/>
    <x v="1"/>
    <n v="1917902"/>
  </r>
  <r>
    <x v="3"/>
    <x v="38"/>
    <s v="Combined Heat and Power, Industrial Power"/>
    <x v="3"/>
    <n v="1403553"/>
  </r>
  <r>
    <x v="3"/>
    <x v="38"/>
    <s v="Combined Heat and Power, Industrial Power"/>
    <x v="12"/>
    <n v="673"/>
  </r>
  <r>
    <x v="3"/>
    <x v="38"/>
    <s v="Combined Heat and Power, Industrial Power"/>
    <x v="9"/>
    <n v="1083352"/>
  </r>
  <r>
    <x v="3"/>
    <x v="38"/>
    <s v="Combined Heat and Power, Industrial Power"/>
    <x v="4"/>
    <n v="240326"/>
  </r>
  <r>
    <x v="3"/>
    <x v="38"/>
    <s v="Combined Heat and Power, Industrial Power"/>
    <x v="6"/>
    <n v="447964"/>
  </r>
  <r>
    <x v="3"/>
    <x v="38"/>
    <s v="Combined Heat and Power, Electric Power"/>
    <x v="0"/>
    <n v="6691737"/>
  </r>
  <r>
    <x v="3"/>
    <x v="38"/>
    <s v="Combined Heat and Power, Electric Power"/>
    <x v="1"/>
    <n v="4531906"/>
  </r>
  <r>
    <x v="3"/>
    <x v="38"/>
    <s v="Combined Heat and Power, Electric Power"/>
    <x v="3"/>
    <n v="1527438"/>
  </r>
  <r>
    <x v="3"/>
    <x v="38"/>
    <s v="Combined Heat and Power, Electric Power"/>
    <x v="12"/>
    <n v="206837"/>
  </r>
  <r>
    <x v="3"/>
    <x v="38"/>
    <s v="Combined Heat and Power, Electric Power"/>
    <x v="8"/>
    <n v="42506"/>
  </r>
  <r>
    <x v="3"/>
    <x v="38"/>
    <s v="Combined Heat and Power, Electric Power"/>
    <x v="9"/>
    <n v="7548"/>
  </r>
  <r>
    <x v="3"/>
    <x v="38"/>
    <s v="Combined Heat and Power, Electric Power"/>
    <x v="4"/>
    <n v="178560"/>
  </r>
  <r>
    <x v="3"/>
    <x v="38"/>
    <s v="Combined Heat and Power, Electric Power"/>
    <x v="6"/>
    <n v="196942"/>
  </r>
  <r>
    <x v="3"/>
    <x v="38"/>
    <s v="Combined Heat and Power, Commercial Power"/>
    <x v="0"/>
    <n v="388877"/>
  </r>
  <r>
    <x v="3"/>
    <x v="38"/>
    <s v="Combined Heat and Power, Commercial Power"/>
    <x v="1"/>
    <n v="10391"/>
  </r>
  <r>
    <x v="3"/>
    <x v="38"/>
    <s v="Combined Heat and Power, Commercial Power"/>
    <x v="3"/>
    <n v="135608"/>
  </r>
  <r>
    <x v="3"/>
    <x v="38"/>
    <s v="Combined Heat and Power, Commercial Power"/>
    <x v="8"/>
    <n v="232289"/>
  </r>
  <r>
    <x v="3"/>
    <x v="38"/>
    <s v="Combined Heat and Power, Commercial Power"/>
    <x v="4"/>
    <n v="10589"/>
  </r>
  <r>
    <x v="3"/>
    <x v="39"/>
    <s v="Total Electric Power Industry"/>
    <x v="0"/>
    <n v="4665296"/>
  </r>
  <r>
    <x v="3"/>
    <x v="39"/>
    <s v="Total Electric Power Industry"/>
    <x v="1"/>
    <n v="0"/>
  </r>
  <r>
    <x v="3"/>
    <x v="39"/>
    <s v="Total Electric Power Industry"/>
    <x v="2"/>
    <n v="9385"/>
  </r>
  <r>
    <x v="3"/>
    <x v="39"/>
    <s v="Total Electric Power Industry"/>
    <x v="3"/>
    <n v="4508632"/>
  </r>
  <r>
    <x v="3"/>
    <x v="39"/>
    <s v="Total Electric Power Industry"/>
    <x v="8"/>
    <n v="74798"/>
  </r>
  <r>
    <x v="3"/>
    <x v="39"/>
    <s v="Total Electric Power Industry"/>
    <x v="4"/>
    <n v="72481"/>
  </r>
  <r>
    <x v="3"/>
    <x v="39"/>
    <s v="Electric Generators, Independent Power Producers"/>
    <x v="0"/>
    <n v="4037418"/>
  </r>
  <r>
    <x v="3"/>
    <x v="39"/>
    <s v="Electric Generators, Independent Power Producers"/>
    <x v="2"/>
    <n v="9385"/>
  </r>
  <r>
    <x v="3"/>
    <x v="39"/>
    <s v="Electric Generators, Independent Power Producers"/>
    <x v="3"/>
    <n v="3950421"/>
  </r>
  <r>
    <x v="3"/>
    <x v="39"/>
    <s v="Electric Generators, Independent Power Producers"/>
    <x v="8"/>
    <n v="74798"/>
  </r>
  <r>
    <x v="3"/>
    <x v="39"/>
    <s v="Electric Generators, Independent Power Producers"/>
    <x v="4"/>
    <n v="2814"/>
  </r>
  <r>
    <x v="3"/>
    <x v="39"/>
    <s v="Electric Generators, Electric Utilities"/>
    <x v="0"/>
    <n v="53740"/>
  </r>
  <r>
    <x v="3"/>
    <x v="39"/>
    <s v="Electric Generators, Electric Utilities"/>
    <x v="1"/>
    <n v="0"/>
  </r>
  <r>
    <x v="3"/>
    <x v="39"/>
    <s v="Electric Generators, Electric Utilities"/>
    <x v="2"/>
    <n v="0"/>
  </r>
  <r>
    <x v="3"/>
    <x v="39"/>
    <s v="Electric Generators, Electric Utilities"/>
    <x v="3"/>
    <n v="25158"/>
  </r>
  <r>
    <x v="3"/>
    <x v="39"/>
    <s v="Electric Generators, Electric Utilities"/>
    <x v="4"/>
    <n v="28582"/>
  </r>
  <r>
    <x v="3"/>
    <x v="39"/>
    <s v="Combined Heat and Power, Industrial Power"/>
    <x v="0"/>
    <n v="19563"/>
  </r>
  <r>
    <x v="3"/>
    <x v="39"/>
    <s v="Combined Heat and Power, Industrial Power"/>
    <x v="3"/>
    <n v="19563"/>
  </r>
  <r>
    <x v="3"/>
    <x v="39"/>
    <s v="Combined Heat and Power, Electric Power"/>
    <x v="0"/>
    <n v="502446"/>
  </r>
  <r>
    <x v="3"/>
    <x v="39"/>
    <s v="Combined Heat and Power, Electric Power"/>
    <x v="3"/>
    <n v="500921"/>
  </r>
  <r>
    <x v="3"/>
    <x v="39"/>
    <s v="Combined Heat and Power, Electric Power"/>
    <x v="4"/>
    <n v="1525"/>
  </r>
  <r>
    <x v="3"/>
    <x v="39"/>
    <s v="Combined Heat and Power, Commercial Power"/>
    <x v="0"/>
    <n v="52129"/>
  </r>
  <r>
    <x v="3"/>
    <x v="39"/>
    <s v="Combined Heat and Power, Commercial Power"/>
    <x v="3"/>
    <n v="12569"/>
  </r>
  <r>
    <x v="3"/>
    <x v="39"/>
    <s v="Combined Heat and Power, Commercial Power"/>
    <x v="4"/>
    <n v="39560"/>
  </r>
  <r>
    <x v="3"/>
    <x v="40"/>
    <s v="Total Electric Power Industry"/>
    <x v="0"/>
    <n v="78174835"/>
  </r>
  <r>
    <x v="3"/>
    <x v="40"/>
    <s v="Total Electric Power Industry"/>
    <x v="1"/>
    <n v="27239959"/>
  </r>
  <r>
    <x v="3"/>
    <x v="40"/>
    <s v="Total Electric Power Industry"/>
    <x v="2"/>
    <n v="2950139"/>
  </r>
  <r>
    <x v="3"/>
    <x v="40"/>
    <s v="Total Electric Power Industry"/>
    <x v="3"/>
    <n v="207716"/>
  </r>
  <r>
    <x v="3"/>
    <x v="40"/>
    <s v="Total Electric Power Industry"/>
    <x v="7"/>
    <n v="46188884"/>
  </r>
  <r>
    <x v="3"/>
    <x v="40"/>
    <s v="Total Electric Power Industry"/>
    <x v="12"/>
    <n v="7517"/>
  </r>
  <r>
    <x v="3"/>
    <x v="40"/>
    <s v="Total Electric Power Industry"/>
    <x v="8"/>
    <n v="62125"/>
  </r>
  <r>
    <x v="3"/>
    <x v="40"/>
    <s v="Total Electric Power Industry"/>
    <x v="9"/>
    <n v="24411"/>
  </r>
  <r>
    <x v="3"/>
    <x v="40"/>
    <s v="Total Electric Power Industry"/>
    <x v="4"/>
    <n v="202239"/>
  </r>
  <r>
    <x v="3"/>
    <x v="40"/>
    <s v="Total Electric Power Industry"/>
    <x v="10"/>
    <n v="-239116"/>
  </r>
  <r>
    <x v="3"/>
    <x v="40"/>
    <s v="Total Electric Power Industry"/>
    <x v="6"/>
    <n v="1530961"/>
  </r>
  <r>
    <x v="3"/>
    <x v="40"/>
    <s v="Electric Generators, Independent Power Producers"/>
    <x v="0"/>
    <n v="57585"/>
  </r>
  <r>
    <x v="3"/>
    <x v="40"/>
    <s v="Electric Generators, Independent Power Producers"/>
    <x v="2"/>
    <n v="57585"/>
  </r>
  <r>
    <x v="3"/>
    <x v="40"/>
    <s v="Electric Generators, Electric Utilities"/>
    <x v="0"/>
    <n v="75588386"/>
  </r>
  <r>
    <x v="3"/>
    <x v="40"/>
    <s v="Electric Generators, Electric Utilities"/>
    <x v="1"/>
    <n v="26532193"/>
  </r>
  <r>
    <x v="3"/>
    <x v="40"/>
    <s v="Electric Generators, Electric Utilities"/>
    <x v="2"/>
    <n v="2890119"/>
  </r>
  <r>
    <x v="3"/>
    <x v="40"/>
    <s v="Electric Generators, Electric Utilities"/>
    <x v="3"/>
    <n v="121113"/>
  </r>
  <r>
    <x v="3"/>
    <x v="40"/>
    <s v="Electric Generators, Electric Utilities"/>
    <x v="7"/>
    <n v="46188884"/>
  </r>
  <r>
    <x v="3"/>
    <x v="40"/>
    <s v="Electric Generators, Electric Utilities"/>
    <x v="4"/>
    <n v="95193"/>
  </r>
  <r>
    <x v="3"/>
    <x v="40"/>
    <s v="Electric Generators, Electric Utilities"/>
    <x v="10"/>
    <n v="-239116"/>
  </r>
  <r>
    <x v="3"/>
    <x v="40"/>
    <s v="Combined Heat and Power, Industrial Power"/>
    <x v="0"/>
    <n v="2448945"/>
  </r>
  <r>
    <x v="3"/>
    <x v="40"/>
    <s v="Combined Heat and Power, Industrial Power"/>
    <x v="1"/>
    <n v="707766"/>
  </r>
  <r>
    <x v="3"/>
    <x v="40"/>
    <s v="Combined Heat and Power, Industrial Power"/>
    <x v="3"/>
    <n v="67206"/>
  </r>
  <r>
    <x v="3"/>
    <x v="40"/>
    <s v="Combined Heat and Power, Industrial Power"/>
    <x v="12"/>
    <n v="7517"/>
  </r>
  <r>
    <x v="3"/>
    <x v="40"/>
    <s v="Combined Heat and Power, Industrial Power"/>
    <x v="8"/>
    <n v="6917"/>
  </r>
  <r>
    <x v="3"/>
    <x v="40"/>
    <s v="Combined Heat and Power, Industrial Power"/>
    <x v="9"/>
    <n v="24411"/>
  </r>
  <r>
    <x v="3"/>
    <x v="40"/>
    <s v="Combined Heat and Power, Industrial Power"/>
    <x v="4"/>
    <n v="104167"/>
  </r>
  <r>
    <x v="3"/>
    <x v="40"/>
    <s v="Combined Heat and Power, Industrial Power"/>
    <x v="6"/>
    <n v="1530961"/>
  </r>
  <r>
    <x v="3"/>
    <x v="40"/>
    <s v="Combined Heat and Power, Commercial Power"/>
    <x v="0"/>
    <n v="79919"/>
  </r>
  <r>
    <x v="3"/>
    <x v="40"/>
    <s v="Combined Heat and Power, Commercial Power"/>
    <x v="2"/>
    <n v="2435"/>
  </r>
  <r>
    <x v="3"/>
    <x v="40"/>
    <s v="Combined Heat and Power, Commercial Power"/>
    <x v="3"/>
    <n v="19397"/>
  </r>
  <r>
    <x v="3"/>
    <x v="40"/>
    <s v="Combined Heat and Power, Commercial Power"/>
    <x v="8"/>
    <n v="55208"/>
  </r>
  <r>
    <x v="3"/>
    <x v="40"/>
    <s v="Combined Heat and Power, Commercial Power"/>
    <x v="4"/>
    <n v="2879"/>
  </r>
  <r>
    <x v="3"/>
    <x v="41"/>
    <s v="Total Electric Power Industry"/>
    <x v="0"/>
    <n v="5255511"/>
  </r>
  <r>
    <x v="3"/>
    <x v="41"/>
    <s v="Total Electric Power Industry"/>
    <x v="1"/>
    <n v="2641582"/>
  </r>
  <r>
    <x v="3"/>
    <x v="41"/>
    <s v="Total Electric Power Industry"/>
    <x v="2"/>
    <n v="2591115"/>
  </r>
  <r>
    <x v="3"/>
    <x v="41"/>
    <s v="Total Electric Power Industry"/>
    <x v="3"/>
    <n v="10527"/>
  </r>
  <r>
    <x v="3"/>
    <x v="41"/>
    <s v="Total Electric Power Industry"/>
    <x v="4"/>
    <n v="12287"/>
  </r>
  <r>
    <x v="3"/>
    <x v="41"/>
    <s v="Electric Generators, Electric Utilities"/>
    <x v="0"/>
    <n v="5255511"/>
  </r>
  <r>
    <x v="3"/>
    <x v="41"/>
    <s v="Electric Generators, Electric Utilities"/>
    <x v="1"/>
    <n v="2641582"/>
  </r>
  <r>
    <x v="3"/>
    <x v="41"/>
    <s v="Electric Generators, Electric Utilities"/>
    <x v="2"/>
    <n v="2591115"/>
  </r>
  <r>
    <x v="3"/>
    <x v="41"/>
    <s v="Electric Generators, Electric Utilities"/>
    <x v="3"/>
    <n v="10527"/>
  </r>
  <r>
    <x v="3"/>
    <x v="41"/>
    <s v="Electric Generators, Electric Utilities"/>
    <x v="4"/>
    <n v="12287"/>
  </r>
  <r>
    <x v="3"/>
    <x v="42"/>
    <s v="Total Electric Power Industry"/>
    <x v="0"/>
    <n v="73884199"/>
  </r>
  <r>
    <x v="3"/>
    <x v="42"/>
    <s v="Total Electric Power Industry"/>
    <x v="1"/>
    <n v="61094822"/>
  </r>
  <r>
    <x v="3"/>
    <x v="42"/>
    <s v="Total Electric Power Industry"/>
    <x v="2"/>
    <n v="8954227"/>
  </r>
  <r>
    <x v="3"/>
    <x v="42"/>
    <s v="Total Electric Power Industry"/>
    <x v="3"/>
    <n v="292727"/>
  </r>
  <r>
    <x v="3"/>
    <x v="42"/>
    <s v="Total Electric Power Industry"/>
    <x v="7"/>
    <n v="3304836"/>
  </r>
  <r>
    <x v="3"/>
    <x v="42"/>
    <s v="Total Electric Power Industry"/>
    <x v="12"/>
    <n v="68236"/>
  </r>
  <r>
    <x v="3"/>
    <x v="42"/>
    <s v="Total Electric Power Industry"/>
    <x v="8"/>
    <n v="61659"/>
  </r>
  <r>
    <x v="3"/>
    <x v="42"/>
    <s v="Total Electric Power Industry"/>
    <x v="9"/>
    <n v="2681"/>
  </r>
  <r>
    <x v="3"/>
    <x v="42"/>
    <s v="Total Electric Power Industry"/>
    <x v="4"/>
    <n v="239106"/>
  </r>
  <r>
    <x v="3"/>
    <x v="42"/>
    <s v="Total Electric Power Industry"/>
    <x v="10"/>
    <n v="-560158"/>
  </r>
  <r>
    <x v="3"/>
    <x v="42"/>
    <s v="Total Electric Power Industry"/>
    <x v="6"/>
    <n v="426063"/>
  </r>
  <r>
    <x v="3"/>
    <x v="42"/>
    <s v="Electric Generators, Independent Power Producers"/>
    <x v="0"/>
    <n v="16398"/>
  </r>
  <r>
    <x v="3"/>
    <x v="42"/>
    <s v="Electric Generators, Independent Power Producers"/>
    <x v="8"/>
    <n v="16398"/>
  </r>
  <r>
    <x v="3"/>
    <x v="42"/>
    <s v="Electric Generators, Electric Utilities"/>
    <x v="0"/>
    <n v="71614268"/>
  </r>
  <r>
    <x v="3"/>
    <x v="42"/>
    <s v="Electric Generators, Electric Utilities"/>
    <x v="1"/>
    <n v="59559596"/>
  </r>
  <r>
    <x v="3"/>
    <x v="42"/>
    <s v="Electric Generators, Electric Utilities"/>
    <x v="2"/>
    <n v="8954227"/>
  </r>
  <r>
    <x v="3"/>
    <x v="42"/>
    <s v="Electric Generators, Electric Utilities"/>
    <x v="3"/>
    <n v="121222"/>
  </r>
  <r>
    <x v="3"/>
    <x v="42"/>
    <s v="Electric Generators, Electric Utilities"/>
    <x v="7"/>
    <n v="3304836"/>
  </r>
  <r>
    <x v="3"/>
    <x v="42"/>
    <s v="Electric Generators, Electric Utilities"/>
    <x v="4"/>
    <n v="234545"/>
  </r>
  <r>
    <x v="3"/>
    <x v="42"/>
    <s v="Electric Generators, Electric Utilities"/>
    <x v="10"/>
    <n v="-560158"/>
  </r>
  <r>
    <x v="3"/>
    <x v="42"/>
    <s v="Combined Heat and Power, Industrial Power"/>
    <x v="0"/>
    <n v="2154211"/>
  </r>
  <r>
    <x v="3"/>
    <x v="42"/>
    <s v="Combined Heat and Power, Industrial Power"/>
    <x v="1"/>
    <n v="1494870"/>
  </r>
  <r>
    <x v="3"/>
    <x v="42"/>
    <s v="Combined Heat and Power, Industrial Power"/>
    <x v="3"/>
    <n v="151300"/>
  </r>
  <r>
    <x v="3"/>
    <x v="42"/>
    <s v="Combined Heat and Power, Industrial Power"/>
    <x v="12"/>
    <n v="68236"/>
  </r>
  <r>
    <x v="3"/>
    <x v="42"/>
    <s v="Combined Heat and Power, Industrial Power"/>
    <x v="8"/>
    <n v="6500"/>
  </r>
  <r>
    <x v="3"/>
    <x v="42"/>
    <s v="Combined Heat and Power, Industrial Power"/>
    <x v="9"/>
    <n v="2681"/>
  </r>
  <r>
    <x v="3"/>
    <x v="42"/>
    <s v="Combined Heat and Power, Industrial Power"/>
    <x v="4"/>
    <n v="4561"/>
  </r>
  <r>
    <x v="3"/>
    <x v="42"/>
    <s v="Combined Heat and Power, Industrial Power"/>
    <x v="6"/>
    <n v="426063"/>
  </r>
  <r>
    <x v="3"/>
    <x v="42"/>
    <s v="Combined Heat and Power, Commercial Power"/>
    <x v="0"/>
    <n v="99322"/>
  </r>
  <r>
    <x v="3"/>
    <x v="42"/>
    <s v="Combined Heat and Power, Commercial Power"/>
    <x v="1"/>
    <n v="40356"/>
  </r>
  <r>
    <x v="3"/>
    <x v="42"/>
    <s v="Combined Heat and Power, Commercial Power"/>
    <x v="3"/>
    <n v="20205"/>
  </r>
  <r>
    <x v="3"/>
    <x v="42"/>
    <s v="Combined Heat and Power, Commercial Power"/>
    <x v="8"/>
    <n v="38761"/>
  </r>
  <r>
    <x v="3"/>
    <x v="43"/>
    <s v="Total Electric Power Industry"/>
    <x v="0"/>
    <n v="299688715"/>
  </r>
  <r>
    <x v="3"/>
    <x v="43"/>
    <s v="Total Electric Power Industry"/>
    <x v="1"/>
    <n v="131046002"/>
  </r>
  <r>
    <x v="3"/>
    <x v="43"/>
    <s v="Total Electric Power Industry"/>
    <x v="2"/>
    <n v="1786405"/>
  </r>
  <r>
    <x v="3"/>
    <x v="43"/>
    <s v="Total Electric Power Industry"/>
    <x v="3"/>
    <n v="147294114"/>
  </r>
  <r>
    <x v="3"/>
    <x v="43"/>
    <s v="Total Electric Power Industry"/>
    <x v="7"/>
    <n v="12406774"/>
  </r>
  <r>
    <x v="3"/>
    <x v="43"/>
    <s v="Total Electric Power Industry"/>
    <x v="12"/>
    <n v="401130"/>
  </r>
  <r>
    <x v="3"/>
    <x v="43"/>
    <s v="Total Electric Power Industry"/>
    <x v="8"/>
    <n v="368232"/>
  </r>
  <r>
    <x v="3"/>
    <x v="43"/>
    <s v="Total Electric Power Industry"/>
    <x v="9"/>
    <n v="3281370"/>
  </r>
  <r>
    <x v="3"/>
    <x v="43"/>
    <s v="Total Electric Power Industry"/>
    <x v="4"/>
    <n v="1854468"/>
  </r>
  <r>
    <x v="3"/>
    <x v="43"/>
    <s v="Total Electric Power Industry"/>
    <x v="13"/>
    <n v="366"/>
  </r>
  <r>
    <x v="3"/>
    <x v="43"/>
    <s v="Total Electric Power Industry"/>
    <x v="6"/>
    <n v="1249854"/>
  </r>
  <r>
    <x v="3"/>
    <x v="43"/>
    <s v="Electric Generators, Independent Power Producers"/>
    <x v="0"/>
    <n v="21860"/>
  </r>
  <r>
    <x v="3"/>
    <x v="43"/>
    <s v="Electric Generators, Independent Power Producers"/>
    <x v="8"/>
    <n v="21860"/>
  </r>
  <r>
    <x v="3"/>
    <x v="43"/>
    <s v="Electric Generators, Electric Utilities"/>
    <x v="0"/>
    <n v="248174240"/>
  </r>
  <r>
    <x v="3"/>
    <x v="43"/>
    <s v="Electric Generators, Electric Utilities"/>
    <x v="1"/>
    <n v="128266337"/>
  </r>
  <r>
    <x v="3"/>
    <x v="43"/>
    <s v="Electric Generators, Electric Utilities"/>
    <x v="2"/>
    <n v="1786405"/>
  </r>
  <r>
    <x v="3"/>
    <x v="43"/>
    <s v="Electric Generators, Electric Utilities"/>
    <x v="3"/>
    <n v="104966938"/>
  </r>
  <r>
    <x v="3"/>
    <x v="43"/>
    <s v="Electric Generators, Electric Utilities"/>
    <x v="7"/>
    <n v="12406774"/>
  </r>
  <r>
    <x v="3"/>
    <x v="43"/>
    <s v="Electric Generators, Electric Utilities"/>
    <x v="8"/>
    <n v="294511"/>
  </r>
  <r>
    <x v="3"/>
    <x v="43"/>
    <s v="Electric Generators, Electric Utilities"/>
    <x v="4"/>
    <n v="452909"/>
  </r>
  <r>
    <x v="3"/>
    <x v="43"/>
    <s v="Electric Generators, Electric Utilities"/>
    <x v="13"/>
    <n v="366"/>
  </r>
  <r>
    <x v="3"/>
    <x v="43"/>
    <s v="Combined Heat and Power, Industrial Power"/>
    <x v="0"/>
    <n v="35198667"/>
  </r>
  <r>
    <x v="3"/>
    <x v="43"/>
    <s v="Combined Heat and Power, Industrial Power"/>
    <x v="1"/>
    <n v="2779665"/>
  </r>
  <r>
    <x v="3"/>
    <x v="43"/>
    <s v="Combined Heat and Power, Industrial Power"/>
    <x v="3"/>
    <n v="27501960"/>
  </r>
  <r>
    <x v="3"/>
    <x v="43"/>
    <s v="Combined Heat and Power, Industrial Power"/>
    <x v="12"/>
    <n v="202514"/>
  </r>
  <r>
    <x v="3"/>
    <x v="43"/>
    <s v="Combined Heat and Power, Industrial Power"/>
    <x v="8"/>
    <n v="45061"/>
  </r>
  <r>
    <x v="3"/>
    <x v="43"/>
    <s v="Combined Heat and Power, Industrial Power"/>
    <x v="9"/>
    <n v="3267785"/>
  </r>
  <r>
    <x v="3"/>
    <x v="43"/>
    <s v="Combined Heat and Power, Industrial Power"/>
    <x v="4"/>
    <n v="151828"/>
  </r>
  <r>
    <x v="3"/>
    <x v="43"/>
    <s v="Combined Heat and Power, Industrial Power"/>
    <x v="6"/>
    <n v="1249854"/>
  </r>
  <r>
    <x v="3"/>
    <x v="43"/>
    <s v="Combined Heat and Power, Electric Power"/>
    <x v="0"/>
    <n v="15793830"/>
  </r>
  <r>
    <x v="3"/>
    <x v="43"/>
    <s v="Combined Heat and Power, Electric Power"/>
    <x v="3"/>
    <n v="14339783"/>
  </r>
  <r>
    <x v="3"/>
    <x v="43"/>
    <s v="Combined Heat and Power, Electric Power"/>
    <x v="12"/>
    <n v="198616"/>
  </r>
  <r>
    <x v="3"/>
    <x v="43"/>
    <s v="Combined Heat and Power, Electric Power"/>
    <x v="9"/>
    <n v="13585"/>
  </r>
  <r>
    <x v="3"/>
    <x v="43"/>
    <s v="Combined Heat and Power, Electric Power"/>
    <x v="4"/>
    <n v="1241846"/>
  </r>
  <r>
    <x v="3"/>
    <x v="43"/>
    <s v="Combined Heat and Power, Commercial Power"/>
    <x v="0"/>
    <n v="500118"/>
  </r>
  <r>
    <x v="3"/>
    <x v="43"/>
    <s v="Combined Heat and Power, Commercial Power"/>
    <x v="3"/>
    <n v="485433"/>
  </r>
  <r>
    <x v="3"/>
    <x v="43"/>
    <s v="Combined Heat and Power, Commercial Power"/>
    <x v="8"/>
    <n v="6800"/>
  </r>
  <r>
    <x v="3"/>
    <x v="43"/>
    <s v="Combined Heat and Power, Commercial Power"/>
    <x v="4"/>
    <n v="7885"/>
  </r>
  <r>
    <x v="3"/>
    <x v="44"/>
    <s v="Total Electric Power Industry"/>
    <x v="0"/>
    <n v="3197191096"/>
  </r>
  <r>
    <x v="3"/>
    <x v="44"/>
    <s v="Total Electric Power Industry"/>
    <x v="1"/>
    <n v="1690070232"/>
  </r>
  <r>
    <x v="3"/>
    <x v="44"/>
    <s v="Total Electric Power Industry"/>
    <x v="11"/>
    <n v="16788565"/>
  </r>
  <r>
    <x v="3"/>
    <x v="44"/>
    <s v="Total Electric Power Industry"/>
    <x v="2"/>
    <n v="280494008"/>
  </r>
  <r>
    <x v="3"/>
    <x v="44"/>
    <s v="Total Electric Power Industry"/>
    <x v="3"/>
    <n v="414926798"/>
  </r>
  <r>
    <x v="3"/>
    <x v="44"/>
    <s v="Total Electric Power Industry"/>
    <x v="7"/>
    <n v="610291214"/>
  </r>
  <r>
    <x v="3"/>
    <x v="44"/>
    <s v="Total Electric Power Industry"/>
    <x v="12"/>
    <n v="3487156"/>
  </r>
  <r>
    <x v="3"/>
    <x v="44"/>
    <s v="Total Electric Power Industry"/>
    <x v="8"/>
    <n v="18333031"/>
  </r>
  <r>
    <x v="3"/>
    <x v="44"/>
    <s v="Total Electric Power Industry"/>
    <x v="9"/>
    <n v="12955798"/>
  </r>
  <r>
    <x v="3"/>
    <x v="44"/>
    <s v="Total Electric Power Industry"/>
    <x v="4"/>
    <n v="112788180"/>
  </r>
  <r>
    <x v="3"/>
    <x v="44"/>
    <s v="Total Electric Power Industry"/>
    <x v="10"/>
    <n v="-4035572"/>
  </r>
  <r>
    <x v="3"/>
    <x v="44"/>
    <s v="Total Electric Power Industry"/>
    <x v="13"/>
    <n v="462452"/>
  </r>
  <r>
    <x v="3"/>
    <x v="44"/>
    <s v="Total Electric Power Industry"/>
    <x v="5"/>
    <n v="3005827"/>
  </r>
  <r>
    <x v="3"/>
    <x v="44"/>
    <s v="Total Electric Power Industry"/>
    <x v="6"/>
    <n v="37623407"/>
  </r>
  <r>
    <x v="3"/>
    <x v="44"/>
    <s v="Electric Generators, Independent Power Producers"/>
    <x v="0"/>
    <n v="53395640"/>
  </r>
  <r>
    <x v="3"/>
    <x v="44"/>
    <s v="Electric Generators, Independent Power Producers"/>
    <x v="1"/>
    <n v="2904094"/>
  </r>
  <r>
    <x v="3"/>
    <x v="44"/>
    <s v="Electric Generators, Independent Power Producers"/>
    <x v="11"/>
    <n v="9217566"/>
  </r>
  <r>
    <x v="3"/>
    <x v="44"/>
    <s v="Electric Generators, Independent Power Producers"/>
    <x v="2"/>
    <n v="8425334"/>
  </r>
  <r>
    <x v="3"/>
    <x v="44"/>
    <s v="Electric Generators, Independent Power Producers"/>
    <x v="3"/>
    <n v="8293081"/>
  </r>
  <r>
    <x v="3"/>
    <x v="44"/>
    <s v="Electric Generators, Independent Power Producers"/>
    <x v="8"/>
    <n v="13758786"/>
  </r>
  <r>
    <x v="3"/>
    <x v="44"/>
    <s v="Electric Generators, Independent Power Producers"/>
    <x v="9"/>
    <n v="7077"/>
  </r>
  <r>
    <x v="3"/>
    <x v="44"/>
    <s v="Electric Generators, Independent Power Producers"/>
    <x v="4"/>
    <n v="1059738"/>
  </r>
  <r>
    <x v="3"/>
    <x v="44"/>
    <s v="Electric Generators, Independent Power Producers"/>
    <x v="13"/>
    <n v="458650"/>
  </r>
  <r>
    <x v="3"/>
    <x v="44"/>
    <s v="Electric Generators, Independent Power Producers"/>
    <x v="5"/>
    <n v="3005584"/>
  </r>
  <r>
    <x v="3"/>
    <x v="44"/>
    <s v="Electric Generators, Independent Power Producers"/>
    <x v="6"/>
    <n v="6265730"/>
  </r>
  <r>
    <x v="3"/>
    <x v="44"/>
    <s v="Electric Generators, Electric Utilities"/>
    <x v="0"/>
    <n v="2882524766"/>
  </r>
  <r>
    <x v="3"/>
    <x v="44"/>
    <s v="Electric Generators, Electric Utilities"/>
    <x v="1"/>
    <n v="1639151186"/>
  </r>
  <r>
    <x v="3"/>
    <x v="44"/>
    <s v="Electric Generators, Electric Utilities"/>
    <x v="11"/>
    <n v="7570999"/>
  </r>
  <r>
    <x v="3"/>
    <x v="44"/>
    <s v="Electric Generators, Electric Utilities"/>
    <x v="2"/>
    <n v="269098329"/>
  </r>
  <r>
    <x v="3"/>
    <x v="44"/>
    <s v="Electric Generators, Electric Utilities"/>
    <x v="3"/>
    <n v="258915301"/>
  </r>
  <r>
    <x v="3"/>
    <x v="44"/>
    <s v="Electric Generators, Electric Utilities"/>
    <x v="7"/>
    <n v="610291214"/>
  </r>
  <r>
    <x v="3"/>
    <x v="44"/>
    <s v="Electric Generators, Electric Utilities"/>
    <x v="8"/>
    <n v="1100219"/>
  </r>
  <r>
    <x v="3"/>
    <x v="44"/>
    <s v="Electric Generators, Electric Utilities"/>
    <x v="4"/>
    <n v="99538857"/>
  </r>
  <r>
    <x v="3"/>
    <x v="44"/>
    <s v="Electric Generators, Electric Utilities"/>
    <x v="10"/>
    <n v="-4035572"/>
  </r>
  <r>
    <x v="3"/>
    <x v="44"/>
    <s v="Electric Generators, Electric Utilities"/>
    <x v="13"/>
    <n v="3802"/>
  </r>
  <r>
    <x v="3"/>
    <x v="44"/>
    <s v="Electric Generators, Electric Utilities"/>
    <x v="5"/>
    <n v="243"/>
  </r>
  <r>
    <x v="3"/>
    <x v="44"/>
    <s v="Electric Generators, Electric Utilities"/>
    <x v="6"/>
    <n v="890188"/>
  </r>
  <r>
    <x v="3"/>
    <x v="44"/>
    <s v="Combined Heat and Power, Industrial Power"/>
    <x v="0"/>
    <n v="146293870"/>
  </r>
  <r>
    <x v="3"/>
    <x v="44"/>
    <s v="Combined Heat and Power, Industrial Power"/>
    <x v="1"/>
    <n v="23742233"/>
  </r>
  <r>
    <x v="3"/>
    <x v="44"/>
    <s v="Combined Heat and Power, Industrial Power"/>
    <x v="2"/>
    <n v="2870605"/>
  </r>
  <r>
    <x v="3"/>
    <x v="44"/>
    <s v="Combined Heat and Power, Industrial Power"/>
    <x v="3"/>
    <n v="68233827"/>
  </r>
  <r>
    <x v="3"/>
    <x v="44"/>
    <s v="Combined Heat and Power, Industrial Power"/>
    <x v="12"/>
    <n v="3079474"/>
  </r>
  <r>
    <x v="3"/>
    <x v="44"/>
    <s v="Combined Heat and Power, Industrial Power"/>
    <x v="8"/>
    <n v="1091704"/>
  </r>
  <r>
    <x v="3"/>
    <x v="44"/>
    <s v="Combined Heat and Power, Industrial Power"/>
    <x v="9"/>
    <n v="11889738"/>
  </r>
  <r>
    <x v="3"/>
    <x v="44"/>
    <s v="Combined Heat and Power, Industrial Power"/>
    <x v="4"/>
    <n v="7028473"/>
  </r>
  <r>
    <x v="3"/>
    <x v="44"/>
    <s v="Combined Heat and Power, Industrial Power"/>
    <x v="6"/>
    <n v="28357816"/>
  </r>
  <r>
    <x v="3"/>
    <x v="44"/>
    <s v="Combined Heat and Power, Electric Power"/>
    <x v="0"/>
    <n v="107976400"/>
  </r>
  <r>
    <x v="3"/>
    <x v="44"/>
    <s v="Combined Heat and Power, Electric Power"/>
    <x v="1"/>
    <n v="23408874"/>
  </r>
  <r>
    <x v="3"/>
    <x v="44"/>
    <s v="Combined Heat and Power, Electric Power"/>
    <x v="3"/>
    <n v="75013447"/>
  </r>
  <r>
    <x v="3"/>
    <x v="44"/>
    <s v="Combined Heat and Power, Electric Power"/>
    <x v="12"/>
    <n v="407651"/>
  </r>
  <r>
    <x v="3"/>
    <x v="44"/>
    <s v="Combined Heat and Power, Electric Power"/>
    <x v="8"/>
    <n v="1364333"/>
  </r>
  <r>
    <x v="3"/>
    <x v="44"/>
    <s v="Combined Heat and Power, Electric Power"/>
    <x v="9"/>
    <n v="959431"/>
  </r>
  <r>
    <x v="3"/>
    <x v="44"/>
    <s v="Combined Heat and Power, Electric Power"/>
    <x v="4"/>
    <n v="4826730"/>
  </r>
  <r>
    <x v="3"/>
    <x v="44"/>
    <s v="Combined Heat and Power, Electric Power"/>
    <x v="6"/>
    <n v="1995934"/>
  </r>
  <r>
    <x v="3"/>
    <x v="44"/>
    <s v="Combined Heat and Power, Commercial Power"/>
    <x v="0"/>
    <n v="7000420"/>
  </r>
  <r>
    <x v="3"/>
    <x v="44"/>
    <s v="Combined Heat and Power, Commercial Power"/>
    <x v="1"/>
    <n v="863845"/>
  </r>
  <r>
    <x v="3"/>
    <x v="44"/>
    <s v="Combined Heat and Power, Commercial Power"/>
    <x v="2"/>
    <n v="99740"/>
  </r>
  <r>
    <x v="3"/>
    <x v="44"/>
    <s v="Combined Heat and Power, Commercial Power"/>
    <x v="3"/>
    <n v="4471142"/>
  </r>
  <r>
    <x v="3"/>
    <x v="44"/>
    <s v="Combined Heat and Power, Commercial Power"/>
    <x v="12"/>
    <n v="31"/>
  </r>
  <r>
    <x v="3"/>
    <x v="44"/>
    <s v="Combined Heat and Power, Commercial Power"/>
    <x v="8"/>
    <n v="1017989"/>
  </r>
  <r>
    <x v="3"/>
    <x v="44"/>
    <s v="Combined Heat and Power, Commercial Power"/>
    <x v="9"/>
    <n v="99552"/>
  </r>
  <r>
    <x v="3"/>
    <x v="44"/>
    <s v="Combined Heat and Power, Commercial Power"/>
    <x v="4"/>
    <n v="334382"/>
  </r>
  <r>
    <x v="3"/>
    <x v="44"/>
    <s v="Combined Heat and Power, Commercial Power"/>
    <x v="6"/>
    <n v="113739"/>
  </r>
  <r>
    <x v="3"/>
    <x v="45"/>
    <s v="Total Electric Power Industry"/>
    <x v="0"/>
    <n v="34058102"/>
  </r>
  <r>
    <x v="3"/>
    <x v="45"/>
    <s v="Total Electric Power Industry"/>
    <x v="1"/>
    <n v="32125793"/>
  </r>
  <r>
    <x v="3"/>
    <x v="45"/>
    <s v="Total Electric Power Industry"/>
    <x v="11"/>
    <n v="148148"/>
  </r>
  <r>
    <x v="3"/>
    <x v="45"/>
    <s v="Total Electric Power Industry"/>
    <x v="2"/>
    <n v="860019"/>
  </r>
  <r>
    <x v="3"/>
    <x v="45"/>
    <s v="Total Electric Power Industry"/>
    <x v="3"/>
    <n v="606099"/>
  </r>
  <r>
    <x v="3"/>
    <x v="45"/>
    <s v="Total Electric Power Industry"/>
    <x v="9"/>
    <n v="281457"/>
  </r>
  <r>
    <x v="3"/>
    <x v="45"/>
    <s v="Total Electric Power Industry"/>
    <x v="4"/>
    <n v="36586"/>
  </r>
  <r>
    <x v="3"/>
    <x v="45"/>
    <s v="Total Electric Power Industry"/>
    <x v="10"/>
    <n v="0"/>
  </r>
  <r>
    <x v="3"/>
    <x v="45"/>
    <s v="Electric Generators, Independent Power Producers"/>
    <x v="0"/>
    <n v="228936"/>
  </r>
  <r>
    <x v="3"/>
    <x v="45"/>
    <s v="Electric Generators, Independent Power Producers"/>
    <x v="1"/>
    <n v="184187"/>
  </r>
  <r>
    <x v="3"/>
    <x v="45"/>
    <s v="Electric Generators, Independent Power Producers"/>
    <x v="2"/>
    <n v="41610"/>
  </r>
  <r>
    <x v="3"/>
    <x v="45"/>
    <s v="Electric Generators, Independent Power Producers"/>
    <x v="4"/>
    <n v="3139"/>
  </r>
  <r>
    <x v="3"/>
    <x v="45"/>
    <s v="Electric Generators, Electric Utilities"/>
    <x v="0"/>
    <n v="33460939"/>
  </r>
  <r>
    <x v="3"/>
    <x v="45"/>
    <s v="Electric Generators, Electric Utilities"/>
    <x v="1"/>
    <n v="31919309"/>
  </r>
  <r>
    <x v="3"/>
    <x v="45"/>
    <s v="Electric Generators, Electric Utilities"/>
    <x v="11"/>
    <n v="148148"/>
  </r>
  <r>
    <x v="3"/>
    <x v="45"/>
    <s v="Electric Generators, Electric Utilities"/>
    <x v="2"/>
    <n v="818409"/>
  </r>
  <r>
    <x v="3"/>
    <x v="45"/>
    <s v="Electric Generators, Electric Utilities"/>
    <x v="3"/>
    <n v="542969"/>
  </r>
  <r>
    <x v="3"/>
    <x v="45"/>
    <s v="Electric Generators, Electric Utilities"/>
    <x v="4"/>
    <n v="32104"/>
  </r>
  <r>
    <x v="3"/>
    <x v="45"/>
    <s v="Electric Generators, Electric Utilities"/>
    <x v="10"/>
    <n v="0"/>
  </r>
  <r>
    <x v="3"/>
    <x v="45"/>
    <s v="Combined Heat and Power, Industrial Power"/>
    <x v="0"/>
    <n v="339304"/>
  </r>
  <r>
    <x v="3"/>
    <x v="45"/>
    <s v="Combined Heat and Power, Industrial Power"/>
    <x v="1"/>
    <n v="22297"/>
  </r>
  <r>
    <x v="3"/>
    <x v="45"/>
    <s v="Combined Heat and Power, Industrial Power"/>
    <x v="3"/>
    <n v="35550"/>
  </r>
  <r>
    <x v="3"/>
    <x v="45"/>
    <s v="Combined Heat and Power, Industrial Power"/>
    <x v="9"/>
    <n v="281457"/>
  </r>
  <r>
    <x v="3"/>
    <x v="45"/>
    <s v="Combined Heat and Power, Industrial Power"/>
    <x v="4"/>
    <n v="0"/>
  </r>
  <r>
    <x v="3"/>
    <x v="45"/>
    <s v="Combined Heat and Power, Commercial Power"/>
    <x v="0"/>
    <n v="28923"/>
  </r>
  <r>
    <x v="3"/>
    <x v="45"/>
    <s v="Combined Heat and Power, Commercial Power"/>
    <x v="3"/>
    <n v="27580"/>
  </r>
  <r>
    <x v="3"/>
    <x v="45"/>
    <s v="Combined Heat and Power, Commercial Power"/>
    <x v="4"/>
    <n v="1343"/>
  </r>
  <r>
    <x v="3"/>
    <x v="46"/>
    <s v="Total Electric Power Industry"/>
    <x v="0"/>
    <n v="61243510"/>
  </r>
  <r>
    <x v="3"/>
    <x v="46"/>
    <s v="Total Electric Power Industry"/>
    <x v="1"/>
    <n v="29410001"/>
  </r>
  <r>
    <x v="3"/>
    <x v="46"/>
    <s v="Total Electric Power Industry"/>
    <x v="2"/>
    <n v="1313303"/>
  </r>
  <r>
    <x v="3"/>
    <x v="46"/>
    <s v="Total Electric Power Industry"/>
    <x v="3"/>
    <n v="4378066"/>
  </r>
  <r>
    <x v="3"/>
    <x v="46"/>
    <s v="Total Electric Power Industry"/>
    <x v="7"/>
    <n v="22688763"/>
  </r>
  <r>
    <x v="3"/>
    <x v="46"/>
    <s v="Total Electric Power Industry"/>
    <x v="8"/>
    <n v="431533"/>
  </r>
  <r>
    <x v="3"/>
    <x v="46"/>
    <s v="Total Electric Power Industry"/>
    <x v="4"/>
    <n v="2500809"/>
  </r>
  <r>
    <x v="3"/>
    <x v="46"/>
    <s v="Total Electric Power Industry"/>
    <x v="10"/>
    <n v="-774085"/>
  </r>
  <r>
    <x v="3"/>
    <x v="46"/>
    <s v="Total Electric Power Industry"/>
    <x v="13"/>
    <n v="8"/>
  </r>
  <r>
    <x v="3"/>
    <x v="46"/>
    <s v="Total Electric Power Industry"/>
    <x v="6"/>
    <n v="1295112"/>
  </r>
  <r>
    <x v="3"/>
    <x v="46"/>
    <s v="Electric Generators, Independent Power Producers"/>
    <x v="0"/>
    <n v="2297629"/>
  </r>
  <r>
    <x v="3"/>
    <x v="46"/>
    <s v="Electric Generators, Independent Power Producers"/>
    <x v="2"/>
    <n v="49359"/>
  </r>
  <r>
    <x v="3"/>
    <x v="46"/>
    <s v="Electric Generators, Independent Power Producers"/>
    <x v="3"/>
    <n v="1871932"/>
  </r>
  <r>
    <x v="3"/>
    <x v="46"/>
    <s v="Electric Generators, Independent Power Producers"/>
    <x v="8"/>
    <n v="335693"/>
  </r>
  <r>
    <x v="3"/>
    <x v="46"/>
    <s v="Electric Generators, Independent Power Producers"/>
    <x v="4"/>
    <n v="40645"/>
  </r>
  <r>
    <x v="3"/>
    <x v="46"/>
    <s v="Electric Generators, Electric Utilities"/>
    <x v="0"/>
    <n v="52181906"/>
  </r>
  <r>
    <x v="3"/>
    <x v="46"/>
    <s v="Electric Generators, Electric Utilities"/>
    <x v="1"/>
    <n v="24722481"/>
  </r>
  <r>
    <x v="3"/>
    <x v="46"/>
    <s v="Electric Generators, Electric Utilities"/>
    <x v="2"/>
    <n v="1247208"/>
  </r>
  <r>
    <x v="3"/>
    <x v="46"/>
    <s v="Electric Generators, Electric Utilities"/>
    <x v="3"/>
    <n v="2139635"/>
  </r>
  <r>
    <x v="3"/>
    <x v="46"/>
    <s v="Electric Generators, Electric Utilities"/>
    <x v="7"/>
    <n v="22688763"/>
  </r>
  <r>
    <x v="3"/>
    <x v="46"/>
    <s v="Electric Generators, Electric Utilities"/>
    <x v="4"/>
    <n v="2157896"/>
  </r>
  <r>
    <x v="3"/>
    <x v="46"/>
    <s v="Electric Generators, Electric Utilities"/>
    <x v="10"/>
    <n v="-774085"/>
  </r>
  <r>
    <x v="3"/>
    <x v="46"/>
    <s v="Electric Generators, Electric Utilities"/>
    <x v="13"/>
    <n v="8"/>
  </r>
  <r>
    <x v="3"/>
    <x v="46"/>
    <s v="Combined Heat and Power, Industrial Power"/>
    <x v="0"/>
    <n v="2605571"/>
  </r>
  <r>
    <x v="3"/>
    <x v="46"/>
    <s v="Combined Heat and Power, Industrial Power"/>
    <x v="1"/>
    <n v="1042149"/>
  </r>
  <r>
    <x v="3"/>
    <x v="46"/>
    <s v="Combined Heat and Power, Industrial Power"/>
    <x v="2"/>
    <n v="16736"/>
  </r>
  <r>
    <x v="3"/>
    <x v="46"/>
    <s v="Combined Heat and Power, Industrial Power"/>
    <x v="3"/>
    <n v="45308"/>
  </r>
  <r>
    <x v="3"/>
    <x v="46"/>
    <s v="Combined Heat and Power, Industrial Power"/>
    <x v="8"/>
    <n v="5120"/>
  </r>
  <r>
    <x v="3"/>
    <x v="46"/>
    <s v="Combined Heat and Power, Industrial Power"/>
    <x v="4"/>
    <n v="205733"/>
  </r>
  <r>
    <x v="3"/>
    <x v="46"/>
    <s v="Combined Heat and Power, Industrial Power"/>
    <x v="6"/>
    <n v="1290525"/>
  </r>
  <r>
    <x v="3"/>
    <x v="46"/>
    <s v="Combined Heat and Power, Electric Power"/>
    <x v="0"/>
    <n v="4067684"/>
  </r>
  <r>
    <x v="3"/>
    <x v="46"/>
    <s v="Combined Heat and Power, Electric Power"/>
    <x v="1"/>
    <n v="3645371"/>
  </r>
  <r>
    <x v="3"/>
    <x v="46"/>
    <s v="Combined Heat and Power, Electric Power"/>
    <x v="3"/>
    <n v="321191"/>
  </r>
  <r>
    <x v="3"/>
    <x v="46"/>
    <s v="Combined Heat and Power, Electric Power"/>
    <x v="4"/>
    <n v="96535"/>
  </r>
  <r>
    <x v="3"/>
    <x v="46"/>
    <s v="Combined Heat and Power, Electric Power"/>
    <x v="6"/>
    <n v="4587"/>
  </r>
  <r>
    <x v="3"/>
    <x v="46"/>
    <s v="Combined Heat and Power, Commercial Power"/>
    <x v="0"/>
    <n v="90720"/>
  </r>
  <r>
    <x v="3"/>
    <x v="46"/>
    <s v="Combined Heat and Power, Commercial Power"/>
    <x v="8"/>
    <n v="90720"/>
  </r>
  <r>
    <x v="3"/>
    <x v="47"/>
    <s v="Total Electric Power Industry"/>
    <x v="0"/>
    <n v="4643765"/>
  </r>
  <r>
    <x v="3"/>
    <x v="47"/>
    <s v="Total Electric Power Industry"/>
    <x v="2"/>
    <n v="981286"/>
  </r>
  <r>
    <x v="3"/>
    <x v="47"/>
    <s v="Total Electric Power Industry"/>
    <x v="3"/>
    <n v="20558"/>
  </r>
  <r>
    <x v="3"/>
    <x v="47"/>
    <s v="Total Electric Power Industry"/>
    <x v="7"/>
    <n v="3372148"/>
  </r>
  <r>
    <x v="3"/>
    <x v="47"/>
    <s v="Total Electric Power Industry"/>
    <x v="4"/>
    <n v="5029"/>
  </r>
  <r>
    <x v="3"/>
    <x v="47"/>
    <s v="Total Electric Power Industry"/>
    <x v="5"/>
    <n v="0"/>
  </r>
  <r>
    <x v="3"/>
    <x v="47"/>
    <s v="Total Electric Power Industry"/>
    <x v="6"/>
    <n v="264744"/>
  </r>
  <r>
    <x v="3"/>
    <x v="47"/>
    <s v="Electric Generators, Independent Power Producers"/>
    <x v="0"/>
    <n v="297353"/>
  </r>
  <r>
    <x v="3"/>
    <x v="47"/>
    <s v="Electric Generators, Independent Power Producers"/>
    <x v="2"/>
    <n v="119884"/>
  </r>
  <r>
    <x v="3"/>
    <x v="47"/>
    <s v="Electric Generators, Independent Power Producers"/>
    <x v="6"/>
    <n v="177469"/>
  </r>
  <r>
    <x v="3"/>
    <x v="47"/>
    <s v="Electric Generators, Electric Utilities"/>
    <x v="0"/>
    <n v="4300537"/>
  </r>
  <r>
    <x v="3"/>
    <x v="47"/>
    <s v="Electric Generators, Electric Utilities"/>
    <x v="2"/>
    <n v="838619"/>
  </r>
  <r>
    <x v="3"/>
    <x v="47"/>
    <s v="Electric Generators, Electric Utilities"/>
    <x v="3"/>
    <n v="20558"/>
  </r>
  <r>
    <x v="3"/>
    <x v="47"/>
    <s v="Electric Generators, Electric Utilities"/>
    <x v="7"/>
    <n v="3372148"/>
  </r>
  <r>
    <x v="3"/>
    <x v="47"/>
    <s v="Electric Generators, Electric Utilities"/>
    <x v="4"/>
    <n v="4805"/>
  </r>
  <r>
    <x v="3"/>
    <x v="47"/>
    <s v="Electric Generators, Electric Utilities"/>
    <x v="5"/>
    <n v="0"/>
  </r>
  <r>
    <x v="3"/>
    <x v="47"/>
    <s v="Electric Generators, Electric Utilities"/>
    <x v="6"/>
    <n v="64407"/>
  </r>
  <r>
    <x v="3"/>
    <x v="47"/>
    <s v="Combined Heat and Power, Industrial Power"/>
    <x v="0"/>
    <n v="45875"/>
  </r>
  <r>
    <x v="3"/>
    <x v="47"/>
    <s v="Combined Heat and Power, Industrial Power"/>
    <x v="2"/>
    <n v="22783"/>
  </r>
  <r>
    <x v="3"/>
    <x v="47"/>
    <s v="Combined Heat and Power, Industrial Power"/>
    <x v="4"/>
    <n v="224"/>
  </r>
  <r>
    <x v="3"/>
    <x v="47"/>
    <s v="Combined Heat and Power, Industrial Power"/>
    <x v="6"/>
    <n v="22868"/>
  </r>
  <r>
    <x v="3"/>
    <x v="48"/>
    <s v="Total Electric Power Industry"/>
    <x v="0"/>
    <n v="87995776"/>
  </r>
  <r>
    <x v="3"/>
    <x v="48"/>
    <s v="Total Electric Power Industry"/>
    <x v="1"/>
    <n v="8835079"/>
  </r>
  <r>
    <x v="3"/>
    <x v="48"/>
    <s v="Total Electric Power Industry"/>
    <x v="2"/>
    <n v="67312383"/>
  </r>
  <r>
    <x v="3"/>
    <x v="48"/>
    <s v="Total Electric Power Industry"/>
    <x v="3"/>
    <n v="3197945"/>
  </r>
  <r>
    <x v="3"/>
    <x v="48"/>
    <s v="Total Electric Power Industry"/>
    <x v="7"/>
    <n v="7134966"/>
  </r>
  <r>
    <x v="3"/>
    <x v="48"/>
    <s v="Total Electric Power Industry"/>
    <x v="12"/>
    <n v="7"/>
  </r>
  <r>
    <x v="3"/>
    <x v="48"/>
    <s v="Total Electric Power Industry"/>
    <x v="8"/>
    <n v="214990"/>
  </r>
  <r>
    <x v="3"/>
    <x v="48"/>
    <s v="Total Electric Power Industry"/>
    <x v="9"/>
    <n v="222852"/>
  </r>
  <r>
    <x v="3"/>
    <x v="48"/>
    <s v="Total Electric Power Industry"/>
    <x v="4"/>
    <n v="59434"/>
  </r>
  <r>
    <x v="3"/>
    <x v="48"/>
    <s v="Total Electric Power Industry"/>
    <x v="10"/>
    <n v="0"/>
  </r>
  <r>
    <x v="3"/>
    <x v="48"/>
    <s v="Total Electric Power Industry"/>
    <x v="6"/>
    <n v="1018120"/>
  </r>
  <r>
    <x v="3"/>
    <x v="48"/>
    <s v="Electric Generators, Independent Power Producers"/>
    <x v="0"/>
    <n v="301886"/>
  </r>
  <r>
    <x v="3"/>
    <x v="48"/>
    <s v="Electric Generators, Independent Power Producers"/>
    <x v="2"/>
    <n v="133414"/>
  </r>
  <r>
    <x v="3"/>
    <x v="48"/>
    <s v="Electric Generators, Independent Power Producers"/>
    <x v="8"/>
    <n v="168472"/>
  </r>
  <r>
    <x v="3"/>
    <x v="48"/>
    <s v="Electric Generators, Electric Utilities"/>
    <x v="0"/>
    <n v="83771148"/>
  </r>
  <r>
    <x v="3"/>
    <x v="48"/>
    <s v="Electric Generators, Electric Utilities"/>
    <x v="1"/>
    <n v="8803840"/>
  </r>
  <r>
    <x v="3"/>
    <x v="48"/>
    <s v="Electric Generators, Electric Utilities"/>
    <x v="2"/>
    <n v="66982839"/>
  </r>
  <r>
    <x v="3"/>
    <x v="48"/>
    <s v="Electric Generators, Electric Utilities"/>
    <x v="3"/>
    <n v="422218"/>
  </r>
  <r>
    <x v="3"/>
    <x v="48"/>
    <s v="Electric Generators, Electric Utilities"/>
    <x v="7"/>
    <n v="7134966"/>
  </r>
  <r>
    <x v="3"/>
    <x v="48"/>
    <s v="Electric Generators, Electric Utilities"/>
    <x v="4"/>
    <n v="32118"/>
  </r>
  <r>
    <x v="3"/>
    <x v="48"/>
    <s v="Electric Generators, Electric Utilities"/>
    <x v="10"/>
    <n v="0"/>
  </r>
  <r>
    <x v="3"/>
    <x v="48"/>
    <s v="Electric Generators, Electric Utilities"/>
    <x v="6"/>
    <n v="395167"/>
  </r>
  <r>
    <x v="3"/>
    <x v="48"/>
    <s v="Combined Heat and Power, Industrial Power"/>
    <x v="0"/>
    <n v="1184979"/>
  </r>
  <r>
    <x v="3"/>
    <x v="48"/>
    <s v="Combined Heat and Power, Industrial Power"/>
    <x v="1"/>
    <n v="21929"/>
  </r>
  <r>
    <x v="3"/>
    <x v="48"/>
    <s v="Combined Heat and Power, Industrial Power"/>
    <x v="2"/>
    <n v="137156"/>
  </r>
  <r>
    <x v="3"/>
    <x v="48"/>
    <s v="Combined Heat and Power, Industrial Power"/>
    <x v="3"/>
    <n v="337893"/>
  </r>
  <r>
    <x v="3"/>
    <x v="48"/>
    <s v="Combined Heat and Power, Industrial Power"/>
    <x v="12"/>
    <n v="7"/>
  </r>
  <r>
    <x v="3"/>
    <x v="48"/>
    <s v="Combined Heat and Power, Industrial Power"/>
    <x v="8"/>
    <n v="38335"/>
  </r>
  <r>
    <x v="3"/>
    <x v="48"/>
    <s v="Combined Heat and Power, Industrial Power"/>
    <x v="4"/>
    <n v="26706"/>
  </r>
  <r>
    <x v="3"/>
    <x v="48"/>
    <s v="Combined Heat and Power, Industrial Power"/>
    <x v="6"/>
    <n v="622953"/>
  </r>
  <r>
    <x v="3"/>
    <x v="48"/>
    <s v="Combined Heat and Power, Electric Power"/>
    <x v="0"/>
    <n v="2662829"/>
  </r>
  <r>
    <x v="3"/>
    <x v="48"/>
    <s v="Combined Heat and Power, Electric Power"/>
    <x v="3"/>
    <n v="2431184"/>
  </r>
  <r>
    <x v="3"/>
    <x v="48"/>
    <s v="Combined Heat and Power, Electric Power"/>
    <x v="8"/>
    <n v="8183"/>
  </r>
  <r>
    <x v="3"/>
    <x v="48"/>
    <s v="Combined Heat and Power, Electric Power"/>
    <x v="9"/>
    <n v="222852"/>
  </r>
  <r>
    <x v="3"/>
    <x v="48"/>
    <s v="Combined Heat and Power, Electric Power"/>
    <x v="4"/>
    <n v="610"/>
  </r>
  <r>
    <x v="3"/>
    <x v="48"/>
    <s v="Combined Heat and Power, Commercial Power"/>
    <x v="0"/>
    <n v="74934"/>
  </r>
  <r>
    <x v="3"/>
    <x v="48"/>
    <s v="Combined Heat and Power, Commercial Power"/>
    <x v="1"/>
    <n v="9310"/>
  </r>
  <r>
    <x v="3"/>
    <x v="48"/>
    <s v="Combined Heat and Power, Commercial Power"/>
    <x v="2"/>
    <n v="58974"/>
  </r>
  <r>
    <x v="3"/>
    <x v="48"/>
    <s v="Combined Heat and Power, Commercial Power"/>
    <x v="3"/>
    <n v="6650"/>
  </r>
  <r>
    <x v="3"/>
    <x v="49"/>
    <s v="Total Electric Power Industry"/>
    <x v="0"/>
    <n v="50238552"/>
  </r>
  <r>
    <x v="3"/>
    <x v="49"/>
    <s v="Total Electric Power Industry"/>
    <x v="1"/>
    <n v="34550945"/>
  </r>
  <r>
    <x v="3"/>
    <x v="49"/>
    <s v="Total Electric Power Industry"/>
    <x v="2"/>
    <n v="2486587"/>
  </r>
  <r>
    <x v="3"/>
    <x v="49"/>
    <s v="Total Electric Power Industry"/>
    <x v="3"/>
    <n v="411676"/>
  </r>
  <r>
    <x v="3"/>
    <x v="49"/>
    <s v="Total Electric Power Industry"/>
    <x v="7"/>
    <n v="11464574"/>
  </r>
  <r>
    <x v="3"/>
    <x v="49"/>
    <s v="Total Electric Power Industry"/>
    <x v="8"/>
    <n v="170587"/>
  </r>
  <r>
    <x v="3"/>
    <x v="49"/>
    <s v="Total Electric Power Industry"/>
    <x v="4"/>
    <n v="335556"/>
  </r>
  <r>
    <x v="3"/>
    <x v="49"/>
    <s v="Total Electric Power Industry"/>
    <x v="5"/>
    <n v="0"/>
  </r>
  <r>
    <x v="3"/>
    <x v="49"/>
    <s v="Total Electric Power Industry"/>
    <x v="6"/>
    <n v="818627"/>
  </r>
  <r>
    <x v="3"/>
    <x v="49"/>
    <s v="Electric Generators, Independent Power Producers"/>
    <x v="0"/>
    <n v="123871"/>
  </r>
  <r>
    <x v="3"/>
    <x v="49"/>
    <s v="Electric Generators, Independent Power Producers"/>
    <x v="2"/>
    <n v="11474"/>
  </r>
  <r>
    <x v="3"/>
    <x v="49"/>
    <s v="Electric Generators, Independent Power Producers"/>
    <x v="8"/>
    <n v="112397"/>
  </r>
  <r>
    <x v="3"/>
    <x v="49"/>
    <s v="Electric Generators, Electric Utilities"/>
    <x v="0"/>
    <n v="47762861"/>
  </r>
  <r>
    <x v="3"/>
    <x v="49"/>
    <s v="Electric Generators, Electric Utilities"/>
    <x v="1"/>
    <n v="33558049"/>
  </r>
  <r>
    <x v="3"/>
    <x v="49"/>
    <s v="Electric Generators, Electric Utilities"/>
    <x v="2"/>
    <n v="2191053"/>
  </r>
  <r>
    <x v="3"/>
    <x v="49"/>
    <s v="Electric Generators, Electric Utilities"/>
    <x v="3"/>
    <n v="224276"/>
  </r>
  <r>
    <x v="3"/>
    <x v="49"/>
    <s v="Electric Generators, Electric Utilities"/>
    <x v="7"/>
    <n v="11464574"/>
  </r>
  <r>
    <x v="3"/>
    <x v="49"/>
    <s v="Electric Generators, Electric Utilities"/>
    <x v="8"/>
    <n v="29538"/>
  </r>
  <r>
    <x v="3"/>
    <x v="49"/>
    <s v="Electric Generators, Electric Utilities"/>
    <x v="4"/>
    <n v="105173"/>
  </r>
  <r>
    <x v="3"/>
    <x v="49"/>
    <s v="Electric Generators, Electric Utilities"/>
    <x v="5"/>
    <n v="0"/>
  </r>
  <r>
    <x v="3"/>
    <x v="49"/>
    <s v="Electric Generators, Electric Utilities"/>
    <x v="6"/>
    <n v="190198"/>
  </r>
  <r>
    <x v="3"/>
    <x v="49"/>
    <s v="Combined Heat and Power, Industrial Power"/>
    <x v="0"/>
    <n v="2313856"/>
  </r>
  <r>
    <x v="3"/>
    <x v="49"/>
    <s v="Combined Heat and Power, Industrial Power"/>
    <x v="1"/>
    <n v="977002"/>
  </r>
  <r>
    <x v="3"/>
    <x v="49"/>
    <s v="Combined Heat and Power, Industrial Power"/>
    <x v="2"/>
    <n v="280043"/>
  </r>
  <r>
    <x v="3"/>
    <x v="49"/>
    <s v="Combined Heat and Power, Industrial Power"/>
    <x v="3"/>
    <n v="175946"/>
  </r>
  <r>
    <x v="3"/>
    <x v="49"/>
    <s v="Combined Heat and Power, Industrial Power"/>
    <x v="8"/>
    <n v="23932"/>
  </r>
  <r>
    <x v="3"/>
    <x v="49"/>
    <s v="Combined Heat and Power, Industrial Power"/>
    <x v="4"/>
    <n v="230096"/>
  </r>
  <r>
    <x v="3"/>
    <x v="49"/>
    <s v="Combined Heat and Power, Industrial Power"/>
    <x v="6"/>
    <n v="626837"/>
  </r>
  <r>
    <x v="3"/>
    <x v="49"/>
    <s v="Combined Heat and Power, Electric Power"/>
    <x v="0"/>
    <n v="26652"/>
  </r>
  <r>
    <x v="3"/>
    <x v="49"/>
    <s v="Combined Heat and Power, Electric Power"/>
    <x v="1"/>
    <n v="13773"/>
  </r>
  <r>
    <x v="3"/>
    <x v="49"/>
    <s v="Combined Heat and Power, Electric Power"/>
    <x v="3"/>
    <n v="11410"/>
  </r>
  <r>
    <x v="3"/>
    <x v="49"/>
    <s v="Combined Heat and Power, Electric Power"/>
    <x v="4"/>
    <n v="287"/>
  </r>
  <r>
    <x v="3"/>
    <x v="49"/>
    <s v="Combined Heat and Power, Electric Power"/>
    <x v="6"/>
    <n v="1182"/>
  </r>
  <r>
    <x v="3"/>
    <x v="49"/>
    <s v="Combined Heat and Power, Commercial Power"/>
    <x v="0"/>
    <n v="11312"/>
  </r>
  <r>
    <x v="3"/>
    <x v="49"/>
    <s v="Combined Heat and Power, Commercial Power"/>
    <x v="1"/>
    <n v="2121"/>
  </r>
  <r>
    <x v="3"/>
    <x v="49"/>
    <s v="Combined Heat and Power, Commercial Power"/>
    <x v="2"/>
    <n v="4017"/>
  </r>
  <r>
    <x v="3"/>
    <x v="49"/>
    <s v="Combined Heat and Power, Commercial Power"/>
    <x v="3"/>
    <n v="44"/>
  </r>
  <r>
    <x v="3"/>
    <x v="49"/>
    <s v="Combined Heat and Power, Commercial Power"/>
    <x v="8"/>
    <n v="4720"/>
  </r>
  <r>
    <x v="3"/>
    <x v="49"/>
    <s v="Combined Heat and Power, Commercial Power"/>
    <x v="6"/>
    <n v="410"/>
  </r>
  <r>
    <x v="3"/>
    <x v="50"/>
    <s v="Total Electric Power Industry"/>
    <x v="0"/>
    <n v="74749164"/>
  </r>
  <r>
    <x v="3"/>
    <x v="50"/>
    <s v="Total Electric Power Industry"/>
    <x v="1"/>
    <n v="72968665"/>
  </r>
  <r>
    <x v="3"/>
    <x v="50"/>
    <s v="Total Electric Power Industry"/>
    <x v="2"/>
    <n v="1114101"/>
  </r>
  <r>
    <x v="3"/>
    <x v="50"/>
    <s v="Total Electric Power Industry"/>
    <x v="3"/>
    <n v="158242"/>
  </r>
  <r>
    <x v="3"/>
    <x v="50"/>
    <s v="Total Electric Power Industry"/>
    <x v="12"/>
    <n v="36"/>
  </r>
  <r>
    <x v="3"/>
    <x v="50"/>
    <s v="Total Electric Power Industry"/>
    <x v="9"/>
    <n v="271186"/>
  </r>
  <r>
    <x v="3"/>
    <x v="50"/>
    <s v="Total Electric Power Industry"/>
    <x v="4"/>
    <n v="236934"/>
  </r>
  <r>
    <x v="3"/>
    <x v="50"/>
    <s v="Electric Generators, Independent Power Producers"/>
    <x v="0"/>
    <n v="1237574"/>
  </r>
  <r>
    <x v="3"/>
    <x v="50"/>
    <s v="Electric Generators, Independent Power Producers"/>
    <x v="1"/>
    <n v="1019379"/>
  </r>
  <r>
    <x v="3"/>
    <x v="50"/>
    <s v="Electric Generators, Independent Power Producers"/>
    <x v="2"/>
    <n v="210679"/>
  </r>
  <r>
    <x v="3"/>
    <x v="50"/>
    <s v="Electric Generators, Independent Power Producers"/>
    <x v="3"/>
    <n v="7516"/>
  </r>
  <r>
    <x v="3"/>
    <x v="50"/>
    <s v="Electric Generators, Electric Utilities"/>
    <x v="0"/>
    <n v="71078069"/>
  </r>
  <r>
    <x v="3"/>
    <x v="50"/>
    <s v="Electric Generators, Electric Utilities"/>
    <x v="1"/>
    <n v="70491516"/>
  </r>
  <r>
    <x v="3"/>
    <x v="50"/>
    <s v="Electric Generators, Electric Utilities"/>
    <x v="2"/>
    <n v="362117"/>
  </r>
  <r>
    <x v="3"/>
    <x v="50"/>
    <s v="Electric Generators, Electric Utilities"/>
    <x v="3"/>
    <n v="13461"/>
  </r>
  <r>
    <x v="3"/>
    <x v="50"/>
    <s v="Electric Generators, Electric Utilities"/>
    <x v="4"/>
    <n v="210975"/>
  </r>
  <r>
    <x v="3"/>
    <x v="50"/>
    <s v="Combined Heat and Power, Industrial Power"/>
    <x v="0"/>
    <n v="1990540"/>
  </r>
  <r>
    <x v="3"/>
    <x v="50"/>
    <s v="Combined Heat and Power, Industrial Power"/>
    <x v="1"/>
    <n v="1026080"/>
  </r>
  <r>
    <x v="3"/>
    <x v="50"/>
    <s v="Combined Heat and Power, Industrial Power"/>
    <x v="2"/>
    <n v="541305"/>
  </r>
  <r>
    <x v="3"/>
    <x v="50"/>
    <s v="Combined Heat and Power, Industrial Power"/>
    <x v="3"/>
    <n v="125974"/>
  </r>
  <r>
    <x v="3"/>
    <x v="50"/>
    <s v="Combined Heat and Power, Industrial Power"/>
    <x v="12"/>
    <n v="36"/>
  </r>
  <r>
    <x v="3"/>
    <x v="50"/>
    <s v="Combined Heat and Power, Industrial Power"/>
    <x v="9"/>
    <n v="271186"/>
  </r>
  <r>
    <x v="3"/>
    <x v="50"/>
    <s v="Combined Heat and Power, Industrial Power"/>
    <x v="4"/>
    <n v="25959"/>
  </r>
  <r>
    <x v="3"/>
    <x v="50"/>
    <s v="Combined Heat and Power, Electric Power"/>
    <x v="0"/>
    <n v="442981"/>
  </r>
  <r>
    <x v="3"/>
    <x v="50"/>
    <s v="Combined Heat and Power, Electric Power"/>
    <x v="1"/>
    <n v="431690"/>
  </r>
  <r>
    <x v="3"/>
    <x v="50"/>
    <s v="Combined Heat and Power, Electric Power"/>
    <x v="3"/>
    <n v="11291"/>
  </r>
  <r>
    <x v="3"/>
    <x v="51"/>
    <s v="Total Electric Power Industry"/>
    <x v="0"/>
    <n v="40771354"/>
  </r>
  <r>
    <x v="3"/>
    <x v="51"/>
    <s v="Total Electric Power Industry"/>
    <x v="1"/>
    <n v="39507092"/>
  </r>
  <r>
    <x v="3"/>
    <x v="51"/>
    <s v="Total Electric Power Industry"/>
    <x v="2"/>
    <n v="787427"/>
  </r>
  <r>
    <x v="3"/>
    <x v="51"/>
    <s v="Total Electric Power Industry"/>
    <x v="3"/>
    <n v="365540"/>
  </r>
  <r>
    <x v="3"/>
    <x v="51"/>
    <s v="Total Electric Power Industry"/>
    <x v="12"/>
    <n v="42843"/>
  </r>
  <r>
    <x v="3"/>
    <x v="51"/>
    <s v="Total Electric Power Industry"/>
    <x v="9"/>
    <n v="2071"/>
  </r>
  <r>
    <x v="3"/>
    <x v="51"/>
    <s v="Total Electric Power Industry"/>
    <x v="4"/>
    <n v="66381"/>
  </r>
  <r>
    <x v="3"/>
    <x v="51"/>
    <s v="Total Electric Power Industry"/>
    <x v="6"/>
    <n v="0"/>
  </r>
  <r>
    <x v="3"/>
    <x v="51"/>
    <s v="Electric Generators, Electric Utilities"/>
    <x v="0"/>
    <n v="40154595"/>
  </r>
  <r>
    <x v="3"/>
    <x v="51"/>
    <s v="Electric Generators, Electric Utilities"/>
    <x v="1"/>
    <n v="39301199"/>
  </r>
  <r>
    <x v="3"/>
    <x v="51"/>
    <s v="Electric Generators, Electric Utilities"/>
    <x v="2"/>
    <n v="787427"/>
  </r>
  <r>
    <x v="3"/>
    <x v="51"/>
    <s v="Electric Generators, Electric Utilities"/>
    <x v="3"/>
    <n v="8999"/>
  </r>
  <r>
    <x v="3"/>
    <x v="51"/>
    <s v="Electric Generators, Electric Utilities"/>
    <x v="4"/>
    <n v="56970"/>
  </r>
  <r>
    <x v="3"/>
    <x v="51"/>
    <s v="Combined Heat and Power, Industrial Power"/>
    <x v="0"/>
    <n v="616759"/>
  </r>
  <r>
    <x v="3"/>
    <x v="51"/>
    <s v="Combined Heat and Power, Industrial Power"/>
    <x v="1"/>
    <n v="205893"/>
  </r>
  <r>
    <x v="3"/>
    <x v="51"/>
    <s v="Combined Heat and Power, Industrial Power"/>
    <x v="3"/>
    <n v="356541"/>
  </r>
  <r>
    <x v="3"/>
    <x v="51"/>
    <s v="Combined Heat and Power, Industrial Power"/>
    <x v="12"/>
    <n v="42843"/>
  </r>
  <r>
    <x v="3"/>
    <x v="51"/>
    <s v="Combined Heat and Power, Industrial Power"/>
    <x v="9"/>
    <n v="2071"/>
  </r>
  <r>
    <x v="3"/>
    <x v="51"/>
    <s v="Combined Heat and Power, Industrial Power"/>
    <x v="4"/>
    <n v="9411"/>
  </r>
  <r>
    <x v="3"/>
    <x v="51"/>
    <s v="Combined Heat and Power, Industrial Power"/>
    <x v="6"/>
    <n v="0"/>
  </r>
  <r>
    <x v="4"/>
    <x v="0"/>
    <s v="Total Electric Power Industry"/>
    <x v="0"/>
    <n v="5966516"/>
  </r>
  <r>
    <x v="4"/>
    <x v="0"/>
    <s v="Total Electric Power Industry"/>
    <x v="1"/>
    <n v="502866"/>
  </r>
  <r>
    <x v="4"/>
    <x v="0"/>
    <s v="Total Electric Power Industry"/>
    <x v="2"/>
    <n v="1345407"/>
  </r>
  <r>
    <x v="4"/>
    <x v="0"/>
    <s v="Total Electric Power Industry"/>
    <x v="3"/>
    <n v="3401175"/>
  </r>
  <r>
    <x v="4"/>
    <x v="0"/>
    <s v="Total Electric Power Industry"/>
    <x v="8"/>
    <n v="16282"/>
  </r>
  <r>
    <x v="4"/>
    <x v="0"/>
    <s v="Total Electric Power Industry"/>
    <x v="4"/>
    <n v="562644"/>
  </r>
  <r>
    <x v="4"/>
    <x v="0"/>
    <s v="Total Electric Power Industry"/>
    <x v="5"/>
    <n v="0"/>
  </r>
  <r>
    <x v="4"/>
    <x v="0"/>
    <s v="Total Electric Power Industry"/>
    <x v="6"/>
    <n v="138142"/>
  </r>
  <r>
    <x v="4"/>
    <x v="0"/>
    <s v="Electric Generators, Electric Utilities"/>
    <x v="0"/>
    <n v="4762116"/>
  </r>
  <r>
    <x v="4"/>
    <x v="0"/>
    <s v="Electric Generators, Electric Utilities"/>
    <x v="1"/>
    <n v="294615"/>
  </r>
  <r>
    <x v="4"/>
    <x v="0"/>
    <s v="Electric Generators, Electric Utilities"/>
    <x v="2"/>
    <n v="1345407"/>
  </r>
  <r>
    <x v="4"/>
    <x v="0"/>
    <s v="Electric Generators, Electric Utilities"/>
    <x v="3"/>
    <n v="2680897"/>
  </r>
  <r>
    <x v="4"/>
    <x v="0"/>
    <s v="Electric Generators, Electric Utilities"/>
    <x v="4"/>
    <n v="441197"/>
  </r>
  <r>
    <x v="4"/>
    <x v="0"/>
    <s v="Electric Generators, Electric Utilities"/>
    <x v="5"/>
    <n v="0"/>
  </r>
  <r>
    <x v="4"/>
    <x v="0"/>
    <s v="Combined Heat and Power, Industrial Power"/>
    <x v="0"/>
    <n v="984978"/>
  </r>
  <r>
    <x v="4"/>
    <x v="0"/>
    <s v="Combined Heat and Power, Industrial Power"/>
    <x v="3"/>
    <n v="720278"/>
  </r>
  <r>
    <x v="4"/>
    <x v="0"/>
    <s v="Combined Heat and Power, Industrial Power"/>
    <x v="8"/>
    <n v="16282"/>
  </r>
  <r>
    <x v="4"/>
    <x v="0"/>
    <s v="Combined Heat and Power, Industrial Power"/>
    <x v="4"/>
    <n v="110276"/>
  </r>
  <r>
    <x v="4"/>
    <x v="0"/>
    <s v="Combined Heat and Power, Industrial Power"/>
    <x v="6"/>
    <n v="138142"/>
  </r>
  <r>
    <x v="4"/>
    <x v="0"/>
    <s v="Combined Heat and Power, Commercial Power"/>
    <x v="0"/>
    <n v="219422"/>
  </r>
  <r>
    <x v="4"/>
    <x v="0"/>
    <s v="Combined Heat and Power, Commercial Power"/>
    <x v="1"/>
    <n v="208251"/>
  </r>
  <r>
    <x v="4"/>
    <x v="0"/>
    <s v="Combined Heat and Power, Commercial Power"/>
    <x v="4"/>
    <n v="11171"/>
  </r>
  <r>
    <x v="4"/>
    <x v="1"/>
    <s v="Total Electric Power Industry"/>
    <x v="0"/>
    <n v="100764257"/>
  </r>
  <r>
    <x v="4"/>
    <x v="1"/>
    <s v="Total Electric Power Industry"/>
    <x v="1"/>
    <n v="63304075"/>
  </r>
  <r>
    <x v="4"/>
    <x v="1"/>
    <s v="Total Electric Power Industry"/>
    <x v="2"/>
    <n v="11429120"/>
  </r>
  <r>
    <x v="4"/>
    <x v="1"/>
    <s v="Total Electric Power Industry"/>
    <x v="3"/>
    <n v="1248034"/>
  </r>
  <r>
    <x v="4"/>
    <x v="1"/>
    <s v="Total Electric Power Industry"/>
    <x v="7"/>
    <n v="20479759"/>
  </r>
  <r>
    <x v="4"/>
    <x v="1"/>
    <s v="Total Electric Power Industry"/>
    <x v="8"/>
    <n v="6800"/>
  </r>
  <r>
    <x v="4"/>
    <x v="1"/>
    <s v="Total Electric Power Industry"/>
    <x v="9"/>
    <n v="328383"/>
  </r>
  <r>
    <x v="4"/>
    <x v="1"/>
    <s v="Total Electric Power Industry"/>
    <x v="4"/>
    <n v="244984"/>
  </r>
  <r>
    <x v="4"/>
    <x v="1"/>
    <s v="Total Electric Power Industry"/>
    <x v="6"/>
    <n v="3723102"/>
  </r>
  <r>
    <x v="4"/>
    <x v="1"/>
    <s v="Electric Generators, Independent Power Producers"/>
    <x v="0"/>
    <n v="15313"/>
  </r>
  <r>
    <x v="4"/>
    <x v="1"/>
    <s v="Electric Generators, Independent Power Producers"/>
    <x v="3"/>
    <n v="5883"/>
  </r>
  <r>
    <x v="4"/>
    <x v="1"/>
    <s v="Electric Generators, Independent Power Producers"/>
    <x v="8"/>
    <n v="1292"/>
  </r>
  <r>
    <x v="4"/>
    <x v="1"/>
    <s v="Electric Generators, Independent Power Producers"/>
    <x v="6"/>
    <n v="8138"/>
  </r>
  <r>
    <x v="4"/>
    <x v="1"/>
    <s v="Electric Generators, Electric Utilities"/>
    <x v="0"/>
    <n v="95171057"/>
  </r>
  <r>
    <x v="4"/>
    <x v="1"/>
    <s v="Electric Generators, Electric Utilities"/>
    <x v="1"/>
    <n v="62768480"/>
  </r>
  <r>
    <x v="4"/>
    <x v="1"/>
    <s v="Electric Generators, Electric Utilities"/>
    <x v="2"/>
    <n v="11429120"/>
  </r>
  <r>
    <x v="4"/>
    <x v="1"/>
    <s v="Electric Generators, Electric Utilities"/>
    <x v="3"/>
    <n v="373124"/>
  </r>
  <r>
    <x v="4"/>
    <x v="1"/>
    <s v="Electric Generators, Electric Utilities"/>
    <x v="7"/>
    <n v="20479759"/>
  </r>
  <r>
    <x v="4"/>
    <x v="1"/>
    <s v="Electric Generators, Electric Utilities"/>
    <x v="4"/>
    <n v="120574"/>
  </r>
  <r>
    <x v="4"/>
    <x v="1"/>
    <s v="Combined Heat and Power, Industrial Power"/>
    <x v="0"/>
    <n v="4885298"/>
  </r>
  <r>
    <x v="4"/>
    <x v="1"/>
    <s v="Combined Heat and Power, Industrial Power"/>
    <x v="1"/>
    <n v="475569"/>
  </r>
  <r>
    <x v="4"/>
    <x v="1"/>
    <s v="Combined Heat and Power, Industrial Power"/>
    <x v="3"/>
    <n v="826707"/>
  </r>
  <r>
    <x v="4"/>
    <x v="1"/>
    <s v="Combined Heat and Power, Industrial Power"/>
    <x v="8"/>
    <n v="5508"/>
  </r>
  <r>
    <x v="4"/>
    <x v="1"/>
    <s v="Combined Heat and Power, Industrial Power"/>
    <x v="9"/>
    <n v="328383"/>
  </r>
  <r>
    <x v="4"/>
    <x v="1"/>
    <s v="Combined Heat and Power, Industrial Power"/>
    <x v="4"/>
    <n v="124410"/>
  </r>
  <r>
    <x v="4"/>
    <x v="1"/>
    <s v="Combined Heat and Power, Industrial Power"/>
    <x v="6"/>
    <n v="3124721"/>
  </r>
  <r>
    <x v="4"/>
    <x v="1"/>
    <s v="Combined Heat and Power, Electric Power"/>
    <x v="0"/>
    <n v="692589"/>
  </r>
  <r>
    <x v="4"/>
    <x v="1"/>
    <s v="Combined Heat and Power, Electric Power"/>
    <x v="1"/>
    <n v="60026"/>
  </r>
  <r>
    <x v="4"/>
    <x v="1"/>
    <s v="Combined Heat and Power, Electric Power"/>
    <x v="3"/>
    <n v="42320"/>
  </r>
  <r>
    <x v="4"/>
    <x v="1"/>
    <s v="Combined Heat and Power, Electric Power"/>
    <x v="6"/>
    <n v="590243"/>
  </r>
  <r>
    <x v="4"/>
    <x v="2"/>
    <s v="Total Electric Power Industry"/>
    <x v="0"/>
    <n v="42032148"/>
  </r>
  <r>
    <x v="4"/>
    <x v="2"/>
    <s v="Total Electric Power Industry"/>
    <x v="1"/>
    <n v="19852118"/>
  </r>
  <r>
    <x v="4"/>
    <x v="2"/>
    <s v="Total Electric Power Industry"/>
    <x v="2"/>
    <n v="3462641"/>
  </r>
  <r>
    <x v="4"/>
    <x v="2"/>
    <s v="Total Electric Power Industry"/>
    <x v="3"/>
    <n v="3125327"/>
  </r>
  <r>
    <x v="4"/>
    <x v="2"/>
    <s v="Total Electric Power Industry"/>
    <x v="7"/>
    <n v="13923701"/>
  </r>
  <r>
    <x v="4"/>
    <x v="2"/>
    <s v="Total Electric Power Industry"/>
    <x v="12"/>
    <n v="1837"/>
  </r>
  <r>
    <x v="4"/>
    <x v="2"/>
    <s v="Total Electric Power Industry"/>
    <x v="8"/>
    <n v="34352"/>
  </r>
  <r>
    <x v="4"/>
    <x v="2"/>
    <s v="Total Electric Power Industry"/>
    <x v="4"/>
    <n v="99613"/>
  </r>
  <r>
    <x v="4"/>
    <x v="2"/>
    <s v="Total Electric Power Industry"/>
    <x v="10"/>
    <n v="0"/>
  </r>
  <r>
    <x v="4"/>
    <x v="2"/>
    <s v="Total Electric Power Industry"/>
    <x v="6"/>
    <n v="1532559"/>
  </r>
  <r>
    <x v="4"/>
    <x v="2"/>
    <s v="Electric Generators, Independent Power Producers"/>
    <x v="0"/>
    <n v="743"/>
  </r>
  <r>
    <x v="4"/>
    <x v="2"/>
    <s v="Electric Generators, Independent Power Producers"/>
    <x v="2"/>
    <n v="743"/>
  </r>
  <r>
    <x v="4"/>
    <x v="2"/>
    <s v="Electric Generators, Electric Utilities"/>
    <x v="0"/>
    <n v="39547768"/>
  </r>
  <r>
    <x v="4"/>
    <x v="2"/>
    <s v="Electric Generators, Electric Utilities"/>
    <x v="1"/>
    <n v="19780738"/>
  </r>
  <r>
    <x v="4"/>
    <x v="2"/>
    <s v="Electric Generators, Electric Utilities"/>
    <x v="2"/>
    <n v="3461898"/>
  </r>
  <r>
    <x v="4"/>
    <x v="2"/>
    <s v="Electric Generators, Electric Utilities"/>
    <x v="3"/>
    <n v="2284992"/>
  </r>
  <r>
    <x v="4"/>
    <x v="2"/>
    <s v="Electric Generators, Electric Utilities"/>
    <x v="7"/>
    <n v="13923701"/>
  </r>
  <r>
    <x v="4"/>
    <x v="2"/>
    <s v="Electric Generators, Electric Utilities"/>
    <x v="4"/>
    <n v="96439"/>
  </r>
  <r>
    <x v="4"/>
    <x v="2"/>
    <s v="Electric Generators, Electric Utilities"/>
    <x v="10"/>
    <n v="0"/>
  </r>
  <r>
    <x v="4"/>
    <x v="2"/>
    <s v="Combined Heat and Power, Industrial Power"/>
    <x v="0"/>
    <n v="2436602"/>
  </r>
  <r>
    <x v="4"/>
    <x v="2"/>
    <s v="Combined Heat and Power, Industrial Power"/>
    <x v="1"/>
    <n v="71380"/>
  </r>
  <r>
    <x v="4"/>
    <x v="2"/>
    <s v="Combined Heat and Power, Industrial Power"/>
    <x v="3"/>
    <n v="801665"/>
  </r>
  <r>
    <x v="4"/>
    <x v="2"/>
    <s v="Combined Heat and Power, Industrial Power"/>
    <x v="12"/>
    <n v="1837"/>
  </r>
  <r>
    <x v="4"/>
    <x v="2"/>
    <s v="Combined Heat and Power, Industrial Power"/>
    <x v="8"/>
    <n v="29120"/>
  </r>
  <r>
    <x v="4"/>
    <x v="2"/>
    <s v="Combined Heat and Power, Industrial Power"/>
    <x v="4"/>
    <n v="41"/>
  </r>
  <r>
    <x v="4"/>
    <x v="2"/>
    <s v="Combined Heat and Power, Industrial Power"/>
    <x v="6"/>
    <n v="1532559"/>
  </r>
  <r>
    <x v="4"/>
    <x v="2"/>
    <s v="Combined Heat and Power, Commercial Power"/>
    <x v="0"/>
    <n v="47035"/>
  </r>
  <r>
    <x v="4"/>
    <x v="2"/>
    <s v="Combined Heat and Power, Commercial Power"/>
    <x v="3"/>
    <n v="38670"/>
  </r>
  <r>
    <x v="4"/>
    <x v="2"/>
    <s v="Combined Heat and Power, Commercial Power"/>
    <x v="8"/>
    <n v="5232"/>
  </r>
  <r>
    <x v="4"/>
    <x v="2"/>
    <s v="Combined Heat and Power, Commercial Power"/>
    <x v="4"/>
    <n v="3133"/>
  </r>
  <r>
    <x v="4"/>
    <x v="3"/>
    <s v="Total Electric Power Industry"/>
    <x v="0"/>
    <n v="71934496"/>
  </r>
  <r>
    <x v="4"/>
    <x v="3"/>
    <s v="Total Electric Power Industry"/>
    <x v="1"/>
    <n v="38343130"/>
  </r>
  <r>
    <x v="4"/>
    <x v="3"/>
    <s v="Total Electric Power Industry"/>
    <x v="2"/>
    <n v="7365425"/>
  </r>
  <r>
    <x v="4"/>
    <x v="3"/>
    <s v="Total Electric Power Industry"/>
    <x v="3"/>
    <n v="2483535"/>
  </r>
  <r>
    <x v="4"/>
    <x v="3"/>
    <s v="Total Electric Power Industry"/>
    <x v="7"/>
    <n v="23170894"/>
  </r>
  <r>
    <x v="4"/>
    <x v="3"/>
    <s v="Total Electric Power Industry"/>
    <x v="4"/>
    <n v="152170"/>
  </r>
  <r>
    <x v="4"/>
    <x v="3"/>
    <s v="Total Electric Power Industry"/>
    <x v="10"/>
    <n v="304437"/>
  </r>
  <r>
    <x v="4"/>
    <x v="3"/>
    <s v="Total Electric Power Industry"/>
    <x v="6"/>
    <n v="114905"/>
  </r>
  <r>
    <x v="4"/>
    <x v="3"/>
    <s v="Electric Generators, Electric Utilities"/>
    <x v="0"/>
    <n v="71203728"/>
  </r>
  <r>
    <x v="4"/>
    <x v="3"/>
    <s v="Electric Generators, Electric Utilities"/>
    <x v="1"/>
    <n v="38072165"/>
  </r>
  <r>
    <x v="4"/>
    <x v="3"/>
    <s v="Electric Generators, Electric Utilities"/>
    <x v="2"/>
    <n v="7365425"/>
  </r>
  <r>
    <x v="4"/>
    <x v="3"/>
    <s v="Electric Generators, Electric Utilities"/>
    <x v="3"/>
    <n v="2162370"/>
  </r>
  <r>
    <x v="4"/>
    <x v="3"/>
    <s v="Electric Generators, Electric Utilities"/>
    <x v="7"/>
    <n v="23170894"/>
  </r>
  <r>
    <x v="4"/>
    <x v="3"/>
    <s v="Electric Generators, Electric Utilities"/>
    <x v="4"/>
    <n v="128437"/>
  </r>
  <r>
    <x v="4"/>
    <x v="3"/>
    <s v="Electric Generators, Electric Utilities"/>
    <x v="10"/>
    <n v="304437"/>
  </r>
  <r>
    <x v="4"/>
    <x v="3"/>
    <s v="Combined Heat and Power, Industrial Power"/>
    <x v="0"/>
    <n v="425457"/>
  </r>
  <r>
    <x v="4"/>
    <x v="3"/>
    <s v="Combined Heat and Power, Industrial Power"/>
    <x v="1"/>
    <n v="270965"/>
  </r>
  <r>
    <x v="4"/>
    <x v="3"/>
    <s v="Combined Heat and Power, Industrial Power"/>
    <x v="3"/>
    <n v="17088"/>
  </r>
  <r>
    <x v="4"/>
    <x v="3"/>
    <s v="Combined Heat and Power, Industrial Power"/>
    <x v="4"/>
    <n v="22499"/>
  </r>
  <r>
    <x v="4"/>
    <x v="3"/>
    <s v="Combined Heat and Power, Industrial Power"/>
    <x v="6"/>
    <n v="114905"/>
  </r>
  <r>
    <x v="4"/>
    <x v="3"/>
    <s v="Combined Heat and Power, Electric Power"/>
    <x v="0"/>
    <n v="271485"/>
  </r>
  <r>
    <x v="4"/>
    <x v="3"/>
    <s v="Combined Heat and Power, Electric Power"/>
    <x v="3"/>
    <n v="271485"/>
  </r>
  <r>
    <x v="4"/>
    <x v="3"/>
    <s v="Combined Heat and Power, Commercial Power"/>
    <x v="0"/>
    <n v="33826"/>
  </r>
  <r>
    <x v="4"/>
    <x v="3"/>
    <s v="Combined Heat and Power, Commercial Power"/>
    <x v="3"/>
    <n v="32592"/>
  </r>
  <r>
    <x v="4"/>
    <x v="3"/>
    <s v="Combined Heat and Power, Commercial Power"/>
    <x v="4"/>
    <n v="1234"/>
  </r>
  <r>
    <x v="4"/>
    <x v="4"/>
    <s v="Total Electric Power Industry"/>
    <x v="0"/>
    <n v="186191991"/>
  </r>
  <r>
    <x v="4"/>
    <x v="4"/>
    <s v="Total Electric Power Industry"/>
    <x v="1"/>
    <n v="3271691"/>
  </r>
  <r>
    <x v="4"/>
    <x v="4"/>
    <s v="Total Electric Power Industry"/>
    <x v="11"/>
    <n v="13660402"/>
  </r>
  <r>
    <x v="4"/>
    <x v="4"/>
    <s v="Total Electric Power Industry"/>
    <x v="2"/>
    <n v="23012615"/>
  </r>
  <r>
    <x v="4"/>
    <x v="4"/>
    <s v="Total Electric Power Industry"/>
    <x v="3"/>
    <n v="94431800"/>
  </r>
  <r>
    <x v="4"/>
    <x v="4"/>
    <s v="Total Electric Power Industry"/>
    <x v="7"/>
    <n v="33752237"/>
  </r>
  <r>
    <x v="4"/>
    <x v="4"/>
    <s v="Total Electric Power Industry"/>
    <x v="12"/>
    <n v="14125"/>
  </r>
  <r>
    <x v="4"/>
    <x v="4"/>
    <s v="Total Electric Power Industry"/>
    <x v="8"/>
    <n v="2646840"/>
  </r>
  <r>
    <x v="4"/>
    <x v="4"/>
    <s v="Total Electric Power Industry"/>
    <x v="9"/>
    <n v="2959314"/>
  </r>
  <r>
    <x v="4"/>
    <x v="4"/>
    <s v="Total Electric Power Industry"/>
    <x v="4"/>
    <n v="3411141"/>
  </r>
  <r>
    <x v="4"/>
    <x v="4"/>
    <s v="Total Electric Power Industry"/>
    <x v="10"/>
    <n v="934849"/>
  </r>
  <r>
    <x v="4"/>
    <x v="4"/>
    <s v="Total Electric Power Industry"/>
    <x v="13"/>
    <n v="486318"/>
  </r>
  <r>
    <x v="4"/>
    <x v="4"/>
    <s v="Total Electric Power Industry"/>
    <x v="5"/>
    <n v="3387128"/>
  </r>
  <r>
    <x v="4"/>
    <x v="4"/>
    <s v="Total Electric Power Industry"/>
    <x v="6"/>
    <n v="4223531"/>
  </r>
  <r>
    <x v="4"/>
    <x v="4"/>
    <s v="Electric Generators, Independent Power Producers"/>
    <x v="0"/>
    <n v="18752094"/>
  </r>
  <r>
    <x v="4"/>
    <x v="4"/>
    <s v="Electric Generators, Independent Power Producers"/>
    <x v="1"/>
    <n v="128198"/>
  </r>
  <r>
    <x v="4"/>
    <x v="4"/>
    <s v="Electric Generators, Independent Power Producers"/>
    <x v="11"/>
    <n v="6914569"/>
  </r>
  <r>
    <x v="4"/>
    <x v="4"/>
    <s v="Electric Generators, Independent Power Producers"/>
    <x v="2"/>
    <n v="1091426"/>
  </r>
  <r>
    <x v="4"/>
    <x v="4"/>
    <s v="Electric Generators, Independent Power Producers"/>
    <x v="3"/>
    <n v="615286"/>
  </r>
  <r>
    <x v="4"/>
    <x v="4"/>
    <s v="Electric Generators, Independent Power Producers"/>
    <x v="8"/>
    <n v="2339085"/>
  </r>
  <r>
    <x v="4"/>
    <x v="4"/>
    <s v="Electric Generators, Independent Power Producers"/>
    <x v="4"/>
    <n v="810613"/>
  </r>
  <r>
    <x v="4"/>
    <x v="4"/>
    <s v="Electric Generators, Independent Power Producers"/>
    <x v="13"/>
    <n v="483150"/>
  </r>
  <r>
    <x v="4"/>
    <x v="4"/>
    <s v="Electric Generators, Independent Power Producers"/>
    <x v="5"/>
    <n v="3387128"/>
  </r>
  <r>
    <x v="4"/>
    <x v="4"/>
    <s v="Electric Generators, Independent Power Producers"/>
    <x v="6"/>
    <n v="2982639"/>
  </r>
  <r>
    <x v="4"/>
    <x v="4"/>
    <s v="Electric Generators, Electric Utilities"/>
    <x v="0"/>
    <n v="126749186"/>
  </r>
  <r>
    <x v="4"/>
    <x v="4"/>
    <s v="Electric Generators, Electric Utilities"/>
    <x v="11"/>
    <n v="6745833"/>
  </r>
  <r>
    <x v="4"/>
    <x v="4"/>
    <s v="Electric Generators, Electric Utilities"/>
    <x v="2"/>
    <n v="21917229"/>
  </r>
  <r>
    <x v="4"/>
    <x v="4"/>
    <s v="Electric Generators, Electric Utilities"/>
    <x v="3"/>
    <n v="61530357"/>
  </r>
  <r>
    <x v="4"/>
    <x v="4"/>
    <s v="Electric Generators, Electric Utilities"/>
    <x v="7"/>
    <n v="33752237"/>
  </r>
  <r>
    <x v="4"/>
    <x v="4"/>
    <s v="Electric Generators, Electric Utilities"/>
    <x v="8"/>
    <n v="2794"/>
  </r>
  <r>
    <x v="4"/>
    <x v="4"/>
    <s v="Electric Generators, Electric Utilities"/>
    <x v="4"/>
    <n v="1862719"/>
  </r>
  <r>
    <x v="4"/>
    <x v="4"/>
    <s v="Electric Generators, Electric Utilities"/>
    <x v="10"/>
    <n v="934849"/>
  </r>
  <r>
    <x v="4"/>
    <x v="4"/>
    <s v="Electric Generators, Electric Utilities"/>
    <x v="13"/>
    <n v="3168"/>
  </r>
  <r>
    <x v="4"/>
    <x v="4"/>
    <s v="Electric Generators, Electric Utilities"/>
    <x v="5"/>
    <n v="0"/>
  </r>
  <r>
    <x v="4"/>
    <x v="4"/>
    <s v="Combined Heat and Power, Industrial Power"/>
    <x v="0"/>
    <n v="16985616"/>
  </r>
  <r>
    <x v="4"/>
    <x v="4"/>
    <s v="Combined Heat and Power, Industrial Power"/>
    <x v="1"/>
    <n v="957247"/>
  </r>
  <r>
    <x v="4"/>
    <x v="4"/>
    <s v="Combined Heat and Power, Industrial Power"/>
    <x v="3"/>
    <n v="11522124"/>
  </r>
  <r>
    <x v="4"/>
    <x v="4"/>
    <s v="Combined Heat and Power, Industrial Power"/>
    <x v="12"/>
    <n v="14125"/>
  </r>
  <r>
    <x v="4"/>
    <x v="4"/>
    <s v="Combined Heat and Power, Industrial Power"/>
    <x v="8"/>
    <n v="67836"/>
  </r>
  <r>
    <x v="4"/>
    <x v="4"/>
    <s v="Combined Heat and Power, Industrial Power"/>
    <x v="9"/>
    <n v="2658223"/>
  </r>
  <r>
    <x v="4"/>
    <x v="4"/>
    <s v="Combined Heat and Power, Industrial Power"/>
    <x v="4"/>
    <n v="546121"/>
  </r>
  <r>
    <x v="4"/>
    <x v="4"/>
    <s v="Combined Heat and Power, Industrial Power"/>
    <x v="6"/>
    <n v="1219940"/>
  </r>
  <r>
    <x v="4"/>
    <x v="4"/>
    <s v="Combined Heat and Power, Electric Power"/>
    <x v="0"/>
    <n v="21641993"/>
  </r>
  <r>
    <x v="4"/>
    <x v="4"/>
    <s v="Combined Heat and Power, Electric Power"/>
    <x v="1"/>
    <n v="2186246"/>
  </r>
  <r>
    <x v="4"/>
    <x v="4"/>
    <s v="Combined Heat and Power, Electric Power"/>
    <x v="3"/>
    <n v="18946329"/>
  </r>
  <r>
    <x v="4"/>
    <x v="4"/>
    <s v="Combined Heat and Power, Electric Power"/>
    <x v="8"/>
    <n v="112780"/>
  </r>
  <r>
    <x v="4"/>
    <x v="4"/>
    <s v="Combined Heat and Power, Electric Power"/>
    <x v="9"/>
    <n v="186544"/>
  </r>
  <r>
    <x v="4"/>
    <x v="4"/>
    <s v="Combined Heat and Power, Electric Power"/>
    <x v="4"/>
    <n v="189142"/>
  </r>
  <r>
    <x v="4"/>
    <x v="4"/>
    <s v="Combined Heat and Power, Electric Power"/>
    <x v="6"/>
    <n v="20952"/>
  </r>
  <r>
    <x v="4"/>
    <x v="4"/>
    <s v="Combined Heat and Power, Commercial Power"/>
    <x v="0"/>
    <n v="2063102"/>
  </r>
  <r>
    <x v="4"/>
    <x v="4"/>
    <s v="Combined Heat and Power, Commercial Power"/>
    <x v="2"/>
    <n v="3960"/>
  </r>
  <r>
    <x v="4"/>
    <x v="4"/>
    <s v="Combined Heat and Power, Commercial Power"/>
    <x v="3"/>
    <n v="1817704"/>
  </r>
  <r>
    <x v="4"/>
    <x v="4"/>
    <s v="Combined Heat and Power, Commercial Power"/>
    <x v="8"/>
    <n v="124345"/>
  </r>
  <r>
    <x v="4"/>
    <x v="4"/>
    <s v="Combined Heat and Power, Commercial Power"/>
    <x v="9"/>
    <n v="114547"/>
  </r>
  <r>
    <x v="4"/>
    <x v="4"/>
    <s v="Combined Heat and Power, Commercial Power"/>
    <x v="4"/>
    <n v="2546"/>
  </r>
  <r>
    <x v="4"/>
    <x v="5"/>
    <s v="Total Electric Power Industry"/>
    <x v="0"/>
    <n v="35651911"/>
  </r>
  <r>
    <x v="4"/>
    <x v="5"/>
    <s v="Total Electric Power Industry"/>
    <x v="1"/>
    <n v="31636583"/>
  </r>
  <r>
    <x v="4"/>
    <x v="5"/>
    <s v="Total Electric Power Industry"/>
    <x v="2"/>
    <n v="1544037"/>
  </r>
  <r>
    <x v="4"/>
    <x v="5"/>
    <s v="Total Electric Power Industry"/>
    <x v="3"/>
    <n v="2320742"/>
  </r>
  <r>
    <x v="4"/>
    <x v="5"/>
    <s v="Total Electric Power Industry"/>
    <x v="8"/>
    <n v="28462"/>
  </r>
  <r>
    <x v="4"/>
    <x v="5"/>
    <s v="Total Electric Power Industry"/>
    <x v="4"/>
    <n v="10220"/>
  </r>
  <r>
    <x v="4"/>
    <x v="5"/>
    <s v="Total Electric Power Industry"/>
    <x v="10"/>
    <n v="111867"/>
  </r>
  <r>
    <x v="4"/>
    <x v="5"/>
    <s v="Electric Generators, Independent Power Producers"/>
    <x v="0"/>
    <n v="246300"/>
  </r>
  <r>
    <x v="4"/>
    <x v="5"/>
    <s v="Electric Generators, Independent Power Producers"/>
    <x v="2"/>
    <n v="115522"/>
  </r>
  <r>
    <x v="4"/>
    <x v="5"/>
    <s v="Electric Generators, Independent Power Producers"/>
    <x v="3"/>
    <n v="130778"/>
  </r>
  <r>
    <x v="4"/>
    <x v="5"/>
    <s v="Electric Generators, Electric Utilities"/>
    <x v="0"/>
    <n v="33324413"/>
  </r>
  <r>
    <x v="4"/>
    <x v="5"/>
    <s v="Electric Generators, Electric Utilities"/>
    <x v="1"/>
    <n v="31401250"/>
  </r>
  <r>
    <x v="4"/>
    <x v="5"/>
    <s v="Electric Generators, Electric Utilities"/>
    <x v="2"/>
    <n v="1428515"/>
  </r>
  <r>
    <x v="4"/>
    <x v="5"/>
    <s v="Electric Generators, Electric Utilities"/>
    <x v="3"/>
    <n v="373868"/>
  </r>
  <r>
    <x v="4"/>
    <x v="5"/>
    <s v="Electric Generators, Electric Utilities"/>
    <x v="8"/>
    <n v="0"/>
  </r>
  <r>
    <x v="4"/>
    <x v="5"/>
    <s v="Electric Generators, Electric Utilities"/>
    <x v="4"/>
    <n v="8913"/>
  </r>
  <r>
    <x v="4"/>
    <x v="5"/>
    <s v="Electric Generators, Electric Utilities"/>
    <x v="10"/>
    <n v="111867"/>
  </r>
  <r>
    <x v="4"/>
    <x v="5"/>
    <s v="Combined Heat and Power, Industrial Power"/>
    <x v="0"/>
    <n v="88214"/>
  </r>
  <r>
    <x v="4"/>
    <x v="5"/>
    <s v="Combined Heat and Power, Industrial Power"/>
    <x v="3"/>
    <n v="88214"/>
  </r>
  <r>
    <x v="4"/>
    <x v="5"/>
    <s v="Combined Heat and Power, Industrial Power"/>
    <x v="4"/>
    <n v="0"/>
  </r>
  <r>
    <x v="4"/>
    <x v="5"/>
    <s v="Combined Heat and Power, Electric Power"/>
    <x v="0"/>
    <n v="1774613"/>
  </r>
  <r>
    <x v="4"/>
    <x v="5"/>
    <s v="Combined Heat and Power, Electric Power"/>
    <x v="1"/>
    <n v="235333"/>
  </r>
  <r>
    <x v="4"/>
    <x v="5"/>
    <s v="Combined Heat and Power, Electric Power"/>
    <x v="3"/>
    <n v="1535400"/>
  </r>
  <r>
    <x v="4"/>
    <x v="5"/>
    <s v="Combined Heat and Power, Electric Power"/>
    <x v="8"/>
    <n v="2573"/>
  </r>
  <r>
    <x v="4"/>
    <x v="5"/>
    <s v="Combined Heat and Power, Electric Power"/>
    <x v="4"/>
    <n v="1307"/>
  </r>
  <r>
    <x v="4"/>
    <x v="5"/>
    <s v="Combined Heat and Power, Commercial Power"/>
    <x v="0"/>
    <n v="218371"/>
  </r>
  <r>
    <x v="4"/>
    <x v="5"/>
    <s v="Combined Heat and Power, Commercial Power"/>
    <x v="3"/>
    <n v="192482"/>
  </r>
  <r>
    <x v="4"/>
    <x v="5"/>
    <s v="Combined Heat and Power, Commercial Power"/>
    <x v="8"/>
    <n v="25889"/>
  </r>
  <r>
    <x v="4"/>
    <x v="6"/>
    <s v="Total Electric Power Industry"/>
    <x v="0"/>
    <n v="31178917"/>
  </r>
  <r>
    <x v="4"/>
    <x v="6"/>
    <s v="Total Electric Power Industry"/>
    <x v="1"/>
    <n v="3622776"/>
  </r>
  <r>
    <x v="4"/>
    <x v="6"/>
    <s v="Total Electric Power Industry"/>
    <x v="2"/>
    <n v="481162"/>
  </r>
  <r>
    <x v="4"/>
    <x v="6"/>
    <s v="Total Electric Power Industry"/>
    <x v="3"/>
    <n v="1898585"/>
  </r>
  <r>
    <x v="4"/>
    <x v="6"/>
    <s v="Total Electric Power Industry"/>
    <x v="7"/>
    <n v="20159938"/>
  </r>
  <r>
    <x v="4"/>
    <x v="6"/>
    <s v="Total Electric Power Industry"/>
    <x v="12"/>
    <n v="0"/>
  </r>
  <r>
    <x v="4"/>
    <x v="6"/>
    <s v="Total Electric Power Industry"/>
    <x v="8"/>
    <n v="1470099"/>
  </r>
  <r>
    <x v="4"/>
    <x v="6"/>
    <s v="Total Electric Power Industry"/>
    <x v="4"/>
    <n v="3543562"/>
  </r>
  <r>
    <x v="4"/>
    <x v="6"/>
    <s v="Total Electric Power Industry"/>
    <x v="10"/>
    <n v="2795"/>
  </r>
  <r>
    <x v="4"/>
    <x v="6"/>
    <s v="Electric Generators, Independent Power Producers"/>
    <x v="0"/>
    <n v="1099243"/>
  </r>
  <r>
    <x v="4"/>
    <x v="6"/>
    <s v="Electric Generators, Independent Power Producers"/>
    <x v="2"/>
    <n v="63639"/>
  </r>
  <r>
    <x v="4"/>
    <x v="6"/>
    <s v="Electric Generators, Independent Power Producers"/>
    <x v="3"/>
    <n v="421"/>
  </r>
  <r>
    <x v="4"/>
    <x v="6"/>
    <s v="Electric Generators, Independent Power Producers"/>
    <x v="8"/>
    <n v="1031137"/>
  </r>
  <r>
    <x v="4"/>
    <x v="6"/>
    <s v="Electric Generators, Independent Power Producers"/>
    <x v="4"/>
    <n v="4046"/>
  </r>
  <r>
    <x v="4"/>
    <x v="6"/>
    <s v="Electric Generators, Electric Utilities"/>
    <x v="0"/>
    <n v="27201416"/>
  </r>
  <r>
    <x v="4"/>
    <x v="6"/>
    <s v="Electric Generators, Electric Utilities"/>
    <x v="1"/>
    <n v="2104045"/>
  </r>
  <r>
    <x v="4"/>
    <x v="6"/>
    <s v="Electric Generators, Electric Utilities"/>
    <x v="2"/>
    <n v="409502"/>
  </r>
  <r>
    <x v="4"/>
    <x v="6"/>
    <s v="Electric Generators, Electric Utilities"/>
    <x v="3"/>
    <n v="732277"/>
  </r>
  <r>
    <x v="4"/>
    <x v="6"/>
    <s v="Electric Generators, Electric Utilities"/>
    <x v="7"/>
    <n v="20159938"/>
  </r>
  <r>
    <x v="4"/>
    <x v="6"/>
    <s v="Electric Generators, Electric Utilities"/>
    <x v="8"/>
    <n v="438962"/>
  </r>
  <r>
    <x v="4"/>
    <x v="6"/>
    <s v="Electric Generators, Electric Utilities"/>
    <x v="4"/>
    <n v="3353897"/>
  </r>
  <r>
    <x v="4"/>
    <x v="6"/>
    <s v="Electric Generators, Electric Utilities"/>
    <x v="10"/>
    <n v="2795"/>
  </r>
  <r>
    <x v="4"/>
    <x v="6"/>
    <s v="Combined Heat and Power, Industrial Power"/>
    <x v="0"/>
    <n v="235258"/>
  </r>
  <r>
    <x v="4"/>
    <x v="6"/>
    <s v="Combined Heat and Power, Industrial Power"/>
    <x v="2"/>
    <n v="8021"/>
  </r>
  <r>
    <x v="4"/>
    <x v="6"/>
    <s v="Combined Heat and Power, Industrial Power"/>
    <x v="3"/>
    <n v="76913"/>
  </r>
  <r>
    <x v="4"/>
    <x v="6"/>
    <s v="Combined Heat and Power, Industrial Power"/>
    <x v="12"/>
    <n v="0"/>
  </r>
  <r>
    <x v="4"/>
    <x v="6"/>
    <s v="Combined Heat and Power, Industrial Power"/>
    <x v="4"/>
    <n v="150324"/>
  </r>
  <r>
    <x v="4"/>
    <x v="6"/>
    <s v="Combined Heat and Power, Electric Power"/>
    <x v="0"/>
    <n v="2552303"/>
  </r>
  <r>
    <x v="4"/>
    <x v="6"/>
    <s v="Combined Heat and Power, Electric Power"/>
    <x v="1"/>
    <n v="1518731"/>
  </r>
  <r>
    <x v="4"/>
    <x v="6"/>
    <s v="Combined Heat and Power, Electric Power"/>
    <x v="3"/>
    <n v="1001129"/>
  </r>
  <r>
    <x v="4"/>
    <x v="6"/>
    <s v="Combined Heat and Power, Electric Power"/>
    <x v="4"/>
    <n v="32443"/>
  </r>
  <r>
    <x v="4"/>
    <x v="6"/>
    <s v="Combined Heat and Power, Commercial Power"/>
    <x v="0"/>
    <n v="90697"/>
  </r>
  <r>
    <x v="4"/>
    <x v="6"/>
    <s v="Combined Heat and Power, Commercial Power"/>
    <x v="3"/>
    <n v="87845"/>
  </r>
  <r>
    <x v="4"/>
    <x v="6"/>
    <s v="Combined Heat and Power, Commercial Power"/>
    <x v="4"/>
    <n v="2852"/>
  </r>
  <r>
    <x v="4"/>
    <x v="7"/>
    <s v="Total Electric Power Industry"/>
    <x v="0"/>
    <n v="274252"/>
  </r>
  <r>
    <x v="4"/>
    <x v="7"/>
    <s v="Total Electric Power Industry"/>
    <x v="1"/>
    <n v="0"/>
  </r>
  <r>
    <x v="4"/>
    <x v="7"/>
    <s v="Total Electric Power Industry"/>
    <x v="4"/>
    <n v="274252"/>
  </r>
  <r>
    <x v="4"/>
    <x v="7"/>
    <s v="Electric Generators, Electric Utilities"/>
    <x v="0"/>
    <n v="274252"/>
  </r>
  <r>
    <x v="4"/>
    <x v="7"/>
    <s v="Electric Generators, Electric Utilities"/>
    <x v="4"/>
    <n v="274252"/>
  </r>
  <r>
    <x v="4"/>
    <x v="7"/>
    <s v="Combined Heat and Power, Commercial Power"/>
    <x v="0"/>
    <n v="0"/>
  </r>
  <r>
    <x v="4"/>
    <x v="7"/>
    <s v="Combined Heat and Power, Commercial Power"/>
    <x v="1"/>
    <n v="0"/>
  </r>
  <r>
    <x v="4"/>
    <x v="8"/>
    <s v="Total Electric Power Industry"/>
    <x v="0"/>
    <n v="9230276"/>
  </r>
  <r>
    <x v="4"/>
    <x v="8"/>
    <s v="Total Electric Power Industry"/>
    <x v="1"/>
    <n v="4949403"/>
  </r>
  <r>
    <x v="4"/>
    <x v="8"/>
    <s v="Total Electric Power Industry"/>
    <x v="3"/>
    <n v="2130417"/>
  </r>
  <r>
    <x v="4"/>
    <x v="8"/>
    <s v="Total Electric Power Industry"/>
    <x v="12"/>
    <n v="7970"/>
  </r>
  <r>
    <x v="4"/>
    <x v="8"/>
    <s v="Total Electric Power Industry"/>
    <x v="9"/>
    <n v="100885"/>
  </r>
  <r>
    <x v="4"/>
    <x v="8"/>
    <s v="Total Electric Power Industry"/>
    <x v="4"/>
    <n v="2041601"/>
  </r>
  <r>
    <x v="4"/>
    <x v="8"/>
    <s v="Electric Generators, Electric Utilities"/>
    <x v="0"/>
    <n v="8501043"/>
  </r>
  <r>
    <x v="4"/>
    <x v="8"/>
    <s v="Electric Generators, Electric Utilities"/>
    <x v="1"/>
    <n v="4754309"/>
  </r>
  <r>
    <x v="4"/>
    <x v="8"/>
    <s v="Electric Generators, Electric Utilities"/>
    <x v="3"/>
    <n v="2127075"/>
  </r>
  <r>
    <x v="4"/>
    <x v="8"/>
    <s v="Electric Generators, Electric Utilities"/>
    <x v="4"/>
    <n v="1619659"/>
  </r>
  <r>
    <x v="4"/>
    <x v="8"/>
    <s v="Combined Heat and Power, Industrial Power"/>
    <x v="0"/>
    <n v="729233"/>
  </r>
  <r>
    <x v="4"/>
    <x v="8"/>
    <s v="Combined Heat and Power, Industrial Power"/>
    <x v="1"/>
    <n v="195094"/>
  </r>
  <r>
    <x v="4"/>
    <x v="8"/>
    <s v="Combined Heat and Power, Industrial Power"/>
    <x v="3"/>
    <n v="3342"/>
  </r>
  <r>
    <x v="4"/>
    <x v="8"/>
    <s v="Combined Heat and Power, Industrial Power"/>
    <x v="12"/>
    <n v="7970"/>
  </r>
  <r>
    <x v="4"/>
    <x v="8"/>
    <s v="Combined Heat and Power, Industrial Power"/>
    <x v="9"/>
    <n v="100885"/>
  </r>
  <r>
    <x v="4"/>
    <x v="8"/>
    <s v="Combined Heat and Power, Industrial Power"/>
    <x v="4"/>
    <n v="421942"/>
  </r>
  <r>
    <x v="4"/>
    <x v="9"/>
    <s v="Total Electric Power Industry"/>
    <x v="0"/>
    <n v="158146846"/>
  </r>
  <r>
    <x v="4"/>
    <x v="9"/>
    <s v="Total Electric Power Industry"/>
    <x v="1"/>
    <n v="63465108"/>
  </r>
  <r>
    <x v="4"/>
    <x v="9"/>
    <s v="Total Electric Power Industry"/>
    <x v="2"/>
    <n v="274474"/>
  </r>
  <r>
    <x v="4"/>
    <x v="9"/>
    <s v="Total Electric Power Industry"/>
    <x v="3"/>
    <n v="26151929"/>
  </r>
  <r>
    <x v="4"/>
    <x v="9"/>
    <s v="Total Electric Power Industry"/>
    <x v="7"/>
    <n v="26682107"/>
  </r>
  <r>
    <x v="4"/>
    <x v="9"/>
    <s v="Total Electric Power Industry"/>
    <x v="12"/>
    <n v="2051342"/>
  </r>
  <r>
    <x v="4"/>
    <x v="9"/>
    <s v="Total Electric Power Industry"/>
    <x v="8"/>
    <n v="3177187"/>
  </r>
  <r>
    <x v="4"/>
    <x v="9"/>
    <s v="Total Electric Power Industry"/>
    <x v="9"/>
    <n v="34879"/>
  </r>
  <r>
    <x v="4"/>
    <x v="9"/>
    <s v="Total Electric Power Industry"/>
    <x v="4"/>
    <n v="33897384"/>
  </r>
  <r>
    <x v="4"/>
    <x v="9"/>
    <s v="Total Electric Power Industry"/>
    <x v="6"/>
    <n v="2412436"/>
  </r>
  <r>
    <x v="4"/>
    <x v="9"/>
    <s v="Electric Generators, Independent Power Producers"/>
    <x v="0"/>
    <n v="3551320"/>
  </r>
  <r>
    <x v="4"/>
    <x v="9"/>
    <s v="Electric Generators, Independent Power Producers"/>
    <x v="3"/>
    <n v="292319"/>
  </r>
  <r>
    <x v="4"/>
    <x v="9"/>
    <s v="Electric Generators, Independent Power Producers"/>
    <x v="8"/>
    <n v="3038053"/>
  </r>
  <r>
    <x v="4"/>
    <x v="9"/>
    <s v="Electric Generators, Independent Power Producers"/>
    <x v="9"/>
    <n v="3956"/>
  </r>
  <r>
    <x v="4"/>
    <x v="9"/>
    <s v="Electric Generators, Independent Power Producers"/>
    <x v="4"/>
    <n v="20575"/>
  </r>
  <r>
    <x v="4"/>
    <x v="9"/>
    <s v="Electric Generators, Independent Power Producers"/>
    <x v="6"/>
    <n v="196417"/>
  </r>
  <r>
    <x v="4"/>
    <x v="9"/>
    <s v="Electric Generators, Electric Utilities"/>
    <x v="0"/>
    <n v="141790885"/>
  </r>
  <r>
    <x v="4"/>
    <x v="9"/>
    <s v="Electric Generators, Electric Utilities"/>
    <x v="1"/>
    <n v="60770030"/>
  </r>
  <r>
    <x v="4"/>
    <x v="9"/>
    <s v="Electric Generators, Electric Utilities"/>
    <x v="2"/>
    <n v="274474"/>
  </r>
  <r>
    <x v="4"/>
    <x v="9"/>
    <s v="Electric Generators, Electric Utilities"/>
    <x v="3"/>
    <n v="20734235"/>
  </r>
  <r>
    <x v="4"/>
    <x v="9"/>
    <s v="Electric Generators, Electric Utilities"/>
    <x v="7"/>
    <n v="26682107"/>
  </r>
  <r>
    <x v="4"/>
    <x v="9"/>
    <s v="Electric Generators, Electric Utilities"/>
    <x v="4"/>
    <n v="33330039"/>
  </r>
  <r>
    <x v="4"/>
    <x v="9"/>
    <s v="Combined Heat and Power, Industrial Power"/>
    <x v="0"/>
    <n v="6830242"/>
  </r>
  <r>
    <x v="4"/>
    <x v="9"/>
    <s v="Combined Heat and Power, Industrial Power"/>
    <x v="1"/>
    <n v="332006"/>
  </r>
  <r>
    <x v="4"/>
    <x v="9"/>
    <s v="Combined Heat and Power, Industrial Power"/>
    <x v="3"/>
    <n v="1603879"/>
  </r>
  <r>
    <x v="4"/>
    <x v="9"/>
    <s v="Combined Heat and Power, Industrial Power"/>
    <x v="12"/>
    <n v="2051342"/>
  </r>
  <r>
    <x v="4"/>
    <x v="9"/>
    <s v="Combined Heat and Power, Industrial Power"/>
    <x v="8"/>
    <n v="107138"/>
  </r>
  <r>
    <x v="4"/>
    <x v="9"/>
    <s v="Combined Heat and Power, Industrial Power"/>
    <x v="9"/>
    <n v="30923"/>
  </r>
  <r>
    <x v="4"/>
    <x v="9"/>
    <s v="Combined Heat and Power, Industrial Power"/>
    <x v="4"/>
    <n v="488935"/>
  </r>
  <r>
    <x v="4"/>
    <x v="9"/>
    <s v="Combined Heat and Power, Industrial Power"/>
    <x v="6"/>
    <n v="2216019"/>
  </r>
  <r>
    <x v="4"/>
    <x v="9"/>
    <s v="Combined Heat and Power, Electric Power"/>
    <x v="0"/>
    <n v="5777238"/>
  </r>
  <r>
    <x v="4"/>
    <x v="9"/>
    <s v="Combined Heat and Power, Electric Power"/>
    <x v="1"/>
    <n v="2363072"/>
  </r>
  <r>
    <x v="4"/>
    <x v="9"/>
    <s v="Combined Heat and Power, Electric Power"/>
    <x v="3"/>
    <n v="3358356"/>
  </r>
  <r>
    <x v="4"/>
    <x v="9"/>
    <s v="Combined Heat and Power, Electric Power"/>
    <x v="4"/>
    <n v="55810"/>
  </r>
  <r>
    <x v="4"/>
    <x v="9"/>
    <s v="Combined Heat and Power, Commercial Power"/>
    <x v="0"/>
    <n v="197161"/>
  </r>
  <r>
    <x v="4"/>
    <x v="9"/>
    <s v="Combined Heat and Power, Commercial Power"/>
    <x v="3"/>
    <n v="163140"/>
  </r>
  <r>
    <x v="4"/>
    <x v="9"/>
    <s v="Combined Heat and Power, Commercial Power"/>
    <x v="8"/>
    <n v="31996"/>
  </r>
  <r>
    <x v="4"/>
    <x v="9"/>
    <s v="Combined Heat and Power, Commercial Power"/>
    <x v="4"/>
    <n v="2025"/>
  </r>
  <r>
    <x v="4"/>
    <x v="10"/>
    <s v="Total Electric Power Industry"/>
    <x v="0"/>
    <n v="104356409"/>
  </r>
  <r>
    <x v="4"/>
    <x v="10"/>
    <s v="Total Electric Power Industry"/>
    <x v="1"/>
    <n v="65698752"/>
  </r>
  <r>
    <x v="4"/>
    <x v="10"/>
    <s v="Total Electric Power Industry"/>
    <x v="2"/>
    <n v="4331435"/>
  </r>
  <r>
    <x v="4"/>
    <x v="10"/>
    <s v="Total Electric Power Industry"/>
    <x v="3"/>
    <n v="633951"/>
  </r>
  <r>
    <x v="4"/>
    <x v="10"/>
    <s v="Total Electric Power Industry"/>
    <x v="7"/>
    <n v="28927090"/>
  </r>
  <r>
    <x v="4"/>
    <x v="10"/>
    <s v="Total Electric Power Industry"/>
    <x v="8"/>
    <n v="58571"/>
  </r>
  <r>
    <x v="4"/>
    <x v="10"/>
    <s v="Total Electric Power Industry"/>
    <x v="4"/>
    <n v="998279"/>
  </r>
  <r>
    <x v="4"/>
    <x v="10"/>
    <s v="Total Electric Power Industry"/>
    <x v="10"/>
    <n v="578456"/>
  </r>
  <r>
    <x v="4"/>
    <x v="10"/>
    <s v="Total Electric Power Industry"/>
    <x v="6"/>
    <n v="3129875"/>
  </r>
  <r>
    <x v="4"/>
    <x v="10"/>
    <s v="Electric Generators, Independent Power Producers"/>
    <x v="0"/>
    <n v="53284"/>
  </r>
  <r>
    <x v="4"/>
    <x v="10"/>
    <s v="Electric Generators, Independent Power Producers"/>
    <x v="2"/>
    <n v="12590"/>
  </r>
  <r>
    <x v="4"/>
    <x v="10"/>
    <s v="Electric Generators, Independent Power Producers"/>
    <x v="3"/>
    <n v="27140"/>
  </r>
  <r>
    <x v="4"/>
    <x v="10"/>
    <s v="Electric Generators, Independent Power Producers"/>
    <x v="8"/>
    <n v="13353"/>
  </r>
  <r>
    <x v="4"/>
    <x v="10"/>
    <s v="Electric Generators, Independent Power Producers"/>
    <x v="4"/>
    <n v="201"/>
  </r>
  <r>
    <x v="4"/>
    <x v="10"/>
    <s v="Electric Generators, Electric Utilities"/>
    <x v="0"/>
    <n v="98752712"/>
  </r>
  <r>
    <x v="4"/>
    <x v="10"/>
    <s v="Electric Generators, Electric Utilities"/>
    <x v="1"/>
    <n v="64727519"/>
  </r>
  <r>
    <x v="4"/>
    <x v="10"/>
    <s v="Electric Generators, Electric Utilities"/>
    <x v="2"/>
    <n v="4278558"/>
  </r>
  <r>
    <x v="4"/>
    <x v="10"/>
    <s v="Electric Generators, Electric Utilities"/>
    <x v="3"/>
    <n v="79854"/>
  </r>
  <r>
    <x v="4"/>
    <x v="10"/>
    <s v="Electric Generators, Electric Utilities"/>
    <x v="7"/>
    <n v="28927090"/>
  </r>
  <r>
    <x v="4"/>
    <x v="10"/>
    <s v="Electric Generators, Electric Utilities"/>
    <x v="4"/>
    <n v="161235"/>
  </r>
  <r>
    <x v="4"/>
    <x v="10"/>
    <s v="Electric Generators, Electric Utilities"/>
    <x v="10"/>
    <n v="578456"/>
  </r>
  <r>
    <x v="4"/>
    <x v="10"/>
    <s v="Combined Heat and Power, Industrial Power"/>
    <x v="0"/>
    <n v="5546776"/>
  </r>
  <r>
    <x v="4"/>
    <x v="10"/>
    <s v="Combined Heat and Power, Industrial Power"/>
    <x v="1"/>
    <n v="971233"/>
  </r>
  <r>
    <x v="4"/>
    <x v="10"/>
    <s v="Combined Heat and Power, Industrial Power"/>
    <x v="2"/>
    <n v="40287"/>
  </r>
  <r>
    <x v="4"/>
    <x v="10"/>
    <s v="Combined Heat and Power, Industrial Power"/>
    <x v="3"/>
    <n v="526883"/>
  </r>
  <r>
    <x v="4"/>
    <x v="10"/>
    <s v="Combined Heat and Power, Industrial Power"/>
    <x v="8"/>
    <n v="45218"/>
  </r>
  <r>
    <x v="4"/>
    <x v="10"/>
    <s v="Combined Heat and Power, Industrial Power"/>
    <x v="4"/>
    <n v="833280"/>
  </r>
  <r>
    <x v="4"/>
    <x v="10"/>
    <s v="Combined Heat and Power, Industrial Power"/>
    <x v="6"/>
    <n v="3129875"/>
  </r>
  <r>
    <x v="4"/>
    <x v="10"/>
    <s v="Combined Heat and Power, Commercial Power"/>
    <x v="0"/>
    <n v="3637"/>
  </r>
  <r>
    <x v="4"/>
    <x v="10"/>
    <s v="Combined Heat and Power, Commercial Power"/>
    <x v="3"/>
    <n v="74"/>
  </r>
  <r>
    <x v="4"/>
    <x v="10"/>
    <s v="Combined Heat and Power, Commercial Power"/>
    <x v="4"/>
    <n v="3563"/>
  </r>
  <r>
    <x v="4"/>
    <x v="11"/>
    <s v="Total Electric Power Industry"/>
    <x v="0"/>
    <n v="10108902"/>
  </r>
  <r>
    <x v="4"/>
    <x v="11"/>
    <s v="Total Electric Power Industry"/>
    <x v="1"/>
    <n v="1326742"/>
  </r>
  <r>
    <x v="4"/>
    <x v="11"/>
    <s v="Total Electric Power Industry"/>
    <x v="11"/>
    <n v="185318"/>
  </r>
  <r>
    <x v="4"/>
    <x v="11"/>
    <s v="Total Electric Power Industry"/>
    <x v="2"/>
    <n v="139426"/>
  </r>
  <r>
    <x v="4"/>
    <x v="11"/>
    <s v="Total Electric Power Industry"/>
    <x v="8"/>
    <n v="730124"/>
  </r>
  <r>
    <x v="4"/>
    <x v="11"/>
    <s v="Total Electric Power Industry"/>
    <x v="9"/>
    <n v="65719"/>
  </r>
  <r>
    <x v="4"/>
    <x v="11"/>
    <s v="Total Electric Power Industry"/>
    <x v="4"/>
    <n v="7640913"/>
  </r>
  <r>
    <x v="4"/>
    <x v="11"/>
    <s v="Total Electric Power Industry"/>
    <x v="5"/>
    <n v="20350"/>
  </r>
  <r>
    <x v="4"/>
    <x v="11"/>
    <s v="Total Electric Power Industry"/>
    <x v="6"/>
    <n v="310"/>
  </r>
  <r>
    <x v="4"/>
    <x v="11"/>
    <s v="Electric Generators, Independent Power Producers"/>
    <x v="0"/>
    <n v="622693"/>
  </r>
  <r>
    <x v="4"/>
    <x v="11"/>
    <s v="Electric Generators, Independent Power Producers"/>
    <x v="11"/>
    <n v="185318"/>
  </r>
  <r>
    <x v="4"/>
    <x v="11"/>
    <s v="Electric Generators, Independent Power Producers"/>
    <x v="2"/>
    <n v="44078"/>
  </r>
  <r>
    <x v="4"/>
    <x v="11"/>
    <s v="Electric Generators, Independent Power Producers"/>
    <x v="8"/>
    <n v="372947"/>
  </r>
  <r>
    <x v="4"/>
    <x v="11"/>
    <s v="Electric Generators, Independent Power Producers"/>
    <x v="5"/>
    <n v="20350"/>
  </r>
  <r>
    <x v="4"/>
    <x v="11"/>
    <s v="Electric Generators, Electric Utilities"/>
    <x v="0"/>
    <n v="6055087"/>
  </r>
  <r>
    <x v="4"/>
    <x v="11"/>
    <s v="Electric Generators, Electric Utilities"/>
    <x v="2"/>
    <n v="18805"/>
  </r>
  <r>
    <x v="4"/>
    <x v="11"/>
    <s v="Electric Generators, Electric Utilities"/>
    <x v="4"/>
    <n v="6036282"/>
  </r>
  <r>
    <x v="4"/>
    <x v="11"/>
    <s v="Combined Heat and Power, Industrial Power"/>
    <x v="0"/>
    <n v="718119"/>
  </r>
  <r>
    <x v="4"/>
    <x v="11"/>
    <s v="Combined Heat and Power, Industrial Power"/>
    <x v="1"/>
    <n v="28009"/>
  </r>
  <r>
    <x v="4"/>
    <x v="11"/>
    <s v="Combined Heat and Power, Industrial Power"/>
    <x v="2"/>
    <n v="76543"/>
  </r>
  <r>
    <x v="4"/>
    <x v="11"/>
    <s v="Combined Heat and Power, Industrial Power"/>
    <x v="8"/>
    <n v="317213"/>
  </r>
  <r>
    <x v="4"/>
    <x v="11"/>
    <s v="Combined Heat and Power, Industrial Power"/>
    <x v="9"/>
    <n v="65719"/>
  </r>
  <r>
    <x v="4"/>
    <x v="11"/>
    <s v="Combined Heat and Power, Industrial Power"/>
    <x v="4"/>
    <n v="230325"/>
  </r>
  <r>
    <x v="4"/>
    <x v="11"/>
    <s v="Combined Heat and Power, Industrial Power"/>
    <x v="6"/>
    <n v="310"/>
  </r>
  <r>
    <x v="4"/>
    <x v="11"/>
    <s v="Combined Heat and Power, Electric Power"/>
    <x v="0"/>
    <n v="2713003"/>
  </r>
  <r>
    <x v="4"/>
    <x v="11"/>
    <s v="Combined Heat and Power, Electric Power"/>
    <x v="1"/>
    <n v="1298733"/>
  </r>
  <r>
    <x v="4"/>
    <x v="11"/>
    <s v="Combined Heat and Power, Electric Power"/>
    <x v="8"/>
    <n v="39964"/>
  </r>
  <r>
    <x v="4"/>
    <x v="11"/>
    <s v="Combined Heat and Power, Electric Power"/>
    <x v="4"/>
    <n v="1374306"/>
  </r>
  <r>
    <x v="4"/>
    <x v="12"/>
    <s v="Total Electric Power Industry"/>
    <x v="0"/>
    <n v="33167006"/>
  </r>
  <r>
    <x v="4"/>
    <x v="12"/>
    <s v="Total Electric Power Industry"/>
    <x v="1"/>
    <n v="27450892"/>
  </r>
  <r>
    <x v="4"/>
    <x v="12"/>
    <s v="Total Electric Power Industry"/>
    <x v="2"/>
    <n v="1071023"/>
  </r>
  <r>
    <x v="4"/>
    <x v="12"/>
    <s v="Total Electric Power Industry"/>
    <x v="3"/>
    <n v="376485"/>
  </r>
  <r>
    <x v="4"/>
    <x v="12"/>
    <s v="Total Electric Power Industry"/>
    <x v="7"/>
    <n v="4107383"/>
  </r>
  <r>
    <x v="4"/>
    <x v="12"/>
    <s v="Total Electric Power Industry"/>
    <x v="8"/>
    <n v="59285"/>
  </r>
  <r>
    <x v="4"/>
    <x v="12"/>
    <s v="Total Electric Power Industry"/>
    <x v="4"/>
    <n v="101790"/>
  </r>
  <r>
    <x v="4"/>
    <x v="12"/>
    <s v="Total Electric Power Industry"/>
    <x v="5"/>
    <n v="53"/>
  </r>
  <r>
    <x v="4"/>
    <x v="12"/>
    <s v="Total Electric Power Industry"/>
    <x v="6"/>
    <n v="95"/>
  </r>
  <r>
    <x v="4"/>
    <x v="12"/>
    <s v="Electric Generators, Independent Power Producers"/>
    <x v="0"/>
    <n v="24345"/>
  </r>
  <r>
    <x v="4"/>
    <x v="12"/>
    <s v="Electric Generators, Independent Power Producers"/>
    <x v="2"/>
    <n v="18153"/>
  </r>
  <r>
    <x v="4"/>
    <x v="12"/>
    <s v="Electric Generators, Independent Power Producers"/>
    <x v="3"/>
    <n v="4557"/>
  </r>
  <r>
    <x v="4"/>
    <x v="12"/>
    <s v="Electric Generators, Independent Power Producers"/>
    <x v="4"/>
    <n v="1635"/>
  </r>
  <r>
    <x v="4"/>
    <x v="12"/>
    <s v="Electric Generators, Electric Utilities"/>
    <x v="0"/>
    <n v="31963757"/>
  </r>
  <r>
    <x v="4"/>
    <x v="12"/>
    <s v="Electric Generators, Electric Utilities"/>
    <x v="1"/>
    <n v="26497930"/>
  </r>
  <r>
    <x v="4"/>
    <x v="12"/>
    <s v="Electric Generators, Electric Utilities"/>
    <x v="2"/>
    <n v="1052870"/>
  </r>
  <r>
    <x v="4"/>
    <x v="12"/>
    <s v="Electric Generators, Electric Utilities"/>
    <x v="3"/>
    <n v="199272"/>
  </r>
  <r>
    <x v="4"/>
    <x v="12"/>
    <s v="Electric Generators, Electric Utilities"/>
    <x v="7"/>
    <n v="4107383"/>
  </r>
  <r>
    <x v="4"/>
    <x v="12"/>
    <s v="Electric Generators, Electric Utilities"/>
    <x v="8"/>
    <n v="27958"/>
  </r>
  <r>
    <x v="4"/>
    <x v="12"/>
    <s v="Electric Generators, Electric Utilities"/>
    <x v="4"/>
    <n v="78291"/>
  </r>
  <r>
    <x v="4"/>
    <x v="12"/>
    <s v="Electric Generators, Electric Utilities"/>
    <x v="5"/>
    <n v="53"/>
  </r>
  <r>
    <x v="4"/>
    <x v="12"/>
    <s v="Combined Heat and Power, Industrial Power"/>
    <x v="0"/>
    <n v="962786"/>
  </r>
  <r>
    <x v="4"/>
    <x v="12"/>
    <s v="Combined Heat and Power, Industrial Power"/>
    <x v="1"/>
    <n v="829105"/>
  </r>
  <r>
    <x v="4"/>
    <x v="12"/>
    <s v="Combined Heat and Power, Industrial Power"/>
    <x v="3"/>
    <n v="131425"/>
  </r>
  <r>
    <x v="4"/>
    <x v="12"/>
    <s v="Combined Heat and Power, Industrial Power"/>
    <x v="8"/>
    <n v="646"/>
  </r>
  <r>
    <x v="4"/>
    <x v="12"/>
    <s v="Combined Heat and Power, Industrial Power"/>
    <x v="4"/>
    <n v="1515"/>
  </r>
  <r>
    <x v="4"/>
    <x v="12"/>
    <s v="Combined Heat and Power, Industrial Power"/>
    <x v="6"/>
    <n v="95"/>
  </r>
  <r>
    <x v="4"/>
    <x v="12"/>
    <s v="Combined Heat and Power, Electric Power"/>
    <x v="0"/>
    <n v="126536"/>
  </r>
  <r>
    <x v="4"/>
    <x v="12"/>
    <s v="Combined Heat and Power, Electric Power"/>
    <x v="1"/>
    <n v="81629"/>
  </r>
  <r>
    <x v="4"/>
    <x v="12"/>
    <s v="Combined Heat and Power, Electric Power"/>
    <x v="3"/>
    <n v="18794"/>
  </r>
  <r>
    <x v="4"/>
    <x v="12"/>
    <s v="Combined Heat and Power, Electric Power"/>
    <x v="8"/>
    <n v="26113"/>
  </r>
  <r>
    <x v="4"/>
    <x v="12"/>
    <s v="Combined Heat and Power, Commercial Power"/>
    <x v="0"/>
    <n v="89582"/>
  </r>
  <r>
    <x v="4"/>
    <x v="12"/>
    <s v="Combined Heat and Power, Commercial Power"/>
    <x v="1"/>
    <n v="42228"/>
  </r>
  <r>
    <x v="4"/>
    <x v="12"/>
    <s v="Combined Heat and Power, Commercial Power"/>
    <x v="3"/>
    <n v="22437"/>
  </r>
  <r>
    <x v="4"/>
    <x v="12"/>
    <s v="Combined Heat and Power, Commercial Power"/>
    <x v="8"/>
    <n v="4568"/>
  </r>
  <r>
    <x v="4"/>
    <x v="12"/>
    <s v="Combined Heat and Power, Commercial Power"/>
    <x v="4"/>
    <n v="20349"/>
  </r>
  <r>
    <x v="4"/>
    <x v="13"/>
    <s v="Total Electric Power Industry"/>
    <x v="0"/>
    <n v="8726797"/>
  </r>
  <r>
    <x v="4"/>
    <x v="13"/>
    <s v="Total Electric Power Industry"/>
    <x v="1"/>
    <n v="38038"/>
  </r>
  <r>
    <x v="4"/>
    <x v="13"/>
    <s v="Total Electric Power Industry"/>
    <x v="2"/>
    <n v="7916153"/>
  </r>
  <r>
    <x v="4"/>
    <x v="13"/>
    <s v="Total Electric Power Industry"/>
    <x v="3"/>
    <n v="159061"/>
  </r>
  <r>
    <x v="4"/>
    <x v="13"/>
    <s v="Total Electric Power Industry"/>
    <x v="12"/>
    <n v="85138"/>
  </r>
  <r>
    <x v="4"/>
    <x v="13"/>
    <s v="Total Electric Power Industry"/>
    <x v="8"/>
    <n v="12210"/>
  </r>
  <r>
    <x v="4"/>
    <x v="13"/>
    <s v="Total Electric Power Industry"/>
    <x v="4"/>
    <n v="65"/>
  </r>
  <r>
    <x v="4"/>
    <x v="13"/>
    <s v="Total Electric Power Industry"/>
    <x v="6"/>
    <n v="516132"/>
  </r>
  <r>
    <x v="4"/>
    <x v="13"/>
    <s v="Electric Generators, Independent Power Producers"/>
    <x v="0"/>
    <n v="612991"/>
  </r>
  <r>
    <x v="4"/>
    <x v="13"/>
    <s v="Electric Generators, Independent Power Producers"/>
    <x v="2"/>
    <n v="612991"/>
  </r>
  <r>
    <x v="4"/>
    <x v="13"/>
    <s v="Electric Generators, Electric Utilities"/>
    <x v="0"/>
    <n v="7303193"/>
  </r>
  <r>
    <x v="4"/>
    <x v="13"/>
    <s v="Electric Generators, Electric Utilities"/>
    <x v="2"/>
    <n v="7303162"/>
  </r>
  <r>
    <x v="4"/>
    <x v="13"/>
    <s v="Electric Generators, Electric Utilities"/>
    <x v="3"/>
    <n v="0"/>
  </r>
  <r>
    <x v="4"/>
    <x v="13"/>
    <s v="Electric Generators, Electric Utilities"/>
    <x v="4"/>
    <n v="31"/>
  </r>
  <r>
    <x v="4"/>
    <x v="13"/>
    <s v="Combined Heat and Power, Industrial Power"/>
    <x v="0"/>
    <n v="729354"/>
  </r>
  <r>
    <x v="4"/>
    <x v="13"/>
    <s v="Combined Heat and Power, Industrial Power"/>
    <x v="1"/>
    <n v="38038"/>
  </r>
  <r>
    <x v="4"/>
    <x v="13"/>
    <s v="Combined Heat and Power, Industrial Power"/>
    <x v="3"/>
    <n v="159061"/>
  </r>
  <r>
    <x v="4"/>
    <x v="13"/>
    <s v="Combined Heat and Power, Industrial Power"/>
    <x v="12"/>
    <n v="85138"/>
  </r>
  <r>
    <x v="4"/>
    <x v="13"/>
    <s v="Combined Heat and Power, Industrial Power"/>
    <x v="8"/>
    <n v="12210"/>
  </r>
  <r>
    <x v="4"/>
    <x v="13"/>
    <s v="Combined Heat and Power, Industrial Power"/>
    <x v="4"/>
    <n v="34"/>
  </r>
  <r>
    <x v="4"/>
    <x v="13"/>
    <s v="Combined Heat and Power, Industrial Power"/>
    <x v="6"/>
    <n v="434873"/>
  </r>
  <r>
    <x v="4"/>
    <x v="13"/>
    <s v="Combined Heat and Power, Electric Power"/>
    <x v="0"/>
    <n v="81259"/>
  </r>
  <r>
    <x v="4"/>
    <x v="13"/>
    <s v="Combined Heat and Power, Electric Power"/>
    <x v="6"/>
    <n v="81259"/>
  </r>
  <r>
    <x v="4"/>
    <x v="14"/>
    <s v="Total Electric Power Industry"/>
    <x v="0"/>
    <n v="141299295"/>
  </r>
  <r>
    <x v="4"/>
    <x v="14"/>
    <s v="Total Electric Power Industry"/>
    <x v="1"/>
    <n v="62998413"/>
  </r>
  <r>
    <x v="4"/>
    <x v="14"/>
    <s v="Total Electric Power Industry"/>
    <x v="2"/>
    <n v="120633"/>
  </r>
  <r>
    <x v="4"/>
    <x v="14"/>
    <s v="Total Electric Power Industry"/>
    <x v="3"/>
    <n v="3733054"/>
  </r>
  <r>
    <x v="4"/>
    <x v="14"/>
    <s v="Total Electric Power Industry"/>
    <x v="7"/>
    <n v="72654499"/>
  </r>
  <r>
    <x v="4"/>
    <x v="14"/>
    <s v="Total Electric Power Industry"/>
    <x v="8"/>
    <n v="289919"/>
  </r>
  <r>
    <x v="4"/>
    <x v="14"/>
    <s v="Total Electric Power Industry"/>
    <x v="9"/>
    <n v="259174"/>
  </r>
  <r>
    <x v="4"/>
    <x v="14"/>
    <s v="Total Electric Power Industry"/>
    <x v="4"/>
    <n v="1243456"/>
  </r>
  <r>
    <x v="4"/>
    <x v="14"/>
    <s v="Total Electric Power Industry"/>
    <x v="6"/>
    <n v="147"/>
  </r>
  <r>
    <x v="4"/>
    <x v="14"/>
    <s v="Electric Generators, Independent Power Producers"/>
    <x v="0"/>
    <n v="286074"/>
  </r>
  <r>
    <x v="4"/>
    <x v="14"/>
    <s v="Electric Generators, Independent Power Producers"/>
    <x v="2"/>
    <n v="69739"/>
  </r>
  <r>
    <x v="4"/>
    <x v="14"/>
    <s v="Electric Generators, Independent Power Producers"/>
    <x v="3"/>
    <n v="3552"/>
  </r>
  <r>
    <x v="4"/>
    <x v="14"/>
    <s v="Electric Generators, Independent Power Producers"/>
    <x v="8"/>
    <n v="212708"/>
  </r>
  <r>
    <x v="4"/>
    <x v="14"/>
    <s v="Electric Generators, Independent Power Producers"/>
    <x v="4"/>
    <n v="75"/>
  </r>
  <r>
    <x v="4"/>
    <x v="14"/>
    <s v="Electric Generators, Electric Utilities"/>
    <x v="0"/>
    <n v="137745525"/>
  </r>
  <r>
    <x v="4"/>
    <x v="14"/>
    <s v="Electric Generators, Electric Utilities"/>
    <x v="1"/>
    <n v="61213625"/>
  </r>
  <r>
    <x v="4"/>
    <x v="14"/>
    <s v="Electric Generators, Electric Utilities"/>
    <x v="2"/>
    <n v="45022"/>
  </r>
  <r>
    <x v="4"/>
    <x v="14"/>
    <s v="Electric Generators, Electric Utilities"/>
    <x v="3"/>
    <n v="2624471"/>
  </r>
  <r>
    <x v="4"/>
    <x v="14"/>
    <s v="Electric Generators, Electric Utilities"/>
    <x v="7"/>
    <n v="72654499"/>
  </r>
  <r>
    <x v="4"/>
    <x v="14"/>
    <s v="Electric Generators, Electric Utilities"/>
    <x v="4"/>
    <n v="1207908"/>
  </r>
  <r>
    <x v="4"/>
    <x v="14"/>
    <s v="Combined Heat and Power, Industrial Power"/>
    <x v="0"/>
    <n v="2917755"/>
  </r>
  <r>
    <x v="4"/>
    <x v="14"/>
    <s v="Combined Heat and Power, Industrial Power"/>
    <x v="1"/>
    <n v="1749744"/>
  </r>
  <r>
    <x v="4"/>
    <x v="14"/>
    <s v="Combined Heat and Power, Industrial Power"/>
    <x v="3"/>
    <n v="839587"/>
  </r>
  <r>
    <x v="4"/>
    <x v="14"/>
    <s v="Combined Heat and Power, Industrial Power"/>
    <x v="8"/>
    <n v="37881"/>
  </r>
  <r>
    <x v="4"/>
    <x v="14"/>
    <s v="Combined Heat and Power, Industrial Power"/>
    <x v="9"/>
    <n v="259174"/>
  </r>
  <r>
    <x v="4"/>
    <x v="14"/>
    <s v="Combined Heat and Power, Industrial Power"/>
    <x v="4"/>
    <n v="31222"/>
  </r>
  <r>
    <x v="4"/>
    <x v="14"/>
    <s v="Combined Heat and Power, Industrial Power"/>
    <x v="6"/>
    <n v="147"/>
  </r>
  <r>
    <x v="4"/>
    <x v="14"/>
    <s v="Combined Heat and Power, Electric Power"/>
    <x v="0"/>
    <n v="42545"/>
  </r>
  <r>
    <x v="4"/>
    <x v="14"/>
    <s v="Combined Heat and Power, Electric Power"/>
    <x v="3"/>
    <n v="10558"/>
  </r>
  <r>
    <x v="4"/>
    <x v="14"/>
    <s v="Combined Heat and Power, Electric Power"/>
    <x v="8"/>
    <n v="31987"/>
  </r>
  <r>
    <x v="4"/>
    <x v="14"/>
    <s v="Combined Heat and Power, Commercial Power"/>
    <x v="0"/>
    <n v="307396"/>
  </r>
  <r>
    <x v="4"/>
    <x v="14"/>
    <s v="Combined Heat and Power, Commercial Power"/>
    <x v="1"/>
    <n v="35044"/>
  </r>
  <r>
    <x v="4"/>
    <x v="14"/>
    <s v="Combined Heat and Power, Commercial Power"/>
    <x v="2"/>
    <n v="5872"/>
  </r>
  <r>
    <x v="4"/>
    <x v="14"/>
    <s v="Combined Heat and Power, Commercial Power"/>
    <x v="3"/>
    <n v="254886"/>
  </r>
  <r>
    <x v="4"/>
    <x v="14"/>
    <s v="Combined Heat and Power, Commercial Power"/>
    <x v="8"/>
    <n v="7343"/>
  </r>
  <r>
    <x v="4"/>
    <x v="14"/>
    <s v="Combined Heat and Power, Commercial Power"/>
    <x v="4"/>
    <n v="4251"/>
  </r>
  <r>
    <x v="4"/>
    <x v="15"/>
    <s v="Total Electric Power Industry"/>
    <x v="0"/>
    <n v="107182057"/>
  </r>
  <r>
    <x v="4"/>
    <x v="15"/>
    <s v="Total Electric Power Industry"/>
    <x v="1"/>
    <n v="102921426"/>
  </r>
  <r>
    <x v="4"/>
    <x v="15"/>
    <s v="Total Electric Power Industry"/>
    <x v="2"/>
    <n v="406867"/>
  </r>
  <r>
    <x v="4"/>
    <x v="15"/>
    <s v="Total Electric Power Industry"/>
    <x v="3"/>
    <n v="1509171"/>
  </r>
  <r>
    <x v="4"/>
    <x v="15"/>
    <s v="Total Electric Power Industry"/>
    <x v="8"/>
    <n v="36993"/>
  </r>
  <r>
    <x v="4"/>
    <x v="15"/>
    <s v="Total Electric Power Industry"/>
    <x v="9"/>
    <n v="1941518"/>
  </r>
  <r>
    <x v="4"/>
    <x v="15"/>
    <s v="Total Electric Power Industry"/>
    <x v="4"/>
    <n v="366082"/>
  </r>
  <r>
    <x v="4"/>
    <x v="15"/>
    <s v="Electric Generators, Electric Utilities"/>
    <x v="0"/>
    <n v="103485409"/>
  </r>
  <r>
    <x v="4"/>
    <x v="15"/>
    <s v="Electric Generators, Electric Utilities"/>
    <x v="1"/>
    <n v="102043025"/>
  </r>
  <r>
    <x v="4"/>
    <x v="15"/>
    <s v="Electric Generators, Electric Utilities"/>
    <x v="2"/>
    <n v="406867"/>
  </r>
  <r>
    <x v="4"/>
    <x v="15"/>
    <s v="Electric Generators, Electric Utilities"/>
    <x v="3"/>
    <n v="826138"/>
  </r>
  <r>
    <x v="4"/>
    <x v="15"/>
    <s v="Electric Generators, Electric Utilities"/>
    <x v="4"/>
    <n v="209379"/>
  </r>
  <r>
    <x v="4"/>
    <x v="15"/>
    <s v="Combined Heat and Power, Industrial Power"/>
    <x v="0"/>
    <n v="3531394"/>
  </r>
  <r>
    <x v="4"/>
    <x v="15"/>
    <s v="Combined Heat and Power, Industrial Power"/>
    <x v="1"/>
    <n v="785406"/>
  </r>
  <r>
    <x v="4"/>
    <x v="15"/>
    <s v="Combined Heat and Power, Industrial Power"/>
    <x v="3"/>
    <n v="651020"/>
  </r>
  <r>
    <x v="4"/>
    <x v="15"/>
    <s v="Combined Heat and Power, Industrial Power"/>
    <x v="9"/>
    <n v="1941518"/>
  </r>
  <r>
    <x v="4"/>
    <x v="15"/>
    <s v="Combined Heat and Power, Industrial Power"/>
    <x v="4"/>
    <n v="153450"/>
  </r>
  <r>
    <x v="4"/>
    <x v="15"/>
    <s v="Combined Heat and Power, Commercial Power"/>
    <x v="0"/>
    <n v="165254"/>
  </r>
  <r>
    <x v="4"/>
    <x v="15"/>
    <s v="Combined Heat and Power, Commercial Power"/>
    <x v="1"/>
    <n v="92995"/>
  </r>
  <r>
    <x v="4"/>
    <x v="15"/>
    <s v="Combined Heat and Power, Commercial Power"/>
    <x v="3"/>
    <n v="32013"/>
  </r>
  <r>
    <x v="4"/>
    <x v="15"/>
    <s v="Combined Heat and Power, Commercial Power"/>
    <x v="8"/>
    <n v="36993"/>
  </r>
  <r>
    <x v="4"/>
    <x v="15"/>
    <s v="Combined Heat and Power, Commercial Power"/>
    <x v="4"/>
    <n v="3253"/>
  </r>
  <r>
    <x v="4"/>
    <x v="16"/>
    <s v="Total Electric Power Industry"/>
    <x v="0"/>
    <n v="37619869"/>
  </r>
  <r>
    <x v="4"/>
    <x v="16"/>
    <s v="Total Electric Power Industry"/>
    <x v="1"/>
    <n v="26488755"/>
  </r>
  <r>
    <x v="4"/>
    <x v="16"/>
    <s v="Total Electric Power Industry"/>
    <x v="2"/>
    <n v="9854"/>
  </r>
  <r>
    <x v="4"/>
    <x v="16"/>
    <s v="Total Electric Power Industry"/>
    <x v="3"/>
    <n v="2503605"/>
  </r>
  <r>
    <x v="4"/>
    <x v="16"/>
    <s v="Total Electric Power Industry"/>
    <x v="7"/>
    <n v="8529002"/>
  </r>
  <r>
    <x v="4"/>
    <x v="16"/>
    <s v="Total Electric Power Industry"/>
    <x v="4"/>
    <n v="88598"/>
  </r>
  <r>
    <x v="4"/>
    <x v="16"/>
    <s v="Total Electric Power Industry"/>
    <x v="5"/>
    <n v="55"/>
  </r>
  <r>
    <x v="4"/>
    <x v="16"/>
    <s v="Electric Generators, Independent Power Producers"/>
    <x v="0"/>
    <n v="9854"/>
  </r>
  <r>
    <x v="4"/>
    <x v="16"/>
    <s v="Electric Generators, Independent Power Producers"/>
    <x v="2"/>
    <n v="9854"/>
  </r>
  <r>
    <x v="4"/>
    <x v="16"/>
    <s v="Electric Generators, Electric Utilities"/>
    <x v="0"/>
    <n v="37283871"/>
  </r>
  <r>
    <x v="4"/>
    <x v="16"/>
    <s v="Electric Generators, Electric Utilities"/>
    <x v="1"/>
    <n v="26488755"/>
  </r>
  <r>
    <x v="4"/>
    <x v="16"/>
    <s v="Electric Generators, Electric Utilities"/>
    <x v="3"/>
    <n v="2183250"/>
  </r>
  <r>
    <x v="4"/>
    <x v="16"/>
    <s v="Electric Generators, Electric Utilities"/>
    <x v="7"/>
    <n v="8529002"/>
  </r>
  <r>
    <x v="4"/>
    <x v="16"/>
    <s v="Electric Generators, Electric Utilities"/>
    <x v="4"/>
    <n v="82809"/>
  </r>
  <r>
    <x v="4"/>
    <x v="16"/>
    <s v="Electric Generators, Electric Utilities"/>
    <x v="5"/>
    <n v="55"/>
  </r>
  <r>
    <x v="4"/>
    <x v="16"/>
    <s v="Combined Heat and Power, Industrial Power"/>
    <x v="0"/>
    <n v="321224"/>
  </r>
  <r>
    <x v="4"/>
    <x v="16"/>
    <s v="Combined Heat and Power, Industrial Power"/>
    <x v="3"/>
    <n v="315435"/>
  </r>
  <r>
    <x v="4"/>
    <x v="16"/>
    <s v="Combined Heat and Power, Industrial Power"/>
    <x v="4"/>
    <n v="5789"/>
  </r>
  <r>
    <x v="4"/>
    <x v="16"/>
    <s v="Combined Heat and Power, Commercial Power"/>
    <x v="0"/>
    <n v="4920"/>
  </r>
  <r>
    <x v="4"/>
    <x v="16"/>
    <s v="Combined Heat and Power, Commercial Power"/>
    <x v="3"/>
    <n v="4920"/>
  </r>
  <r>
    <x v="4"/>
    <x v="17"/>
    <s v="Total Electric Power Industry"/>
    <x v="0"/>
    <n v="84097034"/>
  </r>
  <r>
    <x v="4"/>
    <x v="17"/>
    <s v="Total Electric Power Industry"/>
    <x v="1"/>
    <n v="79897442"/>
  </r>
  <r>
    <x v="4"/>
    <x v="17"/>
    <s v="Total Electric Power Industry"/>
    <x v="2"/>
    <n v="4013590"/>
  </r>
  <r>
    <x v="4"/>
    <x v="17"/>
    <s v="Total Electric Power Industry"/>
    <x v="3"/>
    <n v="31183"/>
  </r>
  <r>
    <x v="4"/>
    <x v="17"/>
    <s v="Total Electric Power Industry"/>
    <x v="4"/>
    <n v="154819"/>
  </r>
  <r>
    <x v="4"/>
    <x v="17"/>
    <s v="Electric Generators, Electric Utilities"/>
    <x v="0"/>
    <n v="84097034"/>
  </r>
  <r>
    <x v="4"/>
    <x v="17"/>
    <s v="Electric Generators, Electric Utilities"/>
    <x v="1"/>
    <n v="79897442"/>
  </r>
  <r>
    <x v="4"/>
    <x v="17"/>
    <s v="Electric Generators, Electric Utilities"/>
    <x v="2"/>
    <n v="4013590"/>
  </r>
  <r>
    <x v="4"/>
    <x v="17"/>
    <s v="Electric Generators, Electric Utilities"/>
    <x v="3"/>
    <n v="31183"/>
  </r>
  <r>
    <x v="4"/>
    <x v="17"/>
    <s v="Electric Generators, Electric Utilities"/>
    <x v="4"/>
    <n v="154819"/>
  </r>
  <r>
    <x v="4"/>
    <x v="18"/>
    <s v="Total Electric Power Industry"/>
    <x v="0"/>
    <n v="79385961"/>
  </r>
  <r>
    <x v="4"/>
    <x v="18"/>
    <s v="Total Electric Power Industry"/>
    <x v="1"/>
    <n v="20163412"/>
  </r>
  <r>
    <x v="4"/>
    <x v="18"/>
    <s v="Total Electric Power Industry"/>
    <x v="2"/>
    <n v="971978"/>
  </r>
  <r>
    <x v="4"/>
    <x v="18"/>
    <s v="Total Electric Power Industry"/>
    <x v="3"/>
    <n v="38511585"/>
  </r>
  <r>
    <x v="4"/>
    <x v="18"/>
    <s v="Total Electric Power Industry"/>
    <x v="7"/>
    <n v="12778635"/>
  </r>
  <r>
    <x v="4"/>
    <x v="18"/>
    <s v="Total Electric Power Industry"/>
    <x v="12"/>
    <n v="677566"/>
  </r>
  <r>
    <x v="4"/>
    <x v="18"/>
    <s v="Total Electric Power Industry"/>
    <x v="8"/>
    <n v="92863"/>
  </r>
  <r>
    <x v="4"/>
    <x v="18"/>
    <s v="Total Electric Power Industry"/>
    <x v="9"/>
    <n v="1335124"/>
  </r>
  <r>
    <x v="4"/>
    <x v="18"/>
    <s v="Total Electric Power Industry"/>
    <x v="4"/>
    <n v="2320393"/>
  </r>
  <r>
    <x v="4"/>
    <x v="18"/>
    <s v="Total Electric Power Industry"/>
    <x v="6"/>
    <n v="2534405"/>
  </r>
  <r>
    <x v="4"/>
    <x v="18"/>
    <s v="Electric Generators, Independent Power Producers"/>
    <x v="0"/>
    <n v="1169373"/>
  </r>
  <r>
    <x v="4"/>
    <x v="18"/>
    <s v="Electric Generators, Independent Power Producers"/>
    <x v="2"/>
    <n v="971978"/>
  </r>
  <r>
    <x v="4"/>
    <x v="18"/>
    <s v="Electric Generators, Independent Power Producers"/>
    <x v="3"/>
    <n v="98412"/>
  </r>
  <r>
    <x v="4"/>
    <x v="18"/>
    <s v="Electric Generators, Independent Power Producers"/>
    <x v="8"/>
    <n v="80714"/>
  </r>
  <r>
    <x v="4"/>
    <x v="18"/>
    <s v="Electric Generators, Independent Power Producers"/>
    <x v="4"/>
    <n v="18269"/>
  </r>
  <r>
    <x v="4"/>
    <x v="18"/>
    <s v="Electric Generators, Electric Utilities"/>
    <x v="0"/>
    <n v="60169910"/>
  </r>
  <r>
    <x v="4"/>
    <x v="18"/>
    <s v="Electric Generators, Electric Utilities"/>
    <x v="1"/>
    <n v="20125159"/>
  </r>
  <r>
    <x v="4"/>
    <x v="18"/>
    <s v="Electric Generators, Electric Utilities"/>
    <x v="3"/>
    <n v="26586147"/>
  </r>
  <r>
    <x v="4"/>
    <x v="18"/>
    <s v="Electric Generators, Electric Utilities"/>
    <x v="7"/>
    <n v="12778635"/>
  </r>
  <r>
    <x v="4"/>
    <x v="18"/>
    <s v="Electric Generators, Electric Utilities"/>
    <x v="4"/>
    <n v="679969"/>
  </r>
  <r>
    <x v="4"/>
    <x v="18"/>
    <s v="Combined Heat and Power, Industrial Power"/>
    <x v="0"/>
    <n v="16414611"/>
  </r>
  <r>
    <x v="4"/>
    <x v="18"/>
    <s v="Combined Heat and Power, Industrial Power"/>
    <x v="1"/>
    <n v="38253"/>
  </r>
  <r>
    <x v="4"/>
    <x v="18"/>
    <s v="Combined Heat and Power, Industrial Power"/>
    <x v="3"/>
    <n v="11800776"/>
  </r>
  <r>
    <x v="4"/>
    <x v="18"/>
    <s v="Combined Heat and Power, Industrial Power"/>
    <x v="12"/>
    <n v="677566"/>
  </r>
  <r>
    <x v="4"/>
    <x v="18"/>
    <s v="Combined Heat and Power, Industrial Power"/>
    <x v="8"/>
    <n v="12149"/>
  </r>
  <r>
    <x v="4"/>
    <x v="18"/>
    <s v="Combined Heat and Power, Industrial Power"/>
    <x v="9"/>
    <n v="1335124"/>
  </r>
  <r>
    <x v="4"/>
    <x v="18"/>
    <s v="Combined Heat and Power, Industrial Power"/>
    <x v="4"/>
    <n v="16338"/>
  </r>
  <r>
    <x v="4"/>
    <x v="18"/>
    <s v="Combined Heat and Power, Industrial Power"/>
    <x v="6"/>
    <n v="2534405"/>
  </r>
  <r>
    <x v="4"/>
    <x v="18"/>
    <s v="Combined Heat and Power, Electric Power"/>
    <x v="0"/>
    <n v="1605817"/>
  </r>
  <r>
    <x v="4"/>
    <x v="18"/>
    <s v="Combined Heat and Power, Electric Power"/>
    <x v="4"/>
    <n v="1605817"/>
  </r>
  <r>
    <x v="4"/>
    <x v="18"/>
    <s v="Combined Heat and Power, Commercial Power"/>
    <x v="0"/>
    <n v="26250"/>
  </r>
  <r>
    <x v="4"/>
    <x v="18"/>
    <s v="Combined Heat and Power, Commercial Power"/>
    <x v="3"/>
    <n v="26250"/>
  </r>
  <r>
    <x v="4"/>
    <x v="19"/>
    <s v="Total Electric Power Industry"/>
    <x v="0"/>
    <n v="37939064"/>
  </r>
  <r>
    <x v="4"/>
    <x v="19"/>
    <s v="Total Electric Power Industry"/>
    <x v="1"/>
    <n v="10320147"/>
  </r>
  <r>
    <x v="4"/>
    <x v="19"/>
    <s v="Total Electric Power Industry"/>
    <x v="2"/>
    <n v="937917"/>
  </r>
  <r>
    <x v="4"/>
    <x v="19"/>
    <s v="Total Electric Power Industry"/>
    <x v="3"/>
    <n v="11319676"/>
  </r>
  <r>
    <x v="4"/>
    <x v="19"/>
    <s v="Total Electric Power Industry"/>
    <x v="7"/>
    <n v="3858569"/>
  </r>
  <r>
    <x v="4"/>
    <x v="19"/>
    <s v="Total Electric Power Industry"/>
    <x v="8"/>
    <n v="1933887"/>
  </r>
  <r>
    <x v="4"/>
    <x v="19"/>
    <s v="Total Electric Power Industry"/>
    <x v="4"/>
    <n v="10098641"/>
  </r>
  <r>
    <x v="4"/>
    <x v="19"/>
    <s v="Total Electric Power Industry"/>
    <x v="10"/>
    <n v="-646096"/>
  </r>
  <r>
    <x v="4"/>
    <x v="19"/>
    <s v="Total Electric Power Industry"/>
    <x v="5"/>
    <n v="0"/>
  </r>
  <r>
    <x v="4"/>
    <x v="19"/>
    <s v="Total Electric Power Industry"/>
    <x v="6"/>
    <n v="116323"/>
  </r>
  <r>
    <x v="4"/>
    <x v="19"/>
    <s v="Electric Generators, Independent Power Producers"/>
    <x v="0"/>
    <n v="2937976"/>
  </r>
  <r>
    <x v="4"/>
    <x v="19"/>
    <s v="Electric Generators, Independent Power Producers"/>
    <x v="2"/>
    <n v="184473"/>
  </r>
  <r>
    <x v="4"/>
    <x v="19"/>
    <s v="Electric Generators, Independent Power Producers"/>
    <x v="3"/>
    <n v="873244"/>
  </r>
  <r>
    <x v="4"/>
    <x v="19"/>
    <s v="Electric Generators, Independent Power Producers"/>
    <x v="8"/>
    <n v="1750551"/>
  </r>
  <r>
    <x v="4"/>
    <x v="19"/>
    <s v="Electric Generators, Independent Power Producers"/>
    <x v="4"/>
    <n v="13651"/>
  </r>
  <r>
    <x v="4"/>
    <x v="19"/>
    <s v="Electric Generators, Independent Power Producers"/>
    <x v="6"/>
    <n v="116057"/>
  </r>
  <r>
    <x v="4"/>
    <x v="19"/>
    <s v="Electric Generators, Electric Utilities"/>
    <x v="0"/>
    <n v="27466049"/>
  </r>
  <r>
    <x v="4"/>
    <x v="19"/>
    <s v="Electric Generators, Electric Utilities"/>
    <x v="1"/>
    <n v="10209727"/>
  </r>
  <r>
    <x v="4"/>
    <x v="19"/>
    <s v="Electric Generators, Electric Utilities"/>
    <x v="2"/>
    <n v="746370"/>
  </r>
  <r>
    <x v="4"/>
    <x v="19"/>
    <s v="Electric Generators, Electric Utilities"/>
    <x v="3"/>
    <n v="3736177"/>
  </r>
  <r>
    <x v="4"/>
    <x v="19"/>
    <s v="Electric Generators, Electric Utilities"/>
    <x v="7"/>
    <n v="3858569"/>
  </r>
  <r>
    <x v="4"/>
    <x v="19"/>
    <s v="Electric Generators, Electric Utilities"/>
    <x v="4"/>
    <n v="9561302"/>
  </r>
  <r>
    <x v="4"/>
    <x v="19"/>
    <s v="Electric Generators, Electric Utilities"/>
    <x v="10"/>
    <n v="-646096"/>
  </r>
  <r>
    <x v="4"/>
    <x v="19"/>
    <s v="Electric Generators, Electric Utilities"/>
    <x v="5"/>
    <n v="0"/>
  </r>
  <r>
    <x v="4"/>
    <x v="19"/>
    <s v="Combined Heat and Power, Industrial Power"/>
    <x v="0"/>
    <n v="572296"/>
  </r>
  <r>
    <x v="4"/>
    <x v="19"/>
    <s v="Combined Heat and Power, Industrial Power"/>
    <x v="1"/>
    <n v="37104"/>
  </r>
  <r>
    <x v="4"/>
    <x v="19"/>
    <s v="Combined Heat and Power, Industrial Power"/>
    <x v="2"/>
    <n v="7074"/>
  </r>
  <r>
    <x v="4"/>
    <x v="19"/>
    <s v="Combined Heat and Power, Industrial Power"/>
    <x v="3"/>
    <n v="152514"/>
  </r>
  <r>
    <x v="4"/>
    <x v="19"/>
    <s v="Combined Heat and Power, Industrial Power"/>
    <x v="8"/>
    <n v="103793"/>
  </r>
  <r>
    <x v="4"/>
    <x v="19"/>
    <s v="Combined Heat and Power, Industrial Power"/>
    <x v="4"/>
    <n v="271811"/>
  </r>
  <r>
    <x v="4"/>
    <x v="19"/>
    <s v="Combined Heat and Power, Electric Power"/>
    <x v="0"/>
    <n v="6648304"/>
  </r>
  <r>
    <x v="4"/>
    <x v="19"/>
    <s v="Combined Heat and Power, Electric Power"/>
    <x v="1"/>
    <n v="73316"/>
  </r>
  <r>
    <x v="4"/>
    <x v="19"/>
    <s v="Combined Heat and Power, Electric Power"/>
    <x v="3"/>
    <n v="6411861"/>
  </r>
  <r>
    <x v="4"/>
    <x v="19"/>
    <s v="Combined Heat and Power, Electric Power"/>
    <x v="8"/>
    <n v="62193"/>
  </r>
  <r>
    <x v="4"/>
    <x v="19"/>
    <s v="Combined Heat and Power, Electric Power"/>
    <x v="4"/>
    <n v="100668"/>
  </r>
  <r>
    <x v="4"/>
    <x v="19"/>
    <s v="Combined Heat and Power, Electric Power"/>
    <x v="6"/>
    <n v="266"/>
  </r>
  <r>
    <x v="4"/>
    <x v="19"/>
    <s v="Combined Heat and Power, Commercial Power"/>
    <x v="0"/>
    <n v="314439"/>
  </r>
  <r>
    <x v="4"/>
    <x v="19"/>
    <s v="Combined Heat and Power, Commercial Power"/>
    <x v="3"/>
    <n v="145880"/>
  </r>
  <r>
    <x v="4"/>
    <x v="19"/>
    <s v="Combined Heat and Power, Commercial Power"/>
    <x v="8"/>
    <n v="17350"/>
  </r>
  <r>
    <x v="4"/>
    <x v="19"/>
    <s v="Combined Heat and Power, Commercial Power"/>
    <x v="4"/>
    <n v="151209"/>
  </r>
  <r>
    <x v="4"/>
    <x v="20"/>
    <s v="Total Electric Power Industry"/>
    <x v="0"/>
    <n v="45339618"/>
  </r>
  <r>
    <x v="4"/>
    <x v="20"/>
    <s v="Total Electric Power Industry"/>
    <x v="1"/>
    <n v="25624758"/>
  </r>
  <r>
    <x v="4"/>
    <x v="20"/>
    <s v="Total Electric Power Industry"/>
    <x v="2"/>
    <n v="2009536"/>
  </r>
  <r>
    <x v="4"/>
    <x v="20"/>
    <s v="Total Electric Power Industry"/>
    <x v="3"/>
    <n v="1172042"/>
  </r>
  <r>
    <x v="4"/>
    <x v="20"/>
    <s v="Total Electric Power Industry"/>
    <x v="7"/>
    <n v="11235408"/>
  </r>
  <r>
    <x v="4"/>
    <x v="20"/>
    <s v="Total Electric Power Industry"/>
    <x v="8"/>
    <n v="352064"/>
  </r>
  <r>
    <x v="4"/>
    <x v="20"/>
    <s v="Total Electric Power Industry"/>
    <x v="9"/>
    <n v="501762"/>
  </r>
  <r>
    <x v="4"/>
    <x v="20"/>
    <s v="Total Electric Power Industry"/>
    <x v="4"/>
    <n v="4275226"/>
  </r>
  <r>
    <x v="4"/>
    <x v="20"/>
    <s v="Total Electric Power Industry"/>
    <x v="6"/>
    <n v="168822"/>
  </r>
  <r>
    <x v="4"/>
    <x v="20"/>
    <s v="Electric Generators, Independent Power Producers"/>
    <x v="0"/>
    <n v="20192"/>
  </r>
  <r>
    <x v="4"/>
    <x v="20"/>
    <s v="Electric Generators, Independent Power Producers"/>
    <x v="8"/>
    <n v="20192"/>
  </r>
  <r>
    <x v="4"/>
    <x v="20"/>
    <s v="Electric Generators, Electric Utilities"/>
    <x v="0"/>
    <n v="43765565"/>
  </r>
  <r>
    <x v="4"/>
    <x v="20"/>
    <s v="Electric Generators, Electric Utilities"/>
    <x v="1"/>
    <n v="25394481"/>
  </r>
  <r>
    <x v="4"/>
    <x v="20"/>
    <s v="Electric Generators, Electric Utilities"/>
    <x v="2"/>
    <n v="2009536"/>
  </r>
  <r>
    <x v="4"/>
    <x v="20"/>
    <s v="Electric Generators, Electric Utilities"/>
    <x v="3"/>
    <n v="992607"/>
  </r>
  <r>
    <x v="4"/>
    <x v="20"/>
    <s v="Electric Generators, Electric Utilities"/>
    <x v="7"/>
    <n v="11235408"/>
  </r>
  <r>
    <x v="4"/>
    <x v="20"/>
    <s v="Electric Generators, Electric Utilities"/>
    <x v="4"/>
    <n v="4133533"/>
  </r>
  <r>
    <x v="4"/>
    <x v="20"/>
    <s v="Combined Heat and Power, Industrial Power"/>
    <x v="0"/>
    <n v="460930"/>
  </r>
  <r>
    <x v="4"/>
    <x v="20"/>
    <s v="Combined Heat and Power, Industrial Power"/>
    <x v="1"/>
    <n v="230277"/>
  </r>
  <r>
    <x v="4"/>
    <x v="20"/>
    <s v="Combined Heat and Power, Industrial Power"/>
    <x v="3"/>
    <n v="66266"/>
  </r>
  <r>
    <x v="4"/>
    <x v="20"/>
    <s v="Combined Heat and Power, Industrial Power"/>
    <x v="4"/>
    <n v="10376"/>
  </r>
  <r>
    <x v="4"/>
    <x v="20"/>
    <s v="Combined Heat and Power, Industrial Power"/>
    <x v="6"/>
    <n v="154011"/>
  </r>
  <r>
    <x v="4"/>
    <x v="20"/>
    <s v="Combined Heat and Power, Electric Power"/>
    <x v="0"/>
    <n v="1066554"/>
  </r>
  <r>
    <x v="4"/>
    <x v="20"/>
    <s v="Combined Heat and Power, Electric Power"/>
    <x v="3"/>
    <n v="113169"/>
  </r>
  <r>
    <x v="4"/>
    <x v="20"/>
    <s v="Combined Heat and Power, Electric Power"/>
    <x v="8"/>
    <n v="320491"/>
  </r>
  <r>
    <x v="4"/>
    <x v="20"/>
    <s v="Combined Heat and Power, Electric Power"/>
    <x v="9"/>
    <n v="501762"/>
  </r>
  <r>
    <x v="4"/>
    <x v="20"/>
    <s v="Combined Heat and Power, Electric Power"/>
    <x v="4"/>
    <n v="131132"/>
  </r>
  <r>
    <x v="4"/>
    <x v="20"/>
    <s v="Combined Heat and Power, Commercial Power"/>
    <x v="0"/>
    <n v="26377"/>
  </r>
  <r>
    <x v="4"/>
    <x v="20"/>
    <s v="Combined Heat and Power, Commercial Power"/>
    <x v="8"/>
    <n v="11381"/>
  </r>
  <r>
    <x v="4"/>
    <x v="20"/>
    <s v="Combined Heat and Power, Commercial Power"/>
    <x v="4"/>
    <n v="185"/>
  </r>
  <r>
    <x v="4"/>
    <x v="20"/>
    <s v="Combined Heat and Power, Commercial Power"/>
    <x v="6"/>
    <n v="14811"/>
  </r>
  <r>
    <x v="4"/>
    <x v="21"/>
    <s v="Total Electric Power Industry"/>
    <x v="0"/>
    <n v="16456150"/>
  </r>
  <r>
    <x v="4"/>
    <x v="21"/>
    <s v="Total Electric Power Industry"/>
    <x v="1"/>
    <n v="676920"/>
  </r>
  <r>
    <x v="4"/>
    <x v="21"/>
    <s v="Total Electric Power Industry"/>
    <x v="2"/>
    <n v="3510767"/>
  </r>
  <r>
    <x v="4"/>
    <x v="21"/>
    <s v="Total Electric Power Industry"/>
    <x v="3"/>
    <n v="9267"/>
  </r>
  <r>
    <x v="4"/>
    <x v="21"/>
    <s v="Total Electric Power Industry"/>
    <x v="7"/>
    <n v="6631984"/>
  </r>
  <r>
    <x v="4"/>
    <x v="21"/>
    <s v="Total Electric Power Industry"/>
    <x v="8"/>
    <n v="512498"/>
  </r>
  <r>
    <x v="4"/>
    <x v="21"/>
    <s v="Total Electric Power Industry"/>
    <x v="9"/>
    <n v="3928"/>
  </r>
  <r>
    <x v="4"/>
    <x v="21"/>
    <s v="Total Electric Power Industry"/>
    <x v="4"/>
    <n v="1872338"/>
  </r>
  <r>
    <x v="4"/>
    <x v="21"/>
    <s v="Total Electric Power Industry"/>
    <x v="6"/>
    <n v="3238448"/>
  </r>
  <r>
    <x v="4"/>
    <x v="21"/>
    <s v="Electric Generators, Independent Power Producers"/>
    <x v="0"/>
    <n v="1911367"/>
  </r>
  <r>
    <x v="4"/>
    <x v="21"/>
    <s v="Electric Generators, Independent Power Producers"/>
    <x v="2"/>
    <n v="539924"/>
  </r>
  <r>
    <x v="4"/>
    <x v="21"/>
    <s v="Electric Generators, Independent Power Producers"/>
    <x v="3"/>
    <n v="9258"/>
  </r>
  <r>
    <x v="4"/>
    <x v="21"/>
    <s v="Electric Generators, Independent Power Producers"/>
    <x v="8"/>
    <n v="245317"/>
  </r>
  <r>
    <x v="4"/>
    <x v="21"/>
    <s v="Electric Generators, Independent Power Producers"/>
    <x v="4"/>
    <n v="1063"/>
  </r>
  <r>
    <x v="4"/>
    <x v="21"/>
    <s v="Electric Generators, Independent Power Producers"/>
    <x v="6"/>
    <n v="1115805"/>
  </r>
  <r>
    <x v="4"/>
    <x v="21"/>
    <s v="Electric Generators, Electric Utilities"/>
    <x v="0"/>
    <n v="9015544"/>
  </r>
  <r>
    <x v="4"/>
    <x v="21"/>
    <s v="Electric Generators, Electric Utilities"/>
    <x v="2"/>
    <n v="1681717"/>
  </r>
  <r>
    <x v="4"/>
    <x v="21"/>
    <s v="Electric Generators, Electric Utilities"/>
    <x v="7"/>
    <n v="6631984"/>
  </r>
  <r>
    <x v="4"/>
    <x v="21"/>
    <s v="Electric Generators, Electric Utilities"/>
    <x v="4"/>
    <n v="701843"/>
  </r>
  <r>
    <x v="4"/>
    <x v="21"/>
    <s v="Electric Generators, Electric Utilities"/>
    <x v="6"/>
    <n v="0"/>
  </r>
  <r>
    <x v="4"/>
    <x v="21"/>
    <s v="Combined Heat and Power, Industrial Power"/>
    <x v="0"/>
    <n v="4660338"/>
  </r>
  <r>
    <x v="4"/>
    <x v="21"/>
    <s v="Combined Heat and Power, Industrial Power"/>
    <x v="1"/>
    <n v="292333"/>
  </r>
  <r>
    <x v="4"/>
    <x v="21"/>
    <s v="Combined Heat and Power, Industrial Power"/>
    <x v="2"/>
    <n v="1289126"/>
  </r>
  <r>
    <x v="4"/>
    <x v="21"/>
    <s v="Combined Heat and Power, Industrial Power"/>
    <x v="8"/>
    <n v="71433"/>
  </r>
  <r>
    <x v="4"/>
    <x v="21"/>
    <s v="Combined Heat and Power, Industrial Power"/>
    <x v="9"/>
    <n v="3928"/>
  </r>
  <r>
    <x v="4"/>
    <x v="21"/>
    <s v="Combined Heat and Power, Industrial Power"/>
    <x v="4"/>
    <n v="1154802"/>
  </r>
  <r>
    <x v="4"/>
    <x v="21"/>
    <s v="Combined Heat and Power, Industrial Power"/>
    <x v="6"/>
    <n v="1848716"/>
  </r>
  <r>
    <x v="4"/>
    <x v="21"/>
    <s v="Combined Heat and Power, Electric Power"/>
    <x v="0"/>
    <n v="660637"/>
  </r>
  <r>
    <x v="4"/>
    <x v="21"/>
    <s v="Combined Heat and Power, Electric Power"/>
    <x v="1"/>
    <n v="384587"/>
  </r>
  <r>
    <x v="4"/>
    <x v="21"/>
    <s v="Combined Heat and Power, Electric Power"/>
    <x v="8"/>
    <n v="27822"/>
  </r>
  <r>
    <x v="4"/>
    <x v="21"/>
    <s v="Combined Heat and Power, Electric Power"/>
    <x v="4"/>
    <n v="13707"/>
  </r>
  <r>
    <x v="4"/>
    <x v="21"/>
    <s v="Combined Heat and Power, Electric Power"/>
    <x v="6"/>
    <n v="234521"/>
  </r>
  <r>
    <x v="4"/>
    <x v="21"/>
    <s v="Combined Heat and Power, Commercial Power"/>
    <x v="0"/>
    <n v="208264"/>
  </r>
  <r>
    <x v="4"/>
    <x v="21"/>
    <s v="Combined Heat and Power, Commercial Power"/>
    <x v="3"/>
    <n v="9"/>
  </r>
  <r>
    <x v="4"/>
    <x v="21"/>
    <s v="Combined Heat and Power, Commercial Power"/>
    <x v="8"/>
    <n v="167926"/>
  </r>
  <r>
    <x v="4"/>
    <x v="21"/>
    <s v="Combined Heat and Power, Commercial Power"/>
    <x v="4"/>
    <n v="923"/>
  </r>
  <r>
    <x v="4"/>
    <x v="21"/>
    <s v="Combined Heat and Power, Commercial Power"/>
    <x v="6"/>
    <n v="39406"/>
  </r>
  <r>
    <x v="4"/>
    <x v="22"/>
    <s v="Total Electric Power Industry"/>
    <x v="0"/>
    <n v="98307389"/>
  </r>
  <r>
    <x v="4"/>
    <x v="22"/>
    <s v="Total Electric Power Industry"/>
    <x v="1"/>
    <n v="69771616"/>
  </r>
  <r>
    <x v="4"/>
    <x v="22"/>
    <s v="Total Electric Power Industry"/>
    <x v="2"/>
    <n v="1660268"/>
  </r>
  <r>
    <x v="4"/>
    <x v="22"/>
    <s v="Total Electric Power Industry"/>
    <x v="3"/>
    <n v="10436549"/>
  </r>
  <r>
    <x v="4"/>
    <x v="22"/>
    <s v="Total Electric Power Industry"/>
    <x v="7"/>
    <n v="14144281"/>
  </r>
  <r>
    <x v="4"/>
    <x v="22"/>
    <s v="Total Electric Power Industry"/>
    <x v="12"/>
    <n v="15307"/>
  </r>
  <r>
    <x v="4"/>
    <x v="22"/>
    <s v="Total Electric Power Industry"/>
    <x v="8"/>
    <n v="543202"/>
  </r>
  <r>
    <x v="4"/>
    <x v="22"/>
    <s v="Total Electric Power Industry"/>
    <x v="9"/>
    <n v="4634"/>
  </r>
  <r>
    <x v="4"/>
    <x v="22"/>
    <s v="Total Electric Power Industry"/>
    <x v="4"/>
    <n v="825523"/>
  </r>
  <r>
    <x v="4"/>
    <x v="22"/>
    <s v="Total Electric Power Industry"/>
    <x v="10"/>
    <n v="-811063"/>
  </r>
  <r>
    <x v="4"/>
    <x v="22"/>
    <s v="Total Electric Power Industry"/>
    <x v="6"/>
    <n v="1717072"/>
  </r>
  <r>
    <x v="4"/>
    <x v="22"/>
    <s v="Electric Generators, Independent Power Producers"/>
    <x v="0"/>
    <n v="1343055"/>
  </r>
  <r>
    <x v="4"/>
    <x v="22"/>
    <s v="Electric Generators, Independent Power Producers"/>
    <x v="2"/>
    <n v="97578"/>
  </r>
  <r>
    <x v="4"/>
    <x v="22"/>
    <s v="Electric Generators, Independent Power Producers"/>
    <x v="3"/>
    <n v="11916"/>
  </r>
  <r>
    <x v="4"/>
    <x v="22"/>
    <s v="Electric Generators, Independent Power Producers"/>
    <x v="8"/>
    <n v="347901"/>
  </r>
  <r>
    <x v="4"/>
    <x v="22"/>
    <s v="Electric Generators, Independent Power Producers"/>
    <x v="6"/>
    <n v="885660"/>
  </r>
  <r>
    <x v="4"/>
    <x v="22"/>
    <s v="Electric Generators, Electric Utilities"/>
    <x v="0"/>
    <n v="83720636"/>
  </r>
  <r>
    <x v="4"/>
    <x v="22"/>
    <s v="Electric Generators, Electric Utilities"/>
    <x v="1"/>
    <n v="67538611"/>
  </r>
  <r>
    <x v="4"/>
    <x v="22"/>
    <s v="Electric Generators, Electric Utilities"/>
    <x v="2"/>
    <n v="1536190"/>
  </r>
  <r>
    <x v="4"/>
    <x v="22"/>
    <s v="Electric Generators, Electric Utilities"/>
    <x v="3"/>
    <n v="656757"/>
  </r>
  <r>
    <x v="4"/>
    <x v="22"/>
    <s v="Electric Generators, Electric Utilities"/>
    <x v="7"/>
    <n v="14144281"/>
  </r>
  <r>
    <x v="4"/>
    <x v="22"/>
    <s v="Electric Generators, Electric Utilities"/>
    <x v="4"/>
    <n v="655860"/>
  </r>
  <r>
    <x v="4"/>
    <x v="22"/>
    <s v="Electric Generators, Electric Utilities"/>
    <x v="10"/>
    <n v="-811063"/>
  </r>
  <r>
    <x v="4"/>
    <x v="22"/>
    <s v="Combined Heat and Power, Industrial Power"/>
    <x v="0"/>
    <n v="3550697"/>
  </r>
  <r>
    <x v="4"/>
    <x v="22"/>
    <s v="Combined Heat and Power, Industrial Power"/>
    <x v="1"/>
    <n v="1596547"/>
  </r>
  <r>
    <x v="4"/>
    <x v="22"/>
    <s v="Combined Heat and Power, Industrial Power"/>
    <x v="2"/>
    <n v="26500"/>
  </r>
  <r>
    <x v="4"/>
    <x v="22"/>
    <s v="Combined Heat and Power, Industrial Power"/>
    <x v="3"/>
    <n v="915854"/>
  </r>
  <r>
    <x v="4"/>
    <x v="22"/>
    <s v="Combined Heat and Power, Industrial Power"/>
    <x v="12"/>
    <n v="15307"/>
  </r>
  <r>
    <x v="4"/>
    <x v="22"/>
    <s v="Combined Heat and Power, Industrial Power"/>
    <x v="8"/>
    <n v="2073"/>
  </r>
  <r>
    <x v="4"/>
    <x v="22"/>
    <s v="Combined Heat and Power, Industrial Power"/>
    <x v="9"/>
    <n v="595"/>
  </r>
  <r>
    <x v="4"/>
    <x v="22"/>
    <s v="Combined Heat and Power, Industrial Power"/>
    <x v="4"/>
    <n v="162409"/>
  </r>
  <r>
    <x v="4"/>
    <x v="22"/>
    <s v="Combined Heat and Power, Industrial Power"/>
    <x v="6"/>
    <n v="831412"/>
  </r>
  <r>
    <x v="4"/>
    <x v="22"/>
    <s v="Combined Heat and Power, Electric Power"/>
    <x v="0"/>
    <n v="9221499"/>
  </r>
  <r>
    <x v="4"/>
    <x v="22"/>
    <s v="Combined Heat and Power, Electric Power"/>
    <x v="1"/>
    <n v="421654"/>
  </r>
  <r>
    <x v="4"/>
    <x v="22"/>
    <s v="Combined Heat and Power, Electric Power"/>
    <x v="3"/>
    <n v="8793532"/>
  </r>
  <r>
    <x v="4"/>
    <x v="22"/>
    <s v="Combined Heat and Power, Electric Power"/>
    <x v="9"/>
    <n v="4039"/>
  </r>
  <r>
    <x v="4"/>
    <x v="22"/>
    <s v="Combined Heat and Power, Electric Power"/>
    <x v="4"/>
    <n v="2274"/>
  </r>
  <r>
    <x v="4"/>
    <x v="22"/>
    <s v="Combined Heat and Power, Commercial Power"/>
    <x v="0"/>
    <n v="471502"/>
  </r>
  <r>
    <x v="4"/>
    <x v="22"/>
    <s v="Combined Heat and Power, Commercial Power"/>
    <x v="1"/>
    <n v="214804"/>
  </r>
  <r>
    <x v="4"/>
    <x v="22"/>
    <s v="Combined Heat and Power, Commercial Power"/>
    <x v="3"/>
    <n v="58490"/>
  </r>
  <r>
    <x v="4"/>
    <x v="22"/>
    <s v="Combined Heat and Power, Commercial Power"/>
    <x v="8"/>
    <n v="193228"/>
  </r>
  <r>
    <x v="4"/>
    <x v="22"/>
    <s v="Combined Heat and Power, Commercial Power"/>
    <x v="4"/>
    <n v="4980"/>
  </r>
  <r>
    <x v="4"/>
    <x v="23"/>
    <s v="Total Electric Power Industry"/>
    <x v="0"/>
    <n v="43897655"/>
  </r>
  <r>
    <x v="4"/>
    <x v="23"/>
    <s v="Total Electric Power Industry"/>
    <x v="1"/>
    <n v="28125703"/>
  </r>
  <r>
    <x v="4"/>
    <x v="23"/>
    <s v="Total Electric Power Industry"/>
    <x v="2"/>
    <n v="1138733"/>
  </r>
  <r>
    <x v="4"/>
    <x v="23"/>
    <s v="Total Electric Power Industry"/>
    <x v="3"/>
    <n v="656857"/>
  </r>
  <r>
    <x v="4"/>
    <x v="23"/>
    <s v="Total Electric Power Industry"/>
    <x v="7"/>
    <n v="12223620"/>
  </r>
  <r>
    <x v="4"/>
    <x v="23"/>
    <s v="Total Electric Power Industry"/>
    <x v="8"/>
    <n v="620867"/>
  </r>
  <r>
    <x v="4"/>
    <x v="23"/>
    <s v="Total Electric Power Industry"/>
    <x v="4"/>
    <n v="607700"/>
  </r>
  <r>
    <x v="4"/>
    <x v="23"/>
    <s v="Total Electric Power Industry"/>
    <x v="5"/>
    <n v="39523"/>
  </r>
  <r>
    <x v="4"/>
    <x v="23"/>
    <s v="Total Electric Power Industry"/>
    <x v="6"/>
    <n v="484652"/>
  </r>
  <r>
    <x v="4"/>
    <x v="23"/>
    <s v="Electric Generators, Independent Power Producers"/>
    <x v="0"/>
    <n v="329811"/>
  </r>
  <r>
    <x v="4"/>
    <x v="23"/>
    <s v="Electric Generators, Independent Power Producers"/>
    <x v="2"/>
    <n v="60178"/>
  </r>
  <r>
    <x v="4"/>
    <x v="23"/>
    <s v="Electric Generators, Independent Power Producers"/>
    <x v="3"/>
    <n v="1338"/>
  </r>
  <r>
    <x v="4"/>
    <x v="23"/>
    <s v="Electric Generators, Independent Power Producers"/>
    <x v="8"/>
    <n v="228973"/>
  </r>
  <r>
    <x v="4"/>
    <x v="23"/>
    <s v="Electric Generators, Independent Power Producers"/>
    <x v="5"/>
    <n v="39322"/>
  </r>
  <r>
    <x v="4"/>
    <x v="23"/>
    <s v="Electric Generators, Electric Utilities"/>
    <x v="0"/>
    <n v="40917280"/>
  </r>
  <r>
    <x v="4"/>
    <x v="23"/>
    <s v="Electric Generators, Electric Utilities"/>
    <x v="1"/>
    <n v="26399834"/>
  </r>
  <r>
    <x v="4"/>
    <x v="23"/>
    <s v="Electric Generators, Electric Utilities"/>
    <x v="2"/>
    <n v="831074"/>
  </r>
  <r>
    <x v="4"/>
    <x v="23"/>
    <s v="Electric Generators, Electric Utilities"/>
    <x v="3"/>
    <n v="451625"/>
  </r>
  <r>
    <x v="4"/>
    <x v="23"/>
    <s v="Electric Generators, Electric Utilities"/>
    <x v="7"/>
    <n v="12223620"/>
  </r>
  <r>
    <x v="4"/>
    <x v="23"/>
    <s v="Electric Generators, Electric Utilities"/>
    <x v="8"/>
    <n v="375606"/>
  </r>
  <r>
    <x v="4"/>
    <x v="23"/>
    <s v="Electric Generators, Electric Utilities"/>
    <x v="4"/>
    <n v="596987"/>
  </r>
  <r>
    <x v="4"/>
    <x v="23"/>
    <s v="Electric Generators, Electric Utilities"/>
    <x v="5"/>
    <n v="201"/>
  </r>
  <r>
    <x v="4"/>
    <x v="23"/>
    <s v="Electric Generators, Electric Utilities"/>
    <x v="6"/>
    <n v="38333"/>
  </r>
  <r>
    <x v="4"/>
    <x v="23"/>
    <s v="Combined Heat and Power, Industrial Power"/>
    <x v="0"/>
    <n v="2565819"/>
  </r>
  <r>
    <x v="4"/>
    <x v="23"/>
    <s v="Combined Heat and Power, Industrial Power"/>
    <x v="1"/>
    <n v="1725869"/>
  </r>
  <r>
    <x v="4"/>
    <x v="23"/>
    <s v="Combined Heat and Power, Industrial Power"/>
    <x v="2"/>
    <n v="247481"/>
  </r>
  <r>
    <x v="4"/>
    <x v="23"/>
    <s v="Combined Heat and Power, Industrial Power"/>
    <x v="3"/>
    <n v="137165"/>
  </r>
  <r>
    <x v="4"/>
    <x v="23"/>
    <s v="Combined Heat and Power, Industrial Power"/>
    <x v="4"/>
    <n v="8985"/>
  </r>
  <r>
    <x v="4"/>
    <x v="23"/>
    <s v="Combined Heat and Power, Industrial Power"/>
    <x v="6"/>
    <n v="446319"/>
  </r>
  <r>
    <x v="4"/>
    <x v="23"/>
    <s v="Combined Heat and Power, Commercial Power"/>
    <x v="0"/>
    <n v="84745"/>
  </r>
  <r>
    <x v="4"/>
    <x v="23"/>
    <s v="Combined Heat and Power, Commercial Power"/>
    <x v="3"/>
    <n v="66729"/>
  </r>
  <r>
    <x v="4"/>
    <x v="23"/>
    <s v="Combined Heat and Power, Commercial Power"/>
    <x v="8"/>
    <n v="16288"/>
  </r>
  <r>
    <x v="4"/>
    <x v="23"/>
    <s v="Combined Heat and Power, Commercial Power"/>
    <x v="4"/>
    <n v="1728"/>
  </r>
  <r>
    <x v="4"/>
    <x v="24"/>
    <s v="Total Electric Power Industry"/>
    <x v="0"/>
    <n v="61877678"/>
  </r>
  <r>
    <x v="4"/>
    <x v="24"/>
    <s v="Total Electric Power Industry"/>
    <x v="1"/>
    <n v="48885619"/>
  </r>
  <r>
    <x v="4"/>
    <x v="24"/>
    <s v="Total Electric Power Industry"/>
    <x v="2"/>
    <n v="1916293"/>
  </r>
  <r>
    <x v="4"/>
    <x v="24"/>
    <s v="Total Electric Power Industry"/>
    <x v="3"/>
    <n v="389302"/>
  </r>
  <r>
    <x v="4"/>
    <x v="24"/>
    <s v="Total Electric Power Industry"/>
    <x v="7"/>
    <n v="10006491"/>
  </r>
  <r>
    <x v="4"/>
    <x v="24"/>
    <s v="Total Electric Power Industry"/>
    <x v="8"/>
    <n v="6915"/>
  </r>
  <r>
    <x v="4"/>
    <x v="24"/>
    <s v="Total Electric Power Industry"/>
    <x v="4"/>
    <n v="745215"/>
  </r>
  <r>
    <x v="4"/>
    <x v="24"/>
    <s v="Total Electric Power Industry"/>
    <x v="10"/>
    <n v="-72157"/>
  </r>
  <r>
    <x v="4"/>
    <x v="24"/>
    <s v="Electric Generators, Electric Utilities"/>
    <x v="0"/>
    <n v="61519090"/>
  </r>
  <r>
    <x v="4"/>
    <x v="24"/>
    <s v="Electric Generators, Electric Utilities"/>
    <x v="1"/>
    <n v="48592766"/>
  </r>
  <r>
    <x v="4"/>
    <x v="24"/>
    <s v="Electric Generators, Electric Utilities"/>
    <x v="2"/>
    <n v="1916293"/>
  </r>
  <r>
    <x v="4"/>
    <x v="24"/>
    <s v="Electric Generators, Electric Utilities"/>
    <x v="3"/>
    <n v="338101"/>
  </r>
  <r>
    <x v="4"/>
    <x v="24"/>
    <s v="Electric Generators, Electric Utilities"/>
    <x v="7"/>
    <n v="10006491"/>
  </r>
  <r>
    <x v="4"/>
    <x v="24"/>
    <s v="Electric Generators, Electric Utilities"/>
    <x v="8"/>
    <n v="6776"/>
  </r>
  <r>
    <x v="4"/>
    <x v="24"/>
    <s v="Electric Generators, Electric Utilities"/>
    <x v="4"/>
    <n v="730820"/>
  </r>
  <r>
    <x v="4"/>
    <x v="24"/>
    <s v="Electric Generators, Electric Utilities"/>
    <x v="10"/>
    <n v="-72157"/>
  </r>
  <r>
    <x v="4"/>
    <x v="24"/>
    <s v="Combined Heat and Power, Industrial Power"/>
    <x v="0"/>
    <n v="201628"/>
  </r>
  <r>
    <x v="4"/>
    <x v="24"/>
    <s v="Combined Heat and Power, Industrial Power"/>
    <x v="1"/>
    <n v="149379"/>
  </r>
  <r>
    <x v="4"/>
    <x v="24"/>
    <s v="Combined Heat and Power, Industrial Power"/>
    <x v="3"/>
    <n v="50921"/>
  </r>
  <r>
    <x v="4"/>
    <x v="24"/>
    <s v="Combined Heat and Power, Industrial Power"/>
    <x v="8"/>
    <n v="139"/>
  </r>
  <r>
    <x v="4"/>
    <x v="24"/>
    <s v="Combined Heat and Power, Industrial Power"/>
    <x v="4"/>
    <n v="1189"/>
  </r>
  <r>
    <x v="4"/>
    <x v="24"/>
    <s v="Combined Heat and Power, Commercial Power"/>
    <x v="0"/>
    <n v="156960"/>
  </r>
  <r>
    <x v="4"/>
    <x v="24"/>
    <s v="Combined Heat and Power, Commercial Power"/>
    <x v="1"/>
    <n v="143474"/>
  </r>
  <r>
    <x v="4"/>
    <x v="24"/>
    <s v="Combined Heat and Power, Commercial Power"/>
    <x v="3"/>
    <n v="280"/>
  </r>
  <r>
    <x v="4"/>
    <x v="24"/>
    <s v="Combined Heat and Power, Commercial Power"/>
    <x v="4"/>
    <n v="13206"/>
  </r>
  <r>
    <x v="4"/>
    <x v="25"/>
    <s v="Total Electric Power Industry"/>
    <x v="0"/>
    <n v="28670498"/>
  </r>
  <r>
    <x v="4"/>
    <x v="25"/>
    <s v="Total Electric Power Industry"/>
    <x v="1"/>
    <n v="8946974"/>
  </r>
  <r>
    <x v="4"/>
    <x v="25"/>
    <s v="Total Electric Power Industry"/>
    <x v="3"/>
    <n v="7223384"/>
  </r>
  <r>
    <x v="4"/>
    <x v="25"/>
    <s v="Total Electric Power Industry"/>
    <x v="7"/>
    <n v="9614699"/>
  </r>
  <r>
    <x v="4"/>
    <x v="25"/>
    <s v="Total Electric Power Industry"/>
    <x v="4"/>
    <n v="1124155"/>
  </r>
  <r>
    <x v="4"/>
    <x v="25"/>
    <s v="Total Electric Power Industry"/>
    <x v="6"/>
    <n v="1761286"/>
  </r>
  <r>
    <x v="4"/>
    <x v="25"/>
    <s v="Electric Generators, Independent Power Producers"/>
    <x v="0"/>
    <n v="2697"/>
  </r>
  <r>
    <x v="4"/>
    <x v="25"/>
    <s v="Electric Generators, Independent Power Producers"/>
    <x v="3"/>
    <n v="2697"/>
  </r>
  <r>
    <x v="4"/>
    <x v="25"/>
    <s v="Electric Generators, Electric Utilities"/>
    <x v="0"/>
    <n v="26222313"/>
  </r>
  <r>
    <x v="4"/>
    <x v="25"/>
    <s v="Electric Generators, Electric Utilities"/>
    <x v="1"/>
    <n v="8889624"/>
  </r>
  <r>
    <x v="4"/>
    <x v="25"/>
    <s v="Electric Generators, Electric Utilities"/>
    <x v="3"/>
    <n v="6611781"/>
  </r>
  <r>
    <x v="4"/>
    <x v="25"/>
    <s v="Electric Generators, Electric Utilities"/>
    <x v="7"/>
    <n v="9614699"/>
  </r>
  <r>
    <x v="4"/>
    <x v="25"/>
    <s v="Electric Generators, Electric Utilities"/>
    <x v="4"/>
    <n v="1106209"/>
  </r>
  <r>
    <x v="4"/>
    <x v="25"/>
    <s v="Combined Heat and Power, Industrial Power"/>
    <x v="0"/>
    <n v="2423206"/>
  </r>
  <r>
    <x v="4"/>
    <x v="25"/>
    <s v="Combined Heat and Power, Industrial Power"/>
    <x v="1"/>
    <n v="57350"/>
  </r>
  <r>
    <x v="4"/>
    <x v="25"/>
    <s v="Combined Heat and Power, Industrial Power"/>
    <x v="3"/>
    <n v="586624"/>
  </r>
  <r>
    <x v="4"/>
    <x v="25"/>
    <s v="Combined Heat and Power, Industrial Power"/>
    <x v="4"/>
    <n v="17946"/>
  </r>
  <r>
    <x v="4"/>
    <x v="25"/>
    <s v="Combined Heat and Power, Industrial Power"/>
    <x v="6"/>
    <n v="1761286"/>
  </r>
  <r>
    <x v="4"/>
    <x v="25"/>
    <s v="Combined Heat and Power, Commercial Power"/>
    <x v="0"/>
    <n v="22282"/>
  </r>
  <r>
    <x v="4"/>
    <x v="25"/>
    <s v="Combined Heat and Power, Commercial Power"/>
    <x v="3"/>
    <n v="22282"/>
  </r>
  <r>
    <x v="4"/>
    <x v="26"/>
    <s v="Total Electric Power Industry"/>
    <x v="0"/>
    <n v="25152849"/>
  </r>
  <r>
    <x v="4"/>
    <x v="26"/>
    <s v="Total Electric Power Industry"/>
    <x v="1"/>
    <n v="16809389"/>
  </r>
  <r>
    <x v="4"/>
    <x v="26"/>
    <s v="Total Electric Power Industry"/>
    <x v="2"/>
    <n v="8149507"/>
  </r>
  <r>
    <x v="4"/>
    <x v="26"/>
    <s v="Total Electric Power Industry"/>
    <x v="3"/>
    <n v="73226"/>
  </r>
  <r>
    <x v="4"/>
    <x v="26"/>
    <s v="Total Electric Power Industry"/>
    <x v="4"/>
    <n v="20122"/>
  </r>
  <r>
    <x v="4"/>
    <x v="26"/>
    <s v="Total Electric Power Industry"/>
    <x v="6"/>
    <n v="100605"/>
  </r>
  <r>
    <x v="4"/>
    <x v="26"/>
    <s v="Electric Generators, Independent Power Producers"/>
    <x v="0"/>
    <n v="375784"/>
  </r>
  <r>
    <x v="4"/>
    <x v="26"/>
    <s v="Electric Generators, Independent Power Producers"/>
    <x v="1"/>
    <n v="321714"/>
  </r>
  <r>
    <x v="4"/>
    <x v="26"/>
    <s v="Electric Generators, Independent Power Producers"/>
    <x v="2"/>
    <n v="53119"/>
  </r>
  <r>
    <x v="4"/>
    <x v="26"/>
    <s v="Electric Generators, Independent Power Producers"/>
    <x v="4"/>
    <n v="951"/>
  </r>
  <r>
    <x v="4"/>
    <x v="26"/>
    <s v="Electric Generators, Electric Utilities"/>
    <x v="0"/>
    <n v="24705228"/>
  </r>
  <r>
    <x v="4"/>
    <x v="26"/>
    <s v="Electric Generators, Electric Utilities"/>
    <x v="1"/>
    <n v="16487675"/>
  </r>
  <r>
    <x v="4"/>
    <x v="26"/>
    <s v="Electric Generators, Electric Utilities"/>
    <x v="2"/>
    <n v="8096388"/>
  </r>
  <r>
    <x v="4"/>
    <x v="26"/>
    <s v="Electric Generators, Electric Utilities"/>
    <x v="3"/>
    <n v="60784"/>
  </r>
  <r>
    <x v="4"/>
    <x v="26"/>
    <s v="Electric Generators, Electric Utilities"/>
    <x v="4"/>
    <n v="18421"/>
  </r>
  <r>
    <x v="4"/>
    <x v="26"/>
    <s v="Electric Generators, Electric Utilities"/>
    <x v="6"/>
    <n v="41960"/>
  </r>
  <r>
    <x v="4"/>
    <x v="26"/>
    <s v="Combined Heat and Power, Industrial Power"/>
    <x v="0"/>
    <n v="71837"/>
  </r>
  <r>
    <x v="4"/>
    <x v="26"/>
    <s v="Combined Heat and Power, Industrial Power"/>
    <x v="3"/>
    <n v="12442"/>
  </r>
  <r>
    <x v="4"/>
    <x v="26"/>
    <s v="Combined Heat and Power, Industrial Power"/>
    <x v="4"/>
    <n v="750"/>
  </r>
  <r>
    <x v="4"/>
    <x v="26"/>
    <s v="Combined Heat and Power, Industrial Power"/>
    <x v="6"/>
    <n v="58645"/>
  </r>
  <r>
    <x v="4"/>
    <x v="27"/>
    <s v="Total Electric Power Industry"/>
    <x v="0"/>
    <n v="100828662"/>
  </r>
  <r>
    <x v="4"/>
    <x v="27"/>
    <s v="Total Electric Power Industry"/>
    <x v="1"/>
    <n v="58124390"/>
  </r>
  <r>
    <x v="4"/>
    <x v="27"/>
    <s v="Total Electric Power Industry"/>
    <x v="2"/>
    <n v="7192276"/>
  </r>
  <r>
    <x v="4"/>
    <x v="27"/>
    <s v="Total Electric Power Industry"/>
    <x v="3"/>
    <n v="310242"/>
  </r>
  <r>
    <x v="4"/>
    <x v="27"/>
    <s v="Total Electric Power Industry"/>
    <x v="7"/>
    <n v="32346007"/>
  </r>
  <r>
    <x v="4"/>
    <x v="27"/>
    <s v="Total Electric Power Industry"/>
    <x v="12"/>
    <n v="260777"/>
  </r>
  <r>
    <x v="4"/>
    <x v="27"/>
    <s v="Total Electric Power Industry"/>
    <x v="8"/>
    <n v="45025"/>
  </r>
  <r>
    <x v="4"/>
    <x v="27"/>
    <s v="Total Electric Power Industry"/>
    <x v="4"/>
    <n v="452234"/>
  </r>
  <r>
    <x v="4"/>
    <x v="27"/>
    <s v="Total Electric Power Industry"/>
    <x v="10"/>
    <n v="380819"/>
  </r>
  <r>
    <x v="4"/>
    <x v="27"/>
    <s v="Total Electric Power Industry"/>
    <x v="6"/>
    <n v="1716892"/>
  </r>
  <r>
    <x v="4"/>
    <x v="27"/>
    <s v="Electric Generators, Independent Power Producers"/>
    <x v="0"/>
    <n v="1175446"/>
  </r>
  <r>
    <x v="4"/>
    <x v="27"/>
    <s v="Electric Generators, Independent Power Producers"/>
    <x v="1"/>
    <n v="736705"/>
  </r>
  <r>
    <x v="4"/>
    <x v="27"/>
    <s v="Electric Generators, Independent Power Producers"/>
    <x v="2"/>
    <n v="20840"/>
  </r>
  <r>
    <x v="4"/>
    <x v="27"/>
    <s v="Electric Generators, Independent Power Producers"/>
    <x v="3"/>
    <n v="1267"/>
  </r>
  <r>
    <x v="4"/>
    <x v="27"/>
    <s v="Electric Generators, Independent Power Producers"/>
    <x v="8"/>
    <n v="39309"/>
  </r>
  <r>
    <x v="4"/>
    <x v="27"/>
    <s v="Electric Generators, Independent Power Producers"/>
    <x v="6"/>
    <n v="377325"/>
  </r>
  <r>
    <x v="4"/>
    <x v="27"/>
    <s v="Electric Generators, Electric Utilities"/>
    <x v="0"/>
    <n v="91454784"/>
  </r>
  <r>
    <x v="4"/>
    <x v="27"/>
    <s v="Electric Generators, Electric Utilities"/>
    <x v="1"/>
    <n v="53234497"/>
  </r>
  <r>
    <x v="4"/>
    <x v="27"/>
    <s v="Electric Generators, Electric Utilities"/>
    <x v="2"/>
    <n v="5224967"/>
  </r>
  <r>
    <x v="4"/>
    <x v="27"/>
    <s v="Electric Generators, Electric Utilities"/>
    <x v="3"/>
    <n v="69076"/>
  </r>
  <r>
    <x v="4"/>
    <x v="27"/>
    <s v="Electric Generators, Electric Utilities"/>
    <x v="7"/>
    <n v="32346007"/>
  </r>
  <r>
    <x v="4"/>
    <x v="27"/>
    <s v="Electric Generators, Electric Utilities"/>
    <x v="4"/>
    <n v="199418"/>
  </r>
  <r>
    <x v="4"/>
    <x v="27"/>
    <s v="Electric Generators, Electric Utilities"/>
    <x v="10"/>
    <n v="380819"/>
  </r>
  <r>
    <x v="4"/>
    <x v="27"/>
    <s v="Combined Heat and Power, Industrial Power"/>
    <x v="0"/>
    <n v="4598628"/>
  </r>
  <r>
    <x v="4"/>
    <x v="27"/>
    <s v="Combined Heat and Power, Industrial Power"/>
    <x v="1"/>
    <n v="650148"/>
  </r>
  <r>
    <x v="4"/>
    <x v="27"/>
    <s v="Combined Heat and Power, Industrial Power"/>
    <x v="2"/>
    <n v="1930899"/>
  </r>
  <r>
    <x v="4"/>
    <x v="27"/>
    <s v="Combined Heat and Power, Industrial Power"/>
    <x v="3"/>
    <n v="173725"/>
  </r>
  <r>
    <x v="4"/>
    <x v="27"/>
    <s v="Combined Heat and Power, Industrial Power"/>
    <x v="12"/>
    <n v="260777"/>
  </r>
  <r>
    <x v="4"/>
    <x v="27"/>
    <s v="Combined Heat and Power, Industrial Power"/>
    <x v="8"/>
    <n v="5716"/>
  </r>
  <r>
    <x v="4"/>
    <x v="27"/>
    <s v="Combined Heat and Power, Industrial Power"/>
    <x v="4"/>
    <n v="237796"/>
  </r>
  <r>
    <x v="4"/>
    <x v="27"/>
    <s v="Combined Heat and Power, Industrial Power"/>
    <x v="6"/>
    <n v="1339567"/>
  </r>
  <r>
    <x v="4"/>
    <x v="27"/>
    <s v="Combined Heat and Power, Electric Power"/>
    <x v="0"/>
    <n v="3543713"/>
  </r>
  <r>
    <x v="4"/>
    <x v="27"/>
    <s v="Combined Heat and Power, Electric Power"/>
    <x v="1"/>
    <n v="3464057"/>
  </r>
  <r>
    <x v="4"/>
    <x v="27"/>
    <s v="Combined Heat and Power, Electric Power"/>
    <x v="3"/>
    <n v="65550"/>
  </r>
  <r>
    <x v="4"/>
    <x v="27"/>
    <s v="Combined Heat and Power, Electric Power"/>
    <x v="4"/>
    <n v="14106"/>
  </r>
  <r>
    <x v="4"/>
    <x v="27"/>
    <s v="Combined Heat and Power, Commercial Power"/>
    <x v="0"/>
    <n v="56091"/>
  </r>
  <r>
    <x v="4"/>
    <x v="27"/>
    <s v="Combined Heat and Power, Commercial Power"/>
    <x v="1"/>
    <n v="38983"/>
  </r>
  <r>
    <x v="4"/>
    <x v="27"/>
    <s v="Combined Heat and Power, Commercial Power"/>
    <x v="2"/>
    <n v="15570"/>
  </r>
  <r>
    <x v="4"/>
    <x v="27"/>
    <s v="Combined Heat and Power, Commercial Power"/>
    <x v="3"/>
    <n v="624"/>
  </r>
  <r>
    <x v="4"/>
    <x v="27"/>
    <s v="Combined Heat and Power, Commercial Power"/>
    <x v="4"/>
    <n v="914"/>
  </r>
  <r>
    <x v="4"/>
    <x v="28"/>
    <s v="Total Electric Power Industry"/>
    <x v="0"/>
    <n v="29155825"/>
  </r>
  <r>
    <x v="4"/>
    <x v="28"/>
    <s v="Total Electric Power Industry"/>
    <x v="1"/>
    <n v="27181087"/>
  </r>
  <r>
    <x v="4"/>
    <x v="28"/>
    <s v="Total Electric Power Industry"/>
    <x v="2"/>
    <n v="1856461"/>
  </r>
  <r>
    <x v="4"/>
    <x v="28"/>
    <s v="Total Electric Power Industry"/>
    <x v="3"/>
    <n v="55"/>
  </r>
  <r>
    <x v="4"/>
    <x v="28"/>
    <s v="Total Electric Power Industry"/>
    <x v="8"/>
    <n v="13583"/>
  </r>
  <r>
    <x v="4"/>
    <x v="28"/>
    <s v="Total Electric Power Industry"/>
    <x v="9"/>
    <n v="43779"/>
  </r>
  <r>
    <x v="4"/>
    <x v="28"/>
    <s v="Total Electric Power Industry"/>
    <x v="4"/>
    <n v="60860"/>
  </r>
  <r>
    <x v="4"/>
    <x v="28"/>
    <s v="Electric Generators, Electric Utilities"/>
    <x v="0"/>
    <n v="29003713"/>
  </r>
  <r>
    <x v="4"/>
    <x v="28"/>
    <s v="Electric Generators, Electric Utilities"/>
    <x v="1"/>
    <n v="27099914"/>
  </r>
  <r>
    <x v="4"/>
    <x v="28"/>
    <s v="Electric Generators, Electric Utilities"/>
    <x v="2"/>
    <n v="1856461"/>
  </r>
  <r>
    <x v="4"/>
    <x v="28"/>
    <s v="Electric Generators, Electric Utilities"/>
    <x v="3"/>
    <n v="-2"/>
  </r>
  <r>
    <x v="4"/>
    <x v="28"/>
    <s v="Electric Generators, Electric Utilities"/>
    <x v="4"/>
    <n v="47340"/>
  </r>
  <r>
    <x v="4"/>
    <x v="28"/>
    <s v="Combined Heat and Power, Industrial Power"/>
    <x v="0"/>
    <n v="152112"/>
  </r>
  <r>
    <x v="4"/>
    <x v="28"/>
    <s v="Combined Heat and Power, Industrial Power"/>
    <x v="1"/>
    <n v="81173"/>
  </r>
  <r>
    <x v="4"/>
    <x v="28"/>
    <s v="Combined Heat and Power, Industrial Power"/>
    <x v="3"/>
    <n v="57"/>
  </r>
  <r>
    <x v="4"/>
    <x v="28"/>
    <s v="Combined Heat and Power, Industrial Power"/>
    <x v="8"/>
    <n v="13583"/>
  </r>
  <r>
    <x v="4"/>
    <x v="28"/>
    <s v="Combined Heat and Power, Industrial Power"/>
    <x v="9"/>
    <n v="43779"/>
  </r>
  <r>
    <x v="4"/>
    <x v="28"/>
    <s v="Combined Heat and Power, Industrial Power"/>
    <x v="4"/>
    <n v="13520"/>
  </r>
  <r>
    <x v="4"/>
    <x v="29"/>
    <s v="Total Electric Power Industry"/>
    <x v="0"/>
    <n v="21983131"/>
  </r>
  <r>
    <x v="4"/>
    <x v="29"/>
    <s v="Total Electric Power Industry"/>
    <x v="1"/>
    <n v="14039467"/>
  </r>
  <r>
    <x v="4"/>
    <x v="29"/>
    <s v="Total Electric Power Industry"/>
    <x v="2"/>
    <n v="1311883"/>
  </r>
  <r>
    <x v="4"/>
    <x v="29"/>
    <s v="Total Electric Power Industry"/>
    <x v="3"/>
    <n v="258918"/>
  </r>
  <r>
    <x v="4"/>
    <x v="29"/>
    <s v="Total Electric Power Industry"/>
    <x v="7"/>
    <n v="6345330"/>
  </r>
  <r>
    <x v="4"/>
    <x v="29"/>
    <s v="Total Electric Power Industry"/>
    <x v="8"/>
    <n v="9332"/>
  </r>
  <r>
    <x v="4"/>
    <x v="29"/>
    <s v="Total Electric Power Industry"/>
    <x v="4"/>
    <n v="18201"/>
  </r>
  <r>
    <x v="4"/>
    <x v="29"/>
    <s v="Electric Generators, Electric Utilities"/>
    <x v="0"/>
    <n v="21945525"/>
  </r>
  <r>
    <x v="4"/>
    <x v="29"/>
    <s v="Electric Generators, Electric Utilities"/>
    <x v="1"/>
    <n v="14002015"/>
  </r>
  <r>
    <x v="4"/>
    <x v="29"/>
    <s v="Electric Generators, Electric Utilities"/>
    <x v="2"/>
    <n v="1311883"/>
  </r>
  <r>
    <x v="4"/>
    <x v="29"/>
    <s v="Electric Generators, Electric Utilities"/>
    <x v="3"/>
    <n v="258764"/>
  </r>
  <r>
    <x v="4"/>
    <x v="29"/>
    <s v="Electric Generators, Electric Utilities"/>
    <x v="7"/>
    <n v="6345330"/>
  </r>
  <r>
    <x v="4"/>
    <x v="29"/>
    <s v="Electric Generators, Electric Utilities"/>
    <x v="8"/>
    <n v="9332"/>
  </r>
  <r>
    <x v="4"/>
    <x v="29"/>
    <s v="Electric Generators, Electric Utilities"/>
    <x v="4"/>
    <n v="18201"/>
  </r>
  <r>
    <x v="4"/>
    <x v="29"/>
    <s v="Combined Heat and Power, Industrial Power"/>
    <x v="0"/>
    <n v="37606"/>
  </r>
  <r>
    <x v="4"/>
    <x v="29"/>
    <s v="Combined Heat and Power, Industrial Power"/>
    <x v="1"/>
    <n v="37452"/>
  </r>
  <r>
    <x v="4"/>
    <x v="29"/>
    <s v="Combined Heat and Power, Industrial Power"/>
    <x v="3"/>
    <n v="154"/>
  </r>
  <r>
    <x v="4"/>
    <x v="30"/>
    <s v="Total Electric Power Industry"/>
    <x v="0"/>
    <n v="13462499"/>
  </r>
  <r>
    <x v="4"/>
    <x v="30"/>
    <s v="Total Electric Power Industry"/>
    <x v="1"/>
    <n v="3181654"/>
  </r>
  <r>
    <x v="4"/>
    <x v="30"/>
    <s v="Total Electric Power Industry"/>
    <x v="2"/>
    <n v="1461327"/>
  </r>
  <r>
    <x v="4"/>
    <x v="30"/>
    <s v="Total Electric Power Industry"/>
    <x v="3"/>
    <n v="114587"/>
  </r>
  <r>
    <x v="4"/>
    <x v="30"/>
    <s v="Total Electric Power Industry"/>
    <x v="7"/>
    <n v="6203747"/>
  </r>
  <r>
    <x v="4"/>
    <x v="30"/>
    <s v="Total Electric Power Industry"/>
    <x v="8"/>
    <n v="153844"/>
  </r>
  <r>
    <x v="4"/>
    <x v="30"/>
    <s v="Total Electric Power Industry"/>
    <x v="4"/>
    <n v="1420578"/>
  </r>
  <r>
    <x v="4"/>
    <x v="30"/>
    <s v="Total Electric Power Industry"/>
    <x v="6"/>
    <n v="926762"/>
  </r>
  <r>
    <x v="4"/>
    <x v="30"/>
    <s v="Electric Generators, Independent Power Producers"/>
    <x v="0"/>
    <n v="1129555"/>
  </r>
  <r>
    <x v="4"/>
    <x v="30"/>
    <s v="Electric Generators, Independent Power Producers"/>
    <x v="2"/>
    <n v="229756"/>
  </r>
  <r>
    <x v="4"/>
    <x v="30"/>
    <s v="Electric Generators, Independent Power Producers"/>
    <x v="8"/>
    <n v="153037"/>
  </r>
  <r>
    <x v="4"/>
    <x v="30"/>
    <s v="Electric Generators, Independent Power Producers"/>
    <x v="4"/>
    <n v="1063"/>
  </r>
  <r>
    <x v="4"/>
    <x v="30"/>
    <s v="Electric Generators, Independent Power Producers"/>
    <x v="6"/>
    <n v="745699"/>
  </r>
  <r>
    <x v="4"/>
    <x v="30"/>
    <s v="Electric Generators, Electric Utilities"/>
    <x v="0"/>
    <n v="11888117"/>
  </r>
  <r>
    <x v="4"/>
    <x v="30"/>
    <s v="Electric Generators, Electric Utilities"/>
    <x v="1"/>
    <n v="3181654"/>
  </r>
  <r>
    <x v="4"/>
    <x v="30"/>
    <s v="Electric Generators, Electric Utilities"/>
    <x v="2"/>
    <n v="1035518"/>
  </r>
  <r>
    <x v="4"/>
    <x v="30"/>
    <s v="Electric Generators, Electric Utilities"/>
    <x v="3"/>
    <n v="114587"/>
  </r>
  <r>
    <x v="4"/>
    <x v="30"/>
    <s v="Electric Generators, Electric Utilities"/>
    <x v="7"/>
    <n v="6203747"/>
  </r>
  <r>
    <x v="4"/>
    <x v="30"/>
    <s v="Electric Generators, Electric Utilities"/>
    <x v="4"/>
    <n v="1352611"/>
  </r>
  <r>
    <x v="4"/>
    <x v="30"/>
    <s v="Combined Heat and Power, Industrial Power"/>
    <x v="0"/>
    <n v="353936"/>
  </r>
  <r>
    <x v="4"/>
    <x v="30"/>
    <s v="Combined Heat and Power, Industrial Power"/>
    <x v="2"/>
    <n v="196053"/>
  </r>
  <r>
    <x v="4"/>
    <x v="30"/>
    <s v="Combined Heat and Power, Industrial Power"/>
    <x v="8"/>
    <n v="807"/>
  </r>
  <r>
    <x v="4"/>
    <x v="30"/>
    <s v="Combined Heat and Power, Industrial Power"/>
    <x v="4"/>
    <n v="37310"/>
  </r>
  <r>
    <x v="4"/>
    <x v="30"/>
    <s v="Combined Heat and Power, Industrial Power"/>
    <x v="6"/>
    <n v="119766"/>
  </r>
  <r>
    <x v="4"/>
    <x v="30"/>
    <s v="Combined Heat and Power, Electric Power"/>
    <x v="0"/>
    <n v="68381"/>
  </r>
  <r>
    <x v="4"/>
    <x v="30"/>
    <s v="Combined Heat and Power, Electric Power"/>
    <x v="4"/>
    <n v="7084"/>
  </r>
  <r>
    <x v="4"/>
    <x v="30"/>
    <s v="Combined Heat and Power, Electric Power"/>
    <x v="6"/>
    <n v="61297"/>
  </r>
  <r>
    <x v="4"/>
    <x v="30"/>
    <s v="Combined Heat and Power, Commercial Power"/>
    <x v="0"/>
    <n v="22510"/>
  </r>
  <r>
    <x v="4"/>
    <x v="30"/>
    <s v="Combined Heat and Power, Commercial Power"/>
    <x v="4"/>
    <n v="22510"/>
  </r>
  <r>
    <x v="4"/>
    <x v="31"/>
    <s v="Total Electric Power Industry"/>
    <x v="0"/>
    <n v="48435342"/>
  </r>
  <r>
    <x v="4"/>
    <x v="31"/>
    <s v="Total Electric Power Industry"/>
    <x v="1"/>
    <n v="5672211"/>
  </r>
  <r>
    <x v="4"/>
    <x v="31"/>
    <s v="Total Electric Power Industry"/>
    <x v="2"/>
    <n v="15083"/>
  </r>
  <r>
    <x v="4"/>
    <x v="31"/>
    <s v="Total Electric Power Industry"/>
    <x v="3"/>
    <n v="17191828"/>
  </r>
  <r>
    <x v="4"/>
    <x v="31"/>
    <s v="Total Electric Power Industry"/>
    <x v="7"/>
    <n v="22129335"/>
  </r>
  <r>
    <x v="4"/>
    <x v="31"/>
    <s v="Total Electric Power Industry"/>
    <x v="8"/>
    <n v="1135382"/>
  </r>
  <r>
    <x v="4"/>
    <x v="31"/>
    <s v="Total Electric Power Industry"/>
    <x v="9"/>
    <n v="101509"/>
  </r>
  <r>
    <x v="4"/>
    <x v="31"/>
    <s v="Total Electric Power Industry"/>
    <x v="4"/>
    <n v="2356728"/>
  </r>
  <r>
    <x v="4"/>
    <x v="31"/>
    <s v="Total Electric Power Industry"/>
    <x v="10"/>
    <n v="-166734"/>
  </r>
  <r>
    <x v="4"/>
    <x v="31"/>
    <s v="Electric Generators, Independent Power Producers"/>
    <x v="0"/>
    <n v="1408370"/>
  </r>
  <r>
    <x v="4"/>
    <x v="31"/>
    <s v="Electric Generators, Independent Power Producers"/>
    <x v="2"/>
    <n v="15083"/>
  </r>
  <r>
    <x v="4"/>
    <x v="31"/>
    <s v="Electric Generators, Independent Power Producers"/>
    <x v="3"/>
    <n v="705122"/>
  </r>
  <r>
    <x v="4"/>
    <x v="31"/>
    <s v="Electric Generators, Independent Power Producers"/>
    <x v="8"/>
    <n v="661123"/>
  </r>
  <r>
    <x v="4"/>
    <x v="31"/>
    <s v="Electric Generators, Independent Power Producers"/>
    <x v="4"/>
    <n v="27042"/>
  </r>
  <r>
    <x v="4"/>
    <x v="31"/>
    <s v="Electric Generators, Electric Utilities"/>
    <x v="0"/>
    <n v="31931596"/>
  </r>
  <r>
    <x v="4"/>
    <x v="31"/>
    <s v="Electric Generators, Electric Utilities"/>
    <x v="1"/>
    <n v="4646622"/>
  </r>
  <r>
    <x v="4"/>
    <x v="31"/>
    <s v="Electric Generators, Electric Utilities"/>
    <x v="3"/>
    <n v="3666307"/>
  </r>
  <r>
    <x v="4"/>
    <x v="31"/>
    <s v="Electric Generators, Electric Utilities"/>
    <x v="7"/>
    <n v="22129335"/>
  </r>
  <r>
    <x v="4"/>
    <x v="31"/>
    <s v="Electric Generators, Electric Utilities"/>
    <x v="4"/>
    <n v="1656066"/>
  </r>
  <r>
    <x v="4"/>
    <x v="31"/>
    <s v="Electric Generators, Electric Utilities"/>
    <x v="10"/>
    <n v="-166734"/>
  </r>
  <r>
    <x v="4"/>
    <x v="31"/>
    <s v="Combined Heat and Power, Industrial Power"/>
    <x v="0"/>
    <n v="2844870"/>
  </r>
  <r>
    <x v="4"/>
    <x v="31"/>
    <s v="Combined Heat and Power, Industrial Power"/>
    <x v="3"/>
    <n v="2502717"/>
  </r>
  <r>
    <x v="4"/>
    <x v="31"/>
    <s v="Combined Heat and Power, Industrial Power"/>
    <x v="9"/>
    <n v="101509"/>
  </r>
  <r>
    <x v="4"/>
    <x v="31"/>
    <s v="Combined Heat and Power, Industrial Power"/>
    <x v="4"/>
    <n v="240644"/>
  </r>
  <r>
    <x v="4"/>
    <x v="31"/>
    <s v="Combined Heat and Power, Electric Power"/>
    <x v="0"/>
    <n v="12108423"/>
  </r>
  <r>
    <x v="4"/>
    <x v="31"/>
    <s v="Combined Heat and Power, Electric Power"/>
    <x v="1"/>
    <n v="1025589"/>
  </r>
  <r>
    <x v="4"/>
    <x v="31"/>
    <s v="Combined Heat and Power, Electric Power"/>
    <x v="3"/>
    <n v="10185998"/>
  </r>
  <r>
    <x v="4"/>
    <x v="31"/>
    <s v="Combined Heat and Power, Electric Power"/>
    <x v="8"/>
    <n v="471771"/>
  </r>
  <r>
    <x v="4"/>
    <x v="31"/>
    <s v="Combined Heat and Power, Electric Power"/>
    <x v="4"/>
    <n v="425065"/>
  </r>
  <r>
    <x v="4"/>
    <x v="31"/>
    <s v="Combined Heat and Power, Commercial Power"/>
    <x v="0"/>
    <n v="142083"/>
  </r>
  <r>
    <x v="4"/>
    <x v="31"/>
    <s v="Combined Heat and Power, Commercial Power"/>
    <x v="3"/>
    <n v="131684"/>
  </r>
  <r>
    <x v="4"/>
    <x v="31"/>
    <s v="Combined Heat and Power, Commercial Power"/>
    <x v="8"/>
    <n v="2488"/>
  </r>
  <r>
    <x v="4"/>
    <x v="31"/>
    <s v="Combined Heat and Power, Commercial Power"/>
    <x v="4"/>
    <n v="7911"/>
  </r>
  <r>
    <x v="4"/>
    <x v="32"/>
    <s v="Total Electric Power Industry"/>
    <x v="0"/>
    <n v="30390674"/>
  </r>
  <r>
    <x v="4"/>
    <x v="32"/>
    <s v="Total Electric Power Industry"/>
    <x v="1"/>
    <n v="26752349"/>
  </r>
  <r>
    <x v="4"/>
    <x v="32"/>
    <s v="Total Electric Power Industry"/>
    <x v="2"/>
    <n v="212890"/>
  </r>
  <r>
    <x v="4"/>
    <x v="32"/>
    <s v="Total Electric Power Industry"/>
    <x v="3"/>
    <n v="3388937"/>
  </r>
  <r>
    <x v="4"/>
    <x v="32"/>
    <s v="Total Electric Power Industry"/>
    <x v="8"/>
    <n v="10802"/>
  </r>
  <r>
    <x v="4"/>
    <x v="32"/>
    <s v="Total Electric Power Industry"/>
    <x v="4"/>
    <n v="25696"/>
  </r>
  <r>
    <x v="4"/>
    <x v="32"/>
    <s v="Electric Generators, Electric Utilities"/>
    <x v="0"/>
    <n v="30018011"/>
  </r>
  <r>
    <x v="4"/>
    <x v="32"/>
    <s v="Electric Generators, Electric Utilities"/>
    <x v="1"/>
    <n v="26752349"/>
  </r>
  <r>
    <x v="4"/>
    <x v="32"/>
    <s v="Electric Generators, Electric Utilities"/>
    <x v="2"/>
    <n v="212890"/>
  </r>
  <r>
    <x v="4"/>
    <x v="32"/>
    <s v="Electric Generators, Electric Utilities"/>
    <x v="3"/>
    <n v="3029843"/>
  </r>
  <r>
    <x v="4"/>
    <x v="32"/>
    <s v="Electric Generators, Electric Utilities"/>
    <x v="4"/>
    <n v="22929"/>
  </r>
  <r>
    <x v="4"/>
    <x v="32"/>
    <s v="Combined Heat and Power, Industrial Power"/>
    <x v="0"/>
    <n v="333558"/>
  </r>
  <r>
    <x v="4"/>
    <x v="32"/>
    <s v="Combined Heat and Power, Industrial Power"/>
    <x v="3"/>
    <n v="330791"/>
  </r>
  <r>
    <x v="4"/>
    <x v="32"/>
    <s v="Combined Heat and Power, Industrial Power"/>
    <x v="4"/>
    <n v="2767"/>
  </r>
  <r>
    <x v="4"/>
    <x v="32"/>
    <s v="Combined Heat and Power, Electric Power"/>
    <x v="0"/>
    <n v="18112"/>
  </r>
  <r>
    <x v="4"/>
    <x v="32"/>
    <s v="Combined Heat and Power, Electric Power"/>
    <x v="3"/>
    <n v="7310"/>
  </r>
  <r>
    <x v="4"/>
    <x v="32"/>
    <s v="Combined Heat and Power, Electric Power"/>
    <x v="8"/>
    <n v="10802"/>
  </r>
  <r>
    <x v="4"/>
    <x v="32"/>
    <s v="Combined Heat and Power, Commercial Power"/>
    <x v="0"/>
    <n v="20993"/>
  </r>
  <r>
    <x v="4"/>
    <x v="32"/>
    <s v="Combined Heat and Power, Commercial Power"/>
    <x v="3"/>
    <n v="20993"/>
  </r>
  <r>
    <x v="4"/>
    <x v="33"/>
    <s v="Total Electric Power Industry"/>
    <x v="0"/>
    <n v="24517727"/>
  </r>
  <r>
    <x v="4"/>
    <x v="33"/>
    <s v="Total Electric Power Industry"/>
    <x v="1"/>
    <n v="15324714"/>
  </r>
  <r>
    <x v="4"/>
    <x v="33"/>
    <s v="Total Electric Power Industry"/>
    <x v="11"/>
    <n v="1494930"/>
  </r>
  <r>
    <x v="4"/>
    <x v="33"/>
    <s v="Total Electric Power Industry"/>
    <x v="2"/>
    <n v="1875889"/>
  </r>
  <r>
    <x v="4"/>
    <x v="33"/>
    <s v="Total Electric Power Industry"/>
    <x v="3"/>
    <n v="5629626"/>
  </r>
  <r>
    <x v="4"/>
    <x v="33"/>
    <s v="Total Electric Power Industry"/>
    <x v="12"/>
    <n v="24888"/>
  </r>
  <r>
    <x v="4"/>
    <x v="33"/>
    <s v="Total Electric Power Industry"/>
    <x v="4"/>
    <n v="167680"/>
  </r>
  <r>
    <x v="4"/>
    <x v="33"/>
    <s v="Electric Generators, Independent Power Producers"/>
    <x v="0"/>
    <n v="1565207"/>
  </r>
  <r>
    <x v="4"/>
    <x v="33"/>
    <s v="Electric Generators, Independent Power Producers"/>
    <x v="11"/>
    <n v="1494930"/>
  </r>
  <r>
    <x v="4"/>
    <x v="33"/>
    <s v="Electric Generators, Independent Power Producers"/>
    <x v="2"/>
    <n v="10129"/>
  </r>
  <r>
    <x v="4"/>
    <x v="33"/>
    <s v="Electric Generators, Independent Power Producers"/>
    <x v="3"/>
    <n v="58914"/>
  </r>
  <r>
    <x v="4"/>
    <x v="33"/>
    <s v="Electric Generators, Independent Power Producers"/>
    <x v="4"/>
    <n v="1234"/>
  </r>
  <r>
    <x v="4"/>
    <x v="33"/>
    <s v="Electric Generators, Electric Utilities"/>
    <x v="0"/>
    <n v="20519076"/>
  </r>
  <r>
    <x v="4"/>
    <x v="33"/>
    <s v="Electric Generators, Electric Utilities"/>
    <x v="1"/>
    <n v="15324714"/>
  </r>
  <r>
    <x v="4"/>
    <x v="33"/>
    <s v="Electric Generators, Electric Utilities"/>
    <x v="2"/>
    <n v="1865760"/>
  </r>
  <r>
    <x v="4"/>
    <x v="33"/>
    <s v="Electric Generators, Electric Utilities"/>
    <x v="3"/>
    <n v="3162156"/>
  </r>
  <r>
    <x v="4"/>
    <x v="33"/>
    <s v="Electric Generators, Electric Utilities"/>
    <x v="4"/>
    <n v="166446"/>
  </r>
  <r>
    <x v="4"/>
    <x v="33"/>
    <s v="Combined Heat and Power, Electric Power"/>
    <x v="0"/>
    <n v="2433444"/>
  </r>
  <r>
    <x v="4"/>
    <x v="33"/>
    <s v="Combined Heat and Power, Electric Power"/>
    <x v="3"/>
    <n v="2408556"/>
  </r>
  <r>
    <x v="4"/>
    <x v="33"/>
    <s v="Combined Heat and Power, Electric Power"/>
    <x v="12"/>
    <n v="24888"/>
  </r>
  <r>
    <x v="4"/>
    <x v="34"/>
    <s v="Total Electric Power Industry"/>
    <x v="0"/>
    <n v="126029572"/>
  </r>
  <r>
    <x v="4"/>
    <x v="34"/>
    <s v="Total Electric Power Industry"/>
    <x v="1"/>
    <n v="23290656"/>
  </r>
  <r>
    <x v="4"/>
    <x v="34"/>
    <s v="Total Electric Power Industry"/>
    <x v="2"/>
    <n v="27791257"/>
  </r>
  <r>
    <x v="4"/>
    <x v="34"/>
    <s v="Total Electric Power Industry"/>
    <x v="3"/>
    <n v="32229929"/>
  </r>
  <r>
    <x v="4"/>
    <x v="34"/>
    <s v="Total Electric Power Industry"/>
    <x v="7"/>
    <n v="29231434"/>
  </r>
  <r>
    <x v="4"/>
    <x v="34"/>
    <s v="Total Electric Power Industry"/>
    <x v="8"/>
    <n v="1904068"/>
  </r>
  <r>
    <x v="4"/>
    <x v="34"/>
    <s v="Total Electric Power Industry"/>
    <x v="9"/>
    <n v="94206"/>
  </r>
  <r>
    <x v="4"/>
    <x v="34"/>
    <s v="Total Electric Power Industry"/>
    <x v="4"/>
    <n v="12030378"/>
  </r>
  <r>
    <x v="4"/>
    <x v="34"/>
    <s v="Total Electric Power Industry"/>
    <x v="10"/>
    <n v="-1145844"/>
  </r>
  <r>
    <x v="4"/>
    <x v="34"/>
    <s v="Total Electric Power Industry"/>
    <x v="6"/>
    <n v="603488"/>
  </r>
  <r>
    <x v="4"/>
    <x v="34"/>
    <s v="Electric Generators, Independent Power Producers"/>
    <x v="0"/>
    <n v="3039862"/>
  </r>
  <r>
    <x v="4"/>
    <x v="34"/>
    <s v="Electric Generators, Independent Power Producers"/>
    <x v="2"/>
    <n v="1310381"/>
  </r>
  <r>
    <x v="4"/>
    <x v="34"/>
    <s v="Electric Generators, Independent Power Producers"/>
    <x v="3"/>
    <n v="45570"/>
  </r>
  <r>
    <x v="4"/>
    <x v="34"/>
    <s v="Electric Generators, Independent Power Producers"/>
    <x v="8"/>
    <n v="1457656"/>
  </r>
  <r>
    <x v="4"/>
    <x v="34"/>
    <s v="Electric Generators, Independent Power Producers"/>
    <x v="9"/>
    <n v="612"/>
  </r>
  <r>
    <x v="4"/>
    <x v="34"/>
    <s v="Electric Generators, Independent Power Producers"/>
    <x v="4"/>
    <n v="25092"/>
  </r>
  <r>
    <x v="4"/>
    <x v="34"/>
    <s v="Electric Generators, Independent Power Producers"/>
    <x v="6"/>
    <n v="200551"/>
  </r>
  <r>
    <x v="4"/>
    <x v="34"/>
    <s v="Electric Generators, Electric Utilities"/>
    <x v="0"/>
    <n v="103762902"/>
  </r>
  <r>
    <x v="4"/>
    <x v="34"/>
    <s v="Electric Generators, Electric Utilities"/>
    <x v="1"/>
    <n v="20859090"/>
  </r>
  <r>
    <x v="4"/>
    <x v="34"/>
    <s v="Electric Generators, Electric Utilities"/>
    <x v="2"/>
    <n v="26345630"/>
  </r>
  <r>
    <x v="4"/>
    <x v="34"/>
    <s v="Electric Generators, Electric Utilities"/>
    <x v="3"/>
    <n v="17463636"/>
  </r>
  <r>
    <x v="4"/>
    <x v="34"/>
    <s v="Electric Generators, Electric Utilities"/>
    <x v="7"/>
    <n v="29231434"/>
  </r>
  <r>
    <x v="4"/>
    <x v="34"/>
    <s v="Electric Generators, Electric Utilities"/>
    <x v="4"/>
    <n v="10998162"/>
  </r>
  <r>
    <x v="4"/>
    <x v="34"/>
    <s v="Electric Generators, Electric Utilities"/>
    <x v="10"/>
    <n v="-1145844"/>
  </r>
  <r>
    <x v="4"/>
    <x v="34"/>
    <s v="Electric Generators, Electric Utilities"/>
    <x v="6"/>
    <n v="10794"/>
  </r>
  <r>
    <x v="4"/>
    <x v="34"/>
    <s v="Combined Heat and Power, Industrial Power"/>
    <x v="0"/>
    <n v="4365639"/>
  </r>
  <r>
    <x v="4"/>
    <x v="34"/>
    <s v="Combined Heat and Power, Industrial Power"/>
    <x v="1"/>
    <n v="1055786"/>
  </r>
  <r>
    <x v="4"/>
    <x v="34"/>
    <s v="Combined Heat and Power, Industrial Power"/>
    <x v="2"/>
    <n v="130710"/>
  </r>
  <r>
    <x v="4"/>
    <x v="34"/>
    <s v="Combined Heat and Power, Industrial Power"/>
    <x v="3"/>
    <n v="2508251"/>
  </r>
  <r>
    <x v="4"/>
    <x v="34"/>
    <s v="Combined Heat and Power, Industrial Power"/>
    <x v="8"/>
    <n v="5199"/>
  </r>
  <r>
    <x v="4"/>
    <x v="34"/>
    <s v="Combined Heat and Power, Industrial Power"/>
    <x v="9"/>
    <n v="93594"/>
  </r>
  <r>
    <x v="4"/>
    <x v="34"/>
    <s v="Combined Heat and Power, Industrial Power"/>
    <x v="4"/>
    <n v="349943"/>
  </r>
  <r>
    <x v="4"/>
    <x v="34"/>
    <s v="Combined Heat and Power, Industrial Power"/>
    <x v="6"/>
    <n v="222156"/>
  </r>
  <r>
    <x v="4"/>
    <x v="34"/>
    <s v="Combined Heat and Power, Electric Power"/>
    <x v="0"/>
    <n v="13943074"/>
  </r>
  <r>
    <x v="4"/>
    <x v="34"/>
    <s v="Combined Heat and Power, Electric Power"/>
    <x v="1"/>
    <n v="1353421"/>
  </r>
  <r>
    <x v="4"/>
    <x v="34"/>
    <s v="Combined Heat and Power, Electric Power"/>
    <x v="3"/>
    <n v="11382113"/>
  </r>
  <r>
    <x v="4"/>
    <x v="34"/>
    <s v="Combined Heat and Power, Electric Power"/>
    <x v="8"/>
    <n v="426269"/>
  </r>
  <r>
    <x v="4"/>
    <x v="34"/>
    <s v="Combined Heat and Power, Electric Power"/>
    <x v="4"/>
    <n v="611284"/>
  </r>
  <r>
    <x v="4"/>
    <x v="34"/>
    <s v="Combined Heat and Power, Electric Power"/>
    <x v="6"/>
    <n v="169987"/>
  </r>
  <r>
    <x v="4"/>
    <x v="34"/>
    <s v="Combined Heat and Power, Commercial Power"/>
    <x v="0"/>
    <n v="918095"/>
  </r>
  <r>
    <x v="4"/>
    <x v="34"/>
    <s v="Combined Heat and Power, Commercial Power"/>
    <x v="1"/>
    <n v="22359"/>
  </r>
  <r>
    <x v="4"/>
    <x v="34"/>
    <s v="Combined Heat and Power, Commercial Power"/>
    <x v="2"/>
    <n v="4536"/>
  </r>
  <r>
    <x v="4"/>
    <x v="34"/>
    <s v="Combined Heat and Power, Commercial Power"/>
    <x v="3"/>
    <n v="830359"/>
  </r>
  <r>
    <x v="4"/>
    <x v="34"/>
    <s v="Combined Heat and Power, Commercial Power"/>
    <x v="8"/>
    <n v="14944"/>
  </r>
  <r>
    <x v="4"/>
    <x v="34"/>
    <s v="Combined Heat and Power, Commercial Power"/>
    <x v="4"/>
    <n v="45897"/>
  </r>
  <r>
    <x v="4"/>
    <x v="35"/>
    <s v="Total Electric Power Industry"/>
    <x v="0"/>
    <n v="131763610"/>
  </r>
  <r>
    <x v="4"/>
    <x v="35"/>
    <s v="Total Electric Power Industry"/>
    <x v="1"/>
    <n v="119169558"/>
  </r>
  <r>
    <x v="4"/>
    <x v="35"/>
    <s v="Total Electric Power Industry"/>
    <x v="2"/>
    <n v="191771"/>
  </r>
  <r>
    <x v="4"/>
    <x v="35"/>
    <s v="Total Electric Power Industry"/>
    <x v="3"/>
    <n v="371591"/>
  </r>
  <r>
    <x v="4"/>
    <x v="35"/>
    <s v="Total Electric Power Industry"/>
    <x v="7"/>
    <n v="10952247"/>
  </r>
  <r>
    <x v="4"/>
    <x v="35"/>
    <s v="Total Electric Power Industry"/>
    <x v="8"/>
    <n v="28830"/>
  </r>
  <r>
    <x v="4"/>
    <x v="35"/>
    <s v="Total Electric Power Industry"/>
    <x v="9"/>
    <n v="144300"/>
  </r>
  <r>
    <x v="4"/>
    <x v="35"/>
    <s v="Total Electric Power Industry"/>
    <x v="4"/>
    <n v="424488"/>
  </r>
  <r>
    <x v="4"/>
    <x v="35"/>
    <s v="Total Electric Power Industry"/>
    <x v="6"/>
    <n v="480825"/>
  </r>
  <r>
    <x v="4"/>
    <x v="35"/>
    <s v="Electric Generators, Independent Power Producers"/>
    <x v="0"/>
    <n v="2950"/>
  </r>
  <r>
    <x v="4"/>
    <x v="35"/>
    <s v="Electric Generators, Independent Power Producers"/>
    <x v="2"/>
    <n v="2950"/>
  </r>
  <r>
    <x v="4"/>
    <x v="35"/>
    <s v="Electric Generators, Electric Utilities"/>
    <x v="0"/>
    <n v="129020582"/>
  </r>
  <r>
    <x v="4"/>
    <x v="35"/>
    <s v="Electric Generators, Electric Utilities"/>
    <x v="1"/>
    <n v="117354244"/>
  </r>
  <r>
    <x v="4"/>
    <x v="35"/>
    <s v="Electric Generators, Electric Utilities"/>
    <x v="2"/>
    <n v="188821"/>
  </r>
  <r>
    <x v="4"/>
    <x v="35"/>
    <s v="Electric Generators, Electric Utilities"/>
    <x v="3"/>
    <n v="152957"/>
  </r>
  <r>
    <x v="4"/>
    <x v="35"/>
    <s v="Electric Generators, Electric Utilities"/>
    <x v="7"/>
    <n v="10952247"/>
  </r>
  <r>
    <x v="4"/>
    <x v="35"/>
    <s v="Electric Generators, Electric Utilities"/>
    <x v="8"/>
    <n v="0"/>
  </r>
  <r>
    <x v="4"/>
    <x v="35"/>
    <s v="Electric Generators, Electric Utilities"/>
    <x v="4"/>
    <n v="372313"/>
  </r>
  <r>
    <x v="4"/>
    <x v="35"/>
    <s v="Combined Heat and Power, Industrial Power"/>
    <x v="0"/>
    <n v="1379118"/>
  </r>
  <r>
    <x v="4"/>
    <x v="35"/>
    <s v="Combined Heat and Power, Industrial Power"/>
    <x v="1"/>
    <n v="551404"/>
  </r>
  <r>
    <x v="4"/>
    <x v="35"/>
    <s v="Combined Heat and Power, Industrial Power"/>
    <x v="3"/>
    <n v="155208"/>
  </r>
  <r>
    <x v="4"/>
    <x v="35"/>
    <s v="Combined Heat and Power, Industrial Power"/>
    <x v="9"/>
    <n v="144300"/>
  </r>
  <r>
    <x v="4"/>
    <x v="35"/>
    <s v="Combined Heat and Power, Industrial Power"/>
    <x v="4"/>
    <n v="47381"/>
  </r>
  <r>
    <x v="4"/>
    <x v="35"/>
    <s v="Combined Heat and Power, Industrial Power"/>
    <x v="6"/>
    <n v="480825"/>
  </r>
  <r>
    <x v="4"/>
    <x v="35"/>
    <s v="Combined Heat and Power, Electric Power"/>
    <x v="0"/>
    <n v="1304995"/>
  </r>
  <r>
    <x v="4"/>
    <x v="35"/>
    <s v="Combined Heat and Power, Electric Power"/>
    <x v="1"/>
    <n v="1263743"/>
  </r>
  <r>
    <x v="4"/>
    <x v="35"/>
    <s v="Combined Heat and Power, Electric Power"/>
    <x v="3"/>
    <n v="20882"/>
  </r>
  <r>
    <x v="4"/>
    <x v="35"/>
    <s v="Combined Heat and Power, Electric Power"/>
    <x v="8"/>
    <n v="20370"/>
  </r>
  <r>
    <x v="4"/>
    <x v="35"/>
    <s v="Combined Heat and Power, Commercial Power"/>
    <x v="0"/>
    <n v="55965"/>
  </r>
  <r>
    <x v="4"/>
    <x v="35"/>
    <s v="Combined Heat and Power, Commercial Power"/>
    <x v="1"/>
    <n v="167"/>
  </r>
  <r>
    <x v="4"/>
    <x v="35"/>
    <s v="Combined Heat and Power, Commercial Power"/>
    <x v="3"/>
    <n v="42544"/>
  </r>
  <r>
    <x v="4"/>
    <x v="35"/>
    <s v="Combined Heat and Power, Commercial Power"/>
    <x v="8"/>
    <n v="8460"/>
  </r>
  <r>
    <x v="4"/>
    <x v="35"/>
    <s v="Combined Heat and Power, Commercial Power"/>
    <x v="4"/>
    <n v="4794"/>
  </r>
  <r>
    <x v="4"/>
    <x v="36"/>
    <s v="Total Electric Power Industry"/>
    <x v="0"/>
    <n v="50058772"/>
  </r>
  <r>
    <x v="4"/>
    <x v="36"/>
    <s v="Total Electric Power Industry"/>
    <x v="1"/>
    <n v="30500847"/>
  </r>
  <r>
    <x v="4"/>
    <x v="36"/>
    <s v="Total Electric Power Industry"/>
    <x v="2"/>
    <n v="2514648"/>
  </r>
  <r>
    <x v="4"/>
    <x v="36"/>
    <s v="Total Electric Power Industry"/>
    <x v="3"/>
    <n v="16708882"/>
  </r>
  <r>
    <x v="4"/>
    <x v="36"/>
    <s v="Total Electric Power Industry"/>
    <x v="8"/>
    <n v="0"/>
  </r>
  <r>
    <x v="4"/>
    <x v="36"/>
    <s v="Total Electric Power Industry"/>
    <x v="9"/>
    <n v="70396"/>
  </r>
  <r>
    <x v="4"/>
    <x v="36"/>
    <s v="Total Electric Power Industry"/>
    <x v="4"/>
    <n v="42621"/>
  </r>
  <r>
    <x v="4"/>
    <x v="36"/>
    <s v="Total Electric Power Industry"/>
    <x v="10"/>
    <n v="-50013"/>
  </r>
  <r>
    <x v="4"/>
    <x v="36"/>
    <s v="Total Electric Power Industry"/>
    <x v="6"/>
    <n v="271391"/>
  </r>
  <r>
    <x v="4"/>
    <x v="36"/>
    <s v="Electric Generators, Electric Utilities"/>
    <x v="0"/>
    <n v="45380625"/>
  </r>
  <r>
    <x v="4"/>
    <x v="36"/>
    <s v="Electric Generators, Electric Utilities"/>
    <x v="1"/>
    <n v="27453911"/>
  </r>
  <r>
    <x v="4"/>
    <x v="36"/>
    <s v="Electric Generators, Electric Utilities"/>
    <x v="2"/>
    <n v="2514648"/>
  </r>
  <r>
    <x v="4"/>
    <x v="36"/>
    <s v="Electric Generators, Electric Utilities"/>
    <x v="3"/>
    <n v="15450623"/>
  </r>
  <r>
    <x v="4"/>
    <x v="36"/>
    <s v="Electric Generators, Electric Utilities"/>
    <x v="4"/>
    <n v="11456"/>
  </r>
  <r>
    <x v="4"/>
    <x v="36"/>
    <s v="Electric Generators, Electric Utilities"/>
    <x v="10"/>
    <n v="-50013"/>
  </r>
  <r>
    <x v="4"/>
    <x v="36"/>
    <s v="Combined Heat and Power, Industrial Power"/>
    <x v="0"/>
    <n v="1251394"/>
  </r>
  <r>
    <x v="4"/>
    <x v="36"/>
    <s v="Combined Heat and Power, Industrial Power"/>
    <x v="1"/>
    <n v="423486"/>
  </r>
  <r>
    <x v="4"/>
    <x v="36"/>
    <s v="Combined Heat and Power, Industrial Power"/>
    <x v="3"/>
    <n v="454956"/>
  </r>
  <r>
    <x v="4"/>
    <x v="36"/>
    <s v="Combined Heat and Power, Industrial Power"/>
    <x v="8"/>
    <n v="0"/>
  </r>
  <r>
    <x v="4"/>
    <x v="36"/>
    <s v="Combined Heat and Power, Industrial Power"/>
    <x v="9"/>
    <n v="70396"/>
  </r>
  <r>
    <x v="4"/>
    <x v="36"/>
    <s v="Combined Heat and Power, Industrial Power"/>
    <x v="4"/>
    <n v="31165"/>
  </r>
  <r>
    <x v="4"/>
    <x v="36"/>
    <s v="Combined Heat and Power, Industrial Power"/>
    <x v="6"/>
    <n v="271391"/>
  </r>
  <r>
    <x v="4"/>
    <x v="36"/>
    <s v="Combined Heat and Power, Electric Power"/>
    <x v="0"/>
    <n v="3381386"/>
  </r>
  <r>
    <x v="4"/>
    <x v="36"/>
    <s v="Combined Heat and Power, Electric Power"/>
    <x v="1"/>
    <n v="2623450"/>
  </r>
  <r>
    <x v="4"/>
    <x v="36"/>
    <s v="Combined Heat and Power, Electric Power"/>
    <x v="3"/>
    <n v="757936"/>
  </r>
  <r>
    <x v="4"/>
    <x v="36"/>
    <s v="Combined Heat and Power, Commercial Power"/>
    <x v="0"/>
    <n v="45367"/>
  </r>
  <r>
    <x v="4"/>
    <x v="36"/>
    <s v="Combined Heat and Power, Commercial Power"/>
    <x v="3"/>
    <n v="45367"/>
  </r>
  <r>
    <x v="4"/>
    <x v="37"/>
    <s v="Total Electric Power Industry"/>
    <x v="0"/>
    <n v="38440812"/>
  </r>
  <r>
    <x v="4"/>
    <x v="37"/>
    <s v="Total Electric Power Industry"/>
    <x v="1"/>
    <n v="3833470"/>
  </r>
  <r>
    <x v="4"/>
    <x v="37"/>
    <s v="Total Electric Power Industry"/>
    <x v="2"/>
    <n v="31220298"/>
  </r>
  <r>
    <x v="4"/>
    <x v="37"/>
    <s v="Total Electric Power Industry"/>
    <x v="3"/>
    <n v="2835884"/>
  </r>
  <r>
    <x v="4"/>
    <x v="37"/>
    <s v="Total Electric Power Industry"/>
    <x v="8"/>
    <n v="95930"/>
  </r>
  <r>
    <x v="4"/>
    <x v="37"/>
    <s v="Total Electric Power Industry"/>
    <x v="4"/>
    <n v="7296"/>
  </r>
  <r>
    <x v="4"/>
    <x v="37"/>
    <s v="Total Electric Power Industry"/>
    <x v="6"/>
    <n v="447934"/>
  </r>
  <r>
    <x v="4"/>
    <x v="37"/>
    <s v="Electric Generators, Independent Power Producers"/>
    <x v="0"/>
    <n v="399364"/>
  </r>
  <r>
    <x v="4"/>
    <x v="37"/>
    <s v="Electric Generators, Independent Power Producers"/>
    <x v="2"/>
    <n v="303311"/>
  </r>
  <r>
    <x v="4"/>
    <x v="37"/>
    <s v="Electric Generators, Independent Power Producers"/>
    <x v="3"/>
    <n v="123"/>
  </r>
  <r>
    <x v="4"/>
    <x v="37"/>
    <s v="Electric Generators, Independent Power Producers"/>
    <x v="8"/>
    <n v="95930"/>
  </r>
  <r>
    <x v="4"/>
    <x v="37"/>
    <s v="Electric Generators, Electric Utilities"/>
    <x v="0"/>
    <n v="37490089"/>
  </r>
  <r>
    <x v="4"/>
    <x v="37"/>
    <s v="Electric Generators, Electric Utilities"/>
    <x v="1"/>
    <n v="3814009"/>
  </r>
  <r>
    <x v="4"/>
    <x v="37"/>
    <s v="Electric Generators, Electric Utilities"/>
    <x v="2"/>
    <n v="30915908"/>
  </r>
  <r>
    <x v="4"/>
    <x v="37"/>
    <s v="Electric Generators, Electric Utilities"/>
    <x v="3"/>
    <n v="2754774"/>
  </r>
  <r>
    <x v="4"/>
    <x v="37"/>
    <s v="Electric Generators, Electric Utilities"/>
    <x v="8"/>
    <n v="0"/>
  </r>
  <r>
    <x v="4"/>
    <x v="37"/>
    <s v="Electric Generators, Electric Utilities"/>
    <x v="4"/>
    <n v="5398"/>
  </r>
  <r>
    <x v="4"/>
    <x v="37"/>
    <s v="Electric Generators, Electric Utilities"/>
    <x v="6"/>
    <n v="0"/>
  </r>
  <r>
    <x v="4"/>
    <x v="37"/>
    <s v="Combined Heat and Power, Industrial Power"/>
    <x v="0"/>
    <n v="275521"/>
  </r>
  <r>
    <x v="4"/>
    <x v="37"/>
    <s v="Combined Heat and Power, Industrial Power"/>
    <x v="1"/>
    <n v="19461"/>
  </r>
  <r>
    <x v="4"/>
    <x v="37"/>
    <s v="Combined Heat and Power, Industrial Power"/>
    <x v="2"/>
    <n v="1079"/>
  </r>
  <r>
    <x v="4"/>
    <x v="37"/>
    <s v="Combined Heat and Power, Industrial Power"/>
    <x v="3"/>
    <n v="50024"/>
  </r>
  <r>
    <x v="4"/>
    <x v="37"/>
    <s v="Combined Heat and Power, Industrial Power"/>
    <x v="4"/>
    <n v="1898"/>
  </r>
  <r>
    <x v="4"/>
    <x v="37"/>
    <s v="Combined Heat and Power, Industrial Power"/>
    <x v="6"/>
    <n v="203059"/>
  </r>
  <r>
    <x v="4"/>
    <x v="37"/>
    <s v="Combined Heat and Power, Electric Power"/>
    <x v="0"/>
    <n v="275838"/>
  </r>
  <r>
    <x v="4"/>
    <x v="37"/>
    <s v="Combined Heat and Power, Electric Power"/>
    <x v="3"/>
    <n v="30963"/>
  </r>
  <r>
    <x v="4"/>
    <x v="37"/>
    <s v="Combined Heat and Power, Electric Power"/>
    <x v="6"/>
    <n v="244875"/>
  </r>
  <r>
    <x v="4"/>
    <x v="38"/>
    <s v="Total Electric Power Industry"/>
    <x v="0"/>
    <n v="184078701"/>
  </r>
  <r>
    <x v="4"/>
    <x v="38"/>
    <s v="Total Electric Power Industry"/>
    <x v="1"/>
    <n v="101867590"/>
  </r>
  <r>
    <x v="4"/>
    <x v="38"/>
    <s v="Total Electric Power Industry"/>
    <x v="2"/>
    <n v="2749785"/>
  </r>
  <r>
    <x v="4"/>
    <x v="38"/>
    <s v="Total Electric Power Industry"/>
    <x v="3"/>
    <n v="4079764"/>
  </r>
  <r>
    <x v="4"/>
    <x v="38"/>
    <s v="Total Electric Power Industry"/>
    <x v="7"/>
    <n v="67206815"/>
  </r>
  <r>
    <x v="4"/>
    <x v="38"/>
    <s v="Total Electric Power Industry"/>
    <x v="12"/>
    <n v="82723"/>
  </r>
  <r>
    <x v="4"/>
    <x v="38"/>
    <s v="Total Electric Power Industry"/>
    <x v="8"/>
    <n v="1428098"/>
  </r>
  <r>
    <x v="4"/>
    <x v="38"/>
    <s v="Total Electric Power Industry"/>
    <x v="9"/>
    <n v="972163"/>
  </r>
  <r>
    <x v="4"/>
    <x v="38"/>
    <s v="Total Electric Power Industry"/>
    <x v="4"/>
    <n v="5824309"/>
  </r>
  <r>
    <x v="4"/>
    <x v="38"/>
    <s v="Total Electric Power Industry"/>
    <x v="10"/>
    <n v="-843069"/>
  </r>
  <r>
    <x v="4"/>
    <x v="38"/>
    <s v="Total Electric Power Industry"/>
    <x v="6"/>
    <n v="710523"/>
  </r>
  <r>
    <x v="4"/>
    <x v="38"/>
    <s v="Electric Generators, Independent Power Producers"/>
    <x v="0"/>
    <n v="3330908"/>
  </r>
  <r>
    <x v="4"/>
    <x v="38"/>
    <s v="Electric Generators, Independent Power Producers"/>
    <x v="1"/>
    <n v="1725138"/>
  </r>
  <r>
    <x v="4"/>
    <x v="38"/>
    <s v="Electric Generators, Independent Power Producers"/>
    <x v="2"/>
    <n v="394575"/>
  </r>
  <r>
    <x v="4"/>
    <x v="38"/>
    <s v="Electric Generators, Independent Power Producers"/>
    <x v="3"/>
    <n v="13600"/>
  </r>
  <r>
    <x v="4"/>
    <x v="38"/>
    <s v="Electric Generators, Independent Power Producers"/>
    <x v="8"/>
    <n v="1172438"/>
  </r>
  <r>
    <x v="4"/>
    <x v="38"/>
    <s v="Electric Generators, Independent Power Producers"/>
    <x v="9"/>
    <n v="2046"/>
  </r>
  <r>
    <x v="4"/>
    <x v="38"/>
    <s v="Electric Generators, Independent Power Producers"/>
    <x v="4"/>
    <n v="23111"/>
  </r>
  <r>
    <x v="4"/>
    <x v="38"/>
    <s v="Electric Generators, Electric Utilities"/>
    <x v="0"/>
    <n v="169029050"/>
  </r>
  <r>
    <x v="4"/>
    <x v="38"/>
    <s v="Electric Generators, Electric Utilities"/>
    <x v="1"/>
    <n v="93951561"/>
  </r>
  <r>
    <x v="4"/>
    <x v="38"/>
    <s v="Electric Generators, Electric Utilities"/>
    <x v="2"/>
    <n v="2355210"/>
  </r>
  <r>
    <x v="4"/>
    <x v="38"/>
    <s v="Electric Generators, Electric Utilities"/>
    <x v="3"/>
    <n v="1176042"/>
  </r>
  <r>
    <x v="4"/>
    <x v="38"/>
    <s v="Electric Generators, Electric Utilities"/>
    <x v="7"/>
    <n v="67206815"/>
  </r>
  <r>
    <x v="4"/>
    <x v="38"/>
    <s v="Electric Generators, Electric Utilities"/>
    <x v="4"/>
    <n v="5182491"/>
  </r>
  <r>
    <x v="4"/>
    <x v="38"/>
    <s v="Electric Generators, Electric Utilities"/>
    <x v="10"/>
    <n v="-843069"/>
  </r>
  <r>
    <x v="4"/>
    <x v="38"/>
    <s v="Combined Heat and Power, Industrial Power"/>
    <x v="0"/>
    <n v="4749806"/>
  </r>
  <r>
    <x v="4"/>
    <x v="38"/>
    <s v="Combined Heat and Power, Industrial Power"/>
    <x v="1"/>
    <n v="1721211"/>
  </r>
  <r>
    <x v="4"/>
    <x v="38"/>
    <s v="Combined Heat and Power, Industrial Power"/>
    <x v="3"/>
    <n v="1249574"/>
  </r>
  <r>
    <x v="4"/>
    <x v="38"/>
    <s v="Combined Heat and Power, Industrial Power"/>
    <x v="12"/>
    <n v="766"/>
  </r>
  <r>
    <x v="4"/>
    <x v="38"/>
    <s v="Combined Heat and Power, Industrial Power"/>
    <x v="9"/>
    <n v="966242"/>
  </r>
  <r>
    <x v="4"/>
    <x v="38"/>
    <s v="Combined Heat and Power, Industrial Power"/>
    <x v="4"/>
    <n v="288513"/>
  </r>
  <r>
    <x v="4"/>
    <x v="38"/>
    <s v="Combined Heat and Power, Industrial Power"/>
    <x v="6"/>
    <n v="523500"/>
  </r>
  <r>
    <x v="4"/>
    <x v="38"/>
    <s v="Combined Heat and Power, Electric Power"/>
    <x v="0"/>
    <n v="6588010"/>
  </r>
  <r>
    <x v="4"/>
    <x v="38"/>
    <s v="Combined Heat and Power, Electric Power"/>
    <x v="1"/>
    <n v="4459224"/>
  </r>
  <r>
    <x v="4"/>
    <x v="38"/>
    <s v="Combined Heat and Power, Electric Power"/>
    <x v="3"/>
    <n v="1496908"/>
  </r>
  <r>
    <x v="4"/>
    <x v="38"/>
    <s v="Combined Heat and Power, Electric Power"/>
    <x v="12"/>
    <n v="81957"/>
  </r>
  <r>
    <x v="4"/>
    <x v="38"/>
    <s v="Combined Heat and Power, Electric Power"/>
    <x v="8"/>
    <n v="39606"/>
  </r>
  <r>
    <x v="4"/>
    <x v="38"/>
    <s v="Combined Heat and Power, Electric Power"/>
    <x v="9"/>
    <n v="3875"/>
  </r>
  <r>
    <x v="4"/>
    <x v="38"/>
    <s v="Combined Heat and Power, Electric Power"/>
    <x v="4"/>
    <n v="319417"/>
  </r>
  <r>
    <x v="4"/>
    <x v="38"/>
    <s v="Combined Heat and Power, Electric Power"/>
    <x v="6"/>
    <n v="187023"/>
  </r>
  <r>
    <x v="4"/>
    <x v="38"/>
    <s v="Combined Heat and Power, Commercial Power"/>
    <x v="0"/>
    <n v="380927"/>
  </r>
  <r>
    <x v="4"/>
    <x v="38"/>
    <s v="Combined Heat and Power, Commercial Power"/>
    <x v="1"/>
    <n v="10456"/>
  </r>
  <r>
    <x v="4"/>
    <x v="38"/>
    <s v="Combined Heat and Power, Commercial Power"/>
    <x v="3"/>
    <n v="143640"/>
  </r>
  <r>
    <x v="4"/>
    <x v="38"/>
    <s v="Combined Heat and Power, Commercial Power"/>
    <x v="8"/>
    <n v="216054"/>
  </r>
  <r>
    <x v="4"/>
    <x v="38"/>
    <s v="Combined Heat and Power, Commercial Power"/>
    <x v="4"/>
    <n v="10777"/>
  </r>
  <r>
    <x v="4"/>
    <x v="39"/>
    <s v="Total Electric Power Industry"/>
    <x v="0"/>
    <n v="4732920"/>
  </r>
  <r>
    <x v="4"/>
    <x v="39"/>
    <s v="Total Electric Power Industry"/>
    <x v="1"/>
    <n v="0"/>
  </r>
  <r>
    <x v="4"/>
    <x v="39"/>
    <s v="Total Electric Power Industry"/>
    <x v="2"/>
    <n v="9349"/>
  </r>
  <r>
    <x v="4"/>
    <x v="39"/>
    <s v="Total Electric Power Industry"/>
    <x v="3"/>
    <n v="4560679"/>
  </r>
  <r>
    <x v="4"/>
    <x v="39"/>
    <s v="Total Electric Power Industry"/>
    <x v="8"/>
    <n v="75683"/>
  </r>
  <r>
    <x v="4"/>
    <x v="39"/>
    <s v="Total Electric Power Industry"/>
    <x v="9"/>
    <n v="1862"/>
  </r>
  <r>
    <x v="4"/>
    <x v="39"/>
    <s v="Total Electric Power Industry"/>
    <x v="4"/>
    <n v="85347"/>
  </r>
  <r>
    <x v="4"/>
    <x v="39"/>
    <s v="Electric Generators, Independent Power Producers"/>
    <x v="0"/>
    <n v="4191414"/>
  </r>
  <r>
    <x v="4"/>
    <x v="39"/>
    <s v="Electric Generators, Independent Power Producers"/>
    <x v="2"/>
    <n v="9349"/>
  </r>
  <r>
    <x v="4"/>
    <x v="39"/>
    <s v="Electric Generators, Independent Power Producers"/>
    <x v="3"/>
    <n v="4105852"/>
  </r>
  <r>
    <x v="4"/>
    <x v="39"/>
    <s v="Electric Generators, Independent Power Producers"/>
    <x v="8"/>
    <n v="75683"/>
  </r>
  <r>
    <x v="4"/>
    <x v="39"/>
    <s v="Electric Generators, Independent Power Producers"/>
    <x v="4"/>
    <n v="530"/>
  </r>
  <r>
    <x v="4"/>
    <x v="39"/>
    <s v="Electric Generators, Electric Utilities"/>
    <x v="0"/>
    <n v="68641"/>
  </r>
  <r>
    <x v="4"/>
    <x v="39"/>
    <s v="Electric Generators, Electric Utilities"/>
    <x v="1"/>
    <n v="0"/>
  </r>
  <r>
    <x v="4"/>
    <x v="39"/>
    <s v="Electric Generators, Electric Utilities"/>
    <x v="2"/>
    <n v="0"/>
  </r>
  <r>
    <x v="4"/>
    <x v="39"/>
    <s v="Electric Generators, Electric Utilities"/>
    <x v="3"/>
    <n v="34805"/>
  </r>
  <r>
    <x v="4"/>
    <x v="39"/>
    <s v="Electric Generators, Electric Utilities"/>
    <x v="4"/>
    <n v="33836"/>
  </r>
  <r>
    <x v="4"/>
    <x v="39"/>
    <s v="Combined Heat and Power, Industrial Power"/>
    <x v="0"/>
    <n v="21211"/>
  </r>
  <r>
    <x v="4"/>
    <x v="39"/>
    <s v="Combined Heat and Power, Industrial Power"/>
    <x v="3"/>
    <n v="16199"/>
  </r>
  <r>
    <x v="4"/>
    <x v="39"/>
    <s v="Combined Heat and Power, Industrial Power"/>
    <x v="9"/>
    <n v="1862"/>
  </r>
  <r>
    <x v="4"/>
    <x v="39"/>
    <s v="Combined Heat and Power, Industrial Power"/>
    <x v="4"/>
    <n v="3150"/>
  </r>
  <r>
    <x v="4"/>
    <x v="39"/>
    <s v="Combined Heat and Power, Electric Power"/>
    <x v="0"/>
    <n v="399568"/>
  </r>
  <r>
    <x v="4"/>
    <x v="39"/>
    <s v="Combined Heat and Power, Electric Power"/>
    <x v="3"/>
    <n v="380065"/>
  </r>
  <r>
    <x v="4"/>
    <x v="39"/>
    <s v="Combined Heat and Power, Electric Power"/>
    <x v="4"/>
    <n v="19503"/>
  </r>
  <r>
    <x v="4"/>
    <x v="39"/>
    <s v="Combined Heat and Power, Commercial Power"/>
    <x v="0"/>
    <n v="52086"/>
  </r>
  <r>
    <x v="4"/>
    <x v="39"/>
    <s v="Combined Heat and Power, Commercial Power"/>
    <x v="3"/>
    <n v="23758"/>
  </r>
  <r>
    <x v="4"/>
    <x v="39"/>
    <s v="Combined Heat and Power, Commercial Power"/>
    <x v="4"/>
    <n v="28328"/>
  </r>
  <r>
    <x v="4"/>
    <x v="40"/>
    <s v="Total Electric Power Industry"/>
    <x v="0"/>
    <n v="76942522"/>
  </r>
  <r>
    <x v="4"/>
    <x v="40"/>
    <s v="Total Electric Power Industry"/>
    <x v="1"/>
    <n v="27741115"/>
  </r>
  <r>
    <x v="4"/>
    <x v="40"/>
    <s v="Total Electric Power Industry"/>
    <x v="2"/>
    <n v="3034952"/>
  </r>
  <r>
    <x v="4"/>
    <x v="40"/>
    <s v="Total Electric Power Industry"/>
    <x v="3"/>
    <n v="363700"/>
  </r>
  <r>
    <x v="4"/>
    <x v="40"/>
    <s v="Total Electric Power Industry"/>
    <x v="7"/>
    <n v="44466176"/>
  </r>
  <r>
    <x v="4"/>
    <x v="40"/>
    <s v="Total Electric Power Industry"/>
    <x v="12"/>
    <n v="4794"/>
  </r>
  <r>
    <x v="4"/>
    <x v="40"/>
    <s v="Total Electric Power Industry"/>
    <x v="8"/>
    <n v="55431"/>
  </r>
  <r>
    <x v="4"/>
    <x v="40"/>
    <s v="Total Electric Power Industry"/>
    <x v="9"/>
    <n v="17368"/>
  </r>
  <r>
    <x v="4"/>
    <x v="40"/>
    <s v="Total Electric Power Industry"/>
    <x v="4"/>
    <n v="240744"/>
  </r>
  <r>
    <x v="4"/>
    <x v="40"/>
    <s v="Total Electric Power Industry"/>
    <x v="10"/>
    <n v="-620856"/>
  </r>
  <r>
    <x v="4"/>
    <x v="40"/>
    <s v="Total Electric Power Industry"/>
    <x v="6"/>
    <n v="1639098"/>
  </r>
  <r>
    <x v="4"/>
    <x v="40"/>
    <s v="Electric Generators, Independent Power Producers"/>
    <x v="0"/>
    <n v="64305"/>
  </r>
  <r>
    <x v="4"/>
    <x v="40"/>
    <s v="Electric Generators, Independent Power Producers"/>
    <x v="2"/>
    <n v="64305"/>
  </r>
  <r>
    <x v="4"/>
    <x v="40"/>
    <s v="Electric Generators, Electric Utilities"/>
    <x v="0"/>
    <n v="74193685"/>
  </r>
  <r>
    <x v="4"/>
    <x v="40"/>
    <s v="Electric Generators, Electric Utilities"/>
    <x v="1"/>
    <n v="26993543"/>
  </r>
  <r>
    <x v="4"/>
    <x v="40"/>
    <s v="Electric Generators, Electric Utilities"/>
    <x v="2"/>
    <n v="2967874"/>
  </r>
  <r>
    <x v="4"/>
    <x v="40"/>
    <s v="Electric Generators, Electric Utilities"/>
    <x v="3"/>
    <n v="278698"/>
  </r>
  <r>
    <x v="4"/>
    <x v="40"/>
    <s v="Electric Generators, Electric Utilities"/>
    <x v="7"/>
    <n v="44466176"/>
  </r>
  <r>
    <x v="4"/>
    <x v="40"/>
    <s v="Electric Generators, Electric Utilities"/>
    <x v="4"/>
    <n v="108250"/>
  </r>
  <r>
    <x v="4"/>
    <x v="40"/>
    <s v="Electric Generators, Electric Utilities"/>
    <x v="10"/>
    <n v="-620856"/>
  </r>
  <r>
    <x v="4"/>
    <x v="40"/>
    <s v="Combined Heat and Power, Industrial Power"/>
    <x v="0"/>
    <n v="2609068"/>
  </r>
  <r>
    <x v="4"/>
    <x v="40"/>
    <s v="Combined Heat and Power, Industrial Power"/>
    <x v="1"/>
    <n v="747572"/>
  </r>
  <r>
    <x v="4"/>
    <x v="40"/>
    <s v="Combined Heat and Power, Industrial Power"/>
    <x v="3"/>
    <n v="66911"/>
  </r>
  <r>
    <x v="4"/>
    <x v="40"/>
    <s v="Combined Heat and Power, Industrial Power"/>
    <x v="12"/>
    <n v="4794"/>
  </r>
  <r>
    <x v="4"/>
    <x v="40"/>
    <s v="Combined Heat and Power, Industrial Power"/>
    <x v="8"/>
    <n v="4946"/>
  </r>
  <r>
    <x v="4"/>
    <x v="40"/>
    <s v="Combined Heat and Power, Industrial Power"/>
    <x v="9"/>
    <n v="17368"/>
  </r>
  <r>
    <x v="4"/>
    <x v="40"/>
    <s v="Combined Heat and Power, Industrial Power"/>
    <x v="4"/>
    <n v="128379"/>
  </r>
  <r>
    <x v="4"/>
    <x v="40"/>
    <s v="Combined Heat and Power, Industrial Power"/>
    <x v="6"/>
    <n v="1639098"/>
  </r>
  <r>
    <x v="4"/>
    <x v="40"/>
    <s v="Combined Heat and Power, Commercial Power"/>
    <x v="0"/>
    <n v="75464"/>
  </r>
  <r>
    <x v="4"/>
    <x v="40"/>
    <s v="Combined Heat and Power, Commercial Power"/>
    <x v="2"/>
    <n v="2773"/>
  </r>
  <r>
    <x v="4"/>
    <x v="40"/>
    <s v="Combined Heat and Power, Commercial Power"/>
    <x v="3"/>
    <n v="18091"/>
  </r>
  <r>
    <x v="4"/>
    <x v="40"/>
    <s v="Combined Heat and Power, Commercial Power"/>
    <x v="8"/>
    <n v="50485"/>
  </r>
  <r>
    <x v="4"/>
    <x v="40"/>
    <s v="Combined Heat and Power, Commercial Power"/>
    <x v="4"/>
    <n v="4115"/>
  </r>
  <r>
    <x v="4"/>
    <x v="41"/>
    <s v="Total Electric Power Industry"/>
    <x v="0"/>
    <n v="7991260"/>
  </r>
  <r>
    <x v="4"/>
    <x v="41"/>
    <s v="Total Electric Power Industry"/>
    <x v="1"/>
    <n v="2833332"/>
  </r>
  <r>
    <x v="4"/>
    <x v="41"/>
    <s v="Total Electric Power Industry"/>
    <x v="2"/>
    <n v="5128760"/>
  </r>
  <r>
    <x v="4"/>
    <x v="41"/>
    <s v="Total Electric Power Industry"/>
    <x v="3"/>
    <n v="8437"/>
  </r>
  <r>
    <x v="4"/>
    <x v="41"/>
    <s v="Total Electric Power Industry"/>
    <x v="4"/>
    <n v="20731"/>
  </r>
  <r>
    <x v="4"/>
    <x v="41"/>
    <s v="Electric Generators, Electric Utilities"/>
    <x v="0"/>
    <n v="7991260"/>
  </r>
  <r>
    <x v="4"/>
    <x v="41"/>
    <s v="Electric Generators, Electric Utilities"/>
    <x v="1"/>
    <n v="2833332"/>
  </r>
  <r>
    <x v="4"/>
    <x v="41"/>
    <s v="Electric Generators, Electric Utilities"/>
    <x v="2"/>
    <n v="5128760"/>
  </r>
  <r>
    <x v="4"/>
    <x v="41"/>
    <s v="Electric Generators, Electric Utilities"/>
    <x v="3"/>
    <n v="8437"/>
  </r>
  <r>
    <x v="4"/>
    <x v="41"/>
    <s v="Electric Generators, Electric Utilities"/>
    <x v="4"/>
    <n v="20731"/>
  </r>
  <r>
    <x v="4"/>
    <x v="42"/>
    <s v="Total Electric Power Industry"/>
    <x v="0"/>
    <n v="78334957"/>
  </r>
  <r>
    <x v="4"/>
    <x v="42"/>
    <s v="Total Electric Power Industry"/>
    <x v="1"/>
    <n v="53708548"/>
  </r>
  <r>
    <x v="4"/>
    <x v="42"/>
    <s v="Total Electric Power Industry"/>
    <x v="2"/>
    <n v="12027959"/>
  </r>
  <r>
    <x v="4"/>
    <x v="42"/>
    <s v="Total Electric Power Industry"/>
    <x v="3"/>
    <n v="304278"/>
  </r>
  <r>
    <x v="4"/>
    <x v="42"/>
    <s v="Total Electric Power Industry"/>
    <x v="7"/>
    <n v="11932352"/>
  </r>
  <r>
    <x v="4"/>
    <x v="42"/>
    <s v="Total Electric Power Industry"/>
    <x v="12"/>
    <n v="111676"/>
  </r>
  <r>
    <x v="4"/>
    <x v="42"/>
    <s v="Total Electric Power Industry"/>
    <x v="8"/>
    <n v="66458"/>
  </r>
  <r>
    <x v="4"/>
    <x v="42"/>
    <s v="Total Electric Power Industry"/>
    <x v="9"/>
    <n v="3030"/>
  </r>
  <r>
    <x v="4"/>
    <x v="42"/>
    <s v="Total Electric Power Industry"/>
    <x v="4"/>
    <n v="312128"/>
  </r>
  <r>
    <x v="4"/>
    <x v="42"/>
    <s v="Total Electric Power Industry"/>
    <x v="10"/>
    <n v="-592981"/>
  </r>
  <r>
    <x v="4"/>
    <x v="42"/>
    <s v="Total Electric Power Industry"/>
    <x v="6"/>
    <n v="461509"/>
  </r>
  <r>
    <x v="4"/>
    <x v="42"/>
    <s v="Electric Generators, Independent Power Producers"/>
    <x v="0"/>
    <n v="17797"/>
  </r>
  <r>
    <x v="4"/>
    <x v="42"/>
    <s v="Electric Generators, Independent Power Producers"/>
    <x v="8"/>
    <n v="17797"/>
  </r>
  <r>
    <x v="4"/>
    <x v="42"/>
    <s v="Electric Generators, Electric Utilities"/>
    <x v="0"/>
    <n v="74853548"/>
  </r>
  <r>
    <x v="4"/>
    <x v="42"/>
    <s v="Electric Generators, Electric Utilities"/>
    <x v="1"/>
    <n v="52132070"/>
  </r>
  <r>
    <x v="4"/>
    <x v="42"/>
    <s v="Electric Generators, Electric Utilities"/>
    <x v="2"/>
    <n v="10991541"/>
  </r>
  <r>
    <x v="4"/>
    <x v="42"/>
    <s v="Electric Generators, Electric Utilities"/>
    <x v="3"/>
    <n v="94605"/>
  </r>
  <r>
    <x v="4"/>
    <x v="42"/>
    <s v="Electric Generators, Electric Utilities"/>
    <x v="7"/>
    <n v="11932352"/>
  </r>
  <r>
    <x v="4"/>
    <x v="42"/>
    <s v="Electric Generators, Electric Utilities"/>
    <x v="4"/>
    <n v="295961"/>
  </r>
  <r>
    <x v="4"/>
    <x v="42"/>
    <s v="Electric Generators, Electric Utilities"/>
    <x v="10"/>
    <n v="-592981"/>
  </r>
  <r>
    <x v="4"/>
    <x v="42"/>
    <s v="Combined Heat and Power, Industrial Power"/>
    <x v="0"/>
    <n v="3367771"/>
  </r>
  <r>
    <x v="4"/>
    <x v="42"/>
    <s v="Combined Heat and Power, Industrial Power"/>
    <x v="1"/>
    <n v="1542766"/>
  </r>
  <r>
    <x v="4"/>
    <x v="42"/>
    <s v="Combined Heat and Power, Industrial Power"/>
    <x v="2"/>
    <n v="1036418"/>
  </r>
  <r>
    <x v="4"/>
    <x v="42"/>
    <s v="Combined Heat and Power, Industrial Power"/>
    <x v="3"/>
    <n v="187500"/>
  </r>
  <r>
    <x v="4"/>
    <x v="42"/>
    <s v="Combined Heat and Power, Industrial Power"/>
    <x v="12"/>
    <n v="111676"/>
  </r>
  <r>
    <x v="4"/>
    <x v="42"/>
    <s v="Combined Heat and Power, Industrial Power"/>
    <x v="8"/>
    <n v="8705"/>
  </r>
  <r>
    <x v="4"/>
    <x v="42"/>
    <s v="Combined Heat and Power, Industrial Power"/>
    <x v="9"/>
    <n v="3030"/>
  </r>
  <r>
    <x v="4"/>
    <x v="42"/>
    <s v="Combined Heat and Power, Industrial Power"/>
    <x v="4"/>
    <n v="16167"/>
  </r>
  <r>
    <x v="4"/>
    <x v="42"/>
    <s v="Combined Heat and Power, Industrial Power"/>
    <x v="6"/>
    <n v="461509"/>
  </r>
  <r>
    <x v="4"/>
    <x v="42"/>
    <s v="Combined Heat and Power, Commercial Power"/>
    <x v="0"/>
    <n v="95841"/>
  </r>
  <r>
    <x v="4"/>
    <x v="42"/>
    <s v="Combined Heat and Power, Commercial Power"/>
    <x v="1"/>
    <n v="33712"/>
  </r>
  <r>
    <x v="4"/>
    <x v="42"/>
    <s v="Combined Heat and Power, Commercial Power"/>
    <x v="3"/>
    <n v="22173"/>
  </r>
  <r>
    <x v="4"/>
    <x v="42"/>
    <s v="Combined Heat and Power, Commercial Power"/>
    <x v="8"/>
    <n v="39956"/>
  </r>
  <r>
    <x v="4"/>
    <x v="43"/>
    <s v="Total Electric Power Industry"/>
    <x v="0"/>
    <n v="307179524"/>
  </r>
  <r>
    <x v="4"/>
    <x v="43"/>
    <s v="Total Electric Power Industry"/>
    <x v="1"/>
    <n v="125145657"/>
  </r>
  <r>
    <x v="4"/>
    <x v="43"/>
    <s v="Total Electric Power Industry"/>
    <x v="2"/>
    <n v="1530436"/>
  </r>
  <r>
    <x v="4"/>
    <x v="43"/>
    <s v="Total Electric Power Industry"/>
    <x v="3"/>
    <n v="144440568"/>
  </r>
  <r>
    <x v="4"/>
    <x v="43"/>
    <s v="Total Electric Power Industry"/>
    <x v="7"/>
    <n v="28745474"/>
  </r>
  <r>
    <x v="4"/>
    <x v="43"/>
    <s v="Total Electric Power Industry"/>
    <x v="12"/>
    <n v="239260"/>
  </r>
  <r>
    <x v="4"/>
    <x v="43"/>
    <s v="Total Electric Power Industry"/>
    <x v="8"/>
    <n v="388273"/>
  </r>
  <r>
    <x v="4"/>
    <x v="43"/>
    <s v="Total Electric Power Industry"/>
    <x v="9"/>
    <n v="3539454"/>
  </r>
  <r>
    <x v="4"/>
    <x v="43"/>
    <s v="Total Electric Power Industry"/>
    <x v="4"/>
    <n v="1959891"/>
  </r>
  <r>
    <x v="4"/>
    <x v="43"/>
    <s v="Total Electric Power Industry"/>
    <x v="13"/>
    <n v="293"/>
  </r>
  <r>
    <x v="4"/>
    <x v="43"/>
    <s v="Total Electric Power Industry"/>
    <x v="6"/>
    <n v="1190218"/>
  </r>
  <r>
    <x v="4"/>
    <x v="43"/>
    <s v="Electric Generators, Independent Power Producers"/>
    <x v="0"/>
    <n v="21395"/>
  </r>
  <r>
    <x v="4"/>
    <x v="43"/>
    <s v="Electric Generators, Independent Power Producers"/>
    <x v="8"/>
    <n v="21395"/>
  </r>
  <r>
    <x v="4"/>
    <x v="43"/>
    <s v="Electric Generators, Electric Utilities"/>
    <x v="0"/>
    <n v="255140538"/>
  </r>
  <r>
    <x v="4"/>
    <x v="43"/>
    <s v="Electric Generators, Electric Utilities"/>
    <x v="1"/>
    <n v="122667859"/>
  </r>
  <r>
    <x v="4"/>
    <x v="43"/>
    <s v="Electric Generators, Electric Utilities"/>
    <x v="2"/>
    <n v="1530436"/>
  </r>
  <r>
    <x v="4"/>
    <x v="43"/>
    <s v="Electric Generators, Electric Utilities"/>
    <x v="3"/>
    <n v="101583910"/>
  </r>
  <r>
    <x v="4"/>
    <x v="43"/>
    <s v="Electric Generators, Electric Utilities"/>
    <x v="7"/>
    <n v="28745474"/>
  </r>
  <r>
    <x v="4"/>
    <x v="43"/>
    <s v="Electric Generators, Electric Utilities"/>
    <x v="8"/>
    <n v="303029"/>
  </r>
  <r>
    <x v="4"/>
    <x v="43"/>
    <s v="Electric Generators, Electric Utilities"/>
    <x v="4"/>
    <n v="309537"/>
  </r>
  <r>
    <x v="4"/>
    <x v="43"/>
    <s v="Electric Generators, Electric Utilities"/>
    <x v="13"/>
    <n v="293"/>
  </r>
  <r>
    <x v="4"/>
    <x v="43"/>
    <s v="Combined Heat and Power, Industrial Power"/>
    <x v="0"/>
    <n v="36126972"/>
  </r>
  <r>
    <x v="4"/>
    <x v="43"/>
    <s v="Combined Heat and Power, Industrial Power"/>
    <x v="1"/>
    <n v="2477798"/>
  </r>
  <r>
    <x v="4"/>
    <x v="43"/>
    <s v="Combined Heat and Power, Industrial Power"/>
    <x v="3"/>
    <n v="28745134"/>
  </r>
  <r>
    <x v="4"/>
    <x v="43"/>
    <s v="Combined Heat and Power, Industrial Power"/>
    <x v="12"/>
    <n v="106976"/>
  </r>
  <r>
    <x v="4"/>
    <x v="43"/>
    <s v="Combined Heat and Power, Industrial Power"/>
    <x v="8"/>
    <n v="57311"/>
  </r>
  <r>
    <x v="4"/>
    <x v="43"/>
    <s v="Combined Heat and Power, Industrial Power"/>
    <x v="9"/>
    <n v="3449425"/>
  </r>
  <r>
    <x v="4"/>
    <x v="43"/>
    <s v="Combined Heat and Power, Industrial Power"/>
    <x v="4"/>
    <n v="100110"/>
  </r>
  <r>
    <x v="4"/>
    <x v="43"/>
    <s v="Combined Heat and Power, Industrial Power"/>
    <x v="6"/>
    <n v="1190218"/>
  </r>
  <r>
    <x v="4"/>
    <x v="43"/>
    <s v="Combined Heat and Power, Electric Power"/>
    <x v="0"/>
    <n v="15447585"/>
  </r>
  <r>
    <x v="4"/>
    <x v="43"/>
    <s v="Combined Heat and Power, Electric Power"/>
    <x v="3"/>
    <n v="13679003"/>
  </r>
  <r>
    <x v="4"/>
    <x v="43"/>
    <s v="Combined Heat and Power, Electric Power"/>
    <x v="12"/>
    <n v="132284"/>
  </r>
  <r>
    <x v="4"/>
    <x v="43"/>
    <s v="Combined Heat and Power, Electric Power"/>
    <x v="9"/>
    <n v="90029"/>
  </r>
  <r>
    <x v="4"/>
    <x v="43"/>
    <s v="Combined Heat and Power, Electric Power"/>
    <x v="4"/>
    <n v="1546269"/>
  </r>
  <r>
    <x v="4"/>
    <x v="43"/>
    <s v="Combined Heat and Power, Commercial Power"/>
    <x v="0"/>
    <n v="443034"/>
  </r>
  <r>
    <x v="4"/>
    <x v="43"/>
    <s v="Combined Heat and Power, Commercial Power"/>
    <x v="3"/>
    <n v="432521"/>
  </r>
  <r>
    <x v="4"/>
    <x v="43"/>
    <s v="Combined Heat and Power, Commercial Power"/>
    <x v="8"/>
    <n v="6538"/>
  </r>
  <r>
    <x v="4"/>
    <x v="43"/>
    <s v="Combined Heat and Power, Commercial Power"/>
    <x v="4"/>
    <n v="3975"/>
  </r>
  <r>
    <x v="4"/>
    <x v="44"/>
    <s v="Total Electric Power Industry"/>
    <x v="0"/>
    <n v="3247522388"/>
  </r>
  <r>
    <x v="4"/>
    <x v="44"/>
    <s v="Total Electric Power Industry"/>
    <x v="1"/>
    <n v="1690693864"/>
  </r>
  <r>
    <x v="4"/>
    <x v="44"/>
    <s v="Total Electric Power Industry"/>
    <x v="11"/>
    <n v="15535453"/>
  </r>
  <r>
    <x v="4"/>
    <x v="44"/>
    <s v="Total Electric Power Industry"/>
    <x v="2"/>
    <n v="260125733"/>
  </r>
  <r>
    <x v="4"/>
    <x v="44"/>
    <s v="Total Electric Power Industry"/>
    <x v="3"/>
    <n v="460218682"/>
  </r>
  <r>
    <x v="4"/>
    <x v="44"/>
    <s v="Total Electric Power Industry"/>
    <x v="7"/>
    <n v="640439832"/>
  </r>
  <r>
    <x v="4"/>
    <x v="44"/>
    <s v="Total Electric Power Industry"/>
    <x v="12"/>
    <n v="3666925"/>
  </r>
  <r>
    <x v="4"/>
    <x v="44"/>
    <s v="Total Electric Power Industry"/>
    <x v="8"/>
    <n v="19128595"/>
  </r>
  <r>
    <x v="4"/>
    <x v="44"/>
    <s v="Total Electric Power Industry"/>
    <x v="9"/>
    <n v="13319051"/>
  </r>
  <r>
    <x v="4"/>
    <x v="44"/>
    <s v="Total Electric Power Industry"/>
    <x v="4"/>
    <n v="105900983"/>
  </r>
  <r>
    <x v="4"/>
    <x v="44"/>
    <s v="Total Electric Power Industry"/>
    <x v="10"/>
    <n v="-3377825"/>
  </r>
  <r>
    <x v="4"/>
    <x v="44"/>
    <s v="Total Electric Power Industry"/>
    <x v="13"/>
    <n v="486622"/>
  </r>
  <r>
    <x v="4"/>
    <x v="44"/>
    <s v="Total Electric Power Industry"/>
    <x v="5"/>
    <n v="3447109"/>
  </r>
  <r>
    <x v="4"/>
    <x v="44"/>
    <s v="Total Electric Power Industry"/>
    <x v="6"/>
    <n v="37937364"/>
  </r>
  <r>
    <x v="4"/>
    <x v="44"/>
    <s v="Electric Generators, Independent Power Producers"/>
    <x v="0"/>
    <n v="54513595"/>
  </r>
  <r>
    <x v="4"/>
    <x v="44"/>
    <s v="Electric Generators, Independent Power Producers"/>
    <x v="1"/>
    <n v="4369560"/>
  </r>
  <r>
    <x v="4"/>
    <x v="44"/>
    <s v="Electric Generators, Independent Power Producers"/>
    <x v="11"/>
    <n v="8594816"/>
  </r>
  <r>
    <x v="4"/>
    <x v="44"/>
    <s v="Electric Generators, Independent Power Producers"/>
    <x v="2"/>
    <n v="6933888"/>
  </r>
  <r>
    <x v="4"/>
    <x v="44"/>
    <s v="Electric Generators, Independent Power Producers"/>
    <x v="3"/>
    <n v="8603072"/>
  </r>
  <r>
    <x v="4"/>
    <x v="44"/>
    <s v="Electric Generators, Independent Power Producers"/>
    <x v="8"/>
    <n v="14159831"/>
  </r>
  <r>
    <x v="4"/>
    <x v="44"/>
    <s v="Electric Generators, Independent Power Producers"/>
    <x v="9"/>
    <n v="6614"/>
  </r>
  <r>
    <x v="4"/>
    <x v="44"/>
    <s v="Electric Generators, Independent Power Producers"/>
    <x v="4"/>
    <n v="1046522"/>
  </r>
  <r>
    <x v="4"/>
    <x v="44"/>
    <s v="Electric Generators, Independent Power Producers"/>
    <x v="13"/>
    <n v="483150"/>
  </r>
  <r>
    <x v="4"/>
    <x v="44"/>
    <s v="Electric Generators, Independent Power Producers"/>
    <x v="5"/>
    <n v="3446800"/>
  </r>
  <r>
    <x v="4"/>
    <x v="44"/>
    <s v="Electric Generators, Independent Power Producers"/>
    <x v="6"/>
    <n v="6869342"/>
  </r>
  <r>
    <x v="4"/>
    <x v="44"/>
    <s v="Electric Generators, Electric Utilities"/>
    <x v="0"/>
    <n v="2910712079"/>
  </r>
  <r>
    <x v="4"/>
    <x v="44"/>
    <s v="Electric Generators, Electric Utilities"/>
    <x v="1"/>
    <n v="1635492971"/>
  </r>
  <r>
    <x v="4"/>
    <x v="44"/>
    <s v="Electric Generators, Electric Utilities"/>
    <x v="11"/>
    <n v="6940637"/>
  </r>
  <r>
    <x v="4"/>
    <x v="44"/>
    <s v="Electric Generators, Electric Utilities"/>
    <x v="2"/>
    <n v="247070938"/>
  </r>
  <r>
    <x v="4"/>
    <x v="44"/>
    <s v="Electric Generators, Electric Utilities"/>
    <x v="3"/>
    <n v="291114905"/>
  </r>
  <r>
    <x v="4"/>
    <x v="44"/>
    <s v="Electric Generators, Electric Utilities"/>
    <x v="7"/>
    <n v="640439832"/>
  </r>
  <r>
    <x v="4"/>
    <x v="44"/>
    <s v="Electric Generators, Electric Utilities"/>
    <x v="8"/>
    <n v="1223589"/>
  </r>
  <r>
    <x v="4"/>
    <x v="44"/>
    <s v="Electric Generators, Electric Utilities"/>
    <x v="4"/>
    <n v="91038583"/>
  </r>
  <r>
    <x v="4"/>
    <x v="44"/>
    <s v="Electric Generators, Electric Utilities"/>
    <x v="10"/>
    <n v="-3377825"/>
  </r>
  <r>
    <x v="4"/>
    <x v="44"/>
    <s v="Electric Generators, Electric Utilities"/>
    <x v="13"/>
    <n v="3472"/>
  </r>
  <r>
    <x v="4"/>
    <x v="44"/>
    <s v="Electric Generators, Electric Utilities"/>
    <x v="5"/>
    <n v="309"/>
  </r>
  <r>
    <x v="4"/>
    <x v="44"/>
    <s v="Electric Generators, Electric Utilities"/>
    <x v="6"/>
    <n v="764668"/>
  </r>
  <r>
    <x v="4"/>
    <x v="44"/>
    <s v="Combined Heat and Power, Industrial Power"/>
    <x v="0"/>
    <n v="151177734"/>
  </r>
  <r>
    <x v="4"/>
    <x v="44"/>
    <s v="Combined Heat and Power, Industrial Power"/>
    <x v="1"/>
    <n v="23568143"/>
  </r>
  <r>
    <x v="4"/>
    <x v="44"/>
    <s v="Combined Heat and Power, Industrial Power"/>
    <x v="2"/>
    <n v="6028117"/>
  </r>
  <r>
    <x v="4"/>
    <x v="44"/>
    <s v="Combined Heat and Power, Industrial Power"/>
    <x v="3"/>
    <n v="69599974"/>
  </r>
  <r>
    <x v="4"/>
    <x v="44"/>
    <s v="Combined Heat and Power, Industrial Power"/>
    <x v="12"/>
    <n v="3427796"/>
  </r>
  <r>
    <x v="4"/>
    <x v="44"/>
    <s v="Combined Heat and Power, Industrial Power"/>
    <x v="8"/>
    <n v="983084"/>
  </r>
  <r>
    <x v="4"/>
    <x v="44"/>
    <s v="Combined Heat and Power, Industrial Power"/>
    <x v="9"/>
    <n v="12112481"/>
  </r>
  <r>
    <x v="4"/>
    <x v="44"/>
    <s v="Combined Heat and Power, Industrial Power"/>
    <x v="4"/>
    <n v="6807762"/>
  </r>
  <r>
    <x v="4"/>
    <x v="44"/>
    <s v="Combined Heat and Power, Industrial Power"/>
    <x v="6"/>
    <n v="28650377"/>
  </r>
  <r>
    <x v="4"/>
    <x v="44"/>
    <s v="Combined Heat and Power, Electric Power"/>
    <x v="0"/>
    <n v="123499653"/>
  </r>
  <r>
    <x v="4"/>
    <x v="44"/>
    <s v="Combined Heat and Power, Electric Power"/>
    <x v="1"/>
    <n v="26413560"/>
  </r>
  <r>
    <x v="4"/>
    <x v="44"/>
    <s v="Combined Heat and Power, Electric Power"/>
    <x v="3"/>
    <n v="85971348"/>
  </r>
  <r>
    <x v="4"/>
    <x v="44"/>
    <s v="Combined Heat and Power, Electric Power"/>
    <x v="12"/>
    <n v="239129"/>
  </r>
  <r>
    <x v="4"/>
    <x v="44"/>
    <s v="Combined Heat and Power, Electric Power"/>
    <x v="8"/>
    <n v="1600423"/>
  </r>
  <r>
    <x v="4"/>
    <x v="44"/>
    <s v="Combined Heat and Power, Electric Power"/>
    <x v="9"/>
    <n v="1085409"/>
  </r>
  <r>
    <x v="4"/>
    <x v="44"/>
    <s v="Combined Heat and Power, Electric Power"/>
    <x v="4"/>
    <n v="6591513"/>
  </r>
  <r>
    <x v="4"/>
    <x v="44"/>
    <s v="Combined Heat and Power, Electric Power"/>
    <x v="6"/>
    <n v="1598271"/>
  </r>
  <r>
    <x v="4"/>
    <x v="44"/>
    <s v="Combined Heat and Power, Commercial Power"/>
    <x v="0"/>
    <n v="7619327"/>
  </r>
  <r>
    <x v="4"/>
    <x v="44"/>
    <s v="Combined Heat and Power, Commercial Power"/>
    <x v="1"/>
    <n v="849630"/>
  </r>
  <r>
    <x v="4"/>
    <x v="44"/>
    <s v="Combined Heat and Power, Commercial Power"/>
    <x v="2"/>
    <n v="92790"/>
  </r>
  <r>
    <x v="4"/>
    <x v="44"/>
    <s v="Combined Heat and Power, Commercial Power"/>
    <x v="3"/>
    <n v="4929383"/>
  </r>
  <r>
    <x v="4"/>
    <x v="44"/>
    <s v="Combined Heat and Power, Commercial Power"/>
    <x v="8"/>
    <n v="1161668"/>
  </r>
  <r>
    <x v="4"/>
    <x v="44"/>
    <s v="Combined Heat and Power, Commercial Power"/>
    <x v="9"/>
    <n v="114547"/>
  </r>
  <r>
    <x v="4"/>
    <x v="44"/>
    <s v="Combined Heat and Power, Commercial Power"/>
    <x v="4"/>
    <n v="416603"/>
  </r>
  <r>
    <x v="4"/>
    <x v="44"/>
    <s v="Combined Heat and Power, Commercial Power"/>
    <x v="6"/>
    <n v="54706"/>
  </r>
  <r>
    <x v="4"/>
    <x v="45"/>
    <s v="Total Electric Power Industry"/>
    <x v="0"/>
    <n v="35196834"/>
  </r>
  <r>
    <x v="4"/>
    <x v="45"/>
    <s v="Total Electric Power Industry"/>
    <x v="1"/>
    <n v="33130664"/>
  </r>
  <r>
    <x v="4"/>
    <x v="45"/>
    <s v="Total Electric Power Industry"/>
    <x v="11"/>
    <n v="194804"/>
  </r>
  <r>
    <x v="4"/>
    <x v="45"/>
    <s v="Total Electric Power Industry"/>
    <x v="2"/>
    <n v="750438"/>
  </r>
  <r>
    <x v="4"/>
    <x v="45"/>
    <s v="Total Electric Power Industry"/>
    <x v="3"/>
    <n v="807259"/>
  </r>
  <r>
    <x v="4"/>
    <x v="45"/>
    <s v="Total Electric Power Industry"/>
    <x v="9"/>
    <n v="280569"/>
  </r>
  <r>
    <x v="4"/>
    <x v="45"/>
    <s v="Total Electric Power Industry"/>
    <x v="4"/>
    <n v="33100"/>
  </r>
  <r>
    <x v="4"/>
    <x v="45"/>
    <s v="Total Electric Power Industry"/>
    <x v="10"/>
    <n v="0"/>
  </r>
  <r>
    <x v="4"/>
    <x v="45"/>
    <s v="Electric Generators, Independent Power Producers"/>
    <x v="0"/>
    <n v="384365"/>
  </r>
  <r>
    <x v="4"/>
    <x v="45"/>
    <s v="Electric Generators, Independent Power Producers"/>
    <x v="1"/>
    <n v="348287"/>
  </r>
  <r>
    <x v="4"/>
    <x v="45"/>
    <s v="Electric Generators, Independent Power Producers"/>
    <x v="2"/>
    <n v="34408"/>
  </r>
  <r>
    <x v="4"/>
    <x v="45"/>
    <s v="Electric Generators, Independent Power Producers"/>
    <x v="4"/>
    <n v="1670"/>
  </r>
  <r>
    <x v="4"/>
    <x v="45"/>
    <s v="Electric Generators, Electric Utilities"/>
    <x v="0"/>
    <n v="34455058"/>
  </r>
  <r>
    <x v="4"/>
    <x v="45"/>
    <s v="Electric Generators, Electric Utilities"/>
    <x v="1"/>
    <n v="32764465"/>
  </r>
  <r>
    <x v="4"/>
    <x v="45"/>
    <s v="Electric Generators, Electric Utilities"/>
    <x v="11"/>
    <n v="194804"/>
  </r>
  <r>
    <x v="4"/>
    <x v="45"/>
    <s v="Electric Generators, Electric Utilities"/>
    <x v="2"/>
    <n v="716030"/>
  </r>
  <r>
    <x v="4"/>
    <x v="45"/>
    <s v="Electric Generators, Electric Utilities"/>
    <x v="3"/>
    <n v="749605"/>
  </r>
  <r>
    <x v="4"/>
    <x v="45"/>
    <s v="Electric Generators, Electric Utilities"/>
    <x v="4"/>
    <n v="30154"/>
  </r>
  <r>
    <x v="4"/>
    <x v="45"/>
    <s v="Electric Generators, Electric Utilities"/>
    <x v="10"/>
    <n v="0"/>
  </r>
  <r>
    <x v="4"/>
    <x v="45"/>
    <s v="Combined Heat and Power, Industrial Power"/>
    <x v="0"/>
    <n v="328318"/>
  </r>
  <r>
    <x v="4"/>
    <x v="45"/>
    <s v="Combined Heat and Power, Industrial Power"/>
    <x v="1"/>
    <n v="17912"/>
  </r>
  <r>
    <x v="4"/>
    <x v="45"/>
    <s v="Combined Heat and Power, Industrial Power"/>
    <x v="3"/>
    <n v="29837"/>
  </r>
  <r>
    <x v="4"/>
    <x v="45"/>
    <s v="Combined Heat and Power, Industrial Power"/>
    <x v="9"/>
    <n v="280569"/>
  </r>
  <r>
    <x v="4"/>
    <x v="45"/>
    <s v="Combined Heat and Power, Industrial Power"/>
    <x v="4"/>
    <n v="0"/>
  </r>
  <r>
    <x v="4"/>
    <x v="45"/>
    <s v="Combined Heat and Power, Commercial Power"/>
    <x v="0"/>
    <n v="29093"/>
  </r>
  <r>
    <x v="4"/>
    <x v="45"/>
    <s v="Combined Heat and Power, Commercial Power"/>
    <x v="3"/>
    <n v="27817"/>
  </r>
  <r>
    <x v="4"/>
    <x v="45"/>
    <s v="Combined Heat and Power, Commercial Power"/>
    <x v="4"/>
    <n v="1276"/>
  </r>
  <r>
    <x v="4"/>
    <x v="46"/>
    <s v="Total Electric Power Industry"/>
    <x v="0"/>
    <n v="62048924"/>
  </r>
  <r>
    <x v="4"/>
    <x v="46"/>
    <s v="Total Electric Power Industry"/>
    <x v="1"/>
    <n v="26590655"/>
  </r>
  <r>
    <x v="4"/>
    <x v="46"/>
    <s v="Total Electric Power Industry"/>
    <x v="2"/>
    <n v="1146116"/>
  </r>
  <r>
    <x v="4"/>
    <x v="46"/>
    <s v="Total Electric Power Industry"/>
    <x v="3"/>
    <n v="4681139"/>
  </r>
  <r>
    <x v="4"/>
    <x v="46"/>
    <s v="Total Electric Power Industry"/>
    <x v="7"/>
    <n v="25428856"/>
  </r>
  <r>
    <x v="4"/>
    <x v="46"/>
    <s v="Total Electric Power Industry"/>
    <x v="12"/>
    <n v="3291"/>
  </r>
  <r>
    <x v="4"/>
    <x v="46"/>
    <s v="Total Electric Power Industry"/>
    <x v="8"/>
    <n v="655292"/>
  </r>
  <r>
    <x v="4"/>
    <x v="46"/>
    <s v="Total Electric Power Industry"/>
    <x v="4"/>
    <n v="2890191"/>
  </r>
  <r>
    <x v="4"/>
    <x v="46"/>
    <s v="Total Electric Power Industry"/>
    <x v="10"/>
    <n v="-742235"/>
  </r>
  <r>
    <x v="4"/>
    <x v="46"/>
    <s v="Total Electric Power Industry"/>
    <x v="13"/>
    <n v="11"/>
  </r>
  <r>
    <x v="4"/>
    <x v="46"/>
    <s v="Total Electric Power Industry"/>
    <x v="6"/>
    <n v="1395608"/>
  </r>
  <r>
    <x v="4"/>
    <x v="46"/>
    <s v="Electric Generators, Independent Power Producers"/>
    <x v="0"/>
    <n v="2313070"/>
  </r>
  <r>
    <x v="4"/>
    <x v="46"/>
    <s v="Electric Generators, Independent Power Producers"/>
    <x v="2"/>
    <n v="63366"/>
  </r>
  <r>
    <x v="4"/>
    <x v="46"/>
    <s v="Electric Generators, Independent Power Producers"/>
    <x v="3"/>
    <n v="1591230"/>
  </r>
  <r>
    <x v="4"/>
    <x v="46"/>
    <s v="Electric Generators, Independent Power Producers"/>
    <x v="8"/>
    <n v="481190"/>
  </r>
  <r>
    <x v="4"/>
    <x v="46"/>
    <s v="Electric Generators, Independent Power Producers"/>
    <x v="4"/>
    <n v="95700"/>
  </r>
  <r>
    <x v="4"/>
    <x v="46"/>
    <s v="Electric Generators, Independent Power Producers"/>
    <x v="6"/>
    <n v="81584"/>
  </r>
  <r>
    <x v="4"/>
    <x v="46"/>
    <s v="Electric Generators, Electric Utilities"/>
    <x v="0"/>
    <n v="52732286"/>
  </r>
  <r>
    <x v="4"/>
    <x v="46"/>
    <s v="Electric Generators, Electric Utilities"/>
    <x v="1"/>
    <n v="22448944"/>
  </r>
  <r>
    <x v="4"/>
    <x v="46"/>
    <s v="Electric Generators, Electric Utilities"/>
    <x v="2"/>
    <n v="1070830"/>
  </r>
  <r>
    <x v="4"/>
    <x v="46"/>
    <s v="Electric Generators, Electric Utilities"/>
    <x v="3"/>
    <n v="2151992"/>
  </r>
  <r>
    <x v="4"/>
    <x v="46"/>
    <s v="Electric Generators, Electric Utilities"/>
    <x v="7"/>
    <n v="25428856"/>
  </r>
  <r>
    <x v="4"/>
    <x v="46"/>
    <s v="Electric Generators, Electric Utilities"/>
    <x v="4"/>
    <n v="2373888"/>
  </r>
  <r>
    <x v="4"/>
    <x v="46"/>
    <s v="Electric Generators, Electric Utilities"/>
    <x v="10"/>
    <n v="-742235"/>
  </r>
  <r>
    <x v="4"/>
    <x v="46"/>
    <s v="Electric Generators, Electric Utilities"/>
    <x v="13"/>
    <n v="11"/>
  </r>
  <r>
    <x v="4"/>
    <x v="46"/>
    <s v="Combined Heat and Power, Industrial Power"/>
    <x v="0"/>
    <n v="2608173"/>
  </r>
  <r>
    <x v="4"/>
    <x v="46"/>
    <s v="Combined Heat and Power, Industrial Power"/>
    <x v="1"/>
    <n v="989750"/>
  </r>
  <r>
    <x v="4"/>
    <x v="46"/>
    <s v="Combined Heat and Power, Industrial Power"/>
    <x v="2"/>
    <n v="11920"/>
  </r>
  <r>
    <x v="4"/>
    <x v="46"/>
    <s v="Combined Heat and Power, Industrial Power"/>
    <x v="3"/>
    <n v="63302"/>
  </r>
  <r>
    <x v="4"/>
    <x v="46"/>
    <s v="Combined Heat and Power, Industrial Power"/>
    <x v="12"/>
    <n v="3291"/>
  </r>
  <r>
    <x v="4"/>
    <x v="46"/>
    <s v="Combined Heat and Power, Industrial Power"/>
    <x v="8"/>
    <n v="3858"/>
  </r>
  <r>
    <x v="4"/>
    <x v="46"/>
    <s v="Combined Heat and Power, Industrial Power"/>
    <x v="4"/>
    <n v="228332"/>
  </r>
  <r>
    <x v="4"/>
    <x v="46"/>
    <s v="Combined Heat and Power, Industrial Power"/>
    <x v="6"/>
    <n v="1307720"/>
  </r>
  <r>
    <x v="4"/>
    <x v="46"/>
    <s v="Combined Heat and Power, Electric Power"/>
    <x v="0"/>
    <n v="4061981"/>
  </r>
  <r>
    <x v="4"/>
    <x v="46"/>
    <s v="Combined Heat and Power, Electric Power"/>
    <x v="1"/>
    <n v="3151961"/>
  </r>
  <r>
    <x v="4"/>
    <x v="46"/>
    <s v="Combined Heat and Power, Electric Power"/>
    <x v="3"/>
    <n v="766416"/>
  </r>
  <r>
    <x v="4"/>
    <x v="46"/>
    <s v="Combined Heat and Power, Electric Power"/>
    <x v="4"/>
    <n v="137300"/>
  </r>
  <r>
    <x v="4"/>
    <x v="46"/>
    <s v="Combined Heat and Power, Electric Power"/>
    <x v="6"/>
    <n v="6304"/>
  </r>
  <r>
    <x v="4"/>
    <x v="46"/>
    <s v="Combined Heat and Power, Commercial Power"/>
    <x v="0"/>
    <n v="333414"/>
  </r>
  <r>
    <x v="4"/>
    <x v="46"/>
    <s v="Combined Heat and Power, Commercial Power"/>
    <x v="3"/>
    <n v="108199"/>
  </r>
  <r>
    <x v="4"/>
    <x v="46"/>
    <s v="Combined Heat and Power, Commercial Power"/>
    <x v="8"/>
    <n v="170244"/>
  </r>
  <r>
    <x v="4"/>
    <x v="46"/>
    <s v="Combined Heat and Power, Commercial Power"/>
    <x v="4"/>
    <n v="54971"/>
  </r>
  <r>
    <x v="4"/>
    <x v="47"/>
    <s v="Total Electric Power Industry"/>
    <x v="0"/>
    <n v="5617030"/>
  </r>
  <r>
    <x v="4"/>
    <x v="47"/>
    <s v="Total Electric Power Industry"/>
    <x v="2"/>
    <n v="1038653"/>
  </r>
  <r>
    <x v="4"/>
    <x v="47"/>
    <s v="Total Electric Power Industry"/>
    <x v="3"/>
    <n v="5806"/>
  </r>
  <r>
    <x v="4"/>
    <x v="47"/>
    <s v="Total Electric Power Industry"/>
    <x v="7"/>
    <n v="4315544"/>
  </r>
  <r>
    <x v="4"/>
    <x v="47"/>
    <s v="Total Electric Power Industry"/>
    <x v="4"/>
    <n v="6354"/>
  </r>
  <r>
    <x v="4"/>
    <x v="47"/>
    <s v="Total Electric Power Industry"/>
    <x v="5"/>
    <n v="0"/>
  </r>
  <r>
    <x v="4"/>
    <x v="47"/>
    <s v="Total Electric Power Industry"/>
    <x v="6"/>
    <n v="250673"/>
  </r>
  <r>
    <x v="4"/>
    <x v="47"/>
    <s v="Electric Generators, Independent Power Producers"/>
    <x v="0"/>
    <n v="282113"/>
  </r>
  <r>
    <x v="4"/>
    <x v="47"/>
    <s v="Electric Generators, Independent Power Producers"/>
    <x v="2"/>
    <n v="122647"/>
  </r>
  <r>
    <x v="4"/>
    <x v="47"/>
    <s v="Electric Generators, Independent Power Producers"/>
    <x v="6"/>
    <n v="159466"/>
  </r>
  <r>
    <x v="4"/>
    <x v="47"/>
    <s v="Electric Generators, Electric Utilities"/>
    <x v="0"/>
    <n v="5293892"/>
  </r>
  <r>
    <x v="4"/>
    <x v="47"/>
    <s v="Electric Generators, Electric Utilities"/>
    <x v="2"/>
    <n v="895095"/>
  </r>
  <r>
    <x v="4"/>
    <x v="47"/>
    <s v="Electric Generators, Electric Utilities"/>
    <x v="3"/>
    <n v="5806"/>
  </r>
  <r>
    <x v="4"/>
    <x v="47"/>
    <s v="Electric Generators, Electric Utilities"/>
    <x v="7"/>
    <n v="4315544"/>
  </r>
  <r>
    <x v="4"/>
    <x v="47"/>
    <s v="Electric Generators, Electric Utilities"/>
    <x v="4"/>
    <n v="5764"/>
  </r>
  <r>
    <x v="4"/>
    <x v="47"/>
    <s v="Electric Generators, Electric Utilities"/>
    <x v="5"/>
    <n v="0"/>
  </r>
  <r>
    <x v="4"/>
    <x v="47"/>
    <s v="Electric Generators, Electric Utilities"/>
    <x v="6"/>
    <n v="71683"/>
  </r>
  <r>
    <x v="4"/>
    <x v="47"/>
    <s v="Combined Heat and Power, Industrial Power"/>
    <x v="0"/>
    <n v="41025"/>
  </r>
  <r>
    <x v="4"/>
    <x v="47"/>
    <s v="Combined Heat and Power, Industrial Power"/>
    <x v="2"/>
    <n v="20911"/>
  </r>
  <r>
    <x v="4"/>
    <x v="47"/>
    <s v="Combined Heat and Power, Industrial Power"/>
    <x v="4"/>
    <n v="590"/>
  </r>
  <r>
    <x v="4"/>
    <x v="47"/>
    <s v="Combined Heat and Power, Industrial Power"/>
    <x v="6"/>
    <n v="19524"/>
  </r>
  <r>
    <x v="4"/>
    <x v="48"/>
    <s v="Total Electric Power Industry"/>
    <x v="0"/>
    <n v="88586476"/>
  </r>
  <r>
    <x v="4"/>
    <x v="48"/>
    <s v="Total Electric Power Industry"/>
    <x v="1"/>
    <n v="9831332"/>
  </r>
  <r>
    <x v="4"/>
    <x v="48"/>
    <s v="Total Electric Power Industry"/>
    <x v="2"/>
    <n v="65575487"/>
  </r>
  <r>
    <x v="4"/>
    <x v="48"/>
    <s v="Total Electric Power Industry"/>
    <x v="3"/>
    <n v="4820582"/>
  </r>
  <r>
    <x v="4"/>
    <x v="48"/>
    <s v="Total Electric Power Industry"/>
    <x v="7"/>
    <n v="6739749"/>
  </r>
  <r>
    <x v="4"/>
    <x v="48"/>
    <s v="Total Electric Power Industry"/>
    <x v="12"/>
    <n v="31282"/>
  </r>
  <r>
    <x v="4"/>
    <x v="48"/>
    <s v="Total Electric Power Industry"/>
    <x v="8"/>
    <n v="224804"/>
  </r>
  <r>
    <x v="4"/>
    <x v="48"/>
    <s v="Total Electric Power Industry"/>
    <x v="9"/>
    <n v="299161"/>
  </r>
  <r>
    <x v="4"/>
    <x v="48"/>
    <s v="Total Electric Power Industry"/>
    <x v="4"/>
    <n v="45419"/>
  </r>
  <r>
    <x v="4"/>
    <x v="48"/>
    <s v="Total Electric Power Industry"/>
    <x v="10"/>
    <n v="0"/>
  </r>
  <r>
    <x v="4"/>
    <x v="48"/>
    <s v="Total Electric Power Industry"/>
    <x v="6"/>
    <n v="1018660"/>
  </r>
  <r>
    <x v="4"/>
    <x v="48"/>
    <s v="Electric Generators, Independent Power Producers"/>
    <x v="0"/>
    <n v="336421"/>
  </r>
  <r>
    <x v="4"/>
    <x v="48"/>
    <s v="Electric Generators, Independent Power Producers"/>
    <x v="2"/>
    <n v="156157"/>
  </r>
  <r>
    <x v="4"/>
    <x v="48"/>
    <s v="Electric Generators, Independent Power Producers"/>
    <x v="8"/>
    <n v="180264"/>
  </r>
  <r>
    <x v="4"/>
    <x v="48"/>
    <s v="Electric Generators, Electric Utilities"/>
    <x v="0"/>
    <n v="82347668"/>
  </r>
  <r>
    <x v="4"/>
    <x v="48"/>
    <s v="Electric Generators, Electric Utilities"/>
    <x v="1"/>
    <n v="9800260"/>
  </r>
  <r>
    <x v="4"/>
    <x v="48"/>
    <s v="Electric Generators, Electric Utilities"/>
    <x v="2"/>
    <n v="65200038"/>
  </r>
  <r>
    <x v="4"/>
    <x v="48"/>
    <s v="Electric Generators, Electric Utilities"/>
    <x v="3"/>
    <n v="206234"/>
  </r>
  <r>
    <x v="4"/>
    <x v="48"/>
    <s v="Electric Generators, Electric Utilities"/>
    <x v="7"/>
    <n v="6739749"/>
  </r>
  <r>
    <x v="4"/>
    <x v="48"/>
    <s v="Electric Generators, Electric Utilities"/>
    <x v="4"/>
    <n v="5728"/>
  </r>
  <r>
    <x v="4"/>
    <x v="48"/>
    <s v="Electric Generators, Electric Utilities"/>
    <x v="10"/>
    <n v="0"/>
  </r>
  <r>
    <x v="4"/>
    <x v="48"/>
    <s v="Electric Generators, Electric Utilities"/>
    <x v="6"/>
    <n v="395659"/>
  </r>
  <r>
    <x v="4"/>
    <x v="48"/>
    <s v="Combined Heat and Power, Industrial Power"/>
    <x v="0"/>
    <n v="1245440"/>
  </r>
  <r>
    <x v="4"/>
    <x v="48"/>
    <s v="Combined Heat and Power, Industrial Power"/>
    <x v="1"/>
    <n v="26421"/>
  </r>
  <r>
    <x v="4"/>
    <x v="48"/>
    <s v="Combined Heat and Power, Industrial Power"/>
    <x v="2"/>
    <n v="163244"/>
  </r>
  <r>
    <x v="4"/>
    <x v="48"/>
    <s v="Combined Heat and Power, Industrial Power"/>
    <x v="3"/>
    <n v="330470"/>
  </r>
  <r>
    <x v="4"/>
    <x v="48"/>
    <s v="Combined Heat and Power, Industrial Power"/>
    <x v="12"/>
    <n v="31282"/>
  </r>
  <r>
    <x v="4"/>
    <x v="48"/>
    <s v="Combined Heat and Power, Industrial Power"/>
    <x v="8"/>
    <n v="36857"/>
  </r>
  <r>
    <x v="4"/>
    <x v="48"/>
    <s v="Combined Heat and Power, Industrial Power"/>
    <x v="4"/>
    <n v="34165"/>
  </r>
  <r>
    <x v="4"/>
    <x v="48"/>
    <s v="Combined Heat and Power, Industrial Power"/>
    <x v="6"/>
    <n v="623001"/>
  </r>
  <r>
    <x v="4"/>
    <x v="48"/>
    <s v="Combined Heat and Power, Electric Power"/>
    <x v="0"/>
    <n v="4567805"/>
  </r>
  <r>
    <x v="4"/>
    <x v="48"/>
    <s v="Combined Heat and Power, Electric Power"/>
    <x v="3"/>
    <n v="4256142"/>
  </r>
  <r>
    <x v="4"/>
    <x v="48"/>
    <s v="Combined Heat and Power, Electric Power"/>
    <x v="8"/>
    <n v="7683"/>
  </r>
  <r>
    <x v="4"/>
    <x v="48"/>
    <s v="Combined Heat and Power, Electric Power"/>
    <x v="9"/>
    <n v="299161"/>
  </r>
  <r>
    <x v="4"/>
    <x v="48"/>
    <s v="Combined Heat and Power, Electric Power"/>
    <x v="4"/>
    <n v="4819"/>
  </r>
  <r>
    <x v="4"/>
    <x v="48"/>
    <s v="Combined Heat and Power, Commercial Power"/>
    <x v="0"/>
    <n v="89142"/>
  </r>
  <r>
    <x v="4"/>
    <x v="48"/>
    <s v="Combined Heat and Power, Commercial Power"/>
    <x v="1"/>
    <n v="4651"/>
  </r>
  <r>
    <x v="4"/>
    <x v="48"/>
    <s v="Combined Heat and Power, Commercial Power"/>
    <x v="2"/>
    <n v="56048"/>
  </r>
  <r>
    <x v="4"/>
    <x v="48"/>
    <s v="Combined Heat and Power, Commercial Power"/>
    <x v="3"/>
    <n v="27736"/>
  </r>
  <r>
    <x v="4"/>
    <x v="48"/>
    <s v="Combined Heat and Power, Commercial Power"/>
    <x v="4"/>
    <n v="707"/>
  </r>
  <r>
    <x v="4"/>
    <x v="49"/>
    <s v="Total Electric Power Industry"/>
    <x v="0"/>
    <n v="52358955"/>
  </r>
  <r>
    <x v="4"/>
    <x v="49"/>
    <s v="Total Electric Power Industry"/>
    <x v="1"/>
    <n v="36479019"/>
  </r>
  <r>
    <x v="4"/>
    <x v="49"/>
    <s v="Total Electric Power Industry"/>
    <x v="2"/>
    <n v="2228309"/>
  </r>
  <r>
    <x v="4"/>
    <x v="49"/>
    <s v="Total Electric Power Industry"/>
    <x v="3"/>
    <n v="604655"/>
  </r>
  <r>
    <x v="4"/>
    <x v="49"/>
    <s v="Total Electric Power Industry"/>
    <x v="7"/>
    <n v="11516469"/>
  </r>
  <r>
    <x v="4"/>
    <x v="49"/>
    <s v="Total Electric Power Industry"/>
    <x v="8"/>
    <n v="208344"/>
  </r>
  <r>
    <x v="4"/>
    <x v="49"/>
    <s v="Total Electric Power Industry"/>
    <x v="4"/>
    <n v="429663"/>
  </r>
  <r>
    <x v="4"/>
    <x v="49"/>
    <s v="Total Electric Power Industry"/>
    <x v="5"/>
    <n v="0"/>
  </r>
  <r>
    <x v="4"/>
    <x v="49"/>
    <s v="Total Electric Power Industry"/>
    <x v="6"/>
    <n v="892496"/>
  </r>
  <r>
    <x v="4"/>
    <x v="49"/>
    <s v="Electric Generators, Independent Power Producers"/>
    <x v="0"/>
    <n v="133217"/>
  </r>
  <r>
    <x v="4"/>
    <x v="49"/>
    <s v="Electric Generators, Independent Power Producers"/>
    <x v="2"/>
    <n v="11431"/>
  </r>
  <r>
    <x v="4"/>
    <x v="49"/>
    <s v="Electric Generators, Independent Power Producers"/>
    <x v="8"/>
    <n v="121786"/>
  </r>
  <r>
    <x v="4"/>
    <x v="49"/>
    <s v="Electric Generators, Electric Utilities"/>
    <x v="0"/>
    <n v="49437481"/>
  </r>
  <r>
    <x v="4"/>
    <x v="49"/>
    <s v="Electric Generators, Electric Utilities"/>
    <x v="1"/>
    <n v="35282695"/>
  </r>
  <r>
    <x v="4"/>
    <x v="49"/>
    <s v="Electric Generators, Electric Utilities"/>
    <x v="2"/>
    <n v="1914414"/>
  </r>
  <r>
    <x v="4"/>
    <x v="49"/>
    <s v="Electric Generators, Electric Utilities"/>
    <x v="3"/>
    <n v="286969"/>
  </r>
  <r>
    <x v="4"/>
    <x v="49"/>
    <s v="Electric Generators, Electric Utilities"/>
    <x v="7"/>
    <n v="11516469"/>
  </r>
  <r>
    <x v="4"/>
    <x v="49"/>
    <s v="Electric Generators, Electric Utilities"/>
    <x v="8"/>
    <n v="59132"/>
  </r>
  <r>
    <x v="4"/>
    <x v="49"/>
    <s v="Electric Generators, Electric Utilities"/>
    <x v="4"/>
    <n v="171563"/>
  </r>
  <r>
    <x v="4"/>
    <x v="49"/>
    <s v="Electric Generators, Electric Utilities"/>
    <x v="5"/>
    <n v="0"/>
  </r>
  <r>
    <x v="4"/>
    <x v="49"/>
    <s v="Electric Generators, Electric Utilities"/>
    <x v="6"/>
    <n v="206239"/>
  </r>
  <r>
    <x v="4"/>
    <x v="49"/>
    <s v="Combined Heat and Power, Industrial Power"/>
    <x v="0"/>
    <n v="2613701"/>
  </r>
  <r>
    <x v="4"/>
    <x v="49"/>
    <s v="Combined Heat and Power, Industrial Power"/>
    <x v="1"/>
    <n v="1142397"/>
  </r>
  <r>
    <x v="4"/>
    <x v="49"/>
    <s v="Combined Heat and Power, Industrial Power"/>
    <x v="2"/>
    <n v="298432"/>
  </r>
  <r>
    <x v="4"/>
    <x v="49"/>
    <s v="Combined Heat and Power, Industrial Power"/>
    <x v="3"/>
    <n v="216965"/>
  </r>
  <r>
    <x v="4"/>
    <x v="49"/>
    <s v="Combined Heat and Power, Industrial Power"/>
    <x v="8"/>
    <n v="17465"/>
  </r>
  <r>
    <x v="4"/>
    <x v="49"/>
    <s v="Combined Heat and Power, Industrial Power"/>
    <x v="4"/>
    <n v="254217"/>
  </r>
  <r>
    <x v="4"/>
    <x v="49"/>
    <s v="Combined Heat and Power, Industrial Power"/>
    <x v="6"/>
    <n v="684225"/>
  </r>
  <r>
    <x v="4"/>
    <x v="49"/>
    <s v="Combined Heat and Power, Electric Power"/>
    <x v="0"/>
    <n v="66553"/>
  </r>
  <r>
    <x v="4"/>
    <x v="49"/>
    <s v="Combined Heat and Power, Electric Power"/>
    <x v="1"/>
    <n v="51420"/>
  </r>
  <r>
    <x v="4"/>
    <x v="49"/>
    <s v="Combined Heat and Power, Electric Power"/>
    <x v="3"/>
    <n v="13526"/>
  </r>
  <r>
    <x v="4"/>
    <x v="49"/>
    <s v="Combined Heat and Power, Electric Power"/>
    <x v="4"/>
    <n v="63"/>
  </r>
  <r>
    <x v="4"/>
    <x v="49"/>
    <s v="Combined Heat and Power, Electric Power"/>
    <x v="6"/>
    <n v="1544"/>
  </r>
  <r>
    <x v="4"/>
    <x v="49"/>
    <s v="Combined Heat and Power, Commercial Power"/>
    <x v="0"/>
    <n v="108003"/>
  </r>
  <r>
    <x v="4"/>
    <x v="49"/>
    <s v="Combined Heat and Power, Commercial Power"/>
    <x v="1"/>
    <n v="2507"/>
  </r>
  <r>
    <x v="4"/>
    <x v="49"/>
    <s v="Combined Heat and Power, Commercial Power"/>
    <x v="2"/>
    <n v="4032"/>
  </r>
  <r>
    <x v="4"/>
    <x v="49"/>
    <s v="Combined Heat and Power, Commercial Power"/>
    <x v="3"/>
    <n v="87195"/>
  </r>
  <r>
    <x v="4"/>
    <x v="49"/>
    <s v="Combined Heat and Power, Commercial Power"/>
    <x v="8"/>
    <n v="9961"/>
  </r>
  <r>
    <x v="4"/>
    <x v="49"/>
    <s v="Combined Heat and Power, Commercial Power"/>
    <x v="4"/>
    <n v="3820"/>
  </r>
  <r>
    <x v="4"/>
    <x v="49"/>
    <s v="Combined Heat and Power, Commercial Power"/>
    <x v="6"/>
    <n v="488"/>
  </r>
  <r>
    <x v="4"/>
    <x v="50"/>
    <s v="Total Electric Power Industry"/>
    <x v="0"/>
    <n v="81429542"/>
  </r>
  <r>
    <x v="4"/>
    <x v="50"/>
    <s v="Total Electric Power Industry"/>
    <x v="1"/>
    <n v="79628566"/>
  </r>
  <r>
    <x v="4"/>
    <x v="50"/>
    <s v="Total Electric Power Industry"/>
    <x v="2"/>
    <n v="1145635"/>
  </r>
  <r>
    <x v="4"/>
    <x v="50"/>
    <s v="Total Electric Power Industry"/>
    <x v="3"/>
    <n v="170539"/>
  </r>
  <r>
    <x v="4"/>
    <x v="50"/>
    <s v="Total Electric Power Industry"/>
    <x v="12"/>
    <n v="204"/>
  </r>
  <r>
    <x v="4"/>
    <x v="50"/>
    <s v="Total Electric Power Industry"/>
    <x v="9"/>
    <n v="212708"/>
  </r>
  <r>
    <x v="4"/>
    <x v="50"/>
    <s v="Total Electric Power Industry"/>
    <x v="4"/>
    <n v="271890"/>
  </r>
  <r>
    <x v="4"/>
    <x v="50"/>
    <s v="Electric Generators, Independent Power Producers"/>
    <x v="0"/>
    <n v="1353322"/>
  </r>
  <r>
    <x v="4"/>
    <x v="50"/>
    <s v="Electric Generators, Independent Power Producers"/>
    <x v="1"/>
    <n v="1109516"/>
  </r>
  <r>
    <x v="4"/>
    <x v="50"/>
    <s v="Electric Generators, Independent Power Producers"/>
    <x v="2"/>
    <n v="239214"/>
  </r>
  <r>
    <x v="4"/>
    <x v="50"/>
    <s v="Electric Generators, Independent Power Producers"/>
    <x v="3"/>
    <n v="4592"/>
  </r>
  <r>
    <x v="4"/>
    <x v="50"/>
    <s v="Electric Generators, Electric Utilities"/>
    <x v="0"/>
    <n v="77702716"/>
  </r>
  <r>
    <x v="4"/>
    <x v="50"/>
    <s v="Electric Generators, Electric Utilities"/>
    <x v="1"/>
    <n v="77063151"/>
  </r>
  <r>
    <x v="4"/>
    <x v="50"/>
    <s v="Electric Generators, Electric Utilities"/>
    <x v="2"/>
    <n v="363003"/>
  </r>
  <r>
    <x v="4"/>
    <x v="50"/>
    <s v="Electric Generators, Electric Utilities"/>
    <x v="3"/>
    <n v="25075"/>
  </r>
  <r>
    <x v="4"/>
    <x v="50"/>
    <s v="Electric Generators, Electric Utilities"/>
    <x v="4"/>
    <n v="251487"/>
  </r>
  <r>
    <x v="4"/>
    <x v="50"/>
    <s v="Combined Heat and Power, Industrial Power"/>
    <x v="0"/>
    <n v="1959084"/>
  </r>
  <r>
    <x v="4"/>
    <x v="50"/>
    <s v="Combined Heat and Power, Industrial Power"/>
    <x v="1"/>
    <n v="1058527"/>
  </r>
  <r>
    <x v="4"/>
    <x v="50"/>
    <s v="Combined Heat and Power, Industrial Power"/>
    <x v="2"/>
    <n v="543418"/>
  </r>
  <r>
    <x v="4"/>
    <x v="50"/>
    <s v="Combined Heat and Power, Industrial Power"/>
    <x v="3"/>
    <n v="123824"/>
  </r>
  <r>
    <x v="4"/>
    <x v="50"/>
    <s v="Combined Heat and Power, Industrial Power"/>
    <x v="12"/>
    <n v="204"/>
  </r>
  <r>
    <x v="4"/>
    <x v="50"/>
    <s v="Combined Heat and Power, Industrial Power"/>
    <x v="9"/>
    <n v="212708"/>
  </r>
  <r>
    <x v="4"/>
    <x v="50"/>
    <s v="Combined Heat and Power, Industrial Power"/>
    <x v="4"/>
    <n v="20403"/>
  </r>
  <r>
    <x v="4"/>
    <x v="50"/>
    <s v="Combined Heat and Power, Electric Power"/>
    <x v="0"/>
    <n v="414420"/>
  </r>
  <r>
    <x v="4"/>
    <x v="50"/>
    <s v="Combined Heat and Power, Electric Power"/>
    <x v="1"/>
    <n v="397372"/>
  </r>
  <r>
    <x v="4"/>
    <x v="50"/>
    <s v="Combined Heat and Power, Electric Power"/>
    <x v="3"/>
    <n v="17048"/>
  </r>
  <r>
    <x v="4"/>
    <x v="51"/>
    <s v="Total Electric Power Industry"/>
    <x v="0"/>
    <n v="43002285"/>
  </r>
  <r>
    <x v="4"/>
    <x v="51"/>
    <s v="Total Electric Power Industry"/>
    <x v="1"/>
    <n v="41574239"/>
  </r>
  <r>
    <x v="4"/>
    <x v="51"/>
    <s v="Total Electric Power Industry"/>
    <x v="2"/>
    <n v="897209"/>
  </r>
  <r>
    <x v="4"/>
    <x v="51"/>
    <s v="Total Electric Power Industry"/>
    <x v="3"/>
    <n v="400856"/>
  </r>
  <r>
    <x v="4"/>
    <x v="51"/>
    <s v="Total Electric Power Industry"/>
    <x v="12"/>
    <n v="54746"/>
  </r>
  <r>
    <x v="4"/>
    <x v="51"/>
    <s v="Total Electric Power Industry"/>
    <x v="9"/>
    <n v="3224"/>
  </r>
  <r>
    <x v="4"/>
    <x v="51"/>
    <s v="Total Electric Power Industry"/>
    <x v="4"/>
    <n v="53571"/>
  </r>
  <r>
    <x v="4"/>
    <x v="51"/>
    <s v="Total Electric Power Industry"/>
    <x v="6"/>
    <n v="18440"/>
  </r>
  <r>
    <x v="4"/>
    <x v="51"/>
    <s v="Electric Generators, Electric Utilities"/>
    <x v="0"/>
    <n v="42337169"/>
  </r>
  <r>
    <x v="4"/>
    <x v="51"/>
    <s v="Electric Generators, Electric Utilities"/>
    <x v="1"/>
    <n v="41380267"/>
  </r>
  <r>
    <x v="4"/>
    <x v="51"/>
    <s v="Electric Generators, Electric Utilities"/>
    <x v="2"/>
    <n v="897209"/>
  </r>
  <r>
    <x v="4"/>
    <x v="51"/>
    <s v="Electric Generators, Electric Utilities"/>
    <x v="3"/>
    <n v="12664"/>
  </r>
  <r>
    <x v="4"/>
    <x v="51"/>
    <s v="Electric Generators, Electric Utilities"/>
    <x v="4"/>
    <n v="47029"/>
  </r>
  <r>
    <x v="4"/>
    <x v="51"/>
    <s v="Combined Heat and Power, Industrial Power"/>
    <x v="0"/>
    <n v="665116"/>
  </r>
  <r>
    <x v="4"/>
    <x v="51"/>
    <s v="Combined Heat and Power, Industrial Power"/>
    <x v="1"/>
    <n v="193972"/>
  </r>
  <r>
    <x v="4"/>
    <x v="51"/>
    <s v="Combined Heat and Power, Industrial Power"/>
    <x v="3"/>
    <n v="388192"/>
  </r>
  <r>
    <x v="4"/>
    <x v="51"/>
    <s v="Combined Heat and Power, Industrial Power"/>
    <x v="12"/>
    <n v="54746"/>
  </r>
  <r>
    <x v="4"/>
    <x v="51"/>
    <s v="Combined Heat and Power, Industrial Power"/>
    <x v="9"/>
    <n v="3224"/>
  </r>
  <r>
    <x v="4"/>
    <x v="51"/>
    <s v="Combined Heat and Power, Industrial Power"/>
    <x v="4"/>
    <n v="6542"/>
  </r>
  <r>
    <x v="4"/>
    <x v="51"/>
    <s v="Combined Heat and Power, Industrial Power"/>
    <x v="6"/>
    <n v="18440"/>
  </r>
  <r>
    <x v="5"/>
    <x v="0"/>
    <s v="Total Electric Power Industry"/>
    <x v="0"/>
    <n v="6026116"/>
  </r>
  <r>
    <x v="5"/>
    <x v="0"/>
    <s v="Total Electric Power Industry"/>
    <x v="1"/>
    <n v="528930"/>
  </r>
  <r>
    <x v="5"/>
    <x v="0"/>
    <s v="Total Electric Power Industry"/>
    <x v="2"/>
    <n v="1372115"/>
  </r>
  <r>
    <x v="5"/>
    <x v="0"/>
    <s v="Total Electric Power Industry"/>
    <x v="3"/>
    <n v="3379573"/>
  </r>
  <r>
    <x v="5"/>
    <x v="0"/>
    <s v="Total Electric Power Industry"/>
    <x v="8"/>
    <n v="13589"/>
  </r>
  <r>
    <x v="5"/>
    <x v="0"/>
    <s v="Total Electric Power Industry"/>
    <x v="4"/>
    <n v="620564"/>
  </r>
  <r>
    <x v="5"/>
    <x v="0"/>
    <s v="Total Electric Power Industry"/>
    <x v="5"/>
    <n v="0"/>
  </r>
  <r>
    <x v="5"/>
    <x v="0"/>
    <s v="Total Electric Power Industry"/>
    <x v="6"/>
    <n v="111345"/>
  </r>
  <r>
    <x v="5"/>
    <x v="0"/>
    <s v="Electric Generators, Electric Utilities"/>
    <x v="0"/>
    <n v="4846922"/>
  </r>
  <r>
    <x v="5"/>
    <x v="0"/>
    <s v="Electric Generators, Electric Utilities"/>
    <x v="1"/>
    <n v="309232"/>
  </r>
  <r>
    <x v="5"/>
    <x v="0"/>
    <s v="Electric Generators, Electric Utilities"/>
    <x v="2"/>
    <n v="1372115"/>
  </r>
  <r>
    <x v="5"/>
    <x v="0"/>
    <s v="Electric Generators, Electric Utilities"/>
    <x v="3"/>
    <n v="2678935"/>
  </r>
  <r>
    <x v="5"/>
    <x v="0"/>
    <s v="Electric Generators, Electric Utilities"/>
    <x v="4"/>
    <n v="486640"/>
  </r>
  <r>
    <x v="5"/>
    <x v="0"/>
    <s v="Electric Generators, Electric Utilities"/>
    <x v="5"/>
    <n v="0"/>
  </r>
  <r>
    <x v="5"/>
    <x v="0"/>
    <s v="Combined Heat and Power, Industrial Power"/>
    <x v="0"/>
    <n v="949354"/>
  </r>
  <r>
    <x v="5"/>
    <x v="0"/>
    <s v="Combined Heat and Power, Industrial Power"/>
    <x v="3"/>
    <n v="700638"/>
  </r>
  <r>
    <x v="5"/>
    <x v="0"/>
    <s v="Combined Heat and Power, Industrial Power"/>
    <x v="8"/>
    <n v="13589"/>
  </r>
  <r>
    <x v="5"/>
    <x v="0"/>
    <s v="Combined Heat and Power, Industrial Power"/>
    <x v="4"/>
    <n v="123782"/>
  </r>
  <r>
    <x v="5"/>
    <x v="0"/>
    <s v="Combined Heat and Power, Industrial Power"/>
    <x v="6"/>
    <n v="111345"/>
  </r>
  <r>
    <x v="5"/>
    <x v="0"/>
    <s v="Combined Heat and Power, Commercial Power"/>
    <x v="0"/>
    <n v="229840"/>
  </r>
  <r>
    <x v="5"/>
    <x v="0"/>
    <s v="Combined Heat and Power, Commercial Power"/>
    <x v="1"/>
    <n v="219698"/>
  </r>
  <r>
    <x v="5"/>
    <x v="0"/>
    <s v="Combined Heat and Power, Commercial Power"/>
    <x v="4"/>
    <n v="10142"/>
  </r>
  <r>
    <x v="5"/>
    <x v="1"/>
    <s v="Total Electric Power Industry"/>
    <x v="0"/>
    <n v="105189366"/>
  </r>
  <r>
    <x v="5"/>
    <x v="1"/>
    <s v="Total Electric Power Industry"/>
    <x v="1"/>
    <n v="69047634"/>
  </r>
  <r>
    <x v="5"/>
    <x v="1"/>
    <s v="Total Electric Power Industry"/>
    <x v="2"/>
    <n v="9501510"/>
  </r>
  <r>
    <x v="5"/>
    <x v="1"/>
    <s v="Total Electric Power Industry"/>
    <x v="3"/>
    <n v="1533384"/>
  </r>
  <r>
    <x v="5"/>
    <x v="1"/>
    <s v="Total Electric Power Industry"/>
    <x v="7"/>
    <n v="20752341"/>
  </r>
  <r>
    <x v="5"/>
    <x v="1"/>
    <s v="Total Electric Power Industry"/>
    <x v="8"/>
    <n v="7497"/>
  </r>
  <r>
    <x v="5"/>
    <x v="1"/>
    <s v="Total Electric Power Industry"/>
    <x v="9"/>
    <n v="347027"/>
  </r>
  <r>
    <x v="5"/>
    <x v="1"/>
    <s v="Total Electric Power Industry"/>
    <x v="4"/>
    <n v="201538"/>
  </r>
  <r>
    <x v="5"/>
    <x v="1"/>
    <s v="Total Electric Power Industry"/>
    <x v="6"/>
    <n v="3798435"/>
  </r>
  <r>
    <x v="5"/>
    <x v="1"/>
    <s v="Electric Generators, Independent Power Producers"/>
    <x v="0"/>
    <n v="7278"/>
  </r>
  <r>
    <x v="5"/>
    <x v="1"/>
    <s v="Electric Generators, Independent Power Producers"/>
    <x v="3"/>
    <n v="5766"/>
  </r>
  <r>
    <x v="5"/>
    <x v="1"/>
    <s v="Electric Generators, Independent Power Producers"/>
    <x v="8"/>
    <n v="1216"/>
  </r>
  <r>
    <x v="5"/>
    <x v="1"/>
    <s v="Electric Generators, Independent Power Producers"/>
    <x v="4"/>
    <n v="85"/>
  </r>
  <r>
    <x v="5"/>
    <x v="1"/>
    <s v="Electric Generators, Independent Power Producers"/>
    <x v="6"/>
    <n v="211"/>
  </r>
  <r>
    <x v="5"/>
    <x v="1"/>
    <s v="Electric Generators, Electric Utilities"/>
    <x v="0"/>
    <n v="99589284"/>
  </r>
  <r>
    <x v="5"/>
    <x v="1"/>
    <s v="Electric Generators, Electric Utilities"/>
    <x v="1"/>
    <n v="68553249"/>
  </r>
  <r>
    <x v="5"/>
    <x v="1"/>
    <s v="Electric Generators, Electric Utilities"/>
    <x v="2"/>
    <n v="9501510"/>
  </r>
  <r>
    <x v="5"/>
    <x v="1"/>
    <s v="Electric Generators, Electric Utilities"/>
    <x v="3"/>
    <n v="680468"/>
  </r>
  <r>
    <x v="5"/>
    <x v="1"/>
    <s v="Electric Generators, Electric Utilities"/>
    <x v="7"/>
    <n v="20752341"/>
  </r>
  <r>
    <x v="5"/>
    <x v="1"/>
    <s v="Electric Generators, Electric Utilities"/>
    <x v="4"/>
    <n v="101716"/>
  </r>
  <r>
    <x v="5"/>
    <x v="1"/>
    <s v="Combined Heat and Power, Industrial Power"/>
    <x v="0"/>
    <n v="4945610"/>
  </r>
  <r>
    <x v="5"/>
    <x v="1"/>
    <s v="Combined Heat and Power, Industrial Power"/>
    <x v="1"/>
    <n v="439969"/>
  </r>
  <r>
    <x v="5"/>
    <x v="1"/>
    <s v="Combined Heat and Power, Industrial Power"/>
    <x v="3"/>
    <n v="810196"/>
  </r>
  <r>
    <x v="5"/>
    <x v="1"/>
    <s v="Combined Heat and Power, Industrial Power"/>
    <x v="8"/>
    <n v="6281"/>
  </r>
  <r>
    <x v="5"/>
    <x v="1"/>
    <s v="Combined Heat and Power, Industrial Power"/>
    <x v="9"/>
    <n v="347027"/>
  </r>
  <r>
    <x v="5"/>
    <x v="1"/>
    <s v="Combined Heat and Power, Industrial Power"/>
    <x v="4"/>
    <n v="99737"/>
  </r>
  <r>
    <x v="5"/>
    <x v="1"/>
    <s v="Combined Heat and Power, Industrial Power"/>
    <x v="6"/>
    <n v="3242400"/>
  </r>
  <r>
    <x v="5"/>
    <x v="1"/>
    <s v="Combined Heat and Power, Electric Power"/>
    <x v="0"/>
    <n v="647194"/>
  </r>
  <r>
    <x v="5"/>
    <x v="1"/>
    <s v="Combined Heat and Power, Electric Power"/>
    <x v="1"/>
    <n v="54416"/>
  </r>
  <r>
    <x v="5"/>
    <x v="1"/>
    <s v="Combined Heat and Power, Electric Power"/>
    <x v="3"/>
    <n v="36954"/>
  </r>
  <r>
    <x v="5"/>
    <x v="1"/>
    <s v="Combined Heat and Power, Electric Power"/>
    <x v="6"/>
    <n v="555824"/>
  </r>
  <r>
    <x v="5"/>
    <x v="2"/>
    <s v="Total Electric Power Industry"/>
    <x v="0"/>
    <n v="41972088"/>
  </r>
  <r>
    <x v="5"/>
    <x v="2"/>
    <s v="Total Electric Power Industry"/>
    <x v="1"/>
    <n v="21555436"/>
  </r>
  <r>
    <x v="5"/>
    <x v="2"/>
    <s v="Total Electric Power Industry"/>
    <x v="2"/>
    <n v="3217714"/>
  </r>
  <r>
    <x v="5"/>
    <x v="2"/>
    <s v="Total Electric Power Industry"/>
    <x v="3"/>
    <n v="3909350"/>
  </r>
  <r>
    <x v="5"/>
    <x v="2"/>
    <s v="Total Electric Power Industry"/>
    <x v="7"/>
    <n v="11657549"/>
  </r>
  <r>
    <x v="5"/>
    <x v="2"/>
    <s v="Total Electric Power Industry"/>
    <x v="12"/>
    <n v="3651"/>
  </r>
  <r>
    <x v="5"/>
    <x v="2"/>
    <s v="Total Electric Power Industry"/>
    <x v="8"/>
    <n v="23252"/>
  </r>
  <r>
    <x v="5"/>
    <x v="2"/>
    <s v="Total Electric Power Industry"/>
    <x v="4"/>
    <n v="67654"/>
  </r>
  <r>
    <x v="5"/>
    <x v="2"/>
    <s v="Total Electric Power Industry"/>
    <x v="10"/>
    <n v="0"/>
  </r>
  <r>
    <x v="5"/>
    <x v="2"/>
    <s v="Total Electric Power Industry"/>
    <x v="6"/>
    <n v="1537482"/>
  </r>
  <r>
    <x v="5"/>
    <x v="2"/>
    <s v="Electric Generators, Independent Power Producers"/>
    <x v="0"/>
    <n v="0"/>
  </r>
  <r>
    <x v="5"/>
    <x v="2"/>
    <s v="Electric Generators, Independent Power Producers"/>
    <x v="2"/>
    <n v="0"/>
  </r>
  <r>
    <x v="5"/>
    <x v="2"/>
    <s v="Electric Generators, Electric Utilities"/>
    <x v="0"/>
    <n v="39526825"/>
  </r>
  <r>
    <x v="5"/>
    <x v="2"/>
    <s v="Electric Generators, Electric Utilities"/>
    <x v="1"/>
    <n v="21506397"/>
  </r>
  <r>
    <x v="5"/>
    <x v="2"/>
    <s v="Electric Generators, Electric Utilities"/>
    <x v="2"/>
    <n v="3217714"/>
  </r>
  <r>
    <x v="5"/>
    <x v="2"/>
    <s v="Electric Generators, Electric Utilities"/>
    <x v="3"/>
    <n v="3091957"/>
  </r>
  <r>
    <x v="5"/>
    <x v="2"/>
    <s v="Electric Generators, Electric Utilities"/>
    <x v="7"/>
    <n v="11657549"/>
  </r>
  <r>
    <x v="5"/>
    <x v="2"/>
    <s v="Electric Generators, Electric Utilities"/>
    <x v="4"/>
    <n v="53208"/>
  </r>
  <r>
    <x v="5"/>
    <x v="2"/>
    <s v="Electric Generators, Electric Utilities"/>
    <x v="10"/>
    <n v="0"/>
  </r>
  <r>
    <x v="5"/>
    <x v="2"/>
    <s v="Combined Heat and Power, Industrial Power"/>
    <x v="0"/>
    <n v="2397242"/>
  </r>
  <r>
    <x v="5"/>
    <x v="2"/>
    <s v="Combined Heat and Power, Industrial Power"/>
    <x v="1"/>
    <n v="49039"/>
  </r>
  <r>
    <x v="5"/>
    <x v="2"/>
    <s v="Combined Heat and Power, Industrial Power"/>
    <x v="3"/>
    <n v="778339"/>
  </r>
  <r>
    <x v="5"/>
    <x v="2"/>
    <s v="Combined Heat and Power, Industrial Power"/>
    <x v="12"/>
    <n v="3651"/>
  </r>
  <r>
    <x v="5"/>
    <x v="2"/>
    <s v="Combined Heat and Power, Industrial Power"/>
    <x v="8"/>
    <n v="17470"/>
  </r>
  <r>
    <x v="5"/>
    <x v="2"/>
    <s v="Combined Heat and Power, Industrial Power"/>
    <x v="4"/>
    <n v="11261"/>
  </r>
  <r>
    <x v="5"/>
    <x v="2"/>
    <s v="Combined Heat and Power, Industrial Power"/>
    <x v="6"/>
    <n v="1537482"/>
  </r>
  <r>
    <x v="5"/>
    <x v="2"/>
    <s v="Combined Heat and Power, Commercial Power"/>
    <x v="0"/>
    <n v="48021"/>
  </r>
  <r>
    <x v="5"/>
    <x v="2"/>
    <s v="Combined Heat and Power, Commercial Power"/>
    <x v="3"/>
    <n v="39054"/>
  </r>
  <r>
    <x v="5"/>
    <x v="2"/>
    <s v="Combined Heat and Power, Commercial Power"/>
    <x v="8"/>
    <n v="5782"/>
  </r>
  <r>
    <x v="5"/>
    <x v="2"/>
    <s v="Combined Heat and Power, Commercial Power"/>
    <x v="4"/>
    <n v="3185"/>
  </r>
  <r>
    <x v="5"/>
    <x v="3"/>
    <s v="Total Electric Power Industry"/>
    <x v="0"/>
    <n v="69780939"/>
  </r>
  <r>
    <x v="5"/>
    <x v="3"/>
    <s v="Total Electric Power Industry"/>
    <x v="1"/>
    <n v="31951659"/>
  </r>
  <r>
    <x v="5"/>
    <x v="3"/>
    <s v="Total Electric Power Industry"/>
    <x v="2"/>
    <n v="8288419"/>
  </r>
  <r>
    <x v="5"/>
    <x v="3"/>
    <s v="Total Electric Power Industry"/>
    <x v="3"/>
    <n v="2192947"/>
  </r>
  <r>
    <x v="5"/>
    <x v="3"/>
    <s v="Total Electric Power Industry"/>
    <x v="7"/>
    <n v="26984507"/>
  </r>
  <r>
    <x v="5"/>
    <x v="3"/>
    <s v="Total Electric Power Industry"/>
    <x v="4"/>
    <n v="82557"/>
  </r>
  <r>
    <x v="5"/>
    <x v="3"/>
    <s v="Total Electric Power Industry"/>
    <x v="10"/>
    <n v="190029"/>
  </r>
  <r>
    <x v="5"/>
    <x v="3"/>
    <s v="Total Electric Power Industry"/>
    <x v="6"/>
    <n v="90821"/>
  </r>
  <r>
    <x v="5"/>
    <x v="3"/>
    <s v="Electric Generators, Electric Utilities"/>
    <x v="0"/>
    <n v="68966538"/>
  </r>
  <r>
    <x v="5"/>
    <x v="3"/>
    <s v="Electric Generators, Electric Utilities"/>
    <x v="1"/>
    <n v="31710476"/>
  </r>
  <r>
    <x v="5"/>
    <x v="3"/>
    <s v="Electric Generators, Electric Utilities"/>
    <x v="2"/>
    <n v="8288419"/>
  </r>
  <r>
    <x v="5"/>
    <x v="3"/>
    <s v="Electric Generators, Electric Utilities"/>
    <x v="3"/>
    <n v="1729497"/>
  </r>
  <r>
    <x v="5"/>
    <x v="3"/>
    <s v="Electric Generators, Electric Utilities"/>
    <x v="7"/>
    <n v="26984507"/>
  </r>
  <r>
    <x v="5"/>
    <x v="3"/>
    <s v="Electric Generators, Electric Utilities"/>
    <x v="4"/>
    <n v="63610"/>
  </r>
  <r>
    <x v="5"/>
    <x v="3"/>
    <s v="Electric Generators, Electric Utilities"/>
    <x v="10"/>
    <n v="190029"/>
  </r>
  <r>
    <x v="5"/>
    <x v="3"/>
    <s v="Combined Heat and Power, Industrial Power"/>
    <x v="0"/>
    <n v="383821"/>
  </r>
  <r>
    <x v="5"/>
    <x v="3"/>
    <s v="Combined Heat and Power, Industrial Power"/>
    <x v="1"/>
    <n v="241183"/>
  </r>
  <r>
    <x v="5"/>
    <x v="3"/>
    <s v="Combined Heat and Power, Industrial Power"/>
    <x v="3"/>
    <n v="34104"/>
  </r>
  <r>
    <x v="5"/>
    <x v="3"/>
    <s v="Combined Heat and Power, Industrial Power"/>
    <x v="4"/>
    <n v="17713"/>
  </r>
  <r>
    <x v="5"/>
    <x v="3"/>
    <s v="Combined Heat and Power, Industrial Power"/>
    <x v="6"/>
    <n v="90821"/>
  </r>
  <r>
    <x v="5"/>
    <x v="3"/>
    <s v="Combined Heat and Power, Electric Power"/>
    <x v="0"/>
    <n v="398613"/>
  </r>
  <r>
    <x v="5"/>
    <x v="3"/>
    <s v="Combined Heat and Power, Electric Power"/>
    <x v="3"/>
    <n v="398613"/>
  </r>
  <r>
    <x v="5"/>
    <x v="3"/>
    <s v="Combined Heat and Power, Commercial Power"/>
    <x v="0"/>
    <n v="31967"/>
  </r>
  <r>
    <x v="5"/>
    <x v="3"/>
    <s v="Combined Heat and Power, Commercial Power"/>
    <x v="3"/>
    <n v="30733"/>
  </r>
  <r>
    <x v="5"/>
    <x v="3"/>
    <s v="Combined Heat and Power, Commercial Power"/>
    <x v="4"/>
    <n v="1234"/>
  </r>
  <r>
    <x v="5"/>
    <x v="4"/>
    <s v="Total Electric Power Industry"/>
    <x v="0"/>
    <n v="181463341"/>
  </r>
  <r>
    <x v="5"/>
    <x v="4"/>
    <s v="Total Electric Power Industry"/>
    <x v="1"/>
    <n v="2786844"/>
  </r>
  <r>
    <x v="5"/>
    <x v="4"/>
    <s v="Total Electric Power Industry"/>
    <x v="11"/>
    <n v="11450299"/>
  </r>
  <r>
    <x v="5"/>
    <x v="4"/>
    <s v="Total Electric Power Industry"/>
    <x v="2"/>
    <n v="48033130"/>
  </r>
  <r>
    <x v="5"/>
    <x v="4"/>
    <s v="Total Electric Power Industry"/>
    <x v="3"/>
    <n v="72578893"/>
  </r>
  <r>
    <x v="5"/>
    <x v="4"/>
    <s v="Total Electric Power Industry"/>
    <x v="7"/>
    <n v="30245936"/>
  </r>
  <r>
    <x v="5"/>
    <x v="4"/>
    <s v="Total Electric Power Industry"/>
    <x v="12"/>
    <n v="15796"/>
  </r>
  <r>
    <x v="5"/>
    <x v="4"/>
    <s v="Total Electric Power Industry"/>
    <x v="8"/>
    <n v="2757856"/>
  </r>
  <r>
    <x v="5"/>
    <x v="4"/>
    <s v="Total Electric Power Industry"/>
    <x v="9"/>
    <n v="2594985"/>
  </r>
  <r>
    <x v="5"/>
    <x v="4"/>
    <s v="Total Electric Power Industry"/>
    <x v="4"/>
    <n v="2291128"/>
  </r>
  <r>
    <x v="5"/>
    <x v="4"/>
    <s v="Total Electric Power Industry"/>
    <x v="10"/>
    <n v="2506665"/>
  </r>
  <r>
    <x v="5"/>
    <x v="4"/>
    <s v="Total Electric Power Industry"/>
    <x v="13"/>
    <n v="496565"/>
  </r>
  <r>
    <x v="5"/>
    <x v="4"/>
    <s v="Total Electric Power Industry"/>
    <x v="5"/>
    <n v="3086757"/>
  </r>
  <r>
    <x v="5"/>
    <x v="4"/>
    <s v="Total Electric Power Industry"/>
    <x v="6"/>
    <n v="2618487"/>
  </r>
  <r>
    <x v="5"/>
    <x v="4"/>
    <s v="Electric Generators, Independent Power Producers"/>
    <x v="0"/>
    <n v="18956805"/>
  </r>
  <r>
    <x v="5"/>
    <x v="4"/>
    <s v="Electric Generators, Independent Power Producers"/>
    <x v="11"/>
    <n v="6845237"/>
  </r>
  <r>
    <x v="5"/>
    <x v="4"/>
    <s v="Electric Generators, Independent Power Producers"/>
    <x v="2"/>
    <n v="3100182"/>
  </r>
  <r>
    <x v="5"/>
    <x v="4"/>
    <s v="Electric Generators, Independent Power Producers"/>
    <x v="3"/>
    <n v="606071"/>
  </r>
  <r>
    <x v="5"/>
    <x v="4"/>
    <s v="Electric Generators, Independent Power Producers"/>
    <x v="8"/>
    <n v="2306736"/>
  </r>
  <r>
    <x v="5"/>
    <x v="4"/>
    <s v="Electric Generators, Independent Power Producers"/>
    <x v="9"/>
    <n v="219"/>
  </r>
  <r>
    <x v="5"/>
    <x v="4"/>
    <s v="Electric Generators, Independent Power Producers"/>
    <x v="4"/>
    <n v="826148"/>
  </r>
  <r>
    <x v="5"/>
    <x v="4"/>
    <s v="Electric Generators, Independent Power Producers"/>
    <x v="13"/>
    <n v="492912"/>
  </r>
  <r>
    <x v="5"/>
    <x v="4"/>
    <s v="Electric Generators, Independent Power Producers"/>
    <x v="5"/>
    <n v="3075840"/>
  </r>
  <r>
    <x v="5"/>
    <x v="4"/>
    <s v="Electric Generators, Independent Power Producers"/>
    <x v="6"/>
    <n v="1703460"/>
  </r>
  <r>
    <x v="5"/>
    <x v="4"/>
    <s v="Electric Generators, Electric Utilities"/>
    <x v="0"/>
    <n v="121881402"/>
  </r>
  <r>
    <x v="5"/>
    <x v="4"/>
    <s v="Electric Generators, Electric Utilities"/>
    <x v="11"/>
    <n v="4605062"/>
  </r>
  <r>
    <x v="5"/>
    <x v="4"/>
    <s v="Electric Generators, Electric Utilities"/>
    <x v="2"/>
    <n v="44928985"/>
  </r>
  <r>
    <x v="5"/>
    <x v="4"/>
    <s v="Electric Generators, Electric Utilities"/>
    <x v="3"/>
    <n v="39089723"/>
  </r>
  <r>
    <x v="5"/>
    <x v="4"/>
    <s v="Electric Generators, Electric Utilities"/>
    <x v="7"/>
    <n v="30245936"/>
  </r>
  <r>
    <x v="5"/>
    <x v="4"/>
    <s v="Electric Generators, Electric Utilities"/>
    <x v="8"/>
    <n v="1931"/>
  </r>
  <r>
    <x v="5"/>
    <x v="4"/>
    <s v="Electric Generators, Electric Utilities"/>
    <x v="4"/>
    <n v="488530"/>
  </r>
  <r>
    <x v="5"/>
    <x v="4"/>
    <s v="Electric Generators, Electric Utilities"/>
    <x v="10"/>
    <n v="2506665"/>
  </r>
  <r>
    <x v="5"/>
    <x v="4"/>
    <s v="Electric Generators, Electric Utilities"/>
    <x v="13"/>
    <n v="3653"/>
  </r>
  <r>
    <x v="5"/>
    <x v="4"/>
    <s v="Electric Generators, Electric Utilities"/>
    <x v="5"/>
    <n v="10917"/>
  </r>
  <r>
    <x v="5"/>
    <x v="4"/>
    <s v="Combined Heat and Power, Industrial Power"/>
    <x v="0"/>
    <n v="16853558"/>
  </r>
  <r>
    <x v="5"/>
    <x v="4"/>
    <s v="Combined Heat and Power, Industrial Power"/>
    <x v="1"/>
    <n v="889874"/>
  </r>
  <r>
    <x v="5"/>
    <x v="4"/>
    <s v="Combined Heat and Power, Industrial Power"/>
    <x v="3"/>
    <n v="12112573"/>
  </r>
  <r>
    <x v="5"/>
    <x v="4"/>
    <s v="Combined Heat and Power, Industrial Power"/>
    <x v="12"/>
    <n v="15796"/>
  </r>
  <r>
    <x v="5"/>
    <x v="4"/>
    <s v="Combined Heat and Power, Industrial Power"/>
    <x v="8"/>
    <n v="84766"/>
  </r>
  <r>
    <x v="5"/>
    <x v="4"/>
    <s v="Combined Heat and Power, Industrial Power"/>
    <x v="9"/>
    <n v="2383928"/>
  </r>
  <r>
    <x v="5"/>
    <x v="4"/>
    <s v="Combined Heat and Power, Industrial Power"/>
    <x v="4"/>
    <n v="482355"/>
  </r>
  <r>
    <x v="5"/>
    <x v="4"/>
    <s v="Combined Heat and Power, Industrial Power"/>
    <x v="6"/>
    <n v="884266"/>
  </r>
  <r>
    <x v="5"/>
    <x v="4"/>
    <s v="Combined Heat and Power, Electric Power"/>
    <x v="0"/>
    <n v="21690968"/>
  </r>
  <r>
    <x v="5"/>
    <x v="4"/>
    <s v="Combined Heat and Power, Electric Power"/>
    <x v="1"/>
    <n v="1896970"/>
  </r>
  <r>
    <x v="5"/>
    <x v="4"/>
    <s v="Combined Heat and Power, Electric Power"/>
    <x v="3"/>
    <n v="18985509"/>
  </r>
  <r>
    <x v="5"/>
    <x v="4"/>
    <s v="Combined Heat and Power, Electric Power"/>
    <x v="8"/>
    <n v="91002"/>
  </r>
  <r>
    <x v="5"/>
    <x v="4"/>
    <s v="Combined Heat and Power, Electric Power"/>
    <x v="9"/>
    <n v="210838"/>
  </r>
  <r>
    <x v="5"/>
    <x v="4"/>
    <s v="Combined Heat and Power, Electric Power"/>
    <x v="4"/>
    <n v="475888"/>
  </r>
  <r>
    <x v="5"/>
    <x v="4"/>
    <s v="Combined Heat and Power, Electric Power"/>
    <x v="6"/>
    <n v="30761"/>
  </r>
  <r>
    <x v="5"/>
    <x v="4"/>
    <s v="Combined Heat and Power, Commercial Power"/>
    <x v="0"/>
    <n v="2080608"/>
  </r>
  <r>
    <x v="5"/>
    <x v="4"/>
    <s v="Combined Heat and Power, Commercial Power"/>
    <x v="2"/>
    <n v="3963"/>
  </r>
  <r>
    <x v="5"/>
    <x v="4"/>
    <s v="Combined Heat and Power, Commercial Power"/>
    <x v="3"/>
    <n v="1785017"/>
  </r>
  <r>
    <x v="5"/>
    <x v="4"/>
    <s v="Combined Heat and Power, Commercial Power"/>
    <x v="8"/>
    <n v="273421"/>
  </r>
  <r>
    <x v="5"/>
    <x v="4"/>
    <s v="Combined Heat and Power, Commercial Power"/>
    <x v="4"/>
    <n v="18207"/>
  </r>
  <r>
    <x v="5"/>
    <x v="5"/>
    <s v="Total Electric Power Industry"/>
    <x v="0"/>
    <n v="35617234"/>
  </r>
  <r>
    <x v="5"/>
    <x v="5"/>
    <s v="Total Electric Power Industry"/>
    <x v="1"/>
    <n v="30492682"/>
  </r>
  <r>
    <x v="5"/>
    <x v="5"/>
    <s v="Total Electric Power Industry"/>
    <x v="2"/>
    <n v="2131189"/>
  </r>
  <r>
    <x v="5"/>
    <x v="5"/>
    <s v="Total Electric Power Industry"/>
    <x v="3"/>
    <n v="2856788"/>
  </r>
  <r>
    <x v="5"/>
    <x v="5"/>
    <s v="Total Electric Power Industry"/>
    <x v="8"/>
    <n v="32910"/>
  </r>
  <r>
    <x v="5"/>
    <x v="5"/>
    <s v="Total Electric Power Industry"/>
    <x v="4"/>
    <n v="11712"/>
  </r>
  <r>
    <x v="5"/>
    <x v="5"/>
    <s v="Total Electric Power Industry"/>
    <x v="10"/>
    <n v="91953"/>
  </r>
  <r>
    <x v="5"/>
    <x v="5"/>
    <s v="Electric Generators, Independent Power Producers"/>
    <x v="0"/>
    <n v="236697"/>
  </r>
  <r>
    <x v="5"/>
    <x v="5"/>
    <s v="Electric Generators, Independent Power Producers"/>
    <x v="2"/>
    <n v="122287"/>
  </r>
  <r>
    <x v="5"/>
    <x v="5"/>
    <s v="Electric Generators, Independent Power Producers"/>
    <x v="3"/>
    <n v="114410"/>
  </r>
  <r>
    <x v="5"/>
    <x v="5"/>
    <s v="Electric Generators, Electric Utilities"/>
    <x v="0"/>
    <n v="32673972"/>
  </r>
  <r>
    <x v="5"/>
    <x v="5"/>
    <s v="Electric Generators, Electric Utilities"/>
    <x v="1"/>
    <n v="30276010"/>
  </r>
  <r>
    <x v="5"/>
    <x v="5"/>
    <s v="Electric Generators, Electric Utilities"/>
    <x v="2"/>
    <n v="2008902"/>
  </r>
  <r>
    <x v="5"/>
    <x v="5"/>
    <s v="Electric Generators, Electric Utilities"/>
    <x v="3"/>
    <n v="286971"/>
  </r>
  <r>
    <x v="5"/>
    <x v="5"/>
    <s v="Electric Generators, Electric Utilities"/>
    <x v="8"/>
    <n v="0"/>
  </r>
  <r>
    <x v="5"/>
    <x v="5"/>
    <s v="Electric Generators, Electric Utilities"/>
    <x v="4"/>
    <n v="10136"/>
  </r>
  <r>
    <x v="5"/>
    <x v="5"/>
    <s v="Electric Generators, Electric Utilities"/>
    <x v="10"/>
    <n v="91953"/>
  </r>
  <r>
    <x v="5"/>
    <x v="5"/>
    <s v="Combined Heat and Power, Industrial Power"/>
    <x v="0"/>
    <n v="82198"/>
  </r>
  <r>
    <x v="5"/>
    <x v="5"/>
    <s v="Combined Heat and Power, Industrial Power"/>
    <x v="3"/>
    <n v="82132"/>
  </r>
  <r>
    <x v="5"/>
    <x v="5"/>
    <s v="Combined Heat and Power, Industrial Power"/>
    <x v="4"/>
    <n v="66"/>
  </r>
  <r>
    <x v="5"/>
    <x v="5"/>
    <s v="Combined Heat and Power, Electric Power"/>
    <x v="0"/>
    <n v="2426540"/>
  </r>
  <r>
    <x v="5"/>
    <x v="5"/>
    <s v="Combined Heat and Power, Electric Power"/>
    <x v="1"/>
    <n v="216672"/>
  </r>
  <r>
    <x v="5"/>
    <x v="5"/>
    <s v="Combined Heat and Power, Electric Power"/>
    <x v="3"/>
    <n v="2205756"/>
  </r>
  <r>
    <x v="5"/>
    <x v="5"/>
    <s v="Combined Heat and Power, Electric Power"/>
    <x v="8"/>
    <n v="2602"/>
  </r>
  <r>
    <x v="5"/>
    <x v="5"/>
    <s v="Combined Heat and Power, Electric Power"/>
    <x v="4"/>
    <n v="1510"/>
  </r>
  <r>
    <x v="5"/>
    <x v="5"/>
    <s v="Combined Heat and Power, Commercial Power"/>
    <x v="0"/>
    <n v="197827"/>
  </r>
  <r>
    <x v="5"/>
    <x v="5"/>
    <s v="Combined Heat and Power, Commercial Power"/>
    <x v="3"/>
    <n v="167519"/>
  </r>
  <r>
    <x v="5"/>
    <x v="5"/>
    <s v="Combined Heat and Power, Commercial Power"/>
    <x v="8"/>
    <n v="30308"/>
  </r>
  <r>
    <x v="5"/>
    <x v="6"/>
    <s v="Total Electric Power Industry"/>
    <x v="0"/>
    <n v="31472468"/>
  </r>
  <r>
    <x v="5"/>
    <x v="6"/>
    <s v="Total Electric Power Industry"/>
    <x v="1"/>
    <n v="3857555"/>
  </r>
  <r>
    <x v="5"/>
    <x v="6"/>
    <s v="Total Electric Power Industry"/>
    <x v="2"/>
    <n v="363803"/>
  </r>
  <r>
    <x v="5"/>
    <x v="6"/>
    <s v="Total Electric Power Industry"/>
    <x v="3"/>
    <n v="3019243"/>
  </r>
  <r>
    <x v="5"/>
    <x v="6"/>
    <s v="Total Electric Power Industry"/>
    <x v="7"/>
    <n v="18748900"/>
  </r>
  <r>
    <x v="5"/>
    <x v="6"/>
    <s v="Total Electric Power Industry"/>
    <x v="12"/>
    <n v="0"/>
  </r>
  <r>
    <x v="5"/>
    <x v="6"/>
    <s v="Total Electric Power Industry"/>
    <x v="8"/>
    <n v="1915839"/>
  </r>
  <r>
    <x v="5"/>
    <x v="6"/>
    <s v="Total Electric Power Industry"/>
    <x v="9"/>
    <n v="79"/>
  </r>
  <r>
    <x v="5"/>
    <x v="6"/>
    <s v="Total Electric Power Industry"/>
    <x v="4"/>
    <n v="3579463"/>
  </r>
  <r>
    <x v="5"/>
    <x v="6"/>
    <s v="Total Electric Power Industry"/>
    <x v="10"/>
    <n v="-12414"/>
  </r>
  <r>
    <x v="5"/>
    <x v="6"/>
    <s v="Electric Generators, Independent Power Producers"/>
    <x v="0"/>
    <n v="1603926"/>
  </r>
  <r>
    <x v="5"/>
    <x v="6"/>
    <s v="Electric Generators, Independent Power Producers"/>
    <x v="1"/>
    <n v="33628"/>
  </r>
  <r>
    <x v="5"/>
    <x v="6"/>
    <s v="Electric Generators, Independent Power Producers"/>
    <x v="2"/>
    <n v="52812"/>
  </r>
  <r>
    <x v="5"/>
    <x v="6"/>
    <s v="Electric Generators, Independent Power Producers"/>
    <x v="3"/>
    <n v="1492"/>
  </r>
  <r>
    <x v="5"/>
    <x v="6"/>
    <s v="Electric Generators, Independent Power Producers"/>
    <x v="8"/>
    <n v="1512113"/>
  </r>
  <r>
    <x v="5"/>
    <x v="6"/>
    <s v="Electric Generators, Independent Power Producers"/>
    <x v="9"/>
    <n v="79"/>
  </r>
  <r>
    <x v="5"/>
    <x v="6"/>
    <s v="Electric Generators, Independent Power Producers"/>
    <x v="4"/>
    <n v="3802"/>
  </r>
  <r>
    <x v="5"/>
    <x v="6"/>
    <s v="Electric Generators, Electric Utilities"/>
    <x v="0"/>
    <n v="26931900"/>
  </r>
  <r>
    <x v="5"/>
    <x v="6"/>
    <s v="Electric Generators, Electric Utilities"/>
    <x v="1"/>
    <n v="2269352"/>
  </r>
  <r>
    <x v="5"/>
    <x v="6"/>
    <s v="Electric Generators, Electric Utilities"/>
    <x v="2"/>
    <n v="305401"/>
  </r>
  <r>
    <x v="5"/>
    <x v="6"/>
    <s v="Electric Generators, Electric Utilities"/>
    <x v="3"/>
    <n v="1819535"/>
  </r>
  <r>
    <x v="5"/>
    <x v="6"/>
    <s v="Electric Generators, Electric Utilities"/>
    <x v="7"/>
    <n v="18748900"/>
  </r>
  <r>
    <x v="5"/>
    <x v="6"/>
    <s v="Electric Generators, Electric Utilities"/>
    <x v="8"/>
    <n v="403726"/>
  </r>
  <r>
    <x v="5"/>
    <x v="6"/>
    <s v="Electric Generators, Electric Utilities"/>
    <x v="4"/>
    <n v="3397400"/>
  </r>
  <r>
    <x v="5"/>
    <x v="6"/>
    <s v="Electric Generators, Electric Utilities"/>
    <x v="10"/>
    <n v="-12414"/>
  </r>
  <r>
    <x v="5"/>
    <x v="6"/>
    <s v="Combined Heat and Power, Industrial Power"/>
    <x v="0"/>
    <n v="327732"/>
  </r>
  <r>
    <x v="5"/>
    <x v="6"/>
    <s v="Combined Heat and Power, Industrial Power"/>
    <x v="2"/>
    <n v="5590"/>
  </r>
  <r>
    <x v="5"/>
    <x v="6"/>
    <s v="Combined Heat and Power, Industrial Power"/>
    <x v="3"/>
    <n v="160374"/>
  </r>
  <r>
    <x v="5"/>
    <x v="6"/>
    <s v="Combined Heat and Power, Industrial Power"/>
    <x v="12"/>
    <n v="0"/>
  </r>
  <r>
    <x v="5"/>
    <x v="6"/>
    <s v="Combined Heat and Power, Industrial Power"/>
    <x v="4"/>
    <n v="161768"/>
  </r>
  <r>
    <x v="5"/>
    <x v="6"/>
    <s v="Combined Heat and Power, Electric Power"/>
    <x v="0"/>
    <n v="2512344"/>
  </r>
  <r>
    <x v="5"/>
    <x v="6"/>
    <s v="Combined Heat and Power, Electric Power"/>
    <x v="1"/>
    <n v="1554575"/>
  </r>
  <r>
    <x v="5"/>
    <x v="6"/>
    <s v="Combined Heat and Power, Electric Power"/>
    <x v="3"/>
    <n v="941694"/>
  </r>
  <r>
    <x v="5"/>
    <x v="6"/>
    <s v="Combined Heat and Power, Electric Power"/>
    <x v="4"/>
    <n v="16075"/>
  </r>
  <r>
    <x v="5"/>
    <x v="6"/>
    <s v="Combined Heat and Power, Commercial Power"/>
    <x v="0"/>
    <n v="96566"/>
  </r>
  <r>
    <x v="5"/>
    <x v="6"/>
    <s v="Combined Heat and Power, Commercial Power"/>
    <x v="3"/>
    <n v="96148"/>
  </r>
  <r>
    <x v="5"/>
    <x v="6"/>
    <s v="Combined Heat and Power, Commercial Power"/>
    <x v="4"/>
    <n v="418"/>
  </r>
  <r>
    <x v="5"/>
    <x v="7"/>
    <s v="Total Electric Power Industry"/>
    <x v="0"/>
    <n v="188862"/>
  </r>
  <r>
    <x v="5"/>
    <x v="7"/>
    <s v="Total Electric Power Industry"/>
    <x v="1"/>
    <n v="0"/>
  </r>
  <r>
    <x v="5"/>
    <x v="7"/>
    <s v="Total Electric Power Industry"/>
    <x v="4"/>
    <n v="188862"/>
  </r>
  <r>
    <x v="5"/>
    <x v="7"/>
    <s v="Electric Generators, Electric Utilities"/>
    <x v="0"/>
    <n v="188862"/>
  </r>
  <r>
    <x v="5"/>
    <x v="7"/>
    <s v="Electric Generators, Electric Utilities"/>
    <x v="4"/>
    <n v="188862"/>
  </r>
  <r>
    <x v="5"/>
    <x v="7"/>
    <s v="Combined Heat and Power, Commercial Power"/>
    <x v="0"/>
    <n v="0"/>
  </r>
  <r>
    <x v="5"/>
    <x v="7"/>
    <s v="Combined Heat and Power, Commercial Power"/>
    <x v="1"/>
    <n v="0"/>
  </r>
  <r>
    <x v="5"/>
    <x v="8"/>
    <s v="Total Electric Power Industry"/>
    <x v="0"/>
    <n v="9032837"/>
  </r>
  <r>
    <x v="5"/>
    <x v="8"/>
    <s v="Total Electric Power Industry"/>
    <x v="1"/>
    <n v="4438974"/>
  </r>
  <r>
    <x v="5"/>
    <x v="8"/>
    <s v="Total Electric Power Industry"/>
    <x v="3"/>
    <n v="3185559"/>
  </r>
  <r>
    <x v="5"/>
    <x v="8"/>
    <s v="Total Electric Power Industry"/>
    <x v="12"/>
    <n v="9282"/>
  </r>
  <r>
    <x v="5"/>
    <x v="8"/>
    <s v="Total Electric Power Industry"/>
    <x v="9"/>
    <n v="113827"/>
  </r>
  <r>
    <x v="5"/>
    <x v="8"/>
    <s v="Total Electric Power Industry"/>
    <x v="4"/>
    <n v="1285195"/>
  </r>
  <r>
    <x v="5"/>
    <x v="8"/>
    <s v="Electric Generators, Electric Utilities"/>
    <x v="0"/>
    <n v="8324101"/>
  </r>
  <r>
    <x v="5"/>
    <x v="8"/>
    <s v="Electric Generators, Electric Utilities"/>
    <x v="1"/>
    <n v="4226615"/>
  </r>
  <r>
    <x v="5"/>
    <x v="8"/>
    <s v="Electric Generators, Electric Utilities"/>
    <x v="3"/>
    <n v="3180421"/>
  </r>
  <r>
    <x v="5"/>
    <x v="8"/>
    <s v="Electric Generators, Electric Utilities"/>
    <x v="4"/>
    <n v="917065"/>
  </r>
  <r>
    <x v="5"/>
    <x v="8"/>
    <s v="Combined Heat and Power, Industrial Power"/>
    <x v="0"/>
    <n v="708736"/>
  </r>
  <r>
    <x v="5"/>
    <x v="8"/>
    <s v="Combined Heat and Power, Industrial Power"/>
    <x v="1"/>
    <n v="212359"/>
  </r>
  <r>
    <x v="5"/>
    <x v="8"/>
    <s v="Combined Heat and Power, Industrial Power"/>
    <x v="3"/>
    <n v="5138"/>
  </r>
  <r>
    <x v="5"/>
    <x v="8"/>
    <s v="Combined Heat and Power, Industrial Power"/>
    <x v="12"/>
    <n v="9282"/>
  </r>
  <r>
    <x v="5"/>
    <x v="8"/>
    <s v="Combined Heat and Power, Industrial Power"/>
    <x v="9"/>
    <n v="113827"/>
  </r>
  <r>
    <x v="5"/>
    <x v="8"/>
    <s v="Combined Heat and Power, Industrial Power"/>
    <x v="4"/>
    <n v="368130"/>
  </r>
  <r>
    <x v="5"/>
    <x v="9"/>
    <s v="Total Electric Power Industry"/>
    <x v="0"/>
    <n v="167414372"/>
  </r>
  <r>
    <x v="5"/>
    <x v="9"/>
    <s v="Total Electric Power Industry"/>
    <x v="1"/>
    <n v="65761841"/>
  </r>
  <r>
    <x v="5"/>
    <x v="9"/>
    <s v="Total Electric Power Industry"/>
    <x v="2"/>
    <n v="230840"/>
  </r>
  <r>
    <x v="5"/>
    <x v="9"/>
    <s v="Total Electric Power Industry"/>
    <x v="3"/>
    <n v="42755150"/>
  </r>
  <r>
    <x v="5"/>
    <x v="9"/>
    <s v="Total Electric Power Industry"/>
    <x v="7"/>
    <n v="28740617"/>
  </r>
  <r>
    <x v="5"/>
    <x v="9"/>
    <s v="Total Electric Power Industry"/>
    <x v="12"/>
    <n v="2026987"/>
  </r>
  <r>
    <x v="5"/>
    <x v="9"/>
    <s v="Total Electric Power Industry"/>
    <x v="8"/>
    <n v="3339882"/>
  </r>
  <r>
    <x v="5"/>
    <x v="9"/>
    <s v="Total Electric Power Industry"/>
    <x v="9"/>
    <n v="31478"/>
  </r>
  <r>
    <x v="5"/>
    <x v="9"/>
    <s v="Total Electric Power Industry"/>
    <x v="4"/>
    <n v="22287501"/>
  </r>
  <r>
    <x v="5"/>
    <x v="9"/>
    <s v="Total Electric Power Industry"/>
    <x v="6"/>
    <n v="2240076"/>
  </r>
  <r>
    <x v="5"/>
    <x v="9"/>
    <s v="Electric Generators, Independent Power Producers"/>
    <x v="0"/>
    <n v="4081667"/>
  </r>
  <r>
    <x v="5"/>
    <x v="9"/>
    <s v="Electric Generators, Independent Power Producers"/>
    <x v="3"/>
    <n v="658707"/>
  </r>
  <r>
    <x v="5"/>
    <x v="9"/>
    <s v="Electric Generators, Independent Power Producers"/>
    <x v="8"/>
    <n v="3195739"/>
  </r>
  <r>
    <x v="5"/>
    <x v="9"/>
    <s v="Electric Generators, Independent Power Producers"/>
    <x v="9"/>
    <n v="3470"/>
  </r>
  <r>
    <x v="5"/>
    <x v="9"/>
    <s v="Electric Generators, Independent Power Producers"/>
    <x v="4"/>
    <n v="948"/>
  </r>
  <r>
    <x v="5"/>
    <x v="9"/>
    <s v="Electric Generators, Independent Power Producers"/>
    <x v="6"/>
    <n v="222803"/>
  </r>
  <r>
    <x v="5"/>
    <x v="9"/>
    <s v="Electric Generators, Electric Utilities"/>
    <x v="0"/>
    <n v="147156684"/>
  </r>
  <r>
    <x v="5"/>
    <x v="9"/>
    <s v="Electric Generators, Electric Utilities"/>
    <x v="1"/>
    <n v="61864438"/>
  </r>
  <r>
    <x v="5"/>
    <x v="9"/>
    <s v="Electric Generators, Electric Utilities"/>
    <x v="2"/>
    <n v="230840"/>
  </r>
  <r>
    <x v="5"/>
    <x v="9"/>
    <s v="Electric Generators, Electric Utilities"/>
    <x v="3"/>
    <n v="34737603"/>
  </r>
  <r>
    <x v="5"/>
    <x v="9"/>
    <s v="Electric Generators, Electric Utilities"/>
    <x v="7"/>
    <n v="28740617"/>
  </r>
  <r>
    <x v="5"/>
    <x v="9"/>
    <s v="Electric Generators, Electric Utilities"/>
    <x v="4"/>
    <n v="21583186"/>
  </r>
  <r>
    <x v="5"/>
    <x v="9"/>
    <s v="Combined Heat and Power, Industrial Power"/>
    <x v="0"/>
    <n v="6732649"/>
  </r>
  <r>
    <x v="5"/>
    <x v="9"/>
    <s v="Combined Heat and Power, Industrial Power"/>
    <x v="1"/>
    <n v="285819"/>
  </r>
  <r>
    <x v="5"/>
    <x v="9"/>
    <s v="Combined Heat and Power, Industrial Power"/>
    <x v="3"/>
    <n v="1775820"/>
  </r>
  <r>
    <x v="5"/>
    <x v="9"/>
    <s v="Combined Heat and Power, Industrial Power"/>
    <x v="12"/>
    <n v="2026987"/>
  </r>
  <r>
    <x v="5"/>
    <x v="9"/>
    <s v="Combined Heat and Power, Industrial Power"/>
    <x v="8"/>
    <n v="113061"/>
  </r>
  <r>
    <x v="5"/>
    <x v="9"/>
    <s v="Combined Heat and Power, Industrial Power"/>
    <x v="9"/>
    <n v="27604"/>
  </r>
  <r>
    <x v="5"/>
    <x v="9"/>
    <s v="Combined Heat and Power, Industrial Power"/>
    <x v="4"/>
    <n v="506198"/>
  </r>
  <r>
    <x v="5"/>
    <x v="9"/>
    <s v="Combined Heat and Power, Industrial Power"/>
    <x v="6"/>
    <n v="1997160"/>
  </r>
  <r>
    <x v="5"/>
    <x v="9"/>
    <s v="Combined Heat and Power, Electric Power"/>
    <x v="0"/>
    <n v="9332853"/>
  </r>
  <r>
    <x v="5"/>
    <x v="9"/>
    <s v="Combined Heat and Power, Electric Power"/>
    <x v="1"/>
    <n v="3611584"/>
  </r>
  <r>
    <x v="5"/>
    <x v="9"/>
    <s v="Combined Heat and Power, Electric Power"/>
    <x v="3"/>
    <n v="5504946"/>
  </r>
  <r>
    <x v="5"/>
    <x v="9"/>
    <s v="Combined Heat and Power, Electric Power"/>
    <x v="9"/>
    <n v="404"/>
  </r>
  <r>
    <x v="5"/>
    <x v="9"/>
    <s v="Combined Heat and Power, Electric Power"/>
    <x v="4"/>
    <n v="195806"/>
  </r>
  <r>
    <x v="5"/>
    <x v="9"/>
    <s v="Combined Heat and Power, Electric Power"/>
    <x v="6"/>
    <n v="20113"/>
  </r>
  <r>
    <x v="5"/>
    <x v="9"/>
    <s v="Combined Heat and Power, Commercial Power"/>
    <x v="0"/>
    <n v="110519"/>
  </r>
  <r>
    <x v="5"/>
    <x v="9"/>
    <s v="Combined Heat and Power, Commercial Power"/>
    <x v="3"/>
    <n v="78074"/>
  </r>
  <r>
    <x v="5"/>
    <x v="9"/>
    <s v="Combined Heat and Power, Commercial Power"/>
    <x v="8"/>
    <n v="31082"/>
  </r>
  <r>
    <x v="5"/>
    <x v="9"/>
    <s v="Combined Heat and Power, Commercial Power"/>
    <x v="4"/>
    <n v="1363"/>
  </r>
  <r>
    <x v="5"/>
    <x v="10"/>
    <s v="Total Electric Power Industry"/>
    <x v="0"/>
    <n v="107878596"/>
  </r>
  <r>
    <x v="5"/>
    <x v="10"/>
    <s v="Total Electric Power Industry"/>
    <x v="1"/>
    <n v="66942360"/>
  </r>
  <r>
    <x v="5"/>
    <x v="10"/>
    <s v="Total Electric Power Industry"/>
    <x v="2"/>
    <n v="4196741"/>
  </r>
  <r>
    <x v="5"/>
    <x v="10"/>
    <s v="Total Electric Power Industry"/>
    <x v="3"/>
    <n v="1459884"/>
  </r>
  <r>
    <x v="5"/>
    <x v="10"/>
    <s v="Total Electric Power Industry"/>
    <x v="7"/>
    <n v="30660626"/>
  </r>
  <r>
    <x v="5"/>
    <x v="10"/>
    <s v="Total Electric Power Industry"/>
    <x v="8"/>
    <n v="68194"/>
  </r>
  <r>
    <x v="5"/>
    <x v="10"/>
    <s v="Total Electric Power Industry"/>
    <x v="4"/>
    <n v="849860"/>
  </r>
  <r>
    <x v="5"/>
    <x v="10"/>
    <s v="Total Electric Power Industry"/>
    <x v="10"/>
    <n v="537462"/>
  </r>
  <r>
    <x v="5"/>
    <x v="10"/>
    <s v="Total Electric Power Industry"/>
    <x v="6"/>
    <n v="3163469"/>
  </r>
  <r>
    <x v="5"/>
    <x v="10"/>
    <s v="Electric Generators, Independent Power Producers"/>
    <x v="0"/>
    <n v="315992"/>
  </r>
  <r>
    <x v="5"/>
    <x v="10"/>
    <s v="Electric Generators, Independent Power Producers"/>
    <x v="2"/>
    <n v="9908"/>
  </r>
  <r>
    <x v="5"/>
    <x v="10"/>
    <s v="Electric Generators, Independent Power Producers"/>
    <x v="3"/>
    <n v="286873"/>
  </r>
  <r>
    <x v="5"/>
    <x v="10"/>
    <s v="Electric Generators, Independent Power Producers"/>
    <x v="8"/>
    <n v="18733"/>
  </r>
  <r>
    <x v="5"/>
    <x v="10"/>
    <s v="Electric Generators, Independent Power Producers"/>
    <x v="4"/>
    <n v="478"/>
  </r>
  <r>
    <x v="5"/>
    <x v="10"/>
    <s v="Electric Generators, Electric Utilities"/>
    <x v="0"/>
    <n v="102015724"/>
  </r>
  <r>
    <x v="5"/>
    <x v="10"/>
    <s v="Electric Generators, Electric Utilities"/>
    <x v="1"/>
    <n v="65880095"/>
  </r>
  <r>
    <x v="5"/>
    <x v="10"/>
    <s v="Electric Generators, Electric Utilities"/>
    <x v="2"/>
    <n v="4146208"/>
  </r>
  <r>
    <x v="5"/>
    <x v="10"/>
    <s v="Electric Generators, Electric Utilities"/>
    <x v="3"/>
    <n v="572818"/>
  </r>
  <r>
    <x v="5"/>
    <x v="10"/>
    <s v="Electric Generators, Electric Utilities"/>
    <x v="7"/>
    <n v="30660626"/>
  </r>
  <r>
    <x v="5"/>
    <x v="10"/>
    <s v="Electric Generators, Electric Utilities"/>
    <x v="4"/>
    <n v="218515"/>
  </r>
  <r>
    <x v="5"/>
    <x v="10"/>
    <s v="Electric Generators, Electric Utilities"/>
    <x v="10"/>
    <n v="537462"/>
  </r>
  <r>
    <x v="5"/>
    <x v="10"/>
    <s v="Combined Heat and Power, Industrial Power"/>
    <x v="0"/>
    <n v="5532584"/>
  </r>
  <r>
    <x v="5"/>
    <x v="10"/>
    <s v="Combined Heat and Power, Industrial Power"/>
    <x v="1"/>
    <n v="1062265"/>
  </r>
  <r>
    <x v="5"/>
    <x v="10"/>
    <s v="Combined Heat and Power, Industrial Power"/>
    <x v="2"/>
    <n v="40625"/>
  </r>
  <r>
    <x v="5"/>
    <x v="10"/>
    <s v="Combined Heat and Power, Industrial Power"/>
    <x v="3"/>
    <n v="600193"/>
  </r>
  <r>
    <x v="5"/>
    <x v="10"/>
    <s v="Combined Heat and Power, Industrial Power"/>
    <x v="8"/>
    <n v="49461"/>
  </r>
  <r>
    <x v="5"/>
    <x v="10"/>
    <s v="Combined Heat and Power, Industrial Power"/>
    <x v="4"/>
    <n v="616571"/>
  </r>
  <r>
    <x v="5"/>
    <x v="10"/>
    <s v="Combined Heat and Power, Industrial Power"/>
    <x v="6"/>
    <n v="3163469"/>
  </r>
  <r>
    <x v="5"/>
    <x v="10"/>
    <s v="Combined Heat and Power, Commercial Power"/>
    <x v="0"/>
    <n v="14296"/>
  </r>
  <r>
    <x v="5"/>
    <x v="10"/>
    <s v="Combined Heat and Power, Commercial Power"/>
    <x v="4"/>
    <n v="14296"/>
  </r>
  <r>
    <x v="5"/>
    <x v="11"/>
    <s v="Total Electric Power Industry"/>
    <x v="0"/>
    <n v="10303983"/>
  </r>
  <r>
    <x v="5"/>
    <x v="11"/>
    <s v="Total Electric Power Industry"/>
    <x v="1"/>
    <n v="1561204"/>
  </r>
  <r>
    <x v="5"/>
    <x v="11"/>
    <s v="Total Electric Power Industry"/>
    <x v="11"/>
    <n v="234521"/>
  </r>
  <r>
    <x v="5"/>
    <x v="11"/>
    <s v="Total Electric Power Industry"/>
    <x v="2"/>
    <n v="97810"/>
  </r>
  <r>
    <x v="5"/>
    <x v="11"/>
    <s v="Total Electric Power Industry"/>
    <x v="12"/>
    <n v="2119"/>
  </r>
  <r>
    <x v="5"/>
    <x v="11"/>
    <s v="Total Electric Power Industry"/>
    <x v="8"/>
    <n v="638525"/>
  </r>
  <r>
    <x v="5"/>
    <x v="11"/>
    <s v="Total Electric Power Industry"/>
    <x v="9"/>
    <n v="69307"/>
  </r>
  <r>
    <x v="5"/>
    <x v="11"/>
    <s v="Total Electric Power Industry"/>
    <x v="4"/>
    <n v="7678995"/>
  </r>
  <r>
    <x v="5"/>
    <x v="11"/>
    <s v="Total Electric Power Industry"/>
    <x v="5"/>
    <n v="20357"/>
  </r>
  <r>
    <x v="5"/>
    <x v="11"/>
    <s v="Total Electric Power Industry"/>
    <x v="6"/>
    <n v="1145"/>
  </r>
  <r>
    <x v="5"/>
    <x v="11"/>
    <s v="Electric Generators, Independent Power Producers"/>
    <x v="0"/>
    <n v="641018"/>
  </r>
  <r>
    <x v="5"/>
    <x v="11"/>
    <s v="Electric Generators, Independent Power Producers"/>
    <x v="11"/>
    <n v="234521"/>
  </r>
  <r>
    <x v="5"/>
    <x v="11"/>
    <s v="Electric Generators, Independent Power Producers"/>
    <x v="2"/>
    <n v="18047"/>
  </r>
  <r>
    <x v="5"/>
    <x v="11"/>
    <s v="Electric Generators, Independent Power Producers"/>
    <x v="8"/>
    <n v="368093"/>
  </r>
  <r>
    <x v="5"/>
    <x v="11"/>
    <s v="Electric Generators, Independent Power Producers"/>
    <x v="5"/>
    <n v="20357"/>
  </r>
  <r>
    <x v="5"/>
    <x v="11"/>
    <s v="Electric Generators, Electric Utilities"/>
    <x v="0"/>
    <n v="6190584"/>
  </r>
  <r>
    <x v="5"/>
    <x v="11"/>
    <s v="Electric Generators, Electric Utilities"/>
    <x v="2"/>
    <n v="15957"/>
  </r>
  <r>
    <x v="5"/>
    <x v="11"/>
    <s v="Electric Generators, Electric Utilities"/>
    <x v="4"/>
    <n v="6174627"/>
  </r>
  <r>
    <x v="5"/>
    <x v="11"/>
    <s v="Combined Heat and Power, Industrial Power"/>
    <x v="0"/>
    <n v="663563"/>
  </r>
  <r>
    <x v="5"/>
    <x v="11"/>
    <s v="Combined Heat and Power, Industrial Power"/>
    <x v="1"/>
    <n v="59665"/>
  </r>
  <r>
    <x v="5"/>
    <x v="11"/>
    <s v="Combined Heat and Power, Industrial Power"/>
    <x v="2"/>
    <n v="63806"/>
  </r>
  <r>
    <x v="5"/>
    <x v="11"/>
    <s v="Combined Heat and Power, Industrial Power"/>
    <x v="12"/>
    <n v="2119"/>
  </r>
  <r>
    <x v="5"/>
    <x v="11"/>
    <s v="Combined Heat and Power, Industrial Power"/>
    <x v="8"/>
    <n v="270432"/>
  </r>
  <r>
    <x v="5"/>
    <x v="11"/>
    <s v="Combined Heat and Power, Industrial Power"/>
    <x v="9"/>
    <n v="69307"/>
  </r>
  <r>
    <x v="5"/>
    <x v="11"/>
    <s v="Combined Heat and Power, Industrial Power"/>
    <x v="4"/>
    <n v="197089"/>
  </r>
  <r>
    <x v="5"/>
    <x v="11"/>
    <s v="Combined Heat and Power, Industrial Power"/>
    <x v="6"/>
    <n v="1145"/>
  </r>
  <r>
    <x v="5"/>
    <x v="11"/>
    <s v="Combined Heat and Power, Electric Power"/>
    <x v="0"/>
    <n v="2808818"/>
  </r>
  <r>
    <x v="5"/>
    <x v="11"/>
    <s v="Combined Heat and Power, Electric Power"/>
    <x v="1"/>
    <n v="1501539"/>
  </r>
  <r>
    <x v="5"/>
    <x v="11"/>
    <s v="Combined Heat and Power, Electric Power"/>
    <x v="4"/>
    <n v="1307279"/>
  </r>
  <r>
    <x v="5"/>
    <x v="12"/>
    <s v="Total Electric Power Industry"/>
    <x v="0"/>
    <n v="34752928"/>
  </r>
  <r>
    <x v="5"/>
    <x v="12"/>
    <s v="Total Electric Power Industry"/>
    <x v="1"/>
    <n v="29409704"/>
  </r>
  <r>
    <x v="5"/>
    <x v="12"/>
    <s v="Total Electric Power Industry"/>
    <x v="2"/>
    <n v="1002974"/>
  </r>
  <r>
    <x v="5"/>
    <x v="12"/>
    <s v="Total Electric Power Industry"/>
    <x v="3"/>
    <n v="479889"/>
  </r>
  <r>
    <x v="5"/>
    <x v="12"/>
    <s v="Total Electric Power Industry"/>
    <x v="7"/>
    <n v="3729970"/>
  </r>
  <r>
    <x v="5"/>
    <x v="12"/>
    <s v="Total Electric Power Industry"/>
    <x v="8"/>
    <n v="64135"/>
  </r>
  <r>
    <x v="5"/>
    <x v="12"/>
    <s v="Total Electric Power Industry"/>
    <x v="4"/>
    <n v="65861"/>
  </r>
  <r>
    <x v="5"/>
    <x v="12"/>
    <s v="Total Electric Power Industry"/>
    <x v="5"/>
    <n v="117"/>
  </r>
  <r>
    <x v="5"/>
    <x v="12"/>
    <s v="Total Electric Power Industry"/>
    <x v="6"/>
    <n v="278"/>
  </r>
  <r>
    <x v="5"/>
    <x v="12"/>
    <s v="Electric Generators, Independent Power Producers"/>
    <x v="0"/>
    <n v="16043"/>
  </r>
  <r>
    <x v="5"/>
    <x v="12"/>
    <s v="Electric Generators, Independent Power Producers"/>
    <x v="2"/>
    <n v="11886"/>
  </r>
  <r>
    <x v="5"/>
    <x v="12"/>
    <s v="Electric Generators, Independent Power Producers"/>
    <x v="4"/>
    <n v="4157"/>
  </r>
  <r>
    <x v="5"/>
    <x v="12"/>
    <s v="Electric Generators, Electric Utilities"/>
    <x v="0"/>
    <n v="33501928"/>
  </r>
  <r>
    <x v="5"/>
    <x v="12"/>
    <s v="Electric Generators, Electric Utilities"/>
    <x v="1"/>
    <n v="28426101"/>
  </r>
  <r>
    <x v="5"/>
    <x v="12"/>
    <s v="Electric Generators, Electric Utilities"/>
    <x v="2"/>
    <n v="991088"/>
  </r>
  <r>
    <x v="5"/>
    <x v="12"/>
    <s v="Electric Generators, Electric Utilities"/>
    <x v="3"/>
    <n v="277324"/>
  </r>
  <r>
    <x v="5"/>
    <x v="12"/>
    <s v="Electric Generators, Electric Utilities"/>
    <x v="7"/>
    <n v="3729970"/>
  </r>
  <r>
    <x v="5"/>
    <x v="12"/>
    <s v="Electric Generators, Electric Utilities"/>
    <x v="8"/>
    <n v="19578"/>
  </r>
  <r>
    <x v="5"/>
    <x v="12"/>
    <s v="Electric Generators, Electric Utilities"/>
    <x v="4"/>
    <n v="57750"/>
  </r>
  <r>
    <x v="5"/>
    <x v="12"/>
    <s v="Electric Generators, Electric Utilities"/>
    <x v="5"/>
    <n v="117"/>
  </r>
  <r>
    <x v="5"/>
    <x v="12"/>
    <s v="Combined Heat and Power, Industrial Power"/>
    <x v="0"/>
    <n v="1011433"/>
  </r>
  <r>
    <x v="5"/>
    <x v="12"/>
    <s v="Combined Heat and Power, Industrial Power"/>
    <x v="1"/>
    <n v="871384"/>
  </r>
  <r>
    <x v="5"/>
    <x v="12"/>
    <s v="Combined Heat and Power, Industrial Power"/>
    <x v="3"/>
    <n v="138425"/>
  </r>
  <r>
    <x v="5"/>
    <x v="12"/>
    <s v="Combined Heat and Power, Industrial Power"/>
    <x v="8"/>
    <n v="410"/>
  </r>
  <r>
    <x v="5"/>
    <x v="12"/>
    <s v="Combined Heat and Power, Industrial Power"/>
    <x v="4"/>
    <n v="936"/>
  </r>
  <r>
    <x v="5"/>
    <x v="12"/>
    <s v="Combined Heat and Power, Industrial Power"/>
    <x v="6"/>
    <n v="278"/>
  </r>
  <r>
    <x v="5"/>
    <x v="12"/>
    <s v="Combined Heat and Power, Electric Power"/>
    <x v="0"/>
    <n v="144070"/>
  </r>
  <r>
    <x v="5"/>
    <x v="12"/>
    <s v="Combined Heat and Power, Electric Power"/>
    <x v="1"/>
    <n v="69572"/>
  </r>
  <r>
    <x v="5"/>
    <x v="12"/>
    <s v="Combined Heat and Power, Electric Power"/>
    <x v="3"/>
    <n v="34682"/>
  </r>
  <r>
    <x v="5"/>
    <x v="12"/>
    <s v="Combined Heat and Power, Electric Power"/>
    <x v="8"/>
    <n v="39816"/>
  </r>
  <r>
    <x v="5"/>
    <x v="12"/>
    <s v="Combined Heat and Power, Commercial Power"/>
    <x v="0"/>
    <n v="79454"/>
  </r>
  <r>
    <x v="5"/>
    <x v="12"/>
    <s v="Combined Heat and Power, Commercial Power"/>
    <x v="1"/>
    <n v="42647"/>
  </r>
  <r>
    <x v="5"/>
    <x v="12"/>
    <s v="Combined Heat and Power, Commercial Power"/>
    <x v="3"/>
    <n v="29458"/>
  </r>
  <r>
    <x v="5"/>
    <x v="12"/>
    <s v="Combined Heat and Power, Commercial Power"/>
    <x v="8"/>
    <n v="4331"/>
  </r>
  <r>
    <x v="5"/>
    <x v="12"/>
    <s v="Combined Heat and Power, Commercial Power"/>
    <x v="4"/>
    <n v="3018"/>
  </r>
  <r>
    <x v="5"/>
    <x v="13"/>
    <s v="Total Electric Power Industry"/>
    <x v="0"/>
    <n v="11844605"/>
  </r>
  <r>
    <x v="5"/>
    <x v="13"/>
    <s v="Total Electric Power Industry"/>
    <x v="1"/>
    <n v="47527"/>
  </r>
  <r>
    <x v="5"/>
    <x v="13"/>
    <s v="Total Electric Power Industry"/>
    <x v="2"/>
    <n v="10989334"/>
  </r>
  <r>
    <x v="5"/>
    <x v="13"/>
    <s v="Total Electric Power Industry"/>
    <x v="3"/>
    <n v="167292"/>
  </r>
  <r>
    <x v="5"/>
    <x v="13"/>
    <s v="Total Electric Power Industry"/>
    <x v="12"/>
    <n v="90280"/>
  </r>
  <r>
    <x v="5"/>
    <x v="13"/>
    <s v="Total Electric Power Industry"/>
    <x v="8"/>
    <n v="12987"/>
  </r>
  <r>
    <x v="5"/>
    <x v="13"/>
    <s v="Total Electric Power Industry"/>
    <x v="4"/>
    <n v="564"/>
  </r>
  <r>
    <x v="5"/>
    <x v="13"/>
    <s v="Total Electric Power Industry"/>
    <x v="6"/>
    <n v="536621"/>
  </r>
  <r>
    <x v="5"/>
    <x v="13"/>
    <s v="Electric Generators, Independent Power Producers"/>
    <x v="0"/>
    <n v="926791"/>
  </r>
  <r>
    <x v="5"/>
    <x v="13"/>
    <s v="Electric Generators, Independent Power Producers"/>
    <x v="2"/>
    <n v="926791"/>
  </r>
  <r>
    <x v="5"/>
    <x v="13"/>
    <s v="Electric Generators, Electric Utilities"/>
    <x v="0"/>
    <n v="10062854"/>
  </r>
  <r>
    <x v="5"/>
    <x v="13"/>
    <s v="Electric Generators, Electric Utilities"/>
    <x v="2"/>
    <n v="10062543"/>
  </r>
  <r>
    <x v="5"/>
    <x v="13"/>
    <s v="Electric Generators, Electric Utilities"/>
    <x v="3"/>
    <n v="0"/>
  </r>
  <r>
    <x v="5"/>
    <x v="13"/>
    <s v="Electric Generators, Electric Utilities"/>
    <x v="4"/>
    <n v="311"/>
  </r>
  <r>
    <x v="5"/>
    <x v="13"/>
    <s v="Combined Heat and Power, Industrial Power"/>
    <x v="0"/>
    <n v="775631"/>
  </r>
  <r>
    <x v="5"/>
    <x v="13"/>
    <s v="Combined Heat and Power, Industrial Power"/>
    <x v="1"/>
    <n v="47527"/>
  </r>
  <r>
    <x v="5"/>
    <x v="13"/>
    <s v="Combined Heat and Power, Industrial Power"/>
    <x v="3"/>
    <n v="167292"/>
  </r>
  <r>
    <x v="5"/>
    <x v="13"/>
    <s v="Combined Heat and Power, Industrial Power"/>
    <x v="12"/>
    <n v="90280"/>
  </r>
  <r>
    <x v="5"/>
    <x v="13"/>
    <s v="Combined Heat and Power, Industrial Power"/>
    <x v="8"/>
    <n v="12987"/>
  </r>
  <r>
    <x v="5"/>
    <x v="13"/>
    <s v="Combined Heat and Power, Industrial Power"/>
    <x v="4"/>
    <n v="253"/>
  </r>
  <r>
    <x v="5"/>
    <x v="13"/>
    <s v="Combined Heat and Power, Industrial Power"/>
    <x v="6"/>
    <n v="457292"/>
  </r>
  <r>
    <x v="5"/>
    <x v="13"/>
    <s v="Combined Heat and Power, Electric Power"/>
    <x v="0"/>
    <n v="79329"/>
  </r>
  <r>
    <x v="5"/>
    <x v="13"/>
    <s v="Combined Heat and Power, Electric Power"/>
    <x v="6"/>
    <n v="79329"/>
  </r>
  <r>
    <x v="5"/>
    <x v="14"/>
    <s v="Total Electric Power Industry"/>
    <x v="0"/>
    <n v="148657931"/>
  </r>
  <r>
    <x v="5"/>
    <x v="14"/>
    <s v="Total Electric Power Industry"/>
    <x v="1"/>
    <n v="64415830"/>
  </r>
  <r>
    <x v="5"/>
    <x v="14"/>
    <s v="Total Electric Power Industry"/>
    <x v="2"/>
    <n v="123936"/>
  </r>
  <r>
    <x v="5"/>
    <x v="14"/>
    <s v="Total Electric Power Industry"/>
    <x v="3"/>
    <n v="3974378"/>
  </r>
  <r>
    <x v="5"/>
    <x v="14"/>
    <s v="Total Electric Power Industry"/>
    <x v="7"/>
    <n v="78480848"/>
  </r>
  <r>
    <x v="5"/>
    <x v="14"/>
    <s v="Total Electric Power Industry"/>
    <x v="8"/>
    <n v="341327"/>
  </r>
  <r>
    <x v="5"/>
    <x v="14"/>
    <s v="Total Electric Power Industry"/>
    <x v="9"/>
    <n v="396906"/>
  </r>
  <r>
    <x v="5"/>
    <x v="14"/>
    <s v="Total Electric Power Industry"/>
    <x v="4"/>
    <n v="922504"/>
  </r>
  <r>
    <x v="5"/>
    <x v="14"/>
    <s v="Total Electric Power Industry"/>
    <x v="6"/>
    <n v="2202"/>
  </r>
  <r>
    <x v="5"/>
    <x v="14"/>
    <s v="Electric Generators, Independent Power Producers"/>
    <x v="0"/>
    <n v="280255"/>
  </r>
  <r>
    <x v="5"/>
    <x v="14"/>
    <s v="Electric Generators, Independent Power Producers"/>
    <x v="2"/>
    <n v="70861"/>
  </r>
  <r>
    <x v="5"/>
    <x v="14"/>
    <s v="Electric Generators, Independent Power Producers"/>
    <x v="3"/>
    <n v="3552"/>
  </r>
  <r>
    <x v="5"/>
    <x v="14"/>
    <s v="Electric Generators, Independent Power Producers"/>
    <x v="8"/>
    <n v="205842"/>
  </r>
  <r>
    <x v="5"/>
    <x v="14"/>
    <s v="Electric Generators, Electric Utilities"/>
    <x v="0"/>
    <n v="145165161"/>
  </r>
  <r>
    <x v="5"/>
    <x v="14"/>
    <s v="Electric Generators, Electric Utilities"/>
    <x v="1"/>
    <n v="62735936"/>
  </r>
  <r>
    <x v="5"/>
    <x v="14"/>
    <s v="Electric Generators, Electric Utilities"/>
    <x v="2"/>
    <n v="47699"/>
  </r>
  <r>
    <x v="5"/>
    <x v="14"/>
    <s v="Electric Generators, Electric Utilities"/>
    <x v="3"/>
    <n v="2944310"/>
  </r>
  <r>
    <x v="5"/>
    <x v="14"/>
    <s v="Electric Generators, Electric Utilities"/>
    <x v="7"/>
    <n v="78480848"/>
  </r>
  <r>
    <x v="5"/>
    <x v="14"/>
    <s v="Electric Generators, Electric Utilities"/>
    <x v="8"/>
    <n v="67053"/>
  </r>
  <r>
    <x v="5"/>
    <x v="14"/>
    <s v="Electric Generators, Electric Utilities"/>
    <x v="4"/>
    <n v="888462"/>
  </r>
  <r>
    <x v="5"/>
    <x v="14"/>
    <s v="Electric Generators, Electric Utilities"/>
    <x v="6"/>
    <n v="853"/>
  </r>
  <r>
    <x v="5"/>
    <x v="14"/>
    <s v="Combined Heat and Power, Industrial Power"/>
    <x v="0"/>
    <n v="2890545"/>
  </r>
  <r>
    <x v="5"/>
    <x v="14"/>
    <s v="Combined Heat and Power, Industrial Power"/>
    <x v="1"/>
    <n v="1633882"/>
  </r>
  <r>
    <x v="5"/>
    <x v="14"/>
    <s v="Combined Heat and Power, Industrial Power"/>
    <x v="3"/>
    <n v="790624"/>
  </r>
  <r>
    <x v="5"/>
    <x v="14"/>
    <s v="Combined Heat and Power, Industrial Power"/>
    <x v="8"/>
    <n v="35418"/>
  </r>
  <r>
    <x v="5"/>
    <x v="14"/>
    <s v="Combined Heat and Power, Industrial Power"/>
    <x v="9"/>
    <n v="396906"/>
  </r>
  <r>
    <x v="5"/>
    <x v="14"/>
    <s v="Combined Heat and Power, Industrial Power"/>
    <x v="4"/>
    <n v="32366"/>
  </r>
  <r>
    <x v="5"/>
    <x v="14"/>
    <s v="Combined Heat and Power, Industrial Power"/>
    <x v="6"/>
    <n v="1349"/>
  </r>
  <r>
    <x v="5"/>
    <x v="14"/>
    <s v="Combined Heat and Power, Electric Power"/>
    <x v="0"/>
    <n v="33709"/>
  </r>
  <r>
    <x v="5"/>
    <x v="14"/>
    <s v="Combined Heat and Power, Electric Power"/>
    <x v="3"/>
    <n v="4415"/>
  </r>
  <r>
    <x v="5"/>
    <x v="14"/>
    <s v="Combined Heat and Power, Electric Power"/>
    <x v="8"/>
    <n v="29294"/>
  </r>
  <r>
    <x v="5"/>
    <x v="14"/>
    <s v="Combined Heat and Power, Commercial Power"/>
    <x v="0"/>
    <n v="288261"/>
  </r>
  <r>
    <x v="5"/>
    <x v="14"/>
    <s v="Combined Heat and Power, Commercial Power"/>
    <x v="1"/>
    <n v="46012"/>
  </r>
  <r>
    <x v="5"/>
    <x v="14"/>
    <s v="Combined Heat and Power, Commercial Power"/>
    <x v="2"/>
    <n v="5376"/>
  </r>
  <r>
    <x v="5"/>
    <x v="14"/>
    <s v="Combined Heat and Power, Commercial Power"/>
    <x v="3"/>
    <n v="231477"/>
  </r>
  <r>
    <x v="5"/>
    <x v="14"/>
    <s v="Combined Heat and Power, Commercial Power"/>
    <x v="8"/>
    <n v="3720"/>
  </r>
  <r>
    <x v="5"/>
    <x v="14"/>
    <s v="Combined Heat and Power, Commercial Power"/>
    <x v="4"/>
    <n v="1676"/>
  </r>
  <r>
    <x v="5"/>
    <x v="15"/>
    <s v="Total Electric Power Industry"/>
    <x v="0"/>
    <n v="109156846"/>
  </r>
  <r>
    <x v="5"/>
    <x v="15"/>
    <s v="Total Electric Power Industry"/>
    <x v="1"/>
    <n v="104688066"/>
  </r>
  <r>
    <x v="5"/>
    <x v="15"/>
    <s v="Total Electric Power Industry"/>
    <x v="2"/>
    <n v="467261"/>
  </r>
  <r>
    <x v="5"/>
    <x v="15"/>
    <s v="Total Electric Power Industry"/>
    <x v="3"/>
    <n v="1453563"/>
  </r>
  <r>
    <x v="5"/>
    <x v="15"/>
    <s v="Total Electric Power Industry"/>
    <x v="8"/>
    <n v="84340"/>
  </r>
  <r>
    <x v="5"/>
    <x v="15"/>
    <s v="Total Electric Power Industry"/>
    <x v="9"/>
    <n v="2120995"/>
  </r>
  <r>
    <x v="5"/>
    <x v="15"/>
    <s v="Total Electric Power Industry"/>
    <x v="4"/>
    <n v="342621"/>
  </r>
  <r>
    <x v="5"/>
    <x v="15"/>
    <s v="Electric Generators, Independent Power Producers"/>
    <x v="0"/>
    <n v="45538"/>
  </r>
  <r>
    <x v="5"/>
    <x v="15"/>
    <s v="Electric Generators, Independent Power Producers"/>
    <x v="8"/>
    <n v="45538"/>
  </r>
  <r>
    <x v="5"/>
    <x v="15"/>
    <s v="Electric Generators, Electric Utilities"/>
    <x v="0"/>
    <n v="105188892"/>
  </r>
  <r>
    <x v="5"/>
    <x v="15"/>
    <s v="Electric Generators, Electric Utilities"/>
    <x v="1"/>
    <n v="103774522"/>
  </r>
  <r>
    <x v="5"/>
    <x v="15"/>
    <s v="Electric Generators, Electric Utilities"/>
    <x v="2"/>
    <n v="467261"/>
  </r>
  <r>
    <x v="5"/>
    <x v="15"/>
    <s v="Electric Generators, Electric Utilities"/>
    <x v="3"/>
    <n v="734058"/>
  </r>
  <r>
    <x v="5"/>
    <x v="15"/>
    <s v="Electric Generators, Electric Utilities"/>
    <x v="4"/>
    <n v="213051"/>
  </r>
  <r>
    <x v="5"/>
    <x v="15"/>
    <s v="Combined Heat and Power, Industrial Power"/>
    <x v="0"/>
    <n v="3725568"/>
  </r>
  <r>
    <x v="5"/>
    <x v="15"/>
    <s v="Combined Heat and Power, Industrial Power"/>
    <x v="1"/>
    <n v="781327"/>
  </r>
  <r>
    <x v="5"/>
    <x v="15"/>
    <s v="Combined Heat and Power, Industrial Power"/>
    <x v="3"/>
    <n v="695664"/>
  </r>
  <r>
    <x v="5"/>
    <x v="15"/>
    <s v="Combined Heat and Power, Industrial Power"/>
    <x v="9"/>
    <n v="2120995"/>
  </r>
  <r>
    <x v="5"/>
    <x v="15"/>
    <s v="Combined Heat and Power, Industrial Power"/>
    <x v="4"/>
    <n v="127582"/>
  </r>
  <r>
    <x v="5"/>
    <x v="15"/>
    <s v="Combined Heat and Power, Commercial Power"/>
    <x v="0"/>
    <n v="196848"/>
  </r>
  <r>
    <x v="5"/>
    <x v="15"/>
    <s v="Combined Heat and Power, Commercial Power"/>
    <x v="1"/>
    <n v="132217"/>
  </r>
  <r>
    <x v="5"/>
    <x v="15"/>
    <s v="Combined Heat and Power, Commercial Power"/>
    <x v="3"/>
    <n v="23841"/>
  </r>
  <r>
    <x v="5"/>
    <x v="15"/>
    <s v="Combined Heat and Power, Commercial Power"/>
    <x v="8"/>
    <n v="38802"/>
  </r>
  <r>
    <x v="5"/>
    <x v="15"/>
    <s v="Combined Heat and Power, Commercial Power"/>
    <x v="4"/>
    <n v="1988"/>
  </r>
  <r>
    <x v="5"/>
    <x v="16"/>
    <s v="Total Electric Power Industry"/>
    <x v="0"/>
    <n v="38420705"/>
  </r>
  <r>
    <x v="5"/>
    <x v="16"/>
    <s v="Total Electric Power Industry"/>
    <x v="1"/>
    <n v="25896959"/>
  </r>
  <r>
    <x v="5"/>
    <x v="16"/>
    <s v="Total Electric Power Industry"/>
    <x v="2"/>
    <n v="11214"/>
  </r>
  <r>
    <x v="5"/>
    <x v="16"/>
    <s v="Total Electric Power Industry"/>
    <x v="3"/>
    <n v="2374465"/>
  </r>
  <r>
    <x v="5"/>
    <x v="16"/>
    <s v="Total Electric Power Industry"/>
    <x v="7"/>
    <n v="10062177"/>
  </r>
  <r>
    <x v="5"/>
    <x v="16"/>
    <s v="Total Electric Power Industry"/>
    <x v="4"/>
    <n v="75864"/>
  </r>
  <r>
    <x v="5"/>
    <x v="16"/>
    <s v="Total Electric Power Industry"/>
    <x v="5"/>
    <n v="26"/>
  </r>
  <r>
    <x v="5"/>
    <x v="16"/>
    <s v="Electric Generators, Independent Power Producers"/>
    <x v="0"/>
    <n v="11214"/>
  </r>
  <r>
    <x v="5"/>
    <x v="16"/>
    <s v="Electric Generators, Independent Power Producers"/>
    <x v="2"/>
    <n v="11214"/>
  </r>
  <r>
    <x v="5"/>
    <x v="16"/>
    <s v="Electric Generators, Electric Utilities"/>
    <x v="0"/>
    <n v="38230483"/>
  </r>
  <r>
    <x v="5"/>
    <x v="16"/>
    <s v="Electric Generators, Electric Utilities"/>
    <x v="1"/>
    <n v="25896959"/>
  </r>
  <r>
    <x v="5"/>
    <x v="16"/>
    <s v="Electric Generators, Electric Utilities"/>
    <x v="3"/>
    <n v="2197557"/>
  </r>
  <r>
    <x v="5"/>
    <x v="16"/>
    <s v="Electric Generators, Electric Utilities"/>
    <x v="7"/>
    <n v="10062177"/>
  </r>
  <r>
    <x v="5"/>
    <x v="16"/>
    <s v="Electric Generators, Electric Utilities"/>
    <x v="4"/>
    <n v="73764"/>
  </r>
  <r>
    <x v="5"/>
    <x v="16"/>
    <s v="Electric Generators, Electric Utilities"/>
    <x v="5"/>
    <n v="26"/>
  </r>
  <r>
    <x v="5"/>
    <x v="16"/>
    <s v="Combined Heat and Power, Industrial Power"/>
    <x v="0"/>
    <n v="174088"/>
  </r>
  <r>
    <x v="5"/>
    <x v="16"/>
    <s v="Combined Heat and Power, Industrial Power"/>
    <x v="3"/>
    <n v="171988"/>
  </r>
  <r>
    <x v="5"/>
    <x v="16"/>
    <s v="Combined Heat and Power, Industrial Power"/>
    <x v="4"/>
    <n v="2100"/>
  </r>
  <r>
    <x v="5"/>
    <x v="16"/>
    <s v="Combined Heat and Power, Commercial Power"/>
    <x v="0"/>
    <n v="4920"/>
  </r>
  <r>
    <x v="5"/>
    <x v="16"/>
    <s v="Combined Heat and Power, Commercial Power"/>
    <x v="3"/>
    <n v="4920"/>
  </r>
  <r>
    <x v="5"/>
    <x v="17"/>
    <s v="Total Electric Power Industry"/>
    <x v="0"/>
    <n v="86165836"/>
  </r>
  <r>
    <x v="5"/>
    <x v="17"/>
    <s v="Total Electric Power Industry"/>
    <x v="1"/>
    <n v="82539467"/>
  </r>
  <r>
    <x v="5"/>
    <x v="17"/>
    <s v="Total Electric Power Industry"/>
    <x v="2"/>
    <n v="3423478"/>
  </r>
  <r>
    <x v="5"/>
    <x v="17"/>
    <s v="Total Electric Power Industry"/>
    <x v="3"/>
    <n v="68035"/>
  </r>
  <r>
    <x v="5"/>
    <x v="17"/>
    <s v="Total Electric Power Industry"/>
    <x v="4"/>
    <n v="130598"/>
  </r>
  <r>
    <x v="5"/>
    <x v="17"/>
    <s v="Total Electric Power Industry"/>
    <x v="6"/>
    <n v="4258"/>
  </r>
  <r>
    <x v="5"/>
    <x v="17"/>
    <s v="Electric Generators, Electric Utilities"/>
    <x v="0"/>
    <n v="86161578"/>
  </r>
  <r>
    <x v="5"/>
    <x v="17"/>
    <s v="Electric Generators, Electric Utilities"/>
    <x v="1"/>
    <n v="82539467"/>
  </r>
  <r>
    <x v="5"/>
    <x v="17"/>
    <s v="Electric Generators, Electric Utilities"/>
    <x v="2"/>
    <n v="3423478"/>
  </r>
  <r>
    <x v="5"/>
    <x v="17"/>
    <s v="Electric Generators, Electric Utilities"/>
    <x v="3"/>
    <n v="68035"/>
  </r>
  <r>
    <x v="5"/>
    <x v="17"/>
    <s v="Electric Generators, Electric Utilities"/>
    <x v="4"/>
    <n v="130598"/>
  </r>
  <r>
    <x v="5"/>
    <x v="17"/>
    <s v="Combined Heat and Power, Industrial Power"/>
    <x v="0"/>
    <n v="4258"/>
  </r>
  <r>
    <x v="5"/>
    <x v="17"/>
    <s v="Combined Heat and Power, Industrial Power"/>
    <x v="6"/>
    <n v="4258"/>
  </r>
  <r>
    <x v="5"/>
    <x v="18"/>
    <s v="Total Electric Power Industry"/>
    <x v="0"/>
    <n v="84559724"/>
  </r>
  <r>
    <x v="5"/>
    <x v="18"/>
    <s v="Total Electric Power Industry"/>
    <x v="1"/>
    <n v="18989474"/>
  </r>
  <r>
    <x v="5"/>
    <x v="18"/>
    <s v="Total Electric Power Industry"/>
    <x v="2"/>
    <n v="952144"/>
  </r>
  <r>
    <x v="5"/>
    <x v="18"/>
    <s v="Total Electric Power Industry"/>
    <x v="3"/>
    <n v="43217747"/>
  </r>
  <r>
    <x v="5"/>
    <x v="18"/>
    <s v="Total Electric Power Industry"/>
    <x v="7"/>
    <n v="15685900"/>
  </r>
  <r>
    <x v="5"/>
    <x v="18"/>
    <s v="Total Electric Power Industry"/>
    <x v="12"/>
    <n v="600648"/>
  </r>
  <r>
    <x v="5"/>
    <x v="18"/>
    <s v="Total Electric Power Industry"/>
    <x v="8"/>
    <n v="102237"/>
  </r>
  <r>
    <x v="5"/>
    <x v="18"/>
    <s v="Total Electric Power Industry"/>
    <x v="9"/>
    <n v="982181"/>
  </r>
  <r>
    <x v="5"/>
    <x v="18"/>
    <s v="Total Electric Power Industry"/>
    <x v="4"/>
    <n v="1486214"/>
  </r>
  <r>
    <x v="5"/>
    <x v="18"/>
    <s v="Total Electric Power Industry"/>
    <x v="6"/>
    <n v="2543179"/>
  </r>
  <r>
    <x v="5"/>
    <x v="18"/>
    <s v="Electric Generators, Independent Power Producers"/>
    <x v="0"/>
    <n v="1161787"/>
  </r>
  <r>
    <x v="5"/>
    <x v="18"/>
    <s v="Electric Generators, Independent Power Producers"/>
    <x v="2"/>
    <n v="952144"/>
  </r>
  <r>
    <x v="5"/>
    <x v="18"/>
    <s v="Electric Generators, Independent Power Producers"/>
    <x v="3"/>
    <n v="104340"/>
  </r>
  <r>
    <x v="5"/>
    <x v="18"/>
    <s v="Electric Generators, Independent Power Producers"/>
    <x v="8"/>
    <n v="86116"/>
  </r>
  <r>
    <x v="5"/>
    <x v="18"/>
    <s v="Electric Generators, Independent Power Producers"/>
    <x v="4"/>
    <n v="19187"/>
  </r>
  <r>
    <x v="5"/>
    <x v="18"/>
    <s v="Electric Generators, Electric Utilities"/>
    <x v="0"/>
    <n v="65555229"/>
  </r>
  <r>
    <x v="5"/>
    <x v="18"/>
    <s v="Electric Generators, Electric Utilities"/>
    <x v="1"/>
    <n v="18954264"/>
  </r>
  <r>
    <x v="5"/>
    <x v="18"/>
    <s v="Electric Generators, Electric Utilities"/>
    <x v="3"/>
    <n v="30866507"/>
  </r>
  <r>
    <x v="5"/>
    <x v="18"/>
    <s v="Electric Generators, Electric Utilities"/>
    <x v="7"/>
    <n v="15685900"/>
  </r>
  <r>
    <x v="5"/>
    <x v="18"/>
    <s v="Electric Generators, Electric Utilities"/>
    <x v="4"/>
    <n v="48558"/>
  </r>
  <r>
    <x v="5"/>
    <x v="18"/>
    <s v="Combined Heat and Power, Industrial Power"/>
    <x v="0"/>
    <n v="16410333"/>
  </r>
  <r>
    <x v="5"/>
    <x v="18"/>
    <s v="Combined Heat and Power, Industrial Power"/>
    <x v="1"/>
    <n v="35210"/>
  </r>
  <r>
    <x v="5"/>
    <x v="18"/>
    <s v="Combined Heat and Power, Industrial Power"/>
    <x v="3"/>
    <n v="12218791"/>
  </r>
  <r>
    <x v="5"/>
    <x v="18"/>
    <s v="Combined Heat and Power, Industrial Power"/>
    <x v="12"/>
    <n v="600648"/>
  </r>
  <r>
    <x v="5"/>
    <x v="18"/>
    <s v="Combined Heat and Power, Industrial Power"/>
    <x v="8"/>
    <n v="16121"/>
  </r>
  <r>
    <x v="5"/>
    <x v="18"/>
    <s v="Combined Heat and Power, Industrial Power"/>
    <x v="9"/>
    <n v="982181"/>
  </r>
  <r>
    <x v="5"/>
    <x v="18"/>
    <s v="Combined Heat and Power, Industrial Power"/>
    <x v="4"/>
    <n v="14203"/>
  </r>
  <r>
    <x v="5"/>
    <x v="18"/>
    <s v="Combined Heat and Power, Industrial Power"/>
    <x v="6"/>
    <n v="2543179"/>
  </r>
  <r>
    <x v="5"/>
    <x v="18"/>
    <s v="Combined Heat and Power, Electric Power"/>
    <x v="0"/>
    <n v="1404266"/>
  </r>
  <r>
    <x v="5"/>
    <x v="18"/>
    <s v="Combined Heat and Power, Electric Power"/>
    <x v="4"/>
    <n v="1404266"/>
  </r>
  <r>
    <x v="5"/>
    <x v="18"/>
    <s v="Combined Heat and Power, Commercial Power"/>
    <x v="0"/>
    <n v="28109"/>
  </r>
  <r>
    <x v="5"/>
    <x v="18"/>
    <s v="Combined Heat and Power, Commercial Power"/>
    <x v="3"/>
    <n v="28109"/>
  </r>
  <r>
    <x v="5"/>
    <x v="19"/>
    <s v="Total Electric Power Industry"/>
    <x v="0"/>
    <n v="37654481"/>
  </r>
  <r>
    <x v="5"/>
    <x v="19"/>
    <s v="Total Electric Power Industry"/>
    <x v="1"/>
    <n v="10698263"/>
  </r>
  <r>
    <x v="5"/>
    <x v="19"/>
    <s v="Total Electric Power Industry"/>
    <x v="2"/>
    <n v="868649"/>
  </r>
  <r>
    <x v="5"/>
    <x v="19"/>
    <s v="Total Electric Power Industry"/>
    <x v="3"/>
    <n v="14235010"/>
  </r>
  <r>
    <x v="5"/>
    <x v="19"/>
    <s v="Total Electric Power Industry"/>
    <x v="7"/>
    <n v="4485845"/>
  </r>
  <r>
    <x v="5"/>
    <x v="19"/>
    <s v="Total Electric Power Industry"/>
    <x v="8"/>
    <n v="1885794"/>
  </r>
  <r>
    <x v="5"/>
    <x v="19"/>
    <s v="Total Electric Power Industry"/>
    <x v="4"/>
    <n v="6151495"/>
  </r>
  <r>
    <x v="5"/>
    <x v="19"/>
    <s v="Total Electric Power Industry"/>
    <x v="10"/>
    <n v="-806203"/>
  </r>
  <r>
    <x v="5"/>
    <x v="19"/>
    <s v="Total Electric Power Industry"/>
    <x v="5"/>
    <n v="0"/>
  </r>
  <r>
    <x v="5"/>
    <x v="19"/>
    <s v="Total Electric Power Industry"/>
    <x v="6"/>
    <n v="135628"/>
  </r>
  <r>
    <x v="5"/>
    <x v="19"/>
    <s v="Electric Generators, Independent Power Producers"/>
    <x v="0"/>
    <n v="3577177"/>
  </r>
  <r>
    <x v="5"/>
    <x v="19"/>
    <s v="Electric Generators, Independent Power Producers"/>
    <x v="2"/>
    <n v="207516"/>
  </r>
  <r>
    <x v="5"/>
    <x v="19"/>
    <s v="Electric Generators, Independent Power Producers"/>
    <x v="3"/>
    <n v="1488161"/>
  </r>
  <r>
    <x v="5"/>
    <x v="19"/>
    <s v="Electric Generators, Independent Power Producers"/>
    <x v="8"/>
    <n v="1720274"/>
  </r>
  <r>
    <x v="5"/>
    <x v="19"/>
    <s v="Electric Generators, Independent Power Producers"/>
    <x v="4"/>
    <n v="26293"/>
  </r>
  <r>
    <x v="5"/>
    <x v="19"/>
    <s v="Electric Generators, Independent Power Producers"/>
    <x v="6"/>
    <n v="134933"/>
  </r>
  <r>
    <x v="5"/>
    <x v="19"/>
    <s v="Electric Generators, Electric Utilities"/>
    <x v="0"/>
    <n v="26971667"/>
  </r>
  <r>
    <x v="5"/>
    <x v="19"/>
    <s v="Electric Generators, Electric Utilities"/>
    <x v="1"/>
    <n v="10586608"/>
  </r>
  <r>
    <x v="5"/>
    <x v="19"/>
    <s v="Electric Generators, Electric Utilities"/>
    <x v="2"/>
    <n v="650277"/>
  </r>
  <r>
    <x v="5"/>
    <x v="19"/>
    <s v="Electric Generators, Electric Utilities"/>
    <x v="3"/>
    <n v="6206477"/>
  </r>
  <r>
    <x v="5"/>
    <x v="19"/>
    <s v="Electric Generators, Electric Utilities"/>
    <x v="7"/>
    <n v="4485845"/>
  </r>
  <r>
    <x v="5"/>
    <x v="19"/>
    <s v="Electric Generators, Electric Utilities"/>
    <x v="4"/>
    <n v="5848663"/>
  </r>
  <r>
    <x v="5"/>
    <x v="19"/>
    <s v="Electric Generators, Electric Utilities"/>
    <x v="10"/>
    <n v="-806203"/>
  </r>
  <r>
    <x v="5"/>
    <x v="19"/>
    <s v="Electric Generators, Electric Utilities"/>
    <x v="5"/>
    <n v="0"/>
  </r>
  <r>
    <x v="5"/>
    <x v="19"/>
    <s v="Combined Heat and Power, Industrial Power"/>
    <x v="0"/>
    <n v="487967"/>
  </r>
  <r>
    <x v="5"/>
    <x v="19"/>
    <s v="Combined Heat and Power, Industrial Power"/>
    <x v="1"/>
    <n v="30649"/>
  </r>
  <r>
    <x v="5"/>
    <x v="19"/>
    <s v="Combined Heat and Power, Industrial Power"/>
    <x v="2"/>
    <n v="10856"/>
  </r>
  <r>
    <x v="5"/>
    <x v="19"/>
    <s v="Combined Heat and Power, Industrial Power"/>
    <x v="3"/>
    <n v="208117"/>
  </r>
  <r>
    <x v="5"/>
    <x v="19"/>
    <s v="Combined Heat and Power, Industrial Power"/>
    <x v="8"/>
    <n v="102072"/>
  </r>
  <r>
    <x v="5"/>
    <x v="19"/>
    <s v="Combined Heat and Power, Industrial Power"/>
    <x v="4"/>
    <n v="136273"/>
  </r>
  <r>
    <x v="5"/>
    <x v="19"/>
    <s v="Combined Heat and Power, Electric Power"/>
    <x v="0"/>
    <n v="6240918"/>
  </r>
  <r>
    <x v="5"/>
    <x v="19"/>
    <s v="Combined Heat and Power, Electric Power"/>
    <x v="1"/>
    <n v="81006"/>
  </r>
  <r>
    <x v="5"/>
    <x v="19"/>
    <s v="Combined Heat and Power, Electric Power"/>
    <x v="3"/>
    <n v="6079910"/>
  </r>
  <r>
    <x v="5"/>
    <x v="19"/>
    <s v="Combined Heat and Power, Electric Power"/>
    <x v="8"/>
    <n v="63399"/>
  </r>
  <r>
    <x v="5"/>
    <x v="19"/>
    <s v="Combined Heat and Power, Electric Power"/>
    <x v="4"/>
    <n v="15908"/>
  </r>
  <r>
    <x v="5"/>
    <x v="19"/>
    <s v="Combined Heat and Power, Electric Power"/>
    <x v="6"/>
    <n v="695"/>
  </r>
  <r>
    <x v="5"/>
    <x v="19"/>
    <s v="Combined Heat and Power, Commercial Power"/>
    <x v="0"/>
    <n v="376752"/>
  </r>
  <r>
    <x v="5"/>
    <x v="19"/>
    <s v="Combined Heat and Power, Commercial Power"/>
    <x v="3"/>
    <n v="252345"/>
  </r>
  <r>
    <x v="5"/>
    <x v="19"/>
    <s v="Combined Heat and Power, Commercial Power"/>
    <x v="8"/>
    <n v="49"/>
  </r>
  <r>
    <x v="5"/>
    <x v="19"/>
    <s v="Combined Heat and Power, Commercial Power"/>
    <x v="4"/>
    <n v="124358"/>
  </r>
  <r>
    <x v="5"/>
    <x v="20"/>
    <s v="Total Electric Power Industry"/>
    <x v="0"/>
    <n v="46365643"/>
  </r>
  <r>
    <x v="5"/>
    <x v="20"/>
    <s v="Total Electric Power Industry"/>
    <x v="1"/>
    <n v="27595256"/>
  </r>
  <r>
    <x v="5"/>
    <x v="20"/>
    <s v="Total Electric Power Industry"/>
    <x v="2"/>
    <n v="1442006"/>
  </r>
  <r>
    <x v="5"/>
    <x v="20"/>
    <s v="Total Electric Power Industry"/>
    <x v="3"/>
    <n v="1548884"/>
  </r>
  <r>
    <x v="5"/>
    <x v="20"/>
    <s v="Total Electric Power Industry"/>
    <x v="7"/>
    <n v="12937971"/>
  </r>
  <r>
    <x v="5"/>
    <x v="20"/>
    <s v="Total Electric Power Industry"/>
    <x v="8"/>
    <n v="501192"/>
  </r>
  <r>
    <x v="5"/>
    <x v="20"/>
    <s v="Total Electric Power Industry"/>
    <x v="9"/>
    <n v="685721"/>
  </r>
  <r>
    <x v="5"/>
    <x v="20"/>
    <s v="Total Electric Power Industry"/>
    <x v="4"/>
    <n v="1479469"/>
  </r>
  <r>
    <x v="5"/>
    <x v="20"/>
    <s v="Total Electric Power Industry"/>
    <x v="6"/>
    <n v="175144"/>
  </r>
  <r>
    <x v="5"/>
    <x v="20"/>
    <s v="Electric Generators, Independent Power Producers"/>
    <x v="0"/>
    <n v="166855"/>
  </r>
  <r>
    <x v="5"/>
    <x v="20"/>
    <s v="Electric Generators, Independent Power Producers"/>
    <x v="3"/>
    <n v="2179"/>
  </r>
  <r>
    <x v="5"/>
    <x v="20"/>
    <s v="Electric Generators, Independent Power Producers"/>
    <x v="8"/>
    <n v="164676"/>
  </r>
  <r>
    <x v="5"/>
    <x v="20"/>
    <s v="Electric Generators, Electric Utilities"/>
    <x v="0"/>
    <n v="44658945"/>
  </r>
  <r>
    <x v="5"/>
    <x v="20"/>
    <s v="Electric Generators, Electric Utilities"/>
    <x v="1"/>
    <n v="27369905"/>
  </r>
  <r>
    <x v="5"/>
    <x v="20"/>
    <s v="Electric Generators, Electric Utilities"/>
    <x v="2"/>
    <n v="1442006"/>
  </r>
  <r>
    <x v="5"/>
    <x v="20"/>
    <s v="Electric Generators, Electric Utilities"/>
    <x v="3"/>
    <n v="1501465"/>
  </r>
  <r>
    <x v="5"/>
    <x v="20"/>
    <s v="Electric Generators, Electric Utilities"/>
    <x v="7"/>
    <n v="12937971"/>
  </r>
  <r>
    <x v="5"/>
    <x v="20"/>
    <s v="Electric Generators, Electric Utilities"/>
    <x v="4"/>
    <n v="1407598"/>
  </r>
  <r>
    <x v="5"/>
    <x v="20"/>
    <s v="Combined Heat and Power, Industrial Power"/>
    <x v="0"/>
    <n v="439139"/>
  </r>
  <r>
    <x v="5"/>
    <x v="20"/>
    <s v="Combined Heat and Power, Industrial Power"/>
    <x v="1"/>
    <n v="225351"/>
  </r>
  <r>
    <x v="5"/>
    <x v="20"/>
    <s v="Combined Heat and Power, Industrial Power"/>
    <x v="3"/>
    <n v="44676"/>
  </r>
  <r>
    <x v="5"/>
    <x v="20"/>
    <s v="Combined Heat and Power, Industrial Power"/>
    <x v="4"/>
    <n v="9744"/>
  </r>
  <r>
    <x v="5"/>
    <x v="20"/>
    <s v="Combined Heat and Power, Industrial Power"/>
    <x v="6"/>
    <n v="159368"/>
  </r>
  <r>
    <x v="5"/>
    <x v="20"/>
    <s v="Combined Heat and Power, Electric Power"/>
    <x v="0"/>
    <n v="1070587"/>
  </r>
  <r>
    <x v="5"/>
    <x v="20"/>
    <s v="Combined Heat and Power, Electric Power"/>
    <x v="3"/>
    <n v="564"/>
  </r>
  <r>
    <x v="5"/>
    <x v="20"/>
    <s v="Combined Heat and Power, Electric Power"/>
    <x v="8"/>
    <n v="322472"/>
  </r>
  <r>
    <x v="5"/>
    <x v="20"/>
    <s v="Combined Heat and Power, Electric Power"/>
    <x v="9"/>
    <n v="685721"/>
  </r>
  <r>
    <x v="5"/>
    <x v="20"/>
    <s v="Combined Heat and Power, Electric Power"/>
    <x v="4"/>
    <n v="61830"/>
  </r>
  <r>
    <x v="5"/>
    <x v="20"/>
    <s v="Combined Heat and Power, Commercial Power"/>
    <x v="0"/>
    <n v="30117"/>
  </r>
  <r>
    <x v="5"/>
    <x v="20"/>
    <s v="Combined Heat and Power, Commercial Power"/>
    <x v="8"/>
    <n v="14044"/>
  </r>
  <r>
    <x v="5"/>
    <x v="20"/>
    <s v="Combined Heat and Power, Commercial Power"/>
    <x v="4"/>
    <n v="297"/>
  </r>
  <r>
    <x v="5"/>
    <x v="20"/>
    <s v="Combined Heat and Power, Commercial Power"/>
    <x v="6"/>
    <n v="15776"/>
  </r>
  <r>
    <x v="5"/>
    <x v="21"/>
    <s v="Total Electric Power Industry"/>
    <x v="0"/>
    <n v="9763051"/>
  </r>
  <r>
    <x v="5"/>
    <x v="21"/>
    <s v="Total Electric Power Industry"/>
    <x v="1"/>
    <n v="540591"/>
  </r>
  <r>
    <x v="5"/>
    <x v="21"/>
    <s v="Total Electric Power Industry"/>
    <x v="2"/>
    <n v="3353912"/>
  </r>
  <r>
    <x v="5"/>
    <x v="21"/>
    <s v="Total Electric Power Industry"/>
    <x v="3"/>
    <n v="7219"/>
  </r>
  <r>
    <x v="5"/>
    <x v="21"/>
    <s v="Total Electric Power Industry"/>
    <x v="7"/>
    <n v="197577"/>
  </r>
  <r>
    <x v="5"/>
    <x v="21"/>
    <s v="Total Electric Power Industry"/>
    <x v="8"/>
    <n v="562705"/>
  </r>
  <r>
    <x v="5"/>
    <x v="21"/>
    <s v="Total Electric Power Industry"/>
    <x v="9"/>
    <n v="5290"/>
  </r>
  <r>
    <x v="5"/>
    <x v="21"/>
    <s v="Total Electric Power Industry"/>
    <x v="4"/>
    <n v="2032232"/>
  </r>
  <r>
    <x v="5"/>
    <x v="21"/>
    <s v="Total Electric Power Industry"/>
    <x v="6"/>
    <n v="3063525"/>
  </r>
  <r>
    <x v="5"/>
    <x v="21"/>
    <s v="Electric Generators, Independent Power Producers"/>
    <x v="0"/>
    <n v="1500807"/>
  </r>
  <r>
    <x v="5"/>
    <x v="21"/>
    <s v="Electric Generators, Independent Power Producers"/>
    <x v="2"/>
    <n v="540622"/>
  </r>
  <r>
    <x v="5"/>
    <x v="21"/>
    <s v="Electric Generators, Independent Power Producers"/>
    <x v="3"/>
    <n v="7214"/>
  </r>
  <r>
    <x v="5"/>
    <x v="21"/>
    <s v="Electric Generators, Independent Power Producers"/>
    <x v="8"/>
    <n v="258167"/>
  </r>
  <r>
    <x v="5"/>
    <x v="21"/>
    <s v="Electric Generators, Independent Power Producers"/>
    <x v="4"/>
    <n v="2326"/>
  </r>
  <r>
    <x v="5"/>
    <x v="21"/>
    <s v="Electric Generators, Independent Power Producers"/>
    <x v="6"/>
    <n v="692478"/>
  </r>
  <r>
    <x v="5"/>
    <x v="21"/>
    <s v="Electric Generators, Electric Utilities"/>
    <x v="0"/>
    <n v="2668381"/>
  </r>
  <r>
    <x v="5"/>
    <x v="21"/>
    <s v="Electric Generators, Electric Utilities"/>
    <x v="2"/>
    <n v="1658481"/>
  </r>
  <r>
    <x v="5"/>
    <x v="21"/>
    <s v="Electric Generators, Electric Utilities"/>
    <x v="7"/>
    <n v="197577"/>
  </r>
  <r>
    <x v="5"/>
    <x v="21"/>
    <s v="Electric Generators, Electric Utilities"/>
    <x v="4"/>
    <n v="812024"/>
  </r>
  <r>
    <x v="5"/>
    <x v="21"/>
    <s v="Electric Generators, Electric Utilities"/>
    <x v="6"/>
    <n v="299"/>
  </r>
  <r>
    <x v="5"/>
    <x v="21"/>
    <s v="Combined Heat and Power, Industrial Power"/>
    <x v="0"/>
    <n v="4583735"/>
  </r>
  <r>
    <x v="5"/>
    <x v="21"/>
    <s v="Combined Heat and Power, Industrial Power"/>
    <x v="1"/>
    <n v="225441"/>
  </r>
  <r>
    <x v="5"/>
    <x v="21"/>
    <s v="Combined Heat and Power, Industrial Power"/>
    <x v="2"/>
    <n v="1154809"/>
  </r>
  <r>
    <x v="5"/>
    <x v="21"/>
    <s v="Combined Heat and Power, Industrial Power"/>
    <x v="8"/>
    <n v="43554"/>
  </r>
  <r>
    <x v="5"/>
    <x v="21"/>
    <s v="Combined Heat and Power, Industrial Power"/>
    <x v="9"/>
    <n v="5290"/>
  </r>
  <r>
    <x v="5"/>
    <x v="21"/>
    <s v="Combined Heat and Power, Industrial Power"/>
    <x v="4"/>
    <n v="1104066"/>
  </r>
  <r>
    <x v="5"/>
    <x v="21"/>
    <s v="Combined Heat and Power, Industrial Power"/>
    <x v="6"/>
    <n v="2050575"/>
  </r>
  <r>
    <x v="5"/>
    <x v="21"/>
    <s v="Combined Heat and Power, Electric Power"/>
    <x v="0"/>
    <n v="802673"/>
  </r>
  <r>
    <x v="5"/>
    <x v="21"/>
    <s v="Combined Heat and Power, Electric Power"/>
    <x v="1"/>
    <n v="315150"/>
  </r>
  <r>
    <x v="5"/>
    <x v="21"/>
    <s v="Combined Heat and Power, Electric Power"/>
    <x v="8"/>
    <n v="94818"/>
  </r>
  <r>
    <x v="5"/>
    <x v="21"/>
    <s v="Combined Heat and Power, Electric Power"/>
    <x v="4"/>
    <n v="112203"/>
  </r>
  <r>
    <x v="5"/>
    <x v="21"/>
    <s v="Combined Heat and Power, Electric Power"/>
    <x v="6"/>
    <n v="280502"/>
  </r>
  <r>
    <x v="5"/>
    <x v="21"/>
    <s v="Combined Heat and Power, Commercial Power"/>
    <x v="0"/>
    <n v="207455"/>
  </r>
  <r>
    <x v="5"/>
    <x v="21"/>
    <s v="Combined Heat and Power, Commercial Power"/>
    <x v="3"/>
    <n v="5"/>
  </r>
  <r>
    <x v="5"/>
    <x v="21"/>
    <s v="Combined Heat and Power, Commercial Power"/>
    <x v="8"/>
    <n v="166166"/>
  </r>
  <r>
    <x v="5"/>
    <x v="21"/>
    <s v="Combined Heat and Power, Commercial Power"/>
    <x v="4"/>
    <n v="1613"/>
  </r>
  <r>
    <x v="5"/>
    <x v="21"/>
    <s v="Combined Heat and Power, Commercial Power"/>
    <x v="6"/>
    <n v="39671"/>
  </r>
  <r>
    <x v="5"/>
    <x v="22"/>
    <s v="Total Electric Power Industry"/>
    <x v="0"/>
    <n v="107444612"/>
  </r>
  <r>
    <x v="5"/>
    <x v="22"/>
    <s v="Total Electric Power Industry"/>
    <x v="1"/>
    <n v="67200645"/>
  </r>
  <r>
    <x v="5"/>
    <x v="22"/>
    <s v="Total Electric Power Industry"/>
    <x v="2"/>
    <n v="1597186"/>
  </r>
  <r>
    <x v="5"/>
    <x v="22"/>
    <s v="Total Electric Power Industry"/>
    <x v="3"/>
    <n v="11574854"/>
  </r>
  <r>
    <x v="5"/>
    <x v="22"/>
    <s v="Total Electric Power Industry"/>
    <x v="7"/>
    <n v="24448397"/>
  </r>
  <r>
    <x v="5"/>
    <x v="22"/>
    <s v="Total Electric Power Industry"/>
    <x v="12"/>
    <n v="15286"/>
  </r>
  <r>
    <x v="5"/>
    <x v="22"/>
    <s v="Total Electric Power Industry"/>
    <x v="8"/>
    <n v="681537"/>
  </r>
  <r>
    <x v="5"/>
    <x v="22"/>
    <s v="Total Electric Power Industry"/>
    <x v="9"/>
    <n v="1430"/>
  </r>
  <r>
    <x v="5"/>
    <x v="22"/>
    <s v="Total Electric Power Industry"/>
    <x v="4"/>
    <n v="855254"/>
  </r>
  <r>
    <x v="5"/>
    <x v="22"/>
    <s v="Total Electric Power Industry"/>
    <x v="10"/>
    <n v="-731820"/>
  </r>
  <r>
    <x v="5"/>
    <x v="22"/>
    <s v="Total Electric Power Industry"/>
    <x v="6"/>
    <n v="1801843"/>
  </r>
  <r>
    <x v="5"/>
    <x v="22"/>
    <s v="Electric Generators, Independent Power Producers"/>
    <x v="0"/>
    <n v="1456350"/>
  </r>
  <r>
    <x v="5"/>
    <x v="22"/>
    <s v="Electric Generators, Independent Power Producers"/>
    <x v="2"/>
    <n v="83254"/>
  </r>
  <r>
    <x v="5"/>
    <x v="22"/>
    <s v="Electric Generators, Independent Power Producers"/>
    <x v="3"/>
    <n v="6391"/>
  </r>
  <r>
    <x v="5"/>
    <x v="22"/>
    <s v="Electric Generators, Independent Power Producers"/>
    <x v="8"/>
    <n v="425481"/>
  </r>
  <r>
    <x v="5"/>
    <x v="22"/>
    <s v="Electric Generators, Independent Power Producers"/>
    <x v="6"/>
    <n v="941224"/>
  </r>
  <r>
    <x v="5"/>
    <x v="22"/>
    <s v="Electric Generators, Electric Utilities"/>
    <x v="0"/>
    <n v="92478772"/>
  </r>
  <r>
    <x v="5"/>
    <x v="22"/>
    <s v="Electric Generators, Electric Utilities"/>
    <x v="1"/>
    <n v="65425002"/>
  </r>
  <r>
    <x v="5"/>
    <x v="22"/>
    <s v="Electric Generators, Electric Utilities"/>
    <x v="2"/>
    <n v="1486539"/>
  </r>
  <r>
    <x v="5"/>
    <x v="22"/>
    <s v="Electric Generators, Electric Utilities"/>
    <x v="3"/>
    <n v="1163390"/>
  </r>
  <r>
    <x v="5"/>
    <x v="22"/>
    <s v="Electric Generators, Electric Utilities"/>
    <x v="7"/>
    <n v="24448397"/>
  </r>
  <r>
    <x v="5"/>
    <x v="22"/>
    <s v="Electric Generators, Electric Utilities"/>
    <x v="4"/>
    <n v="687264"/>
  </r>
  <r>
    <x v="5"/>
    <x v="22"/>
    <s v="Electric Generators, Electric Utilities"/>
    <x v="10"/>
    <n v="-731820"/>
  </r>
  <r>
    <x v="5"/>
    <x v="22"/>
    <s v="Combined Heat and Power, Industrial Power"/>
    <x v="0"/>
    <n v="3335460"/>
  </r>
  <r>
    <x v="5"/>
    <x v="22"/>
    <s v="Combined Heat and Power, Industrial Power"/>
    <x v="1"/>
    <n v="1141494"/>
  </r>
  <r>
    <x v="5"/>
    <x v="22"/>
    <s v="Combined Heat and Power, Industrial Power"/>
    <x v="2"/>
    <n v="27393"/>
  </r>
  <r>
    <x v="5"/>
    <x v="22"/>
    <s v="Combined Heat and Power, Industrial Power"/>
    <x v="3"/>
    <n v="1157595"/>
  </r>
  <r>
    <x v="5"/>
    <x v="22"/>
    <s v="Combined Heat and Power, Industrial Power"/>
    <x v="12"/>
    <n v="15117"/>
  </r>
  <r>
    <x v="5"/>
    <x v="22"/>
    <s v="Combined Heat and Power, Industrial Power"/>
    <x v="8"/>
    <n v="2517"/>
  </r>
  <r>
    <x v="5"/>
    <x v="22"/>
    <s v="Combined Heat and Power, Industrial Power"/>
    <x v="9"/>
    <n v="582"/>
  </r>
  <r>
    <x v="5"/>
    <x v="22"/>
    <s v="Combined Heat and Power, Industrial Power"/>
    <x v="4"/>
    <n v="159835"/>
  </r>
  <r>
    <x v="5"/>
    <x v="22"/>
    <s v="Combined Heat and Power, Industrial Power"/>
    <x v="6"/>
    <n v="830927"/>
  </r>
  <r>
    <x v="5"/>
    <x v="22"/>
    <s v="Combined Heat and Power, Electric Power"/>
    <x v="0"/>
    <n v="9611128"/>
  </r>
  <r>
    <x v="5"/>
    <x v="22"/>
    <s v="Combined Heat and Power, Electric Power"/>
    <x v="1"/>
    <n v="398437"/>
  </r>
  <r>
    <x v="5"/>
    <x v="22"/>
    <s v="Combined Heat and Power, Electric Power"/>
    <x v="3"/>
    <n v="9181491"/>
  </r>
  <r>
    <x v="5"/>
    <x v="22"/>
    <s v="Combined Heat and Power, Electric Power"/>
    <x v="9"/>
    <n v="848"/>
  </r>
  <r>
    <x v="5"/>
    <x v="22"/>
    <s v="Combined Heat and Power, Electric Power"/>
    <x v="4"/>
    <n v="660"/>
  </r>
  <r>
    <x v="5"/>
    <x v="22"/>
    <s v="Combined Heat and Power, Electric Power"/>
    <x v="6"/>
    <n v="29692"/>
  </r>
  <r>
    <x v="5"/>
    <x v="22"/>
    <s v="Combined Heat and Power, Commercial Power"/>
    <x v="0"/>
    <n v="562902"/>
  </r>
  <r>
    <x v="5"/>
    <x v="22"/>
    <s v="Combined Heat and Power, Commercial Power"/>
    <x v="1"/>
    <n v="235712"/>
  </r>
  <r>
    <x v="5"/>
    <x v="22"/>
    <s v="Combined Heat and Power, Commercial Power"/>
    <x v="3"/>
    <n v="65987"/>
  </r>
  <r>
    <x v="5"/>
    <x v="22"/>
    <s v="Combined Heat and Power, Commercial Power"/>
    <x v="12"/>
    <n v="169"/>
  </r>
  <r>
    <x v="5"/>
    <x v="22"/>
    <s v="Combined Heat and Power, Commercial Power"/>
    <x v="8"/>
    <n v="253539"/>
  </r>
  <r>
    <x v="5"/>
    <x v="22"/>
    <s v="Combined Heat and Power, Commercial Power"/>
    <x v="4"/>
    <n v="7495"/>
  </r>
  <r>
    <x v="5"/>
    <x v="23"/>
    <s v="Total Electric Power Industry"/>
    <x v="0"/>
    <n v="45170884"/>
  </r>
  <r>
    <x v="5"/>
    <x v="23"/>
    <s v="Total Electric Power Industry"/>
    <x v="1"/>
    <n v="28063939"/>
  </r>
  <r>
    <x v="5"/>
    <x v="23"/>
    <s v="Total Electric Power Industry"/>
    <x v="2"/>
    <n v="1098125"/>
  </r>
  <r>
    <x v="5"/>
    <x v="23"/>
    <s v="Total Electric Power Industry"/>
    <x v="3"/>
    <n v="1030407"/>
  </r>
  <r>
    <x v="5"/>
    <x v="23"/>
    <s v="Total Electric Power Industry"/>
    <x v="7"/>
    <n v="13243469"/>
  </r>
  <r>
    <x v="5"/>
    <x v="23"/>
    <s v="Total Electric Power Industry"/>
    <x v="8"/>
    <n v="713775"/>
  </r>
  <r>
    <x v="5"/>
    <x v="23"/>
    <s v="Total Electric Power Industry"/>
    <x v="4"/>
    <n v="494826"/>
  </r>
  <r>
    <x v="5"/>
    <x v="23"/>
    <s v="Total Electric Power Industry"/>
    <x v="5"/>
    <n v="56997"/>
  </r>
  <r>
    <x v="5"/>
    <x v="23"/>
    <s v="Total Electric Power Industry"/>
    <x v="6"/>
    <n v="469346"/>
  </r>
  <r>
    <x v="5"/>
    <x v="23"/>
    <s v="Electric Generators, Independent Power Producers"/>
    <x v="0"/>
    <n v="398960"/>
  </r>
  <r>
    <x v="5"/>
    <x v="23"/>
    <s v="Electric Generators, Independent Power Producers"/>
    <x v="2"/>
    <n v="51419"/>
  </r>
  <r>
    <x v="5"/>
    <x v="23"/>
    <s v="Electric Generators, Independent Power Producers"/>
    <x v="3"/>
    <n v="1876"/>
  </r>
  <r>
    <x v="5"/>
    <x v="23"/>
    <s v="Electric Generators, Independent Power Producers"/>
    <x v="8"/>
    <n v="288142"/>
  </r>
  <r>
    <x v="5"/>
    <x v="23"/>
    <s v="Electric Generators, Independent Power Producers"/>
    <x v="4"/>
    <n v="563"/>
  </r>
  <r>
    <x v="5"/>
    <x v="23"/>
    <s v="Electric Generators, Independent Power Producers"/>
    <x v="5"/>
    <n v="56960"/>
  </r>
  <r>
    <x v="5"/>
    <x v="23"/>
    <s v="Electric Generators, Electric Utilities"/>
    <x v="0"/>
    <n v="42502869"/>
  </r>
  <r>
    <x v="5"/>
    <x v="23"/>
    <s v="Electric Generators, Electric Utilities"/>
    <x v="1"/>
    <n v="26820765"/>
  </r>
  <r>
    <x v="5"/>
    <x v="23"/>
    <s v="Electric Generators, Electric Utilities"/>
    <x v="2"/>
    <n v="822599"/>
  </r>
  <r>
    <x v="5"/>
    <x v="23"/>
    <s v="Electric Generators, Electric Utilities"/>
    <x v="3"/>
    <n v="702702"/>
  </r>
  <r>
    <x v="5"/>
    <x v="23"/>
    <s v="Electric Generators, Electric Utilities"/>
    <x v="7"/>
    <n v="13243469"/>
  </r>
  <r>
    <x v="5"/>
    <x v="23"/>
    <s v="Electric Generators, Electric Utilities"/>
    <x v="8"/>
    <n v="406971"/>
  </r>
  <r>
    <x v="5"/>
    <x v="23"/>
    <s v="Electric Generators, Electric Utilities"/>
    <x v="4"/>
    <n v="484708"/>
  </r>
  <r>
    <x v="5"/>
    <x v="23"/>
    <s v="Electric Generators, Electric Utilities"/>
    <x v="5"/>
    <n v="37"/>
  </r>
  <r>
    <x v="5"/>
    <x v="23"/>
    <s v="Electric Generators, Electric Utilities"/>
    <x v="6"/>
    <n v="21618"/>
  </r>
  <r>
    <x v="5"/>
    <x v="23"/>
    <s v="Combined Heat and Power, Industrial Power"/>
    <x v="0"/>
    <n v="2177050"/>
  </r>
  <r>
    <x v="5"/>
    <x v="23"/>
    <s v="Combined Heat and Power, Industrial Power"/>
    <x v="1"/>
    <n v="1243174"/>
  </r>
  <r>
    <x v="5"/>
    <x v="23"/>
    <s v="Combined Heat and Power, Industrial Power"/>
    <x v="2"/>
    <n v="224107"/>
  </r>
  <r>
    <x v="5"/>
    <x v="23"/>
    <s v="Combined Heat and Power, Industrial Power"/>
    <x v="3"/>
    <n v="255563"/>
  </r>
  <r>
    <x v="5"/>
    <x v="23"/>
    <s v="Combined Heat and Power, Industrial Power"/>
    <x v="4"/>
    <n v="6478"/>
  </r>
  <r>
    <x v="5"/>
    <x v="23"/>
    <s v="Combined Heat and Power, Industrial Power"/>
    <x v="6"/>
    <n v="447728"/>
  </r>
  <r>
    <x v="5"/>
    <x v="23"/>
    <s v="Combined Heat and Power, Commercial Power"/>
    <x v="0"/>
    <n v="92005"/>
  </r>
  <r>
    <x v="5"/>
    <x v="23"/>
    <s v="Combined Heat and Power, Commercial Power"/>
    <x v="3"/>
    <n v="70266"/>
  </r>
  <r>
    <x v="5"/>
    <x v="23"/>
    <s v="Combined Heat and Power, Commercial Power"/>
    <x v="8"/>
    <n v="18662"/>
  </r>
  <r>
    <x v="5"/>
    <x v="23"/>
    <s v="Combined Heat and Power, Commercial Power"/>
    <x v="4"/>
    <n v="3077"/>
  </r>
  <r>
    <x v="5"/>
    <x v="24"/>
    <s v="Total Electric Power Industry"/>
    <x v="0"/>
    <n v="65720958"/>
  </r>
  <r>
    <x v="5"/>
    <x v="24"/>
    <s v="Total Electric Power Industry"/>
    <x v="1"/>
    <n v="53860420"/>
  </r>
  <r>
    <x v="5"/>
    <x v="24"/>
    <s v="Total Electric Power Industry"/>
    <x v="2"/>
    <n v="1918507"/>
  </r>
  <r>
    <x v="5"/>
    <x v="24"/>
    <s v="Total Electric Power Industry"/>
    <x v="3"/>
    <n v="1043440"/>
  </r>
  <r>
    <x v="5"/>
    <x v="24"/>
    <s v="Total Electric Power Industry"/>
    <x v="7"/>
    <n v="8241833"/>
  </r>
  <r>
    <x v="5"/>
    <x v="24"/>
    <s v="Total Electric Power Industry"/>
    <x v="8"/>
    <n v="25478"/>
  </r>
  <r>
    <x v="5"/>
    <x v="24"/>
    <s v="Total Electric Power Industry"/>
    <x v="4"/>
    <n v="696261"/>
  </r>
  <r>
    <x v="5"/>
    <x v="24"/>
    <s v="Total Electric Power Industry"/>
    <x v="10"/>
    <n v="-64981"/>
  </r>
  <r>
    <x v="5"/>
    <x v="24"/>
    <s v="Electric Generators, Electric Utilities"/>
    <x v="0"/>
    <n v="65400254"/>
  </r>
  <r>
    <x v="5"/>
    <x v="24"/>
    <s v="Electric Generators, Electric Utilities"/>
    <x v="1"/>
    <n v="53582211"/>
  </r>
  <r>
    <x v="5"/>
    <x v="24"/>
    <s v="Electric Generators, Electric Utilities"/>
    <x v="2"/>
    <n v="1918507"/>
  </r>
  <r>
    <x v="5"/>
    <x v="24"/>
    <s v="Electric Generators, Electric Utilities"/>
    <x v="3"/>
    <n v="1015384"/>
  </r>
  <r>
    <x v="5"/>
    <x v="24"/>
    <s v="Electric Generators, Electric Utilities"/>
    <x v="7"/>
    <n v="8241833"/>
  </r>
  <r>
    <x v="5"/>
    <x v="24"/>
    <s v="Electric Generators, Electric Utilities"/>
    <x v="8"/>
    <n v="24979"/>
  </r>
  <r>
    <x v="5"/>
    <x v="24"/>
    <s v="Electric Generators, Electric Utilities"/>
    <x v="4"/>
    <n v="682321"/>
  </r>
  <r>
    <x v="5"/>
    <x v="24"/>
    <s v="Electric Generators, Electric Utilities"/>
    <x v="10"/>
    <n v="-64981"/>
  </r>
  <r>
    <x v="5"/>
    <x v="24"/>
    <s v="Combined Heat and Power, Industrial Power"/>
    <x v="0"/>
    <n v="180664"/>
  </r>
  <r>
    <x v="5"/>
    <x v="24"/>
    <s v="Combined Heat and Power, Industrial Power"/>
    <x v="1"/>
    <n v="151640"/>
  </r>
  <r>
    <x v="5"/>
    <x v="24"/>
    <s v="Combined Heat and Power, Industrial Power"/>
    <x v="3"/>
    <n v="27838"/>
  </r>
  <r>
    <x v="5"/>
    <x v="24"/>
    <s v="Combined Heat and Power, Industrial Power"/>
    <x v="8"/>
    <n v="124"/>
  </r>
  <r>
    <x v="5"/>
    <x v="24"/>
    <s v="Combined Heat and Power, Industrial Power"/>
    <x v="4"/>
    <n v="1062"/>
  </r>
  <r>
    <x v="5"/>
    <x v="24"/>
    <s v="Combined Heat and Power, Commercial Power"/>
    <x v="0"/>
    <n v="140040"/>
  </r>
  <r>
    <x v="5"/>
    <x v="24"/>
    <s v="Combined Heat and Power, Commercial Power"/>
    <x v="1"/>
    <n v="126569"/>
  </r>
  <r>
    <x v="5"/>
    <x v="24"/>
    <s v="Combined Heat and Power, Commercial Power"/>
    <x v="3"/>
    <n v="218"/>
  </r>
  <r>
    <x v="5"/>
    <x v="24"/>
    <s v="Combined Heat and Power, Commercial Power"/>
    <x v="8"/>
    <n v="375"/>
  </r>
  <r>
    <x v="5"/>
    <x v="24"/>
    <s v="Combined Heat and Power, Commercial Power"/>
    <x v="4"/>
    <n v="12878"/>
  </r>
  <r>
    <x v="5"/>
    <x v="25"/>
    <s v="Total Electric Power Industry"/>
    <x v="0"/>
    <n v="28980861"/>
  </r>
  <r>
    <x v="5"/>
    <x v="25"/>
    <s v="Total Electric Power Industry"/>
    <x v="1"/>
    <n v="9324952"/>
  </r>
  <r>
    <x v="5"/>
    <x v="25"/>
    <s v="Total Electric Power Industry"/>
    <x v="3"/>
    <n v="9721170"/>
  </r>
  <r>
    <x v="5"/>
    <x v="25"/>
    <s v="Total Electric Power Industry"/>
    <x v="7"/>
    <n v="8013321"/>
  </r>
  <r>
    <x v="5"/>
    <x v="25"/>
    <s v="Total Electric Power Industry"/>
    <x v="8"/>
    <n v="847"/>
  </r>
  <r>
    <x v="5"/>
    <x v="25"/>
    <s v="Total Electric Power Industry"/>
    <x v="4"/>
    <n v="37780"/>
  </r>
  <r>
    <x v="5"/>
    <x v="25"/>
    <s v="Total Electric Power Industry"/>
    <x v="6"/>
    <n v="1882791"/>
  </r>
  <r>
    <x v="5"/>
    <x v="25"/>
    <s v="Electric Generators, Independent Power Producers"/>
    <x v="0"/>
    <n v="3002"/>
  </r>
  <r>
    <x v="5"/>
    <x v="25"/>
    <s v="Electric Generators, Independent Power Producers"/>
    <x v="3"/>
    <n v="3002"/>
  </r>
  <r>
    <x v="5"/>
    <x v="25"/>
    <s v="Electric Generators, Electric Utilities"/>
    <x v="0"/>
    <n v="26395165"/>
  </r>
  <r>
    <x v="5"/>
    <x v="25"/>
    <s v="Electric Generators, Electric Utilities"/>
    <x v="1"/>
    <n v="9259980"/>
  </r>
  <r>
    <x v="5"/>
    <x v="25"/>
    <s v="Electric Generators, Electric Utilities"/>
    <x v="3"/>
    <n v="9098126"/>
  </r>
  <r>
    <x v="5"/>
    <x v="25"/>
    <s v="Electric Generators, Electric Utilities"/>
    <x v="7"/>
    <n v="8013321"/>
  </r>
  <r>
    <x v="5"/>
    <x v="25"/>
    <s v="Electric Generators, Electric Utilities"/>
    <x v="4"/>
    <n v="23738"/>
  </r>
  <r>
    <x v="5"/>
    <x v="25"/>
    <s v="Combined Heat and Power, Industrial Power"/>
    <x v="0"/>
    <n v="2560125"/>
  </r>
  <r>
    <x v="5"/>
    <x v="25"/>
    <s v="Combined Heat and Power, Industrial Power"/>
    <x v="1"/>
    <n v="64972"/>
  </r>
  <r>
    <x v="5"/>
    <x v="25"/>
    <s v="Combined Heat and Power, Industrial Power"/>
    <x v="3"/>
    <n v="597473"/>
  </r>
  <r>
    <x v="5"/>
    <x v="25"/>
    <s v="Combined Heat and Power, Industrial Power"/>
    <x v="8"/>
    <n v="847"/>
  </r>
  <r>
    <x v="5"/>
    <x v="25"/>
    <s v="Combined Heat and Power, Industrial Power"/>
    <x v="4"/>
    <n v="14042"/>
  </r>
  <r>
    <x v="5"/>
    <x v="25"/>
    <s v="Combined Heat and Power, Industrial Power"/>
    <x v="6"/>
    <n v="1882791"/>
  </r>
  <r>
    <x v="5"/>
    <x v="25"/>
    <s v="Combined Heat and Power, Commercial Power"/>
    <x v="0"/>
    <n v="22569"/>
  </r>
  <r>
    <x v="5"/>
    <x v="25"/>
    <s v="Combined Heat and Power, Commercial Power"/>
    <x v="3"/>
    <n v="22569"/>
  </r>
  <r>
    <x v="5"/>
    <x v="26"/>
    <s v="Total Electric Power Industry"/>
    <x v="0"/>
    <n v="25961314"/>
  </r>
  <r>
    <x v="5"/>
    <x v="26"/>
    <s v="Total Electric Power Industry"/>
    <x v="1"/>
    <n v="14934147"/>
  </r>
  <r>
    <x v="5"/>
    <x v="26"/>
    <s v="Total Electric Power Industry"/>
    <x v="2"/>
    <n v="10745853"/>
  </r>
  <r>
    <x v="5"/>
    <x v="26"/>
    <s v="Total Electric Power Industry"/>
    <x v="3"/>
    <n v="48738"/>
  </r>
  <r>
    <x v="5"/>
    <x v="26"/>
    <s v="Total Electric Power Industry"/>
    <x v="9"/>
    <n v="8678"/>
  </r>
  <r>
    <x v="5"/>
    <x v="26"/>
    <s v="Total Electric Power Industry"/>
    <x v="4"/>
    <n v="168054"/>
  </r>
  <r>
    <x v="5"/>
    <x v="26"/>
    <s v="Total Electric Power Industry"/>
    <x v="6"/>
    <n v="55844"/>
  </r>
  <r>
    <x v="5"/>
    <x v="26"/>
    <s v="Electric Generators, Independent Power Producers"/>
    <x v="0"/>
    <n v="327110"/>
  </r>
  <r>
    <x v="5"/>
    <x v="26"/>
    <s v="Electric Generators, Independent Power Producers"/>
    <x v="1"/>
    <n v="278420"/>
  </r>
  <r>
    <x v="5"/>
    <x v="26"/>
    <s v="Electric Generators, Independent Power Producers"/>
    <x v="2"/>
    <n v="47388"/>
  </r>
  <r>
    <x v="5"/>
    <x v="26"/>
    <s v="Electric Generators, Independent Power Producers"/>
    <x v="4"/>
    <n v="1302"/>
  </r>
  <r>
    <x v="5"/>
    <x v="26"/>
    <s v="Electric Generators, Electric Utilities"/>
    <x v="0"/>
    <n v="25411151"/>
  </r>
  <r>
    <x v="5"/>
    <x v="26"/>
    <s v="Electric Generators, Electric Utilities"/>
    <x v="1"/>
    <n v="14655727"/>
  </r>
  <r>
    <x v="5"/>
    <x v="26"/>
    <s v="Electric Generators, Electric Utilities"/>
    <x v="2"/>
    <n v="10698465"/>
  </r>
  <r>
    <x v="5"/>
    <x v="26"/>
    <s v="Electric Generators, Electric Utilities"/>
    <x v="3"/>
    <n v="31908"/>
  </r>
  <r>
    <x v="5"/>
    <x v="26"/>
    <s v="Electric Generators, Electric Utilities"/>
    <x v="4"/>
    <n v="25051"/>
  </r>
  <r>
    <x v="5"/>
    <x v="26"/>
    <s v="Electric Generators, Electric Utilities"/>
    <x v="6"/>
    <n v="0"/>
  </r>
  <r>
    <x v="5"/>
    <x v="26"/>
    <s v="Combined Heat and Power, Industrial Power"/>
    <x v="0"/>
    <n v="73326"/>
  </r>
  <r>
    <x v="5"/>
    <x v="26"/>
    <s v="Combined Heat and Power, Industrial Power"/>
    <x v="3"/>
    <n v="16830"/>
  </r>
  <r>
    <x v="5"/>
    <x v="26"/>
    <s v="Combined Heat and Power, Industrial Power"/>
    <x v="4"/>
    <n v="652"/>
  </r>
  <r>
    <x v="5"/>
    <x v="26"/>
    <s v="Combined Heat and Power, Industrial Power"/>
    <x v="6"/>
    <n v="55844"/>
  </r>
  <r>
    <x v="5"/>
    <x v="26"/>
    <s v="Combined Heat and Power, Electric Power"/>
    <x v="0"/>
    <n v="149727"/>
  </r>
  <r>
    <x v="5"/>
    <x v="26"/>
    <s v="Combined Heat and Power, Electric Power"/>
    <x v="9"/>
    <n v="8678"/>
  </r>
  <r>
    <x v="5"/>
    <x v="26"/>
    <s v="Combined Heat and Power, Electric Power"/>
    <x v="4"/>
    <n v="141049"/>
  </r>
  <r>
    <x v="5"/>
    <x v="27"/>
    <s v="Total Electric Power Industry"/>
    <x v="0"/>
    <n v="106294656"/>
  </r>
  <r>
    <x v="5"/>
    <x v="27"/>
    <s v="Total Electric Power Industry"/>
    <x v="1"/>
    <n v="61484998"/>
  </r>
  <r>
    <x v="5"/>
    <x v="27"/>
    <s v="Total Electric Power Industry"/>
    <x v="2"/>
    <n v="5520810"/>
  </r>
  <r>
    <x v="5"/>
    <x v="27"/>
    <s v="Total Electric Power Industry"/>
    <x v="3"/>
    <n v="771688"/>
  </r>
  <r>
    <x v="5"/>
    <x v="27"/>
    <s v="Total Electric Power Industry"/>
    <x v="7"/>
    <n v="35910195"/>
  </r>
  <r>
    <x v="5"/>
    <x v="27"/>
    <s v="Total Electric Power Industry"/>
    <x v="12"/>
    <n v="259130"/>
  </r>
  <r>
    <x v="5"/>
    <x v="27"/>
    <s v="Total Electric Power Industry"/>
    <x v="8"/>
    <n v="54779"/>
  </r>
  <r>
    <x v="5"/>
    <x v="27"/>
    <s v="Total Electric Power Industry"/>
    <x v="4"/>
    <n v="479618"/>
  </r>
  <r>
    <x v="5"/>
    <x v="27"/>
    <s v="Total Electric Power Industry"/>
    <x v="10"/>
    <n v="167317"/>
  </r>
  <r>
    <x v="5"/>
    <x v="27"/>
    <s v="Total Electric Power Industry"/>
    <x v="6"/>
    <n v="1646121"/>
  </r>
  <r>
    <x v="5"/>
    <x v="27"/>
    <s v="Electric Generators, Independent Power Producers"/>
    <x v="0"/>
    <n v="1772868"/>
  </r>
  <r>
    <x v="5"/>
    <x v="27"/>
    <s v="Electric Generators, Independent Power Producers"/>
    <x v="1"/>
    <n v="1308230"/>
  </r>
  <r>
    <x v="5"/>
    <x v="27"/>
    <s v="Electric Generators, Independent Power Producers"/>
    <x v="2"/>
    <n v="23787"/>
  </r>
  <r>
    <x v="5"/>
    <x v="27"/>
    <s v="Electric Generators, Independent Power Producers"/>
    <x v="3"/>
    <n v="28961"/>
  </r>
  <r>
    <x v="5"/>
    <x v="27"/>
    <s v="Electric Generators, Independent Power Producers"/>
    <x v="8"/>
    <n v="42398"/>
  </r>
  <r>
    <x v="5"/>
    <x v="27"/>
    <s v="Electric Generators, Independent Power Producers"/>
    <x v="4"/>
    <n v="5884"/>
  </r>
  <r>
    <x v="5"/>
    <x v="27"/>
    <s v="Electric Generators, Independent Power Producers"/>
    <x v="6"/>
    <n v="363608"/>
  </r>
  <r>
    <x v="5"/>
    <x v="27"/>
    <s v="Electric Generators, Electric Utilities"/>
    <x v="0"/>
    <n v="96109819"/>
  </r>
  <r>
    <x v="5"/>
    <x v="27"/>
    <s v="Electric Generators, Electric Utilities"/>
    <x v="1"/>
    <n v="55698342"/>
  </r>
  <r>
    <x v="5"/>
    <x v="27"/>
    <s v="Electric Generators, Electric Utilities"/>
    <x v="2"/>
    <n v="3846840"/>
  </r>
  <r>
    <x v="5"/>
    <x v="27"/>
    <s v="Electric Generators, Electric Utilities"/>
    <x v="3"/>
    <n v="252862"/>
  </r>
  <r>
    <x v="5"/>
    <x v="27"/>
    <s v="Electric Generators, Electric Utilities"/>
    <x v="7"/>
    <n v="35910195"/>
  </r>
  <r>
    <x v="5"/>
    <x v="27"/>
    <s v="Electric Generators, Electric Utilities"/>
    <x v="4"/>
    <n v="234263"/>
  </r>
  <r>
    <x v="5"/>
    <x v="27"/>
    <s v="Electric Generators, Electric Utilities"/>
    <x v="10"/>
    <n v="167317"/>
  </r>
  <r>
    <x v="5"/>
    <x v="27"/>
    <s v="Combined Heat and Power, Industrial Power"/>
    <x v="0"/>
    <n v="4305298"/>
  </r>
  <r>
    <x v="5"/>
    <x v="27"/>
    <s v="Combined Heat and Power, Industrial Power"/>
    <x v="1"/>
    <n v="622234"/>
  </r>
  <r>
    <x v="5"/>
    <x v="27"/>
    <s v="Combined Heat and Power, Industrial Power"/>
    <x v="2"/>
    <n v="1635606"/>
  </r>
  <r>
    <x v="5"/>
    <x v="27"/>
    <s v="Combined Heat and Power, Industrial Power"/>
    <x v="3"/>
    <n v="267756"/>
  </r>
  <r>
    <x v="5"/>
    <x v="27"/>
    <s v="Combined Heat and Power, Industrial Power"/>
    <x v="12"/>
    <n v="259130"/>
  </r>
  <r>
    <x v="5"/>
    <x v="27"/>
    <s v="Combined Heat and Power, Industrial Power"/>
    <x v="8"/>
    <n v="12381"/>
  </r>
  <r>
    <x v="5"/>
    <x v="27"/>
    <s v="Combined Heat and Power, Industrial Power"/>
    <x v="4"/>
    <n v="225678"/>
  </r>
  <r>
    <x v="5"/>
    <x v="27"/>
    <s v="Combined Heat and Power, Industrial Power"/>
    <x v="6"/>
    <n v="1282513"/>
  </r>
  <r>
    <x v="5"/>
    <x v="27"/>
    <s v="Combined Heat and Power, Electric Power"/>
    <x v="0"/>
    <n v="3965192"/>
  </r>
  <r>
    <x v="5"/>
    <x v="27"/>
    <s v="Combined Heat and Power, Electric Power"/>
    <x v="1"/>
    <n v="3731032"/>
  </r>
  <r>
    <x v="5"/>
    <x v="27"/>
    <s v="Combined Heat and Power, Electric Power"/>
    <x v="3"/>
    <n v="220727"/>
  </r>
  <r>
    <x v="5"/>
    <x v="27"/>
    <s v="Combined Heat and Power, Electric Power"/>
    <x v="4"/>
    <n v="13433"/>
  </r>
  <r>
    <x v="5"/>
    <x v="27"/>
    <s v="Combined Heat and Power, Commercial Power"/>
    <x v="0"/>
    <n v="141479"/>
  </r>
  <r>
    <x v="5"/>
    <x v="27"/>
    <s v="Combined Heat and Power, Commercial Power"/>
    <x v="1"/>
    <n v="125160"/>
  </r>
  <r>
    <x v="5"/>
    <x v="27"/>
    <s v="Combined Heat and Power, Commercial Power"/>
    <x v="2"/>
    <n v="14577"/>
  </r>
  <r>
    <x v="5"/>
    <x v="27"/>
    <s v="Combined Heat and Power, Commercial Power"/>
    <x v="3"/>
    <n v="1382"/>
  </r>
  <r>
    <x v="5"/>
    <x v="27"/>
    <s v="Combined Heat and Power, Commercial Power"/>
    <x v="4"/>
    <n v="360"/>
  </r>
  <r>
    <x v="5"/>
    <x v="28"/>
    <s v="Total Electric Power Industry"/>
    <x v="0"/>
    <n v="29004247"/>
  </r>
  <r>
    <x v="5"/>
    <x v="28"/>
    <s v="Total Electric Power Industry"/>
    <x v="1"/>
    <n v="26423871"/>
  </r>
  <r>
    <x v="5"/>
    <x v="28"/>
    <s v="Total Electric Power Industry"/>
    <x v="2"/>
    <n v="2457401"/>
  </r>
  <r>
    <x v="5"/>
    <x v="28"/>
    <s v="Total Electric Power Industry"/>
    <x v="3"/>
    <n v="-348"/>
  </r>
  <r>
    <x v="5"/>
    <x v="28"/>
    <s v="Total Electric Power Industry"/>
    <x v="8"/>
    <n v="21959"/>
  </r>
  <r>
    <x v="5"/>
    <x v="28"/>
    <s v="Total Electric Power Industry"/>
    <x v="9"/>
    <n v="43673"/>
  </r>
  <r>
    <x v="5"/>
    <x v="28"/>
    <s v="Total Electric Power Industry"/>
    <x v="4"/>
    <n v="57691"/>
  </r>
  <r>
    <x v="5"/>
    <x v="28"/>
    <s v="Electric Generators, Electric Utilities"/>
    <x v="0"/>
    <n v="28842021"/>
  </r>
  <r>
    <x v="5"/>
    <x v="28"/>
    <s v="Electric Generators, Electric Utilities"/>
    <x v="1"/>
    <n v="26336456"/>
  </r>
  <r>
    <x v="5"/>
    <x v="28"/>
    <s v="Electric Generators, Electric Utilities"/>
    <x v="2"/>
    <n v="2457401"/>
  </r>
  <r>
    <x v="5"/>
    <x v="28"/>
    <s v="Electric Generators, Electric Utilities"/>
    <x v="3"/>
    <n v="-943"/>
  </r>
  <r>
    <x v="5"/>
    <x v="28"/>
    <s v="Electric Generators, Electric Utilities"/>
    <x v="4"/>
    <n v="49107"/>
  </r>
  <r>
    <x v="5"/>
    <x v="28"/>
    <s v="Combined Heat and Power, Industrial Power"/>
    <x v="0"/>
    <n v="162226"/>
  </r>
  <r>
    <x v="5"/>
    <x v="28"/>
    <s v="Combined Heat and Power, Industrial Power"/>
    <x v="1"/>
    <n v="87415"/>
  </r>
  <r>
    <x v="5"/>
    <x v="28"/>
    <s v="Combined Heat and Power, Industrial Power"/>
    <x v="3"/>
    <n v="595"/>
  </r>
  <r>
    <x v="5"/>
    <x v="28"/>
    <s v="Combined Heat and Power, Industrial Power"/>
    <x v="8"/>
    <n v="21959"/>
  </r>
  <r>
    <x v="5"/>
    <x v="28"/>
    <s v="Combined Heat and Power, Industrial Power"/>
    <x v="9"/>
    <n v="43673"/>
  </r>
  <r>
    <x v="5"/>
    <x v="28"/>
    <s v="Combined Heat and Power, Industrial Power"/>
    <x v="4"/>
    <n v="8584"/>
  </r>
  <r>
    <x v="5"/>
    <x v="29"/>
    <s v="Total Electric Power Industry"/>
    <x v="0"/>
    <n v="25304300"/>
  </r>
  <r>
    <x v="5"/>
    <x v="29"/>
    <s v="Total Electric Power Industry"/>
    <x v="1"/>
    <n v="16104419"/>
  </r>
  <r>
    <x v="5"/>
    <x v="29"/>
    <s v="Total Electric Power Industry"/>
    <x v="2"/>
    <n v="1426058"/>
  </r>
  <r>
    <x v="5"/>
    <x v="29"/>
    <s v="Total Electric Power Industry"/>
    <x v="3"/>
    <n v="245428"/>
  </r>
  <r>
    <x v="5"/>
    <x v="29"/>
    <s v="Total Electric Power Industry"/>
    <x v="7"/>
    <n v="7485448"/>
  </r>
  <r>
    <x v="5"/>
    <x v="29"/>
    <s v="Total Electric Power Industry"/>
    <x v="8"/>
    <n v="16268"/>
  </r>
  <r>
    <x v="5"/>
    <x v="29"/>
    <s v="Total Electric Power Industry"/>
    <x v="4"/>
    <n v="26679"/>
  </r>
  <r>
    <x v="5"/>
    <x v="29"/>
    <s v="Electric Generators, Electric Utilities"/>
    <x v="0"/>
    <n v="25279277"/>
  </r>
  <r>
    <x v="5"/>
    <x v="29"/>
    <s v="Electric Generators, Electric Utilities"/>
    <x v="1"/>
    <n v="16079519"/>
  </r>
  <r>
    <x v="5"/>
    <x v="29"/>
    <s v="Electric Generators, Electric Utilities"/>
    <x v="2"/>
    <n v="1426058"/>
  </r>
  <r>
    <x v="5"/>
    <x v="29"/>
    <s v="Electric Generators, Electric Utilities"/>
    <x v="3"/>
    <n v="245305"/>
  </r>
  <r>
    <x v="5"/>
    <x v="29"/>
    <s v="Electric Generators, Electric Utilities"/>
    <x v="7"/>
    <n v="7485448"/>
  </r>
  <r>
    <x v="5"/>
    <x v="29"/>
    <s v="Electric Generators, Electric Utilities"/>
    <x v="8"/>
    <n v="16268"/>
  </r>
  <r>
    <x v="5"/>
    <x v="29"/>
    <s v="Electric Generators, Electric Utilities"/>
    <x v="4"/>
    <n v="26679"/>
  </r>
  <r>
    <x v="5"/>
    <x v="29"/>
    <s v="Combined Heat and Power, Industrial Power"/>
    <x v="0"/>
    <n v="25023"/>
  </r>
  <r>
    <x v="5"/>
    <x v="29"/>
    <s v="Combined Heat and Power, Industrial Power"/>
    <x v="1"/>
    <n v="24900"/>
  </r>
  <r>
    <x v="5"/>
    <x v="29"/>
    <s v="Combined Heat and Power, Industrial Power"/>
    <x v="3"/>
    <n v="123"/>
  </r>
  <r>
    <x v="5"/>
    <x v="30"/>
    <s v="Total Electric Power Industry"/>
    <x v="0"/>
    <n v="15434379"/>
  </r>
  <r>
    <x v="5"/>
    <x v="30"/>
    <s v="Total Electric Power Industry"/>
    <x v="1"/>
    <n v="3367488"/>
  </r>
  <r>
    <x v="5"/>
    <x v="30"/>
    <s v="Total Electric Power Industry"/>
    <x v="2"/>
    <n v="1369890"/>
  </r>
  <r>
    <x v="5"/>
    <x v="30"/>
    <s v="Total Electric Power Industry"/>
    <x v="3"/>
    <n v="201304"/>
  </r>
  <r>
    <x v="5"/>
    <x v="30"/>
    <s v="Total Electric Power Industry"/>
    <x v="7"/>
    <n v="8379376"/>
  </r>
  <r>
    <x v="5"/>
    <x v="30"/>
    <s v="Total Electric Power Industry"/>
    <x v="8"/>
    <n v="175308"/>
  </r>
  <r>
    <x v="5"/>
    <x v="30"/>
    <s v="Total Electric Power Industry"/>
    <x v="4"/>
    <n v="1064756"/>
  </r>
  <r>
    <x v="5"/>
    <x v="30"/>
    <s v="Total Electric Power Industry"/>
    <x v="6"/>
    <n v="876257"/>
  </r>
  <r>
    <x v="5"/>
    <x v="30"/>
    <s v="Electric Generators, Independent Power Producers"/>
    <x v="0"/>
    <n v="1098764"/>
  </r>
  <r>
    <x v="5"/>
    <x v="30"/>
    <s v="Electric Generators, Independent Power Producers"/>
    <x v="2"/>
    <n v="216793"/>
  </r>
  <r>
    <x v="5"/>
    <x v="30"/>
    <s v="Electric Generators, Independent Power Producers"/>
    <x v="8"/>
    <n v="175308"/>
  </r>
  <r>
    <x v="5"/>
    <x v="30"/>
    <s v="Electric Generators, Independent Power Producers"/>
    <x v="4"/>
    <n v="1078"/>
  </r>
  <r>
    <x v="5"/>
    <x v="30"/>
    <s v="Electric Generators, Independent Power Producers"/>
    <x v="6"/>
    <n v="705585"/>
  </r>
  <r>
    <x v="5"/>
    <x v="30"/>
    <s v="Electric Generators, Electric Utilities"/>
    <x v="0"/>
    <n v="13936033"/>
  </r>
  <r>
    <x v="5"/>
    <x v="30"/>
    <s v="Electric Generators, Electric Utilities"/>
    <x v="1"/>
    <n v="3367488"/>
  </r>
  <r>
    <x v="5"/>
    <x v="30"/>
    <s v="Electric Generators, Electric Utilities"/>
    <x v="2"/>
    <n v="983966"/>
  </r>
  <r>
    <x v="5"/>
    <x v="30"/>
    <s v="Electric Generators, Electric Utilities"/>
    <x v="3"/>
    <n v="201304"/>
  </r>
  <r>
    <x v="5"/>
    <x v="30"/>
    <s v="Electric Generators, Electric Utilities"/>
    <x v="7"/>
    <n v="8379376"/>
  </r>
  <r>
    <x v="5"/>
    <x v="30"/>
    <s v="Electric Generators, Electric Utilities"/>
    <x v="4"/>
    <n v="1003899"/>
  </r>
  <r>
    <x v="5"/>
    <x v="30"/>
    <s v="Combined Heat and Power, Industrial Power"/>
    <x v="0"/>
    <n v="289827"/>
  </r>
  <r>
    <x v="5"/>
    <x v="30"/>
    <s v="Combined Heat and Power, Industrial Power"/>
    <x v="2"/>
    <n v="169131"/>
  </r>
  <r>
    <x v="5"/>
    <x v="30"/>
    <s v="Combined Heat and Power, Industrial Power"/>
    <x v="4"/>
    <n v="34826"/>
  </r>
  <r>
    <x v="5"/>
    <x v="30"/>
    <s v="Combined Heat and Power, Industrial Power"/>
    <x v="6"/>
    <n v="85870"/>
  </r>
  <r>
    <x v="5"/>
    <x v="30"/>
    <s v="Combined Heat and Power, Electric Power"/>
    <x v="0"/>
    <n v="84886"/>
  </r>
  <r>
    <x v="5"/>
    <x v="30"/>
    <s v="Combined Heat and Power, Electric Power"/>
    <x v="4"/>
    <n v="84"/>
  </r>
  <r>
    <x v="5"/>
    <x v="30"/>
    <s v="Combined Heat and Power, Electric Power"/>
    <x v="6"/>
    <n v="84802"/>
  </r>
  <r>
    <x v="5"/>
    <x v="30"/>
    <s v="Combined Heat and Power, Commercial Power"/>
    <x v="0"/>
    <n v="24869"/>
  </r>
  <r>
    <x v="5"/>
    <x v="30"/>
    <s v="Combined Heat and Power, Commercial Power"/>
    <x v="4"/>
    <n v="24869"/>
  </r>
  <r>
    <x v="5"/>
    <x v="31"/>
    <s v="Total Electric Power Industry"/>
    <x v="0"/>
    <n v="45098658"/>
  </r>
  <r>
    <x v="5"/>
    <x v="31"/>
    <s v="Total Electric Power Industry"/>
    <x v="1"/>
    <n v="7165980"/>
  </r>
  <r>
    <x v="5"/>
    <x v="31"/>
    <s v="Total Electric Power Industry"/>
    <x v="2"/>
    <n v="10955"/>
  </r>
  <r>
    <x v="5"/>
    <x v="31"/>
    <s v="Total Electric Power Industry"/>
    <x v="3"/>
    <n v="18202521"/>
  </r>
  <r>
    <x v="5"/>
    <x v="31"/>
    <s v="Total Electric Power Industry"/>
    <x v="7"/>
    <n v="16805517"/>
  </r>
  <r>
    <x v="5"/>
    <x v="31"/>
    <s v="Total Electric Power Industry"/>
    <x v="8"/>
    <n v="1221856"/>
  </r>
  <r>
    <x v="5"/>
    <x v="31"/>
    <s v="Total Electric Power Industry"/>
    <x v="9"/>
    <n v="64073"/>
  </r>
  <r>
    <x v="5"/>
    <x v="31"/>
    <s v="Total Electric Power Industry"/>
    <x v="4"/>
    <n v="1722288"/>
  </r>
  <r>
    <x v="5"/>
    <x v="31"/>
    <s v="Total Electric Power Industry"/>
    <x v="10"/>
    <n v="-94532"/>
  </r>
  <r>
    <x v="5"/>
    <x v="31"/>
    <s v="Electric Generators, Independent Power Producers"/>
    <x v="0"/>
    <n v="1434476"/>
  </r>
  <r>
    <x v="5"/>
    <x v="31"/>
    <s v="Electric Generators, Independent Power Producers"/>
    <x v="2"/>
    <n v="10955"/>
  </r>
  <r>
    <x v="5"/>
    <x v="31"/>
    <s v="Electric Generators, Independent Power Producers"/>
    <x v="3"/>
    <n v="673591"/>
  </r>
  <r>
    <x v="5"/>
    <x v="31"/>
    <s v="Electric Generators, Independent Power Producers"/>
    <x v="8"/>
    <n v="722356"/>
  </r>
  <r>
    <x v="5"/>
    <x v="31"/>
    <s v="Electric Generators, Independent Power Producers"/>
    <x v="4"/>
    <n v="27574"/>
  </r>
  <r>
    <x v="5"/>
    <x v="31"/>
    <s v="Electric Generators, Electric Utilities"/>
    <x v="0"/>
    <n v="27087559"/>
  </r>
  <r>
    <x v="5"/>
    <x v="31"/>
    <s v="Electric Generators, Electric Utilities"/>
    <x v="1"/>
    <n v="5105184"/>
  </r>
  <r>
    <x v="5"/>
    <x v="31"/>
    <s v="Electric Generators, Electric Utilities"/>
    <x v="3"/>
    <n v="4386493"/>
  </r>
  <r>
    <x v="5"/>
    <x v="31"/>
    <s v="Electric Generators, Electric Utilities"/>
    <x v="7"/>
    <n v="16805517"/>
  </r>
  <r>
    <x v="5"/>
    <x v="31"/>
    <s v="Electric Generators, Electric Utilities"/>
    <x v="4"/>
    <n v="884897"/>
  </r>
  <r>
    <x v="5"/>
    <x v="31"/>
    <s v="Electric Generators, Electric Utilities"/>
    <x v="10"/>
    <n v="-94532"/>
  </r>
  <r>
    <x v="5"/>
    <x v="31"/>
    <s v="Combined Heat and Power, Industrial Power"/>
    <x v="0"/>
    <n v="2839999"/>
  </r>
  <r>
    <x v="5"/>
    <x v="31"/>
    <s v="Combined Heat and Power, Industrial Power"/>
    <x v="3"/>
    <n v="2512647"/>
  </r>
  <r>
    <x v="5"/>
    <x v="31"/>
    <s v="Combined Heat and Power, Industrial Power"/>
    <x v="8"/>
    <n v="3541"/>
  </r>
  <r>
    <x v="5"/>
    <x v="31"/>
    <s v="Combined Heat and Power, Industrial Power"/>
    <x v="9"/>
    <n v="64073"/>
  </r>
  <r>
    <x v="5"/>
    <x v="31"/>
    <s v="Combined Heat and Power, Industrial Power"/>
    <x v="4"/>
    <n v="259738"/>
  </r>
  <r>
    <x v="5"/>
    <x v="31"/>
    <s v="Combined Heat and Power, Electric Power"/>
    <x v="0"/>
    <n v="13590669"/>
  </r>
  <r>
    <x v="5"/>
    <x v="31"/>
    <s v="Combined Heat and Power, Electric Power"/>
    <x v="1"/>
    <n v="2060796"/>
  </r>
  <r>
    <x v="5"/>
    <x v="31"/>
    <s v="Combined Heat and Power, Electric Power"/>
    <x v="3"/>
    <n v="10494527"/>
  </r>
  <r>
    <x v="5"/>
    <x v="31"/>
    <s v="Combined Heat and Power, Electric Power"/>
    <x v="8"/>
    <n v="493927"/>
  </r>
  <r>
    <x v="5"/>
    <x v="31"/>
    <s v="Combined Heat and Power, Electric Power"/>
    <x v="4"/>
    <n v="541419"/>
  </r>
  <r>
    <x v="5"/>
    <x v="31"/>
    <s v="Combined Heat and Power, Commercial Power"/>
    <x v="0"/>
    <n v="145955"/>
  </r>
  <r>
    <x v="5"/>
    <x v="31"/>
    <s v="Combined Heat and Power, Commercial Power"/>
    <x v="3"/>
    <n v="135263"/>
  </r>
  <r>
    <x v="5"/>
    <x v="31"/>
    <s v="Combined Heat and Power, Commercial Power"/>
    <x v="8"/>
    <n v="2032"/>
  </r>
  <r>
    <x v="5"/>
    <x v="31"/>
    <s v="Combined Heat and Power, Commercial Power"/>
    <x v="4"/>
    <n v="8660"/>
  </r>
  <r>
    <x v="5"/>
    <x v="32"/>
    <s v="Total Electric Power Industry"/>
    <x v="0"/>
    <n v="29831159"/>
  </r>
  <r>
    <x v="5"/>
    <x v="32"/>
    <s v="Total Electric Power Industry"/>
    <x v="1"/>
    <n v="26121447"/>
  </r>
  <r>
    <x v="5"/>
    <x v="32"/>
    <s v="Total Electric Power Industry"/>
    <x v="2"/>
    <n v="263920"/>
  </r>
  <r>
    <x v="5"/>
    <x v="32"/>
    <s v="Total Electric Power Industry"/>
    <x v="3"/>
    <n v="3408993"/>
  </r>
  <r>
    <x v="5"/>
    <x v="32"/>
    <s v="Total Electric Power Industry"/>
    <x v="8"/>
    <n v="9053"/>
  </r>
  <r>
    <x v="5"/>
    <x v="32"/>
    <s v="Total Electric Power Industry"/>
    <x v="4"/>
    <n v="27746"/>
  </r>
  <r>
    <x v="5"/>
    <x v="32"/>
    <s v="Electric Generators, Electric Utilities"/>
    <x v="0"/>
    <n v="29431903"/>
  </r>
  <r>
    <x v="5"/>
    <x v="32"/>
    <s v="Electric Generators, Electric Utilities"/>
    <x v="1"/>
    <n v="26121447"/>
  </r>
  <r>
    <x v="5"/>
    <x v="32"/>
    <s v="Electric Generators, Electric Utilities"/>
    <x v="2"/>
    <n v="263920"/>
  </r>
  <r>
    <x v="5"/>
    <x v="32"/>
    <s v="Electric Generators, Electric Utilities"/>
    <x v="3"/>
    <n v="3023463"/>
  </r>
  <r>
    <x v="5"/>
    <x v="32"/>
    <s v="Electric Generators, Electric Utilities"/>
    <x v="4"/>
    <n v="23073"/>
  </r>
  <r>
    <x v="5"/>
    <x v="32"/>
    <s v="Combined Heat and Power, Industrial Power"/>
    <x v="0"/>
    <n v="360366"/>
  </r>
  <r>
    <x v="5"/>
    <x v="32"/>
    <s v="Combined Heat and Power, Industrial Power"/>
    <x v="3"/>
    <n v="355693"/>
  </r>
  <r>
    <x v="5"/>
    <x v="32"/>
    <s v="Combined Heat and Power, Industrial Power"/>
    <x v="4"/>
    <n v="4673"/>
  </r>
  <r>
    <x v="5"/>
    <x v="32"/>
    <s v="Combined Heat and Power, Electric Power"/>
    <x v="0"/>
    <n v="17215"/>
  </r>
  <r>
    <x v="5"/>
    <x v="32"/>
    <s v="Combined Heat and Power, Electric Power"/>
    <x v="3"/>
    <n v="8162"/>
  </r>
  <r>
    <x v="5"/>
    <x v="32"/>
    <s v="Combined Heat and Power, Electric Power"/>
    <x v="8"/>
    <n v="9053"/>
  </r>
  <r>
    <x v="5"/>
    <x v="32"/>
    <s v="Combined Heat and Power, Commercial Power"/>
    <x v="0"/>
    <n v="21675"/>
  </r>
  <r>
    <x v="5"/>
    <x v="32"/>
    <s v="Combined Heat and Power, Commercial Power"/>
    <x v="3"/>
    <n v="21675"/>
  </r>
  <r>
    <x v="5"/>
    <x v="33"/>
    <s v="Total Electric Power Industry"/>
    <x v="0"/>
    <n v="23963994"/>
  </r>
  <r>
    <x v="5"/>
    <x v="33"/>
    <s v="Total Electric Power Industry"/>
    <x v="1"/>
    <n v="13971824"/>
  </r>
  <r>
    <x v="5"/>
    <x v="33"/>
    <s v="Total Electric Power Industry"/>
    <x v="11"/>
    <n v="1553696"/>
  </r>
  <r>
    <x v="5"/>
    <x v="33"/>
    <s v="Total Electric Power Industry"/>
    <x v="2"/>
    <n v="1941534"/>
  </r>
  <r>
    <x v="5"/>
    <x v="33"/>
    <s v="Total Electric Power Industry"/>
    <x v="3"/>
    <n v="6443753"/>
  </r>
  <r>
    <x v="5"/>
    <x v="33"/>
    <s v="Total Electric Power Industry"/>
    <x v="12"/>
    <n v="26634"/>
  </r>
  <r>
    <x v="5"/>
    <x v="33"/>
    <s v="Total Electric Power Industry"/>
    <x v="4"/>
    <n v="26553"/>
  </r>
  <r>
    <x v="5"/>
    <x v="33"/>
    <s v="Electric Generators, Independent Power Producers"/>
    <x v="0"/>
    <n v="1610693"/>
  </r>
  <r>
    <x v="5"/>
    <x v="33"/>
    <s v="Electric Generators, Independent Power Producers"/>
    <x v="11"/>
    <n v="1553696"/>
  </r>
  <r>
    <x v="5"/>
    <x v="33"/>
    <s v="Electric Generators, Independent Power Producers"/>
    <x v="2"/>
    <n v="19093"/>
  </r>
  <r>
    <x v="5"/>
    <x v="33"/>
    <s v="Electric Generators, Independent Power Producers"/>
    <x v="3"/>
    <n v="37900"/>
  </r>
  <r>
    <x v="5"/>
    <x v="33"/>
    <s v="Electric Generators, Independent Power Producers"/>
    <x v="4"/>
    <n v="4"/>
  </r>
  <r>
    <x v="5"/>
    <x v="33"/>
    <s v="Electric Generators, Electric Utilities"/>
    <x v="0"/>
    <n v="19997354"/>
  </r>
  <r>
    <x v="5"/>
    <x v="33"/>
    <s v="Electric Generators, Electric Utilities"/>
    <x v="1"/>
    <n v="13971824"/>
  </r>
  <r>
    <x v="5"/>
    <x v="33"/>
    <s v="Electric Generators, Electric Utilities"/>
    <x v="2"/>
    <n v="1922441"/>
  </r>
  <r>
    <x v="5"/>
    <x v="33"/>
    <s v="Electric Generators, Electric Utilities"/>
    <x v="3"/>
    <n v="4076540"/>
  </r>
  <r>
    <x v="5"/>
    <x v="33"/>
    <s v="Electric Generators, Electric Utilities"/>
    <x v="4"/>
    <n v="26549"/>
  </r>
  <r>
    <x v="5"/>
    <x v="33"/>
    <s v="Combined Heat and Power, Industrial Power"/>
    <x v="0"/>
    <n v="138"/>
  </r>
  <r>
    <x v="5"/>
    <x v="33"/>
    <s v="Combined Heat and Power, Industrial Power"/>
    <x v="3"/>
    <n v="138"/>
  </r>
  <r>
    <x v="5"/>
    <x v="33"/>
    <s v="Combined Heat and Power, Electric Power"/>
    <x v="0"/>
    <n v="2355809"/>
  </r>
  <r>
    <x v="5"/>
    <x v="33"/>
    <s v="Combined Heat and Power, Electric Power"/>
    <x v="3"/>
    <n v="2329175"/>
  </r>
  <r>
    <x v="5"/>
    <x v="33"/>
    <s v="Combined Heat and Power, Electric Power"/>
    <x v="12"/>
    <n v="26634"/>
  </r>
  <r>
    <x v="5"/>
    <x v="34"/>
    <s v="Total Electric Power Industry"/>
    <x v="0"/>
    <n v="133413281"/>
  </r>
  <r>
    <x v="5"/>
    <x v="34"/>
    <s v="Total Electric Power Industry"/>
    <x v="1"/>
    <n v="22288913"/>
  </r>
  <r>
    <x v="5"/>
    <x v="34"/>
    <s v="Total Electric Power Industry"/>
    <x v="2"/>
    <n v="25993197"/>
  </r>
  <r>
    <x v="5"/>
    <x v="34"/>
    <s v="Total Electric Power Industry"/>
    <x v="3"/>
    <n v="49056506"/>
  </r>
  <r>
    <x v="5"/>
    <x v="34"/>
    <s v="Total Electric Power Industry"/>
    <x v="7"/>
    <n v="26336172"/>
  </r>
  <r>
    <x v="5"/>
    <x v="34"/>
    <s v="Total Electric Power Industry"/>
    <x v="8"/>
    <n v="1969440"/>
  </r>
  <r>
    <x v="5"/>
    <x v="34"/>
    <s v="Total Electric Power Industry"/>
    <x v="9"/>
    <n v="96673"/>
  </r>
  <r>
    <x v="5"/>
    <x v="34"/>
    <s v="Total Electric Power Industry"/>
    <x v="4"/>
    <n v="8268290"/>
  </r>
  <r>
    <x v="5"/>
    <x v="34"/>
    <s v="Total Electric Power Industry"/>
    <x v="10"/>
    <n v="-1162013"/>
  </r>
  <r>
    <x v="5"/>
    <x v="34"/>
    <s v="Total Electric Power Industry"/>
    <x v="6"/>
    <n v="566103"/>
  </r>
  <r>
    <x v="5"/>
    <x v="34"/>
    <s v="Electric Generators, Independent Power Producers"/>
    <x v="0"/>
    <n v="3142063"/>
  </r>
  <r>
    <x v="5"/>
    <x v="34"/>
    <s v="Electric Generators, Independent Power Producers"/>
    <x v="2"/>
    <n v="1113037"/>
  </r>
  <r>
    <x v="5"/>
    <x v="34"/>
    <s v="Electric Generators, Independent Power Producers"/>
    <x v="3"/>
    <n v="364245"/>
  </r>
  <r>
    <x v="5"/>
    <x v="34"/>
    <s v="Electric Generators, Independent Power Producers"/>
    <x v="8"/>
    <n v="1363360"/>
  </r>
  <r>
    <x v="5"/>
    <x v="34"/>
    <s v="Electric Generators, Independent Power Producers"/>
    <x v="9"/>
    <n v="512"/>
  </r>
  <r>
    <x v="5"/>
    <x v="34"/>
    <s v="Electric Generators, Independent Power Producers"/>
    <x v="4"/>
    <n v="113102"/>
  </r>
  <r>
    <x v="5"/>
    <x v="34"/>
    <s v="Electric Generators, Independent Power Producers"/>
    <x v="6"/>
    <n v="187807"/>
  </r>
  <r>
    <x v="5"/>
    <x v="34"/>
    <s v="Electric Generators, Electric Utilities"/>
    <x v="0"/>
    <n v="101160796"/>
  </r>
  <r>
    <x v="5"/>
    <x v="34"/>
    <s v="Electric Generators, Electric Utilities"/>
    <x v="1"/>
    <n v="19943312"/>
  </r>
  <r>
    <x v="5"/>
    <x v="34"/>
    <s v="Electric Generators, Electric Utilities"/>
    <x v="2"/>
    <n v="24782142"/>
  </r>
  <r>
    <x v="5"/>
    <x v="34"/>
    <s v="Electric Generators, Electric Utilities"/>
    <x v="3"/>
    <n v="23414071"/>
  </r>
  <r>
    <x v="5"/>
    <x v="34"/>
    <s v="Electric Generators, Electric Utilities"/>
    <x v="7"/>
    <n v="26336172"/>
  </r>
  <r>
    <x v="5"/>
    <x v="34"/>
    <s v="Electric Generators, Electric Utilities"/>
    <x v="4"/>
    <n v="7834878"/>
  </r>
  <r>
    <x v="5"/>
    <x v="34"/>
    <s v="Electric Generators, Electric Utilities"/>
    <x v="10"/>
    <n v="-1162013"/>
  </r>
  <r>
    <x v="5"/>
    <x v="34"/>
    <s v="Electric Generators, Electric Utilities"/>
    <x v="6"/>
    <n v="12234"/>
  </r>
  <r>
    <x v="5"/>
    <x v="34"/>
    <s v="Combined Heat and Power, Industrial Power"/>
    <x v="0"/>
    <n v="4271290"/>
  </r>
  <r>
    <x v="5"/>
    <x v="34"/>
    <s v="Combined Heat and Power, Industrial Power"/>
    <x v="1"/>
    <n v="982904"/>
  </r>
  <r>
    <x v="5"/>
    <x v="34"/>
    <s v="Combined Heat and Power, Industrial Power"/>
    <x v="2"/>
    <n v="93658"/>
  </r>
  <r>
    <x v="5"/>
    <x v="34"/>
    <s v="Combined Heat and Power, Industrial Power"/>
    <x v="3"/>
    <n v="2712990"/>
  </r>
  <r>
    <x v="5"/>
    <x v="34"/>
    <s v="Combined Heat and Power, Industrial Power"/>
    <x v="9"/>
    <n v="96161"/>
  </r>
  <r>
    <x v="5"/>
    <x v="34"/>
    <s v="Combined Heat and Power, Industrial Power"/>
    <x v="4"/>
    <n v="189938"/>
  </r>
  <r>
    <x v="5"/>
    <x v="34"/>
    <s v="Combined Heat and Power, Industrial Power"/>
    <x v="6"/>
    <n v="195639"/>
  </r>
  <r>
    <x v="5"/>
    <x v="34"/>
    <s v="Combined Heat and Power, Electric Power"/>
    <x v="0"/>
    <n v="23753739"/>
  </r>
  <r>
    <x v="5"/>
    <x v="34"/>
    <s v="Combined Heat and Power, Electric Power"/>
    <x v="1"/>
    <n v="1340148"/>
  </r>
  <r>
    <x v="5"/>
    <x v="34"/>
    <s v="Combined Heat and Power, Electric Power"/>
    <x v="3"/>
    <n v="21721063"/>
  </r>
  <r>
    <x v="5"/>
    <x v="34"/>
    <s v="Combined Heat and Power, Electric Power"/>
    <x v="8"/>
    <n v="434739"/>
  </r>
  <r>
    <x v="5"/>
    <x v="34"/>
    <s v="Combined Heat and Power, Electric Power"/>
    <x v="4"/>
    <n v="87366"/>
  </r>
  <r>
    <x v="5"/>
    <x v="34"/>
    <s v="Combined Heat and Power, Electric Power"/>
    <x v="6"/>
    <n v="170423"/>
  </r>
  <r>
    <x v="5"/>
    <x v="34"/>
    <s v="Combined Heat and Power, Commercial Power"/>
    <x v="0"/>
    <n v="1085393"/>
  </r>
  <r>
    <x v="5"/>
    <x v="34"/>
    <s v="Combined Heat and Power, Commercial Power"/>
    <x v="1"/>
    <n v="22549"/>
  </r>
  <r>
    <x v="5"/>
    <x v="34"/>
    <s v="Combined Heat and Power, Commercial Power"/>
    <x v="2"/>
    <n v="4360"/>
  </r>
  <r>
    <x v="5"/>
    <x v="34"/>
    <s v="Combined Heat and Power, Commercial Power"/>
    <x v="3"/>
    <n v="844137"/>
  </r>
  <r>
    <x v="5"/>
    <x v="34"/>
    <s v="Combined Heat and Power, Commercial Power"/>
    <x v="8"/>
    <n v="171341"/>
  </r>
  <r>
    <x v="5"/>
    <x v="34"/>
    <s v="Combined Heat and Power, Commercial Power"/>
    <x v="4"/>
    <n v="43006"/>
  </r>
  <r>
    <x v="5"/>
    <x v="35"/>
    <s v="Total Electric Power Industry"/>
    <x v="0"/>
    <n v="139343902"/>
  </r>
  <r>
    <x v="5"/>
    <x v="35"/>
    <s v="Total Electric Power Industry"/>
    <x v="1"/>
    <n v="120629428"/>
  </r>
  <r>
    <x v="5"/>
    <x v="35"/>
    <s v="Total Electric Power Industry"/>
    <x v="2"/>
    <n v="232221"/>
  </r>
  <r>
    <x v="5"/>
    <x v="35"/>
    <s v="Total Electric Power Industry"/>
    <x v="3"/>
    <n v="724821"/>
  </r>
  <r>
    <x v="5"/>
    <x v="35"/>
    <s v="Total Electric Power Industry"/>
    <x v="7"/>
    <n v="16768050"/>
  </r>
  <r>
    <x v="5"/>
    <x v="35"/>
    <s v="Total Electric Power Industry"/>
    <x v="8"/>
    <n v="21860"/>
  </r>
  <r>
    <x v="5"/>
    <x v="35"/>
    <s v="Total Electric Power Industry"/>
    <x v="9"/>
    <n v="139069"/>
  </r>
  <r>
    <x v="5"/>
    <x v="35"/>
    <s v="Total Electric Power Industry"/>
    <x v="4"/>
    <n v="330064"/>
  </r>
  <r>
    <x v="5"/>
    <x v="35"/>
    <s v="Total Electric Power Industry"/>
    <x v="6"/>
    <n v="498389"/>
  </r>
  <r>
    <x v="5"/>
    <x v="35"/>
    <s v="Electric Generators, Independent Power Producers"/>
    <x v="0"/>
    <n v="4762"/>
  </r>
  <r>
    <x v="5"/>
    <x v="35"/>
    <s v="Electric Generators, Independent Power Producers"/>
    <x v="2"/>
    <n v="4762"/>
  </r>
  <r>
    <x v="5"/>
    <x v="35"/>
    <s v="Electric Generators, Electric Utilities"/>
    <x v="0"/>
    <n v="137860132"/>
  </r>
  <r>
    <x v="5"/>
    <x v="35"/>
    <s v="Electric Generators, Electric Utilities"/>
    <x v="1"/>
    <n v="120043024"/>
  </r>
  <r>
    <x v="5"/>
    <x v="35"/>
    <s v="Electric Generators, Electric Utilities"/>
    <x v="2"/>
    <n v="227459"/>
  </r>
  <r>
    <x v="5"/>
    <x v="35"/>
    <s v="Electric Generators, Electric Utilities"/>
    <x v="3"/>
    <n v="523480"/>
  </r>
  <r>
    <x v="5"/>
    <x v="35"/>
    <s v="Electric Generators, Electric Utilities"/>
    <x v="7"/>
    <n v="16768050"/>
  </r>
  <r>
    <x v="5"/>
    <x v="35"/>
    <s v="Electric Generators, Electric Utilities"/>
    <x v="8"/>
    <n v="0"/>
  </r>
  <r>
    <x v="5"/>
    <x v="35"/>
    <s v="Electric Generators, Electric Utilities"/>
    <x v="4"/>
    <n v="298119"/>
  </r>
  <r>
    <x v="5"/>
    <x v="35"/>
    <s v="Combined Heat and Power, Industrial Power"/>
    <x v="0"/>
    <n v="1425403"/>
  </r>
  <r>
    <x v="5"/>
    <x v="35"/>
    <s v="Combined Heat and Power, Industrial Power"/>
    <x v="1"/>
    <n v="585014"/>
  </r>
  <r>
    <x v="5"/>
    <x v="35"/>
    <s v="Combined Heat and Power, Industrial Power"/>
    <x v="3"/>
    <n v="173912"/>
  </r>
  <r>
    <x v="5"/>
    <x v="35"/>
    <s v="Combined Heat and Power, Industrial Power"/>
    <x v="9"/>
    <n v="139069"/>
  </r>
  <r>
    <x v="5"/>
    <x v="35"/>
    <s v="Combined Heat and Power, Industrial Power"/>
    <x v="4"/>
    <n v="29019"/>
  </r>
  <r>
    <x v="5"/>
    <x v="35"/>
    <s v="Combined Heat and Power, Industrial Power"/>
    <x v="6"/>
    <n v="498389"/>
  </r>
  <r>
    <x v="5"/>
    <x v="35"/>
    <s v="Combined Heat and Power, Electric Power"/>
    <x v="0"/>
    <n v="19979"/>
  </r>
  <r>
    <x v="5"/>
    <x v="35"/>
    <s v="Combined Heat and Power, Electric Power"/>
    <x v="8"/>
    <n v="19979"/>
  </r>
  <r>
    <x v="5"/>
    <x v="35"/>
    <s v="Combined Heat and Power, Commercial Power"/>
    <x v="0"/>
    <n v="33626"/>
  </r>
  <r>
    <x v="5"/>
    <x v="35"/>
    <s v="Combined Heat and Power, Commercial Power"/>
    <x v="1"/>
    <n v="1390"/>
  </r>
  <r>
    <x v="5"/>
    <x v="35"/>
    <s v="Combined Heat and Power, Commercial Power"/>
    <x v="3"/>
    <n v="27429"/>
  </r>
  <r>
    <x v="5"/>
    <x v="35"/>
    <s v="Combined Heat and Power, Commercial Power"/>
    <x v="8"/>
    <n v="1881"/>
  </r>
  <r>
    <x v="5"/>
    <x v="35"/>
    <s v="Combined Heat and Power, Commercial Power"/>
    <x v="4"/>
    <n v="2926"/>
  </r>
  <r>
    <x v="5"/>
    <x v="36"/>
    <s v="Total Electric Power Industry"/>
    <x v="0"/>
    <n v="52667367"/>
  </r>
  <r>
    <x v="5"/>
    <x v="36"/>
    <s v="Total Electric Power Industry"/>
    <x v="1"/>
    <n v="32785062"/>
  </r>
  <r>
    <x v="5"/>
    <x v="36"/>
    <s v="Total Electric Power Industry"/>
    <x v="2"/>
    <n v="2779920"/>
  </r>
  <r>
    <x v="5"/>
    <x v="36"/>
    <s v="Total Electric Power Industry"/>
    <x v="3"/>
    <n v="16715507"/>
  </r>
  <r>
    <x v="5"/>
    <x v="36"/>
    <s v="Total Electric Power Industry"/>
    <x v="8"/>
    <n v="1658"/>
  </r>
  <r>
    <x v="5"/>
    <x v="36"/>
    <s v="Total Electric Power Industry"/>
    <x v="9"/>
    <n v="65000"/>
  </r>
  <r>
    <x v="5"/>
    <x v="36"/>
    <s v="Total Electric Power Industry"/>
    <x v="4"/>
    <n v="98685"/>
  </r>
  <r>
    <x v="5"/>
    <x v="36"/>
    <s v="Total Electric Power Industry"/>
    <x v="10"/>
    <n v="-64663"/>
  </r>
  <r>
    <x v="5"/>
    <x v="36"/>
    <s v="Total Electric Power Industry"/>
    <x v="6"/>
    <n v="286198"/>
  </r>
  <r>
    <x v="5"/>
    <x v="36"/>
    <s v="Electric Generators, Electric Utilities"/>
    <x v="0"/>
    <n v="47955288"/>
  </r>
  <r>
    <x v="5"/>
    <x v="36"/>
    <s v="Electric Generators, Electric Utilities"/>
    <x v="1"/>
    <n v="29714368"/>
  </r>
  <r>
    <x v="5"/>
    <x v="36"/>
    <s v="Electric Generators, Electric Utilities"/>
    <x v="2"/>
    <n v="2779920"/>
  </r>
  <r>
    <x v="5"/>
    <x v="36"/>
    <s v="Electric Generators, Electric Utilities"/>
    <x v="3"/>
    <n v="15448135"/>
  </r>
  <r>
    <x v="5"/>
    <x v="36"/>
    <s v="Electric Generators, Electric Utilities"/>
    <x v="4"/>
    <n v="77528"/>
  </r>
  <r>
    <x v="5"/>
    <x v="36"/>
    <s v="Electric Generators, Electric Utilities"/>
    <x v="10"/>
    <n v="-64663"/>
  </r>
  <r>
    <x v="5"/>
    <x v="36"/>
    <s v="Combined Heat and Power, Industrial Power"/>
    <x v="0"/>
    <n v="1339824"/>
  </r>
  <r>
    <x v="5"/>
    <x v="36"/>
    <s v="Combined Heat and Power, Industrial Power"/>
    <x v="1"/>
    <n v="434773"/>
  </r>
  <r>
    <x v="5"/>
    <x v="36"/>
    <s v="Combined Heat and Power, Industrial Power"/>
    <x v="3"/>
    <n v="531038"/>
  </r>
  <r>
    <x v="5"/>
    <x v="36"/>
    <s v="Combined Heat and Power, Industrial Power"/>
    <x v="8"/>
    <n v="1658"/>
  </r>
  <r>
    <x v="5"/>
    <x v="36"/>
    <s v="Combined Heat and Power, Industrial Power"/>
    <x v="9"/>
    <n v="65000"/>
  </r>
  <r>
    <x v="5"/>
    <x v="36"/>
    <s v="Combined Heat and Power, Industrial Power"/>
    <x v="4"/>
    <n v="21157"/>
  </r>
  <r>
    <x v="5"/>
    <x v="36"/>
    <s v="Combined Heat and Power, Industrial Power"/>
    <x v="6"/>
    <n v="286198"/>
  </r>
  <r>
    <x v="5"/>
    <x v="36"/>
    <s v="Combined Heat and Power, Electric Power"/>
    <x v="0"/>
    <n v="3313929"/>
  </r>
  <r>
    <x v="5"/>
    <x v="36"/>
    <s v="Combined Heat and Power, Electric Power"/>
    <x v="1"/>
    <n v="2635921"/>
  </r>
  <r>
    <x v="5"/>
    <x v="36"/>
    <s v="Combined Heat and Power, Electric Power"/>
    <x v="3"/>
    <n v="678008"/>
  </r>
  <r>
    <x v="5"/>
    <x v="36"/>
    <s v="Combined Heat and Power, Commercial Power"/>
    <x v="0"/>
    <n v="58326"/>
  </r>
  <r>
    <x v="5"/>
    <x v="36"/>
    <s v="Combined Heat and Power, Commercial Power"/>
    <x v="3"/>
    <n v="58326"/>
  </r>
  <r>
    <x v="5"/>
    <x v="37"/>
    <s v="Total Electric Power Industry"/>
    <x v="0"/>
    <n v="45265553"/>
  </r>
  <r>
    <x v="5"/>
    <x v="37"/>
    <s v="Total Electric Power Industry"/>
    <x v="1"/>
    <n v="1552491"/>
  </r>
  <r>
    <x v="5"/>
    <x v="37"/>
    <s v="Total Electric Power Industry"/>
    <x v="2"/>
    <n v="40764465"/>
  </r>
  <r>
    <x v="5"/>
    <x v="37"/>
    <s v="Total Electric Power Industry"/>
    <x v="3"/>
    <n v="2353475"/>
  </r>
  <r>
    <x v="5"/>
    <x v="37"/>
    <s v="Total Electric Power Industry"/>
    <x v="8"/>
    <n v="79600"/>
  </r>
  <r>
    <x v="5"/>
    <x v="37"/>
    <s v="Total Electric Power Industry"/>
    <x v="4"/>
    <n v="5027"/>
  </r>
  <r>
    <x v="5"/>
    <x v="37"/>
    <s v="Total Electric Power Industry"/>
    <x v="6"/>
    <n v="510495"/>
  </r>
  <r>
    <x v="5"/>
    <x v="37"/>
    <s v="Electric Generators, Independent Power Producers"/>
    <x v="0"/>
    <n v="429216"/>
  </r>
  <r>
    <x v="5"/>
    <x v="37"/>
    <s v="Electric Generators, Independent Power Producers"/>
    <x v="2"/>
    <n v="349459"/>
  </r>
  <r>
    <x v="5"/>
    <x v="37"/>
    <s v="Electric Generators, Independent Power Producers"/>
    <x v="3"/>
    <n v="157"/>
  </r>
  <r>
    <x v="5"/>
    <x v="37"/>
    <s v="Electric Generators, Independent Power Producers"/>
    <x v="8"/>
    <n v="79600"/>
  </r>
  <r>
    <x v="5"/>
    <x v="37"/>
    <s v="Electric Generators, Electric Utilities"/>
    <x v="0"/>
    <n v="44031261"/>
  </r>
  <r>
    <x v="5"/>
    <x v="37"/>
    <s v="Electric Generators, Electric Utilities"/>
    <x v="1"/>
    <n v="1527874"/>
  </r>
  <r>
    <x v="5"/>
    <x v="37"/>
    <s v="Electric Generators, Electric Utilities"/>
    <x v="2"/>
    <n v="40415006"/>
  </r>
  <r>
    <x v="5"/>
    <x v="37"/>
    <s v="Electric Generators, Electric Utilities"/>
    <x v="3"/>
    <n v="2084035"/>
  </r>
  <r>
    <x v="5"/>
    <x v="37"/>
    <s v="Electric Generators, Electric Utilities"/>
    <x v="8"/>
    <n v="0"/>
  </r>
  <r>
    <x v="5"/>
    <x v="37"/>
    <s v="Electric Generators, Electric Utilities"/>
    <x v="4"/>
    <n v="4346"/>
  </r>
  <r>
    <x v="5"/>
    <x v="37"/>
    <s v="Electric Generators, Electric Utilities"/>
    <x v="6"/>
    <n v="0"/>
  </r>
  <r>
    <x v="5"/>
    <x v="37"/>
    <s v="Combined Heat and Power, Industrial Power"/>
    <x v="0"/>
    <n v="528200"/>
  </r>
  <r>
    <x v="5"/>
    <x v="37"/>
    <s v="Combined Heat and Power, Industrial Power"/>
    <x v="1"/>
    <n v="24617"/>
  </r>
  <r>
    <x v="5"/>
    <x v="37"/>
    <s v="Combined Heat and Power, Industrial Power"/>
    <x v="2"/>
    <n v="0"/>
  </r>
  <r>
    <x v="5"/>
    <x v="37"/>
    <s v="Combined Heat and Power, Industrial Power"/>
    <x v="3"/>
    <n v="250874"/>
  </r>
  <r>
    <x v="5"/>
    <x v="37"/>
    <s v="Combined Heat and Power, Industrial Power"/>
    <x v="4"/>
    <n v="675"/>
  </r>
  <r>
    <x v="5"/>
    <x v="37"/>
    <s v="Combined Heat and Power, Industrial Power"/>
    <x v="6"/>
    <n v="252034"/>
  </r>
  <r>
    <x v="5"/>
    <x v="37"/>
    <s v="Combined Heat and Power, Electric Power"/>
    <x v="0"/>
    <n v="275862"/>
  </r>
  <r>
    <x v="5"/>
    <x v="37"/>
    <s v="Combined Heat and Power, Electric Power"/>
    <x v="3"/>
    <n v="17401"/>
  </r>
  <r>
    <x v="5"/>
    <x v="37"/>
    <s v="Combined Heat and Power, Electric Power"/>
    <x v="6"/>
    <n v="258461"/>
  </r>
  <r>
    <x v="5"/>
    <x v="37"/>
    <s v="Combined Heat and Power, Commercial Power"/>
    <x v="0"/>
    <n v="1014"/>
  </r>
  <r>
    <x v="5"/>
    <x v="37"/>
    <s v="Combined Heat and Power, Commercial Power"/>
    <x v="3"/>
    <n v="1008"/>
  </r>
  <r>
    <x v="5"/>
    <x v="37"/>
    <s v="Combined Heat and Power, Commercial Power"/>
    <x v="4"/>
    <n v="6"/>
  </r>
  <r>
    <x v="5"/>
    <x v="38"/>
    <s v="Total Electric Power Industry"/>
    <x v="0"/>
    <n v="185451311"/>
  </r>
  <r>
    <x v="5"/>
    <x v="38"/>
    <s v="Total Electric Power Industry"/>
    <x v="1"/>
    <n v="106334647"/>
  </r>
  <r>
    <x v="5"/>
    <x v="38"/>
    <s v="Total Electric Power Industry"/>
    <x v="2"/>
    <n v="2030207"/>
  </r>
  <r>
    <x v="5"/>
    <x v="38"/>
    <s v="Total Electric Power Industry"/>
    <x v="3"/>
    <n v="4926183"/>
  </r>
  <r>
    <x v="5"/>
    <x v="38"/>
    <s v="Total Electric Power Industry"/>
    <x v="7"/>
    <n v="66461535"/>
  </r>
  <r>
    <x v="5"/>
    <x v="38"/>
    <s v="Total Electric Power Industry"/>
    <x v="12"/>
    <n v="45280"/>
  </r>
  <r>
    <x v="5"/>
    <x v="38"/>
    <s v="Total Electric Power Industry"/>
    <x v="8"/>
    <n v="1649492"/>
  </r>
  <r>
    <x v="5"/>
    <x v="38"/>
    <s v="Total Electric Power Industry"/>
    <x v="9"/>
    <n v="781665"/>
  </r>
  <r>
    <x v="5"/>
    <x v="38"/>
    <s v="Total Electric Power Industry"/>
    <x v="4"/>
    <n v="3647599"/>
  </r>
  <r>
    <x v="5"/>
    <x v="38"/>
    <s v="Total Electric Power Industry"/>
    <x v="10"/>
    <n v="-1240153"/>
  </r>
  <r>
    <x v="5"/>
    <x v="38"/>
    <s v="Total Electric Power Industry"/>
    <x v="6"/>
    <n v="814856"/>
  </r>
  <r>
    <x v="5"/>
    <x v="38"/>
    <s v="Electric Generators, Independent Power Producers"/>
    <x v="0"/>
    <n v="4161174"/>
  </r>
  <r>
    <x v="5"/>
    <x v="38"/>
    <s v="Electric Generators, Independent Power Producers"/>
    <x v="1"/>
    <n v="2401080"/>
  </r>
  <r>
    <x v="5"/>
    <x v="38"/>
    <s v="Electric Generators, Independent Power Producers"/>
    <x v="2"/>
    <n v="346510"/>
  </r>
  <r>
    <x v="5"/>
    <x v="38"/>
    <s v="Electric Generators, Independent Power Producers"/>
    <x v="3"/>
    <n v="114"/>
  </r>
  <r>
    <x v="5"/>
    <x v="38"/>
    <s v="Electric Generators, Independent Power Producers"/>
    <x v="8"/>
    <n v="1380028"/>
  </r>
  <r>
    <x v="5"/>
    <x v="38"/>
    <s v="Electric Generators, Independent Power Producers"/>
    <x v="9"/>
    <n v="1339"/>
  </r>
  <r>
    <x v="5"/>
    <x v="38"/>
    <s v="Electric Generators, Independent Power Producers"/>
    <x v="4"/>
    <n v="32103"/>
  </r>
  <r>
    <x v="5"/>
    <x v="38"/>
    <s v="Electric Generators, Electric Utilities"/>
    <x v="0"/>
    <n v="168941707"/>
  </r>
  <r>
    <x v="5"/>
    <x v="38"/>
    <s v="Electric Generators, Electric Utilities"/>
    <x v="1"/>
    <n v="96799645"/>
  </r>
  <r>
    <x v="5"/>
    <x v="38"/>
    <s v="Electric Generators, Electric Utilities"/>
    <x v="2"/>
    <n v="1683697"/>
  </r>
  <r>
    <x v="5"/>
    <x v="38"/>
    <s v="Electric Generators, Electric Utilities"/>
    <x v="3"/>
    <n v="2164830"/>
  </r>
  <r>
    <x v="5"/>
    <x v="38"/>
    <s v="Electric Generators, Electric Utilities"/>
    <x v="7"/>
    <n v="66461535"/>
  </r>
  <r>
    <x v="5"/>
    <x v="38"/>
    <s v="Electric Generators, Electric Utilities"/>
    <x v="4"/>
    <n v="3072153"/>
  </r>
  <r>
    <x v="5"/>
    <x v="38"/>
    <s v="Electric Generators, Electric Utilities"/>
    <x v="10"/>
    <n v="-1240153"/>
  </r>
  <r>
    <x v="5"/>
    <x v="38"/>
    <s v="Combined Heat and Power, Industrial Power"/>
    <x v="0"/>
    <n v="4835009"/>
  </r>
  <r>
    <x v="5"/>
    <x v="38"/>
    <s v="Combined Heat and Power, Industrial Power"/>
    <x v="1"/>
    <n v="1996759"/>
  </r>
  <r>
    <x v="5"/>
    <x v="38"/>
    <s v="Combined Heat and Power, Industrial Power"/>
    <x v="3"/>
    <n v="1102690"/>
  </r>
  <r>
    <x v="5"/>
    <x v="38"/>
    <s v="Combined Heat and Power, Industrial Power"/>
    <x v="12"/>
    <n v="2111"/>
  </r>
  <r>
    <x v="5"/>
    <x v="38"/>
    <s v="Combined Heat and Power, Industrial Power"/>
    <x v="9"/>
    <n v="779736"/>
  </r>
  <r>
    <x v="5"/>
    <x v="38"/>
    <s v="Combined Heat and Power, Industrial Power"/>
    <x v="4"/>
    <n v="333186"/>
  </r>
  <r>
    <x v="5"/>
    <x v="38"/>
    <s v="Combined Heat and Power, Industrial Power"/>
    <x v="6"/>
    <n v="620527"/>
  </r>
  <r>
    <x v="5"/>
    <x v="38"/>
    <s v="Combined Heat and Power, Electric Power"/>
    <x v="0"/>
    <n v="7128726"/>
  </r>
  <r>
    <x v="5"/>
    <x v="38"/>
    <s v="Combined Heat and Power, Electric Power"/>
    <x v="1"/>
    <n v="5128246"/>
  </r>
  <r>
    <x v="5"/>
    <x v="38"/>
    <s v="Combined Heat and Power, Electric Power"/>
    <x v="3"/>
    <n v="1516691"/>
  </r>
  <r>
    <x v="5"/>
    <x v="38"/>
    <s v="Combined Heat and Power, Electric Power"/>
    <x v="12"/>
    <n v="43169"/>
  </r>
  <r>
    <x v="5"/>
    <x v="38"/>
    <s v="Combined Heat and Power, Electric Power"/>
    <x v="8"/>
    <n v="44844"/>
  </r>
  <r>
    <x v="5"/>
    <x v="38"/>
    <s v="Combined Heat and Power, Electric Power"/>
    <x v="9"/>
    <n v="590"/>
  </r>
  <r>
    <x v="5"/>
    <x v="38"/>
    <s v="Combined Heat and Power, Electric Power"/>
    <x v="4"/>
    <n v="200857"/>
  </r>
  <r>
    <x v="5"/>
    <x v="38"/>
    <s v="Combined Heat and Power, Electric Power"/>
    <x v="6"/>
    <n v="194329"/>
  </r>
  <r>
    <x v="5"/>
    <x v="38"/>
    <s v="Combined Heat and Power, Commercial Power"/>
    <x v="0"/>
    <n v="384695"/>
  </r>
  <r>
    <x v="5"/>
    <x v="38"/>
    <s v="Combined Heat and Power, Commercial Power"/>
    <x v="1"/>
    <n v="8917"/>
  </r>
  <r>
    <x v="5"/>
    <x v="38"/>
    <s v="Combined Heat and Power, Commercial Power"/>
    <x v="3"/>
    <n v="141858"/>
  </r>
  <r>
    <x v="5"/>
    <x v="38"/>
    <s v="Combined Heat and Power, Commercial Power"/>
    <x v="8"/>
    <n v="224620"/>
  </r>
  <r>
    <x v="5"/>
    <x v="38"/>
    <s v="Combined Heat and Power, Commercial Power"/>
    <x v="4"/>
    <n v="9300"/>
  </r>
  <r>
    <x v="5"/>
    <x v="39"/>
    <s v="Total Electric Power Industry"/>
    <x v="0"/>
    <n v="4488213"/>
  </r>
  <r>
    <x v="5"/>
    <x v="39"/>
    <s v="Total Electric Power Industry"/>
    <x v="1"/>
    <n v="0"/>
  </r>
  <r>
    <x v="5"/>
    <x v="39"/>
    <s v="Total Electric Power Industry"/>
    <x v="2"/>
    <n v="9169"/>
  </r>
  <r>
    <x v="5"/>
    <x v="39"/>
    <s v="Total Electric Power Industry"/>
    <x v="3"/>
    <n v="4322242"/>
  </r>
  <r>
    <x v="5"/>
    <x v="39"/>
    <s v="Total Electric Power Industry"/>
    <x v="8"/>
    <n v="79729"/>
  </r>
  <r>
    <x v="5"/>
    <x v="39"/>
    <s v="Total Electric Power Industry"/>
    <x v="4"/>
    <n v="77073"/>
  </r>
  <r>
    <x v="5"/>
    <x v="39"/>
    <s v="Electric Generators, Independent Power Producers"/>
    <x v="0"/>
    <n v="3309521"/>
  </r>
  <r>
    <x v="5"/>
    <x v="39"/>
    <s v="Electric Generators, Independent Power Producers"/>
    <x v="2"/>
    <n v="9169"/>
  </r>
  <r>
    <x v="5"/>
    <x v="39"/>
    <s v="Electric Generators, Independent Power Producers"/>
    <x v="3"/>
    <n v="3217879"/>
  </r>
  <r>
    <x v="5"/>
    <x v="39"/>
    <s v="Electric Generators, Independent Power Producers"/>
    <x v="8"/>
    <n v="79729"/>
  </r>
  <r>
    <x v="5"/>
    <x v="39"/>
    <s v="Electric Generators, Independent Power Producers"/>
    <x v="4"/>
    <n v="2744"/>
  </r>
  <r>
    <x v="5"/>
    <x v="39"/>
    <s v="Electric Generators, Electric Utilities"/>
    <x v="0"/>
    <n v="653076"/>
  </r>
  <r>
    <x v="5"/>
    <x v="39"/>
    <s v="Electric Generators, Electric Utilities"/>
    <x v="1"/>
    <n v="0"/>
  </r>
  <r>
    <x v="5"/>
    <x v="39"/>
    <s v="Electric Generators, Electric Utilities"/>
    <x v="2"/>
    <n v="0"/>
  </r>
  <r>
    <x v="5"/>
    <x v="39"/>
    <s v="Electric Generators, Electric Utilities"/>
    <x v="3"/>
    <n v="602742"/>
  </r>
  <r>
    <x v="5"/>
    <x v="39"/>
    <s v="Electric Generators, Electric Utilities"/>
    <x v="4"/>
    <n v="50334"/>
  </r>
  <r>
    <x v="5"/>
    <x v="39"/>
    <s v="Combined Heat and Power, Industrial Power"/>
    <x v="0"/>
    <n v="21493"/>
  </r>
  <r>
    <x v="5"/>
    <x v="39"/>
    <s v="Combined Heat and Power, Industrial Power"/>
    <x v="3"/>
    <n v="18397"/>
  </r>
  <r>
    <x v="5"/>
    <x v="39"/>
    <s v="Combined Heat and Power, Industrial Power"/>
    <x v="4"/>
    <n v="3096"/>
  </r>
  <r>
    <x v="5"/>
    <x v="39"/>
    <s v="Combined Heat and Power, Electric Power"/>
    <x v="0"/>
    <n v="447324"/>
  </r>
  <r>
    <x v="5"/>
    <x v="39"/>
    <s v="Combined Heat and Power, Electric Power"/>
    <x v="3"/>
    <n v="447324"/>
  </r>
  <r>
    <x v="5"/>
    <x v="39"/>
    <s v="Combined Heat and Power, Commercial Power"/>
    <x v="0"/>
    <n v="56799"/>
  </r>
  <r>
    <x v="5"/>
    <x v="39"/>
    <s v="Combined Heat and Power, Commercial Power"/>
    <x v="3"/>
    <n v="35900"/>
  </r>
  <r>
    <x v="5"/>
    <x v="39"/>
    <s v="Combined Heat and Power, Commercial Power"/>
    <x v="4"/>
    <n v="20899"/>
  </r>
  <r>
    <x v="5"/>
    <x v="40"/>
    <s v="Total Electric Power Industry"/>
    <x v="0"/>
    <n v="80913648"/>
  </r>
  <r>
    <x v="5"/>
    <x v="40"/>
    <s v="Total Electric Power Industry"/>
    <x v="1"/>
    <n v="26337190"/>
  </r>
  <r>
    <x v="5"/>
    <x v="40"/>
    <s v="Total Electric Power Industry"/>
    <x v="2"/>
    <n v="3457143"/>
  </r>
  <r>
    <x v="5"/>
    <x v="40"/>
    <s v="Total Electric Power Industry"/>
    <x v="3"/>
    <n v="689882"/>
  </r>
  <r>
    <x v="5"/>
    <x v="40"/>
    <s v="Total Electric Power Industry"/>
    <x v="7"/>
    <n v="49173476"/>
  </r>
  <r>
    <x v="5"/>
    <x v="40"/>
    <s v="Total Electric Power Industry"/>
    <x v="8"/>
    <n v="67368"/>
  </r>
  <r>
    <x v="5"/>
    <x v="40"/>
    <s v="Total Electric Power Industry"/>
    <x v="9"/>
    <n v="9254"/>
  </r>
  <r>
    <x v="5"/>
    <x v="40"/>
    <s v="Total Electric Power Industry"/>
    <x v="4"/>
    <n v="257440"/>
  </r>
  <r>
    <x v="5"/>
    <x v="40"/>
    <s v="Total Electric Power Industry"/>
    <x v="10"/>
    <n v="-657895"/>
  </r>
  <r>
    <x v="5"/>
    <x v="40"/>
    <s v="Total Electric Power Industry"/>
    <x v="6"/>
    <n v="1579790"/>
  </r>
  <r>
    <x v="5"/>
    <x v="40"/>
    <s v="Electric Generators, Independent Power Producers"/>
    <x v="0"/>
    <n v="61461"/>
  </r>
  <r>
    <x v="5"/>
    <x v="40"/>
    <s v="Electric Generators, Independent Power Producers"/>
    <x v="2"/>
    <n v="61461"/>
  </r>
  <r>
    <x v="5"/>
    <x v="40"/>
    <s v="Electric Generators, Electric Utilities"/>
    <x v="0"/>
    <n v="78439814"/>
  </r>
  <r>
    <x v="5"/>
    <x v="40"/>
    <s v="Electric Generators, Electric Utilities"/>
    <x v="1"/>
    <n v="25801600"/>
  </r>
  <r>
    <x v="5"/>
    <x v="40"/>
    <s v="Electric Generators, Electric Utilities"/>
    <x v="2"/>
    <n v="3392394"/>
  </r>
  <r>
    <x v="5"/>
    <x v="40"/>
    <s v="Electric Generators, Electric Utilities"/>
    <x v="3"/>
    <n v="600385"/>
  </r>
  <r>
    <x v="5"/>
    <x v="40"/>
    <s v="Electric Generators, Electric Utilities"/>
    <x v="7"/>
    <n v="49173476"/>
  </r>
  <r>
    <x v="5"/>
    <x v="40"/>
    <s v="Electric Generators, Electric Utilities"/>
    <x v="4"/>
    <n v="129854"/>
  </r>
  <r>
    <x v="5"/>
    <x v="40"/>
    <s v="Electric Generators, Electric Utilities"/>
    <x v="10"/>
    <n v="-657895"/>
  </r>
  <r>
    <x v="5"/>
    <x v="40"/>
    <s v="Combined Heat and Power, Industrial Power"/>
    <x v="0"/>
    <n v="2335017"/>
  </r>
  <r>
    <x v="5"/>
    <x v="40"/>
    <s v="Combined Heat and Power, Industrial Power"/>
    <x v="1"/>
    <n v="535590"/>
  </r>
  <r>
    <x v="5"/>
    <x v="40"/>
    <s v="Combined Heat and Power, Industrial Power"/>
    <x v="3"/>
    <n v="80553"/>
  </r>
  <r>
    <x v="5"/>
    <x v="40"/>
    <s v="Combined Heat and Power, Industrial Power"/>
    <x v="8"/>
    <n v="4678"/>
  </r>
  <r>
    <x v="5"/>
    <x v="40"/>
    <s v="Combined Heat and Power, Industrial Power"/>
    <x v="9"/>
    <n v="9254"/>
  </r>
  <r>
    <x v="5"/>
    <x v="40"/>
    <s v="Combined Heat and Power, Industrial Power"/>
    <x v="4"/>
    <n v="125152"/>
  </r>
  <r>
    <x v="5"/>
    <x v="40"/>
    <s v="Combined Heat and Power, Industrial Power"/>
    <x v="6"/>
    <n v="1579790"/>
  </r>
  <r>
    <x v="5"/>
    <x v="40"/>
    <s v="Combined Heat and Power, Commercial Power"/>
    <x v="0"/>
    <n v="77356"/>
  </r>
  <r>
    <x v="5"/>
    <x v="40"/>
    <s v="Combined Heat and Power, Commercial Power"/>
    <x v="2"/>
    <n v="3288"/>
  </r>
  <r>
    <x v="5"/>
    <x v="40"/>
    <s v="Combined Heat and Power, Commercial Power"/>
    <x v="3"/>
    <n v="8944"/>
  </r>
  <r>
    <x v="5"/>
    <x v="40"/>
    <s v="Combined Heat and Power, Commercial Power"/>
    <x v="8"/>
    <n v="62690"/>
  </r>
  <r>
    <x v="5"/>
    <x v="40"/>
    <s v="Combined Heat and Power, Commercial Power"/>
    <x v="4"/>
    <n v="2434"/>
  </r>
  <r>
    <x v="5"/>
    <x v="41"/>
    <s v="Total Electric Power Industry"/>
    <x v="0"/>
    <n v="8811793"/>
  </r>
  <r>
    <x v="5"/>
    <x v="41"/>
    <s v="Total Electric Power Industry"/>
    <x v="1"/>
    <n v="2721295"/>
  </r>
  <r>
    <x v="5"/>
    <x v="41"/>
    <s v="Total Electric Power Industry"/>
    <x v="2"/>
    <n v="6009871"/>
  </r>
  <r>
    <x v="5"/>
    <x v="41"/>
    <s v="Total Electric Power Industry"/>
    <x v="3"/>
    <n v="63139"/>
  </r>
  <r>
    <x v="5"/>
    <x v="41"/>
    <s v="Total Electric Power Industry"/>
    <x v="4"/>
    <n v="17488"/>
  </r>
  <r>
    <x v="5"/>
    <x v="41"/>
    <s v="Electric Generators, Electric Utilities"/>
    <x v="0"/>
    <n v="8811793"/>
  </r>
  <r>
    <x v="5"/>
    <x v="41"/>
    <s v="Electric Generators, Electric Utilities"/>
    <x v="1"/>
    <n v="2721295"/>
  </r>
  <r>
    <x v="5"/>
    <x v="41"/>
    <s v="Electric Generators, Electric Utilities"/>
    <x v="2"/>
    <n v="6009871"/>
  </r>
  <r>
    <x v="5"/>
    <x v="41"/>
    <s v="Electric Generators, Electric Utilities"/>
    <x v="3"/>
    <n v="63139"/>
  </r>
  <r>
    <x v="5"/>
    <x v="41"/>
    <s v="Electric Generators, Electric Utilities"/>
    <x v="4"/>
    <n v="17488"/>
  </r>
  <r>
    <x v="5"/>
    <x v="42"/>
    <s v="Total Electric Power Industry"/>
    <x v="0"/>
    <n v="85730835"/>
  </r>
  <r>
    <x v="5"/>
    <x v="42"/>
    <s v="Total Electric Power Industry"/>
    <x v="1"/>
    <n v="59475004"/>
  </r>
  <r>
    <x v="5"/>
    <x v="42"/>
    <s v="Total Electric Power Industry"/>
    <x v="2"/>
    <n v="9628551"/>
  </r>
  <r>
    <x v="5"/>
    <x v="42"/>
    <s v="Total Electric Power Industry"/>
    <x v="3"/>
    <n v="475095"/>
  </r>
  <r>
    <x v="5"/>
    <x v="42"/>
    <s v="Total Electric Power Industry"/>
    <x v="7"/>
    <n v="15708421"/>
  </r>
  <r>
    <x v="5"/>
    <x v="42"/>
    <s v="Total Electric Power Industry"/>
    <x v="12"/>
    <n v="158063"/>
  </r>
  <r>
    <x v="5"/>
    <x v="42"/>
    <s v="Total Electric Power Industry"/>
    <x v="8"/>
    <n v="58704"/>
  </r>
  <r>
    <x v="5"/>
    <x v="42"/>
    <s v="Total Electric Power Industry"/>
    <x v="9"/>
    <n v="11062"/>
  </r>
  <r>
    <x v="5"/>
    <x v="42"/>
    <s v="Total Electric Power Industry"/>
    <x v="4"/>
    <n v="257385"/>
  </r>
  <r>
    <x v="5"/>
    <x v="42"/>
    <s v="Total Electric Power Industry"/>
    <x v="10"/>
    <n v="-615489"/>
  </r>
  <r>
    <x v="5"/>
    <x v="42"/>
    <s v="Total Electric Power Industry"/>
    <x v="6"/>
    <n v="574039"/>
  </r>
  <r>
    <x v="5"/>
    <x v="42"/>
    <s v="Electric Generators, Independent Power Producers"/>
    <x v="0"/>
    <n v="19802"/>
  </r>
  <r>
    <x v="5"/>
    <x v="42"/>
    <s v="Electric Generators, Independent Power Producers"/>
    <x v="8"/>
    <n v="19802"/>
  </r>
  <r>
    <x v="5"/>
    <x v="42"/>
    <s v="Electric Generators, Electric Utilities"/>
    <x v="0"/>
    <n v="82277534"/>
  </r>
  <r>
    <x v="5"/>
    <x v="42"/>
    <s v="Electric Generators, Electric Utilities"/>
    <x v="1"/>
    <n v="57971909"/>
  </r>
  <r>
    <x v="5"/>
    <x v="42"/>
    <s v="Electric Generators, Electric Utilities"/>
    <x v="2"/>
    <n v="8801848"/>
  </r>
  <r>
    <x v="5"/>
    <x v="42"/>
    <s v="Electric Generators, Electric Utilities"/>
    <x v="3"/>
    <n v="158234"/>
  </r>
  <r>
    <x v="5"/>
    <x v="42"/>
    <s v="Electric Generators, Electric Utilities"/>
    <x v="7"/>
    <n v="15708421"/>
  </r>
  <r>
    <x v="5"/>
    <x v="42"/>
    <s v="Electric Generators, Electric Utilities"/>
    <x v="4"/>
    <n v="252611"/>
  </r>
  <r>
    <x v="5"/>
    <x v="42"/>
    <s v="Electric Generators, Electric Utilities"/>
    <x v="10"/>
    <n v="-615489"/>
  </r>
  <r>
    <x v="5"/>
    <x v="42"/>
    <s v="Combined Heat and Power, Industrial Power"/>
    <x v="0"/>
    <n v="3355256"/>
  </r>
  <r>
    <x v="5"/>
    <x v="42"/>
    <s v="Combined Heat and Power, Industrial Power"/>
    <x v="1"/>
    <n v="1477347"/>
  </r>
  <r>
    <x v="5"/>
    <x v="42"/>
    <s v="Combined Heat and Power, Industrial Power"/>
    <x v="2"/>
    <n v="826703"/>
  </r>
  <r>
    <x v="5"/>
    <x v="42"/>
    <s v="Combined Heat and Power, Industrial Power"/>
    <x v="3"/>
    <n v="300396"/>
  </r>
  <r>
    <x v="5"/>
    <x v="42"/>
    <s v="Combined Heat and Power, Industrial Power"/>
    <x v="12"/>
    <n v="158063"/>
  </r>
  <r>
    <x v="5"/>
    <x v="42"/>
    <s v="Combined Heat and Power, Industrial Power"/>
    <x v="8"/>
    <n v="2872"/>
  </r>
  <r>
    <x v="5"/>
    <x v="42"/>
    <s v="Combined Heat and Power, Industrial Power"/>
    <x v="9"/>
    <n v="11062"/>
  </r>
  <r>
    <x v="5"/>
    <x v="42"/>
    <s v="Combined Heat and Power, Industrial Power"/>
    <x v="4"/>
    <n v="4774"/>
  </r>
  <r>
    <x v="5"/>
    <x v="42"/>
    <s v="Combined Heat and Power, Industrial Power"/>
    <x v="6"/>
    <n v="574039"/>
  </r>
  <r>
    <x v="5"/>
    <x v="42"/>
    <s v="Combined Heat and Power, Commercial Power"/>
    <x v="0"/>
    <n v="78243"/>
  </r>
  <r>
    <x v="5"/>
    <x v="42"/>
    <s v="Combined Heat and Power, Commercial Power"/>
    <x v="1"/>
    <n v="25748"/>
  </r>
  <r>
    <x v="5"/>
    <x v="42"/>
    <s v="Combined Heat and Power, Commercial Power"/>
    <x v="3"/>
    <n v="16465"/>
  </r>
  <r>
    <x v="5"/>
    <x v="42"/>
    <s v="Combined Heat and Power, Commercial Power"/>
    <x v="8"/>
    <n v="36030"/>
  </r>
  <r>
    <x v="5"/>
    <x v="43"/>
    <s v="Total Electric Power Industry"/>
    <x v="0"/>
    <n v="317636246"/>
  </r>
  <r>
    <x v="5"/>
    <x v="43"/>
    <s v="Total Electric Power Industry"/>
    <x v="1"/>
    <n v="124716948"/>
  </r>
  <r>
    <x v="5"/>
    <x v="43"/>
    <s v="Total Electric Power Industry"/>
    <x v="2"/>
    <n v="1703348"/>
  </r>
  <r>
    <x v="5"/>
    <x v="43"/>
    <s v="Total Electric Power Industry"/>
    <x v="3"/>
    <n v="146978708"/>
  </r>
  <r>
    <x v="5"/>
    <x v="43"/>
    <s v="Total Electric Power Industry"/>
    <x v="7"/>
    <n v="36151325"/>
  </r>
  <r>
    <x v="5"/>
    <x v="43"/>
    <s v="Total Electric Power Industry"/>
    <x v="12"/>
    <n v="789563"/>
  </r>
  <r>
    <x v="5"/>
    <x v="43"/>
    <s v="Total Electric Power Industry"/>
    <x v="8"/>
    <n v="74760"/>
  </r>
  <r>
    <x v="5"/>
    <x v="43"/>
    <s v="Total Electric Power Industry"/>
    <x v="9"/>
    <n v="4276154"/>
  </r>
  <r>
    <x v="5"/>
    <x v="43"/>
    <s v="Total Electric Power Industry"/>
    <x v="4"/>
    <n v="1607795"/>
  </r>
  <r>
    <x v="5"/>
    <x v="43"/>
    <s v="Total Electric Power Industry"/>
    <x v="13"/>
    <n v="253"/>
  </r>
  <r>
    <x v="5"/>
    <x v="43"/>
    <s v="Total Electric Power Industry"/>
    <x v="6"/>
    <n v="1337392"/>
  </r>
  <r>
    <x v="5"/>
    <x v="43"/>
    <s v="Electric Generators, Independent Power Producers"/>
    <x v="0"/>
    <n v="23561"/>
  </r>
  <r>
    <x v="5"/>
    <x v="43"/>
    <s v="Electric Generators, Independent Power Producers"/>
    <x v="8"/>
    <n v="23561"/>
  </r>
  <r>
    <x v="5"/>
    <x v="43"/>
    <s v="Electric Generators, Electric Utilities"/>
    <x v="0"/>
    <n v="261708943"/>
  </r>
  <r>
    <x v="5"/>
    <x v="43"/>
    <s v="Electric Generators, Electric Utilities"/>
    <x v="1"/>
    <n v="122149283"/>
  </r>
  <r>
    <x v="5"/>
    <x v="43"/>
    <s v="Electric Generators, Electric Utilities"/>
    <x v="2"/>
    <n v="1703348"/>
  </r>
  <r>
    <x v="5"/>
    <x v="43"/>
    <s v="Electric Generators, Electric Utilities"/>
    <x v="3"/>
    <n v="101501467"/>
  </r>
  <r>
    <x v="5"/>
    <x v="43"/>
    <s v="Electric Generators, Electric Utilities"/>
    <x v="7"/>
    <n v="36151325"/>
  </r>
  <r>
    <x v="5"/>
    <x v="43"/>
    <s v="Electric Generators, Electric Utilities"/>
    <x v="4"/>
    <n v="203267"/>
  </r>
  <r>
    <x v="5"/>
    <x v="43"/>
    <s v="Electric Generators, Electric Utilities"/>
    <x v="13"/>
    <n v="253"/>
  </r>
  <r>
    <x v="5"/>
    <x v="43"/>
    <s v="Combined Heat and Power, Industrial Power"/>
    <x v="0"/>
    <n v="37243737"/>
  </r>
  <r>
    <x v="5"/>
    <x v="43"/>
    <s v="Combined Heat and Power, Industrial Power"/>
    <x v="1"/>
    <n v="2567665"/>
  </r>
  <r>
    <x v="5"/>
    <x v="43"/>
    <s v="Combined Heat and Power, Industrial Power"/>
    <x v="3"/>
    <n v="28718873"/>
  </r>
  <r>
    <x v="5"/>
    <x v="43"/>
    <s v="Combined Heat and Power, Industrial Power"/>
    <x v="12"/>
    <n v="646404"/>
  </r>
  <r>
    <x v="5"/>
    <x v="43"/>
    <s v="Combined Heat and Power, Industrial Power"/>
    <x v="8"/>
    <n v="47748"/>
  </r>
  <r>
    <x v="5"/>
    <x v="43"/>
    <s v="Combined Heat and Power, Industrial Power"/>
    <x v="9"/>
    <n v="3812856"/>
  </r>
  <r>
    <x v="5"/>
    <x v="43"/>
    <s v="Combined Heat and Power, Industrial Power"/>
    <x v="4"/>
    <n v="112799"/>
  </r>
  <r>
    <x v="5"/>
    <x v="43"/>
    <s v="Combined Heat and Power, Industrial Power"/>
    <x v="6"/>
    <n v="1337392"/>
  </r>
  <r>
    <x v="5"/>
    <x v="43"/>
    <s v="Combined Heat and Power, Electric Power"/>
    <x v="0"/>
    <n v="18178373"/>
  </r>
  <r>
    <x v="5"/>
    <x v="43"/>
    <s v="Combined Heat and Power, Electric Power"/>
    <x v="3"/>
    <n v="16285041"/>
  </r>
  <r>
    <x v="5"/>
    <x v="43"/>
    <s v="Combined Heat and Power, Electric Power"/>
    <x v="12"/>
    <n v="143159"/>
  </r>
  <r>
    <x v="5"/>
    <x v="43"/>
    <s v="Combined Heat and Power, Electric Power"/>
    <x v="9"/>
    <n v="463298"/>
  </r>
  <r>
    <x v="5"/>
    <x v="43"/>
    <s v="Combined Heat and Power, Electric Power"/>
    <x v="4"/>
    <n v="1286875"/>
  </r>
  <r>
    <x v="5"/>
    <x v="43"/>
    <s v="Combined Heat and Power, Commercial Power"/>
    <x v="0"/>
    <n v="481632"/>
  </r>
  <r>
    <x v="5"/>
    <x v="43"/>
    <s v="Combined Heat and Power, Commercial Power"/>
    <x v="3"/>
    <n v="473327"/>
  </r>
  <r>
    <x v="5"/>
    <x v="43"/>
    <s v="Combined Heat and Power, Commercial Power"/>
    <x v="8"/>
    <n v="3451"/>
  </r>
  <r>
    <x v="5"/>
    <x v="43"/>
    <s v="Combined Heat and Power, Commercial Power"/>
    <x v="4"/>
    <n v="4854"/>
  </r>
  <r>
    <x v="5"/>
    <x v="44"/>
    <s v="Total Electric Power Industry"/>
    <x v="0"/>
    <n v="3353487362"/>
  </r>
  <r>
    <x v="5"/>
    <x v="44"/>
    <s v="Total Electric Power Industry"/>
    <x v="1"/>
    <n v="1709426468"/>
  </r>
  <r>
    <x v="5"/>
    <x v="44"/>
    <s v="Total Electric Power Industry"/>
    <x v="11"/>
    <n v="13378258"/>
  </r>
  <r>
    <x v="5"/>
    <x v="44"/>
    <s v="Total Electric Power Industry"/>
    <x v="2"/>
    <n v="310832748"/>
  </r>
  <r>
    <x v="5"/>
    <x v="44"/>
    <s v="Total Electric Power Industry"/>
    <x v="3"/>
    <n v="496057945"/>
  </r>
  <r>
    <x v="5"/>
    <x v="44"/>
    <s v="Total Electric Power Industry"/>
    <x v="7"/>
    <n v="673402123"/>
  </r>
  <r>
    <x v="5"/>
    <x v="44"/>
    <s v="Total Electric Power Industry"/>
    <x v="12"/>
    <n v="4103808"/>
  </r>
  <r>
    <x v="5"/>
    <x v="44"/>
    <s v="Total Electric Power Industry"/>
    <x v="8"/>
    <n v="20404971"/>
  </r>
  <r>
    <x v="5"/>
    <x v="44"/>
    <s v="Total Electric Power Industry"/>
    <x v="9"/>
    <n v="13869951"/>
  </r>
  <r>
    <x v="5"/>
    <x v="44"/>
    <s v="Total Electric Power Industry"/>
    <x v="4"/>
    <n v="74554065"/>
  </r>
  <r>
    <x v="5"/>
    <x v="44"/>
    <s v="Total Electric Power Industry"/>
    <x v="10"/>
    <n v="-2725131"/>
  </r>
  <r>
    <x v="5"/>
    <x v="44"/>
    <s v="Total Electric Power Industry"/>
    <x v="13"/>
    <n v="496821"/>
  </r>
  <r>
    <x v="5"/>
    <x v="44"/>
    <s v="Total Electric Power Industry"/>
    <x v="5"/>
    <n v="3164253"/>
  </r>
  <r>
    <x v="5"/>
    <x v="44"/>
    <s v="Total Electric Power Industry"/>
    <x v="6"/>
    <n v="36521082"/>
  </r>
  <r>
    <x v="5"/>
    <x v="44"/>
    <s v="Electric Generators, Independent Power Producers"/>
    <x v="0"/>
    <n v="58222074"/>
  </r>
  <r>
    <x v="5"/>
    <x v="44"/>
    <s v="Electric Generators, Independent Power Producers"/>
    <x v="1"/>
    <n v="5044264"/>
  </r>
  <r>
    <x v="5"/>
    <x v="44"/>
    <s v="Electric Generators, Independent Power Producers"/>
    <x v="11"/>
    <n v="8633454"/>
  </r>
  <r>
    <x v="5"/>
    <x v="44"/>
    <s v="Electric Generators, Independent Power Producers"/>
    <x v="2"/>
    <n v="9032595"/>
  </r>
  <r>
    <x v="5"/>
    <x v="44"/>
    <s v="Electric Generators, Independent Power Producers"/>
    <x v="3"/>
    <n v="10136020"/>
  </r>
  <r>
    <x v="5"/>
    <x v="44"/>
    <s v="Electric Generators, Independent Power Producers"/>
    <x v="8"/>
    <n v="15310141"/>
  </r>
  <r>
    <x v="5"/>
    <x v="44"/>
    <s v="Electric Generators, Independent Power Producers"/>
    <x v="9"/>
    <n v="5619"/>
  </r>
  <r>
    <x v="5"/>
    <x v="44"/>
    <s v="Electric Generators, Independent Power Producers"/>
    <x v="4"/>
    <n v="1162379"/>
  </r>
  <r>
    <x v="5"/>
    <x v="44"/>
    <s v="Electric Generators, Independent Power Producers"/>
    <x v="13"/>
    <n v="492912"/>
  </r>
  <r>
    <x v="5"/>
    <x v="44"/>
    <s v="Electric Generators, Independent Power Producers"/>
    <x v="5"/>
    <n v="3153156"/>
  </r>
  <r>
    <x v="5"/>
    <x v="44"/>
    <s v="Electric Generators, Independent Power Producers"/>
    <x v="6"/>
    <n v="5251534"/>
  </r>
  <r>
    <x v="5"/>
    <x v="44"/>
    <s v="Electric Generators, Electric Utilities"/>
    <x v="0"/>
    <n v="2994528592"/>
  </r>
  <r>
    <x v="5"/>
    <x v="44"/>
    <s v="Electric Generators, Electric Utilities"/>
    <x v="1"/>
    <n v="1652914466"/>
  </r>
  <r>
    <x v="5"/>
    <x v="44"/>
    <s v="Electric Generators, Electric Utilities"/>
    <x v="11"/>
    <n v="4744804"/>
  </r>
  <r>
    <x v="5"/>
    <x v="44"/>
    <s v="Electric Generators, Electric Utilities"/>
    <x v="2"/>
    <n v="296377840"/>
  </r>
  <r>
    <x v="5"/>
    <x v="44"/>
    <s v="Electric Generators, Electric Utilities"/>
    <x v="3"/>
    <n v="307306050"/>
  </r>
  <r>
    <x v="5"/>
    <x v="44"/>
    <s v="Electric Generators, Electric Utilities"/>
    <x v="7"/>
    <n v="673402123"/>
  </r>
  <r>
    <x v="5"/>
    <x v="44"/>
    <s v="Electric Generators, Electric Utilities"/>
    <x v="8"/>
    <n v="1015984"/>
  </r>
  <r>
    <x v="5"/>
    <x v="44"/>
    <s v="Electric Generators, Electric Utilities"/>
    <x v="4"/>
    <n v="60844256"/>
  </r>
  <r>
    <x v="5"/>
    <x v="44"/>
    <s v="Electric Generators, Electric Utilities"/>
    <x v="10"/>
    <n v="-2725131"/>
  </r>
  <r>
    <x v="5"/>
    <x v="44"/>
    <s v="Electric Generators, Electric Utilities"/>
    <x v="13"/>
    <n v="3909"/>
  </r>
  <r>
    <x v="5"/>
    <x v="44"/>
    <s v="Electric Generators, Electric Utilities"/>
    <x v="5"/>
    <n v="11097"/>
  </r>
  <r>
    <x v="5"/>
    <x v="44"/>
    <s v="Electric Generators, Electric Utilities"/>
    <x v="6"/>
    <n v="633194"/>
  </r>
  <r>
    <x v="5"/>
    <x v="44"/>
    <s v="Combined Heat and Power, Industrial Power"/>
    <x v="0"/>
    <n v="151024979"/>
  </r>
  <r>
    <x v="5"/>
    <x v="44"/>
    <s v="Combined Heat and Power, Industrial Power"/>
    <x v="1"/>
    <n v="22372407"/>
  </r>
  <r>
    <x v="5"/>
    <x v="44"/>
    <s v="Combined Heat and Power, Industrial Power"/>
    <x v="2"/>
    <n v="5304009"/>
  </r>
  <r>
    <x v="5"/>
    <x v="44"/>
    <s v="Combined Heat and Power, Industrial Power"/>
    <x v="3"/>
    <n v="71717179"/>
  </r>
  <r>
    <x v="5"/>
    <x v="44"/>
    <s v="Combined Heat and Power, Industrial Power"/>
    <x v="12"/>
    <n v="3890364"/>
  </r>
  <r>
    <x v="5"/>
    <x v="44"/>
    <s v="Combined Heat and Power, Industrial Power"/>
    <x v="8"/>
    <n v="899796"/>
  </r>
  <r>
    <x v="5"/>
    <x v="44"/>
    <s v="Combined Heat and Power, Industrial Power"/>
    <x v="9"/>
    <n v="11943119"/>
  </r>
  <r>
    <x v="5"/>
    <x v="44"/>
    <s v="Combined Heat and Power, Industrial Power"/>
    <x v="4"/>
    <n v="6029641"/>
  </r>
  <r>
    <x v="5"/>
    <x v="44"/>
    <s v="Combined Heat and Power, Industrial Power"/>
    <x v="6"/>
    <n v="28868464"/>
  </r>
  <r>
    <x v="5"/>
    <x v="44"/>
    <s v="Combined Heat and Power, Electric Power"/>
    <x v="0"/>
    <n v="141479513"/>
  </r>
  <r>
    <x v="5"/>
    <x v="44"/>
    <s v="Combined Heat and Power, Electric Power"/>
    <x v="1"/>
    <n v="28097589"/>
  </r>
  <r>
    <x v="5"/>
    <x v="44"/>
    <s v="Combined Heat and Power, Electric Power"/>
    <x v="3"/>
    <n v="101736522"/>
  </r>
  <r>
    <x v="5"/>
    <x v="44"/>
    <s v="Combined Heat and Power, Electric Power"/>
    <x v="12"/>
    <n v="213275"/>
  </r>
  <r>
    <x v="5"/>
    <x v="44"/>
    <s v="Combined Heat and Power, Electric Power"/>
    <x v="8"/>
    <n v="1659652"/>
  </r>
  <r>
    <x v="5"/>
    <x v="44"/>
    <s v="Combined Heat and Power, Electric Power"/>
    <x v="9"/>
    <n v="1921213"/>
  </r>
  <r>
    <x v="5"/>
    <x v="44"/>
    <s v="Combined Heat and Power, Electric Power"/>
    <x v="4"/>
    <n v="6139216"/>
  </r>
  <r>
    <x v="5"/>
    <x v="44"/>
    <s v="Combined Heat and Power, Electric Power"/>
    <x v="6"/>
    <n v="1712046"/>
  </r>
  <r>
    <x v="5"/>
    <x v="44"/>
    <s v="Combined Heat and Power, Commercial Power"/>
    <x v="0"/>
    <n v="8232204"/>
  </r>
  <r>
    <x v="5"/>
    <x v="44"/>
    <s v="Combined Heat and Power, Commercial Power"/>
    <x v="1"/>
    <n v="997742"/>
  </r>
  <r>
    <x v="5"/>
    <x v="44"/>
    <s v="Combined Heat and Power, Commercial Power"/>
    <x v="2"/>
    <n v="118304"/>
  </r>
  <r>
    <x v="5"/>
    <x v="44"/>
    <s v="Combined Heat and Power, Commercial Power"/>
    <x v="3"/>
    <n v="5162174"/>
  </r>
  <r>
    <x v="5"/>
    <x v="44"/>
    <s v="Combined Heat and Power, Commercial Power"/>
    <x v="12"/>
    <n v="169"/>
  </r>
  <r>
    <x v="5"/>
    <x v="44"/>
    <s v="Combined Heat and Power, Commercial Power"/>
    <x v="8"/>
    <n v="1519398"/>
  </r>
  <r>
    <x v="5"/>
    <x v="44"/>
    <s v="Combined Heat and Power, Commercial Power"/>
    <x v="4"/>
    <n v="378573"/>
  </r>
  <r>
    <x v="5"/>
    <x v="44"/>
    <s v="Combined Heat and Power, Commercial Power"/>
    <x v="6"/>
    <n v="55844"/>
  </r>
  <r>
    <x v="5"/>
    <x v="45"/>
    <s v="Total Electric Power Industry"/>
    <x v="0"/>
    <n v="32807388"/>
  </r>
  <r>
    <x v="5"/>
    <x v="45"/>
    <s v="Total Electric Power Industry"/>
    <x v="1"/>
    <n v="30611063"/>
  </r>
  <r>
    <x v="5"/>
    <x v="45"/>
    <s v="Total Electric Power Industry"/>
    <x v="11"/>
    <n v="139742"/>
  </r>
  <r>
    <x v="5"/>
    <x v="45"/>
    <s v="Total Electric Power Industry"/>
    <x v="2"/>
    <n v="968743"/>
  </r>
  <r>
    <x v="5"/>
    <x v="45"/>
    <s v="Total Electric Power Industry"/>
    <x v="3"/>
    <n v="791212"/>
  </r>
  <r>
    <x v="5"/>
    <x v="45"/>
    <s v="Total Electric Power Industry"/>
    <x v="9"/>
    <n v="260694"/>
  </r>
  <r>
    <x v="5"/>
    <x v="45"/>
    <s v="Total Electric Power Industry"/>
    <x v="4"/>
    <n v="35934"/>
  </r>
  <r>
    <x v="5"/>
    <x v="45"/>
    <s v="Total Electric Power Industry"/>
    <x v="10"/>
    <n v="0"/>
  </r>
  <r>
    <x v="5"/>
    <x v="45"/>
    <s v="Electric Generators, Independent Power Producers"/>
    <x v="0"/>
    <n v="376502"/>
  </r>
  <r>
    <x v="5"/>
    <x v="45"/>
    <s v="Electric Generators, Independent Power Producers"/>
    <x v="1"/>
    <n v="332194"/>
  </r>
  <r>
    <x v="5"/>
    <x v="45"/>
    <s v="Electric Generators, Independent Power Producers"/>
    <x v="2"/>
    <n v="42407"/>
  </r>
  <r>
    <x v="5"/>
    <x v="45"/>
    <s v="Electric Generators, Independent Power Producers"/>
    <x v="4"/>
    <n v="1901"/>
  </r>
  <r>
    <x v="5"/>
    <x v="45"/>
    <s v="Electric Generators, Electric Utilities"/>
    <x v="0"/>
    <n v="32101107"/>
  </r>
  <r>
    <x v="5"/>
    <x v="45"/>
    <s v="Electric Generators, Electric Utilities"/>
    <x v="1"/>
    <n v="30259914"/>
  </r>
  <r>
    <x v="5"/>
    <x v="45"/>
    <s v="Electric Generators, Electric Utilities"/>
    <x v="11"/>
    <n v="139742"/>
  </r>
  <r>
    <x v="5"/>
    <x v="45"/>
    <s v="Electric Generators, Electric Utilities"/>
    <x v="2"/>
    <n v="926336"/>
  </r>
  <r>
    <x v="5"/>
    <x v="45"/>
    <s v="Electric Generators, Electric Utilities"/>
    <x v="3"/>
    <n v="741115"/>
  </r>
  <r>
    <x v="5"/>
    <x v="45"/>
    <s v="Electric Generators, Electric Utilities"/>
    <x v="4"/>
    <n v="34000"/>
  </r>
  <r>
    <x v="5"/>
    <x v="45"/>
    <s v="Electric Generators, Electric Utilities"/>
    <x v="10"/>
    <n v="0"/>
  </r>
  <r>
    <x v="5"/>
    <x v="45"/>
    <s v="Combined Heat and Power, Industrial Power"/>
    <x v="0"/>
    <n v="301596"/>
  </r>
  <r>
    <x v="5"/>
    <x v="45"/>
    <s v="Combined Heat and Power, Industrial Power"/>
    <x v="1"/>
    <n v="18955"/>
  </r>
  <r>
    <x v="5"/>
    <x v="45"/>
    <s v="Combined Heat and Power, Industrial Power"/>
    <x v="3"/>
    <n v="21947"/>
  </r>
  <r>
    <x v="5"/>
    <x v="45"/>
    <s v="Combined Heat and Power, Industrial Power"/>
    <x v="9"/>
    <n v="260694"/>
  </r>
  <r>
    <x v="5"/>
    <x v="45"/>
    <s v="Combined Heat and Power, Industrial Power"/>
    <x v="4"/>
    <n v="0"/>
  </r>
  <r>
    <x v="5"/>
    <x v="45"/>
    <s v="Combined Heat and Power, Commercial Power"/>
    <x v="0"/>
    <n v="28183"/>
  </r>
  <r>
    <x v="5"/>
    <x v="45"/>
    <s v="Combined Heat and Power, Commercial Power"/>
    <x v="3"/>
    <n v="28150"/>
  </r>
  <r>
    <x v="5"/>
    <x v="45"/>
    <s v="Combined Heat and Power, Commercial Power"/>
    <x v="4"/>
    <n v="33"/>
  </r>
  <r>
    <x v="5"/>
    <x v="46"/>
    <s v="Total Electric Power Industry"/>
    <x v="0"/>
    <n v="62996021"/>
  </r>
  <r>
    <x v="5"/>
    <x v="46"/>
    <s v="Total Electric Power Industry"/>
    <x v="1"/>
    <n v="28497065"/>
  </r>
  <r>
    <x v="5"/>
    <x v="46"/>
    <s v="Total Electric Power Industry"/>
    <x v="2"/>
    <n v="995026"/>
  </r>
  <r>
    <x v="5"/>
    <x v="46"/>
    <s v="Total Electric Power Industry"/>
    <x v="3"/>
    <n v="5431845"/>
  </r>
  <r>
    <x v="5"/>
    <x v="46"/>
    <s v="Total Electric Power Industry"/>
    <x v="7"/>
    <n v="25134831"/>
  </r>
  <r>
    <x v="5"/>
    <x v="46"/>
    <s v="Total Electric Power Industry"/>
    <x v="12"/>
    <n v="5366"/>
  </r>
  <r>
    <x v="5"/>
    <x v="46"/>
    <s v="Total Electric Power Industry"/>
    <x v="8"/>
    <n v="698833"/>
  </r>
  <r>
    <x v="5"/>
    <x v="46"/>
    <s v="Total Electric Power Industry"/>
    <x v="4"/>
    <n v="1600679"/>
  </r>
  <r>
    <x v="5"/>
    <x v="46"/>
    <s v="Total Electric Power Industry"/>
    <x v="10"/>
    <n v="-768394"/>
  </r>
  <r>
    <x v="5"/>
    <x v="46"/>
    <s v="Total Electric Power Industry"/>
    <x v="13"/>
    <n v="3"/>
  </r>
  <r>
    <x v="5"/>
    <x v="46"/>
    <s v="Total Electric Power Industry"/>
    <x v="6"/>
    <n v="1400767"/>
  </r>
  <r>
    <x v="5"/>
    <x v="46"/>
    <s v="Electric Generators, Independent Power Producers"/>
    <x v="0"/>
    <n v="3341351"/>
  </r>
  <r>
    <x v="5"/>
    <x v="46"/>
    <s v="Electric Generators, Independent Power Producers"/>
    <x v="2"/>
    <n v="63215"/>
  </r>
  <r>
    <x v="5"/>
    <x v="46"/>
    <s v="Electric Generators, Independent Power Producers"/>
    <x v="3"/>
    <n v="2519680"/>
  </r>
  <r>
    <x v="5"/>
    <x v="46"/>
    <s v="Electric Generators, Independent Power Producers"/>
    <x v="8"/>
    <n v="526249"/>
  </r>
  <r>
    <x v="5"/>
    <x v="46"/>
    <s v="Electric Generators, Independent Power Producers"/>
    <x v="4"/>
    <n v="92699"/>
  </r>
  <r>
    <x v="5"/>
    <x v="46"/>
    <s v="Electric Generators, Independent Power Producers"/>
    <x v="6"/>
    <n v="139508"/>
  </r>
  <r>
    <x v="5"/>
    <x v="46"/>
    <s v="Electric Generators, Electric Utilities"/>
    <x v="0"/>
    <n v="52727470"/>
  </r>
  <r>
    <x v="5"/>
    <x v="46"/>
    <s v="Electric Generators, Electric Utilities"/>
    <x v="1"/>
    <n v="24442870"/>
  </r>
  <r>
    <x v="5"/>
    <x v="46"/>
    <s v="Electric Generators, Electric Utilities"/>
    <x v="2"/>
    <n v="917654"/>
  </r>
  <r>
    <x v="5"/>
    <x v="46"/>
    <s v="Electric Generators, Electric Utilities"/>
    <x v="3"/>
    <n v="1880982"/>
  </r>
  <r>
    <x v="5"/>
    <x v="46"/>
    <s v="Electric Generators, Electric Utilities"/>
    <x v="7"/>
    <n v="25134831"/>
  </r>
  <r>
    <x v="5"/>
    <x v="46"/>
    <s v="Electric Generators, Electric Utilities"/>
    <x v="4"/>
    <n v="1119524"/>
  </r>
  <r>
    <x v="5"/>
    <x v="46"/>
    <s v="Electric Generators, Electric Utilities"/>
    <x v="10"/>
    <n v="-768394"/>
  </r>
  <r>
    <x v="5"/>
    <x v="46"/>
    <s v="Electric Generators, Electric Utilities"/>
    <x v="13"/>
    <n v="3"/>
  </r>
  <r>
    <x v="5"/>
    <x v="46"/>
    <s v="Combined Heat and Power, Industrial Power"/>
    <x v="0"/>
    <n v="2516651"/>
  </r>
  <r>
    <x v="5"/>
    <x v="46"/>
    <s v="Combined Heat and Power, Industrial Power"/>
    <x v="1"/>
    <n v="959243"/>
  </r>
  <r>
    <x v="5"/>
    <x v="46"/>
    <s v="Combined Heat and Power, Industrial Power"/>
    <x v="2"/>
    <n v="14157"/>
  </r>
  <r>
    <x v="5"/>
    <x v="46"/>
    <s v="Combined Heat and Power, Industrial Power"/>
    <x v="3"/>
    <n v="72886"/>
  </r>
  <r>
    <x v="5"/>
    <x v="46"/>
    <s v="Combined Heat and Power, Industrial Power"/>
    <x v="12"/>
    <n v="5052"/>
  </r>
  <r>
    <x v="5"/>
    <x v="46"/>
    <s v="Combined Heat and Power, Industrial Power"/>
    <x v="8"/>
    <n v="3798"/>
  </r>
  <r>
    <x v="5"/>
    <x v="46"/>
    <s v="Combined Heat and Power, Industrial Power"/>
    <x v="4"/>
    <n v="205361"/>
  </r>
  <r>
    <x v="5"/>
    <x v="46"/>
    <s v="Combined Heat and Power, Industrial Power"/>
    <x v="6"/>
    <n v="1256154"/>
  </r>
  <r>
    <x v="5"/>
    <x v="46"/>
    <s v="Combined Heat and Power, Electric Power"/>
    <x v="0"/>
    <n v="3856416"/>
  </r>
  <r>
    <x v="5"/>
    <x v="46"/>
    <s v="Combined Heat and Power, Electric Power"/>
    <x v="1"/>
    <n v="3094952"/>
  </r>
  <r>
    <x v="5"/>
    <x v="46"/>
    <s v="Combined Heat and Power, Electric Power"/>
    <x v="3"/>
    <n v="622888"/>
  </r>
  <r>
    <x v="5"/>
    <x v="46"/>
    <s v="Combined Heat and Power, Electric Power"/>
    <x v="12"/>
    <n v="314"/>
  </r>
  <r>
    <x v="5"/>
    <x v="46"/>
    <s v="Combined Heat and Power, Electric Power"/>
    <x v="8"/>
    <n v="4655"/>
  </r>
  <r>
    <x v="5"/>
    <x v="46"/>
    <s v="Combined Heat and Power, Electric Power"/>
    <x v="4"/>
    <n v="128502"/>
  </r>
  <r>
    <x v="5"/>
    <x v="46"/>
    <s v="Combined Heat and Power, Electric Power"/>
    <x v="6"/>
    <n v="5105"/>
  </r>
  <r>
    <x v="5"/>
    <x v="46"/>
    <s v="Combined Heat and Power, Commercial Power"/>
    <x v="0"/>
    <n v="554133"/>
  </r>
  <r>
    <x v="5"/>
    <x v="46"/>
    <s v="Combined Heat and Power, Commercial Power"/>
    <x v="3"/>
    <n v="335409"/>
  </r>
  <r>
    <x v="5"/>
    <x v="46"/>
    <s v="Combined Heat and Power, Commercial Power"/>
    <x v="8"/>
    <n v="164131"/>
  </r>
  <r>
    <x v="5"/>
    <x v="46"/>
    <s v="Combined Heat and Power, Commercial Power"/>
    <x v="4"/>
    <n v="54593"/>
  </r>
  <r>
    <x v="5"/>
    <x v="47"/>
    <s v="Total Electric Power Industry"/>
    <x v="0"/>
    <n v="5160062"/>
  </r>
  <r>
    <x v="5"/>
    <x v="47"/>
    <s v="Total Electric Power Industry"/>
    <x v="2"/>
    <n v="972657"/>
  </r>
  <r>
    <x v="5"/>
    <x v="47"/>
    <s v="Total Electric Power Industry"/>
    <x v="3"/>
    <n v="6593"/>
  </r>
  <r>
    <x v="5"/>
    <x v="47"/>
    <s v="Total Electric Power Industry"/>
    <x v="7"/>
    <n v="3858509"/>
  </r>
  <r>
    <x v="5"/>
    <x v="47"/>
    <s v="Total Electric Power Industry"/>
    <x v="4"/>
    <n v="13484"/>
  </r>
  <r>
    <x v="5"/>
    <x v="47"/>
    <s v="Total Electric Power Industry"/>
    <x v="5"/>
    <n v="0"/>
  </r>
  <r>
    <x v="5"/>
    <x v="47"/>
    <s v="Total Electric Power Industry"/>
    <x v="6"/>
    <n v="308819"/>
  </r>
  <r>
    <x v="5"/>
    <x v="47"/>
    <s v="Electric Generators, Independent Power Producers"/>
    <x v="0"/>
    <n v="280168"/>
  </r>
  <r>
    <x v="5"/>
    <x v="47"/>
    <s v="Electric Generators, Independent Power Producers"/>
    <x v="2"/>
    <n v="120252"/>
  </r>
  <r>
    <x v="5"/>
    <x v="47"/>
    <s v="Electric Generators, Independent Power Producers"/>
    <x v="6"/>
    <n v="159916"/>
  </r>
  <r>
    <x v="5"/>
    <x v="47"/>
    <s v="Electric Generators, Electric Utilities"/>
    <x v="0"/>
    <n v="4839820"/>
  </r>
  <r>
    <x v="5"/>
    <x v="47"/>
    <s v="Electric Generators, Electric Utilities"/>
    <x v="2"/>
    <n v="834193"/>
  </r>
  <r>
    <x v="5"/>
    <x v="47"/>
    <s v="Electric Generators, Electric Utilities"/>
    <x v="3"/>
    <n v="6593"/>
  </r>
  <r>
    <x v="5"/>
    <x v="47"/>
    <s v="Electric Generators, Electric Utilities"/>
    <x v="7"/>
    <n v="3858509"/>
  </r>
  <r>
    <x v="5"/>
    <x v="47"/>
    <s v="Electric Generators, Electric Utilities"/>
    <x v="4"/>
    <n v="13357"/>
  </r>
  <r>
    <x v="5"/>
    <x v="47"/>
    <s v="Electric Generators, Electric Utilities"/>
    <x v="5"/>
    <n v="0"/>
  </r>
  <r>
    <x v="5"/>
    <x v="47"/>
    <s v="Electric Generators, Electric Utilities"/>
    <x v="6"/>
    <n v="127168"/>
  </r>
  <r>
    <x v="5"/>
    <x v="47"/>
    <s v="Combined Heat and Power, Industrial Power"/>
    <x v="0"/>
    <n v="40074"/>
  </r>
  <r>
    <x v="5"/>
    <x v="47"/>
    <s v="Combined Heat and Power, Industrial Power"/>
    <x v="2"/>
    <n v="18212"/>
  </r>
  <r>
    <x v="5"/>
    <x v="47"/>
    <s v="Combined Heat and Power, Industrial Power"/>
    <x v="4"/>
    <n v="127"/>
  </r>
  <r>
    <x v="5"/>
    <x v="47"/>
    <s v="Combined Heat and Power, Industrial Power"/>
    <x v="6"/>
    <n v="21735"/>
  </r>
  <r>
    <x v="5"/>
    <x v="48"/>
    <s v="Total Electric Power Industry"/>
    <x v="0"/>
    <n v="102197586"/>
  </r>
  <r>
    <x v="5"/>
    <x v="48"/>
    <s v="Total Electric Power Industry"/>
    <x v="1"/>
    <n v="5902945"/>
  </r>
  <r>
    <x v="5"/>
    <x v="48"/>
    <s v="Total Electric Power Industry"/>
    <x v="2"/>
    <n v="82500153"/>
  </r>
  <r>
    <x v="5"/>
    <x v="48"/>
    <s v="Total Electric Power Industry"/>
    <x v="3"/>
    <n v="4889604"/>
  </r>
  <r>
    <x v="5"/>
    <x v="48"/>
    <s v="Total Electric Power Industry"/>
    <x v="7"/>
    <n v="6941878"/>
  </r>
  <r>
    <x v="5"/>
    <x v="48"/>
    <s v="Total Electric Power Industry"/>
    <x v="12"/>
    <n v="179"/>
  </r>
  <r>
    <x v="5"/>
    <x v="48"/>
    <s v="Total Electric Power Industry"/>
    <x v="8"/>
    <n v="197288"/>
  </r>
  <r>
    <x v="5"/>
    <x v="48"/>
    <s v="Total Electric Power Industry"/>
    <x v="9"/>
    <n v="550836"/>
  </r>
  <r>
    <x v="5"/>
    <x v="48"/>
    <s v="Total Electric Power Industry"/>
    <x v="4"/>
    <n v="178915"/>
  </r>
  <r>
    <x v="5"/>
    <x v="48"/>
    <s v="Total Electric Power Industry"/>
    <x v="10"/>
    <n v="0"/>
  </r>
  <r>
    <x v="5"/>
    <x v="48"/>
    <s v="Total Electric Power Industry"/>
    <x v="6"/>
    <n v="1035788"/>
  </r>
  <r>
    <x v="5"/>
    <x v="48"/>
    <s v="Electric Generators, Independent Power Producers"/>
    <x v="0"/>
    <n v="365132"/>
  </r>
  <r>
    <x v="5"/>
    <x v="48"/>
    <s v="Electric Generators, Independent Power Producers"/>
    <x v="2"/>
    <n v="191666"/>
  </r>
  <r>
    <x v="5"/>
    <x v="48"/>
    <s v="Electric Generators, Independent Power Producers"/>
    <x v="8"/>
    <n v="173466"/>
  </r>
  <r>
    <x v="5"/>
    <x v="48"/>
    <s v="Electric Generators, Electric Utilities"/>
    <x v="0"/>
    <n v="95671478"/>
  </r>
  <r>
    <x v="5"/>
    <x v="48"/>
    <s v="Electric Generators, Electric Utilities"/>
    <x v="1"/>
    <n v="5877093"/>
  </r>
  <r>
    <x v="5"/>
    <x v="48"/>
    <s v="Electric Generators, Electric Utilities"/>
    <x v="2"/>
    <n v="82028297"/>
  </r>
  <r>
    <x v="5"/>
    <x v="48"/>
    <s v="Electric Generators, Electric Utilities"/>
    <x v="3"/>
    <n v="554405"/>
  </r>
  <r>
    <x v="5"/>
    <x v="48"/>
    <s v="Electric Generators, Electric Utilities"/>
    <x v="7"/>
    <n v="6941878"/>
  </r>
  <r>
    <x v="5"/>
    <x v="48"/>
    <s v="Electric Generators, Electric Utilities"/>
    <x v="4"/>
    <n v="8711"/>
  </r>
  <r>
    <x v="5"/>
    <x v="48"/>
    <s v="Electric Generators, Electric Utilities"/>
    <x v="10"/>
    <n v="0"/>
  </r>
  <r>
    <x v="5"/>
    <x v="48"/>
    <s v="Electric Generators, Electric Utilities"/>
    <x v="6"/>
    <n v="261094"/>
  </r>
  <r>
    <x v="5"/>
    <x v="48"/>
    <s v="Combined Heat and Power, Industrial Power"/>
    <x v="0"/>
    <n v="1358028"/>
  </r>
  <r>
    <x v="5"/>
    <x v="48"/>
    <s v="Combined Heat and Power, Industrial Power"/>
    <x v="1"/>
    <n v="18048"/>
  </r>
  <r>
    <x v="5"/>
    <x v="48"/>
    <s v="Combined Heat and Power, Industrial Power"/>
    <x v="2"/>
    <n v="197482"/>
  </r>
  <r>
    <x v="5"/>
    <x v="48"/>
    <s v="Combined Heat and Power, Industrial Power"/>
    <x v="3"/>
    <n v="331117"/>
  </r>
  <r>
    <x v="5"/>
    <x v="48"/>
    <s v="Combined Heat and Power, Industrial Power"/>
    <x v="12"/>
    <n v="179"/>
  </r>
  <r>
    <x v="5"/>
    <x v="48"/>
    <s v="Combined Heat and Power, Industrial Power"/>
    <x v="8"/>
    <n v="14837"/>
  </r>
  <r>
    <x v="5"/>
    <x v="48"/>
    <s v="Combined Heat and Power, Industrial Power"/>
    <x v="4"/>
    <n v="21671"/>
  </r>
  <r>
    <x v="5"/>
    <x v="48"/>
    <s v="Combined Heat and Power, Industrial Power"/>
    <x v="6"/>
    <n v="774694"/>
  </r>
  <r>
    <x v="5"/>
    <x v="48"/>
    <s v="Combined Heat and Power, Electric Power"/>
    <x v="0"/>
    <n v="4692586"/>
  </r>
  <r>
    <x v="5"/>
    <x v="48"/>
    <s v="Combined Heat and Power, Electric Power"/>
    <x v="3"/>
    <n v="3984572"/>
  </r>
  <r>
    <x v="5"/>
    <x v="48"/>
    <s v="Combined Heat and Power, Electric Power"/>
    <x v="8"/>
    <n v="8985"/>
  </r>
  <r>
    <x v="5"/>
    <x v="48"/>
    <s v="Combined Heat and Power, Electric Power"/>
    <x v="9"/>
    <n v="550836"/>
  </r>
  <r>
    <x v="5"/>
    <x v="48"/>
    <s v="Combined Heat and Power, Electric Power"/>
    <x v="4"/>
    <n v="148193"/>
  </r>
  <r>
    <x v="5"/>
    <x v="48"/>
    <s v="Combined Heat and Power, Commercial Power"/>
    <x v="0"/>
    <n v="110362"/>
  </r>
  <r>
    <x v="5"/>
    <x v="48"/>
    <s v="Combined Heat and Power, Commercial Power"/>
    <x v="1"/>
    <n v="7804"/>
  </r>
  <r>
    <x v="5"/>
    <x v="48"/>
    <s v="Combined Heat and Power, Commercial Power"/>
    <x v="2"/>
    <n v="82708"/>
  </r>
  <r>
    <x v="5"/>
    <x v="48"/>
    <s v="Combined Heat and Power, Commercial Power"/>
    <x v="3"/>
    <n v="19510"/>
  </r>
  <r>
    <x v="5"/>
    <x v="48"/>
    <s v="Combined Heat and Power, Commercial Power"/>
    <x v="4"/>
    <n v="340"/>
  </r>
  <r>
    <x v="5"/>
    <x v="49"/>
    <s v="Total Electric Power Industry"/>
    <x v="0"/>
    <n v="53923131"/>
  </r>
  <r>
    <x v="5"/>
    <x v="49"/>
    <s v="Total Electric Power Industry"/>
    <x v="1"/>
    <n v="38093434"/>
  </r>
  <r>
    <x v="5"/>
    <x v="49"/>
    <s v="Total Electric Power Industry"/>
    <x v="2"/>
    <n v="2378472"/>
  </r>
  <r>
    <x v="5"/>
    <x v="49"/>
    <s v="Total Electric Power Industry"/>
    <x v="3"/>
    <n v="1008604"/>
  </r>
  <r>
    <x v="5"/>
    <x v="49"/>
    <s v="Total Electric Power Industry"/>
    <x v="7"/>
    <n v="10969606"/>
  </r>
  <r>
    <x v="5"/>
    <x v="49"/>
    <s v="Total Electric Power Industry"/>
    <x v="12"/>
    <n v="584"/>
  </r>
  <r>
    <x v="5"/>
    <x v="49"/>
    <s v="Total Electric Power Industry"/>
    <x v="8"/>
    <n v="233121"/>
  </r>
  <r>
    <x v="5"/>
    <x v="49"/>
    <s v="Total Electric Power Industry"/>
    <x v="4"/>
    <n v="385164"/>
  </r>
  <r>
    <x v="5"/>
    <x v="49"/>
    <s v="Total Electric Power Industry"/>
    <x v="5"/>
    <n v="0"/>
  </r>
  <r>
    <x v="5"/>
    <x v="49"/>
    <s v="Total Electric Power Industry"/>
    <x v="6"/>
    <n v="854146"/>
  </r>
  <r>
    <x v="5"/>
    <x v="49"/>
    <s v="Electric Generators, Independent Power Producers"/>
    <x v="0"/>
    <n v="138945"/>
  </r>
  <r>
    <x v="5"/>
    <x v="49"/>
    <s v="Electric Generators, Independent Power Producers"/>
    <x v="2"/>
    <n v="11525"/>
  </r>
  <r>
    <x v="5"/>
    <x v="49"/>
    <s v="Electric Generators, Independent Power Producers"/>
    <x v="8"/>
    <n v="127420"/>
  </r>
  <r>
    <x v="5"/>
    <x v="49"/>
    <s v="Electric Generators, Electric Utilities"/>
    <x v="0"/>
    <n v="51012390"/>
  </r>
  <r>
    <x v="5"/>
    <x v="49"/>
    <s v="Electric Generators, Electric Utilities"/>
    <x v="1"/>
    <n v="36863872"/>
  </r>
  <r>
    <x v="5"/>
    <x v="49"/>
    <s v="Electric Generators, Electric Utilities"/>
    <x v="2"/>
    <n v="2097101"/>
  </r>
  <r>
    <x v="5"/>
    <x v="49"/>
    <s v="Electric Generators, Electric Utilities"/>
    <x v="3"/>
    <n v="648912"/>
  </r>
  <r>
    <x v="5"/>
    <x v="49"/>
    <s v="Electric Generators, Electric Utilities"/>
    <x v="7"/>
    <n v="10969606"/>
  </r>
  <r>
    <x v="5"/>
    <x v="49"/>
    <s v="Electric Generators, Electric Utilities"/>
    <x v="8"/>
    <n v="75478"/>
  </r>
  <r>
    <x v="5"/>
    <x v="49"/>
    <s v="Electric Generators, Electric Utilities"/>
    <x v="4"/>
    <n v="147493"/>
  </r>
  <r>
    <x v="5"/>
    <x v="49"/>
    <s v="Electric Generators, Electric Utilities"/>
    <x v="5"/>
    <n v="0"/>
  </r>
  <r>
    <x v="5"/>
    <x v="49"/>
    <s v="Electric Generators, Electric Utilities"/>
    <x v="6"/>
    <n v="209928"/>
  </r>
  <r>
    <x v="5"/>
    <x v="49"/>
    <s v="Combined Heat and Power, Industrial Power"/>
    <x v="0"/>
    <n v="2594069"/>
  </r>
  <r>
    <x v="5"/>
    <x v="49"/>
    <s v="Combined Heat and Power, Industrial Power"/>
    <x v="1"/>
    <n v="1174825"/>
  </r>
  <r>
    <x v="5"/>
    <x v="49"/>
    <s v="Combined Heat and Power, Industrial Power"/>
    <x v="2"/>
    <n v="265814"/>
  </r>
  <r>
    <x v="5"/>
    <x v="49"/>
    <s v="Combined Heat and Power, Industrial Power"/>
    <x v="3"/>
    <n v="257208"/>
  </r>
  <r>
    <x v="5"/>
    <x v="49"/>
    <s v="Combined Heat and Power, Industrial Power"/>
    <x v="12"/>
    <n v="584"/>
  </r>
  <r>
    <x v="5"/>
    <x v="49"/>
    <s v="Combined Heat and Power, Industrial Power"/>
    <x v="8"/>
    <n v="17215"/>
  </r>
  <r>
    <x v="5"/>
    <x v="49"/>
    <s v="Combined Heat and Power, Industrial Power"/>
    <x v="4"/>
    <n v="236611"/>
  </r>
  <r>
    <x v="5"/>
    <x v="49"/>
    <s v="Combined Heat and Power, Industrial Power"/>
    <x v="6"/>
    <n v="641812"/>
  </r>
  <r>
    <x v="5"/>
    <x v="49"/>
    <s v="Combined Heat and Power, Electric Power"/>
    <x v="0"/>
    <n v="68342"/>
  </r>
  <r>
    <x v="5"/>
    <x v="49"/>
    <s v="Combined Heat and Power, Electric Power"/>
    <x v="1"/>
    <n v="51419"/>
  </r>
  <r>
    <x v="5"/>
    <x v="49"/>
    <s v="Combined Heat and Power, Electric Power"/>
    <x v="3"/>
    <n v="14834"/>
  </r>
  <r>
    <x v="5"/>
    <x v="49"/>
    <s v="Combined Heat and Power, Electric Power"/>
    <x v="8"/>
    <n v="68"/>
  </r>
  <r>
    <x v="5"/>
    <x v="49"/>
    <s v="Combined Heat and Power, Electric Power"/>
    <x v="4"/>
    <n v="12"/>
  </r>
  <r>
    <x v="5"/>
    <x v="49"/>
    <s v="Combined Heat and Power, Electric Power"/>
    <x v="6"/>
    <n v="2009"/>
  </r>
  <r>
    <x v="5"/>
    <x v="49"/>
    <s v="Combined Heat and Power, Commercial Power"/>
    <x v="0"/>
    <n v="109385"/>
  </r>
  <r>
    <x v="5"/>
    <x v="49"/>
    <s v="Combined Heat and Power, Commercial Power"/>
    <x v="1"/>
    <n v="3318"/>
  </r>
  <r>
    <x v="5"/>
    <x v="49"/>
    <s v="Combined Heat and Power, Commercial Power"/>
    <x v="2"/>
    <n v="4032"/>
  </r>
  <r>
    <x v="5"/>
    <x v="49"/>
    <s v="Combined Heat and Power, Commercial Power"/>
    <x v="3"/>
    <n v="87650"/>
  </r>
  <r>
    <x v="5"/>
    <x v="49"/>
    <s v="Combined Heat and Power, Commercial Power"/>
    <x v="8"/>
    <n v="12940"/>
  </r>
  <r>
    <x v="5"/>
    <x v="49"/>
    <s v="Combined Heat and Power, Commercial Power"/>
    <x v="4"/>
    <n v="1048"/>
  </r>
  <r>
    <x v="5"/>
    <x v="49"/>
    <s v="Combined Heat and Power, Commercial Power"/>
    <x v="6"/>
    <n v="397"/>
  </r>
  <r>
    <x v="5"/>
    <x v="50"/>
    <s v="Total Electric Power Industry"/>
    <x v="0"/>
    <n v="80537427"/>
  </r>
  <r>
    <x v="5"/>
    <x v="50"/>
    <s v="Total Electric Power Industry"/>
    <x v="1"/>
    <n v="78714219"/>
  </r>
  <r>
    <x v="5"/>
    <x v="50"/>
    <s v="Total Electric Power Industry"/>
    <x v="2"/>
    <n v="1192679"/>
  </r>
  <r>
    <x v="5"/>
    <x v="50"/>
    <s v="Total Electric Power Industry"/>
    <x v="3"/>
    <n v="212874"/>
  </r>
  <r>
    <x v="5"/>
    <x v="50"/>
    <s v="Total Electric Power Industry"/>
    <x v="12"/>
    <n v="214"/>
  </r>
  <r>
    <x v="5"/>
    <x v="50"/>
    <s v="Total Electric Power Industry"/>
    <x v="9"/>
    <n v="204663"/>
  </r>
  <r>
    <x v="5"/>
    <x v="50"/>
    <s v="Total Electric Power Industry"/>
    <x v="4"/>
    <n v="212778"/>
  </r>
  <r>
    <x v="5"/>
    <x v="50"/>
    <s v="Electric Generators, Independent Power Producers"/>
    <x v="0"/>
    <n v="936341"/>
  </r>
  <r>
    <x v="5"/>
    <x v="50"/>
    <s v="Electric Generators, Independent Power Producers"/>
    <x v="1"/>
    <n v="690712"/>
  </r>
  <r>
    <x v="5"/>
    <x v="50"/>
    <s v="Electric Generators, Independent Power Producers"/>
    <x v="2"/>
    <n v="242171"/>
  </r>
  <r>
    <x v="5"/>
    <x v="50"/>
    <s v="Electric Generators, Independent Power Producers"/>
    <x v="3"/>
    <n v="3458"/>
  </r>
  <r>
    <x v="5"/>
    <x v="50"/>
    <s v="Electric Generators, Electric Utilities"/>
    <x v="0"/>
    <n v="77322168"/>
  </r>
  <r>
    <x v="5"/>
    <x v="50"/>
    <s v="Electric Generators, Electric Utilities"/>
    <x v="1"/>
    <n v="76690297"/>
  </r>
  <r>
    <x v="5"/>
    <x v="50"/>
    <s v="Electric Generators, Electric Utilities"/>
    <x v="2"/>
    <n v="394451"/>
  </r>
  <r>
    <x v="5"/>
    <x v="50"/>
    <s v="Electric Generators, Electric Utilities"/>
    <x v="3"/>
    <n v="40323"/>
  </r>
  <r>
    <x v="5"/>
    <x v="50"/>
    <s v="Electric Generators, Electric Utilities"/>
    <x v="4"/>
    <n v="197097"/>
  </r>
  <r>
    <x v="5"/>
    <x v="50"/>
    <s v="Combined Heat and Power, Industrial Power"/>
    <x v="0"/>
    <n v="1902189"/>
  </r>
  <r>
    <x v="5"/>
    <x v="50"/>
    <s v="Combined Heat and Power, Industrial Power"/>
    <x v="1"/>
    <n v="978057"/>
  </r>
  <r>
    <x v="5"/>
    <x v="50"/>
    <s v="Combined Heat and Power, Industrial Power"/>
    <x v="2"/>
    <n v="556057"/>
  </r>
  <r>
    <x v="5"/>
    <x v="50"/>
    <s v="Combined Heat and Power, Industrial Power"/>
    <x v="3"/>
    <n v="147517"/>
  </r>
  <r>
    <x v="5"/>
    <x v="50"/>
    <s v="Combined Heat and Power, Industrial Power"/>
    <x v="12"/>
    <n v="214"/>
  </r>
  <r>
    <x v="5"/>
    <x v="50"/>
    <s v="Combined Heat and Power, Industrial Power"/>
    <x v="9"/>
    <n v="204663"/>
  </r>
  <r>
    <x v="5"/>
    <x v="50"/>
    <s v="Combined Heat and Power, Industrial Power"/>
    <x v="4"/>
    <n v="15681"/>
  </r>
  <r>
    <x v="5"/>
    <x v="50"/>
    <s v="Combined Heat and Power, Electric Power"/>
    <x v="0"/>
    <n v="376729"/>
  </r>
  <r>
    <x v="5"/>
    <x v="50"/>
    <s v="Combined Heat and Power, Electric Power"/>
    <x v="1"/>
    <n v="355153"/>
  </r>
  <r>
    <x v="5"/>
    <x v="50"/>
    <s v="Combined Heat and Power, Electric Power"/>
    <x v="3"/>
    <n v="21576"/>
  </r>
  <r>
    <x v="5"/>
    <x v="51"/>
    <s v="Total Electric Power Industry"/>
    <x v="0"/>
    <n v="40251609"/>
  </r>
  <r>
    <x v="5"/>
    <x v="51"/>
    <s v="Total Electric Power Industry"/>
    <x v="1"/>
    <n v="38996375"/>
  </r>
  <r>
    <x v="5"/>
    <x v="51"/>
    <s v="Total Electric Power Industry"/>
    <x v="2"/>
    <n v="798503"/>
  </r>
  <r>
    <x v="5"/>
    <x v="51"/>
    <s v="Total Electric Power Industry"/>
    <x v="3"/>
    <n v="322450"/>
  </r>
  <r>
    <x v="5"/>
    <x v="51"/>
    <s v="Total Electric Power Industry"/>
    <x v="12"/>
    <n v="54746"/>
  </r>
  <r>
    <x v="5"/>
    <x v="51"/>
    <s v="Total Electric Power Industry"/>
    <x v="9"/>
    <n v="9230"/>
  </r>
  <r>
    <x v="5"/>
    <x v="51"/>
    <s v="Total Electric Power Industry"/>
    <x v="4"/>
    <n v="70305"/>
  </r>
  <r>
    <x v="5"/>
    <x v="51"/>
    <s v="Electric Generators, Electric Utilities"/>
    <x v="0"/>
    <n v="39683722"/>
  </r>
  <r>
    <x v="5"/>
    <x v="51"/>
    <s v="Electric Generators, Electric Utilities"/>
    <x v="1"/>
    <n v="38804539"/>
  </r>
  <r>
    <x v="5"/>
    <x v="51"/>
    <s v="Electric Generators, Electric Utilities"/>
    <x v="2"/>
    <n v="798503"/>
  </r>
  <r>
    <x v="5"/>
    <x v="51"/>
    <s v="Electric Generators, Electric Utilities"/>
    <x v="3"/>
    <n v="13007"/>
  </r>
  <r>
    <x v="5"/>
    <x v="51"/>
    <s v="Electric Generators, Electric Utilities"/>
    <x v="4"/>
    <n v="67673"/>
  </r>
  <r>
    <x v="5"/>
    <x v="51"/>
    <s v="Combined Heat and Power, Industrial Power"/>
    <x v="0"/>
    <n v="567887"/>
  </r>
  <r>
    <x v="5"/>
    <x v="51"/>
    <s v="Combined Heat and Power, Industrial Power"/>
    <x v="1"/>
    <n v="191836"/>
  </r>
  <r>
    <x v="5"/>
    <x v="51"/>
    <s v="Combined Heat and Power, Industrial Power"/>
    <x v="3"/>
    <n v="309443"/>
  </r>
  <r>
    <x v="5"/>
    <x v="51"/>
    <s v="Combined Heat and Power, Industrial Power"/>
    <x v="12"/>
    <n v="54746"/>
  </r>
  <r>
    <x v="5"/>
    <x v="51"/>
    <s v="Combined Heat and Power, Industrial Power"/>
    <x v="9"/>
    <n v="9230"/>
  </r>
  <r>
    <x v="5"/>
    <x v="51"/>
    <s v="Combined Heat and Power, Industrial Power"/>
    <x v="4"/>
    <n v="2632"/>
  </r>
  <r>
    <x v="6"/>
    <x v="0"/>
    <s v="Total Electric Power Industry"/>
    <x v="0"/>
    <n v="6128892"/>
  </r>
  <r>
    <x v="6"/>
    <x v="0"/>
    <s v="Total Electric Power Industry"/>
    <x v="1"/>
    <n v="428736"/>
  </r>
  <r>
    <x v="6"/>
    <x v="0"/>
    <s v="Total Electric Power Industry"/>
    <x v="2"/>
    <n v="1265863"/>
  </r>
  <r>
    <x v="6"/>
    <x v="0"/>
    <s v="Total Electric Power Industry"/>
    <x v="3"/>
    <n v="3548718"/>
  </r>
  <r>
    <x v="6"/>
    <x v="0"/>
    <s v="Total Electric Power Industry"/>
    <x v="8"/>
    <n v="11985"/>
  </r>
  <r>
    <x v="6"/>
    <x v="0"/>
    <s v="Total Electric Power Industry"/>
    <x v="4"/>
    <n v="770676"/>
  </r>
  <r>
    <x v="6"/>
    <x v="0"/>
    <s v="Total Electric Power Industry"/>
    <x v="5"/>
    <n v="0"/>
  </r>
  <r>
    <x v="6"/>
    <x v="0"/>
    <s v="Total Electric Power Industry"/>
    <x v="6"/>
    <n v="102914"/>
  </r>
  <r>
    <x v="6"/>
    <x v="0"/>
    <s v="Electric Generators, Electric Utilities"/>
    <x v="0"/>
    <n v="4982268"/>
  </r>
  <r>
    <x v="6"/>
    <x v="0"/>
    <s v="Electric Generators, Electric Utilities"/>
    <x v="1"/>
    <n v="229129"/>
  </r>
  <r>
    <x v="6"/>
    <x v="0"/>
    <s v="Electric Generators, Electric Utilities"/>
    <x v="2"/>
    <n v="1265863"/>
  </r>
  <r>
    <x v="6"/>
    <x v="0"/>
    <s v="Electric Generators, Electric Utilities"/>
    <x v="3"/>
    <n v="2843998"/>
  </r>
  <r>
    <x v="6"/>
    <x v="0"/>
    <s v="Electric Generators, Electric Utilities"/>
    <x v="4"/>
    <n v="643278"/>
  </r>
  <r>
    <x v="6"/>
    <x v="0"/>
    <s v="Electric Generators, Electric Utilities"/>
    <x v="5"/>
    <n v="0"/>
  </r>
  <r>
    <x v="6"/>
    <x v="0"/>
    <s v="Combined Heat and Power, Industrial Power"/>
    <x v="0"/>
    <n v="937697"/>
  </r>
  <r>
    <x v="6"/>
    <x v="0"/>
    <s v="Combined Heat and Power, Industrial Power"/>
    <x v="3"/>
    <n v="704720"/>
  </r>
  <r>
    <x v="6"/>
    <x v="0"/>
    <s v="Combined Heat and Power, Industrial Power"/>
    <x v="8"/>
    <n v="11985"/>
  </r>
  <r>
    <x v="6"/>
    <x v="0"/>
    <s v="Combined Heat and Power, Industrial Power"/>
    <x v="4"/>
    <n v="118078"/>
  </r>
  <r>
    <x v="6"/>
    <x v="0"/>
    <s v="Combined Heat and Power, Industrial Power"/>
    <x v="6"/>
    <n v="102914"/>
  </r>
  <r>
    <x v="6"/>
    <x v="0"/>
    <s v="Combined Heat and Power, Commercial Power"/>
    <x v="0"/>
    <n v="208927"/>
  </r>
  <r>
    <x v="6"/>
    <x v="0"/>
    <s v="Combined Heat and Power, Commercial Power"/>
    <x v="1"/>
    <n v="199607"/>
  </r>
  <r>
    <x v="6"/>
    <x v="0"/>
    <s v="Combined Heat and Power, Commercial Power"/>
    <x v="4"/>
    <n v="9320"/>
  </r>
  <r>
    <x v="6"/>
    <x v="1"/>
    <s v="Total Electric Power Industry"/>
    <x v="0"/>
    <n v="121472911"/>
  </r>
  <r>
    <x v="6"/>
    <x v="1"/>
    <s v="Total Electric Power Industry"/>
    <x v="1"/>
    <n v="74091485"/>
  </r>
  <r>
    <x v="6"/>
    <x v="1"/>
    <s v="Total Electric Power Industry"/>
    <x v="2"/>
    <n v="11081921"/>
  </r>
  <r>
    <x v="6"/>
    <x v="1"/>
    <s v="Total Electric Power Industry"/>
    <x v="3"/>
    <n v="1884239"/>
  </r>
  <r>
    <x v="6"/>
    <x v="1"/>
    <s v="Total Electric Power Industry"/>
    <x v="7"/>
    <n v="29707535"/>
  </r>
  <r>
    <x v="6"/>
    <x v="1"/>
    <s v="Total Electric Power Industry"/>
    <x v="8"/>
    <n v="7286"/>
  </r>
  <r>
    <x v="6"/>
    <x v="1"/>
    <s v="Total Electric Power Industry"/>
    <x v="9"/>
    <n v="307056"/>
  </r>
  <r>
    <x v="6"/>
    <x v="1"/>
    <s v="Total Electric Power Industry"/>
    <x v="4"/>
    <n v="315378"/>
  </r>
  <r>
    <x v="6"/>
    <x v="1"/>
    <s v="Total Electric Power Industry"/>
    <x v="6"/>
    <n v="4078011"/>
  </r>
  <r>
    <x v="6"/>
    <x v="1"/>
    <s v="Electric Generators, Independent Power Producers"/>
    <x v="0"/>
    <n v="5847"/>
  </r>
  <r>
    <x v="6"/>
    <x v="1"/>
    <s v="Electric Generators, Independent Power Producers"/>
    <x v="3"/>
    <n v="5847"/>
  </r>
  <r>
    <x v="6"/>
    <x v="1"/>
    <s v="Electric Generators, Electric Utilities"/>
    <x v="0"/>
    <n v="115093211"/>
  </r>
  <r>
    <x v="6"/>
    <x v="1"/>
    <s v="Electric Generators, Electric Utilities"/>
    <x v="1"/>
    <n v="73598580"/>
  </r>
  <r>
    <x v="6"/>
    <x v="1"/>
    <s v="Electric Generators, Electric Utilities"/>
    <x v="2"/>
    <n v="11081921"/>
  </r>
  <r>
    <x v="6"/>
    <x v="1"/>
    <s v="Electric Generators, Electric Utilities"/>
    <x v="3"/>
    <n v="549397"/>
  </r>
  <r>
    <x v="6"/>
    <x v="1"/>
    <s v="Electric Generators, Electric Utilities"/>
    <x v="7"/>
    <n v="29707535"/>
  </r>
  <r>
    <x v="6"/>
    <x v="1"/>
    <s v="Electric Generators, Electric Utilities"/>
    <x v="4"/>
    <n v="155778"/>
  </r>
  <r>
    <x v="6"/>
    <x v="1"/>
    <s v="Combined Heat and Power, Industrial Power"/>
    <x v="0"/>
    <n v="5703323"/>
  </r>
  <r>
    <x v="6"/>
    <x v="1"/>
    <s v="Combined Heat and Power, Industrial Power"/>
    <x v="1"/>
    <n v="433329"/>
  </r>
  <r>
    <x v="6"/>
    <x v="1"/>
    <s v="Combined Heat and Power, Industrial Power"/>
    <x v="3"/>
    <n v="1289984"/>
  </r>
  <r>
    <x v="6"/>
    <x v="1"/>
    <s v="Combined Heat and Power, Industrial Power"/>
    <x v="8"/>
    <n v="6792"/>
  </r>
  <r>
    <x v="6"/>
    <x v="1"/>
    <s v="Combined Heat and Power, Industrial Power"/>
    <x v="9"/>
    <n v="307056"/>
  </r>
  <r>
    <x v="6"/>
    <x v="1"/>
    <s v="Combined Heat and Power, Industrial Power"/>
    <x v="4"/>
    <n v="159505"/>
  </r>
  <r>
    <x v="6"/>
    <x v="1"/>
    <s v="Combined Heat and Power, Industrial Power"/>
    <x v="6"/>
    <n v="3506657"/>
  </r>
  <r>
    <x v="6"/>
    <x v="1"/>
    <s v="Combined Heat and Power, Electric Power"/>
    <x v="0"/>
    <n v="670530"/>
  </r>
  <r>
    <x v="6"/>
    <x v="1"/>
    <s v="Combined Heat and Power, Electric Power"/>
    <x v="1"/>
    <n v="59576"/>
  </r>
  <r>
    <x v="6"/>
    <x v="1"/>
    <s v="Combined Heat and Power, Electric Power"/>
    <x v="3"/>
    <n v="39011"/>
  </r>
  <r>
    <x v="6"/>
    <x v="1"/>
    <s v="Combined Heat and Power, Electric Power"/>
    <x v="8"/>
    <n v="494"/>
  </r>
  <r>
    <x v="6"/>
    <x v="1"/>
    <s v="Combined Heat and Power, Electric Power"/>
    <x v="4"/>
    <n v="95"/>
  </r>
  <r>
    <x v="6"/>
    <x v="1"/>
    <s v="Combined Heat and Power, Electric Power"/>
    <x v="6"/>
    <n v="571354"/>
  </r>
  <r>
    <x v="6"/>
    <x v="2"/>
    <s v="Total Electric Power Industry"/>
    <x v="0"/>
    <n v="46033563"/>
  </r>
  <r>
    <x v="6"/>
    <x v="2"/>
    <s v="Total Electric Power Industry"/>
    <x v="1"/>
    <n v="24388417"/>
  </r>
  <r>
    <x v="6"/>
    <x v="2"/>
    <s v="Total Electric Power Industry"/>
    <x v="2"/>
    <n v="2796966"/>
  </r>
  <r>
    <x v="6"/>
    <x v="2"/>
    <s v="Total Electric Power Industry"/>
    <x v="3"/>
    <n v="3793734"/>
  </r>
  <r>
    <x v="6"/>
    <x v="2"/>
    <s v="Total Electric Power Industry"/>
    <x v="7"/>
    <n v="13356671"/>
  </r>
  <r>
    <x v="6"/>
    <x v="2"/>
    <s v="Total Electric Power Industry"/>
    <x v="8"/>
    <n v="21121"/>
  </r>
  <r>
    <x v="6"/>
    <x v="2"/>
    <s v="Total Electric Power Industry"/>
    <x v="4"/>
    <n v="113957"/>
  </r>
  <r>
    <x v="6"/>
    <x v="2"/>
    <s v="Total Electric Power Industry"/>
    <x v="10"/>
    <n v="0"/>
  </r>
  <r>
    <x v="6"/>
    <x v="2"/>
    <s v="Total Electric Power Industry"/>
    <x v="6"/>
    <n v="1562697"/>
  </r>
  <r>
    <x v="6"/>
    <x v="2"/>
    <s v="Electric Generators, Independent Power Producers"/>
    <x v="0"/>
    <n v="297"/>
  </r>
  <r>
    <x v="6"/>
    <x v="2"/>
    <s v="Electric Generators, Independent Power Producers"/>
    <x v="2"/>
    <n v="297"/>
  </r>
  <r>
    <x v="6"/>
    <x v="2"/>
    <s v="Electric Generators, Electric Utilities"/>
    <x v="0"/>
    <n v="43677535"/>
  </r>
  <r>
    <x v="6"/>
    <x v="2"/>
    <s v="Electric Generators, Electric Utilities"/>
    <x v="1"/>
    <n v="24339185"/>
  </r>
  <r>
    <x v="6"/>
    <x v="2"/>
    <s v="Electric Generators, Electric Utilities"/>
    <x v="2"/>
    <n v="2796669"/>
  </r>
  <r>
    <x v="6"/>
    <x v="2"/>
    <s v="Electric Generators, Electric Utilities"/>
    <x v="3"/>
    <n v="3086760"/>
  </r>
  <r>
    <x v="6"/>
    <x v="2"/>
    <s v="Electric Generators, Electric Utilities"/>
    <x v="7"/>
    <n v="13356671"/>
  </r>
  <r>
    <x v="6"/>
    <x v="2"/>
    <s v="Electric Generators, Electric Utilities"/>
    <x v="4"/>
    <n v="98250"/>
  </r>
  <r>
    <x v="6"/>
    <x v="2"/>
    <s v="Electric Generators, Electric Utilities"/>
    <x v="10"/>
    <n v="0"/>
  </r>
  <r>
    <x v="6"/>
    <x v="2"/>
    <s v="Combined Heat and Power, Industrial Power"/>
    <x v="0"/>
    <n v="2315702"/>
  </r>
  <r>
    <x v="6"/>
    <x v="2"/>
    <s v="Combined Heat and Power, Industrial Power"/>
    <x v="1"/>
    <n v="49232"/>
  </r>
  <r>
    <x v="6"/>
    <x v="2"/>
    <s v="Combined Heat and Power, Industrial Power"/>
    <x v="3"/>
    <n v="675251"/>
  </r>
  <r>
    <x v="6"/>
    <x v="2"/>
    <s v="Combined Heat and Power, Industrial Power"/>
    <x v="8"/>
    <n v="16149"/>
  </r>
  <r>
    <x v="6"/>
    <x v="2"/>
    <s v="Combined Heat and Power, Industrial Power"/>
    <x v="4"/>
    <n v="12373"/>
  </r>
  <r>
    <x v="6"/>
    <x v="2"/>
    <s v="Combined Heat and Power, Industrial Power"/>
    <x v="6"/>
    <n v="1562697"/>
  </r>
  <r>
    <x v="6"/>
    <x v="2"/>
    <s v="Combined Heat and Power, Commercial Power"/>
    <x v="0"/>
    <n v="40029"/>
  </r>
  <r>
    <x v="6"/>
    <x v="2"/>
    <s v="Combined Heat and Power, Commercial Power"/>
    <x v="3"/>
    <n v="31723"/>
  </r>
  <r>
    <x v="6"/>
    <x v="2"/>
    <s v="Combined Heat and Power, Commercial Power"/>
    <x v="8"/>
    <n v="4972"/>
  </r>
  <r>
    <x v="6"/>
    <x v="2"/>
    <s v="Combined Heat and Power, Commercial Power"/>
    <x v="4"/>
    <n v="3334"/>
  </r>
  <r>
    <x v="6"/>
    <x v="3"/>
    <s v="Total Electric Power Industry"/>
    <x v="0"/>
    <n v="71654818"/>
  </r>
  <r>
    <x v="6"/>
    <x v="3"/>
    <s v="Total Electric Power Industry"/>
    <x v="1"/>
    <n v="31032541"/>
  </r>
  <r>
    <x v="6"/>
    <x v="3"/>
    <s v="Total Electric Power Industry"/>
    <x v="2"/>
    <n v="9214356"/>
  </r>
  <r>
    <x v="6"/>
    <x v="3"/>
    <s v="Total Electric Power Industry"/>
    <x v="3"/>
    <n v="2156382"/>
  </r>
  <r>
    <x v="6"/>
    <x v="3"/>
    <s v="Total Electric Power Industry"/>
    <x v="7"/>
    <n v="28839587"/>
  </r>
  <r>
    <x v="6"/>
    <x v="3"/>
    <s v="Total Electric Power Industry"/>
    <x v="4"/>
    <n v="69810"/>
  </r>
  <r>
    <x v="6"/>
    <x v="3"/>
    <s v="Total Electric Power Industry"/>
    <x v="10"/>
    <n v="265397"/>
  </r>
  <r>
    <x v="6"/>
    <x v="3"/>
    <s v="Total Electric Power Industry"/>
    <x v="6"/>
    <n v="76745"/>
  </r>
  <r>
    <x v="6"/>
    <x v="3"/>
    <s v="Electric Generators, Electric Utilities"/>
    <x v="0"/>
    <n v="70877043"/>
  </r>
  <r>
    <x v="6"/>
    <x v="3"/>
    <s v="Electric Generators, Electric Utilities"/>
    <x v="1"/>
    <n v="30780575"/>
  </r>
  <r>
    <x v="6"/>
    <x v="3"/>
    <s v="Electric Generators, Electric Utilities"/>
    <x v="2"/>
    <n v="9214356"/>
  </r>
  <r>
    <x v="6"/>
    <x v="3"/>
    <s v="Electric Generators, Electric Utilities"/>
    <x v="3"/>
    <n v="1712031"/>
  </r>
  <r>
    <x v="6"/>
    <x v="3"/>
    <s v="Electric Generators, Electric Utilities"/>
    <x v="7"/>
    <n v="28839587"/>
  </r>
  <r>
    <x v="6"/>
    <x v="3"/>
    <s v="Electric Generators, Electric Utilities"/>
    <x v="4"/>
    <n v="65097"/>
  </r>
  <r>
    <x v="6"/>
    <x v="3"/>
    <s v="Electric Generators, Electric Utilities"/>
    <x v="10"/>
    <n v="265397"/>
  </r>
  <r>
    <x v="6"/>
    <x v="3"/>
    <s v="Combined Heat and Power, Industrial Power"/>
    <x v="0"/>
    <n v="367791"/>
  </r>
  <r>
    <x v="6"/>
    <x v="3"/>
    <s v="Combined Heat and Power, Industrial Power"/>
    <x v="1"/>
    <n v="251966"/>
  </r>
  <r>
    <x v="6"/>
    <x v="3"/>
    <s v="Combined Heat and Power, Industrial Power"/>
    <x v="3"/>
    <n v="35330"/>
  </r>
  <r>
    <x v="6"/>
    <x v="3"/>
    <s v="Combined Heat and Power, Industrial Power"/>
    <x v="4"/>
    <n v="3750"/>
  </r>
  <r>
    <x v="6"/>
    <x v="3"/>
    <s v="Combined Heat and Power, Industrial Power"/>
    <x v="6"/>
    <n v="76745"/>
  </r>
  <r>
    <x v="6"/>
    <x v="3"/>
    <s v="Combined Heat and Power, Electric Power"/>
    <x v="0"/>
    <n v="388256"/>
  </r>
  <r>
    <x v="6"/>
    <x v="3"/>
    <s v="Combined Heat and Power, Electric Power"/>
    <x v="3"/>
    <n v="388256"/>
  </r>
  <r>
    <x v="6"/>
    <x v="3"/>
    <s v="Combined Heat and Power, Commercial Power"/>
    <x v="0"/>
    <n v="21728"/>
  </r>
  <r>
    <x v="6"/>
    <x v="3"/>
    <s v="Combined Heat and Power, Commercial Power"/>
    <x v="3"/>
    <n v="20765"/>
  </r>
  <r>
    <x v="6"/>
    <x v="3"/>
    <s v="Combined Heat and Power, Commercial Power"/>
    <x v="4"/>
    <n v="963"/>
  </r>
  <r>
    <x v="6"/>
    <x v="4"/>
    <s v="Total Electric Power Industry"/>
    <x v="0"/>
    <n v="175263204"/>
  </r>
  <r>
    <x v="6"/>
    <x v="4"/>
    <s v="Total Electric Power Industry"/>
    <x v="1"/>
    <n v="2528786"/>
  </r>
  <r>
    <x v="6"/>
    <x v="4"/>
    <s v="Total Electric Power Industry"/>
    <x v="11"/>
    <n v="12340104"/>
  </r>
  <r>
    <x v="6"/>
    <x v="4"/>
    <s v="Total Electric Power Industry"/>
    <x v="2"/>
    <n v="44751343"/>
  </r>
  <r>
    <x v="6"/>
    <x v="4"/>
    <s v="Total Electric Power Industry"/>
    <x v="3"/>
    <n v="64414179"/>
  </r>
  <r>
    <x v="6"/>
    <x v="4"/>
    <s v="Total Electric Power Industry"/>
    <x v="7"/>
    <n v="34096860"/>
  </r>
  <r>
    <x v="6"/>
    <x v="4"/>
    <s v="Total Electric Power Industry"/>
    <x v="12"/>
    <n v="28279"/>
  </r>
  <r>
    <x v="6"/>
    <x v="4"/>
    <s v="Total Electric Power Industry"/>
    <x v="8"/>
    <n v="2321158"/>
  </r>
  <r>
    <x v="6"/>
    <x v="4"/>
    <s v="Total Electric Power Industry"/>
    <x v="9"/>
    <n v="3216924"/>
  </r>
  <r>
    <x v="6"/>
    <x v="4"/>
    <s v="Total Electric Power Industry"/>
    <x v="4"/>
    <n v="2832968"/>
  </r>
  <r>
    <x v="6"/>
    <x v="4"/>
    <s v="Total Electric Power Industry"/>
    <x v="10"/>
    <n v="2194436"/>
  </r>
  <r>
    <x v="6"/>
    <x v="4"/>
    <s v="Total Electric Power Industry"/>
    <x v="13"/>
    <n v="520945"/>
  </r>
  <r>
    <x v="6"/>
    <x v="4"/>
    <s v="Total Electric Power Industry"/>
    <x v="5"/>
    <n v="3078924"/>
  </r>
  <r>
    <x v="6"/>
    <x v="4"/>
    <s v="Total Electric Power Industry"/>
    <x v="6"/>
    <n v="2938298"/>
  </r>
  <r>
    <x v="6"/>
    <x v="4"/>
    <s v="Electric Generators, Independent Power Producers"/>
    <x v="0"/>
    <n v="19079663"/>
  </r>
  <r>
    <x v="6"/>
    <x v="4"/>
    <s v="Electric Generators, Independent Power Producers"/>
    <x v="11"/>
    <n v="7298089"/>
  </r>
  <r>
    <x v="6"/>
    <x v="4"/>
    <s v="Electric Generators, Independent Power Producers"/>
    <x v="2"/>
    <n v="2877643"/>
  </r>
  <r>
    <x v="6"/>
    <x v="4"/>
    <s v="Electric Generators, Independent Power Producers"/>
    <x v="3"/>
    <n v="532031"/>
  </r>
  <r>
    <x v="6"/>
    <x v="4"/>
    <s v="Electric Generators, Independent Power Producers"/>
    <x v="8"/>
    <n v="1883787"/>
  </r>
  <r>
    <x v="6"/>
    <x v="4"/>
    <s v="Electric Generators, Independent Power Producers"/>
    <x v="9"/>
    <n v="295"/>
  </r>
  <r>
    <x v="6"/>
    <x v="4"/>
    <s v="Electric Generators, Independent Power Producers"/>
    <x v="4"/>
    <n v="854805"/>
  </r>
  <r>
    <x v="6"/>
    <x v="4"/>
    <s v="Electric Generators, Independent Power Producers"/>
    <x v="13"/>
    <n v="518036"/>
  </r>
  <r>
    <x v="6"/>
    <x v="4"/>
    <s v="Electric Generators, Independent Power Producers"/>
    <x v="5"/>
    <n v="3068932"/>
  </r>
  <r>
    <x v="6"/>
    <x v="4"/>
    <s v="Electric Generators, Independent Power Producers"/>
    <x v="6"/>
    <n v="2046045"/>
  </r>
  <r>
    <x v="6"/>
    <x v="4"/>
    <s v="Electric Generators, Electric Utilities"/>
    <x v="0"/>
    <n v="114706047"/>
  </r>
  <r>
    <x v="6"/>
    <x v="4"/>
    <s v="Electric Generators, Electric Utilities"/>
    <x v="11"/>
    <n v="5042015"/>
  </r>
  <r>
    <x v="6"/>
    <x v="4"/>
    <s v="Electric Generators, Electric Utilities"/>
    <x v="2"/>
    <n v="41862216"/>
  </r>
  <r>
    <x v="6"/>
    <x v="4"/>
    <s v="Electric Generators, Electric Utilities"/>
    <x v="3"/>
    <n v="30768135"/>
  </r>
  <r>
    <x v="6"/>
    <x v="4"/>
    <s v="Electric Generators, Electric Utilities"/>
    <x v="7"/>
    <n v="34096860"/>
  </r>
  <r>
    <x v="6"/>
    <x v="4"/>
    <s v="Electric Generators, Electric Utilities"/>
    <x v="8"/>
    <n v="54585"/>
  </r>
  <r>
    <x v="6"/>
    <x v="4"/>
    <s v="Electric Generators, Electric Utilities"/>
    <x v="4"/>
    <n v="674899"/>
  </r>
  <r>
    <x v="6"/>
    <x v="4"/>
    <s v="Electric Generators, Electric Utilities"/>
    <x v="10"/>
    <n v="2194436"/>
  </r>
  <r>
    <x v="6"/>
    <x v="4"/>
    <s v="Electric Generators, Electric Utilities"/>
    <x v="13"/>
    <n v="2909"/>
  </r>
  <r>
    <x v="6"/>
    <x v="4"/>
    <s v="Electric Generators, Electric Utilities"/>
    <x v="5"/>
    <n v="9992"/>
  </r>
  <r>
    <x v="6"/>
    <x v="4"/>
    <s v="Combined Heat and Power, Industrial Power"/>
    <x v="0"/>
    <n v="17846278"/>
  </r>
  <r>
    <x v="6"/>
    <x v="4"/>
    <s v="Combined Heat and Power, Industrial Power"/>
    <x v="1"/>
    <n v="814288"/>
  </r>
  <r>
    <x v="6"/>
    <x v="4"/>
    <s v="Combined Heat and Power, Industrial Power"/>
    <x v="3"/>
    <n v="12306040"/>
  </r>
  <r>
    <x v="6"/>
    <x v="4"/>
    <s v="Combined Heat and Power, Industrial Power"/>
    <x v="12"/>
    <n v="28279"/>
  </r>
  <r>
    <x v="6"/>
    <x v="4"/>
    <s v="Combined Heat and Power, Industrial Power"/>
    <x v="8"/>
    <n v="34199"/>
  </r>
  <r>
    <x v="6"/>
    <x v="4"/>
    <s v="Combined Heat and Power, Industrial Power"/>
    <x v="9"/>
    <n v="3120567"/>
  </r>
  <r>
    <x v="6"/>
    <x v="4"/>
    <s v="Combined Heat and Power, Industrial Power"/>
    <x v="4"/>
    <n v="684885"/>
  </r>
  <r>
    <x v="6"/>
    <x v="4"/>
    <s v="Combined Heat and Power, Industrial Power"/>
    <x v="6"/>
    <n v="858020"/>
  </r>
  <r>
    <x v="6"/>
    <x v="4"/>
    <s v="Combined Heat and Power, Electric Power"/>
    <x v="0"/>
    <n v="21512982"/>
  </r>
  <r>
    <x v="6"/>
    <x v="4"/>
    <s v="Combined Heat and Power, Electric Power"/>
    <x v="1"/>
    <n v="1714498"/>
  </r>
  <r>
    <x v="6"/>
    <x v="4"/>
    <s v="Combined Heat and Power, Electric Power"/>
    <x v="3"/>
    <n v="18992383"/>
  </r>
  <r>
    <x v="6"/>
    <x v="4"/>
    <s v="Combined Heat and Power, Electric Power"/>
    <x v="8"/>
    <n v="78367"/>
  </r>
  <r>
    <x v="6"/>
    <x v="4"/>
    <s v="Combined Heat and Power, Electric Power"/>
    <x v="9"/>
    <n v="96058"/>
  </r>
  <r>
    <x v="6"/>
    <x v="4"/>
    <s v="Combined Heat and Power, Electric Power"/>
    <x v="4"/>
    <n v="597443"/>
  </r>
  <r>
    <x v="6"/>
    <x v="4"/>
    <s v="Combined Heat and Power, Electric Power"/>
    <x v="6"/>
    <n v="34233"/>
  </r>
  <r>
    <x v="6"/>
    <x v="4"/>
    <s v="Combined Heat and Power, Commercial Power"/>
    <x v="0"/>
    <n v="2118234"/>
  </r>
  <r>
    <x v="6"/>
    <x v="4"/>
    <s v="Combined Heat and Power, Commercial Power"/>
    <x v="2"/>
    <n v="11484"/>
  </r>
  <r>
    <x v="6"/>
    <x v="4"/>
    <s v="Combined Heat and Power, Commercial Power"/>
    <x v="3"/>
    <n v="1815590"/>
  </r>
  <r>
    <x v="6"/>
    <x v="4"/>
    <s v="Combined Heat and Power, Commercial Power"/>
    <x v="8"/>
    <n v="270220"/>
  </r>
  <r>
    <x v="6"/>
    <x v="4"/>
    <s v="Combined Heat and Power, Commercial Power"/>
    <x v="9"/>
    <n v="4"/>
  </r>
  <r>
    <x v="6"/>
    <x v="4"/>
    <s v="Combined Heat and Power, Commercial Power"/>
    <x v="4"/>
    <n v="20936"/>
  </r>
  <r>
    <x v="6"/>
    <x v="5"/>
    <s v="Total Electric Power Industry"/>
    <x v="0"/>
    <n v="37137360"/>
  </r>
  <r>
    <x v="6"/>
    <x v="5"/>
    <s v="Total Electric Power Industry"/>
    <x v="1"/>
    <n v="32186181"/>
  </r>
  <r>
    <x v="6"/>
    <x v="5"/>
    <s v="Total Electric Power Industry"/>
    <x v="2"/>
    <n v="1820368"/>
  </r>
  <r>
    <x v="6"/>
    <x v="5"/>
    <s v="Total Electric Power Industry"/>
    <x v="3"/>
    <n v="3199664"/>
  </r>
  <r>
    <x v="6"/>
    <x v="5"/>
    <s v="Total Electric Power Industry"/>
    <x v="8"/>
    <n v="33084"/>
  </r>
  <r>
    <x v="6"/>
    <x v="5"/>
    <s v="Total Electric Power Industry"/>
    <x v="4"/>
    <n v="18155"/>
  </r>
  <r>
    <x v="6"/>
    <x v="5"/>
    <s v="Total Electric Power Industry"/>
    <x v="10"/>
    <n v="-120092"/>
  </r>
  <r>
    <x v="6"/>
    <x v="5"/>
    <s v="Electric Generators, Independent Power Producers"/>
    <x v="0"/>
    <n v="267333"/>
  </r>
  <r>
    <x v="6"/>
    <x v="5"/>
    <s v="Electric Generators, Independent Power Producers"/>
    <x v="2"/>
    <n v="115389"/>
  </r>
  <r>
    <x v="6"/>
    <x v="5"/>
    <s v="Electric Generators, Independent Power Producers"/>
    <x v="3"/>
    <n v="151944"/>
  </r>
  <r>
    <x v="6"/>
    <x v="5"/>
    <s v="Electric Generators, Electric Utilities"/>
    <x v="0"/>
    <n v="33971688"/>
  </r>
  <r>
    <x v="6"/>
    <x v="5"/>
    <s v="Electric Generators, Electric Utilities"/>
    <x v="1"/>
    <n v="31952337"/>
  </r>
  <r>
    <x v="6"/>
    <x v="5"/>
    <s v="Electric Generators, Electric Utilities"/>
    <x v="2"/>
    <n v="1704979"/>
  </r>
  <r>
    <x v="6"/>
    <x v="5"/>
    <s v="Electric Generators, Electric Utilities"/>
    <x v="3"/>
    <n v="418925"/>
  </r>
  <r>
    <x v="6"/>
    <x v="5"/>
    <s v="Electric Generators, Electric Utilities"/>
    <x v="8"/>
    <n v="0"/>
  </r>
  <r>
    <x v="6"/>
    <x v="5"/>
    <s v="Electric Generators, Electric Utilities"/>
    <x v="4"/>
    <n v="15539"/>
  </r>
  <r>
    <x v="6"/>
    <x v="5"/>
    <s v="Electric Generators, Electric Utilities"/>
    <x v="10"/>
    <n v="-120092"/>
  </r>
  <r>
    <x v="6"/>
    <x v="5"/>
    <s v="Combined Heat and Power, Industrial Power"/>
    <x v="0"/>
    <n v="90241"/>
  </r>
  <r>
    <x v="6"/>
    <x v="5"/>
    <s v="Combined Heat and Power, Industrial Power"/>
    <x v="3"/>
    <n v="90176"/>
  </r>
  <r>
    <x v="6"/>
    <x v="5"/>
    <s v="Combined Heat and Power, Industrial Power"/>
    <x v="4"/>
    <n v="65"/>
  </r>
  <r>
    <x v="6"/>
    <x v="5"/>
    <s v="Combined Heat and Power, Electric Power"/>
    <x v="0"/>
    <n v="2632008"/>
  </r>
  <r>
    <x v="6"/>
    <x v="5"/>
    <s v="Combined Heat and Power, Electric Power"/>
    <x v="1"/>
    <n v="233844"/>
  </r>
  <r>
    <x v="6"/>
    <x v="5"/>
    <s v="Combined Heat and Power, Electric Power"/>
    <x v="3"/>
    <n v="2396169"/>
  </r>
  <r>
    <x v="6"/>
    <x v="5"/>
    <s v="Combined Heat and Power, Electric Power"/>
    <x v="8"/>
    <n v="1562"/>
  </r>
  <r>
    <x v="6"/>
    <x v="5"/>
    <s v="Combined Heat and Power, Electric Power"/>
    <x v="4"/>
    <n v="433"/>
  </r>
  <r>
    <x v="6"/>
    <x v="5"/>
    <s v="Combined Heat and Power, Commercial Power"/>
    <x v="0"/>
    <n v="176090"/>
  </r>
  <r>
    <x v="6"/>
    <x v="5"/>
    <s v="Combined Heat and Power, Commercial Power"/>
    <x v="3"/>
    <n v="142450"/>
  </r>
  <r>
    <x v="6"/>
    <x v="5"/>
    <s v="Combined Heat and Power, Commercial Power"/>
    <x v="8"/>
    <n v="31522"/>
  </r>
  <r>
    <x v="6"/>
    <x v="5"/>
    <s v="Combined Heat and Power, Commercial Power"/>
    <x v="4"/>
    <n v="2118"/>
  </r>
  <r>
    <x v="6"/>
    <x v="6"/>
    <s v="Total Electric Power Industry"/>
    <x v="0"/>
    <n v="20211398"/>
  </r>
  <r>
    <x v="6"/>
    <x v="6"/>
    <s v="Total Electric Power Industry"/>
    <x v="1"/>
    <n v="3942334"/>
  </r>
  <r>
    <x v="6"/>
    <x v="6"/>
    <s v="Total Electric Power Industry"/>
    <x v="2"/>
    <n v="625923"/>
  </r>
  <r>
    <x v="6"/>
    <x v="6"/>
    <s v="Total Electric Power Industry"/>
    <x v="3"/>
    <n v="1949243"/>
  </r>
  <r>
    <x v="6"/>
    <x v="6"/>
    <s v="Total Electric Power Industry"/>
    <x v="7"/>
    <n v="6225233"/>
  </r>
  <r>
    <x v="6"/>
    <x v="6"/>
    <s v="Total Electric Power Industry"/>
    <x v="12"/>
    <n v="0"/>
  </r>
  <r>
    <x v="6"/>
    <x v="6"/>
    <s v="Total Electric Power Industry"/>
    <x v="8"/>
    <n v="2072869"/>
  </r>
  <r>
    <x v="6"/>
    <x v="6"/>
    <s v="Total Electric Power Industry"/>
    <x v="9"/>
    <n v="64"/>
  </r>
  <r>
    <x v="6"/>
    <x v="6"/>
    <s v="Total Electric Power Industry"/>
    <x v="4"/>
    <n v="5395345"/>
  </r>
  <r>
    <x v="6"/>
    <x v="6"/>
    <s v="Total Electric Power Industry"/>
    <x v="10"/>
    <n v="387"/>
  </r>
  <r>
    <x v="6"/>
    <x v="6"/>
    <s v="Electric Generators, Independent Power Producers"/>
    <x v="0"/>
    <n v="1279140"/>
  </r>
  <r>
    <x v="6"/>
    <x v="6"/>
    <s v="Electric Generators, Independent Power Producers"/>
    <x v="2"/>
    <n v="87767"/>
  </r>
  <r>
    <x v="6"/>
    <x v="6"/>
    <s v="Electric Generators, Independent Power Producers"/>
    <x v="3"/>
    <n v="2168"/>
  </r>
  <r>
    <x v="6"/>
    <x v="6"/>
    <s v="Electric Generators, Independent Power Producers"/>
    <x v="8"/>
    <n v="1184949"/>
  </r>
  <r>
    <x v="6"/>
    <x v="6"/>
    <s v="Electric Generators, Independent Power Producers"/>
    <x v="9"/>
    <n v="64"/>
  </r>
  <r>
    <x v="6"/>
    <x v="6"/>
    <s v="Electric Generators, Independent Power Producers"/>
    <x v="4"/>
    <n v="4192"/>
  </r>
  <r>
    <x v="6"/>
    <x v="6"/>
    <s v="Electric Generators, Electric Utilities"/>
    <x v="0"/>
    <n v="15773738"/>
  </r>
  <r>
    <x v="6"/>
    <x v="6"/>
    <s v="Electric Generators, Electric Utilities"/>
    <x v="1"/>
    <n v="2367889"/>
  </r>
  <r>
    <x v="6"/>
    <x v="6"/>
    <s v="Electric Generators, Electric Utilities"/>
    <x v="2"/>
    <n v="529808"/>
  </r>
  <r>
    <x v="6"/>
    <x v="6"/>
    <s v="Electric Generators, Electric Utilities"/>
    <x v="3"/>
    <n v="958819"/>
  </r>
  <r>
    <x v="6"/>
    <x v="6"/>
    <s v="Electric Generators, Electric Utilities"/>
    <x v="7"/>
    <n v="6225233"/>
  </r>
  <r>
    <x v="6"/>
    <x v="6"/>
    <s v="Electric Generators, Electric Utilities"/>
    <x v="8"/>
    <n v="436552"/>
  </r>
  <r>
    <x v="6"/>
    <x v="6"/>
    <s v="Electric Generators, Electric Utilities"/>
    <x v="4"/>
    <n v="5255050"/>
  </r>
  <r>
    <x v="6"/>
    <x v="6"/>
    <s v="Electric Generators, Electric Utilities"/>
    <x v="10"/>
    <n v="387"/>
  </r>
  <r>
    <x v="6"/>
    <x v="6"/>
    <s v="Combined Heat and Power, Industrial Power"/>
    <x v="0"/>
    <n v="307575"/>
  </r>
  <r>
    <x v="6"/>
    <x v="6"/>
    <s v="Combined Heat and Power, Industrial Power"/>
    <x v="2"/>
    <n v="8348"/>
  </r>
  <r>
    <x v="6"/>
    <x v="6"/>
    <s v="Combined Heat and Power, Industrial Power"/>
    <x v="3"/>
    <n v="179577"/>
  </r>
  <r>
    <x v="6"/>
    <x v="6"/>
    <s v="Combined Heat and Power, Industrial Power"/>
    <x v="12"/>
    <n v="0"/>
  </r>
  <r>
    <x v="6"/>
    <x v="6"/>
    <s v="Combined Heat and Power, Industrial Power"/>
    <x v="4"/>
    <n v="119650"/>
  </r>
  <r>
    <x v="6"/>
    <x v="6"/>
    <s v="Combined Heat and Power, Electric Power"/>
    <x v="0"/>
    <n v="2289052"/>
  </r>
  <r>
    <x v="6"/>
    <x v="6"/>
    <s v="Combined Heat and Power, Electric Power"/>
    <x v="1"/>
    <n v="1555594"/>
  </r>
  <r>
    <x v="6"/>
    <x v="6"/>
    <s v="Combined Heat and Power, Electric Power"/>
    <x v="3"/>
    <n v="717735"/>
  </r>
  <r>
    <x v="6"/>
    <x v="6"/>
    <s v="Combined Heat and Power, Electric Power"/>
    <x v="4"/>
    <n v="15723"/>
  </r>
  <r>
    <x v="6"/>
    <x v="6"/>
    <s v="Combined Heat and Power, Commercial Power"/>
    <x v="0"/>
    <n v="561893"/>
  </r>
  <r>
    <x v="6"/>
    <x v="6"/>
    <s v="Combined Heat and Power, Commercial Power"/>
    <x v="1"/>
    <n v="18851"/>
  </r>
  <r>
    <x v="6"/>
    <x v="6"/>
    <s v="Combined Heat and Power, Commercial Power"/>
    <x v="3"/>
    <n v="90944"/>
  </r>
  <r>
    <x v="6"/>
    <x v="6"/>
    <s v="Combined Heat and Power, Commercial Power"/>
    <x v="8"/>
    <n v="451368"/>
  </r>
  <r>
    <x v="6"/>
    <x v="6"/>
    <s v="Combined Heat and Power, Commercial Power"/>
    <x v="4"/>
    <n v="730"/>
  </r>
  <r>
    <x v="6"/>
    <x v="7"/>
    <s v="Total Electric Power Industry"/>
    <x v="0"/>
    <n v="109809"/>
  </r>
  <r>
    <x v="6"/>
    <x v="7"/>
    <s v="Total Electric Power Industry"/>
    <x v="4"/>
    <n v="109809"/>
  </r>
  <r>
    <x v="6"/>
    <x v="7"/>
    <s v="Electric Generators, Electric Utilities"/>
    <x v="0"/>
    <n v="109809"/>
  </r>
  <r>
    <x v="6"/>
    <x v="7"/>
    <s v="Electric Generators, Electric Utilities"/>
    <x v="4"/>
    <n v="109809"/>
  </r>
  <r>
    <x v="6"/>
    <x v="8"/>
    <s v="Total Electric Power Industry"/>
    <x v="0"/>
    <n v="8854449"/>
  </r>
  <r>
    <x v="6"/>
    <x v="8"/>
    <s v="Total Electric Power Industry"/>
    <x v="1"/>
    <n v="4410764"/>
  </r>
  <r>
    <x v="6"/>
    <x v="8"/>
    <s v="Total Electric Power Industry"/>
    <x v="3"/>
    <n v="2716813"/>
  </r>
  <r>
    <x v="6"/>
    <x v="8"/>
    <s v="Total Electric Power Industry"/>
    <x v="9"/>
    <n v="157795"/>
  </r>
  <r>
    <x v="6"/>
    <x v="8"/>
    <s v="Total Electric Power Industry"/>
    <x v="4"/>
    <n v="1569077"/>
  </r>
  <r>
    <x v="6"/>
    <x v="8"/>
    <s v="Electric Generators, Electric Utilities"/>
    <x v="0"/>
    <n v="8121853"/>
  </r>
  <r>
    <x v="6"/>
    <x v="8"/>
    <s v="Electric Generators, Electric Utilities"/>
    <x v="1"/>
    <n v="4225125"/>
  </r>
  <r>
    <x v="6"/>
    <x v="8"/>
    <s v="Electric Generators, Electric Utilities"/>
    <x v="3"/>
    <n v="2708434"/>
  </r>
  <r>
    <x v="6"/>
    <x v="8"/>
    <s v="Electric Generators, Electric Utilities"/>
    <x v="4"/>
    <n v="1188294"/>
  </r>
  <r>
    <x v="6"/>
    <x v="8"/>
    <s v="Combined Heat and Power, Industrial Power"/>
    <x v="0"/>
    <n v="732596"/>
  </r>
  <r>
    <x v="6"/>
    <x v="8"/>
    <s v="Combined Heat and Power, Industrial Power"/>
    <x v="1"/>
    <n v="185639"/>
  </r>
  <r>
    <x v="6"/>
    <x v="8"/>
    <s v="Combined Heat and Power, Industrial Power"/>
    <x v="3"/>
    <n v="8379"/>
  </r>
  <r>
    <x v="6"/>
    <x v="8"/>
    <s v="Combined Heat and Power, Industrial Power"/>
    <x v="9"/>
    <n v="157795"/>
  </r>
  <r>
    <x v="6"/>
    <x v="8"/>
    <s v="Combined Heat and Power, Industrial Power"/>
    <x v="4"/>
    <n v="380783"/>
  </r>
  <r>
    <x v="6"/>
    <x v="9"/>
    <s v="Total Electric Power Industry"/>
    <x v="0"/>
    <n v="167084936"/>
  </r>
  <r>
    <x v="6"/>
    <x v="9"/>
    <s v="Total Electric Power Industry"/>
    <x v="1"/>
    <n v="70856789"/>
  </r>
  <r>
    <x v="6"/>
    <x v="9"/>
    <s v="Total Electric Power Industry"/>
    <x v="2"/>
    <n v="215560"/>
  </r>
  <r>
    <x v="6"/>
    <x v="9"/>
    <s v="Total Electric Power Industry"/>
    <x v="3"/>
    <n v="39234685"/>
  </r>
  <r>
    <x v="6"/>
    <x v="9"/>
    <s v="Total Electric Power Industry"/>
    <x v="7"/>
    <n v="25470291"/>
  </r>
  <r>
    <x v="6"/>
    <x v="9"/>
    <s v="Total Electric Power Industry"/>
    <x v="12"/>
    <n v="2044941"/>
  </r>
  <r>
    <x v="6"/>
    <x v="9"/>
    <s v="Total Electric Power Industry"/>
    <x v="8"/>
    <n v="3431163"/>
  </r>
  <r>
    <x v="6"/>
    <x v="9"/>
    <s v="Total Electric Power Industry"/>
    <x v="9"/>
    <n v="29306"/>
  </r>
  <r>
    <x v="6"/>
    <x v="9"/>
    <s v="Total Electric Power Industry"/>
    <x v="4"/>
    <n v="23384513"/>
  </r>
  <r>
    <x v="6"/>
    <x v="9"/>
    <s v="Total Electric Power Industry"/>
    <x v="6"/>
    <n v="2417688"/>
  </r>
  <r>
    <x v="6"/>
    <x v="9"/>
    <s v="Electric Generators, Independent Power Producers"/>
    <x v="0"/>
    <n v="3902843"/>
  </r>
  <r>
    <x v="6"/>
    <x v="9"/>
    <s v="Electric Generators, Independent Power Producers"/>
    <x v="3"/>
    <n v="497556"/>
  </r>
  <r>
    <x v="6"/>
    <x v="9"/>
    <s v="Electric Generators, Independent Power Producers"/>
    <x v="8"/>
    <n v="3135382"/>
  </r>
  <r>
    <x v="6"/>
    <x v="9"/>
    <s v="Electric Generators, Independent Power Producers"/>
    <x v="9"/>
    <n v="2041"/>
  </r>
  <r>
    <x v="6"/>
    <x v="9"/>
    <s v="Electric Generators, Independent Power Producers"/>
    <x v="4"/>
    <n v="23177"/>
  </r>
  <r>
    <x v="6"/>
    <x v="9"/>
    <s v="Electric Generators, Independent Power Producers"/>
    <x v="6"/>
    <n v="244687"/>
  </r>
  <r>
    <x v="6"/>
    <x v="9"/>
    <s v="Electric Generators, Electric Utilities"/>
    <x v="0"/>
    <n v="145140217"/>
  </r>
  <r>
    <x v="6"/>
    <x v="9"/>
    <s v="Electric Generators, Electric Utilities"/>
    <x v="1"/>
    <n v="65782399"/>
  </r>
  <r>
    <x v="6"/>
    <x v="9"/>
    <s v="Electric Generators, Electric Utilities"/>
    <x v="2"/>
    <n v="215560"/>
  </r>
  <r>
    <x v="6"/>
    <x v="9"/>
    <s v="Electric Generators, Electric Utilities"/>
    <x v="3"/>
    <n v="30781402"/>
  </r>
  <r>
    <x v="6"/>
    <x v="9"/>
    <s v="Electric Generators, Electric Utilities"/>
    <x v="7"/>
    <n v="25470291"/>
  </r>
  <r>
    <x v="6"/>
    <x v="9"/>
    <s v="Electric Generators, Electric Utilities"/>
    <x v="4"/>
    <n v="22890565"/>
  </r>
  <r>
    <x v="6"/>
    <x v="9"/>
    <s v="Combined Heat and Power, Industrial Power"/>
    <x v="0"/>
    <n v="6792410"/>
  </r>
  <r>
    <x v="6"/>
    <x v="9"/>
    <s v="Combined Heat and Power, Industrial Power"/>
    <x v="1"/>
    <n v="342682"/>
  </r>
  <r>
    <x v="6"/>
    <x v="9"/>
    <s v="Combined Heat and Power, Industrial Power"/>
    <x v="3"/>
    <n v="1759940"/>
  </r>
  <r>
    <x v="6"/>
    <x v="9"/>
    <s v="Combined Heat and Power, Industrial Power"/>
    <x v="12"/>
    <n v="2044941"/>
  </r>
  <r>
    <x v="6"/>
    <x v="9"/>
    <s v="Combined Heat and Power, Industrial Power"/>
    <x v="8"/>
    <n v="114443"/>
  </r>
  <r>
    <x v="6"/>
    <x v="9"/>
    <s v="Combined Heat and Power, Industrial Power"/>
    <x v="9"/>
    <n v="27191"/>
  </r>
  <r>
    <x v="6"/>
    <x v="9"/>
    <s v="Combined Heat and Power, Industrial Power"/>
    <x v="4"/>
    <n v="456964"/>
  </r>
  <r>
    <x v="6"/>
    <x v="9"/>
    <s v="Combined Heat and Power, Industrial Power"/>
    <x v="6"/>
    <n v="2046249"/>
  </r>
  <r>
    <x v="6"/>
    <x v="9"/>
    <s v="Combined Heat and Power, Electric Power"/>
    <x v="0"/>
    <n v="11124861"/>
  </r>
  <r>
    <x v="6"/>
    <x v="9"/>
    <s v="Combined Heat and Power, Electric Power"/>
    <x v="1"/>
    <n v="4731708"/>
  </r>
  <r>
    <x v="6"/>
    <x v="9"/>
    <s v="Combined Heat and Power, Electric Power"/>
    <x v="3"/>
    <n v="6109443"/>
  </r>
  <r>
    <x v="6"/>
    <x v="9"/>
    <s v="Combined Heat and Power, Electric Power"/>
    <x v="8"/>
    <n v="144312"/>
  </r>
  <r>
    <x v="6"/>
    <x v="9"/>
    <s v="Combined Heat and Power, Electric Power"/>
    <x v="9"/>
    <n v="74"/>
  </r>
  <r>
    <x v="6"/>
    <x v="9"/>
    <s v="Combined Heat and Power, Electric Power"/>
    <x v="4"/>
    <n v="12572"/>
  </r>
  <r>
    <x v="6"/>
    <x v="9"/>
    <s v="Combined Heat and Power, Electric Power"/>
    <x v="6"/>
    <n v="126752"/>
  </r>
  <r>
    <x v="6"/>
    <x v="9"/>
    <s v="Combined Heat and Power, Commercial Power"/>
    <x v="0"/>
    <n v="124605"/>
  </r>
  <r>
    <x v="6"/>
    <x v="9"/>
    <s v="Combined Heat and Power, Commercial Power"/>
    <x v="3"/>
    <n v="86344"/>
  </r>
  <r>
    <x v="6"/>
    <x v="9"/>
    <s v="Combined Heat and Power, Commercial Power"/>
    <x v="8"/>
    <n v="37026"/>
  </r>
  <r>
    <x v="6"/>
    <x v="9"/>
    <s v="Combined Heat and Power, Commercial Power"/>
    <x v="4"/>
    <n v="1235"/>
  </r>
  <r>
    <x v="6"/>
    <x v="10"/>
    <s v="Total Electric Power Industry"/>
    <x v="0"/>
    <n v="104320041"/>
  </r>
  <r>
    <x v="6"/>
    <x v="10"/>
    <s v="Total Electric Power Industry"/>
    <x v="1"/>
    <n v="64235966"/>
  </r>
  <r>
    <x v="6"/>
    <x v="10"/>
    <s v="Total Electric Power Industry"/>
    <x v="2"/>
    <n v="4678960"/>
  </r>
  <r>
    <x v="6"/>
    <x v="10"/>
    <s v="Total Electric Power Industry"/>
    <x v="3"/>
    <n v="1018978"/>
  </r>
  <r>
    <x v="6"/>
    <x v="10"/>
    <s v="Total Electric Power Industry"/>
    <x v="7"/>
    <n v="29925001"/>
  </r>
  <r>
    <x v="6"/>
    <x v="10"/>
    <s v="Total Electric Power Industry"/>
    <x v="8"/>
    <n v="101771"/>
  </r>
  <r>
    <x v="6"/>
    <x v="10"/>
    <s v="Total Electric Power Industry"/>
    <x v="9"/>
    <n v="124"/>
  </r>
  <r>
    <x v="6"/>
    <x v="10"/>
    <s v="Total Electric Power Industry"/>
    <x v="4"/>
    <n v="1025888"/>
  </r>
  <r>
    <x v="6"/>
    <x v="10"/>
    <s v="Total Electric Power Industry"/>
    <x v="10"/>
    <n v="310102"/>
  </r>
  <r>
    <x v="6"/>
    <x v="10"/>
    <s v="Total Electric Power Industry"/>
    <x v="6"/>
    <n v="3023251"/>
  </r>
  <r>
    <x v="6"/>
    <x v="10"/>
    <s v="Electric Generators, Independent Power Producers"/>
    <x v="0"/>
    <n v="123790"/>
  </r>
  <r>
    <x v="6"/>
    <x v="10"/>
    <s v="Electric Generators, Independent Power Producers"/>
    <x v="2"/>
    <n v="11641"/>
  </r>
  <r>
    <x v="6"/>
    <x v="10"/>
    <s v="Electric Generators, Independent Power Producers"/>
    <x v="3"/>
    <n v="91787"/>
  </r>
  <r>
    <x v="6"/>
    <x v="10"/>
    <s v="Electric Generators, Independent Power Producers"/>
    <x v="8"/>
    <n v="18521"/>
  </r>
  <r>
    <x v="6"/>
    <x v="10"/>
    <s v="Electric Generators, Independent Power Producers"/>
    <x v="4"/>
    <n v="1841"/>
  </r>
  <r>
    <x v="6"/>
    <x v="10"/>
    <s v="Electric Generators, Electric Utilities"/>
    <x v="0"/>
    <n v="98729242"/>
  </r>
  <r>
    <x v="6"/>
    <x v="10"/>
    <s v="Electric Generators, Electric Utilities"/>
    <x v="1"/>
    <n v="63230856"/>
  </r>
  <r>
    <x v="6"/>
    <x v="10"/>
    <s v="Electric Generators, Electric Utilities"/>
    <x v="2"/>
    <n v="4626275"/>
  </r>
  <r>
    <x v="6"/>
    <x v="10"/>
    <s v="Electric Generators, Electric Utilities"/>
    <x v="3"/>
    <n v="344990"/>
  </r>
  <r>
    <x v="6"/>
    <x v="10"/>
    <s v="Electric Generators, Electric Utilities"/>
    <x v="7"/>
    <n v="29925001"/>
  </r>
  <r>
    <x v="6"/>
    <x v="10"/>
    <s v="Electric Generators, Electric Utilities"/>
    <x v="4"/>
    <n v="292018"/>
  </r>
  <r>
    <x v="6"/>
    <x v="10"/>
    <s v="Electric Generators, Electric Utilities"/>
    <x v="10"/>
    <n v="310102"/>
  </r>
  <r>
    <x v="6"/>
    <x v="10"/>
    <s v="Combined Heat and Power, Industrial Power"/>
    <x v="0"/>
    <n v="5460361"/>
  </r>
  <r>
    <x v="6"/>
    <x v="10"/>
    <s v="Combined Heat and Power, Industrial Power"/>
    <x v="1"/>
    <n v="1005110"/>
  </r>
  <r>
    <x v="6"/>
    <x v="10"/>
    <s v="Combined Heat and Power, Industrial Power"/>
    <x v="2"/>
    <n v="41044"/>
  </r>
  <r>
    <x v="6"/>
    <x v="10"/>
    <s v="Combined Heat and Power, Industrial Power"/>
    <x v="3"/>
    <n v="582201"/>
  </r>
  <r>
    <x v="6"/>
    <x v="10"/>
    <s v="Combined Heat and Power, Industrial Power"/>
    <x v="8"/>
    <n v="83250"/>
  </r>
  <r>
    <x v="6"/>
    <x v="10"/>
    <s v="Combined Heat and Power, Industrial Power"/>
    <x v="9"/>
    <n v="124"/>
  </r>
  <r>
    <x v="6"/>
    <x v="10"/>
    <s v="Combined Heat and Power, Industrial Power"/>
    <x v="4"/>
    <n v="725381"/>
  </r>
  <r>
    <x v="6"/>
    <x v="10"/>
    <s v="Combined Heat and Power, Industrial Power"/>
    <x v="6"/>
    <n v="3023251"/>
  </r>
  <r>
    <x v="6"/>
    <x v="10"/>
    <s v="Combined Heat and Power, Commercial Power"/>
    <x v="0"/>
    <n v="6648"/>
  </r>
  <r>
    <x v="6"/>
    <x v="10"/>
    <s v="Combined Heat and Power, Commercial Power"/>
    <x v="4"/>
    <n v="6648"/>
  </r>
  <r>
    <x v="6"/>
    <x v="11"/>
    <s v="Total Electric Power Industry"/>
    <x v="0"/>
    <n v="10627894"/>
  </r>
  <r>
    <x v="6"/>
    <x v="11"/>
    <s v="Total Electric Power Industry"/>
    <x v="1"/>
    <n v="1643103"/>
  </r>
  <r>
    <x v="6"/>
    <x v="11"/>
    <s v="Total Electric Power Industry"/>
    <x v="11"/>
    <n v="241985"/>
  </r>
  <r>
    <x v="6"/>
    <x v="11"/>
    <s v="Total Electric Power Industry"/>
    <x v="2"/>
    <n v="104032"/>
  </r>
  <r>
    <x v="6"/>
    <x v="11"/>
    <s v="Total Electric Power Industry"/>
    <x v="8"/>
    <n v="591765"/>
  </r>
  <r>
    <x v="6"/>
    <x v="11"/>
    <s v="Total Electric Power Industry"/>
    <x v="9"/>
    <n v="60365"/>
  </r>
  <r>
    <x v="6"/>
    <x v="11"/>
    <s v="Total Electric Power Industry"/>
    <x v="4"/>
    <n v="7963117"/>
  </r>
  <r>
    <x v="6"/>
    <x v="11"/>
    <s v="Total Electric Power Industry"/>
    <x v="5"/>
    <n v="22528"/>
  </r>
  <r>
    <x v="6"/>
    <x v="11"/>
    <s v="Total Electric Power Industry"/>
    <x v="6"/>
    <n v="999"/>
  </r>
  <r>
    <x v="6"/>
    <x v="11"/>
    <s v="Electric Generators, Independent Power Producers"/>
    <x v="0"/>
    <n v="606406"/>
  </r>
  <r>
    <x v="6"/>
    <x v="11"/>
    <s v="Electric Generators, Independent Power Producers"/>
    <x v="11"/>
    <n v="241985"/>
  </r>
  <r>
    <x v="6"/>
    <x v="11"/>
    <s v="Electric Generators, Independent Power Producers"/>
    <x v="2"/>
    <n v="21246"/>
  </r>
  <r>
    <x v="6"/>
    <x v="11"/>
    <s v="Electric Generators, Independent Power Producers"/>
    <x v="8"/>
    <n v="318643"/>
  </r>
  <r>
    <x v="6"/>
    <x v="11"/>
    <s v="Electric Generators, Independent Power Producers"/>
    <x v="4"/>
    <n v="2004"/>
  </r>
  <r>
    <x v="6"/>
    <x v="11"/>
    <s v="Electric Generators, Independent Power Producers"/>
    <x v="5"/>
    <n v="22528"/>
  </r>
  <r>
    <x v="6"/>
    <x v="11"/>
    <s v="Electric Generators, Electric Utilities"/>
    <x v="0"/>
    <n v="6420195"/>
  </r>
  <r>
    <x v="6"/>
    <x v="11"/>
    <s v="Electric Generators, Electric Utilities"/>
    <x v="2"/>
    <n v="17866"/>
  </r>
  <r>
    <x v="6"/>
    <x v="11"/>
    <s v="Electric Generators, Electric Utilities"/>
    <x v="4"/>
    <n v="6402329"/>
  </r>
  <r>
    <x v="6"/>
    <x v="11"/>
    <s v="Combined Heat and Power, Industrial Power"/>
    <x v="0"/>
    <n v="669415"/>
  </r>
  <r>
    <x v="6"/>
    <x v="11"/>
    <s v="Combined Heat and Power, Industrial Power"/>
    <x v="1"/>
    <n v="59665"/>
  </r>
  <r>
    <x v="6"/>
    <x v="11"/>
    <s v="Combined Heat and Power, Industrial Power"/>
    <x v="2"/>
    <n v="64920"/>
  </r>
  <r>
    <x v="6"/>
    <x v="11"/>
    <s v="Combined Heat and Power, Industrial Power"/>
    <x v="8"/>
    <n v="272130"/>
  </r>
  <r>
    <x v="6"/>
    <x v="11"/>
    <s v="Combined Heat and Power, Industrial Power"/>
    <x v="9"/>
    <n v="60365"/>
  </r>
  <r>
    <x v="6"/>
    <x v="11"/>
    <s v="Combined Heat and Power, Industrial Power"/>
    <x v="4"/>
    <n v="211336"/>
  </r>
  <r>
    <x v="6"/>
    <x v="11"/>
    <s v="Combined Heat and Power, Industrial Power"/>
    <x v="6"/>
    <n v="999"/>
  </r>
  <r>
    <x v="6"/>
    <x v="11"/>
    <s v="Combined Heat and Power, Electric Power"/>
    <x v="0"/>
    <n v="2931878"/>
  </r>
  <r>
    <x v="6"/>
    <x v="11"/>
    <s v="Combined Heat and Power, Electric Power"/>
    <x v="1"/>
    <n v="1583438"/>
  </r>
  <r>
    <x v="6"/>
    <x v="11"/>
    <s v="Combined Heat and Power, Electric Power"/>
    <x v="8"/>
    <n v="992"/>
  </r>
  <r>
    <x v="6"/>
    <x v="11"/>
    <s v="Combined Heat and Power, Electric Power"/>
    <x v="4"/>
    <n v="1347448"/>
  </r>
  <r>
    <x v="6"/>
    <x v="12"/>
    <s v="Total Electric Power Industry"/>
    <x v="0"/>
    <n v="34688615"/>
  </r>
  <r>
    <x v="6"/>
    <x v="12"/>
    <s v="Total Electric Power Industry"/>
    <x v="1"/>
    <n v="29342950"/>
  </r>
  <r>
    <x v="6"/>
    <x v="12"/>
    <s v="Total Electric Power Industry"/>
    <x v="2"/>
    <n v="935333"/>
  </r>
  <r>
    <x v="6"/>
    <x v="12"/>
    <s v="Total Electric Power Industry"/>
    <x v="3"/>
    <n v="349467"/>
  </r>
  <r>
    <x v="6"/>
    <x v="12"/>
    <s v="Total Electric Power Industry"/>
    <x v="7"/>
    <n v="3923631"/>
  </r>
  <r>
    <x v="6"/>
    <x v="12"/>
    <s v="Total Electric Power Industry"/>
    <x v="8"/>
    <n v="68760"/>
  </r>
  <r>
    <x v="6"/>
    <x v="12"/>
    <s v="Total Electric Power Industry"/>
    <x v="4"/>
    <n v="67405"/>
  </r>
  <r>
    <x v="6"/>
    <x v="12"/>
    <s v="Total Electric Power Industry"/>
    <x v="5"/>
    <n v="108"/>
  </r>
  <r>
    <x v="6"/>
    <x v="12"/>
    <s v="Total Electric Power Industry"/>
    <x v="6"/>
    <n v="961"/>
  </r>
  <r>
    <x v="6"/>
    <x v="12"/>
    <s v="Electric Generators, Independent Power Producers"/>
    <x v="0"/>
    <n v="21981"/>
  </r>
  <r>
    <x v="6"/>
    <x v="12"/>
    <s v="Electric Generators, Independent Power Producers"/>
    <x v="2"/>
    <n v="17153"/>
  </r>
  <r>
    <x v="6"/>
    <x v="12"/>
    <s v="Electric Generators, Independent Power Producers"/>
    <x v="4"/>
    <n v="4828"/>
  </r>
  <r>
    <x v="6"/>
    <x v="12"/>
    <s v="Electric Generators, Electric Utilities"/>
    <x v="0"/>
    <n v="33386873"/>
  </r>
  <r>
    <x v="6"/>
    <x v="12"/>
    <s v="Electric Generators, Electric Utilities"/>
    <x v="1"/>
    <n v="28282531"/>
  </r>
  <r>
    <x v="6"/>
    <x v="12"/>
    <s v="Electric Generators, Electric Utilities"/>
    <x v="2"/>
    <n v="918180"/>
  </r>
  <r>
    <x v="6"/>
    <x v="12"/>
    <s v="Electric Generators, Electric Utilities"/>
    <x v="3"/>
    <n v="188725"/>
  </r>
  <r>
    <x v="6"/>
    <x v="12"/>
    <s v="Electric Generators, Electric Utilities"/>
    <x v="7"/>
    <n v="3923631"/>
  </r>
  <r>
    <x v="6"/>
    <x v="12"/>
    <s v="Electric Generators, Electric Utilities"/>
    <x v="8"/>
    <n v="22634"/>
  </r>
  <r>
    <x v="6"/>
    <x v="12"/>
    <s v="Electric Generators, Electric Utilities"/>
    <x v="4"/>
    <n v="51064"/>
  </r>
  <r>
    <x v="6"/>
    <x v="12"/>
    <s v="Electric Generators, Electric Utilities"/>
    <x v="5"/>
    <n v="108"/>
  </r>
  <r>
    <x v="6"/>
    <x v="12"/>
    <s v="Combined Heat and Power, Industrial Power"/>
    <x v="0"/>
    <n v="1058089"/>
  </r>
  <r>
    <x v="6"/>
    <x v="12"/>
    <s v="Combined Heat and Power, Industrial Power"/>
    <x v="1"/>
    <n v="908652"/>
  </r>
  <r>
    <x v="6"/>
    <x v="12"/>
    <s v="Combined Heat and Power, Industrial Power"/>
    <x v="3"/>
    <n v="146985"/>
  </r>
  <r>
    <x v="6"/>
    <x v="12"/>
    <s v="Combined Heat and Power, Industrial Power"/>
    <x v="4"/>
    <n v="1491"/>
  </r>
  <r>
    <x v="6"/>
    <x v="12"/>
    <s v="Combined Heat and Power, Industrial Power"/>
    <x v="6"/>
    <n v="961"/>
  </r>
  <r>
    <x v="6"/>
    <x v="12"/>
    <s v="Combined Heat and Power, Electric Power"/>
    <x v="0"/>
    <n v="131155"/>
  </r>
  <r>
    <x v="6"/>
    <x v="12"/>
    <s v="Combined Heat and Power, Electric Power"/>
    <x v="1"/>
    <n v="91732"/>
  </r>
  <r>
    <x v="6"/>
    <x v="12"/>
    <s v="Combined Heat and Power, Electric Power"/>
    <x v="8"/>
    <n v="39423"/>
  </r>
  <r>
    <x v="6"/>
    <x v="12"/>
    <s v="Combined Heat and Power, Commercial Power"/>
    <x v="0"/>
    <n v="90517"/>
  </r>
  <r>
    <x v="6"/>
    <x v="12"/>
    <s v="Combined Heat and Power, Commercial Power"/>
    <x v="1"/>
    <n v="60035"/>
  </r>
  <r>
    <x v="6"/>
    <x v="12"/>
    <s v="Combined Heat and Power, Commercial Power"/>
    <x v="3"/>
    <n v="13757"/>
  </r>
  <r>
    <x v="6"/>
    <x v="12"/>
    <s v="Combined Heat and Power, Commercial Power"/>
    <x v="8"/>
    <n v="6703"/>
  </r>
  <r>
    <x v="6"/>
    <x v="12"/>
    <s v="Combined Heat and Power, Commercial Power"/>
    <x v="4"/>
    <n v="10022"/>
  </r>
  <r>
    <x v="6"/>
    <x v="13"/>
    <s v="Total Electric Power Industry"/>
    <x v="0"/>
    <n v="14089808"/>
  </r>
  <r>
    <x v="6"/>
    <x v="13"/>
    <s v="Total Electric Power Industry"/>
    <x v="1"/>
    <n v="30062"/>
  </r>
  <r>
    <x v="6"/>
    <x v="13"/>
    <s v="Total Electric Power Industry"/>
    <x v="2"/>
    <n v="13283248"/>
  </r>
  <r>
    <x v="6"/>
    <x v="13"/>
    <s v="Total Electric Power Industry"/>
    <x v="3"/>
    <n v="167850"/>
  </r>
  <r>
    <x v="6"/>
    <x v="13"/>
    <s v="Total Electric Power Industry"/>
    <x v="12"/>
    <n v="95604"/>
  </r>
  <r>
    <x v="6"/>
    <x v="13"/>
    <s v="Total Electric Power Industry"/>
    <x v="8"/>
    <n v="3683"/>
  </r>
  <r>
    <x v="6"/>
    <x v="13"/>
    <s v="Total Electric Power Industry"/>
    <x v="4"/>
    <n v="1284"/>
  </r>
  <r>
    <x v="6"/>
    <x v="13"/>
    <s v="Total Electric Power Industry"/>
    <x v="6"/>
    <n v="508077"/>
  </r>
  <r>
    <x v="6"/>
    <x v="13"/>
    <s v="Electric Generators, Independent Power Producers"/>
    <x v="0"/>
    <n v="1052688"/>
  </r>
  <r>
    <x v="6"/>
    <x v="13"/>
    <s v="Electric Generators, Independent Power Producers"/>
    <x v="2"/>
    <n v="1052688"/>
  </r>
  <r>
    <x v="6"/>
    <x v="13"/>
    <s v="Electric Generators, Electric Utilities"/>
    <x v="0"/>
    <n v="12230805"/>
  </r>
  <r>
    <x v="6"/>
    <x v="13"/>
    <s v="Electric Generators, Electric Utilities"/>
    <x v="2"/>
    <n v="12230560"/>
  </r>
  <r>
    <x v="6"/>
    <x v="13"/>
    <s v="Electric Generators, Electric Utilities"/>
    <x v="3"/>
    <n v="0"/>
  </r>
  <r>
    <x v="6"/>
    <x v="13"/>
    <s v="Electric Generators, Electric Utilities"/>
    <x v="4"/>
    <n v="245"/>
  </r>
  <r>
    <x v="6"/>
    <x v="13"/>
    <s v="Combined Heat and Power, Industrial Power"/>
    <x v="0"/>
    <n v="708604"/>
  </r>
  <r>
    <x v="6"/>
    <x v="13"/>
    <s v="Combined Heat and Power, Industrial Power"/>
    <x v="1"/>
    <n v="30062"/>
  </r>
  <r>
    <x v="6"/>
    <x v="13"/>
    <s v="Combined Heat and Power, Industrial Power"/>
    <x v="3"/>
    <n v="151426"/>
  </r>
  <r>
    <x v="6"/>
    <x v="13"/>
    <s v="Combined Heat and Power, Industrial Power"/>
    <x v="12"/>
    <n v="95604"/>
  </r>
  <r>
    <x v="6"/>
    <x v="13"/>
    <s v="Combined Heat and Power, Industrial Power"/>
    <x v="8"/>
    <n v="3683"/>
  </r>
  <r>
    <x v="6"/>
    <x v="13"/>
    <s v="Combined Heat and Power, Industrial Power"/>
    <x v="4"/>
    <n v="1039"/>
  </r>
  <r>
    <x v="6"/>
    <x v="13"/>
    <s v="Combined Heat and Power, Industrial Power"/>
    <x v="6"/>
    <n v="426790"/>
  </r>
  <r>
    <x v="6"/>
    <x v="13"/>
    <s v="Combined Heat and Power, Electric Power"/>
    <x v="0"/>
    <n v="97711"/>
  </r>
  <r>
    <x v="6"/>
    <x v="13"/>
    <s v="Combined Heat and Power, Electric Power"/>
    <x v="3"/>
    <n v="16424"/>
  </r>
  <r>
    <x v="6"/>
    <x v="13"/>
    <s v="Combined Heat and Power, Electric Power"/>
    <x v="6"/>
    <n v="81287"/>
  </r>
  <r>
    <x v="6"/>
    <x v="14"/>
    <s v="Total Electric Power Industry"/>
    <x v="0"/>
    <n v="147733029"/>
  </r>
  <r>
    <x v="6"/>
    <x v="14"/>
    <s v="Total Electric Power Industry"/>
    <x v="1"/>
    <n v="73348075"/>
  </r>
  <r>
    <x v="6"/>
    <x v="14"/>
    <s v="Total Electric Power Industry"/>
    <x v="2"/>
    <n v="105589"/>
  </r>
  <r>
    <x v="6"/>
    <x v="14"/>
    <s v="Total Electric Power Industry"/>
    <x v="3"/>
    <n v="2813768"/>
  </r>
  <r>
    <x v="6"/>
    <x v="14"/>
    <s v="Total Electric Power Industry"/>
    <x v="7"/>
    <n v="69774356"/>
  </r>
  <r>
    <x v="6"/>
    <x v="14"/>
    <s v="Total Electric Power Industry"/>
    <x v="8"/>
    <n v="459414"/>
  </r>
  <r>
    <x v="6"/>
    <x v="14"/>
    <s v="Total Electric Power Industry"/>
    <x v="9"/>
    <n v="399493"/>
  </r>
  <r>
    <x v="6"/>
    <x v="14"/>
    <s v="Total Electric Power Industry"/>
    <x v="4"/>
    <n v="829763"/>
  </r>
  <r>
    <x v="6"/>
    <x v="14"/>
    <s v="Total Electric Power Industry"/>
    <x v="6"/>
    <n v="2571"/>
  </r>
  <r>
    <x v="6"/>
    <x v="14"/>
    <s v="Electric Generators, Independent Power Producers"/>
    <x v="0"/>
    <n v="332746"/>
  </r>
  <r>
    <x v="6"/>
    <x v="14"/>
    <s v="Electric Generators, Independent Power Producers"/>
    <x v="2"/>
    <n v="78006"/>
  </r>
  <r>
    <x v="6"/>
    <x v="14"/>
    <s v="Electric Generators, Independent Power Producers"/>
    <x v="3"/>
    <n v="2195"/>
  </r>
  <r>
    <x v="6"/>
    <x v="14"/>
    <s v="Electric Generators, Independent Power Producers"/>
    <x v="8"/>
    <n v="252545"/>
  </r>
  <r>
    <x v="6"/>
    <x v="14"/>
    <s v="Electric Generators, Electric Utilities"/>
    <x v="0"/>
    <n v="144116009"/>
  </r>
  <r>
    <x v="6"/>
    <x v="14"/>
    <s v="Electric Generators, Electric Utilities"/>
    <x v="1"/>
    <n v="71514607"/>
  </r>
  <r>
    <x v="6"/>
    <x v="14"/>
    <s v="Electric Generators, Electric Utilities"/>
    <x v="2"/>
    <n v="22431"/>
  </r>
  <r>
    <x v="6"/>
    <x v="14"/>
    <s v="Electric Generators, Electric Utilities"/>
    <x v="3"/>
    <n v="1875248"/>
  </r>
  <r>
    <x v="6"/>
    <x v="14"/>
    <s v="Electric Generators, Electric Utilities"/>
    <x v="7"/>
    <n v="69774356"/>
  </r>
  <r>
    <x v="6"/>
    <x v="14"/>
    <s v="Electric Generators, Electric Utilities"/>
    <x v="8"/>
    <n v="133434"/>
  </r>
  <r>
    <x v="6"/>
    <x v="14"/>
    <s v="Electric Generators, Electric Utilities"/>
    <x v="4"/>
    <n v="795771"/>
  </r>
  <r>
    <x v="6"/>
    <x v="14"/>
    <s v="Electric Generators, Electric Utilities"/>
    <x v="6"/>
    <n v="162"/>
  </r>
  <r>
    <x v="6"/>
    <x v="14"/>
    <s v="Combined Heat and Power, Industrial Power"/>
    <x v="0"/>
    <n v="2991201"/>
  </r>
  <r>
    <x v="6"/>
    <x v="14"/>
    <s v="Combined Heat and Power, Industrial Power"/>
    <x v="1"/>
    <n v="1792459"/>
  </r>
  <r>
    <x v="6"/>
    <x v="14"/>
    <s v="Combined Heat and Power, Industrial Power"/>
    <x v="3"/>
    <n v="724026"/>
  </r>
  <r>
    <x v="6"/>
    <x v="14"/>
    <s v="Combined Heat and Power, Industrial Power"/>
    <x v="8"/>
    <n v="43364"/>
  </r>
  <r>
    <x v="6"/>
    <x v="14"/>
    <s v="Combined Heat and Power, Industrial Power"/>
    <x v="9"/>
    <n v="399493"/>
  </r>
  <r>
    <x v="6"/>
    <x v="14"/>
    <s v="Combined Heat and Power, Industrial Power"/>
    <x v="4"/>
    <n v="29450"/>
  </r>
  <r>
    <x v="6"/>
    <x v="14"/>
    <s v="Combined Heat and Power, Industrial Power"/>
    <x v="6"/>
    <n v="2409"/>
  </r>
  <r>
    <x v="6"/>
    <x v="14"/>
    <s v="Combined Heat and Power, Electric Power"/>
    <x v="0"/>
    <n v="34284"/>
  </r>
  <r>
    <x v="6"/>
    <x v="14"/>
    <s v="Combined Heat and Power, Electric Power"/>
    <x v="3"/>
    <n v="4422"/>
  </r>
  <r>
    <x v="6"/>
    <x v="14"/>
    <s v="Combined Heat and Power, Electric Power"/>
    <x v="8"/>
    <n v="29862"/>
  </r>
  <r>
    <x v="6"/>
    <x v="14"/>
    <s v="Combined Heat and Power, Commercial Power"/>
    <x v="0"/>
    <n v="258789"/>
  </r>
  <r>
    <x v="6"/>
    <x v="14"/>
    <s v="Combined Heat and Power, Commercial Power"/>
    <x v="1"/>
    <n v="41009"/>
  </r>
  <r>
    <x v="6"/>
    <x v="14"/>
    <s v="Combined Heat and Power, Commercial Power"/>
    <x v="2"/>
    <n v="5152"/>
  </r>
  <r>
    <x v="6"/>
    <x v="14"/>
    <s v="Combined Heat and Power, Commercial Power"/>
    <x v="3"/>
    <n v="207877"/>
  </r>
  <r>
    <x v="6"/>
    <x v="14"/>
    <s v="Combined Heat and Power, Commercial Power"/>
    <x v="8"/>
    <n v="209"/>
  </r>
  <r>
    <x v="6"/>
    <x v="14"/>
    <s v="Combined Heat and Power, Commercial Power"/>
    <x v="4"/>
    <n v="4542"/>
  </r>
  <r>
    <x v="6"/>
    <x v="15"/>
    <s v="Total Electric Power Industry"/>
    <x v="0"/>
    <n v="109902102"/>
  </r>
  <r>
    <x v="6"/>
    <x v="15"/>
    <s v="Total Electric Power Industry"/>
    <x v="1"/>
    <n v="105449025"/>
  </r>
  <r>
    <x v="6"/>
    <x v="15"/>
    <s v="Total Electric Power Industry"/>
    <x v="2"/>
    <n v="448364"/>
  </r>
  <r>
    <x v="6"/>
    <x v="15"/>
    <s v="Total Electric Power Industry"/>
    <x v="3"/>
    <n v="1246175"/>
  </r>
  <r>
    <x v="6"/>
    <x v="15"/>
    <s v="Total Electric Power Industry"/>
    <x v="8"/>
    <n v="104146"/>
  </r>
  <r>
    <x v="6"/>
    <x v="15"/>
    <s v="Total Electric Power Industry"/>
    <x v="9"/>
    <n v="2053362"/>
  </r>
  <r>
    <x v="6"/>
    <x v="15"/>
    <s v="Total Electric Power Industry"/>
    <x v="4"/>
    <n v="601030"/>
  </r>
  <r>
    <x v="6"/>
    <x v="15"/>
    <s v="Electric Generators, Independent Power Producers"/>
    <x v="0"/>
    <n v="69515"/>
  </r>
  <r>
    <x v="6"/>
    <x v="15"/>
    <s v="Electric Generators, Independent Power Producers"/>
    <x v="8"/>
    <n v="69515"/>
  </r>
  <r>
    <x v="6"/>
    <x v="15"/>
    <s v="Electric Generators, Electric Utilities"/>
    <x v="0"/>
    <n v="105557018"/>
  </r>
  <r>
    <x v="6"/>
    <x v="15"/>
    <s v="Electric Generators, Electric Utilities"/>
    <x v="1"/>
    <n v="104413600"/>
  </r>
  <r>
    <x v="6"/>
    <x v="15"/>
    <s v="Electric Generators, Electric Utilities"/>
    <x v="2"/>
    <n v="448364"/>
  </r>
  <r>
    <x v="6"/>
    <x v="15"/>
    <s v="Electric Generators, Electric Utilities"/>
    <x v="3"/>
    <n v="374488"/>
  </r>
  <r>
    <x v="6"/>
    <x v="15"/>
    <s v="Electric Generators, Electric Utilities"/>
    <x v="4"/>
    <n v="320566"/>
  </r>
  <r>
    <x v="6"/>
    <x v="15"/>
    <s v="Combined Heat and Power, Industrial Power"/>
    <x v="0"/>
    <n v="4082423"/>
  </r>
  <r>
    <x v="6"/>
    <x v="15"/>
    <s v="Combined Heat and Power, Industrial Power"/>
    <x v="1"/>
    <n v="898278"/>
  </r>
  <r>
    <x v="6"/>
    <x v="15"/>
    <s v="Combined Heat and Power, Industrial Power"/>
    <x v="3"/>
    <n v="852709"/>
  </r>
  <r>
    <x v="6"/>
    <x v="15"/>
    <s v="Combined Heat and Power, Industrial Power"/>
    <x v="9"/>
    <n v="2053362"/>
  </r>
  <r>
    <x v="6"/>
    <x v="15"/>
    <s v="Combined Heat and Power, Industrial Power"/>
    <x v="4"/>
    <n v="278074"/>
  </r>
  <r>
    <x v="6"/>
    <x v="15"/>
    <s v="Combined Heat and Power, Commercial Power"/>
    <x v="0"/>
    <n v="193146"/>
  </r>
  <r>
    <x v="6"/>
    <x v="15"/>
    <s v="Combined Heat and Power, Commercial Power"/>
    <x v="1"/>
    <n v="137147"/>
  </r>
  <r>
    <x v="6"/>
    <x v="15"/>
    <s v="Combined Heat and Power, Commercial Power"/>
    <x v="3"/>
    <n v="18978"/>
  </r>
  <r>
    <x v="6"/>
    <x v="15"/>
    <s v="Combined Heat and Power, Commercial Power"/>
    <x v="8"/>
    <n v="34631"/>
  </r>
  <r>
    <x v="6"/>
    <x v="15"/>
    <s v="Combined Heat and Power, Commercial Power"/>
    <x v="4"/>
    <n v="2390"/>
  </r>
  <r>
    <x v="6"/>
    <x v="16"/>
    <s v="Total Electric Power Industry"/>
    <x v="0"/>
    <n v="39942156"/>
  </r>
  <r>
    <x v="6"/>
    <x v="16"/>
    <s v="Total Electric Power Industry"/>
    <x v="1"/>
    <n v="29742722"/>
  </r>
  <r>
    <x v="6"/>
    <x v="16"/>
    <s v="Total Electric Power Industry"/>
    <x v="2"/>
    <n v="10969"/>
  </r>
  <r>
    <x v="6"/>
    <x v="16"/>
    <s v="Total Electric Power Industry"/>
    <x v="3"/>
    <n v="1824103"/>
  </r>
  <r>
    <x v="6"/>
    <x v="16"/>
    <s v="Total Electric Power Industry"/>
    <x v="7"/>
    <n v="8204868"/>
  </r>
  <r>
    <x v="6"/>
    <x v="16"/>
    <s v="Total Electric Power Industry"/>
    <x v="4"/>
    <n v="159494"/>
  </r>
  <r>
    <x v="6"/>
    <x v="16"/>
    <s v="Electric Generators, Independent Power Producers"/>
    <x v="0"/>
    <n v="10969"/>
  </r>
  <r>
    <x v="6"/>
    <x v="16"/>
    <s v="Electric Generators, Independent Power Producers"/>
    <x v="2"/>
    <n v="10969"/>
  </r>
  <r>
    <x v="6"/>
    <x v="16"/>
    <s v="Electric Generators, Electric Utilities"/>
    <x v="0"/>
    <n v="39874544"/>
  </r>
  <r>
    <x v="6"/>
    <x v="16"/>
    <s v="Electric Generators, Electric Utilities"/>
    <x v="1"/>
    <n v="29742722"/>
  </r>
  <r>
    <x v="6"/>
    <x v="16"/>
    <s v="Electric Generators, Electric Utilities"/>
    <x v="3"/>
    <n v="1768482"/>
  </r>
  <r>
    <x v="6"/>
    <x v="16"/>
    <s v="Electric Generators, Electric Utilities"/>
    <x v="7"/>
    <n v="8204868"/>
  </r>
  <r>
    <x v="6"/>
    <x v="16"/>
    <s v="Electric Generators, Electric Utilities"/>
    <x v="4"/>
    <n v="158472"/>
  </r>
  <r>
    <x v="6"/>
    <x v="16"/>
    <s v="Combined Heat and Power, Industrial Power"/>
    <x v="0"/>
    <n v="55461"/>
  </r>
  <r>
    <x v="6"/>
    <x v="16"/>
    <s v="Combined Heat and Power, Industrial Power"/>
    <x v="3"/>
    <n v="54439"/>
  </r>
  <r>
    <x v="6"/>
    <x v="16"/>
    <s v="Combined Heat and Power, Industrial Power"/>
    <x v="4"/>
    <n v="1022"/>
  </r>
  <r>
    <x v="6"/>
    <x v="16"/>
    <s v="Combined Heat and Power, Commercial Power"/>
    <x v="0"/>
    <n v="1182"/>
  </r>
  <r>
    <x v="6"/>
    <x v="16"/>
    <s v="Combined Heat and Power, Commercial Power"/>
    <x v="3"/>
    <n v="1182"/>
  </r>
  <r>
    <x v="6"/>
    <x v="17"/>
    <s v="Total Electric Power Industry"/>
    <x v="0"/>
    <n v="88447496"/>
  </r>
  <r>
    <x v="6"/>
    <x v="17"/>
    <s v="Total Electric Power Industry"/>
    <x v="1"/>
    <n v="84659818"/>
  </r>
  <r>
    <x v="6"/>
    <x v="17"/>
    <s v="Total Electric Power Industry"/>
    <x v="2"/>
    <n v="3496989"/>
  </r>
  <r>
    <x v="6"/>
    <x v="17"/>
    <s v="Total Electric Power Industry"/>
    <x v="3"/>
    <n v="145980"/>
  </r>
  <r>
    <x v="6"/>
    <x v="17"/>
    <s v="Total Electric Power Industry"/>
    <x v="4"/>
    <n v="135437"/>
  </r>
  <r>
    <x v="6"/>
    <x v="17"/>
    <s v="Total Electric Power Industry"/>
    <x v="6"/>
    <n v="9272"/>
  </r>
  <r>
    <x v="6"/>
    <x v="17"/>
    <s v="Electric Generators, Electric Utilities"/>
    <x v="0"/>
    <n v="88438224"/>
  </r>
  <r>
    <x v="6"/>
    <x v="17"/>
    <s v="Electric Generators, Electric Utilities"/>
    <x v="1"/>
    <n v="84659818"/>
  </r>
  <r>
    <x v="6"/>
    <x v="17"/>
    <s v="Electric Generators, Electric Utilities"/>
    <x v="2"/>
    <n v="3496989"/>
  </r>
  <r>
    <x v="6"/>
    <x v="17"/>
    <s v="Electric Generators, Electric Utilities"/>
    <x v="3"/>
    <n v="145980"/>
  </r>
  <r>
    <x v="6"/>
    <x v="17"/>
    <s v="Electric Generators, Electric Utilities"/>
    <x v="4"/>
    <n v="135437"/>
  </r>
  <r>
    <x v="6"/>
    <x v="17"/>
    <s v="Combined Heat and Power, Industrial Power"/>
    <x v="0"/>
    <n v="9272"/>
  </r>
  <r>
    <x v="6"/>
    <x v="17"/>
    <s v="Combined Heat and Power, Industrial Power"/>
    <x v="6"/>
    <n v="9272"/>
  </r>
  <r>
    <x v="6"/>
    <x v="18"/>
    <s v="Total Electric Power Industry"/>
    <x v="0"/>
    <n v="77739896"/>
  </r>
  <r>
    <x v="6"/>
    <x v="18"/>
    <s v="Total Electric Power Industry"/>
    <x v="1"/>
    <n v="18701034"/>
  </r>
  <r>
    <x v="6"/>
    <x v="18"/>
    <s v="Total Electric Power Industry"/>
    <x v="2"/>
    <n v="963924"/>
  </r>
  <r>
    <x v="6"/>
    <x v="18"/>
    <s v="Total Electric Power Industry"/>
    <x v="3"/>
    <n v="36564775"/>
  </r>
  <r>
    <x v="6"/>
    <x v="18"/>
    <s v="Total Electric Power Industry"/>
    <x v="7"/>
    <n v="15764823"/>
  </r>
  <r>
    <x v="6"/>
    <x v="18"/>
    <s v="Total Electric Power Industry"/>
    <x v="12"/>
    <n v="293542"/>
  </r>
  <r>
    <x v="6"/>
    <x v="18"/>
    <s v="Total Electric Power Industry"/>
    <x v="8"/>
    <n v="96039"/>
  </r>
  <r>
    <x v="6"/>
    <x v="18"/>
    <s v="Total Electric Power Industry"/>
    <x v="9"/>
    <n v="844588"/>
  </r>
  <r>
    <x v="6"/>
    <x v="18"/>
    <s v="Total Electric Power Industry"/>
    <x v="4"/>
    <n v="1703448"/>
  </r>
  <r>
    <x v="6"/>
    <x v="18"/>
    <s v="Total Electric Power Industry"/>
    <x v="6"/>
    <n v="2807723"/>
  </r>
  <r>
    <x v="6"/>
    <x v="18"/>
    <s v="Electric Generators, Independent Power Producers"/>
    <x v="0"/>
    <n v="1166539"/>
  </r>
  <r>
    <x v="6"/>
    <x v="18"/>
    <s v="Electric Generators, Independent Power Producers"/>
    <x v="2"/>
    <n v="963924"/>
  </r>
  <r>
    <x v="6"/>
    <x v="18"/>
    <s v="Electric Generators, Independent Power Producers"/>
    <x v="3"/>
    <n v="112450"/>
  </r>
  <r>
    <x v="6"/>
    <x v="18"/>
    <s v="Electric Generators, Independent Power Producers"/>
    <x v="8"/>
    <n v="70843"/>
  </r>
  <r>
    <x v="6"/>
    <x v="18"/>
    <s v="Electric Generators, Independent Power Producers"/>
    <x v="4"/>
    <n v="19322"/>
  </r>
  <r>
    <x v="6"/>
    <x v="18"/>
    <s v="Electric Generators, Electric Utilities"/>
    <x v="0"/>
    <n v="58643113"/>
  </r>
  <r>
    <x v="6"/>
    <x v="18"/>
    <s v="Electric Generators, Electric Utilities"/>
    <x v="1"/>
    <n v="18632666"/>
  </r>
  <r>
    <x v="6"/>
    <x v="18"/>
    <s v="Electric Generators, Electric Utilities"/>
    <x v="3"/>
    <n v="23972316"/>
  </r>
  <r>
    <x v="6"/>
    <x v="18"/>
    <s v="Electric Generators, Electric Utilities"/>
    <x v="7"/>
    <n v="15764823"/>
  </r>
  <r>
    <x v="6"/>
    <x v="18"/>
    <s v="Electric Generators, Electric Utilities"/>
    <x v="4"/>
    <n v="273308"/>
  </r>
  <r>
    <x v="6"/>
    <x v="18"/>
    <s v="Combined Heat and Power, Industrial Power"/>
    <x v="0"/>
    <n v="16526245"/>
  </r>
  <r>
    <x v="6"/>
    <x v="18"/>
    <s v="Combined Heat and Power, Industrial Power"/>
    <x v="1"/>
    <n v="68368"/>
  </r>
  <r>
    <x v="6"/>
    <x v="18"/>
    <s v="Combined Heat and Power, Industrial Power"/>
    <x v="3"/>
    <n v="12453374"/>
  </r>
  <r>
    <x v="6"/>
    <x v="18"/>
    <s v="Combined Heat and Power, Industrial Power"/>
    <x v="12"/>
    <n v="293542"/>
  </r>
  <r>
    <x v="6"/>
    <x v="18"/>
    <s v="Combined Heat and Power, Industrial Power"/>
    <x v="8"/>
    <n v="25196"/>
  </r>
  <r>
    <x v="6"/>
    <x v="18"/>
    <s v="Combined Heat and Power, Industrial Power"/>
    <x v="9"/>
    <n v="844588"/>
  </r>
  <r>
    <x v="6"/>
    <x v="18"/>
    <s v="Combined Heat and Power, Industrial Power"/>
    <x v="4"/>
    <n v="33454"/>
  </r>
  <r>
    <x v="6"/>
    <x v="18"/>
    <s v="Combined Heat and Power, Industrial Power"/>
    <x v="6"/>
    <n v="2807723"/>
  </r>
  <r>
    <x v="6"/>
    <x v="18"/>
    <s v="Combined Heat and Power, Electric Power"/>
    <x v="0"/>
    <n v="1377364"/>
  </r>
  <r>
    <x v="6"/>
    <x v="18"/>
    <s v="Combined Heat and Power, Electric Power"/>
    <x v="4"/>
    <n v="1377364"/>
  </r>
  <r>
    <x v="6"/>
    <x v="18"/>
    <s v="Combined Heat and Power, Commercial Power"/>
    <x v="0"/>
    <n v="26635"/>
  </r>
  <r>
    <x v="6"/>
    <x v="18"/>
    <s v="Combined Heat and Power, Commercial Power"/>
    <x v="3"/>
    <n v="26635"/>
  </r>
  <r>
    <x v="6"/>
    <x v="19"/>
    <s v="Total Electric Power Industry"/>
    <x v="0"/>
    <n v="37954020"/>
  </r>
  <r>
    <x v="6"/>
    <x v="19"/>
    <s v="Total Electric Power Industry"/>
    <x v="1"/>
    <n v="11580771"/>
  </r>
  <r>
    <x v="6"/>
    <x v="19"/>
    <s v="Total Electric Power Industry"/>
    <x v="2"/>
    <n v="1188625"/>
  </r>
  <r>
    <x v="6"/>
    <x v="19"/>
    <s v="Total Electric Power Industry"/>
    <x v="3"/>
    <n v="11929508"/>
  </r>
  <r>
    <x v="6"/>
    <x v="19"/>
    <s v="Total Electric Power Industry"/>
    <x v="7"/>
    <n v="5324341"/>
  </r>
  <r>
    <x v="6"/>
    <x v="19"/>
    <s v="Total Electric Power Industry"/>
    <x v="12"/>
    <n v="11"/>
  </r>
  <r>
    <x v="6"/>
    <x v="19"/>
    <s v="Total Electric Power Industry"/>
    <x v="8"/>
    <n v="1933966"/>
  </r>
  <r>
    <x v="6"/>
    <x v="19"/>
    <s v="Total Electric Power Industry"/>
    <x v="4"/>
    <n v="6516883"/>
  </r>
  <r>
    <x v="6"/>
    <x v="19"/>
    <s v="Total Electric Power Industry"/>
    <x v="10"/>
    <n v="-657967"/>
  </r>
  <r>
    <x v="6"/>
    <x v="19"/>
    <s v="Total Electric Power Industry"/>
    <x v="5"/>
    <n v="0"/>
  </r>
  <r>
    <x v="6"/>
    <x v="19"/>
    <s v="Total Electric Power Industry"/>
    <x v="6"/>
    <n v="137882"/>
  </r>
  <r>
    <x v="6"/>
    <x v="19"/>
    <s v="Electric Generators, Independent Power Producers"/>
    <x v="0"/>
    <n v="3113851"/>
  </r>
  <r>
    <x v="6"/>
    <x v="19"/>
    <s v="Electric Generators, Independent Power Producers"/>
    <x v="2"/>
    <n v="248266"/>
  </r>
  <r>
    <x v="6"/>
    <x v="19"/>
    <s v="Electric Generators, Independent Power Producers"/>
    <x v="3"/>
    <n v="917178"/>
  </r>
  <r>
    <x v="6"/>
    <x v="19"/>
    <s v="Electric Generators, Independent Power Producers"/>
    <x v="8"/>
    <n v="1783283"/>
  </r>
  <r>
    <x v="6"/>
    <x v="19"/>
    <s v="Electric Generators, Independent Power Producers"/>
    <x v="4"/>
    <n v="27753"/>
  </r>
  <r>
    <x v="6"/>
    <x v="19"/>
    <s v="Electric Generators, Independent Power Producers"/>
    <x v="6"/>
    <n v="137371"/>
  </r>
  <r>
    <x v="6"/>
    <x v="19"/>
    <s v="Electric Generators, Electric Utilities"/>
    <x v="0"/>
    <n v="27758877"/>
  </r>
  <r>
    <x v="6"/>
    <x v="19"/>
    <s v="Electric Generators, Electric Utilities"/>
    <x v="1"/>
    <n v="11500536"/>
  </r>
  <r>
    <x v="6"/>
    <x v="19"/>
    <s v="Electric Generators, Electric Utilities"/>
    <x v="2"/>
    <n v="920790"/>
  </r>
  <r>
    <x v="6"/>
    <x v="19"/>
    <s v="Electric Generators, Electric Utilities"/>
    <x v="3"/>
    <n v="4449799"/>
  </r>
  <r>
    <x v="6"/>
    <x v="19"/>
    <s v="Electric Generators, Electric Utilities"/>
    <x v="7"/>
    <n v="5324341"/>
  </r>
  <r>
    <x v="6"/>
    <x v="19"/>
    <s v="Electric Generators, Electric Utilities"/>
    <x v="4"/>
    <n v="6221378"/>
  </r>
  <r>
    <x v="6"/>
    <x v="19"/>
    <s v="Electric Generators, Electric Utilities"/>
    <x v="10"/>
    <n v="-657967"/>
  </r>
  <r>
    <x v="6"/>
    <x v="19"/>
    <s v="Electric Generators, Electric Utilities"/>
    <x v="5"/>
    <n v="0"/>
  </r>
  <r>
    <x v="6"/>
    <x v="19"/>
    <s v="Combined Heat and Power, Industrial Power"/>
    <x v="0"/>
    <n v="504439"/>
  </r>
  <r>
    <x v="6"/>
    <x v="19"/>
    <s v="Combined Heat and Power, Industrial Power"/>
    <x v="1"/>
    <n v="34552"/>
  </r>
  <r>
    <x v="6"/>
    <x v="19"/>
    <s v="Combined Heat and Power, Industrial Power"/>
    <x v="2"/>
    <n v="19569"/>
  </r>
  <r>
    <x v="6"/>
    <x v="19"/>
    <s v="Combined Heat and Power, Industrial Power"/>
    <x v="3"/>
    <n v="196816"/>
  </r>
  <r>
    <x v="6"/>
    <x v="19"/>
    <s v="Combined Heat and Power, Industrial Power"/>
    <x v="12"/>
    <n v="11"/>
  </r>
  <r>
    <x v="6"/>
    <x v="19"/>
    <s v="Combined Heat and Power, Industrial Power"/>
    <x v="8"/>
    <n v="87877"/>
  </r>
  <r>
    <x v="6"/>
    <x v="19"/>
    <s v="Combined Heat and Power, Industrial Power"/>
    <x v="4"/>
    <n v="165614"/>
  </r>
  <r>
    <x v="6"/>
    <x v="19"/>
    <s v="Combined Heat and Power, Electric Power"/>
    <x v="0"/>
    <n v="6139422"/>
  </r>
  <r>
    <x v="6"/>
    <x v="19"/>
    <s v="Combined Heat and Power, Electric Power"/>
    <x v="1"/>
    <n v="45683"/>
  </r>
  <r>
    <x v="6"/>
    <x v="19"/>
    <s v="Combined Heat and Power, Electric Power"/>
    <x v="3"/>
    <n v="5960257"/>
  </r>
  <r>
    <x v="6"/>
    <x v="19"/>
    <s v="Combined Heat and Power, Electric Power"/>
    <x v="8"/>
    <n v="62806"/>
  </r>
  <r>
    <x v="6"/>
    <x v="19"/>
    <s v="Combined Heat and Power, Electric Power"/>
    <x v="4"/>
    <n v="70165"/>
  </r>
  <r>
    <x v="6"/>
    <x v="19"/>
    <s v="Combined Heat and Power, Electric Power"/>
    <x v="6"/>
    <n v="511"/>
  </r>
  <r>
    <x v="6"/>
    <x v="19"/>
    <s v="Combined Heat and Power, Commercial Power"/>
    <x v="0"/>
    <n v="437431"/>
  </r>
  <r>
    <x v="6"/>
    <x v="19"/>
    <s v="Combined Heat and Power, Commercial Power"/>
    <x v="3"/>
    <n v="405458"/>
  </r>
  <r>
    <x v="6"/>
    <x v="19"/>
    <s v="Combined Heat and Power, Commercial Power"/>
    <x v="4"/>
    <n v="31973"/>
  </r>
  <r>
    <x v="6"/>
    <x v="20"/>
    <s v="Total Electric Power Industry"/>
    <x v="0"/>
    <n v="46274617"/>
  </r>
  <r>
    <x v="6"/>
    <x v="20"/>
    <s v="Total Electric Power Industry"/>
    <x v="1"/>
    <n v="27992005"/>
  </r>
  <r>
    <x v="6"/>
    <x v="20"/>
    <s v="Total Electric Power Industry"/>
    <x v="2"/>
    <n v="2457463"/>
  </r>
  <r>
    <x v="6"/>
    <x v="20"/>
    <s v="Total Electric Power Industry"/>
    <x v="3"/>
    <n v="987627"/>
  </r>
  <r>
    <x v="6"/>
    <x v="20"/>
    <s v="Total Electric Power Industry"/>
    <x v="7"/>
    <n v="12092768"/>
  </r>
  <r>
    <x v="6"/>
    <x v="20"/>
    <s v="Total Electric Power Industry"/>
    <x v="8"/>
    <n v="565838"/>
  </r>
  <r>
    <x v="6"/>
    <x v="20"/>
    <s v="Total Electric Power Industry"/>
    <x v="9"/>
    <n v="539335"/>
  </r>
  <r>
    <x v="6"/>
    <x v="20"/>
    <s v="Total Electric Power Industry"/>
    <x v="4"/>
    <n v="1472027"/>
  </r>
  <r>
    <x v="6"/>
    <x v="20"/>
    <s v="Total Electric Power Industry"/>
    <x v="6"/>
    <n v="167554"/>
  </r>
  <r>
    <x v="6"/>
    <x v="20"/>
    <s v="Electric Generators, Independent Power Producers"/>
    <x v="0"/>
    <n v="276544"/>
  </r>
  <r>
    <x v="6"/>
    <x v="20"/>
    <s v="Electric Generators, Independent Power Producers"/>
    <x v="3"/>
    <n v="882"/>
  </r>
  <r>
    <x v="6"/>
    <x v="20"/>
    <s v="Electric Generators, Independent Power Producers"/>
    <x v="8"/>
    <n v="275662"/>
  </r>
  <r>
    <x v="6"/>
    <x v="20"/>
    <s v="Electric Generators, Electric Utilities"/>
    <x v="0"/>
    <n v="44380543"/>
  </r>
  <r>
    <x v="6"/>
    <x v="20"/>
    <s v="Electric Generators, Electric Utilities"/>
    <x v="1"/>
    <n v="27780141"/>
  </r>
  <r>
    <x v="6"/>
    <x v="20"/>
    <s v="Electric Generators, Electric Utilities"/>
    <x v="2"/>
    <n v="2457463"/>
  </r>
  <r>
    <x v="6"/>
    <x v="20"/>
    <s v="Electric Generators, Electric Utilities"/>
    <x v="3"/>
    <n v="648976"/>
  </r>
  <r>
    <x v="6"/>
    <x v="20"/>
    <s v="Electric Generators, Electric Utilities"/>
    <x v="7"/>
    <n v="12092768"/>
  </r>
  <r>
    <x v="6"/>
    <x v="20"/>
    <s v="Electric Generators, Electric Utilities"/>
    <x v="4"/>
    <n v="1401195"/>
  </r>
  <r>
    <x v="6"/>
    <x v="20"/>
    <s v="Combined Heat and Power, Industrial Power"/>
    <x v="0"/>
    <n v="450281"/>
  </r>
  <r>
    <x v="6"/>
    <x v="20"/>
    <s v="Combined Heat and Power, Industrial Power"/>
    <x v="1"/>
    <n v="211864"/>
  </r>
  <r>
    <x v="6"/>
    <x v="20"/>
    <s v="Combined Heat and Power, Industrial Power"/>
    <x v="3"/>
    <n v="74187"/>
  </r>
  <r>
    <x v="6"/>
    <x v="20"/>
    <s v="Combined Heat and Power, Industrial Power"/>
    <x v="4"/>
    <n v="13138"/>
  </r>
  <r>
    <x v="6"/>
    <x v="20"/>
    <s v="Combined Heat and Power, Industrial Power"/>
    <x v="6"/>
    <n v="151092"/>
  </r>
  <r>
    <x v="6"/>
    <x v="20"/>
    <s v="Combined Heat and Power, Electric Power"/>
    <x v="0"/>
    <n v="1135731"/>
  </r>
  <r>
    <x v="6"/>
    <x v="20"/>
    <s v="Combined Heat and Power, Electric Power"/>
    <x v="3"/>
    <n v="263582"/>
  </r>
  <r>
    <x v="6"/>
    <x v="20"/>
    <s v="Combined Heat and Power, Electric Power"/>
    <x v="8"/>
    <n v="275624"/>
  </r>
  <r>
    <x v="6"/>
    <x v="20"/>
    <s v="Combined Heat and Power, Electric Power"/>
    <x v="9"/>
    <n v="539335"/>
  </r>
  <r>
    <x v="6"/>
    <x v="20"/>
    <s v="Combined Heat and Power, Electric Power"/>
    <x v="4"/>
    <n v="57190"/>
  </r>
  <r>
    <x v="6"/>
    <x v="20"/>
    <s v="Combined Heat and Power, Commercial Power"/>
    <x v="0"/>
    <n v="31518"/>
  </r>
  <r>
    <x v="6"/>
    <x v="20"/>
    <s v="Combined Heat and Power, Commercial Power"/>
    <x v="8"/>
    <n v="14552"/>
  </r>
  <r>
    <x v="6"/>
    <x v="20"/>
    <s v="Combined Heat and Power, Commercial Power"/>
    <x v="4"/>
    <n v="504"/>
  </r>
  <r>
    <x v="6"/>
    <x v="20"/>
    <s v="Combined Heat and Power, Commercial Power"/>
    <x v="6"/>
    <n v="16462"/>
  </r>
  <r>
    <x v="6"/>
    <x v="21"/>
    <s v="Total Electric Power Industry"/>
    <x v="0"/>
    <n v="14934373"/>
  </r>
  <r>
    <x v="6"/>
    <x v="21"/>
    <s v="Total Electric Power Industry"/>
    <x v="1"/>
    <n v="509522"/>
  </r>
  <r>
    <x v="6"/>
    <x v="21"/>
    <s v="Total Electric Power Industry"/>
    <x v="2"/>
    <n v="4157394"/>
  </r>
  <r>
    <x v="6"/>
    <x v="21"/>
    <s v="Total Electric Power Industry"/>
    <x v="3"/>
    <n v="3230"/>
  </r>
  <r>
    <x v="6"/>
    <x v="21"/>
    <s v="Total Electric Power Industry"/>
    <x v="7"/>
    <n v="5062017"/>
  </r>
  <r>
    <x v="6"/>
    <x v="21"/>
    <s v="Total Electric Power Industry"/>
    <x v="12"/>
    <n v="1"/>
  </r>
  <r>
    <x v="6"/>
    <x v="21"/>
    <s v="Total Electric Power Industry"/>
    <x v="8"/>
    <n v="561449"/>
  </r>
  <r>
    <x v="6"/>
    <x v="21"/>
    <s v="Total Electric Power Industry"/>
    <x v="9"/>
    <n v="5541"/>
  </r>
  <r>
    <x v="6"/>
    <x v="21"/>
    <s v="Total Electric Power Industry"/>
    <x v="4"/>
    <n v="1660854"/>
  </r>
  <r>
    <x v="6"/>
    <x v="21"/>
    <s v="Total Electric Power Industry"/>
    <x v="6"/>
    <n v="2974365"/>
  </r>
  <r>
    <x v="6"/>
    <x v="21"/>
    <s v="Electric Generators, Independent Power Producers"/>
    <x v="0"/>
    <n v="1611051"/>
  </r>
  <r>
    <x v="6"/>
    <x v="21"/>
    <s v="Electric Generators, Independent Power Producers"/>
    <x v="2"/>
    <n v="663912"/>
  </r>
  <r>
    <x v="6"/>
    <x v="21"/>
    <s v="Electric Generators, Independent Power Producers"/>
    <x v="3"/>
    <n v="3223"/>
  </r>
  <r>
    <x v="6"/>
    <x v="21"/>
    <s v="Electric Generators, Independent Power Producers"/>
    <x v="8"/>
    <n v="264000"/>
  </r>
  <r>
    <x v="6"/>
    <x v="21"/>
    <s v="Electric Generators, Independent Power Producers"/>
    <x v="4"/>
    <n v="2311"/>
  </r>
  <r>
    <x v="6"/>
    <x v="21"/>
    <s v="Electric Generators, Independent Power Producers"/>
    <x v="6"/>
    <n v="677605"/>
  </r>
  <r>
    <x v="6"/>
    <x v="21"/>
    <s v="Electric Generators, Electric Utilities"/>
    <x v="0"/>
    <n v="7800149"/>
  </r>
  <r>
    <x v="6"/>
    <x v="21"/>
    <s v="Electric Generators, Electric Utilities"/>
    <x v="2"/>
    <n v="2115695"/>
  </r>
  <r>
    <x v="6"/>
    <x v="21"/>
    <s v="Electric Generators, Electric Utilities"/>
    <x v="7"/>
    <n v="5062017"/>
  </r>
  <r>
    <x v="6"/>
    <x v="21"/>
    <s v="Electric Generators, Electric Utilities"/>
    <x v="4"/>
    <n v="621755"/>
  </r>
  <r>
    <x v="6"/>
    <x v="21"/>
    <s v="Electric Generators, Electric Utilities"/>
    <x v="6"/>
    <n v="682"/>
  </r>
  <r>
    <x v="6"/>
    <x v="21"/>
    <s v="Combined Heat and Power, Industrial Power"/>
    <x v="0"/>
    <n v="4498860"/>
  </r>
  <r>
    <x v="6"/>
    <x v="21"/>
    <s v="Combined Heat and Power, Industrial Power"/>
    <x v="1"/>
    <n v="207300"/>
  </r>
  <r>
    <x v="6"/>
    <x v="21"/>
    <s v="Combined Heat and Power, Industrial Power"/>
    <x v="2"/>
    <n v="1377787"/>
  </r>
  <r>
    <x v="6"/>
    <x v="21"/>
    <s v="Combined Heat and Power, Industrial Power"/>
    <x v="12"/>
    <n v="1"/>
  </r>
  <r>
    <x v="6"/>
    <x v="21"/>
    <s v="Combined Heat and Power, Industrial Power"/>
    <x v="8"/>
    <n v="44171"/>
  </r>
  <r>
    <x v="6"/>
    <x v="21"/>
    <s v="Combined Heat and Power, Industrial Power"/>
    <x v="9"/>
    <n v="5541"/>
  </r>
  <r>
    <x v="6"/>
    <x v="21"/>
    <s v="Combined Heat and Power, Industrial Power"/>
    <x v="4"/>
    <n v="920021"/>
  </r>
  <r>
    <x v="6"/>
    <x v="21"/>
    <s v="Combined Heat and Power, Industrial Power"/>
    <x v="6"/>
    <n v="1944039"/>
  </r>
  <r>
    <x v="6"/>
    <x v="21"/>
    <s v="Combined Heat and Power, Electric Power"/>
    <x v="0"/>
    <n v="814947"/>
  </r>
  <r>
    <x v="6"/>
    <x v="21"/>
    <s v="Combined Heat and Power, Electric Power"/>
    <x v="1"/>
    <n v="302222"/>
  </r>
  <r>
    <x v="6"/>
    <x v="21"/>
    <s v="Combined Heat and Power, Electric Power"/>
    <x v="8"/>
    <n v="87187"/>
  </r>
  <r>
    <x v="6"/>
    <x v="21"/>
    <s v="Combined Heat and Power, Electric Power"/>
    <x v="4"/>
    <n v="113750"/>
  </r>
  <r>
    <x v="6"/>
    <x v="21"/>
    <s v="Combined Heat and Power, Electric Power"/>
    <x v="6"/>
    <n v="311788"/>
  </r>
  <r>
    <x v="6"/>
    <x v="21"/>
    <s v="Combined Heat and Power, Commercial Power"/>
    <x v="0"/>
    <n v="209366"/>
  </r>
  <r>
    <x v="6"/>
    <x v="21"/>
    <s v="Combined Heat and Power, Commercial Power"/>
    <x v="3"/>
    <n v="7"/>
  </r>
  <r>
    <x v="6"/>
    <x v="21"/>
    <s v="Combined Heat and Power, Commercial Power"/>
    <x v="8"/>
    <n v="166091"/>
  </r>
  <r>
    <x v="6"/>
    <x v="21"/>
    <s v="Combined Heat and Power, Commercial Power"/>
    <x v="4"/>
    <n v="3017"/>
  </r>
  <r>
    <x v="6"/>
    <x v="21"/>
    <s v="Combined Heat and Power, Commercial Power"/>
    <x v="6"/>
    <n v="40251"/>
  </r>
  <r>
    <x v="6"/>
    <x v="22"/>
    <s v="Total Electric Power Industry"/>
    <x v="0"/>
    <n v="112518309"/>
  </r>
  <r>
    <x v="6"/>
    <x v="22"/>
    <s v="Total Electric Power Industry"/>
    <x v="1"/>
    <n v="67872152"/>
  </r>
  <r>
    <x v="6"/>
    <x v="22"/>
    <s v="Total Electric Power Industry"/>
    <x v="2"/>
    <n v="1783531"/>
  </r>
  <r>
    <x v="6"/>
    <x v="22"/>
    <s v="Total Electric Power Industry"/>
    <x v="3"/>
    <n v="13014616"/>
  </r>
  <r>
    <x v="6"/>
    <x v="22"/>
    <s v="Total Electric Power Industry"/>
    <x v="7"/>
    <n v="26829363"/>
  </r>
  <r>
    <x v="6"/>
    <x v="22"/>
    <s v="Total Electric Power Industry"/>
    <x v="12"/>
    <n v="15082"/>
  </r>
  <r>
    <x v="6"/>
    <x v="22"/>
    <s v="Total Electric Power Industry"/>
    <x v="8"/>
    <n v="907548"/>
  </r>
  <r>
    <x v="6"/>
    <x v="22"/>
    <s v="Total Electric Power Industry"/>
    <x v="9"/>
    <n v="238416"/>
  </r>
  <r>
    <x v="6"/>
    <x v="22"/>
    <s v="Total Electric Power Industry"/>
    <x v="4"/>
    <n v="832749"/>
  </r>
  <r>
    <x v="6"/>
    <x v="22"/>
    <s v="Total Electric Power Industry"/>
    <x v="10"/>
    <n v="-820336"/>
  </r>
  <r>
    <x v="6"/>
    <x v="22"/>
    <s v="Total Electric Power Industry"/>
    <x v="6"/>
    <n v="1845188"/>
  </r>
  <r>
    <x v="6"/>
    <x v="22"/>
    <s v="Electric Generators, Independent Power Producers"/>
    <x v="0"/>
    <n v="1777211"/>
  </r>
  <r>
    <x v="6"/>
    <x v="22"/>
    <s v="Electric Generators, Independent Power Producers"/>
    <x v="2"/>
    <n v="94780"/>
  </r>
  <r>
    <x v="6"/>
    <x v="22"/>
    <s v="Electric Generators, Independent Power Producers"/>
    <x v="3"/>
    <n v="19133"/>
  </r>
  <r>
    <x v="6"/>
    <x v="22"/>
    <s v="Electric Generators, Independent Power Producers"/>
    <x v="8"/>
    <n v="571264"/>
  </r>
  <r>
    <x v="6"/>
    <x v="22"/>
    <s v="Electric Generators, Independent Power Producers"/>
    <x v="6"/>
    <n v="1092034"/>
  </r>
  <r>
    <x v="6"/>
    <x v="22"/>
    <s v="Electric Generators, Electric Utilities"/>
    <x v="0"/>
    <n v="95155261"/>
  </r>
  <r>
    <x v="6"/>
    <x v="22"/>
    <s v="Electric Generators, Electric Utilities"/>
    <x v="1"/>
    <n v="66097259"/>
  </r>
  <r>
    <x v="6"/>
    <x v="22"/>
    <s v="Electric Generators, Electric Utilities"/>
    <x v="2"/>
    <n v="1660109"/>
  </r>
  <r>
    <x v="6"/>
    <x v="22"/>
    <s v="Electric Generators, Electric Utilities"/>
    <x v="3"/>
    <n v="737006"/>
  </r>
  <r>
    <x v="6"/>
    <x v="22"/>
    <s v="Electric Generators, Electric Utilities"/>
    <x v="7"/>
    <n v="26829363"/>
  </r>
  <r>
    <x v="6"/>
    <x v="22"/>
    <s v="Electric Generators, Electric Utilities"/>
    <x v="4"/>
    <n v="651860"/>
  </r>
  <r>
    <x v="6"/>
    <x v="22"/>
    <s v="Electric Generators, Electric Utilities"/>
    <x v="10"/>
    <n v="-820336"/>
  </r>
  <r>
    <x v="6"/>
    <x v="22"/>
    <s v="Combined Heat and Power, Industrial Power"/>
    <x v="0"/>
    <n v="2915466"/>
  </r>
  <r>
    <x v="6"/>
    <x v="22"/>
    <s v="Combined Heat and Power, Industrial Power"/>
    <x v="1"/>
    <n v="1143257"/>
  </r>
  <r>
    <x v="6"/>
    <x v="22"/>
    <s v="Combined Heat and Power, Industrial Power"/>
    <x v="2"/>
    <n v="28642"/>
  </r>
  <r>
    <x v="6"/>
    <x v="22"/>
    <s v="Combined Heat and Power, Industrial Power"/>
    <x v="3"/>
    <n v="582802"/>
  </r>
  <r>
    <x v="6"/>
    <x v="22"/>
    <s v="Combined Heat and Power, Industrial Power"/>
    <x v="12"/>
    <n v="14978"/>
  </r>
  <r>
    <x v="6"/>
    <x v="22"/>
    <s v="Combined Heat and Power, Industrial Power"/>
    <x v="8"/>
    <n v="5518"/>
  </r>
  <r>
    <x v="6"/>
    <x v="22"/>
    <s v="Combined Heat and Power, Industrial Power"/>
    <x v="9"/>
    <n v="238393"/>
  </r>
  <r>
    <x v="6"/>
    <x v="22"/>
    <s v="Combined Heat and Power, Industrial Power"/>
    <x v="4"/>
    <n v="171687"/>
  </r>
  <r>
    <x v="6"/>
    <x v="22"/>
    <s v="Combined Heat and Power, Industrial Power"/>
    <x v="6"/>
    <n v="730189"/>
  </r>
  <r>
    <x v="6"/>
    <x v="22"/>
    <s v="Combined Heat and Power, Electric Power"/>
    <x v="0"/>
    <n v="12044778"/>
  </r>
  <r>
    <x v="6"/>
    <x v="22"/>
    <s v="Combined Heat and Power, Electric Power"/>
    <x v="1"/>
    <n v="385072"/>
  </r>
  <r>
    <x v="6"/>
    <x v="22"/>
    <s v="Combined Heat and Power, Electric Power"/>
    <x v="3"/>
    <n v="11633809"/>
  </r>
  <r>
    <x v="6"/>
    <x v="22"/>
    <s v="Combined Heat and Power, Electric Power"/>
    <x v="9"/>
    <n v="23"/>
  </r>
  <r>
    <x v="6"/>
    <x v="22"/>
    <s v="Combined Heat and Power, Electric Power"/>
    <x v="4"/>
    <n v="2909"/>
  </r>
  <r>
    <x v="6"/>
    <x v="22"/>
    <s v="Combined Heat and Power, Electric Power"/>
    <x v="6"/>
    <n v="22965"/>
  </r>
  <r>
    <x v="6"/>
    <x v="22"/>
    <s v="Combined Heat and Power, Commercial Power"/>
    <x v="0"/>
    <n v="625593"/>
  </r>
  <r>
    <x v="6"/>
    <x v="22"/>
    <s v="Combined Heat and Power, Commercial Power"/>
    <x v="1"/>
    <n v="246564"/>
  </r>
  <r>
    <x v="6"/>
    <x v="22"/>
    <s v="Combined Heat and Power, Commercial Power"/>
    <x v="3"/>
    <n v="41866"/>
  </r>
  <r>
    <x v="6"/>
    <x v="22"/>
    <s v="Combined Heat and Power, Commercial Power"/>
    <x v="12"/>
    <n v="104"/>
  </r>
  <r>
    <x v="6"/>
    <x v="22"/>
    <s v="Combined Heat and Power, Commercial Power"/>
    <x v="8"/>
    <n v="330766"/>
  </r>
  <r>
    <x v="6"/>
    <x v="22"/>
    <s v="Combined Heat and Power, Commercial Power"/>
    <x v="4"/>
    <n v="6293"/>
  </r>
  <r>
    <x v="6"/>
    <x v="23"/>
    <s v="Total Electric Power Industry"/>
    <x v="0"/>
    <n v="44328439"/>
  </r>
  <r>
    <x v="6"/>
    <x v="23"/>
    <s v="Total Electric Power Industry"/>
    <x v="1"/>
    <n v="28422604"/>
  </r>
  <r>
    <x v="6"/>
    <x v="23"/>
    <s v="Total Electric Power Industry"/>
    <x v="2"/>
    <n v="1187114"/>
  </r>
  <r>
    <x v="6"/>
    <x v="23"/>
    <s v="Total Electric Power Industry"/>
    <x v="3"/>
    <n v="786670"/>
  </r>
  <r>
    <x v="6"/>
    <x v="23"/>
    <s v="Total Electric Power Industry"/>
    <x v="7"/>
    <n v="12095122"/>
  </r>
  <r>
    <x v="6"/>
    <x v="23"/>
    <s v="Total Electric Power Industry"/>
    <x v="8"/>
    <n v="697685"/>
  </r>
  <r>
    <x v="6"/>
    <x v="23"/>
    <s v="Total Electric Power Industry"/>
    <x v="4"/>
    <n v="651744"/>
  </r>
  <r>
    <x v="6"/>
    <x v="23"/>
    <s v="Total Electric Power Industry"/>
    <x v="5"/>
    <n v="49938"/>
  </r>
  <r>
    <x v="6"/>
    <x v="23"/>
    <s v="Total Electric Power Industry"/>
    <x v="6"/>
    <n v="437562"/>
  </r>
  <r>
    <x v="6"/>
    <x v="23"/>
    <s v="Electric Generators, Independent Power Producers"/>
    <x v="0"/>
    <n v="432025"/>
  </r>
  <r>
    <x v="6"/>
    <x v="23"/>
    <s v="Electric Generators, Independent Power Producers"/>
    <x v="2"/>
    <n v="100158"/>
  </r>
  <r>
    <x v="6"/>
    <x v="23"/>
    <s v="Electric Generators, Independent Power Producers"/>
    <x v="8"/>
    <n v="281685"/>
  </r>
  <r>
    <x v="6"/>
    <x v="23"/>
    <s v="Electric Generators, Independent Power Producers"/>
    <x v="4"/>
    <n v="267"/>
  </r>
  <r>
    <x v="6"/>
    <x v="23"/>
    <s v="Electric Generators, Independent Power Producers"/>
    <x v="5"/>
    <n v="49915"/>
  </r>
  <r>
    <x v="6"/>
    <x v="23"/>
    <s v="Electric Generators, Electric Utilities"/>
    <x v="0"/>
    <n v="41791506"/>
  </r>
  <r>
    <x v="6"/>
    <x v="23"/>
    <s v="Electric Generators, Electric Utilities"/>
    <x v="1"/>
    <n v="27329077"/>
  </r>
  <r>
    <x v="6"/>
    <x v="23"/>
    <s v="Electric Generators, Electric Utilities"/>
    <x v="2"/>
    <n v="837226"/>
  </r>
  <r>
    <x v="6"/>
    <x v="23"/>
    <s v="Electric Generators, Electric Utilities"/>
    <x v="3"/>
    <n v="467568"/>
  </r>
  <r>
    <x v="6"/>
    <x v="23"/>
    <s v="Electric Generators, Electric Utilities"/>
    <x v="7"/>
    <n v="12095122"/>
  </r>
  <r>
    <x v="6"/>
    <x v="23"/>
    <s v="Electric Generators, Electric Utilities"/>
    <x v="8"/>
    <n v="395690"/>
  </r>
  <r>
    <x v="6"/>
    <x v="23"/>
    <s v="Electric Generators, Electric Utilities"/>
    <x v="4"/>
    <n v="640427"/>
  </r>
  <r>
    <x v="6"/>
    <x v="23"/>
    <s v="Electric Generators, Electric Utilities"/>
    <x v="5"/>
    <n v="23"/>
  </r>
  <r>
    <x v="6"/>
    <x v="23"/>
    <s v="Electric Generators, Electric Utilities"/>
    <x v="6"/>
    <n v="26373"/>
  </r>
  <r>
    <x v="6"/>
    <x v="23"/>
    <s v="Combined Heat and Power, Industrial Power"/>
    <x v="0"/>
    <n v="1983636"/>
  </r>
  <r>
    <x v="6"/>
    <x v="23"/>
    <s v="Combined Heat and Power, Industrial Power"/>
    <x v="1"/>
    <n v="1093527"/>
  </r>
  <r>
    <x v="6"/>
    <x v="23"/>
    <s v="Combined Heat and Power, Industrial Power"/>
    <x v="2"/>
    <n v="249730"/>
  </r>
  <r>
    <x v="6"/>
    <x v="23"/>
    <s v="Combined Heat and Power, Industrial Power"/>
    <x v="3"/>
    <n v="220283"/>
  </r>
  <r>
    <x v="6"/>
    <x v="23"/>
    <s v="Combined Heat and Power, Industrial Power"/>
    <x v="8"/>
    <n v="863"/>
  </r>
  <r>
    <x v="6"/>
    <x v="23"/>
    <s v="Combined Heat and Power, Industrial Power"/>
    <x v="4"/>
    <n v="8044"/>
  </r>
  <r>
    <x v="6"/>
    <x v="23"/>
    <s v="Combined Heat and Power, Industrial Power"/>
    <x v="6"/>
    <n v="411189"/>
  </r>
  <r>
    <x v="6"/>
    <x v="23"/>
    <s v="Combined Heat and Power, Commercial Power"/>
    <x v="0"/>
    <n v="121272"/>
  </r>
  <r>
    <x v="6"/>
    <x v="23"/>
    <s v="Combined Heat and Power, Commercial Power"/>
    <x v="3"/>
    <n v="98819"/>
  </r>
  <r>
    <x v="6"/>
    <x v="23"/>
    <s v="Combined Heat and Power, Commercial Power"/>
    <x v="8"/>
    <n v="19447"/>
  </r>
  <r>
    <x v="6"/>
    <x v="23"/>
    <s v="Combined Heat and Power, Commercial Power"/>
    <x v="4"/>
    <n v="3006"/>
  </r>
  <r>
    <x v="6"/>
    <x v="24"/>
    <s v="Total Electric Power Industry"/>
    <x v="0"/>
    <n v="68122528"/>
  </r>
  <r>
    <x v="6"/>
    <x v="24"/>
    <s v="Total Electric Power Industry"/>
    <x v="1"/>
    <n v="57418252"/>
  </r>
  <r>
    <x v="6"/>
    <x v="24"/>
    <s v="Total Electric Power Industry"/>
    <x v="2"/>
    <n v="1313738"/>
  </r>
  <r>
    <x v="6"/>
    <x v="24"/>
    <s v="Total Electric Power Industry"/>
    <x v="3"/>
    <n v="428165"/>
  </r>
  <r>
    <x v="6"/>
    <x v="24"/>
    <s v="Total Electric Power Industry"/>
    <x v="7"/>
    <n v="8890377"/>
  </r>
  <r>
    <x v="6"/>
    <x v="24"/>
    <s v="Total Electric Power Industry"/>
    <x v="8"/>
    <n v="35814"/>
  </r>
  <r>
    <x v="6"/>
    <x v="24"/>
    <s v="Total Electric Power Industry"/>
    <x v="4"/>
    <n v="111207"/>
  </r>
  <r>
    <x v="6"/>
    <x v="24"/>
    <s v="Total Electric Power Industry"/>
    <x v="10"/>
    <n v="-75025"/>
  </r>
  <r>
    <x v="6"/>
    <x v="24"/>
    <s v="Electric Generators, Electric Utilities"/>
    <x v="0"/>
    <n v="67827241"/>
  </r>
  <r>
    <x v="6"/>
    <x v="24"/>
    <s v="Electric Generators, Electric Utilities"/>
    <x v="1"/>
    <n v="57176084"/>
  </r>
  <r>
    <x v="6"/>
    <x v="24"/>
    <s v="Electric Generators, Electric Utilities"/>
    <x v="2"/>
    <n v="1313738"/>
  </r>
  <r>
    <x v="6"/>
    <x v="24"/>
    <s v="Electric Generators, Electric Utilities"/>
    <x v="3"/>
    <n v="394796"/>
  </r>
  <r>
    <x v="6"/>
    <x v="24"/>
    <s v="Electric Generators, Electric Utilities"/>
    <x v="7"/>
    <n v="8890377"/>
  </r>
  <r>
    <x v="6"/>
    <x v="24"/>
    <s v="Electric Generators, Electric Utilities"/>
    <x v="8"/>
    <n v="31291"/>
  </r>
  <r>
    <x v="6"/>
    <x v="24"/>
    <s v="Electric Generators, Electric Utilities"/>
    <x v="4"/>
    <n v="95980"/>
  </r>
  <r>
    <x v="6"/>
    <x v="24"/>
    <s v="Electric Generators, Electric Utilities"/>
    <x v="10"/>
    <n v="-75025"/>
  </r>
  <r>
    <x v="6"/>
    <x v="24"/>
    <s v="Combined Heat and Power, Industrial Power"/>
    <x v="0"/>
    <n v="175009"/>
  </r>
  <r>
    <x v="6"/>
    <x v="24"/>
    <s v="Combined Heat and Power, Industrial Power"/>
    <x v="1"/>
    <n v="145664"/>
  </r>
  <r>
    <x v="6"/>
    <x v="24"/>
    <s v="Combined Heat and Power, Industrial Power"/>
    <x v="3"/>
    <n v="23708"/>
  </r>
  <r>
    <x v="6"/>
    <x v="24"/>
    <s v="Combined Heat and Power, Industrial Power"/>
    <x v="8"/>
    <n v="3947"/>
  </r>
  <r>
    <x v="6"/>
    <x v="24"/>
    <s v="Combined Heat and Power, Industrial Power"/>
    <x v="4"/>
    <n v="1690"/>
  </r>
  <r>
    <x v="6"/>
    <x v="24"/>
    <s v="Combined Heat and Power, Commercial Power"/>
    <x v="0"/>
    <n v="120278"/>
  </r>
  <r>
    <x v="6"/>
    <x v="24"/>
    <s v="Combined Heat and Power, Commercial Power"/>
    <x v="1"/>
    <n v="96504"/>
  </r>
  <r>
    <x v="6"/>
    <x v="24"/>
    <s v="Combined Heat and Power, Commercial Power"/>
    <x v="3"/>
    <n v="9661"/>
  </r>
  <r>
    <x v="6"/>
    <x v="24"/>
    <s v="Combined Heat and Power, Commercial Power"/>
    <x v="8"/>
    <n v="576"/>
  </r>
  <r>
    <x v="6"/>
    <x v="24"/>
    <s v="Combined Heat and Power, Commercial Power"/>
    <x v="4"/>
    <n v="13537"/>
  </r>
  <r>
    <x v="6"/>
    <x v="25"/>
    <s v="Total Electric Power Industry"/>
    <x v="0"/>
    <n v="31277282"/>
  </r>
  <r>
    <x v="6"/>
    <x v="25"/>
    <s v="Total Electric Power Industry"/>
    <x v="1"/>
    <n v="12058895"/>
  </r>
  <r>
    <x v="6"/>
    <x v="25"/>
    <s v="Total Electric Power Industry"/>
    <x v="3"/>
    <n v="7175205"/>
  </r>
  <r>
    <x v="6"/>
    <x v="25"/>
    <s v="Total Electric Power Industry"/>
    <x v="7"/>
    <n v="9224593"/>
  </r>
  <r>
    <x v="6"/>
    <x v="25"/>
    <s v="Total Electric Power Industry"/>
    <x v="8"/>
    <n v="1919"/>
  </r>
  <r>
    <x v="6"/>
    <x v="25"/>
    <s v="Total Electric Power Industry"/>
    <x v="4"/>
    <n v="1194929"/>
  </r>
  <r>
    <x v="6"/>
    <x v="25"/>
    <s v="Total Electric Power Industry"/>
    <x v="6"/>
    <n v="1621741"/>
  </r>
  <r>
    <x v="6"/>
    <x v="25"/>
    <s v="Electric Generators, Independent Power Producers"/>
    <x v="0"/>
    <n v="3509"/>
  </r>
  <r>
    <x v="6"/>
    <x v="25"/>
    <s v="Electric Generators, Independent Power Producers"/>
    <x v="3"/>
    <n v="3509"/>
  </r>
  <r>
    <x v="6"/>
    <x v="25"/>
    <s v="Electric Generators, Electric Utilities"/>
    <x v="0"/>
    <n v="28838302"/>
  </r>
  <r>
    <x v="6"/>
    <x v="25"/>
    <s v="Electric Generators, Electric Utilities"/>
    <x v="1"/>
    <n v="12010196"/>
  </r>
  <r>
    <x v="6"/>
    <x v="25"/>
    <s v="Electric Generators, Electric Utilities"/>
    <x v="3"/>
    <n v="6430010"/>
  </r>
  <r>
    <x v="6"/>
    <x v="25"/>
    <s v="Electric Generators, Electric Utilities"/>
    <x v="7"/>
    <n v="9224593"/>
  </r>
  <r>
    <x v="6"/>
    <x v="25"/>
    <s v="Electric Generators, Electric Utilities"/>
    <x v="4"/>
    <n v="1173503"/>
  </r>
  <r>
    <x v="6"/>
    <x v="25"/>
    <s v="Combined Heat and Power, Industrial Power"/>
    <x v="0"/>
    <n v="2411116"/>
  </r>
  <r>
    <x v="6"/>
    <x v="25"/>
    <s v="Combined Heat and Power, Industrial Power"/>
    <x v="1"/>
    <n v="48699"/>
  </r>
  <r>
    <x v="6"/>
    <x v="25"/>
    <s v="Combined Heat and Power, Industrial Power"/>
    <x v="3"/>
    <n v="717331"/>
  </r>
  <r>
    <x v="6"/>
    <x v="25"/>
    <s v="Combined Heat and Power, Industrial Power"/>
    <x v="8"/>
    <n v="1919"/>
  </r>
  <r>
    <x v="6"/>
    <x v="25"/>
    <s v="Combined Heat and Power, Industrial Power"/>
    <x v="4"/>
    <n v="21426"/>
  </r>
  <r>
    <x v="6"/>
    <x v="25"/>
    <s v="Combined Heat and Power, Industrial Power"/>
    <x v="6"/>
    <n v="1621741"/>
  </r>
  <r>
    <x v="6"/>
    <x v="25"/>
    <s v="Combined Heat and Power, Commercial Power"/>
    <x v="0"/>
    <n v="24355"/>
  </r>
  <r>
    <x v="6"/>
    <x v="25"/>
    <s v="Combined Heat and Power, Commercial Power"/>
    <x v="3"/>
    <n v="24355"/>
  </r>
  <r>
    <x v="6"/>
    <x v="26"/>
    <s v="Total Electric Power Industry"/>
    <x v="0"/>
    <n v="26837425"/>
  </r>
  <r>
    <x v="6"/>
    <x v="26"/>
    <s v="Total Electric Power Industry"/>
    <x v="1"/>
    <n v="12462506"/>
  </r>
  <r>
    <x v="6"/>
    <x v="26"/>
    <s v="Total Electric Power Industry"/>
    <x v="2"/>
    <n v="13794931"/>
  </r>
  <r>
    <x v="6"/>
    <x v="26"/>
    <s v="Total Electric Power Industry"/>
    <x v="3"/>
    <n v="55249"/>
  </r>
  <r>
    <x v="6"/>
    <x v="26"/>
    <s v="Total Electric Power Industry"/>
    <x v="9"/>
    <n v="27066"/>
  </r>
  <r>
    <x v="6"/>
    <x v="26"/>
    <s v="Total Electric Power Industry"/>
    <x v="4"/>
    <n v="444948"/>
  </r>
  <r>
    <x v="6"/>
    <x v="26"/>
    <s v="Total Electric Power Industry"/>
    <x v="6"/>
    <n v="52725"/>
  </r>
  <r>
    <x v="6"/>
    <x v="26"/>
    <s v="Electric Generators, Independent Power Producers"/>
    <x v="0"/>
    <n v="275636"/>
  </r>
  <r>
    <x v="6"/>
    <x v="26"/>
    <s v="Electric Generators, Independent Power Producers"/>
    <x v="1"/>
    <n v="220413"/>
  </r>
  <r>
    <x v="6"/>
    <x v="26"/>
    <s v="Electric Generators, Independent Power Producers"/>
    <x v="2"/>
    <n v="54356"/>
  </r>
  <r>
    <x v="6"/>
    <x v="26"/>
    <s v="Electric Generators, Independent Power Producers"/>
    <x v="4"/>
    <n v="867"/>
  </r>
  <r>
    <x v="6"/>
    <x v="26"/>
    <s v="Electric Generators, Electric Utilities"/>
    <x v="0"/>
    <n v="26039141"/>
  </r>
  <r>
    <x v="6"/>
    <x v="26"/>
    <s v="Electric Generators, Electric Utilities"/>
    <x v="1"/>
    <n v="12242093"/>
  </r>
  <r>
    <x v="6"/>
    <x v="26"/>
    <s v="Electric Generators, Electric Utilities"/>
    <x v="2"/>
    <n v="13740575"/>
  </r>
  <r>
    <x v="6"/>
    <x v="26"/>
    <s v="Electric Generators, Electric Utilities"/>
    <x v="3"/>
    <n v="38217"/>
  </r>
  <r>
    <x v="6"/>
    <x v="26"/>
    <s v="Electric Generators, Electric Utilities"/>
    <x v="4"/>
    <n v="18256"/>
  </r>
  <r>
    <x v="6"/>
    <x v="26"/>
    <s v="Electric Generators, Electric Utilities"/>
    <x v="6"/>
    <n v="0"/>
  </r>
  <r>
    <x v="6"/>
    <x v="26"/>
    <s v="Combined Heat and Power, Industrial Power"/>
    <x v="0"/>
    <n v="70284"/>
  </r>
  <r>
    <x v="6"/>
    <x v="26"/>
    <s v="Combined Heat and Power, Industrial Power"/>
    <x v="3"/>
    <n v="17032"/>
  </r>
  <r>
    <x v="6"/>
    <x v="26"/>
    <s v="Combined Heat and Power, Industrial Power"/>
    <x v="4"/>
    <n v="527"/>
  </r>
  <r>
    <x v="6"/>
    <x v="26"/>
    <s v="Combined Heat and Power, Industrial Power"/>
    <x v="6"/>
    <n v="52725"/>
  </r>
  <r>
    <x v="6"/>
    <x v="26"/>
    <s v="Combined Heat and Power, Electric Power"/>
    <x v="0"/>
    <n v="452364"/>
  </r>
  <r>
    <x v="6"/>
    <x v="26"/>
    <s v="Combined Heat and Power, Electric Power"/>
    <x v="9"/>
    <n v="27066"/>
  </r>
  <r>
    <x v="6"/>
    <x v="26"/>
    <s v="Combined Heat and Power, Electric Power"/>
    <x v="4"/>
    <n v="425298"/>
  </r>
  <r>
    <x v="6"/>
    <x v="27"/>
    <s v="Total Electric Power Industry"/>
    <x v="0"/>
    <n v="112197741"/>
  </r>
  <r>
    <x v="6"/>
    <x v="27"/>
    <s v="Total Electric Power Industry"/>
    <x v="1"/>
    <n v="69331348"/>
  </r>
  <r>
    <x v="6"/>
    <x v="27"/>
    <s v="Total Electric Power Industry"/>
    <x v="2"/>
    <n v="5952177"/>
  </r>
  <r>
    <x v="6"/>
    <x v="27"/>
    <s v="Total Electric Power Industry"/>
    <x v="3"/>
    <n v="470138"/>
  </r>
  <r>
    <x v="6"/>
    <x v="27"/>
    <s v="Total Electric Power Industry"/>
    <x v="7"/>
    <n v="33718182"/>
  </r>
  <r>
    <x v="6"/>
    <x v="27"/>
    <s v="Total Electric Power Industry"/>
    <x v="12"/>
    <n v="249410"/>
  </r>
  <r>
    <x v="6"/>
    <x v="27"/>
    <s v="Total Electric Power Industry"/>
    <x v="8"/>
    <n v="55907"/>
  </r>
  <r>
    <x v="6"/>
    <x v="27"/>
    <s v="Total Electric Power Industry"/>
    <x v="4"/>
    <n v="547831"/>
  </r>
  <r>
    <x v="6"/>
    <x v="27"/>
    <s v="Total Electric Power Industry"/>
    <x v="10"/>
    <n v="340406"/>
  </r>
  <r>
    <x v="6"/>
    <x v="27"/>
    <s v="Total Electric Power Industry"/>
    <x v="6"/>
    <n v="1532342"/>
  </r>
  <r>
    <x v="6"/>
    <x v="27"/>
    <s v="Electric Generators, Independent Power Producers"/>
    <x v="0"/>
    <n v="1637772"/>
  </r>
  <r>
    <x v="6"/>
    <x v="27"/>
    <s v="Electric Generators, Independent Power Producers"/>
    <x v="1"/>
    <n v="1189765"/>
  </r>
  <r>
    <x v="6"/>
    <x v="27"/>
    <s v="Electric Generators, Independent Power Producers"/>
    <x v="2"/>
    <n v="21631"/>
  </r>
  <r>
    <x v="6"/>
    <x v="27"/>
    <s v="Electric Generators, Independent Power Producers"/>
    <x v="3"/>
    <n v="28194"/>
  </r>
  <r>
    <x v="6"/>
    <x v="27"/>
    <s v="Electric Generators, Independent Power Producers"/>
    <x v="8"/>
    <n v="41113"/>
  </r>
  <r>
    <x v="6"/>
    <x v="27"/>
    <s v="Electric Generators, Independent Power Producers"/>
    <x v="4"/>
    <n v="4358"/>
  </r>
  <r>
    <x v="6"/>
    <x v="27"/>
    <s v="Electric Generators, Independent Power Producers"/>
    <x v="6"/>
    <n v="352711"/>
  </r>
  <r>
    <x v="6"/>
    <x v="27"/>
    <s v="Electric Generators, Electric Utilities"/>
    <x v="0"/>
    <n v="102786590"/>
  </r>
  <r>
    <x v="6"/>
    <x v="27"/>
    <s v="Electric Generators, Electric Utilities"/>
    <x v="1"/>
    <n v="64097781"/>
  </r>
  <r>
    <x v="6"/>
    <x v="27"/>
    <s v="Electric Generators, Electric Utilities"/>
    <x v="2"/>
    <n v="4176414"/>
  </r>
  <r>
    <x v="6"/>
    <x v="27"/>
    <s v="Electric Generators, Electric Utilities"/>
    <x v="3"/>
    <n v="194555"/>
  </r>
  <r>
    <x v="6"/>
    <x v="27"/>
    <s v="Electric Generators, Electric Utilities"/>
    <x v="7"/>
    <n v="33718182"/>
  </r>
  <r>
    <x v="6"/>
    <x v="27"/>
    <s v="Electric Generators, Electric Utilities"/>
    <x v="4"/>
    <n v="259252"/>
  </r>
  <r>
    <x v="6"/>
    <x v="27"/>
    <s v="Electric Generators, Electric Utilities"/>
    <x v="10"/>
    <n v="340406"/>
  </r>
  <r>
    <x v="6"/>
    <x v="27"/>
    <s v="Combined Heat and Power, Industrial Power"/>
    <x v="0"/>
    <n v="4379184"/>
  </r>
  <r>
    <x v="6"/>
    <x v="27"/>
    <s v="Combined Heat and Power, Industrial Power"/>
    <x v="1"/>
    <n v="732555"/>
  </r>
  <r>
    <x v="6"/>
    <x v="27"/>
    <s v="Combined Heat and Power, Industrial Power"/>
    <x v="2"/>
    <n v="1741190"/>
  </r>
  <r>
    <x v="6"/>
    <x v="27"/>
    <s v="Combined Heat and Power, Industrial Power"/>
    <x v="3"/>
    <n v="193289"/>
  </r>
  <r>
    <x v="6"/>
    <x v="27"/>
    <s v="Combined Heat and Power, Industrial Power"/>
    <x v="12"/>
    <n v="249410"/>
  </r>
  <r>
    <x v="6"/>
    <x v="27"/>
    <s v="Combined Heat and Power, Industrial Power"/>
    <x v="8"/>
    <n v="14794"/>
  </r>
  <r>
    <x v="6"/>
    <x v="27"/>
    <s v="Combined Heat and Power, Industrial Power"/>
    <x v="4"/>
    <n v="268315"/>
  </r>
  <r>
    <x v="6"/>
    <x v="27"/>
    <s v="Combined Heat and Power, Industrial Power"/>
    <x v="6"/>
    <n v="1179631"/>
  </r>
  <r>
    <x v="6"/>
    <x v="27"/>
    <s v="Combined Heat and Power, Electric Power"/>
    <x v="0"/>
    <n v="3247039"/>
  </r>
  <r>
    <x v="6"/>
    <x v="27"/>
    <s v="Combined Heat and Power, Electric Power"/>
    <x v="1"/>
    <n v="3179195"/>
  </r>
  <r>
    <x v="6"/>
    <x v="27"/>
    <s v="Combined Heat and Power, Electric Power"/>
    <x v="3"/>
    <n v="52722"/>
  </r>
  <r>
    <x v="6"/>
    <x v="27"/>
    <s v="Combined Heat and Power, Electric Power"/>
    <x v="4"/>
    <n v="15122"/>
  </r>
  <r>
    <x v="6"/>
    <x v="27"/>
    <s v="Combined Heat and Power, Commercial Power"/>
    <x v="0"/>
    <n v="147156"/>
  </r>
  <r>
    <x v="6"/>
    <x v="27"/>
    <s v="Combined Heat and Power, Commercial Power"/>
    <x v="1"/>
    <n v="132052"/>
  </r>
  <r>
    <x v="6"/>
    <x v="27"/>
    <s v="Combined Heat and Power, Commercial Power"/>
    <x v="2"/>
    <n v="12942"/>
  </r>
  <r>
    <x v="6"/>
    <x v="27"/>
    <s v="Combined Heat and Power, Commercial Power"/>
    <x v="3"/>
    <n v="1378"/>
  </r>
  <r>
    <x v="6"/>
    <x v="27"/>
    <s v="Combined Heat and Power, Commercial Power"/>
    <x v="4"/>
    <n v="784"/>
  </r>
  <r>
    <x v="6"/>
    <x v="28"/>
    <s v="Total Electric Power Industry"/>
    <x v="0"/>
    <n v="30908490"/>
  </r>
  <r>
    <x v="6"/>
    <x v="28"/>
    <s v="Total Electric Power Industry"/>
    <x v="1"/>
    <n v="27603396"/>
  </r>
  <r>
    <x v="6"/>
    <x v="28"/>
    <s v="Total Electric Power Industry"/>
    <x v="2"/>
    <n v="3150873"/>
  </r>
  <r>
    <x v="6"/>
    <x v="28"/>
    <s v="Total Electric Power Industry"/>
    <x v="3"/>
    <n v="351"/>
  </r>
  <r>
    <x v="6"/>
    <x v="28"/>
    <s v="Total Electric Power Industry"/>
    <x v="8"/>
    <n v="7879"/>
  </r>
  <r>
    <x v="6"/>
    <x v="28"/>
    <s v="Total Electric Power Industry"/>
    <x v="9"/>
    <n v="43970"/>
  </r>
  <r>
    <x v="6"/>
    <x v="28"/>
    <s v="Total Electric Power Industry"/>
    <x v="4"/>
    <n v="102021"/>
  </r>
  <r>
    <x v="6"/>
    <x v="28"/>
    <s v="Electric Generators, Electric Utilities"/>
    <x v="0"/>
    <n v="30769712"/>
  </r>
  <r>
    <x v="6"/>
    <x v="28"/>
    <s v="Electric Generators, Electric Utilities"/>
    <x v="1"/>
    <n v="27529906"/>
  </r>
  <r>
    <x v="6"/>
    <x v="28"/>
    <s v="Electric Generators, Electric Utilities"/>
    <x v="2"/>
    <n v="3150873"/>
  </r>
  <r>
    <x v="6"/>
    <x v="28"/>
    <s v="Electric Generators, Electric Utilities"/>
    <x v="3"/>
    <n v="99"/>
  </r>
  <r>
    <x v="6"/>
    <x v="28"/>
    <s v="Electric Generators, Electric Utilities"/>
    <x v="4"/>
    <n v="88834"/>
  </r>
  <r>
    <x v="6"/>
    <x v="28"/>
    <s v="Combined Heat and Power, Industrial Power"/>
    <x v="0"/>
    <n v="138778"/>
  </r>
  <r>
    <x v="6"/>
    <x v="28"/>
    <s v="Combined Heat and Power, Industrial Power"/>
    <x v="1"/>
    <n v="73490"/>
  </r>
  <r>
    <x v="6"/>
    <x v="28"/>
    <s v="Combined Heat and Power, Industrial Power"/>
    <x v="3"/>
    <n v="252"/>
  </r>
  <r>
    <x v="6"/>
    <x v="28"/>
    <s v="Combined Heat and Power, Industrial Power"/>
    <x v="8"/>
    <n v="7879"/>
  </r>
  <r>
    <x v="6"/>
    <x v="28"/>
    <s v="Combined Heat and Power, Industrial Power"/>
    <x v="9"/>
    <n v="43970"/>
  </r>
  <r>
    <x v="6"/>
    <x v="28"/>
    <s v="Combined Heat and Power, Industrial Power"/>
    <x v="4"/>
    <n v="13187"/>
  </r>
  <r>
    <x v="6"/>
    <x v="29"/>
    <s v="Total Electric Power Industry"/>
    <x v="0"/>
    <n v="27351109"/>
  </r>
  <r>
    <x v="6"/>
    <x v="29"/>
    <s v="Total Electric Power Industry"/>
    <x v="1"/>
    <n v="16067002"/>
  </r>
  <r>
    <x v="6"/>
    <x v="29"/>
    <s v="Total Electric Power Industry"/>
    <x v="2"/>
    <n v="1601919"/>
  </r>
  <r>
    <x v="6"/>
    <x v="29"/>
    <s v="Total Electric Power Industry"/>
    <x v="3"/>
    <n v="193867"/>
  </r>
  <r>
    <x v="6"/>
    <x v="29"/>
    <s v="Total Electric Power Industry"/>
    <x v="7"/>
    <n v="9456814"/>
  </r>
  <r>
    <x v="6"/>
    <x v="29"/>
    <s v="Total Electric Power Industry"/>
    <x v="8"/>
    <n v="11534"/>
  </r>
  <r>
    <x v="6"/>
    <x v="29"/>
    <s v="Total Electric Power Industry"/>
    <x v="4"/>
    <n v="19973"/>
  </r>
  <r>
    <x v="6"/>
    <x v="29"/>
    <s v="Electric Generators, Electric Utilities"/>
    <x v="0"/>
    <n v="27322697"/>
  </r>
  <r>
    <x v="6"/>
    <x v="29"/>
    <s v="Electric Generators, Electric Utilities"/>
    <x v="1"/>
    <n v="16040775"/>
  </r>
  <r>
    <x v="6"/>
    <x v="29"/>
    <s v="Electric Generators, Electric Utilities"/>
    <x v="2"/>
    <n v="1601919"/>
  </r>
  <r>
    <x v="6"/>
    <x v="29"/>
    <s v="Electric Generators, Electric Utilities"/>
    <x v="3"/>
    <n v="191682"/>
  </r>
  <r>
    <x v="6"/>
    <x v="29"/>
    <s v="Electric Generators, Electric Utilities"/>
    <x v="7"/>
    <n v="9456814"/>
  </r>
  <r>
    <x v="6"/>
    <x v="29"/>
    <s v="Electric Generators, Electric Utilities"/>
    <x v="8"/>
    <n v="11534"/>
  </r>
  <r>
    <x v="6"/>
    <x v="29"/>
    <s v="Electric Generators, Electric Utilities"/>
    <x v="4"/>
    <n v="19973"/>
  </r>
  <r>
    <x v="6"/>
    <x v="29"/>
    <s v="Combined Heat and Power, Industrial Power"/>
    <x v="0"/>
    <n v="28412"/>
  </r>
  <r>
    <x v="6"/>
    <x v="29"/>
    <s v="Combined Heat and Power, Industrial Power"/>
    <x v="1"/>
    <n v="26227"/>
  </r>
  <r>
    <x v="6"/>
    <x v="29"/>
    <s v="Combined Heat and Power, Industrial Power"/>
    <x v="3"/>
    <n v="2185"/>
  </r>
  <r>
    <x v="6"/>
    <x v="30"/>
    <s v="Total Electric Power Industry"/>
    <x v="0"/>
    <n v="17063649"/>
  </r>
  <r>
    <x v="6"/>
    <x v="30"/>
    <s v="Total Electric Power Industry"/>
    <x v="1"/>
    <n v="3309695"/>
  </r>
  <r>
    <x v="6"/>
    <x v="30"/>
    <s v="Total Electric Power Industry"/>
    <x v="2"/>
    <n v="1919205"/>
  </r>
  <r>
    <x v="6"/>
    <x v="30"/>
    <s v="Total Electric Power Industry"/>
    <x v="3"/>
    <n v="2099"/>
  </r>
  <r>
    <x v="6"/>
    <x v="30"/>
    <s v="Total Electric Power Industry"/>
    <x v="7"/>
    <n v="9844744"/>
  </r>
  <r>
    <x v="6"/>
    <x v="30"/>
    <s v="Total Electric Power Industry"/>
    <x v="8"/>
    <n v="181397"/>
  </r>
  <r>
    <x v="6"/>
    <x v="30"/>
    <s v="Total Electric Power Industry"/>
    <x v="4"/>
    <n v="895744"/>
  </r>
  <r>
    <x v="6"/>
    <x v="30"/>
    <s v="Total Electric Power Industry"/>
    <x v="6"/>
    <n v="910765"/>
  </r>
  <r>
    <x v="6"/>
    <x v="30"/>
    <s v="Electric Generators, Independent Power Producers"/>
    <x v="0"/>
    <n v="1180285"/>
  </r>
  <r>
    <x v="6"/>
    <x v="30"/>
    <s v="Electric Generators, Independent Power Producers"/>
    <x v="2"/>
    <n v="287411"/>
  </r>
  <r>
    <x v="6"/>
    <x v="30"/>
    <s v="Electric Generators, Independent Power Producers"/>
    <x v="8"/>
    <n v="181397"/>
  </r>
  <r>
    <x v="6"/>
    <x v="30"/>
    <s v="Electric Generators, Independent Power Producers"/>
    <x v="4"/>
    <n v="480"/>
  </r>
  <r>
    <x v="6"/>
    <x v="30"/>
    <s v="Electric Generators, Independent Power Producers"/>
    <x v="6"/>
    <n v="710997"/>
  </r>
  <r>
    <x v="6"/>
    <x v="30"/>
    <s v="Electric Generators, Electric Utilities"/>
    <x v="0"/>
    <n v="15418562"/>
  </r>
  <r>
    <x v="6"/>
    <x v="30"/>
    <s v="Electric Generators, Electric Utilities"/>
    <x v="1"/>
    <n v="3309695"/>
  </r>
  <r>
    <x v="6"/>
    <x v="30"/>
    <s v="Electric Generators, Electric Utilities"/>
    <x v="2"/>
    <n v="1425600"/>
  </r>
  <r>
    <x v="6"/>
    <x v="30"/>
    <s v="Electric Generators, Electric Utilities"/>
    <x v="3"/>
    <n v="280"/>
  </r>
  <r>
    <x v="6"/>
    <x v="30"/>
    <s v="Electric Generators, Electric Utilities"/>
    <x v="7"/>
    <n v="9844744"/>
  </r>
  <r>
    <x v="6"/>
    <x v="30"/>
    <s v="Electric Generators, Electric Utilities"/>
    <x v="4"/>
    <n v="838243"/>
  </r>
  <r>
    <x v="6"/>
    <x v="30"/>
    <s v="Combined Heat and Power, Industrial Power"/>
    <x v="0"/>
    <n v="355419"/>
  </r>
  <r>
    <x v="6"/>
    <x v="30"/>
    <s v="Combined Heat and Power, Industrial Power"/>
    <x v="2"/>
    <n v="206194"/>
  </r>
  <r>
    <x v="6"/>
    <x v="30"/>
    <s v="Combined Heat and Power, Industrial Power"/>
    <x v="3"/>
    <n v="1819"/>
  </r>
  <r>
    <x v="6"/>
    <x v="30"/>
    <s v="Combined Heat and Power, Industrial Power"/>
    <x v="4"/>
    <n v="32282"/>
  </r>
  <r>
    <x v="6"/>
    <x v="30"/>
    <s v="Combined Heat and Power, Industrial Power"/>
    <x v="6"/>
    <n v="115124"/>
  </r>
  <r>
    <x v="6"/>
    <x v="30"/>
    <s v="Combined Heat and Power, Electric Power"/>
    <x v="0"/>
    <n v="84704"/>
  </r>
  <r>
    <x v="6"/>
    <x v="30"/>
    <s v="Combined Heat and Power, Electric Power"/>
    <x v="4"/>
    <n v="60"/>
  </r>
  <r>
    <x v="6"/>
    <x v="30"/>
    <s v="Combined Heat and Power, Electric Power"/>
    <x v="6"/>
    <n v="84644"/>
  </r>
  <r>
    <x v="6"/>
    <x v="30"/>
    <s v="Combined Heat and Power, Commercial Power"/>
    <x v="0"/>
    <n v="24679"/>
  </r>
  <r>
    <x v="6"/>
    <x v="30"/>
    <s v="Combined Heat and Power, Commercial Power"/>
    <x v="4"/>
    <n v="24679"/>
  </r>
  <r>
    <x v="6"/>
    <x v="31"/>
    <s v="Total Electric Power Industry"/>
    <x v="0"/>
    <n v="37716583"/>
  </r>
  <r>
    <x v="6"/>
    <x v="31"/>
    <s v="Total Electric Power Industry"/>
    <x v="1"/>
    <n v="7831694"/>
  </r>
  <r>
    <x v="6"/>
    <x v="31"/>
    <s v="Total Electric Power Industry"/>
    <x v="2"/>
    <n v="19033"/>
  </r>
  <r>
    <x v="6"/>
    <x v="31"/>
    <s v="Total Electric Power Industry"/>
    <x v="3"/>
    <n v="16534483"/>
  </r>
  <r>
    <x v="6"/>
    <x v="31"/>
    <s v="Total Electric Power Industry"/>
    <x v="7"/>
    <n v="11027886"/>
  </r>
  <r>
    <x v="6"/>
    <x v="31"/>
    <s v="Total Electric Power Industry"/>
    <x v="8"/>
    <n v="1013235"/>
  </r>
  <r>
    <x v="6"/>
    <x v="31"/>
    <s v="Total Electric Power Industry"/>
    <x v="9"/>
    <n v="163374"/>
  </r>
  <r>
    <x v="6"/>
    <x v="31"/>
    <s v="Total Electric Power Industry"/>
    <x v="4"/>
    <n v="1241111"/>
  </r>
  <r>
    <x v="6"/>
    <x v="31"/>
    <s v="Total Electric Power Industry"/>
    <x v="10"/>
    <n v="-114233"/>
  </r>
  <r>
    <x v="6"/>
    <x v="31"/>
    <s v="Electric Generators, Independent Power Producers"/>
    <x v="0"/>
    <n v="1699888"/>
  </r>
  <r>
    <x v="6"/>
    <x v="31"/>
    <s v="Electric Generators, Independent Power Producers"/>
    <x v="2"/>
    <n v="19033"/>
  </r>
  <r>
    <x v="6"/>
    <x v="31"/>
    <s v="Electric Generators, Independent Power Producers"/>
    <x v="3"/>
    <n v="1143915"/>
  </r>
  <r>
    <x v="6"/>
    <x v="31"/>
    <s v="Electric Generators, Independent Power Producers"/>
    <x v="8"/>
    <n v="522002"/>
  </r>
  <r>
    <x v="6"/>
    <x v="31"/>
    <s v="Electric Generators, Independent Power Producers"/>
    <x v="4"/>
    <n v="14938"/>
  </r>
  <r>
    <x v="6"/>
    <x v="31"/>
    <s v="Electric Generators, Electric Utilities"/>
    <x v="0"/>
    <n v="19790697"/>
  </r>
  <r>
    <x v="6"/>
    <x v="31"/>
    <s v="Electric Generators, Electric Utilities"/>
    <x v="1"/>
    <n v="5826375"/>
  </r>
  <r>
    <x v="6"/>
    <x v="31"/>
    <s v="Electric Generators, Electric Utilities"/>
    <x v="3"/>
    <n v="2439308"/>
  </r>
  <r>
    <x v="6"/>
    <x v="31"/>
    <s v="Electric Generators, Electric Utilities"/>
    <x v="7"/>
    <n v="11027886"/>
  </r>
  <r>
    <x v="6"/>
    <x v="31"/>
    <s v="Electric Generators, Electric Utilities"/>
    <x v="4"/>
    <n v="611361"/>
  </r>
  <r>
    <x v="6"/>
    <x v="31"/>
    <s v="Electric Generators, Electric Utilities"/>
    <x v="10"/>
    <n v="-114233"/>
  </r>
  <r>
    <x v="6"/>
    <x v="31"/>
    <s v="Combined Heat and Power, Industrial Power"/>
    <x v="0"/>
    <n v="2920865"/>
  </r>
  <r>
    <x v="6"/>
    <x v="31"/>
    <s v="Combined Heat and Power, Industrial Power"/>
    <x v="3"/>
    <n v="2559433"/>
  </r>
  <r>
    <x v="6"/>
    <x v="31"/>
    <s v="Combined Heat and Power, Industrial Power"/>
    <x v="8"/>
    <n v="11747"/>
  </r>
  <r>
    <x v="6"/>
    <x v="31"/>
    <s v="Combined Heat and Power, Industrial Power"/>
    <x v="9"/>
    <n v="163374"/>
  </r>
  <r>
    <x v="6"/>
    <x v="31"/>
    <s v="Combined Heat and Power, Industrial Power"/>
    <x v="4"/>
    <n v="186311"/>
  </r>
  <r>
    <x v="6"/>
    <x v="31"/>
    <s v="Combined Heat and Power, Electric Power"/>
    <x v="0"/>
    <n v="13156286"/>
  </r>
  <r>
    <x v="6"/>
    <x v="31"/>
    <s v="Combined Heat and Power, Electric Power"/>
    <x v="1"/>
    <n v="2005319"/>
  </r>
  <r>
    <x v="6"/>
    <x v="31"/>
    <s v="Combined Heat and Power, Electric Power"/>
    <x v="3"/>
    <n v="10253251"/>
  </r>
  <r>
    <x v="6"/>
    <x v="31"/>
    <s v="Combined Heat and Power, Electric Power"/>
    <x v="8"/>
    <n v="476033"/>
  </r>
  <r>
    <x v="6"/>
    <x v="31"/>
    <s v="Combined Heat and Power, Electric Power"/>
    <x v="4"/>
    <n v="421683"/>
  </r>
  <r>
    <x v="6"/>
    <x v="31"/>
    <s v="Combined Heat and Power, Commercial Power"/>
    <x v="0"/>
    <n v="148847"/>
  </r>
  <r>
    <x v="6"/>
    <x v="31"/>
    <s v="Combined Heat and Power, Commercial Power"/>
    <x v="3"/>
    <n v="138576"/>
  </r>
  <r>
    <x v="6"/>
    <x v="31"/>
    <s v="Combined Heat and Power, Commercial Power"/>
    <x v="8"/>
    <n v="3453"/>
  </r>
  <r>
    <x v="6"/>
    <x v="31"/>
    <s v="Combined Heat and Power, Commercial Power"/>
    <x v="4"/>
    <n v="6818"/>
  </r>
  <r>
    <x v="6"/>
    <x v="32"/>
    <s v="Total Electric Power Industry"/>
    <x v="0"/>
    <n v="30161290"/>
  </r>
  <r>
    <x v="6"/>
    <x v="32"/>
    <s v="Total Electric Power Industry"/>
    <x v="1"/>
    <n v="26357179"/>
  </r>
  <r>
    <x v="6"/>
    <x v="32"/>
    <s v="Total Electric Power Industry"/>
    <x v="2"/>
    <n v="211499"/>
  </r>
  <r>
    <x v="6"/>
    <x v="32"/>
    <s v="Total Electric Power Industry"/>
    <x v="3"/>
    <n v="3555341"/>
  </r>
  <r>
    <x v="6"/>
    <x v="32"/>
    <s v="Total Electric Power Industry"/>
    <x v="8"/>
    <n v="9874"/>
  </r>
  <r>
    <x v="6"/>
    <x v="32"/>
    <s v="Total Electric Power Industry"/>
    <x v="4"/>
    <n v="27397"/>
  </r>
  <r>
    <x v="6"/>
    <x v="32"/>
    <s v="Electric Generators, Electric Utilities"/>
    <x v="0"/>
    <n v="29364389"/>
  </r>
  <r>
    <x v="6"/>
    <x v="32"/>
    <s v="Electric Generators, Electric Utilities"/>
    <x v="1"/>
    <n v="26357179"/>
  </r>
  <r>
    <x v="6"/>
    <x v="32"/>
    <s v="Electric Generators, Electric Utilities"/>
    <x v="2"/>
    <n v="211499"/>
  </r>
  <r>
    <x v="6"/>
    <x v="32"/>
    <s v="Electric Generators, Electric Utilities"/>
    <x v="3"/>
    <n v="2773259"/>
  </r>
  <r>
    <x v="6"/>
    <x v="32"/>
    <s v="Electric Generators, Electric Utilities"/>
    <x v="4"/>
    <n v="22452"/>
  </r>
  <r>
    <x v="6"/>
    <x v="32"/>
    <s v="Combined Heat and Power, Industrial Power"/>
    <x v="0"/>
    <n v="362984"/>
  </r>
  <r>
    <x v="6"/>
    <x v="32"/>
    <s v="Combined Heat and Power, Industrial Power"/>
    <x v="3"/>
    <n v="358039"/>
  </r>
  <r>
    <x v="6"/>
    <x v="32"/>
    <s v="Combined Heat and Power, Industrial Power"/>
    <x v="4"/>
    <n v="4945"/>
  </r>
  <r>
    <x v="6"/>
    <x v="32"/>
    <s v="Combined Heat and Power, Electric Power"/>
    <x v="0"/>
    <n v="382239"/>
  </r>
  <r>
    <x v="6"/>
    <x v="32"/>
    <s v="Combined Heat and Power, Electric Power"/>
    <x v="3"/>
    <n v="372365"/>
  </r>
  <r>
    <x v="6"/>
    <x v="32"/>
    <s v="Combined Heat and Power, Electric Power"/>
    <x v="8"/>
    <n v="9874"/>
  </r>
  <r>
    <x v="6"/>
    <x v="32"/>
    <s v="Combined Heat and Power, Commercial Power"/>
    <x v="0"/>
    <n v="51678"/>
  </r>
  <r>
    <x v="6"/>
    <x v="32"/>
    <s v="Combined Heat and Power, Commercial Power"/>
    <x v="3"/>
    <n v="51678"/>
  </r>
  <r>
    <x v="6"/>
    <x v="33"/>
    <s v="Total Electric Power Industry"/>
    <x v="0"/>
    <n v="25580408"/>
  </r>
  <r>
    <x v="6"/>
    <x v="33"/>
    <s v="Total Electric Power Industry"/>
    <x v="1"/>
    <n v="14656868"/>
  </r>
  <r>
    <x v="6"/>
    <x v="33"/>
    <s v="Total Electric Power Industry"/>
    <x v="11"/>
    <n v="1554683"/>
  </r>
  <r>
    <x v="6"/>
    <x v="33"/>
    <s v="Total Electric Power Industry"/>
    <x v="2"/>
    <n v="2164467"/>
  </r>
  <r>
    <x v="6"/>
    <x v="33"/>
    <s v="Total Electric Power Industry"/>
    <x v="3"/>
    <n v="7083256"/>
  </r>
  <r>
    <x v="6"/>
    <x v="33"/>
    <s v="Total Electric Power Industry"/>
    <x v="12"/>
    <n v="25154"/>
  </r>
  <r>
    <x v="6"/>
    <x v="33"/>
    <s v="Total Electric Power Industry"/>
    <x v="4"/>
    <n v="95980"/>
  </r>
  <r>
    <x v="6"/>
    <x v="33"/>
    <s v="Electric Generators, Independent Power Producers"/>
    <x v="0"/>
    <n v="1762060"/>
  </r>
  <r>
    <x v="6"/>
    <x v="33"/>
    <s v="Electric Generators, Independent Power Producers"/>
    <x v="11"/>
    <n v="1554683"/>
  </r>
  <r>
    <x v="6"/>
    <x v="33"/>
    <s v="Electric Generators, Independent Power Producers"/>
    <x v="2"/>
    <n v="21165"/>
  </r>
  <r>
    <x v="6"/>
    <x v="33"/>
    <s v="Electric Generators, Independent Power Producers"/>
    <x v="3"/>
    <n v="184043"/>
  </r>
  <r>
    <x v="6"/>
    <x v="33"/>
    <s v="Electric Generators, Independent Power Producers"/>
    <x v="4"/>
    <n v="2169"/>
  </r>
  <r>
    <x v="6"/>
    <x v="33"/>
    <s v="Electric Generators, Electric Utilities"/>
    <x v="0"/>
    <n v="21362057"/>
  </r>
  <r>
    <x v="6"/>
    <x v="33"/>
    <s v="Electric Generators, Electric Utilities"/>
    <x v="1"/>
    <n v="14656868"/>
  </r>
  <r>
    <x v="6"/>
    <x v="33"/>
    <s v="Electric Generators, Electric Utilities"/>
    <x v="2"/>
    <n v="2143302"/>
  </r>
  <r>
    <x v="6"/>
    <x v="33"/>
    <s v="Electric Generators, Electric Utilities"/>
    <x v="3"/>
    <n v="4468076"/>
  </r>
  <r>
    <x v="6"/>
    <x v="33"/>
    <s v="Electric Generators, Electric Utilities"/>
    <x v="4"/>
    <n v="93811"/>
  </r>
  <r>
    <x v="6"/>
    <x v="33"/>
    <s v="Combined Heat and Power, Industrial Power"/>
    <x v="0"/>
    <n v="138"/>
  </r>
  <r>
    <x v="6"/>
    <x v="33"/>
    <s v="Combined Heat and Power, Industrial Power"/>
    <x v="3"/>
    <n v="138"/>
  </r>
  <r>
    <x v="6"/>
    <x v="33"/>
    <s v="Combined Heat and Power, Electric Power"/>
    <x v="0"/>
    <n v="2456153"/>
  </r>
  <r>
    <x v="6"/>
    <x v="33"/>
    <s v="Combined Heat and Power, Electric Power"/>
    <x v="3"/>
    <n v="2430999"/>
  </r>
  <r>
    <x v="6"/>
    <x v="33"/>
    <s v="Combined Heat and Power, Electric Power"/>
    <x v="12"/>
    <n v="25154"/>
  </r>
  <r>
    <x v="6"/>
    <x v="34"/>
    <s v="Total Electric Power Industry"/>
    <x v="0"/>
    <n v="135732249"/>
  </r>
  <r>
    <x v="6"/>
    <x v="34"/>
    <s v="Total Electric Power Industry"/>
    <x v="1"/>
    <n v="22671789"/>
  </r>
  <r>
    <x v="6"/>
    <x v="34"/>
    <s v="Total Electric Power Industry"/>
    <x v="2"/>
    <n v="28951250"/>
  </r>
  <r>
    <x v="6"/>
    <x v="34"/>
    <s v="Total Electric Power Industry"/>
    <x v="3"/>
    <n v="37449378"/>
  </r>
  <r>
    <x v="6"/>
    <x v="34"/>
    <s v="Total Electric Power Industry"/>
    <x v="7"/>
    <n v="35225806"/>
  </r>
  <r>
    <x v="6"/>
    <x v="34"/>
    <s v="Total Electric Power Industry"/>
    <x v="8"/>
    <n v="2144488"/>
  </r>
  <r>
    <x v="6"/>
    <x v="34"/>
    <s v="Total Electric Power Industry"/>
    <x v="9"/>
    <n v="105707"/>
  </r>
  <r>
    <x v="6"/>
    <x v="34"/>
    <s v="Total Electric Power Industry"/>
    <x v="4"/>
    <n v="9716598"/>
  </r>
  <r>
    <x v="6"/>
    <x v="34"/>
    <s v="Total Electric Power Industry"/>
    <x v="10"/>
    <n v="-1145989"/>
  </r>
  <r>
    <x v="6"/>
    <x v="34"/>
    <s v="Total Electric Power Industry"/>
    <x v="6"/>
    <n v="613222"/>
  </r>
  <r>
    <x v="6"/>
    <x v="34"/>
    <s v="Electric Generators, Independent Power Producers"/>
    <x v="0"/>
    <n v="3479482"/>
  </r>
  <r>
    <x v="6"/>
    <x v="34"/>
    <s v="Electric Generators, Independent Power Producers"/>
    <x v="2"/>
    <n v="1713369"/>
  </r>
  <r>
    <x v="6"/>
    <x v="34"/>
    <s v="Electric Generators, Independent Power Producers"/>
    <x v="3"/>
    <n v="79922"/>
  </r>
  <r>
    <x v="6"/>
    <x v="34"/>
    <s v="Electric Generators, Independent Power Producers"/>
    <x v="8"/>
    <n v="1487500"/>
  </r>
  <r>
    <x v="6"/>
    <x v="34"/>
    <s v="Electric Generators, Independent Power Producers"/>
    <x v="9"/>
    <n v="1272"/>
  </r>
  <r>
    <x v="6"/>
    <x v="34"/>
    <s v="Electric Generators, Independent Power Producers"/>
    <x v="4"/>
    <n v="4227"/>
  </r>
  <r>
    <x v="6"/>
    <x v="34"/>
    <s v="Electric Generators, Independent Power Producers"/>
    <x v="6"/>
    <n v="193192"/>
  </r>
  <r>
    <x v="6"/>
    <x v="34"/>
    <s v="Electric Generators, Electric Utilities"/>
    <x v="0"/>
    <n v="104360081"/>
  </r>
  <r>
    <x v="6"/>
    <x v="34"/>
    <s v="Electric Generators, Electric Utilities"/>
    <x v="1"/>
    <n v="20444407"/>
  </r>
  <r>
    <x v="6"/>
    <x v="34"/>
    <s v="Electric Generators, Electric Utilities"/>
    <x v="2"/>
    <n v="27116202"/>
  </r>
  <r>
    <x v="6"/>
    <x v="34"/>
    <s v="Electric Generators, Electric Utilities"/>
    <x v="3"/>
    <n v="13355011"/>
  </r>
  <r>
    <x v="6"/>
    <x v="34"/>
    <s v="Electric Generators, Electric Utilities"/>
    <x v="7"/>
    <n v="35225806"/>
  </r>
  <r>
    <x v="6"/>
    <x v="34"/>
    <s v="Electric Generators, Electric Utilities"/>
    <x v="4"/>
    <n v="9324758"/>
  </r>
  <r>
    <x v="6"/>
    <x v="34"/>
    <s v="Electric Generators, Electric Utilities"/>
    <x v="10"/>
    <n v="-1145989"/>
  </r>
  <r>
    <x v="6"/>
    <x v="34"/>
    <s v="Electric Generators, Electric Utilities"/>
    <x v="6"/>
    <n v="39886"/>
  </r>
  <r>
    <x v="6"/>
    <x v="34"/>
    <s v="Combined Heat and Power, Industrial Power"/>
    <x v="0"/>
    <n v="3859827"/>
  </r>
  <r>
    <x v="6"/>
    <x v="34"/>
    <s v="Combined Heat and Power, Industrial Power"/>
    <x v="1"/>
    <n v="877382"/>
  </r>
  <r>
    <x v="6"/>
    <x v="34"/>
    <s v="Combined Heat and Power, Industrial Power"/>
    <x v="2"/>
    <n v="115173"/>
  </r>
  <r>
    <x v="6"/>
    <x v="34"/>
    <s v="Combined Heat and Power, Industrial Power"/>
    <x v="3"/>
    <n v="2325034"/>
  </r>
  <r>
    <x v="6"/>
    <x v="34"/>
    <s v="Combined Heat and Power, Industrial Power"/>
    <x v="8"/>
    <n v="1831"/>
  </r>
  <r>
    <x v="6"/>
    <x v="34"/>
    <s v="Combined Heat and Power, Industrial Power"/>
    <x v="9"/>
    <n v="104394"/>
  </r>
  <r>
    <x v="6"/>
    <x v="34"/>
    <s v="Combined Heat and Power, Industrial Power"/>
    <x v="4"/>
    <n v="220304"/>
  </r>
  <r>
    <x v="6"/>
    <x v="34"/>
    <s v="Combined Heat and Power, Industrial Power"/>
    <x v="6"/>
    <n v="215709"/>
  </r>
  <r>
    <x v="6"/>
    <x v="34"/>
    <s v="Combined Heat and Power, Electric Power"/>
    <x v="0"/>
    <n v="22950299"/>
  </r>
  <r>
    <x v="6"/>
    <x v="34"/>
    <s v="Combined Heat and Power, Electric Power"/>
    <x v="1"/>
    <n v="1327164"/>
  </r>
  <r>
    <x v="6"/>
    <x v="34"/>
    <s v="Combined Heat and Power, Electric Power"/>
    <x v="3"/>
    <n v="20870588"/>
  </r>
  <r>
    <x v="6"/>
    <x v="34"/>
    <s v="Combined Heat and Power, Electric Power"/>
    <x v="8"/>
    <n v="473070"/>
  </r>
  <r>
    <x v="6"/>
    <x v="34"/>
    <s v="Combined Heat and Power, Electric Power"/>
    <x v="9"/>
    <n v="41"/>
  </r>
  <r>
    <x v="6"/>
    <x v="34"/>
    <s v="Combined Heat and Power, Electric Power"/>
    <x v="4"/>
    <n v="115001"/>
  </r>
  <r>
    <x v="6"/>
    <x v="34"/>
    <s v="Combined Heat and Power, Electric Power"/>
    <x v="6"/>
    <n v="164435"/>
  </r>
  <r>
    <x v="6"/>
    <x v="34"/>
    <s v="Combined Heat and Power, Commercial Power"/>
    <x v="0"/>
    <n v="1082560"/>
  </r>
  <r>
    <x v="6"/>
    <x v="34"/>
    <s v="Combined Heat and Power, Commercial Power"/>
    <x v="1"/>
    <n v="22836"/>
  </r>
  <r>
    <x v="6"/>
    <x v="34"/>
    <s v="Combined Heat and Power, Commercial Power"/>
    <x v="2"/>
    <n v="6506"/>
  </r>
  <r>
    <x v="6"/>
    <x v="34"/>
    <s v="Combined Heat and Power, Commercial Power"/>
    <x v="3"/>
    <n v="818823"/>
  </r>
  <r>
    <x v="6"/>
    <x v="34"/>
    <s v="Combined Heat and Power, Commercial Power"/>
    <x v="8"/>
    <n v="182087"/>
  </r>
  <r>
    <x v="6"/>
    <x v="34"/>
    <s v="Combined Heat and Power, Commercial Power"/>
    <x v="4"/>
    <n v="52308"/>
  </r>
  <r>
    <x v="6"/>
    <x v="35"/>
    <s v="Total Electric Power Industry"/>
    <x v="0"/>
    <n v="144437214"/>
  </r>
  <r>
    <x v="6"/>
    <x v="35"/>
    <s v="Total Electric Power Industry"/>
    <x v="1"/>
    <n v="128640943"/>
  </r>
  <r>
    <x v="6"/>
    <x v="35"/>
    <s v="Total Electric Power Industry"/>
    <x v="2"/>
    <n v="397354"/>
  </r>
  <r>
    <x v="6"/>
    <x v="35"/>
    <s v="Total Electric Power Industry"/>
    <x v="3"/>
    <n v="410269"/>
  </r>
  <r>
    <x v="6"/>
    <x v="35"/>
    <s v="Total Electric Power Industry"/>
    <x v="7"/>
    <n v="13919390"/>
  </r>
  <r>
    <x v="6"/>
    <x v="35"/>
    <s v="Total Electric Power Industry"/>
    <x v="8"/>
    <n v="5829"/>
  </r>
  <r>
    <x v="6"/>
    <x v="35"/>
    <s v="Total Electric Power Industry"/>
    <x v="9"/>
    <n v="176515"/>
  </r>
  <r>
    <x v="6"/>
    <x v="35"/>
    <s v="Total Electric Power Industry"/>
    <x v="4"/>
    <n v="303872"/>
  </r>
  <r>
    <x v="6"/>
    <x v="35"/>
    <s v="Total Electric Power Industry"/>
    <x v="6"/>
    <n v="583042"/>
  </r>
  <r>
    <x v="6"/>
    <x v="35"/>
    <s v="Electric Generators, Independent Power Producers"/>
    <x v="0"/>
    <n v="4880"/>
  </r>
  <r>
    <x v="6"/>
    <x v="35"/>
    <s v="Electric Generators, Independent Power Producers"/>
    <x v="2"/>
    <n v="4880"/>
  </r>
  <r>
    <x v="6"/>
    <x v="35"/>
    <s v="Electric Generators, Electric Utilities"/>
    <x v="0"/>
    <n v="142900353"/>
  </r>
  <r>
    <x v="6"/>
    <x v="35"/>
    <s v="Electric Generators, Electric Utilities"/>
    <x v="1"/>
    <n v="128125332"/>
  </r>
  <r>
    <x v="6"/>
    <x v="35"/>
    <s v="Electric Generators, Electric Utilities"/>
    <x v="2"/>
    <n v="392474"/>
  </r>
  <r>
    <x v="6"/>
    <x v="35"/>
    <s v="Electric Generators, Electric Utilities"/>
    <x v="3"/>
    <n v="195917"/>
  </r>
  <r>
    <x v="6"/>
    <x v="35"/>
    <s v="Electric Generators, Electric Utilities"/>
    <x v="7"/>
    <n v="13919390"/>
  </r>
  <r>
    <x v="6"/>
    <x v="35"/>
    <s v="Electric Generators, Electric Utilities"/>
    <x v="8"/>
    <n v="0"/>
  </r>
  <r>
    <x v="6"/>
    <x v="35"/>
    <s v="Electric Generators, Electric Utilities"/>
    <x v="4"/>
    <n v="267240"/>
  </r>
  <r>
    <x v="6"/>
    <x v="35"/>
    <s v="Combined Heat and Power, Industrial Power"/>
    <x v="0"/>
    <n v="1437370"/>
  </r>
  <r>
    <x v="6"/>
    <x v="35"/>
    <s v="Combined Heat and Power, Industrial Power"/>
    <x v="1"/>
    <n v="512923"/>
  </r>
  <r>
    <x v="6"/>
    <x v="35"/>
    <s v="Combined Heat and Power, Industrial Power"/>
    <x v="3"/>
    <n v="175505"/>
  </r>
  <r>
    <x v="6"/>
    <x v="35"/>
    <s v="Combined Heat and Power, Industrial Power"/>
    <x v="9"/>
    <n v="176515"/>
  </r>
  <r>
    <x v="6"/>
    <x v="35"/>
    <s v="Combined Heat and Power, Industrial Power"/>
    <x v="4"/>
    <n v="32364"/>
  </r>
  <r>
    <x v="6"/>
    <x v="35"/>
    <s v="Combined Heat and Power, Industrial Power"/>
    <x v="6"/>
    <n v="540063"/>
  </r>
  <r>
    <x v="6"/>
    <x v="35"/>
    <s v="Combined Heat and Power, Electric Power"/>
    <x v="0"/>
    <n v="48770"/>
  </r>
  <r>
    <x v="6"/>
    <x v="35"/>
    <s v="Combined Heat and Power, Electric Power"/>
    <x v="3"/>
    <n v="335"/>
  </r>
  <r>
    <x v="6"/>
    <x v="35"/>
    <s v="Combined Heat and Power, Electric Power"/>
    <x v="8"/>
    <n v="5829"/>
  </r>
  <r>
    <x v="6"/>
    <x v="35"/>
    <s v="Combined Heat and Power, Electric Power"/>
    <x v="6"/>
    <n v="42606"/>
  </r>
  <r>
    <x v="6"/>
    <x v="35"/>
    <s v="Combined Heat and Power, Commercial Power"/>
    <x v="0"/>
    <n v="45841"/>
  </r>
  <r>
    <x v="6"/>
    <x v="35"/>
    <s v="Combined Heat and Power, Commercial Power"/>
    <x v="1"/>
    <n v="2688"/>
  </r>
  <r>
    <x v="6"/>
    <x v="35"/>
    <s v="Combined Heat and Power, Commercial Power"/>
    <x v="3"/>
    <n v="38512"/>
  </r>
  <r>
    <x v="6"/>
    <x v="35"/>
    <s v="Combined Heat and Power, Commercial Power"/>
    <x v="4"/>
    <n v="4268"/>
  </r>
  <r>
    <x v="6"/>
    <x v="35"/>
    <s v="Combined Heat and Power, Commercial Power"/>
    <x v="6"/>
    <n v="373"/>
  </r>
  <r>
    <x v="6"/>
    <x v="36"/>
    <s v="Total Electric Power Industry"/>
    <x v="0"/>
    <n v="51849620"/>
  </r>
  <r>
    <x v="6"/>
    <x v="36"/>
    <s v="Total Electric Power Industry"/>
    <x v="1"/>
    <n v="34654531"/>
  </r>
  <r>
    <x v="6"/>
    <x v="36"/>
    <s v="Total Electric Power Industry"/>
    <x v="2"/>
    <n v="2157775"/>
  </r>
  <r>
    <x v="6"/>
    <x v="36"/>
    <s v="Total Electric Power Industry"/>
    <x v="3"/>
    <n v="14671686"/>
  </r>
  <r>
    <x v="6"/>
    <x v="36"/>
    <s v="Total Electric Power Industry"/>
    <x v="8"/>
    <n v="1788"/>
  </r>
  <r>
    <x v="6"/>
    <x v="36"/>
    <s v="Total Electric Power Industry"/>
    <x v="9"/>
    <n v="60423"/>
  </r>
  <r>
    <x v="6"/>
    <x v="36"/>
    <s v="Total Electric Power Industry"/>
    <x v="4"/>
    <n v="140206"/>
  </r>
  <r>
    <x v="6"/>
    <x v="36"/>
    <s v="Total Electric Power Industry"/>
    <x v="10"/>
    <n v="-79594"/>
  </r>
  <r>
    <x v="6"/>
    <x v="36"/>
    <s v="Total Electric Power Industry"/>
    <x v="6"/>
    <n v="242805"/>
  </r>
  <r>
    <x v="6"/>
    <x v="36"/>
    <s v="Electric Generators, Electric Utilities"/>
    <x v="0"/>
    <n v="47544649"/>
  </r>
  <r>
    <x v="6"/>
    <x v="36"/>
    <s v="Electric Generators, Electric Utilities"/>
    <x v="1"/>
    <n v="31876730"/>
  </r>
  <r>
    <x v="6"/>
    <x v="36"/>
    <s v="Electric Generators, Electric Utilities"/>
    <x v="2"/>
    <n v="2157775"/>
  </r>
  <r>
    <x v="6"/>
    <x v="36"/>
    <s v="Electric Generators, Electric Utilities"/>
    <x v="3"/>
    <n v="13464787"/>
  </r>
  <r>
    <x v="6"/>
    <x v="36"/>
    <s v="Electric Generators, Electric Utilities"/>
    <x v="4"/>
    <n v="124951"/>
  </r>
  <r>
    <x v="6"/>
    <x v="36"/>
    <s v="Electric Generators, Electric Utilities"/>
    <x v="10"/>
    <n v="-79594"/>
  </r>
  <r>
    <x v="6"/>
    <x v="36"/>
    <s v="Combined Heat and Power, Industrial Power"/>
    <x v="0"/>
    <n v="1228264"/>
  </r>
  <r>
    <x v="6"/>
    <x v="36"/>
    <s v="Combined Heat and Power, Industrial Power"/>
    <x v="1"/>
    <n v="475099"/>
  </r>
  <r>
    <x v="6"/>
    <x v="36"/>
    <s v="Combined Heat and Power, Industrial Power"/>
    <x v="3"/>
    <n v="432894"/>
  </r>
  <r>
    <x v="6"/>
    <x v="36"/>
    <s v="Combined Heat and Power, Industrial Power"/>
    <x v="8"/>
    <n v="1788"/>
  </r>
  <r>
    <x v="6"/>
    <x v="36"/>
    <s v="Combined Heat and Power, Industrial Power"/>
    <x v="9"/>
    <n v="60423"/>
  </r>
  <r>
    <x v="6"/>
    <x v="36"/>
    <s v="Combined Heat and Power, Industrial Power"/>
    <x v="4"/>
    <n v="15255"/>
  </r>
  <r>
    <x v="6"/>
    <x v="36"/>
    <s v="Combined Heat and Power, Industrial Power"/>
    <x v="6"/>
    <n v="242805"/>
  </r>
  <r>
    <x v="6"/>
    <x v="36"/>
    <s v="Combined Heat and Power, Electric Power"/>
    <x v="0"/>
    <n v="3041598"/>
  </r>
  <r>
    <x v="6"/>
    <x v="36"/>
    <s v="Combined Heat and Power, Electric Power"/>
    <x v="1"/>
    <n v="2302702"/>
  </r>
  <r>
    <x v="6"/>
    <x v="36"/>
    <s v="Combined Heat and Power, Electric Power"/>
    <x v="3"/>
    <n v="738896"/>
  </r>
  <r>
    <x v="6"/>
    <x v="36"/>
    <s v="Combined Heat and Power, Commercial Power"/>
    <x v="0"/>
    <n v="35109"/>
  </r>
  <r>
    <x v="6"/>
    <x v="36"/>
    <s v="Combined Heat and Power, Commercial Power"/>
    <x v="3"/>
    <n v="35109"/>
  </r>
  <r>
    <x v="6"/>
    <x v="37"/>
    <s v="Total Electric Power Industry"/>
    <x v="0"/>
    <n v="51011774"/>
  </r>
  <r>
    <x v="6"/>
    <x v="37"/>
    <s v="Total Electric Power Industry"/>
    <x v="1"/>
    <n v="1745174"/>
  </r>
  <r>
    <x v="6"/>
    <x v="37"/>
    <s v="Total Electric Power Industry"/>
    <x v="2"/>
    <n v="44906458"/>
  </r>
  <r>
    <x v="6"/>
    <x v="37"/>
    <s v="Total Electric Power Industry"/>
    <x v="3"/>
    <n v="3810727"/>
  </r>
  <r>
    <x v="6"/>
    <x v="37"/>
    <s v="Total Electric Power Industry"/>
    <x v="8"/>
    <n v="63514"/>
  </r>
  <r>
    <x v="6"/>
    <x v="37"/>
    <s v="Total Electric Power Industry"/>
    <x v="4"/>
    <n v="7957"/>
  </r>
  <r>
    <x v="6"/>
    <x v="37"/>
    <s v="Total Electric Power Industry"/>
    <x v="6"/>
    <n v="477944"/>
  </r>
  <r>
    <x v="6"/>
    <x v="37"/>
    <s v="Electric Generators, Independent Power Producers"/>
    <x v="0"/>
    <n v="457118"/>
  </r>
  <r>
    <x v="6"/>
    <x v="37"/>
    <s v="Electric Generators, Independent Power Producers"/>
    <x v="2"/>
    <n v="393587"/>
  </r>
  <r>
    <x v="6"/>
    <x v="37"/>
    <s v="Electric Generators, Independent Power Producers"/>
    <x v="3"/>
    <n v="17"/>
  </r>
  <r>
    <x v="6"/>
    <x v="37"/>
    <s v="Electric Generators, Independent Power Producers"/>
    <x v="8"/>
    <n v="63514"/>
  </r>
  <r>
    <x v="6"/>
    <x v="37"/>
    <s v="Electric Generators, Electric Utilities"/>
    <x v="0"/>
    <n v="47883913"/>
  </r>
  <r>
    <x v="6"/>
    <x v="37"/>
    <s v="Electric Generators, Electric Utilities"/>
    <x v="1"/>
    <n v="1727583"/>
  </r>
  <r>
    <x v="6"/>
    <x v="37"/>
    <s v="Electric Generators, Electric Utilities"/>
    <x v="2"/>
    <n v="44512871"/>
  </r>
  <r>
    <x v="6"/>
    <x v="37"/>
    <s v="Electric Generators, Electric Utilities"/>
    <x v="3"/>
    <n v="1636828"/>
  </r>
  <r>
    <x v="6"/>
    <x v="37"/>
    <s v="Electric Generators, Electric Utilities"/>
    <x v="8"/>
    <n v="0"/>
  </r>
  <r>
    <x v="6"/>
    <x v="37"/>
    <s v="Electric Generators, Electric Utilities"/>
    <x v="4"/>
    <n v="6631"/>
  </r>
  <r>
    <x v="6"/>
    <x v="37"/>
    <s v="Electric Generators, Electric Utilities"/>
    <x v="6"/>
    <n v="0"/>
  </r>
  <r>
    <x v="6"/>
    <x v="37"/>
    <s v="Combined Heat and Power, Industrial Power"/>
    <x v="0"/>
    <n v="634144"/>
  </r>
  <r>
    <x v="6"/>
    <x v="37"/>
    <s v="Combined Heat and Power, Industrial Power"/>
    <x v="1"/>
    <n v="17591"/>
  </r>
  <r>
    <x v="6"/>
    <x v="37"/>
    <s v="Combined Heat and Power, Industrial Power"/>
    <x v="2"/>
    <n v="0"/>
  </r>
  <r>
    <x v="6"/>
    <x v="37"/>
    <s v="Combined Heat and Power, Industrial Power"/>
    <x v="3"/>
    <n v="395812"/>
  </r>
  <r>
    <x v="6"/>
    <x v="37"/>
    <s v="Combined Heat and Power, Industrial Power"/>
    <x v="4"/>
    <n v="1256"/>
  </r>
  <r>
    <x v="6"/>
    <x v="37"/>
    <s v="Combined Heat and Power, Industrial Power"/>
    <x v="6"/>
    <n v="219485"/>
  </r>
  <r>
    <x v="6"/>
    <x v="37"/>
    <s v="Combined Heat and Power, Electric Power"/>
    <x v="0"/>
    <n v="2031852"/>
  </r>
  <r>
    <x v="6"/>
    <x v="37"/>
    <s v="Combined Heat and Power, Electric Power"/>
    <x v="3"/>
    <n v="1773393"/>
  </r>
  <r>
    <x v="6"/>
    <x v="37"/>
    <s v="Combined Heat and Power, Electric Power"/>
    <x v="6"/>
    <n v="258459"/>
  </r>
  <r>
    <x v="6"/>
    <x v="37"/>
    <s v="Combined Heat and Power, Commercial Power"/>
    <x v="0"/>
    <n v="4747"/>
  </r>
  <r>
    <x v="6"/>
    <x v="37"/>
    <s v="Combined Heat and Power, Commercial Power"/>
    <x v="3"/>
    <n v="4677"/>
  </r>
  <r>
    <x v="6"/>
    <x v="37"/>
    <s v="Combined Heat and Power, Commercial Power"/>
    <x v="4"/>
    <n v="70"/>
  </r>
  <r>
    <x v="6"/>
    <x v="38"/>
    <s v="Total Electric Power Industry"/>
    <x v="0"/>
    <n v="191872623"/>
  </r>
  <r>
    <x v="6"/>
    <x v="38"/>
    <s v="Total Electric Power Industry"/>
    <x v="1"/>
    <n v="111199706"/>
  </r>
  <r>
    <x v="6"/>
    <x v="38"/>
    <s v="Total Electric Power Industry"/>
    <x v="2"/>
    <n v="3012078"/>
  </r>
  <r>
    <x v="6"/>
    <x v="38"/>
    <s v="Total Electric Power Industry"/>
    <x v="3"/>
    <n v="3093102"/>
  </r>
  <r>
    <x v="6"/>
    <x v="38"/>
    <s v="Total Electric Power Industry"/>
    <x v="7"/>
    <n v="68672038"/>
  </r>
  <r>
    <x v="6"/>
    <x v="38"/>
    <s v="Total Electric Power Industry"/>
    <x v="12"/>
    <n v="53468"/>
  </r>
  <r>
    <x v="6"/>
    <x v="38"/>
    <s v="Total Electric Power Industry"/>
    <x v="8"/>
    <n v="1749213"/>
  </r>
  <r>
    <x v="6"/>
    <x v="38"/>
    <s v="Total Electric Power Industry"/>
    <x v="9"/>
    <n v="748213"/>
  </r>
  <r>
    <x v="6"/>
    <x v="38"/>
    <s v="Total Electric Power Industry"/>
    <x v="4"/>
    <n v="3591002"/>
  </r>
  <r>
    <x v="6"/>
    <x v="38"/>
    <s v="Total Electric Power Industry"/>
    <x v="10"/>
    <n v="-922518"/>
  </r>
  <r>
    <x v="6"/>
    <x v="38"/>
    <s v="Total Electric Power Industry"/>
    <x v="6"/>
    <n v="676321"/>
  </r>
  <r>
    <x v="6"/>
    <x v="38"/>
    <s v="Electric Generators, Independent Power Producers"/>
    <x v="0"/>
    <n v="5190584"/>
  </r>
  <r>
    <x v="6"/>
    <x v="38"/>
    <s v="Electric Generators, Independent Power Producers"/>
    <x v="1"/>
    <n v="2851792"/>
  </r>
  <r>
    <x v="6"/>
    <x v="38"/>
    <s v="Electric Generators, Independent Power Producers"/>
    <x v="2"/>
    <n v="450822"/>
  </r>
  <r>
    <x v="6"/>
    <x v="38"/>
    <s v="Electric Generators, Independent Power Producers"/>
    <x v="3"/>
    <n v="400594"/>
  </r>
  <r>
    <x v="6"/>
    <x v="38"/>
    <s v="Electric Generators, Independent Power Producers"/>
    <x v="8"/>
    <n v="1459018"/>
  </r>
  <r>
    <x v="6"/>
    <x v="38"/>
    <s v="Electric Generators, Independent Power Producers"/>
    <x v="9"/>
    <n v="589"/>
  </r>
  <r>
    <x v="6"/>
    <x v="38"/>
    <s v="Electric Generators, Independent Power Producers"/>
    <x v="4"/>
    <n v="27769"/>
  </r>
  <r>
    <x v="6"/>
    <x v="38"/>
    <s v="Electric Generators, Electric Utilities"/>
    <x v="0"/>
    <n v="175022081"/>
  </r>
  <r>
    <x v="6"/>
    <x v="38"/>
    <s v="Electric Generators, Electric Utilities"/>
    <x v="1"/>
    <n v="100857561"/>
  </r>
  <r>
    <x v="6"/>
    <x v="38"/>
    <s v="Electric Generators, Electric Utilities"/>
    <x v="2"/>
    <n v="2561256"/>
  </r>
  <r>
    <x v="6"/>
    <x v="38"/>
    <s v="Electric Generators, Electric Utilities"/>
    <x v="3"/>
    <n v="641242"/>
  </r>
  <r>
    <x v="6"/>
    <x v="38"/>
    <s v="Electric Generators, Electric Utilities"/>
    <x v="7"/>
    <n v="68672038"/>
  </r>
  <r>
    <x v="6"/>
    <x v="38"/>
    <s v="Electric Generators, Electric Utilities"/>
    <x v="4"/>
    <n v="3212502"/>
  </r>
  <r>
    <x v="6"/>
    <x v="38"/>
    <s v="Electric Generators, Electric Utilities"/>
    <x v="10"/>
    <n v="-922518"/>
  </r>
  <r>
    <x v="6"/>
    <x v="38"/>
    <s v="Combined Heat and Power, Industrial Power"/>
    <x v="0"/>
    <n v="3964418"/>
  </r>
  <r>
    <x v="6"/>
    <x v="38"/>
    <s v="Combined Heat and Power, Industrial Power"/>
    <x v="1"/>
    <n v="1805457"/>
  </r>
  <r>
    <x v="6"/>
    <x v="38"/>
    <s v="Combined Heat and Power, Industrial Power"/>
    <x v="3"/>
    <n v="691326"/>
  </r>
  <r>
    <x v="6"/>
    <x v="38"/>
    <s v="Combined Heat and Power, Industrial Power"/>
    <x v="12"/>
    <n v="14745"/>
  </r>
  <r>
    <x v="6"/>
    <x v="38"/>
    <s v="Combined Heat and Power, Industrial Power"/>
    <x v="8"/>
    <n v="34955"/>
  </r>
  <r>
    <x v="6"/>
    <x v="38"/>
    <s v="Combined Heat and Power, Industrial Power"/>
    <x v="9"/>
    <n v="746895"/>
  </r>
  <r>
    <x v="6"/>
    <x v="38"/>
    <s v="Combined Heat and Power, Industrial Power"/>
    <x v="4"/>
    <n v="182996"/>
  </r>
  <r>
    <x v="6"/>
    <x v="38"/>
    <s v="Combined Heat and Power, Industrial Power"/>
    <x v="6"/>
    <n v="488044"/>
  </r>
  <r>
    <x v="6"/>
    <x v="38"/>
    <s v="Combined Heat and Power, Electric Power"/>
    <x v="0"/>
    <n v="7300614"/>
  </r>
  <r>
    <x v="6"/>
    <x v="38"/>
    <s v="Combined Heat and Power, Electric Power"/>
    <x v="1"/>
    <n v="5678107"/>
  </r>
  <r>
    <x v="6"/>
    <x v="38"/>
    <s v="Combined Heat and Power, Electric Power"/>
    <x v="3"/>
    <n v="1198653"/>
  </r>
  <r>
    <x v="6"/>
    <x v="38"/>
    <s v="Combined Heat and Power, Electric Power"/>
    <x v="12"/>
    <n v="38723"/>
  </r>
  <r>
    <x v="6"/>
    <x v="38"/>
    <s v="Combined Heat and Power, Electric Power"/>
    <x v="8"/>
    <n v="35510"/>
  </r>
  <r>
    <x v="6"/>
    <x v="38"/>
    <s v="Combined Heat and Power, Electric Power"/>
    <x v="9"/>
    <n v="729"/>
  </r>
  <r>
    <x v="6"/>
    <x v="38"/>
    <s v="Combined Heat and Power, Electric Power"/>
    <x v="4"/>
    <n v="160615"/>
  </r>
  <r>
    <x v="6"/>
    <x v="38"/>
    <s v="Combined Heat and Power, Electric Power"/>
    <x v="6"/>
    <n v="188277"/>
  </r>
  <r>
    <x v="6"/>
    <x v="38"/>
    <s v="Combined Heat and Power, Commercial Power"/>
    <x v="0"/>
    <n v="394926"/>
  </r>
  <r>
    <x v="6"/>
    <x v="38"/>
    <s v="Combined Heat and Power, Commercial Power"/>
    <x v="1"/>
    <n v="6789"/>
  </r>
  <r>
    <x v="6"/>
    <x v="38"/>
    <s v="Combined Heat and Power, Commercial Power"/>
    <x v="3"/>
    <n v="161287"/>
  </r>
  <r>
    <x v="6"/>
    <x v="38"/>
    <s v="Combined Heat and Power, Commercial Power"/>
    <x v="8"/>
    <n v="219730"/>
  </r>
  <r>
    <x v="6"/>
    <x v="38"/>
    <s v="Combined Heat and Power, Commercial Power"/>
    <x v="4"/>
    <n v="7120"/>
  </r>
  <r>
    <x v="6"/>
    <x v="39"/>
    <s v="Total Electric Power Industry"/>
    <x v="0"/>
    <n v="7720036"/>
  </r>
  <r>
    <x v="6"/>
    <x v="39"/>
    <s v="Total Electric Power Industry"/>
    <x v="1"/>
    <n v="0"/>
  </r>
  <r>
    <x v="6"/>
    <x v="39"/>
    <s v="Total Electric Power Industry"/>
    <x v="2"/>
    <n v="10367"/>
  </r>
  <r>
    <x v="6"/>
    <x v="39"/>
    <s v="Total Electric Power Industry"/>
    <x v="3"/>
    <n v="7477865"/>
  </r>
  <r>
    <x v="6"/>
    <x v="39"/>
    <s v="Total Electric Power Industry"/>
    <x v="8"/>
    <n v="94241"/>
  </r>
  <r>
    <x v="6"/>
    <x v="39"/>
    <s v="Total Electric Power Industry"/>
    <x v="4"/>
    <n v="137563"/>
  </r>
  <r>
    <x v="6"/>
    <x v="39"/>
    <s v="Electric Generators, Independent Power Producers"/>
    <x v="0"/>
    <n v="3963616"/>
  </r>
  <r>
    <x v="6"/>
    <x v="39"/>
    <s v="Electric Generators, Independent Power Producers"/>
    <x v="2"/>
    <n v="10367"/>
  </r>
  <r>
    <x v="6"/>
    <x v="39"/>
    <s v="Electric Generators, Independent Power Producers"/>
    <x v="3"/>
    <n v="3855223"/>
  </r>
  <r>
    <x v="6"/>
    <x v="39"/>
    <s v="Electric Generators, Independent Power Producers"/>
    <x v="8"/>
    <n v="94241"/>
  </r>
  <r>
    <x v="6"/>
    <x v="39"/>
    <s v="Electric Generators, Independent Power Producers"/>
    <x v="4"/>
    <n v="3785"/>
  </r>
  <r>
    <x v="6"/>
    <x v="39"/>
    <s v="Electric Generators, Electric Utilities"/>
    <x v="0"/>
    <n v="3301111"/>
  </r>
  <r>
    <x v="6"/>
    <x v="39"/>
    <s v="Electric Generators, Electric Utilities"/>
    <x v="1"/>
    <n v="0"/>
  </r>
  <r>
    <x v="6"/>
    <x v="39"/>
    <s v="Electric Generators, Electric Utilities"/>
    <x v="2"/>
    <n v="0"/>
  </r>
  <r>
    <x v="6"/>
    <x v="39"/>
    <s v="Electric Generators, Electric Utilities"/>
    <x v="3"/>
    <n v="3239436"/>
  </r>
  <r>
    <x v="6"/>
    <x v="39"/>
    <s v="Electric Generators, Electric Utilities"/>
    <x v="4"/>
    <n v="61675"/>
  </r>
  <r>
    <x v="6"/>
    <x v="39"/>
    <s v="Combined Heat and Power, Industrial Power"/>
    <x v="0"/>
    <n v="16459"/>
  </r>
  <r>
    <x v="6"/>
    <x v="39"/>
    <s v="Combined Heat and Power, Industrial Power"/>
    <x v="3"/>
    <n v="12164"/>
  </r>
  <r>
    <x v="6"/>
    <x v="39"/>
    <s v="Combined Heat and Power, Industrial Power"/>
    <x v="4"/>
    <n v="4295"/>
  </r>
  <r>
    <x v="6"/>
    <x v="39"/>
    <s v="Combined Heat and Power, Electric Power"/>
    <x v="0"/>
    <n v="379130"/>
  </r>
  <r>
    <x v="6"/>
    <x v="39"/>
    <s v="Combined Heat and Power, Electric Power"/>
    <x v="3"/>
    <n v="346464"/>
  </r>
  <r>
    <x v="6"/>
    <x v="39"/>
    <s v="Combined Heat and Power, Electric Power"/>
    <x v="4"/>
    <n v="32666"/>
  </r>
  <r>
    <x v="6"/>
    <x v="39"/>
    <s v="Combined Heat and Power, Commercial Power"/>
    <x v="0"/>
    <n v="59720"/>
  </r>
  <r>
    <x v="6"/>
    <x v="39"/>
    <s v="Combined Heat and Power, Commercial Power"/>
    <x v="3"/>
    <n v="24578"/>
  </r>
  <r>
    <x v="6"/>
    <x v="39"/>
    <s v="Combined Heat and Power, Commercial Power"/>
    <x v="4"/>
    <n v="35142"/>
  </r>
  <r>
    <x v="6"/>
    <x v="40"/>
    <s v="Total Electric Power Industry"/>
    <x v="0"/>
    <n v="78768552"/>
  </r>
  <r>
    <x v="6"/>
    <x v="40"/>
    <s v="Total Electric Power Industry"/>
    <x v="1"/>
    <n v="30863316"/>
  </r>
  <r>
    <x v="6"/>
    <x v="40"/>
    <s v="Total Electric Power Industry"/>
    <x v="2"/>
    <n v="3041064"/>
  </r>
  <r>
    <x v="6"/>
    <x v="40"/>
    <s v="Total Electric Power Industry"/>
    <x v="3"/>
    <n v="196326"/>
  </r>
  <r>
    <x v="6"/>
    <x v="40"/>
    <s v="Total Electric Power Industry"/>
    <x v="7"/>
    <n v="43571032"/>
  </r>
  <r>
    <x v="6"/>
    <x v="40"/>
    <s v="Total Electric Power Industry"/>
    <x v="12"/>
    <n v="3503"/>
  </r>
  <r>
    <x v="6"/>
    <x v="40"/>
    <s v="Total Electric Power Industry"/>
    <x v="8"/>
    <n v="77834"/>
  </r>
  <r>
    <x v="6"/>
    <x v="40"/>
    <s v="Total Electric Power Industry"/>
    <x v="9"/>
    <n v="18533"/>
  </r>
  <r>
    <x v="6"/>
    <x v="40"/>
    <s v="Total Electric Power Industry"/>
    <x v="4"/>
    <n v="279207"/>
  </r>
  <r>
    <x v="6"/>
    <x v="40"/>
    <s v="Total Electric Power Industry"/>
    <x v="10"/>
    <n v="-754982"/>
  </r>
  <r>
    <x v="6"/>
    <x v="40"/>
    <s v="Total Electric Power Industry"/>
    <x v="6"/>
    <n v="1472719"/>
  </r>
  <r>
    <x v="6"/>
    <x v="40"/>
    <s v="Electric Generators, Independent Power Producers"/>
    <x v="0"/>
    <n v="52165"/>
  </r>
  <r>
    <x v="6"/>
    <x v="40"/>
    <s v="Electric Generators, Independent Power Producers"/>
    <x v="2"/>
    <n v="52165"/>
  </r>
  <r>
    <x v="6"/>
    <x v="40"/>
    <s v="Electric Generators, Electric Utilities"/>
    <x v="0"/>
    <n v="76325556"/>
  </r>
  <r>
    <x v="6"/>
    <x v="40"/>
    <s v="Electric Generators, Electric Utilities"/>
    <x v="1"/>
    <n v="30307236"/>
  </r>
  <r>
    <x v="6"/>
    <x v="40"/>
    <s v="Electric Generators, Electric Utilities"/>
    <x v="2"/>
    <n v="2986149"/>
  </r>
  <r>
    <x v="6"/>
    <x v="40"/>
    <s v="Electric Generators, Electric Utilities"/>
    <x v="3"/>
    <n v="90464"/>
  </r>
  <r>
    <x v="6"/>
    <x v="40"/>
    <s v="Electric Generators, Electric Utilities"/>
    <x v="7"/>
    <n v="43571032"/>
  </r>
  <r>
    <x v="6"/>
    <x v="40"/>
    <s v="Electric Generators, Electric Utilities"/>
    <x v="4"/>
    <n v="125657"/>
  </r>
  <r>
    <x v="6"/>
    <x v="40"/>
    <s v="Electric Generators, Electric Utilities"/>
    <x v="10"/>
    <n v="-754982"/>
  </r>
  <r>
    <x v="6"/>
    <x v="40"/>
    <s v="Combined Heat and Power, Industrial Power"/>
    <x v="0"/>
    <n v="2312489"/>
  </r>
  <r>
    <x v="6"/>
    <x v="40"/>
    <s v="Combined Heat and Power, Industrial Power"/>
    <x v="1"/>
    <n v="556080"/>
  </r>
  <r>
    <x v="6"/>
    <x v="40"/>
    <s v="Combined Heat and Power, Industrial Power"/>
    <x v="3"/>
    <n v="103906"/>
  </r>
  <r>
    <x v="6"/>
    <x v="40"/>
    <s v="Combined Heat and Power, Industrial Power"/>
    <x v="12"/>
    <n v="3503"/>
  </r>
  <r>
    <x v="6"/>
    <x v="40"/>
    <s v="Combined Heat and Power, Industrial Power"/>
    <x v="8"/>
    <n v="5668"/>
  </r>
  <r>
    <x v="6"/>
    <x v="40"/>
    <s v="Combined Heat and Power, Industrial Power"/>
    <x v="9"/>
    <n v="18533"/>
  </r>
  <r>
    <x v="6"/>
    <x v="40"/>
    <s v="Combined Heat and Power, Industrial Power"/>
    <x v="4"/>
    <n v="152080"/>
  </r>
  <r>
    <x v="6"/>
    <x v="40"/>
    <s v="Combined Heat and Power, Industrial Power"/>
    <x v="6"/>
    <n v="1472719"/>
  </r>
  <r>
    <x v="6"/>
    <x v="40"/>
    <s v="Combined Heat and Power, Commercial Power"/>
    <x v="0"/>
    <n v="78342"/>
  </r>
  <r>
    <x v="6"/>
    <x v="40"/>
    <s v="Combined Heat and Power, Commercial Power"/>
    <x v="2"/>
    <n v="2750"/>
  </r>
  <r>
    <x v="6"/>
    <x v="40"/>
    <s v="Combined Heat and Power, Commercial Power"/>
    <x v="3"/>
    <n v="1956"/>
  </r>
  <r>
    <x v="6"/>
    <x v="40"/>
    <s v="Combined Heat and Power, Commercial Power"/>
    <x v="8"/>
    <n v="72166"/>
  </r>
  <r>
    <x v="6"/>
    <x v="40"/>
    <s v="Combined Heat and Power, Commercial Power"/>
    <x v="4"/>
    <n v="1470"/>
  </r>
  <r>
    <x v="6"/>
    <x v="41"/>
    <s v="Total Electric Power Industry"/>
    <x v="0"/>
    <n v="10066274"/>
  </r>
  <r>
    <x v="6"/>
    <x v="41"/>
    <s v="Total Electric Power Industry"/>
    <x v="1"/>
    <n v="2029901"/>
  </r>
  <r>
    <x v="6"/>
    <x v="41"/>
    <s v="Total Electric Power Industry"/>
    <x v="2"/>
    <n v="7977670"/>
  </r>
  <r>
    <x v="6"/>
    <x v="41"/>
    <s v="Total Electric Power Industry"/>
    <x v="3"/>
    <n v="49728"/>
  </r>
  <r>
    <x v="6"/>
    <x v="41"/>
    <s v="Total Electric Power Industry"/>
    <x v="4"/>
    <n v="8975"/>
  </r>
  <r>
    <x v="6"/>
    <x v="41"/>
    <s v="Electric Generators, Electric Utilities"/>
    <x v="0"/>
    <n v="10066274"/>
  </r>
  <r>
    <x v="6"/>
    <x v="41"/>
    <s v="Electric Generators, Electric Utilities"/>
    <x v="1"/>
    <n v="2029901"/>
  </r>
  <r>
    <x v="6"/>
    <x v="41"/>
    <s v="Electric Generators, Electric Utilities"/>
    <x v="2"/>
    <n v="7977670"/>
  </r>
  <r>
    <x v="6"/>
    <x v="41"/>
    <s v="Electric Generators, Electric Utilities"/>
    <x v="3"/>
    <n v="49728"/>
  </r>
  <r>
    <x v="6"/>
    <x v="41"/>
    <s v="Electric Generators, Electric Utilities"/>
    <x v="4"/>
    <n v="8975"/>
  </r>
  <r>
    <x v="6"/>
    <x v="42"/>
    <s v="Total Electric Power Industry"/>
    <x v="0"/>
    <n v="92122368"/>
  </r>
  <r>
    <x v="6"/>
    <x v="42"/>
    <s v="Total Electric Power Industry"/>
    <x v="1"/>
    <n v="57179604"/>
  </r>
  <r>
    <x v="6"/>
    <x v="42"/>
    <s v="Total Electric Power Industry"/>
    <x v="2"/>
    <n v="11466983"/>
  </r>
  <r>
    <x v="6"/>
    <x v="42"/>
    <s v="Total Electric Power Industry"/>
    <x v="3"/>
    <n v="250002"/>
  </r>
  <r>
    <x v="6"/>
    <x v="42"/>
    <s v="Total Electric Power Industry"/>
    <x v="7"/>
    <n v="22924239"/>
  </r>
  <r>
    <x v="6"/>
    <x v="42"/>
    <s v="Total Electric Power Industry"/>
    <x v="12"/>
    <n v="127473"/>
  </r>
  <r>
    <x v="6"/>
    <x v="42"/>
    <s v="Total Electric Power Industry"/>
    <x v="8"/>
    <n v="60037"/>
  </r>
  <r>
    <x v="6"/>
    <x v="42"/>
    <s v="Total Electric Power Industry"/>
    <x v="9"/>
    <n v="14829"/>
  </r>
  <r>
    <x v="6"/>
    <x v="42"/>
    <s v="Total Electric Power Industry"/>
    <x v="4"/>
    <n v="260081"/>
  </r>
  <r>
    <x v="6"/>
    <x v="42"/>
    <s v="Total Electric Power Industry"/>
    <x v="10"/>
    <n v="-678467"/>
  </r>
  <r>
    <x v="6"/>
    <x v="42"/>
    <s v="Total Electric Power Industry"/>
    <x v="6"/>
    <n v="517587"/>
  </r>
  <r>
    <x v="6"/>
    <x v="42"/>
    <s v="Electric Generators, Independent Power Producers"/>
    <x v="0"/>
    <n v="22438"/>
  </r>
  <r>
    <x v="6"/>
    <x v="42"/>
    <s v="Electric Generators, Independent Power Producers"/>
    <x v="8"/>
    <n v="22438"/>
  </r>
  <r>
    <x v="6"/>
    <x v="42"/>
    <s v="Electric Generators, Electric Utilities"/>
    <x v="0"/>
    <n v="88647111"/>
  </r>
  <r>
    <x v="6"/>
    <x v="42"/>
    <s v="Electric Generators, Electric Utilities"/>
    <x v="1"/>
    <n v="55504189"/>
  </r>
  <r>
    <x v="6"/>
    <x v="42"/>
    <s v="Electric Generators, Electric Utilities"/>
    <x v="2"/>
    <n v="10578781"/>
  </r>
  <r>
    <x v="6"/>
    <x v="42"/>
    <s v="Electric Generators, Electric Utilities"/>
    <x v="3"/>
    <n v="60783"/>
  </r>
  <r>
    <x v="6"/>
    <x v="42"/>
    <s v="Electric Generators, Electric Utilities"/>
    <x v="7"/>
    <n v="22924239"/>
  </r>
  <r>
    <x v="6"/>
    <x v="42"/>
    <s v="Electric Generators, Electric Utilities"/>
    <x v="4"/>
    <n v="257586"/>
  </r>
  <r>
    <x v="6"/>
    <x v="42"/>
    <s v="Electric Generators, Electric Utilities"/>
    <x v="10"/>
    <n v="-678467"/>
  </r>
  <r>
    <x v="6"/>
    <x v="42"/>
    <s v="Combined Heat and Power, Industrial Power"/>
    <x v="0"/>
    <n v="3365822"/>
  </r>
  <r>
    <x v="6"/>
    <x v="42"/>
    <s v="Combined Heat and Power, Industrial Power"/>
    <x v="1"/>
    <n v="1625288"/>
  </r>
  <r>
    <x v="6"/>
    <x v="42"/>
    <s v="Combined Heat and Power, Industrial Power"/>
    <x v="2"/>
    <n v="888202"/>
  </r>
  <r>
    <x v="6"/>
    <x v="42"/>
    <s v="Combined Heat and Power, Industrial Power"/>
    <x v="3"/>
    <n v="186531"/>
  </r>
  <r>
    <x v="6"/>
    <x v="42"/>
    <s v="Combined Heat and Power, Industrial Power"/>
    <x v="12"/>
    <n v="127473"/>
  </r>
  <r>
    <x v="6"/>
    <x v="42"/>
    <s v="Combined Heat and Power, Industrial Power"/>
    <x v="8"/>
    <n v="3447"/>
  </r>
  <r>
    <x v="6"/>
    <x v="42"/>
    <s v="Combined Heat and Power, Industrial Power"/>
    <x v="9"/>
    <n v="14829"/>
  </r>
  <r>
    <x v="6"/>
    <x v="42"/>
    <s v="Combined Heat and Power, Industrial Power"/>
    <x v="4"/>
    <n v="2465"/>
  </r>
  <r>
    <x v="6"/>
    <x v="42"/>
    <s v="Combined Heat and Power, Industrial Power"/>
    <x v="6"/>
    <n v="517587"/>
  </r>
  <r>
    <x v="6"/>
    <x v="42"/>
    <s v="Combined Heat and Power, Commercial Power"/>
    <x v="0"/>
    <n v="86997"/>
  </r>
  <r>
    <x v="6"/>
    <x v="42"/>
    <s v="Combined Heat and Power, Commercial Power"/>
    <x v="1"/>
    <n v="50127"/>
  </r>
  <r>
    <x v="6"/>
    <x v="42"/>
    <s v="Combined Heat and Power, Commercial Power"/>
    <x v="3"/>
    <n v="2688"/>
  </r>
  <r>
    <x v="6"/>
    <x v="42"/>
    <s v="Combined Heat and Power, Commercial Power"/>
    <x v="8"/>
    <n v="34152"/>
  </r>
  <r>
    <x v="6"/>
    <x v="42"/>
    <s v="Combined Heat and Power, Commercial Power"/>
    <x v="4"/>
    <n v="30"/>
  </r>
  <r>
    <x v="6"/>
    <x v="43"/>
    <s v="Total Electric Power Industry"/>
    <x v="0"/>
    <n v="328948933"/>
  </r>
  <r>
    <x v="6"/>
    <x v="43"/>
    <s v="Total Electric Power Industry"/>
    <x v="1"/>
    <n v="135849108"/>
  </r>
  <r>
    <x v="6"/>
    <x v="43"/>
    <s v="Total Electric Power Industry"/>
    <x v="2"/>
    <n v="959842"/>
  </r>
  <r>
    <x v="6"/>
    <x v="43"/>
    <s v="Total Electric Power Industry"/>
    <x v="3"/>
    <n v="148033016"/>
  </r>
  <r>
    <x v="6"/>
    <x v="43"/>
    <s v="Total Electric Power Industry"/>
    <x v="7"/>
    <n v="35766550"/>
  </r>
  <r>
    <x v="6"/>
    <x v="43"/>
    <s v="Total Electric Power Industry"/>
    <x v="12"/>
    <n v="572508"/>
  </r>
  <r>
    <x v="6"/>
    <x v="43"/>
    <s v="Total Electric Power Industry"/>
    <x v="8"/>
    <n v="82732"/>
  </r>
  <r>
    <x v="6"/>
    <x v="43"/>
    <s v="Total Electric Power Industry"/>
    <x v="9"/>
    <n v="4408854"/>
  </r>
  <r>
    <x v="6"/>
    <x v="43"/>
    <s v="Total Electric Power Industry"/>
    <x v="4"/>
    <n v="1911860"/>
  </r>
  <r>
    <x v="6"/>
    <x v="43"/>
    <s v="Total Electric Power Industry"/>
    <x v="13"/>
    <n v="260"/>
  </r>
  <r>
    <x v="6"/>
    <x v="43"/>
    <s v="Total Electric Power Industry"/>
    <x v="5"/>
    <n v="82572"/>
  </r>
  <r>
    <x v="6"/>
    <x v="43"/>
    <s v="Total Electric Power Industry"/>
    <x v="6"/>
    <n v="1281631"/>
  </r>
  <r>
    <x v="6"/>
    <x v="43"/>
    <s v="Electric Generators, Independent Power Producers"/>
    <x v="0"/>
    <n v="122467"/>
  </r>
  <r>
    <x v="6"/>
    <x v="43"/>
    <s v="Electric Generators, Independent Power Producers"/>
    <x v="2"/>
    <n v="6121"/>
  </r>
  <r>
    <x v="6"/>
    <x v="43"/>
    <s v="Electric Generators, Independent Power Producers"/>
    <x v="8"/>
    <n v="33774"/>
  </r>
  <r>
    <x v="6"/>
    <x v="43"/>
    <s v="Electric Generators, Independent Power Producers"/>
    <x v="5"/>
    <n v="82572"/>
  </r>
  <r>
    <x v="6"/>
    <x v="43"/>
    <s v="Electric Generators, Electric Utilities"/>
    <x v="0"/>
    <n v="272282585"/>
  </r>
  <r>
    <x v="6"/>
    <x v="43"/>
    <s v="Electric Generators, Electric Utilities"/>
    <x v="1"/>
    <n v="133255364"/>
  </r>
  <r>
    <x v="6"/>
    <x v="43"/>
    <s v="Electric Generators, Electric Utilities"/>
    <x v="2"/>
    <n v="953721"/>
  </r>
  <r>
    <x v="6"/>
    <x v="43"/>
    <s v="Electric Generators, Electric Utilities"/>
    <x v="3"/>
    <n v="101748031"/>
  </r>
  <r>
    <x v="6"/>
    <x v="43"/>
    <s v="Electric Generators, Electric Utilities"/>
    <x v="7"/>
    <n v="35766550"/>
  </r>
  <r>
    <x v="6"/>
    <x v="43"/>
    <s v="Electric Generators, Electric Utilities"/>
    <x v="4"/>
    <n v="558659"/>
  </r>
  <r>
    <x v="6"/>
    <x v="43"/>
    <s v="Electric Generators, Electric Utilities"/>
    <x v="13"/>
    <n v="260"/>
  </r>
  <r>
    <x v="6"/>
    <x v="43"/>
    <s v="Combined Heat and Power, Industrial Power"/>
    <x v="0"/>
    <n v="37001194"/>
  </r>
  <r>
    <x v="6"/>
    <x v="43"/>
    <s v="Combined Heat and Power, Industrial Power"/>
    <x v="1"/>
    <n v="2593744"/>
  </r>
  <r>
    <x v="6"/>
    <x v="43"/>
    <s v="Combined Heat and Power, Industrial Power"/>
    <x v="3"/>
    <n v="28484675"/>
  </r>
  <r>
    <x v="6"/>
    <x v="43"/>
    <s v="Combined Heat and Power, Industrial Power"/>
    <x v="12"/>
    <n v="435162"/>
  </r>
  <r>
    <x v="6"/>
    <x v="43"/>
    <s v="Combined Heat and Power, Industrial Power"/>
    <x v="8"/>
    <n v="41478"/>
  </r>
  <r>
    <x v="6"/>
    <x v="43"/>
    <s v="Combined Heat and Power, Industrial Power"/>
    <x v="9"/>
    <n v="4035524"/>
  </r>
  <r>
    <x v="6"/>
    <x v="43"/>
    <s v="Combined Heat and Power, Industrial Power"/>
    <x v="4"/>
    <n v="128980"/>
  </r>
  <r>
    <x v="6"/>
    <x v="43"/>
    <s v="Combined Heat and Power, Industrial Power"/>
    <x v="6"/>
    <n v="1281631"/>
  </r>
  <r>
    <x v="6"/>
    <x v="43"/>
    <s v="Combined Heat and Power, Electric Power"/>
    <x v="0"/>
    <n v="19080075"/>
  </r>
  <r>
    <x v="6"/>
    <x v="43"/>
    <s v="Combined Heat and Power, Electric Power"/>
    <x v="3"/>
    <n v="17351095"/>
  </r>
  <r>
    <x v="6"/>
    <x v="43"/>
    <s v="Combined Heat and Power, Electric Power"/>
    <x v="12"/>
    <n v="137346"/>
  </r>
  <r>
    <x v="6"/>
    <x v="43"/>
    <s v="Combined Heat and Power, Electric Power"/>
    <x v="9"/>
    <n v="373330"/>
  </r>
  <r>
    <x v="6"/>
    <x v="43"/>
    <s v="Combined Heat and Power, Electric Power"/>
    <x v="4"/>
    <n v="1218304"/>
  </r>
  <r>
    <x v="6"/>
    <x v="43"/>
    <s v="Combined Heat and Power, Commercial Power"/>
    <x v="0"/>
    <n v="462612"/>
  </r>
  <r>
    <x v="6"/>
    <x v="43"/>
    <s v="Combined Heat and Power, Commercial Power"/>
    <x v="3"/>
    <n v="449215"/>
  </r>
  <r>
    <x v="6"/>
    <x v="43"/>
    <s v="Combined Heat and Power, Commercial Power"/>
    <x v="8"/>
    <n v="7480"/>
  </r>
  <r>
    <x v="6"/>
    <x v="43"/>
    <s v="Combined Heat and Power, Commercial Power"/>
    <x v="4"/>
    <n v="5917"/>
  </r>
  <r>
    <x v="6"/>
    <x v="44"/>
    <s v="Total Electric Power Industry"/>
    <x v="0"/>
    <n v="3444187621"/>
  </r>
  <r>
    <x v="6"/>
    <x v="44"/>
    <s v="Total Electric Power Industry"/>
    <x v="1"/>
    <n v="1795195593"/>
  </r>
  <r>
    <x v="6"/>
    <x v="44"/>
    <s v="Total Electric Power Industry"/>
    <x v="11"/>
    <n v="14328684"/>
  </r>
  <r>
    <x v="6"/>
    <x v="44"/>
    <s v="Total Electric Power Industry"/>
    <x v="2"/>
    <n v="347162063"/>
  </r>
  <r>
    <x v="6"/>
    <x v="44"/>
    <s v="Total Electric Power Industry"/>
    <x v="3"/>
    <n v="455055576"/>
  </r>
  <r>
    <x v="6"/>
    <x v="44"/>
    <s v="Total Electric Power Industry"/>
    <x v="7"/>
    <n v="674728546"/>
  </r>
  <r>
    <x v="6"/>
    <x v="44"/>
    <s v="Total Electric Power Industry"/>
    <x v="12"/>
    <n v="3571279"/>
  </r>
  <r>
    <x v="6"/>
    <x v="44"/>
    <s v="Total Electric Power Industry"/>
    <x v="8"/>
    <n v="20911336"/>
  </r>
  <r>
    <x v="6"/>
    <x v="44"/>
    <s v="Total Electric Power Industry"/>
    <x v="9"/>
    <n v="14355813"/>
  </r>
  <r>
    <x v="6"/>
    <x v="44"/>
    <s v="Total Electric Power Industry"/>
    <x v="4"/>
    <n v="81411225"/>
  </r>
  <r>
    <x v="6"/>
    <x v="44"/>
    <s v="Total Electric Power Industry"/>
    <x v="10"/>
    <n v="-3088078"/>
  </r>
  <r>
    <x v="6"/>
    <x v="44"/>
    <s v="Total Electric Power Industry"/>
    <x v="13"/>
    <n v="521205"/>
  </r>
  <r>
    <x v="6"/>
    <x v="44"/>
    <s v="Total Electric Power Industry"/>
    <x v="5"/>
    <n v="3234069"/>
  </r>
  <r>
    <x v="6"/>
    <x v="44"/>
    <s v="Total Electric Power Industry"/>
    <x v="6"/>
    <n v="36800310"/>
  </r>
  <r>
    <x v="6"/>
    <x v="44"/>
    <s v="Electric Generators, Independent Power Producers"/>
    <x v="0"/>
    <n v="60132254"/>
  </r>
  <r>
    <x v="6"/>
    <x v="44"/>
    <s v="Electric Generators, Independent Power Producers"/>
    <x v="1"/>
    <n v="5312235"/>
  </r>
  <r>
    <x v="6"/>
    <x v="44"/>
    <s v="Electric Generators, Independent Power Producers"/>
    <x v="11"/>
    <n v="9094757"/>
  </r>
  <r>
    <x v="6"/>
    <x v="44"/>
    <s v="Electric Generators, Independent Power Producers"/>
    <x v="2"/>
    <n v="10100781"/>
  </r>
  <r>
    <x v="6"/>
    <x v="44"/>
    <s v="Electric Generators, Independent Power Producers"/>
    <x v="3"/>
    <n v="10104371"/>
  </r>
  <r>
    <x v="6"/>
    <x v="44"/>
    <s v="Electric Generators, Independent Power Producers"/>
    <x v="8"/>
    <n v="14898871"/>
  </r>
  <r>
    <x v="6"/>
    <x v="44"/>
    <s v="Electric Generators, Independent Power Producers"/>
    <x v="9"/>
    <n v="4263"/>
  </r>
  <r>
    <x v="6"/>
    <x v="44"/>
    <s v="Electric Generators, Independent Power Producers"/>
    <x v="4"/>
    <n v="1170115"/>
  </r>
  <r>
    <x v="6"/>
    <x v="44"/>
    <s v="Electric Generators, Independent Power Producers"/>
    <x v="13"/>
    <n v="518036"/>
  </r>
  <r>
    <x v="6"/>
    <x v="44"/>
    <s v="Electric Generators, Independent Power Producers"/>
    <x v="5"/>
    <n v="3223946"/>
  </r>
  <r>
    <x v="6"/>
    <x v="44"/>
    <s v="Electric Generators, Independent Power Producers"/>
    <x v="6"/>
    <n v="5704879"/>
  </r>
  <r>
    <x v="6"/>
    <x v="44"/>
    <s v="Electric Generators, Electric Utilities"/>
    <x v="0"/>
    <n v="3077442152"/>
  </r>
  <r>
    <x v="6"/>
    <x v="44"/>
    <s v="Electric Generators, Electric Utilities"/>
    <x v="1"/>
    <n v="1737453477"/>
  </r>
  <r>
    <x v="6"/>
    <x v="44"/>
    <s v="Electric Generators, Electric Utilities"/>
    <x v="11"/>
    <n v="5233927"/>
  </r>
  <r>
    <x v="6"/>
    <x v="44"/>
    <s v="Electric Generators, Electric Utilities"/>
    <x v="2"/>
    <n v="331058055"/>
  </r>
  <r>
    <x v="6"/>
    <x v="44"/>
    <s v="Electric Generators, Electric Utilities"/>
    <x v="3"/>
    <n v="262729781"/>
  </r>
  <r>
    <x v="6"/>
    <x v="44"/>
    <s v="Electric Generators, Electric Utilities"/>
    <x v="7"/>
    <n v="674728546"/>
  </r>
  <r>
    <x v="6"/>
    <x v="44"/>
    <s v="Electric Generators, Electric Utilities"/>
    <x v="8"/>
    <n v="1178903"/>
  </r>
  <r>
    <x v="6"/>
    <x v="44"/>
    <s v="Electric Generators, Electric Utilities"/>
    <x v="4"/>
    <n v="67346095"/>
  </r>
  <r>
    <x v="6"/>
    <x v="44"/>
    <s v="Electric Generators, Electric Utilities"/>
    <x v="10"/>
    <n v="-3088078"/>
  </r>
  <r>
    <x v="6"/>
    <x v="44"/>
    <s v="Electric Generators, Electric Utilities"/>
    <x v="13"/>
    <n v="3169"/>
  </r>
  <r>
    <x v="6"/>
    <x v="44"/>
    <s v="Electric Generators, Electric Utilities"/>
    <x v="5"/>
    <n v="10123"/>
  </r>
  <r>
    <x v="6"/>
    <x v="44"/>
    <s v="Electric Generators, Electric Utilities"/>
    <x v="6"/>
    <n v="788154"/>
  </r>
  <r>
    <x v="6"/>
    <x v="44"/>
    <s v="Combined Heat and Power, Industrial Power"/>
    <x v="0"/>
    <n v="151016555"/>
  </r>
  <r>
    <x v="6"/>
    <x v="44"/>
    <s v="Combined Heat and Power, Industrial Power"/>
    <x v="1"/>
    <n v="22171701"/>
  </r>
  <r>
    <x v="6"/>
    <x v="44"/>
    <s v="Combined Heat and Power, Industrial Power"/>
    <x v="2"/>
    <n v="5877513"/>
  </r>
  <r>
    <x v="6"/>
    <x v="44"/>
    <s v="Combined Heat and Power, Industrial Power"/>
    <x v="3"/>
    <n v="71049259"/>
  </r>
  <r>
    <x v="6"/>
    <x v="44"/>
    <s v="Combined Heat and Power, Industrial Power"/>
    <x v="12"/>
    <n v="3369953"/>
  </r>
  <r>
    <x v="6"/>
    <x v="44"/>
    <s v="Combined Heat and Power, Industrial Power"/>
    <x v="8"/>
    <n v="919388"/>
  </r>
  <r>
    <x v="6"/>
    <x v="44"/>
    <s v="Combined Heat and Power, Industrial Power"/>
    <x v="9"/>
    <n v="13014669"/>
  </r>
  <r>
    <x v="6"/>
    <x v="44"/>
    <s v="Combined Heat and Power, Industrial Power"/>
    <x v="4"/>
    <n v="6259574"/>
  </r>
  <r>
    <x v="6"/>
    <x v="44"/>
    <s v="Combined Heat and Power, Industrial Power"/>
    <x v="6"/>
    <n v="28354498"/>
  </r>
  <r>
    <x v="6"/>
    <x v="44"/>
    <s v="Combined Heat and Power, Electric Power"/>
    <x v="0"/>
    <n v="146566946"/>
  </r>
  <r>
    <x v="6"/>
    <x v="44"/>
    <s v="Combined Heat and Power, Electric Power"/>
    <x v="1"/>
    <n v="29207279"/>
  </r>
  <r>
    <x v="6"/>
    <x v="44"/>
    <s v="Combined Heat and Power, Electric Power"/>
    <x v="3"/>
    <n v="105923142"/>
  </r>
  <r>
    <x v="6"/>
    <x v="44"/>
    <s v="Combined Heat and Power, Electric Power"/>
    <x v="12"/>
    <n v="201222"/>
  </r>
  <r>
    <x v="6"/>
    <x v="44"/>
    <s v="Combined Heat and Power, Electric Power"/>
    <x v="8"/>
    <n v="1738426"/>
  </r>
  <r>
    <x v="6"/>
    <x v="44"/>
    <s v="Combined Heat and Power, Electric Power"/>
    <x v="9"/>
    <n v="1336877"/>
  </r>
  <r>
    <x v="6"/>
    <x v="44"/>
    <s v="Combined Heat and Power, Electric Power"/>
    <x v="4"/>
    <n v="6266654"/>
  </r>
  <r>
    <x v="6"/>
    <x v="44"/>
    <s v="Combined Heat and Power, Electric Power"/>
    <x v="6"/>
    <n v="1893346"/>
  </r>
  <r>
    <x v="6"/>
    <x v="44"/>
    <s v="Combined Heat and Power, Commercial Power"/>
    <x v="0"/>
    <n v="9029714"/>
  </r>
  <r>
    <x v="6"/>
    <x v="44"/>
    <s v="Combined Heat and Power, Commercial Power"/>
    <x v="1"/>
    <n v="1050901"/>
  </r>
  <r>
    <x v="6"/>
    <x v="44"/>
    <s v="Combined Heat and Power, Commercial Power"/>
    <x v="2"/>
    <n v="125714"/>
  </r>
  <r>
    <x v="6"/>
    <x v="44"/>
    <s v="Combined Heat and Power, Commercial Power"/>
    <x v="3"/>
    <n v="5249023"/>
  </r>
  <r>
    <x v="6"/>
    <x v="44"/>
    <s v="Combined Heat and Power, Commercial Power"/>
    <x v="12"/>
    <n v="104"/>
  </r>
  <r>
    <x v="6"/>
    <x v="44"/>
    <s v="Combined Heat and Power, Commercial Power"/>
    <x v="8"/>
    <n v="2175748"/>
  </r>
  <r>
    <x v="6"/>
    <x v="44"/>
    <s v="Combined Heat and Power, Commercial Power"/>
    <x v="9"/>
    <n v="4"/>
  </r>
  <r>
    <x v="6"/>
    <x v="44"/>
    <s v="Combined Heat and Power, Commercial Power"/>
    <x v="4"/>
    <n v="368787"/>
  </r>
  <r>
    <x v="6"/>
    <x v="44"/>
    <s v="Combined Heat and Power, Commercial Power"/>
    <x v="6"/>
    <n v="59433"/>
  </r>
  <r>
    <x v="6"/>
    <x v="45"/>
    <s v="Total Electric Power Industry"/>
    <x v="0"/>
    <n v="32951861"/>
  </r>
  <r>
    <x v="6"/>
    <x v="45"/>
    <s v="Total Electric Power Industry"/>
    <x v="1"/>
    <n v="31100841"/>
  </r>
  <r>
    <x v="6"/>
    <x v="45"/>
    <s v="Total Electric Power Industry"/>
    <x v="11"/>
    <n v="191912"/>
  </r>
  <r>
    <x v="6"/>
    <x v="45"/>
    <s v="Total Electric Power Industry"/>
    <x v="2"/>
    <n v="1048957"/>
  </r>
  <r>
    <x v="6"/>
    <x v="45"/>
    <s v="Total Electric Power Industry"/>
    <x v="3"/>
    <n v="323914"/>
  </r>
  <r>
    <x v="6"/>
    <x v="45"/>
    <s v="Total Electric Power Industry"/>
    <x v="9"/>
    <n v="238817"/>
  </r>
  <r>
    <x v="6"/>
    <x v="45"/>
    <s v="Total Electric Power Industry"/>
    <x v="4"/>
    <n v="47420"/>
  </r>
  <r>
    <x v="6"/>
    <x v="45"/>
    <s v="Total Electric Power Industry"/>
    <x v="10"/>
    <n v="0"/>
  </r>
  <r>
    <x v="6"/>
    <x v="45"/>
    <s v="Electric Generators, Independent Power Producers"/>
    <x v="0"/>
    <n v="424023"/>
  </r>
  <r>
    <x v="6"/>
    <x v="45"/>
    <s v="Electric Generators, Independent Power Producers"/>
    <x v="1"/>
    <n v="392483"/>
  </r>
  <r>
    <x v="6"/>
    <x v="45"/>
    <s v="Electric Generators, Independent Power Producers"/>
    <x v="2"/>
    <n v="29875"/>
  </r>
  <r>
    <x v="6"/>
    <x v="45"/>
    <s v="Electric Generators, Independent Power Producers"/>
    <x v="4"/>
    <n v="1665"/>
  </r>
  <r>
    <x v="6"/>
    <x v="45"/>
    <s v="Electric Generators, Electric Utilities"/>
    <x v="0"/>
    <n v="32228605"/>
  </r>
  <r>
    <x v="6"/>
    <x v="45"/>
    <s v="Electric Generators, Electric Utilities"/>
    <x v="1"/>
    <n v="30693187"/>
  </r>
  <r>
    <x v="6"/>
    <x v="45"/>
    <s v="Electric Generators, Electric Utilities"/>
    <x v="11"/>
    <n v="191912"/>
  </r>
  <r>
    <x v="6"/>
    <x v="45"/>
    <s v="Electric Generators, Electric Utilities"/>
    <x v="2"/>
    <n v="1019082"/>
  </r>
  <r>
    <x v="6"/>
    <x v="45"/>
    <s v="Electric Generators, Electric Utilities"/>
    <x v="3"/>
    <n v="293467"/>
  </r>
  <r>
    <x v="6"/>
    <x v="45"/>
    <s v="Electric Generators, Electric Utilities"/>
    <x v="4"/>
    <n v="30957"/>
  </r>
  <r>
    <x v="6"/>
    <x v="45"/>
    <s v="Electric Generators, Electric Utilities"/>
    <x v="10"/>
    <n v="0"/>
  </r>
  <r>
    <x v="6"/>
    <x v="45"/>
    <s v="Combined Heat and Power, Industrial Power"/>
    <x v="0"/>
    <n v="277154"/>
  </r>
  <r>
    <x v="6"/>
    <x v="45"/>
    <s v="Combined Heat and Power, Industrial Power"/>
    <x v="1"/>
    <n v="15171"/>
  </r>
  <r>
    <x v="6"/>
    <x v="45"/>
    <s v="Combined Heat and Power, Industrial Power"/>
    <x v="3"/>
    <n v="8631"/>
  </r>
  <r>
    <x v="6"/>
    <x v="45"/>
    <s v="Combined Heat and Power, Industrial Power"/>
    <x v="9"/>
    <n v="238817"/>
  </r>
  <r>
    <x v="6"/>
    <x v="45"/>
    <s v="Combined Heat and Power, Industrial Power"/>
    <x v="4"/>
    <n v="14535"/>
  </r>
  <r>
    <x v="6"/>
    <x v="45"/>
    <s v="Combined Heat and Power, Commercial Power"/>
    <x v="0"/>
    <n v="22079"/>
  </r>
  <r>
    <x v="6"/>
    <x v="45"/>
    <s v="Combined Heat and Power, Commercial Power"/>
    <x v="3"/>
    <n v="21816"/>
  </r>
  <r>
    <x v="6"/>
    <x v="45"/>
    <s v="Combined Heat and Power, Commercial Power"/>
    <x v="4"/>
    <n v="263"/>
  </r>
  <r>
    <x v="6"/>
    <x v="46"/>
    <s v="Total Electric Power Industry"/>
    <x v="0"/>
    <n v="66895127"/>
  </r>
  <r>
    <x v="6"/>
    <x v="46"/>
    <s v="Total Electric Power Industry"/>
    <x v="1"/>
    <n v="32481847"/>
  </r>
  <r>
    <x v="6"/>
    <x v="46"/>
    <s v="Total Electric Power Industry"/>
    <x v="2"/>
    <n v="1428502"/>
  </r>
  <r>
    <x v="6"/>
    <x v="46"/>
    <s v="Total Electric Power Industry"/>
    <x v="3"/>
    <n v="3932747"/>
  </r>
  <r>
    <x v="6"/>
    <x v="46"/>
    <s v="Total Electric Power Industry"/>
    <x v="7"/>
    <n v="26286283"/>
  </r>
  <r>
    <x v="6"/>
    <x v="46"/>
    <s v="Total Electric Power Industry"/>
    <x v="8"/>
    <n v="900988"/>
  </r>
  <r>
    <x v="6"/>
    <x v="46"/>
    <s v="Total Electric Power Industry"/>
    <x v="9"/>
    <n v="69"/>
  </r>
  <r>
    <x v="6"/>
    <x v="46"/>
    <s v="Total Electric Power Industry"/>
    <x v="4"/>
    <n v="1275247"/>
  </r>
  <r>
    <x v="6"/>
    <x v="46"/>
    <s v="Total Electric Power Industry"/>
    <x v="10"/>
    <n v="-829603"/>
  </r>
  <r>
    <x v="6"/>
    <x v="46"/>
    <s v="Total Electric Power Industry"/>
    <x v="13"/>
    <n v="0"/>
  </r>
  <r>
    <x v="6"/>
    <x v="46"/>
    <s v="Total Electric Power Industry"/>
    <x v="6"/>
    <n v="1419047"/>
  </r>
  <r>
    <x v="6"/>
    <x v="46"/>
    <s v="Electric Generators, Independent Power Producers"/>
    <x v="0"/>
    <n v="3016640"/>
  </r>
  <r>
    <x v="6"/>
    <x v="46"/>
    <s v="Electric Generators, Independent Power Producers"/>
    <x v="2"/>
    <n v="80011"/>
  </r>
  <r>
    <x v="6"/>
    <x v="46"/>
    <s v="Electric Generators, Independent Power Producers"/>
    <x v="3"/>
    <n v="2068812"/>
  </r>
  <r>
    <x v="6"/>
    <x v="46"/>
    <s v="Electric Generators, Independent Power Producers"/>
    <x v="8"/>
    <n v="608139"/>
  </r>
  <r>
    <x v="6"/>
    <x v="46"/>
    <s v="Electric Generators, Independent Power Producers"/>
    <x v="4"/>
    <n v="169122"/>
  </r>
  <r>
    <x v="6"/>
    <x v="46"/>
    <s v="Electric Generators, Independent Power Producers"/>
    <x v="6"/>
    <n v="90556"/>
  </r>
  <r>
    <x v="6"/>
    <x v="46"/>
    <s v="Electric Generators, Electric Utilities"/>
    <x v="0"/>
    <n v="56532918"/>
  </r>
  <r>
    <x v="6"/>
    <x v="46"/>
    <s v="Electric Generators, Electric Utilities"/>
    <x v="1"/>
    <n v="27930011"/>
  </r>
  <r>
    <x v="6"/>
    <x v="46"/>
    <s v="Electric Generators, Electric Utilities"/>
    <x v="2"/>
    <n v="1339167"/>
  </r>
  <r>
    <x v="6"/>
    <x v="46"/>
    <s v="Electric Generators, Electric Utilities"/>
    <x v="3"/>
    <n v="1123697"/>
  </r>
  <r>
    <x v="6"/>
    <x v="46"/>
    <s v="Electric Generators, Electric Utilities"/>
    <x v="7"/>
    <n v="26286283"/>
  </r>
  <r>
    <x v="6"/>
    <x v="46"/>
    <s v="Electric Generators, Electric Utilities"/>
    <x v="4"/>
    <n v="683363"/>
  </r>
  <r>
    <x v="6"/>
    <x v="46"/>
    <s v="Electric Generators, Electric Utilities"/>
    <x v="10"/>
    <n v="-829603"/>
  </r>
  <r>
    <x v="6"/>
    <x v="46"/>
    <s v="Electric Generators, Electric Utilities"/>
    <x v="13"/>
    <n v="0"/>
  </r>
  <r>
    <x v="6"/>
    <x v="46"/>
    <s v="Combined Heat and Power, Industrial Power"/>
    <x v="0"/>
    <n v="2633181"/>
  </r>
  <r>
    <x v="6"/>
    <x v="46"/>
    <s v="Combined Heat and Power, Industrial Power"/>
    <x v="1"/>
    <n v="994260"/>
  </r>
  <r>
    <x v="6"/>
    <x v="46"/>
    <s v="Combined Heat and Power, Industrial Power"/>
    <x v="2"/>
    <n v="9324"/>
  </r>
  <r>
    <x v="6"/>
    <x v="46"/>
    <s v="Combined Heat and Power, Industrial Power"/>
    <x v="3"/>
    <n v="119332"/>
  </r>
  <r>
    <x v="6"/>
    <x v="46"/>
    <s v="Combined Heat and Power, Industrial Power"/>
    <x v="8"/>
    <n v="4073"/>
  </r>
  <r>
    <x v="6"/>
    <x v="46"/>
    <s v="Combined Heat and Power, Industrial Power"/>
    <x v="9"/>
    <n v="69"/>
  </r>
  <r>
    <x v="6"/>
    <x v="46"/>
    <s v="Combined Heat and Power, Industrial Power"/>
    <x v="4"/>
    <n v="183667"/>
  </r>
  <r>
    <x v="6"/>
    <x v="46"/>
    <s v="Combined Heat and Power, Industrial Power"/>
    <x v="6"/>
    <n v="1322456"/>
  </r>
  <r>
    <x v="6"/>
    <x v="46"/>
    <s v="Combined Heat and Power, Electric Power"/>
    <x v="0"/>
    <n v="3952389"/>
  </r>
  <r>
    <x v="6"/>
    <x v="46"/>
    <s v="Combined Heat and Power, Electric Power"/>
    <x v="1"/>
    <n v="3542812"/>
  </r>
  <r>
    <x v="6"/>
    <x v="46"/>
    <s v="Combined Heat and Power, Electric Power"/>
    <x v="3"/>
    <n v="262116"/>
  </r>
  <r>
    <x v="6"/>
    <x v="46"/>
    <s v="Combined Heat and Power, Electric Power"/>
    <x v="8"/>
    <n v="8831"/>
  </r>
  <r>
    <x v="6"/>
    <x v="46"/>
    <s v="Combined Heat and Power, Electric Power"/>
    <x v="4"/>
    <n v="132595"/>
  </r>
  <r>
    <x v="6"/>
    <x v="46"/>
    <s v="Combined Heat and Power, Electric Power"/>
    <x v="6"/>
    <n v="6035"/>
  </r>
  <r>
    <x v="6"/>
    <x v="46"/>
    <s v="Combined Heat and Power, Commercial Power"/>
    <x v="0"/>
    <n v="759999"/>
  </r>
  <r>
    <x v="6"/>
    <x v="46"/>
    <s v="Combined Heat and Power, Commercial Power"/>
    <x v="1"/>
    <n v="14764"/>
  </r>
  <r>
    <x v="6"/>
    <x v="46"/>
    <s v="Combined Heat and Power, Commercial Power"/>
    <x v="3"/>
    <n v="358790"/>
  </r>
  <r>
    <x v="6"/>
    <x v="46"/>
    <s v="Combined Heat and Power, Commercial Power"/>
    <x v="8"/>
    <n v="279945"/>
  </r>
  <r>
    <x v="6"/>
    <x v="46"/>
    <s v="Combined Heat and Power, Commercial Power"/>
    <x v="4"/>
    <n v="106500"/>
  </r>
  <r>
    <x v="6"/>
    <x v="47"/>
    <s v="Total Electric Power Industry"/>
    <x v="0"/>
    <n v="5350119"/>
  </r>
  <r>
    <x v="6"/>
    <x v="47"/>
    <s v="Total Electric Power Industry"/>
    <x v="2"/>
    <n v="1231384"/>
  </r>
  <r>
    <x v="6"/>
    <x v="47"/>
    <s v="Total Electric Power Industry"/>
    <x v="3"/>
    <n v="97"/>
  </r>
  <r>
    <x v="6"/>
    <x v="47"/>
    <s v="Total Electric Power Industry"/>
    <x v="7"/>
    <n v="3798790"/>
  </r>
  <r>
    <x v="6"/>
    <x v="47"/>
    <s v="Total Electric Power Industry"/>
    <x v="4"/>
    <n v="3757"/>
  </r>
  <r>
    <x v="6"/>
    <x v="47"/>
    <s v="Total Electric Power Industry"/>
    <x v="5"/>
    <n v="0"/>
  </r>
  <r>
    <x v="6"/>
    <x v="47"/>
    <s v="Total Electric Power Industry"/>
    <x v="6"/>
    <n v="316091"/>
  </r>
  <r>
    <x v="6"/>
    <x v="47"/>
    <s v="Electric Generators, Independent Power Producers"/>
    <x v="0"/>
    <n v="308716"/>
  </r>
  <r>
    <x v="6"/>
    <x v="47"/>
    <s v="Electric Generators, Independent Power Producers"/>
    <x v="2"/>
    <n v="148800"/>
  </r>
  <r>
    <x v="6"/>
    <x v="47"/>
    <s v="Electric Generators, Independent Power Producers"/>
    <x v="4"/>
    <n v="235"/>
  </r>
  <r>
    <x v="6"/>
    <x v="47"/>
    <s v="Electric Generators, Independent Power Producers"/>
    <x v="6"/>
    <n v="159681"/>
  </r>
  <r>
    <x v="6"/>
    <x v="47"/>
    <s v="Electric Generators, Electric Utilities"/>
    <x v="0"/>
    <n v="5004219"/>
  </r>
  <r>
    <x v="6"/>
    <x v="47"/>
    <s v="Electric Generators, Electric Utilities"/>
    <x v="2"/>
    <n v="1066748"/>
  </r>
  <r>
    <x v="6"/>
    <x v="47"/>
    <s v="Electric Generators, Electric Utilities"/>
    <x v="3"/>
    <n v="97"/>
  </r>
  <r>
    <x v="6"/>
    <x v="47"/>
    <s v="Electric Generators, Electric Utilities"/>
    <x v="7"/>
    <n v="3798790"/>
  </r>
  <r>
    <x v="6"/>
    <x v="47"/>
    <s v="Electric Generators, Electric Utilities"/>
    <x v="4"/>
    <n v="3428"/>
  </r>
  <r>
    <x v="6"/>
    <x v="47"/>
    <s v="Electric Generators, Electric Utilities"/>
    <x v="5"/>
    <n v="0"/>
  </r>
  <r>
    <x v="6"/>
    <x v="47"/>
    <s v="Electric Generators, Electric Utilities"/>
    <x v="6"/>
    <n v="135156"/>
  </r>
  <r>
    <x v="6"/>
    <x v="47"/>
    <s v="Combined Heat and Power, Industrial Power"/>
    <x v="0"/>
    <n v="37184"/>
  </r>
  <r>
    <x v="6"/>
    <x v="47"/>
    <s v="Combined Heat and Power, Industrial Power"/>
    <x v="2"/>
    <n v="15836"/>
  </r>
  <r>
    <x v="6"/>
    <x v="47"/>
    <s v="Combined Heat and Power, Industrial Power"/>
    <x v="4"/>
    <n v="94"/>
  </r>
  <r>
    <x v="6"/>
    <x v="47"/>
    <s v="Combined Heat and Power, Industrial Power"/>
    <x v="6"/>
    <n v="21254"/>
  </r>
  <r>
    <x v="6"/>
    <x v="48"/>
    <s v="Total Electric Power Industry"/>
    <x v="0"/>
    <n v="118658132"/>
  </r>
  <r>
    <x v="6"/>
    <x v="48"/>
    <s v="Total Electric Power Industry"/>
    <x v="1"/>
    <n v="8067127"/>
  </r>
  <r>
    <x v="6"/>
    <x v="48"/>
    <s v="Total Electric Power Industry"/>
    <x v="2"/>
    <n v="98517855"/>
  </r>
  <r>
    <x v="6"/>
    <x v="48"/>
    <s v="Total Electric Power Industry"/>
    <x v="3"/>
    <n v="4707267"/>
  </r>
  <r>
    <x v="6"/>
    <x v="48"/>
    <s v="Total Electric Power Industry"/>
    <x v="7"/>
    <n v="5588000"/>
  </r>
  <r>
    <x v="6"/>
    <x v="48"/>
    <s v="Total Electric Power Industry"/>
    <x v="12"/>
    <n v="1952"/>
  </r>
  <r>
    <x v="6"/>
    <x v="48"/>
    <s v="Total Electric Power Industry"/>
    <x v="8"/>
    <n v="167369"/>
  </r>
  <r>
    <x v="6"/>
    <x v="48"/>
    <s v="Total Electric Power Industry"/>
    <x v="9"/>
    <n v="300221"/>
  </r>
  <r>
    <x v="6"/>
    <x v="48"/>
    <s v="Total Electric Power Industry"/>
    <x v="4"/>
    <n v="187236"/>
  </r>
  <r>
    <x v="6"/>
    <x v="48"/>
    <s v="Total Electric Power Industry"/>
    <x v="10"/>
    <n v="0"/>
  </r>
  <r>
    <x v="6"/>
    <x v="48"/>
    <s v="Total Electric Power Industry"/>
    <x v="6"/>
    <n v="1121105"/>
  </r>
  <r>
    <x v="6"/>
    <x v="48"/>
    <s v="Electric Generators, Independent Power Producers"/>
    <x v="0"/>
    <n v="324488"/>
  </r>
  <r>
    <x v="6"/>
    <x v="48"/>
    <s v="Electric Generators, Independent Power Producers"/>
    <x v="2"/>
    <n v="183452"/>
  </r>
  <r>
    <x v="6"/>
    <x v="48"/>
    <s v="Electric Generators, Independent Power Producers"/>
    <x v="8"/>
    <n v="141036"/>
  </r>
  <r>
    <x v="6"/>
    <x v="48"/>
    <s v="Electric Generators, Electric Utilities"/>
    <x v="0"/>
    <n v="112606349"/>
  </r>
  <r>
    <x v="6"/>
    <x v="48"/>
    <s v="Electric Generators, Electric Utilities"/>
    <x v="1"/>
    <n v="8042462"/>
  </r>
  <r>
    <x v="6"/>
    <x v="48"/>
    <s v="Electric Generators, Electric Utilities"/>
    <x v="2"/>
    <n v="98078554"/>
  </r>
  <r>
    <x v="6"/>
    <x v="48"/>
    <s v="Electric Generators, Electric Utilities"/>
    <x v="3"/>
    <n v="528958"/>
  </r>
  <r>
    <x v="6"/>
    <x v="48"/>
    <s v="Electric Generators, Electric Utilities"/>
    <x v="7"/>
    <n v="5588000"/>
  </r>
  <r>
    <x v="6"/>
    <x v="48"/>
    <s v="Electric Generators, Electric Utilities"/>
    <x v="4"/>
    <n v="8183"/>
  </r>
  <r>
    <x v="6"/>
    <x v="48"/>
    <s v="Electric Generators, Electric Utilities"/>
    <x v="10"/>
    <n v="0"/>
  </r>
  <r>
    <x v="6"/>
    <x v="48"/>
    <s v="Electric Generators, Electric Utilities"/>
    <x v="6"/>
    <n v="360192"/>
  </r>
  <r>
    <x v="6"/>
    <x v="48"/>
    <s v="Combined Heat and Power, Industrial Power"/>
    <x v="0"/>
    <n v="1411225"/>
  </r>
  <r>
    <x v="6"/>
    <x v="48"/>
    <s v="Combined Heat and Power, Industrial Power"/>
    <x v="1"/>
    <n v="19624"/>
  </r>
  <r>
    <x v="6"/>
    <x v="48"/>
    <s v="Combined Heat and Power, Industrial Power"/>
    <x v="2"/>
    <n v="178482"/>
  </r>
  <r>
    <x v="6"/>
    <x v="48"/>
    <s v="Combined Heat and Power, Industrial Power"/>
    <x v="3"/>
    <n v="404491"/>
  </r>
  <r>
    <x v="6"/>
    <x v="48"/>
    <s v="Combined Heat and Power, Industrial Power"/>
    <x v="12"/>
    <n v="1952"/>
  </r>
  <r>
    <x v="6"/>
    <x v="48"/>
    <s v="Combined Heat and Power, Industrial Power"/>
    <x v="8"/>
    <n v="17681"/>
  </r>
  <r>
    <x v="6"/>
    <x v="48"/>
    <s v="Combined Heat and Power, Industrial Power"/>
    <x v="4"/>
    <n v="28082"/>
  </r>
  <r>
    <x v="6"/>
    <x v="48"/>
    <s v="Combined Heat and Power, Industrial Power"/>
    <x v="6"/>
    <n v="760913"/>
  </r>
  <r>
    <x v="6"/>
    <x v="48"/>
    <s v="Combined Heat and Power, Electric Power"/>
    <x v="0"/>
    <n v="4204129"/>
  </r>
  <r>
    <x v="6"/>
    <x v="48"/>
    <s v="Combined Heat and Power, Electric Power"/>
    <x v="3"/>
    <n v="3745044"/>
  </r>
  <r>
    <x v="6"/>
    <x v="48"/>
    <s v="Combined Heat and Power, Electric Power"/>
    <x v="8"/>
    <n v="8652"/>
  </r>
  <r>
    <x v="6"/>
    <x v="48"/>
    <s v="Combined Heat and Power, Electric Power"/>
    <x v="9"/>
    <n v="300221"/>
  </r>
  <r>
    <x v="6"/>
    <x v="48"/>
    <s v="Combined Heat and Power, Electric Power"/>
    <x v="4"/>
    <n v="150212"/>
  </r>
  <r>
    <x v="6"/>
    <x v="48"/>
    <s v="Combined Heat and Power, Commercial Power"/>
    <x v="0"/>
    <n v="111941"/>
  </r>
  <r>
    <x v="6"/>
    <x v="48"/>
    <s v="Combined Heat and Power, Commercial Power"/>
    <x v="1"/>
    <n v="5041"/>
  </r>
  <r>
    <x v="6"/>
    <x v="48"/>
    <s v="Combined Heat and Power, Commercial Power"/>
    <x v="2"/>
    <n v="77367"/>
  </r>
  <r>
    <x v="6"/>
    <x v="48"/>
    <s v="Combined Heat and Power, Commercial Power"/>
    <x v="3"/>
    <n v="28774"/>
  </r>
  <r>
    <x v="6"/>
    <x v="48"/>
    <s v="Combined Heat and Power, Commercial Power"/>
    <x v="4"/>
    <n v="759"/>
  </r>
  <r>
    <x v="6"/>
    <x v="49"/>
    <s v="Total Electric Power Industry"/>
    <x v="0"/>
    <n v="54417737"/>
  </r>
  <r>
    <x v="6"/>
    <x v="49"/>
    <s v="Total Electric Power Industry"/>
    <x v="1"/>
    <n v="39269804"/>
  </r>
  <r>
    <x v="6"/>
    <x v="49"/>
    <s v="Total Electric Power Industry"/>
    <x v="2"/>
    <n v="2696014"/>
  </r>
  <r>
    <x v="6"/>
    <x v="49"/>
    <s v="Total Electric Power Industry"/>
    <x v="3"/>
    <n v="841862"/>
  </r>
  <r>
    <x v="6"/>
    <x v="49"/>
    <s v="Total Electric Power Industry"/>
    <x v="7"/>
    <n v="10121355"/>
  </r>
  <r>
    <x v="6"/>
    <x v="49"/>
    <s v="Total Electric Power Industry"/>
    <x v="12"/>
    <n v="445"/>
  </r>
  <r>
    <x v="6"/>
    <x v="49"/>
    <s v="Total Electric Power Industry"/>
    <x v="8"/>
    <n v="255021"/>
  </r>
  <r>
    <x v="6"/>
    <x v="49"/>
    <s v="Total Electric Power Industry"/>
    <x v="4"/>
    <n v="363767"/>
  </r>
  <r>
    <x v="6"/>
    <x v="49"/>
    <s v="Total Electric Power Industry"/>
    <x v="6"/>
    <n v="869469"/>
  </r>
  <r>
    <x v="6"/>
    <x v="49"/>
    <s v="Electric Generators, Independent Power Producers"/>
    <x v="0"/>
    <n v="147177"/>
  </r>
  <r>
    <x v="6"/>
    <x v="49"/>
    <s v="Electric Generators, Independent Power Producers"/>
    <x v="2"/>
    <n v="12526"/>
  </r>
  <r>
    <x v="6"/>
    <x v="49"/>
    <s v="Electric Generators, Independent Power Producers"/>
    <x v="3"/>
    <n v="30"/>
  </r>
  <r>
    <x v="6"/>
    <x v="49"/>
    <s v="Electric Generators, Independent Power Producers"/>
    <x v="8"/>
    <n v="134621"/>
  </r>
  <r>
    <x v="6"/>
    <x v="49"/>
    <s v="Electric Generators, Electric Utilities"/>
    <x v="0"/>
    <n v="51651435"/>
  </r>
  <r>
    <x v="6"/>
    <x v="49"/>
    <s v="Electric Generators, Electric Utilities"/>
    <x v="1"/>
    <n v="38144842"/>
  </r>
  <r>
    <x v="6"/>
    <x v="49"/>
    <s v="Electric Generators, Electric Utilities"/>
    <x v="2"/>
    <n v="2401860"/>
  </r>
  <r>
    <x v="6"/>
    <x v="49"/>
    <s v="Electric Generators, Electric Utilities"/>
    <x v="3"/>
    <n v="540404"/>
  </r>
  <r>
    <x v="6"/>
    <x v="49"/>
    <s v="Electric Generators, Electric Utilities"/>
    <x v="7"/>
    <n v="10121355"/>
  </r>
  <r>
    <x v="6"/>
    <x v="49"/>
    <s v="Electric Generators, Electric Utilities"/>
    <x v="8"/>
    <n v="93183"/>
  </r>
  <r>
    <x v="6"/>
    <x v="49"/>
    <s v="Electric Generators, Electric Utilities"/>
    <x v="4"/>
    <n v="124088"/>
  </r>
  <r>
    <x v="6"/>
    <x v="49"/>
    <s v="Electric Generators, Electric Utilities"/>
    <x v="6"/>
    <n v="225703"/>
  </r>
  <r>
    <x v="6"/>
    <x v="49"/>
    <s v="Combined Heat and Power, Industrial Power"/>
    <x v="0"/>
    <n v="2472871"/>
  </r>
  <r>
    <x v="6"/>
    <x v="49"/>
    <s v="Combined Heat and Power, Industrial Power"/>
    <x v="1"/>
    <n v="1077012"/>
  </r>
  <r>
    <x v="6"/>
    <x v="49"/>
    <s v="Combined Heat and Power, Industrial Power"/>
    <x v="2"/>
    <n v="272115"/>
  </r>
  <r>
    <x v="6"/>
    <x v="49"/>
    <s v="Combined Heat and Power, Industrial Power"/>
    <x v="3"/>
    <n v="225742"/>
  </r>
  <r>
    <x v="6"/>
    <x v="49"/>
    <s v="Combined Heat and Power, Industrial Power"/>
    <x v="12"/>
    <n v="445"/>
  </r>
  <r>
    <x v="6"/>
    <x v="49"/>
    <s v="Combined Heat and Power, Industrial Power"/>
    <x v="8"/>
    <n v="18564"/>
  </r>
  <r>
    <x v="6"/>
    <x v="49"/>
    <s v="Combined Heat and Power, Industrial Power"/>
    <x v="4"/>
    <n v="237575"/>
  </r>
  <r>
    <x v="6"/>
    <x v="49"/>
    <s v="Combined Heat and Power, Industrial Power"/>
    <x v="6"/>
    <n v="641418"/>
  </r>
  <r>
    <x v="6"/>
    <x v="49"/>
    <s v="Combined Heat and Power, Electric Power"/>
    <x v="0"/>
    <n v="32000"/>
  </r>
  <r>
    <x v="6"/>
    <x v="49"/>
    <s v="Combined Heat and Power, Electric Power"/>
    <x v="1"/>
    <n v="31063"/>
  </r>
  <r>
    <x v="6"/>
    <x v="49"/>
    <s v="Combined Heat and Power, Electric Power"/>
    <x v="3"/>
    <n v="930"/>
  </r>
  <r>
    <x v="6"/>
    <x v="49"/>
    <s v="Combined Heat and Power, Electric Power"/>
    <x v="4"/>
    <n v="7"/>
  </r>
  <r>
    <x v="6"/>
    <x v="49"/>
    <s v="Combined Heat and Power, Commercial Power"/>
    <x v="0"/>
    <n v="114254"/>
  </r>
  <r>
    <x v="6"/>
    <x v="49"/>
    <s v="Combined Heat and Power, Commercial Power"/>
    <x v="1"/>
    <n v="16887"/>
  </r>
  <r>
    <x v="6"/>
    <x v="49"/>
    <s v="Combined Heat and Power, Commercial Power"/>
    <x v="2"/>
    <n v="9513"/>
  </r>
  <r>
    <x v="6"/>
    <x v="49"/>
    <s v="Combined Heat and Power, Commercial Power"/>
    <x v="3"/>
    <n v="74756"/>
  </r>
  <r>
    <x v="6"/>
    <x v="49"/>
    <s v="Combined Heat and Power, Commercial Power"/>
    <x v="8"/>
    <n v="8653"/>
  </r>
  <r>
    <x v="6"/>
    <x v="49"/>
    <s v="Combined Heat and Power, Commercial Power"/>
    <x v="4"/>
    <n v="2097"/>
  </r>
  <r>
    <x v="6"/>
    <x v="49"/>
    <s v="Combined Heat and Power, Commercial Power"/>
    <x v="6"/>
    <n v="2348"/>
  </r>
  <r>
    <x v="6"/>
    <x v="50"/>
    <s v="Total Electric Power Industry"/>
    <x v="0"/>
    <n v="87244388"/>
  </r>
  <r>
    <x v="6"/>
    <x v="50"/>
    <s v="Total Electric Power Industry"/>
    <x v="1"/>
    <n v="85219006"/>
  </r>
  <r>
    <x v="6"/>
    <x v="50"/>
    <s v="Total Electric Power Industry"/>
    <x v="2"/>
    <n v="1425035"/>
  </r>
  <r>
    <x v="6"/>
    <x v="50"/>
    <s v="Total Electric Power Industry"/>
    <x v="3"/>
    <n v="181099"/>
  </r>
  <r>
    <x v="6"/>
    <x v="50"/>
    <s v="Total Electric Power Industry"/>
    <x v="12"/>
    <n v="216"/>
  </r>
  <r>
    <x v="6"/>
    <x v="50"/>
    <s v="Total Electric Power Industry"/>
    <x v="9"/>
    <n v="187422"/>
  </r>
  <r>
    <x v="6"/>
    <x v="50"/>
    <s v="Total Electric Power Industry"/>
    <x v="4"/>
    <n v="231610"/>
  </r>
  <r>
    <x v="6"/>
    <x v="50"/>
    <s v="Electric Generators, Independent Power Producers"/>
    <x v="0"/>
    <n v="928869"/>
  </r>
  <r>
    <x v="6"/>
    <x v="50"/>
    <s v="Electric Generators, Independent Power Producers"/>
    <x v="1"/>
    <n v="657782"/>
  </r>
  <r>
    <x v="6"/>
    <x v="50"/>
    <s v="Electric Generators, Independent Power Producers"/>
    <x v="2"/>
    <n v="267371"/>
  </r>
  <r>
    <x v="6"/>
    <x v="50"/>
    <s v="Electric Generators, Independent Power Producers"/>
    <x v="3"/>
    <n v="3716"/>
  </r>
  <r>
    <x v="6"/>
    <x v="50"/>
    <s v="Electric Generators, Electric Utilities"/>
    <x v="0"/>
    <n v="83978125"/>
  </r>
  <r>
    <x v="6"/>
    <x v="50"/>
    <s v="Electric Generators, Electric Utilities"/>
    <x v="1"/>
    <n v="83257133"/>
  </r>
  <r>
    <x v="6"/>
    <x v="50"/>
    <s v="Electric Generators, Electric Utilities"/>
    <x v="2"/>
    <n v="496708"/>
  </r>
  <r>
    <x v="6"/>
    <x v="50"/>
    <s v="Electric Generators, Electric Utilities"/>
    <x v="3"/>
    <n v="20334"/>
  </r>
  <r>
    <x v="6"/>
    <x v="50"/>
    <s v="Electric Generators, Electric Utilities"/>
    <x v="4"/>
    <n v="203950"/>
  </r>
  <r>
    <x v="6"/>
    <x v="50"/>
    <s v="Combined Heat and Power, Industrial Power"/>
    <x v="0"/>
    <n v="1895044"/>
  </r>
  <r>
    <x v="6"/>
    <x v="50"/>
    <s v="Combined Heat and Power, Industrial Power"/>
    <x v="1"/>
    <n v="866542"/>
  </r>
  <r>
    <x v="6"/>
    <x v="50"/>
    <s v="Combined Heat and Power, Industrial Power"/>
    <x v="2"/>
    <n v="660956"/>
  </r>
  <r>
    <x v="6"/>
    <x v="50"/>
    <s v="Combined Heat and Power, Industrial Power"/>
    <x v="3"/>
    <n v="152248"/>
  </r>
  <r>
    <x v="6"/>
    <x v="50"/>
    <s v="Combined Heat and Power, Industrial Power"/>
    <x v="12"/>
    <n v="216"/>
  </r>
  <r>
    <x v="6"/>
    <x v="50"/>
    <s v="Combined Heat and Power, Industrial Power"/>
    <x v="9"/>
    <n v="187422"/>
  </r>
  <r>
    <x v="6"/>
    <x v="50"/>
    <s v="Combined Heat and Power, Industrial Power"/>
    <x v="4"/>
    <n v="27660"/>
  </r>
  <r>
    <x v="6"/>
    <x v="50"/>
    <s v="Combined Heat and Power, Electric Power"/>
    <x v="0"/>
    <n v="442350"/>
  </r>
  <r>
    <x v="6"/>
    <x v="50"/>
    <s v="Combined Heat and Power, Electric Power"/>
    <x v="1"/>
    <n v="437549"/>
  </r>
  <r>
    <x v="6"/>
    <x v="50"/>
    <s v="Combined Heat and Power, Electric Power"/>
    <x v="3"/>
    <n v="4801"/>
  </r>
  <r>
    <x v="6"/>
    <x v="51"/>
    <s v="Total Electric Power Industry"/>
    <x v="0"/>
    <n v="41471996"/>
  </r>
  <r>
    <x v="6"/>
    <x v="51"/>
    <s v="Total Electric Power Industry"/>
    <x v="1"/>
    <n v="39730220"/>
  </r>
  <r>
    <x v="6"/>
    <x v="51"/>
    <s v="Total Electric Power Industry"/>
    <x v="2"/>
    <n v="1231797"/>
  </r>
  <r>
    <x v="6"/>
    <x v="51"/>
    <s v="Total Electric Power Industry"/>
    <x v="3"/>
    <n v="377937"/>
  </r>
  <r>
    <x v="6"/>
    <x v="51"/>
    <s v="Total Electric Power Industry"/>
    <x v="12"/>
    <n v="59691"/>
  </r>
  <r>
    <x v="6"/>
    <x v="51"/>
    <s v="Total Electric Power Industry"/>
    <x v="9"/>
    <n v="9430"/>
  </r>
  <r>
    <x v="6"/>
    <x v="51"/>
    <s v="Total Electric Power Industry"/>
    <x v="4"/>
    <n v="62921"/>
  </r>
  <r>
    <x v="6"/>
    <x v="51"/>
    <s v="Electric Generators, Electric Utilities"/>
    <x v="0"/>
    <n v="40851631"/>
  </r>
  <r>
    <x v="6"/>
    <x v="51"/>
    <s v="Electric Generators, Electric Utilities"/>
    <x v="1"/>
    <n v="39551555"/>
  </r>
  <r>
    <x v="6"/>
    <x v="51"/>
    <s v="Electric Generators, Electric Utilities"/>
    <x v="2"/>
    <n v="1231797"/>
  </r>
  <r>
    <x v="6"/>
    <x v="51"/>
    <s v="Electric Generators, Electric Utilities"/>
    <x v="3"/>
    <n v="8836"/>
  </r>
  <r>
    <x v="6"/>
    <x v="51"/>
    <s v="Electric Generators, Electric Utilities"/>
    <x v="4"/>
    <n v="59443"/>
  </r>
  <r>
    <x v="6"/>
    <x v="51"/>
    <s v="Combined Heat and Power, Industrial Power"/>
    <x v="0"/>
    <n v="620365"/>
  </r>
  <r>
    <x v="6"/>
    <x v="51"/>
    <s v="Combined Heat and Power, Industrial Power"/>
    <x v="1"/>
    <n v="178665"/>
  </r>
  <r>
    <x v="6"/>
    <x v="51"/>
    <s v="Combined Heat and Power, Industrial Power"/>
    <x v="3"/>
    <n v="369101"/>
  </r>
  <r>
    <x v="6"/>
    <x v="51"/>
    <s v="Combined Heat and Power, Industrial Power"/>
    <x v="12"/>
    <n v="59691"/>
  </r>
  <r>
    <x v="6"/>
    <x v="51"/>
    <s v="Combined Heat and Power, Industrial Power"/>
    <x v="9"/>
    <n v="9430"/>
  </r>
  <r>
    <x v="6"/>
    <x v="51"/>
    <s v="Combined Heat and Power, Industrial Power"/>
    <x v="4"/>
    <n v="3478"/>
  </r>
  <r>
    <x v="7"/>
    <x v="0"/>
    <s v="Total Electric Power Industry"/>
    <x v="0"/>
    <n v="6154847"/>
  </r>
  <r>
    <x v="7"/>
    <x v="0"/>
    <s v="Total Electric Power Industry"/>
    <x v="1"/>
    <n v="442702"/>
  </r>
  <r>
    <x v="7"/>
    <x v="0"/>
    <s v="Total Electric Power Industry"/>
    <x v="2"/>
    <n v="1098953"/>
  </r>
  <r>
    <x v="7"/>
    <x v="0"/>
    <s v="Total Electric Power Industry"/>
    <x v="3"/>
    <n v="3707734"/>
  </r>
  <r>
    <x v="7"/>
    <x v="0"/>
    <s v="Total Electric Power Industry"/>
    <x v="8"/>
    <n v="5403"/>
  </r>
  <r>
    <x v="7"/>
    <x v="0"/>
    <s v="Total Electric Power Industry"/>
    <x v="4"/>
    <n v="857889"/>
  </r>
  <r>
    <x v="7"/>
    <x v="0"/>
    <s v="Total Electric Power Industry"/>
    <x v="5"/>
    <n v="0"/>
  </r>
  <r>
    <x v="7"/>
    <x v="0"/>
    <s v="Total Electric Power Industry"/>
    <x v="6"/>
    <n v="42166"/>
  </r>
  <r>
    <x v="7"/>
    <x v="0"/>
    <s v="Electric Generators, Electric Utilities"/>
    <x v="0"/>
    <n v="5108003"/>
  </r>
  <r>
    <x v="7"/>
    <x v="0"/>
    <s v="Electric Generators, Electric Utilities"/>
    <x v="1"/>
    <n v="237165"/>
  </r>
  <r>
    <x v="7"/>
    <x v="0"/>
    <s v="Electric Generators, Electric Utilities"/>
    <x v="2"/>
    <n v="1098953"/>
  </r>
  <r>
    <x v="7"/>
    <x v="0"/>
    <s v="Electric Generators, Electric Utilities"/>
    <x v="3"/>
    <n v="3031164"/>
  </r>
  <r>
    <x v="7"/>
    <x v="0"/>
    <s v="Electric Generators, Electric Utilities"/>
    <x v="4"/>
    <n v="740721"/>
  </r>
  <r>
    <x v="7"/>
    <x v="0"/>
    <s v="Electric Generators, Electric Utilities"/>
    <x v="5"/>
    <n v="0"/>
  </r>
  <r>
    <x v="7"/>
    <x v="0"/>
    <s v="Combined Heat and Power, Industrial Power"/>
    <x v="0"/>
    <n v="821498"/>
  </r>
  <r>
    <x v="7"/>
    <x v="0"/>
    <s v="Combined Heat and Power, Industrial Power"/>
    <x v="3"/>
    <n v="676570"/>
  </r>
  <r>
    <x v="7"/>
    <x v="0"/>
    <s v="Combined Heat and Power, Industrial Power"/>
    <x v="8"/>
    <n v="5403"/>
  </r>
  <r>
    <x v="7"/>
    <x v="0"/>
    <s v="Combined Heat and Power, Industrial Power"/>
    <x v="4"/>
    <n v="98313"/>
  </r>
  <r>
    <x v="7"/>
    <x v="0"/>
    <s v="Combined Heat and Power, Industrial Power"/>
    <x v="6"/>
    <n v="41212"/>
  </r>
  <r>
    <x v="7"/>
    <x v="0"/>
    <s v="Combined Heat and Power, Commercial Power"/>
    <x v="0"/>
    <n v="225346"/>
  </r>
  <r>
    <x v="7"/>
    <x v="0"/>
    <s v="Combined Heat and Power, Commercial Power"/>
    <x v="1"/>
    <n v="205537"/>
  </r>
  <r>
    <x v="7"/>
    <x v="0"/>
    <s v="Combined Heat and Power, Commercial Power"/>
    <x v="4"/>
    <n v="18855"/>
  </r>
  <r>
    <x v="7"/>
    <x v="0"/>
    <s v="Combined Heat and Power, Commercial Power"/>
    <x v="6"/>
    <n v="954"/>
  </r>
  <r>
    <x v="7"/>
    <x v="1"/>
    <s v="Total Electric Power Industry"/>
    <x v="0"/>
    <n v="119542332"/>
  </r>
  <r>
    <x v="7"/>
    <x v="1"/>
    <s v="Total Electric Power Industry"/>
    <x v="1"/>
    <n v="72103318"/>
  </r>
  <r>
    <x v="7"/>
    <x v="1"/>
    <s v="Total Electric Power Industry"/>
    <x v="2"/>
    <n v="11520637"/>
  </r>
  <r>
    <x v="7"/>
    <x v="1"/>
    <s v="Total Electric Power Industry"/>
    <x v="3"/>
    <n v="2109618"/>
  </r>
  <r>
    <x v="7"/>
    <x v="1"/>
    <s v="Total Electric Power Industry"/>
    <x v="7"/>
    <n v="29572670"/>
  </r>
  <r>
    <x v="7"/>
    <x v="1"/>
    <s v="Total Electric Power Industry"/>
    <x v="12"/>
    <n v="370388"/>
  </r>
  <r>
    <x v="7"/>
    <x v="1"/>
    <s v="Total Electric Power Industry"/>
    <x v="8"/>
    <n v="23593"/>
  </r>
  <r>
    <x v="7"/>
    <x v="1"/>
    <s v="Total Electric Power Industry"/>
    <x v="9"/>
    <n v="283878"/>
  </r>
  <r>
    <x v="7"/>
    <x v="1"/>
    <s v="Total Electric Power Industry"/>
    <x v="4"/>
    <n v="237415"/>
  </r>
  <r>
    <x v="7"/>
    <x v="1"/>
    <s v="Total Electric Power Industry"/>
    <x v="6"/>
    <n v="3320815"/>
  </r>
  <r>
    <x v="7"/>
    <x v="1"/>
    <s v="Electric Generators, Independent Power Producers"/>
    <x v="0"/>
    <n v="4852"/>
  </r>
  <r>
    <x v="7"/>
    <x v="1"/>
    <s v="Electric Generators, Independent Power Producers"/>
    <x v="3"/>
    <n v="4852"/>
  </r>
  <r>
    <x v="7"/>
    <x v="1"/>
    <s v="Electric Generators, Electric Utilities"/>
    <x v="0"/>
    <n v="113683627"/>
  </r>
  <r>
    <x v="7"/>
    <x v="1"/>
    <s v="Electric Generators, Electric Utilities"/>
    <x v="1"/>
    <n v="71586318"/>
  </r>
  <r>
    <x v="7"/>
    <x v="1"/>
    <s v="Electric Generators, Electric Utilities"/>
    <x v="2"/>
    <n v="11520637"/>
  </r>
  <r>
    <x v="7"/>
    <x v="1"/>
    <s v="Electric Generators, Electric Utilities"/>
    <x v="3"/>
    <n v="885184"/>
  </r>
  <r>
    <x v="7"/>
    <x v="1"/>
    <s v="Electric Generators, Electric Utilities"/>
    <x v="7"/>
    <n v="29572670"/>
  </r>
  <r>
    <x v="7"/>
    <x v="1"/>
    <s v="Electric Generators, Electric Utilities"/>
    <x v="4"/>
    <n v="118818"/>
  </r>
  <r>
    <x v="7"/>
    <x v="1"/>
    <s v="Combined Heat and Power, Industrial Power"/>
    <x v="0"/>
    <n v="5170528"/>
  </r>
  <r>
    <x v="7"/>
    <x v="1"/>
    <s v="Combined Heat and Power, Industrial Power"/>
    <x v="1"/>
    <n v="456740"/>
  </r>
  <r>
    <x v="7"/>
    <x v="1"/>
    <s v="Combined Heat and Power, Industrial Power"/>
    <x v="3"/>
    <n v="1163460"/>
  </r>
  <r>
    <x v="7"/>
    <x v="1"/>
    <s v="Combined Heat and Power, Industrial Power"/>
    <x v="12"/>
    <n v="370388"/>
  </r>
  <r>
    <x v="7"/>
    <x v="1"/>
    <s v="Combined Heat and Power, Industrial Power"/>
    <x v="8"/>
    <n v="23072"/>
  </r>
  <r>
    <x v="7"/>
    <x v="1"/>
    <s v="Combined Heat and Power, Industrial Power"/>
    <x v="9"/>
    <n v="283878"/>
  </r>
  <r>
    <x v="7"/>
    <x v="1"/>
    <s v="Combined Heat and Power, Industrial Power"/>
    <x v="4"/>
    <n v="118427"/>
  </r>
  <r>
    <x v="7"/>
    <x v="1"/>
    <s v="Combined Heat and Power, Industrial Power"/>
    <x v="6"/>
    <n v="2754563"/>
  </r>
  <r>
    <x v="7"/>
    <x v="1"/>
    <s v="Combined Heat and Power, Electric Power"/>
    <x v="0"/>
    <n v="683325"/>
  </r>
  <r>
    <x v="7"/>
    <x v="1"/>
    <s v="Combined Heat and Power, Electric Power"/>
    <x v="1"/>
    <n v="60260"/>
  </r>
  <r>
    <x v="7"/>
    <x v="1"/>
    <s v="Combined Heat and Power, Electric Power"/>
    <x v="3"/>
    <n v="56122"/>
  </r>
  <r>
    <x v="7"/>
    <x v="1"/>
    <s v="Combined Heat and Power, Electric Power"/>
    <x v="8"/>
    <n v="521"/>
  </r>
  <r>
    <x v="7"/>
    <x v="1"/>
    <s v="Combined Heat and Power, Electric Power"/>
    <x v="4"/>
    <n v="170"/>
  </r>
  <r>
    <x v="7"/>
    <x v="1"/>
    <s v="Combined Heat and Power, Electric Power"/>
    <x v="6"/>
    <n v="566252"/>
  </r>
  <r>
    <x v="7"/>
    <x v="2"/>
    <s v="Total Electric Power Industry"/>
    <x v="0"/>
    <n v="45193600"/>
  </r>
  <r>
    <x v="7"/>
    <x v="2"/>
    <s v="Total Electric Power Industry"/>
    <x v="1"/>
    <n v="22810370"/>
  </r>
  <r>
    <x v="7"/>
    <x v="2"/>
    <s v="Total Electric Power Industry"/>
    <x v="2"/>
    <n v="3515704"/>
  </r>
  <r>
    <x v="7"/>
    <x v="2"/>
    <s v="Total Electric Power Industry"/>
    <x v="3"/>
    <n v="2998984"/>
  </r>
  <r>
    <x v="7"/>
    <x v="2"/>
    <s v="Total Electric Power Industry"/>
    <x v="7"/>
    <n v="14208157"/>
  </r>
  <r>
    <x v="7"/>
    <x v="2"/>
    <s v="Total Electric Power Industry"/>
    <x v="8"/>
    <n v="10813"/>
  </r>
  <r>
    <x v="7"/>
    <x v="2"/>
    <s v="Total Electric Power Industry"/>
    <x v="9"/>
    <n v="265"/>
  </r>
  <r>
    <x v="7"/>
    <x v="2"/>
    <s v="Total Electric Power Industry"/>
    <x v="4"/>
    <n v="73903"/>
  </r>
  <r>
    <x v="7"/>
    <x v="2"/>
    <s v="Total Electric Power Industry"/>
    <x v="10"/>
    <n v="0"/>
  </r>
  <r>
    <x v="7"/>
    <x v="2"/>
    <s v="Total Electric Power Industry"/>
    <x v="6"/>
    <n v="1575404"/>
  </r>
  <r>
    <x v="7"/>
    <x v="2"/>
    <s v="Electric Generators, Independent Power Producers"/>
    <x v="0"/>
    <n v="4444"/>
  </r>
  <r>
    <x v="7"/>
    <x v="2"/>
    <s v="Electric Generators, Independent Power Producers"/>
    <x v="2"/>
    <n v="4444"/>
  </r>
  <r>
    <x v="7"/>
    <x v="2"/>
    <s v="Electric Generators, Electric Utilities"/>
    <x v="0"/>
    <n v="42789637"/>
  </r>
  <r>
    <x v="7"/>
    <x v="2"/>
    <s v="Electric Generators, Electric Utilities"/>
    <x v="1"/>
    <n v="22760970"/>
  </r>
  <r>
    <x v="7"/>
    <x v="2"/>
    <s v="Electric Generators, Electric Utilities"/>
    <x v="2"/>
    <n v="3511260"/>
  </r>
  <r>
    <x v="7"/>
    <x v="2"/>
    <s v="Electric Generators, Electric Utilities"/>
    <x v="3"/>
    <n v="2242628"/>
  </r>
  <r>
    <x v="7"/>
    <x v="2"/>
    <s v="Electric Generators, Electric Utilities"/>
    <x v="7"/>
    <n v="14208157"/>
  </r>
  <r>
    <x v="7"/>
    <x v="2"/>
    <s v="Electric Generators, Electric Utilities"/>
    <x v="4"/>
    <n v="66622"/>
  </r>
  <r>
    <x v="7"/>
    <x v="2"/>
    <s v="Electric Generators, Electric Utilities"/>
    <x v="10"/>
    <n v="0"/>
  </r>
  <r>
    <x v="7"/>
    <x v="2"/>
    <s v="Combined Heat and Power, Industrial Power"/>
    <x v="0"/>
    <n v="2357719"/>
  </r>
  <r>
    <x v="7"/>
    <x v="2"/>
    <s v="Combined Heat and Power, Industrial Power"/>
    <x v="1"/>
    <n v="49400"/>
  </r>
  <r>
    <x v="7"/>
    <x v="2"/>
    <s v="Combined Heat and Power, Industrial Power"/>
    <x v="3"/>
    <n v="723824"/>
  </r>
  <r>
    <x v="7"/>
    <x v="2"/>
    <s v="Combined Heat and Power, Industrial Power"/>
    <x v="8"/>
    <n v="5998"/>
  </r>
  <r>
    <x v="7"/>
    <x v="2"/>
    <s v="Combined Heat and Power, Industrial Power"/>
    <x v="9"/>
    <n v="265"/>
  </r>
  <r>
    <x v="7"/>
    <x v="2"/>
    <s v="Combined Heat and Power, Industrial Power"/>
    <x v="4"/>
    <n v="2828"/>
  </r>
  <r>
    <x v="7"/>
    <x v="2"/>
    <s v="Combined Heat and Power, Industrial Power"/>
    <x v="6"/>
    <n v="1575404"/>
  </r>
  <r>
    <x v="7"/>
    <x v="2"/>
    <s v="Combined Heat and Power, Commercial Power"/>
    <x v="0"/>
    <n v="41800"/>
  </r>
  <r>
    <x v="7"/>
    <x v="2"/>
    <s v="Combined Heat and Power, Commercial Power"/>
    <x v="3"/>
    <n v="32532"/>
  </r>
  <r>
    <x v="7"/>
    <x v="2"/>
    <s v="Combined Heat and Power, Commercial Power"/>
    <x v="8"/>
    <n v="4815"/>
  </r>
  <r>
    <x v="7"/>
    <x v="2"/>
    <s v="Combined Heat and Power, Commercial Power"/>
    <x v="4"/>
    <n v="4453"/>
  </r>
  <r>
    <x v="7"/>
    <x v="3"/>
    <s v="Total Electric Power Industry"/>
    <x v="0"/>
    <n v="78825200"/>
  </r>
  <r>
    <x v="7"/>
    <x v="3"/>
    <s v="Total Electric Power Industry"/>
    <x v="1"/>
    <n v="34478848"/>
  </r>
  <r>
    <x v="7"/>
    <x v="3"/>
    <s v="Total Electric Power Industry"/>
    <x v="2"/>
    <n v="12049393"/>
  </r>
  <r>
    <x v="7"/>
    <x v="3"/>
    <s v="Total Electric Power Industry"/>
    <x v="3"/>
    <n v="2483810"/>
  </r>
  <r>
    <x v="7"/>
    <x v="3"/>
    <s v="Total Electric Power Industry"/>
    <x v="7"/>
    <n v="29314200"/>
  </r>
  <r>
    <x v="7"/>
    <x v="3"/>
    <s v="Total Electric Power Industry"/>
    <x v="4"/>
    <n v="65681"/>
  </r>
  <r>
    <x v="7"/>
    <x v="3"/>
    <s v="Total Electric Power Industry"/>
    <x v="10"/>
    <n v="352098"/>
  </r>
  <r>
    <x v="7"/>
    <x v="3"/>
    <s v="Total Electric Power Industry"/>
    <x v="13"/>
    <n v="0"/>
  </r>
  <r>
    <x v="7"/>
    <x v="3"/>
    <s v="Total Electric Power Industry"/>
    <x v="6"/>
    <n v="81170"/>
  </r>
  <r>
    <x v="7"/>
    <x v="3"/>
    <s v="Electric Generators, Electric Utilities"/>
    <x v="0"/>
    <n v="78060498"/>
  </r>
  <r>
    <x v="7"/>
    <x v="3"/>
    <s v="Electric Generators, Electric Utilities"/>
    <x v="1"/>
    <n v="34219281"/>
  </r>
  <r>
    <x v="7"/>
    <x v="3"/>
    <s v="Electric Generators, Electric Utilities"/>
    <x v="2"/>
    <n v="12049393"/>
  </r>
  <r>
    <x v="7"/>
    <x v="3"/>
    <s v="Electric Generators, Electric Utilities"/>
    <x v="3"/>
    <n v="2064599"/>
  </r>
  <r>
    <x v="7"/>
    <x v="3"/>
    <s v="Electric Generators, Electric Utilities"/>
    <x v="7"/>
    <n v="29314200"/>
  </r>
  <r>
    <x v="7"/>
    <x v="3"/>
    <s v="Electric Generators, Electric Utilities"/>
    <x v="4"/>
    <n v="60927"/>
  </r>
  <r>
    <x v="7"/>
    <x v="3"/>
    <s v="Electric Generators, Electric Utilities"/>
    <x v="10"/>
    <n v="352098"/>
  </r>
  <r>
    <x v="7"/>
    <x v="3"/>
    <s v="Electric Generators, Electric Utilities"/>
    <x v="13"/>
    <n v="0"/>
  </r>
  <r>
    <x v="7"/>
    <x v="3"/>
    <s v="Combined Heat and Power, Industrial Power"/>
    <x v="0"/>
    <n v="363391"/>
  </r>
  <r>
    <x v="7"/>
    <x v="3"/>
    <s v="Combined Heat and Power, Industrial Power"/>
    <x v="1"/>
    <n v="259567"/>
  </r>
  <r>
    <x v="7"/>
    <x v="3"/>
    <s v="Combined Heat and Power, Industrial Power"/>
    <x v="3"/>
    <n v="18410"/>
  </r>
  <r>
    <x v="7"/>
    <x v="3"/>
    <s v="Combined Heat and Power, Industrial Power"/>
    <x v="4"/>
    <n v="4244"/>
  </r>
  <r>
    <x v="7"/>
    <x v="3"/>
    <s v="Combined Heat and Power, Industrial Power"/>
    <x v="6"/>
    <n v="81170"/>
  </r>
  <r>
    <x v="7"/>
    <x v="3"/>
    <s v="Combined Heat and Power, Electric Power"/>
    <x v="0"/>
    <n v="382526"/>
  </r>
  <r>
    <x v="7"/>
    <x v="3"/>
    <s v="Combined Heat and Power, Electric Power"/>
    <x v="3"/>
    <n v="382526"/>
  </r>
  <r>
    <x v="7"/>
    <x v="3"/>
    <s v="Combined Heat and Power, Commercial Power"/>
    <x v="0"/>
    <n v="18785"/>
  </r>
  <r>
    <x v="7"/>
    <x v="3"/>
    <s v="Combined Heat and Power, Commercial Power"/>
    <x v="3"/>
    <n v="18275"/>
  </r>
  <r>
    <x v="7"/>
    <x v="3"/>
    <s v="Combined Heat and Power, Commercial Power"/>
    <x v="4"/>
    <n v="510"/>
  </r>
  <r>
    <x v="7"/>
    <x v="4"/>
    <s v="Total Electric Power Industry"/>
    <x v="0"/>
    <n v="172797595"/>
  </r>
  <r>
    <x v="7"/>
    <x v="4"/>
    <s v="Total Electric Power Industry"/>
    <x v="1"/>
    <n v="2331970"/>
  </r>
  <r>
    <x v="7"/>
    <x v="4"/>
    <s v="Total Electric Power Industry"/>
    <x v="11"/>
    <n v="12716193"/>
  </r>
  <r>
    <x v="7"/>
    <x v="4"/>
    <s v="Total Electric Power Industry"/>
    <x v="2"/>
    <n v="41054546"/>
  </r>
  <r>
    <x v="7"/>
    <x v="4"/>
    <s v="Total Electric Power Industry"/>
    <x v="3"/>
    <n v="71002064"/>
  </r>
  <r>
    <x v="7"/>
    <x v="4"/>
    <s v="Total Electric Power Industry"/>
    <x v="7"/>
    <n v="30512118"/>
  </r>
  <r>
    <x v="7"/>
    <x v="4"/>
    <s v="Total Electric Power Industry"/>
    <x v="12"/>
    <n v="21680"/>
  </r>
  <r>
    <x v="7"/>
    <x v="4"/>
    <s v="Total Electric Power Industry"/>
    <x v="8"/>
    <n v="2321305"/>
  </r>
  <r>
    <x v="7"/>
    <x v="4"/>
    <s v="Total Electric Power Industry"/>
    <x v="9"/>
    <n v="2984277"/>
  </r>
  <r>
    <x v="7"/>
    <x v="4"/>
    <s v="Total Electric Power Industry"/>
    <x v="4"/>
    <n v="2092192"/>
  </r>
  <r>
    <x v="7"/>
    <x v="4"/>
    <s v="Total Electric Power Industry"/>
    <x v="10"/>
    <n v="1013904"/>
  </r>
  <r>
    <x v="7"/>
    <x v="4"/>
    <s v="Total Electric Power Industry"/>
    <x v="13"/>
    <n v="510956"/>
  </r>
  <r>
    <x v="7"/>
    <x v="4"/>
    <s v="Total Electric Power Industry"/>
    <x v="5"/>
    <n v="3136878"/>
  </r>
  <r>
    <x v="7"/>
    <x v="4"/>
    <s v="Total Electric Power Industry"/>
    <x v="6"/>
    <n v="3099512"/>
  </r>
  <r>
    <x v="7"/>
    <x v="4"/>
    <s v="Electric Generators, Independent Power Producers"/>
    <x v="0"/>
    <n v="18586854"/>
  </r>
  <r>
    <x v="7"/>
    <x v="4"/>
    <s v="Electric Generators, Independent Power Producers"/>
    <x v="11"/>
    <n v="7415601"/>
  </r>
  <r>
    <x v="7"/>
    <x v="4"/>
    <s v="Electric Generators, Independent Power Producers"/>
    <x v="2"/>
    <n v="2266093"/>
  </r>
  <r>
    <x v="7"/>
    <x v="4"/>
    <s v="Electric Generators, Independent Power Producers"/>
    <x v="3"/>
    <n v="552483"/>
  </r>
  <r>
    <x v="7"/>
    <x v="4"/>
    <s v="Electric Generators, Independent Power Producers"/>
    <x v="8"/>
    <n v="1770516"/>
  </r>
  <r>
    <x v="7"/>
    <x v="4"/>
    <s v="Electric Generators, Independent Power Producers"/>
    <x v="4"/>
    <n v="758265"/>
  </r>
  <r>
    <x v="7"/>
    <x v="4"/>
    <s v="Electric Generators, Independent Power Producers"/>
    <x v="13"/>
    <n v="507687"/>
  </r>
  <r>
    <x v="7"/>
    <x v="4"/>
    <s v="Electric Generators, Independent Power Producers"/>
    <x v="5"/>
    <n v="3131019"/>
  </r>
  <r>
    <x v="7"/>
    <x v="4"/>
    <s v="Electric Generators, Independent Power Producers"/>
    <x v="6"/>
    <n v="2185190"/>
  </r>
  <r>
    <x v="7"/>
    <x v="4"/>
    <s v="Electric Generators, Electric Utilities"/>
    <x v="0"/>
    <n v="112183063"/>
  </r>
  <r>
    <x v="7"/>
    <x v="4"/>
    <s v="Electric Generators, Electric Utilities"/>
    <x v="11"/>
    <n v="5300592"/>
  </r>
  <r>
    <x v="7"/>
    <x v="4"/>
    <s v="Electric Generators, Electric Utilities"/>
    <x v="2"/>
    <n v="38783138"/>
  </r>
  <r>
    <x v="7"/>
    <x v="4"/>
    <s v="Electric Generators, Electric Utilities"/>
    <x v="3"/>
    <n v="36300778"/>
  </r>
  <r>
    <x v="7"/>
    <x v="4"/>
    <s v="Electric Generators, Electric Utilities"/>
    <x v="7"/>
    <n v="30512118"/>
  </r>
  <r>
    <x v="7"/>
    <x v="4"/>
    <s v="Electric Generators, Electric Utilities"/>
    <x v="8"/>
    <n v="121533"/>
  </r>
  <r>
    <x v="7"/>
    <x v="4"/>
    <s v="Electric Generators, Electric Utilities"/>
    <x v="4"/>
    <n v="141872"/>
  </r>
  <r>
    <x v="7"/>
    <x v="4"/>
    <s v="Electric Generators, Electric Utilities"/>
    <x v="10"/>
    <n v="1013904"/>
  </r>
  <r>
    <x v="7"/>
    <x v="4"/>
    <s v="Electric Generators, Electric Utilities"/>
    <x v="13"/>
    <n v="3269"/>
  </r>
  <r>
    <x v="7"/>
    <x v="4"/>
    <s v="Electric Generators, Electric Utilities"/>
    <x v="5"/>
    <n v="5859"/>
  </r>
  <r>
    <x v="7"/>
    <x v="4"/>
    <s v="Combined Heat and Power, Industrial Power"/>
    <x v="0"/>
    <n v="18064400"/>
  </r>
  <r>
    <x v="7"/>
    <x v="4"/>
    <s v="Combined Heat and Power, Industrial Power"/>
    <x v="1"/>
    <n v="724672"/>
  </r>
  <r>
    <x v="7"/>
    <x v="4"/>
    <s v="Combined Heat and Power, Industrial Power"/>
    <x v="3"/>
    <n v="13017573"/>
  </r>
  <r>
    <x v="7"/>
    <x v="4"/>
    <s v="Combined Heat and Power, Industrial Power"/>
    <x v="12"/>
    <n v="21680"/>
  </r>
  <r>
    <x v="7"/>
    <x v="4"/>
    <s v="Combined Heat and Power, Industrial Power"/>
    <x v="8"/>
    <n v="34281"/>
  </r>
  <r>
    <x v="7"/>
    <x v="4"/>
    <s v="Combined Heat and Power, Industrial Power"/>
    <x v="9"/>
    <n v="2888378"/>
  </r>
  <r>
    <x v="7"/>
    <x v="4"/>
    <s v="Combined Heat and Power, Industrial Power"/>
    <x v="4"/>
    <n v="491558"/>
  </r>
  <r>
    <x v="7"/>
    <x v="4"/>
    <s v="Combined Heat and Power, Industrial Power"/>
    <x v="6"/>
    <n v="886258"/>
  </r>
  <r>
    <x v="7"/>
    <x v="4"/>
    <s v="Combined Heat and Power, Electric Power"/>
    <x v="0"/>
    <n v="21931564"/>
  </r>
  <r>
    <x v="7"/>
    <x v="4"/>
    <s v="Combined Heat and Power, Electric Power"/>
    <x v="1"/>
    <n v="1607298"/>
  </r>
  <r>
    <x v="7"/>
    <x v="4"/>
    <s v="Combined Heat and Power, Electric Power"/>
    <x v="3"/>
    <n v="19410555"/>
  </r>
  <r>
    <x v="7"/>
    <x v="4"/>
    <s v="Combined Heat and Power, Electric Power"/>
    <x v="8"/>
    <n v="124913"/>
  </r>
  <r>
    <x v="7"/>
    <x v="4"/>
    <s v="Combined Heat and Power, Electric Power"/>
    <x v="9"/>
    <n v="95888"/>
  </r>
  <r>
    <x v="7"/>
    <x v="4"/>
    <s v="Combined Heat and Power, Electric Power"/>
    <x v="4"/>
    <n v="664846"/>
  </r>
  <r>
    <x v="7"/>
    <x v="4"/>
    <s v="Combined Heat and Power, Electric Power"/>
    <x v="6"/>
    <n v="28064"/>
  </r>
  <r>
    <x v="7"/>
    <x v="4"/>
    <s v="Combined Heat and Power, Commercial Power"/>
    <x v="0"/>
    <n v="2031714"/>
  </r>
  <r>
    <x v="7"/>
    <x v="4"/>
    <s v="Combined Heat and Power, Commercial Power"/>
    <x v="2"/>
    <n v="5315"/>
  </r>
  <r>
    <x v="7"/>
    <x v="4"/>
    <s v="Combined Heat and Power, Commercial Power"/>
    <x v="3"/>
    <n v="1720675"/>
  </r>
  <r>
    <x v="7"/>
    <x v="4"/>
    <s v="Combined Heat and Power, Commercial Power"/>
    <x v="8"/>
    <n v="270062"/>
  </r>
  <r>
    <x v="7"/>
    <x v="4"/>
    <s v="Combined Heat and Power, Commercial Power"/>
    <x v="9"/>
    <n v="11"/>
  </r>
  <r>
    <x v="7"/>
    <x v="4"/>
    <s v="Combined Heat and Power, Commercial Power"/>
    <x v="4"/>
    <n v="35651"/>
  </r>
  <r>
    <x v="7"/>
    <x v="5"/>
    <s v="Total Electric Power Industry"/>
    <x v="0"/>
    <n v="37642561"/>
  </r>
  <r>
    <x v="7"/>
    <x v="5"/>
    <s v="Total Electric Power Industry"/>
    <x v="1"/>
    <n v="32253020"/>
  </r>
  <r>
    <x v="7"/>
    <x v="5"/>
    <s v="Total Electric Power Industry"/>
    <x v="2"/>
    <n v="2031811"/>
  </r>
  <r>
    <x v="7"/>
    <x v="5"/>
    <s v="Total Electric Power Industry"/>
    <x v="3"/>
    <n v="3272172"/>
  </r>
  <r>
    <x v="7"/>
    <x v="5"/>
    <s v="Total Electric Power Industry"/>
    <x v="8"/>
    <n v="32558"/>
  </r>
  <r>
    <x v="7"/>
    <x v="5"/>
    <s v="Total Electric Power Industry"/>
    <x v="4"/>
    <n v="15485"/>
  </r>
  <r>
    <x v="7"/>
    <x v="5"/>
    <s v="Total Electric Power Industry"/>
    <x v="10"/>
    <n v="37515"/>
  </r>
  <r>
    <x v="7"/>
    <x v="5"/>
    <s v="Electric Generators, Independent Power Producers"/>
    <x v="0"/>
    <n v="298103"/>
  </r>
  <r>
    <x v="7"/>
    <x v="5"/>
    <s v="Electric Generators, Independent Power Producers"/>
    <x v="2"/>
    <n v="133998"/>
  </r>
  <r>
    <x v="7"/>
    <x v="5"/>
    <s v="Electric Generators, Independent Power Producers"/>
    <x v="3"/>
    <n v="164105"/>
  </r>
  <r>
    <x v="7"/>
    <x v="5"/>
    <s v="Electric Generators, Electric Utilities"/>
    <x v="0"/>
    <n v="34375573"/>
  </r>
  <r>
    <x v="7"/>
    <x v="5"/>
    <s v="Electric Generators, Electric Utilities"/>
    <x v="1"/>
    <n v="32002082"/>
  </r>
  <r>
    <x v="7"/>
    <x v="5"/>
    <s v="Electric Generators, Electric Utilities"/>
    <x v="2"/>
    <n v="1897813"/>
  </r>
  <r>
    <x v="7"/>
    <x v="5"/>
    <s v="Electric Generators, Electric Utilities"/>
    <x v="3"/>
    <n v="423540"/>
  </r>
  <r>
    <x v="7"/>
    <x v="5"/>
    <s v="Electric Generators, Electric Utilities"/>
    <x v="8"/>
    <n v="0"/>
  </r>
  <r>
    <x v="7"/>
    <x v="5"/>
    <s v="Electric Generators, Electric Utilities"/>
    <x v="4"/>
    <n v="14623"/>
  </r>
  <r>
    <x v="7"/>
    <x v="5"/>
    <s v="Electric Generators, Electric Utilities"/>
    <x v="10"/>
    <n v="37515"/>
  </r>
  <r>
    <x v="7"/>
    <x v="5"/>
    <s v="Combined Heat and Power, Industrial Power"/>
    <x v="0"/>
    <n v="89334"/>
  </r>
  <r>
    <x v="7"/>
    <x v="5"/>
    <s v="Combined Heat and Power, Industrial Power"/>
    <x v="3"/>
    <n v="89269"/>
  </r>
  <r>
    <x v="7"/>
    <x v="5"/>
    <s v="Combined Heat and Power, Industrial Power"/>
    <x v="4"/>
    <n v="65"/>
  </r>
  <r>
    <x v="7"/>
    <x v="5"/>
    <s v="Combined Heat and Power, Electric Power"/>
    <x v="0"/>
    <n v="2725860"/>
  </r>
  <r>
    <x v="7"/>
    <x v="5"/>
    <s v="Combined Heat and Power, Electric Power"/>
    <x v="1"/>
    <n v="250938"/>
  </r>
  <r>
    <x v="7"/>
    <x v="5"/>
    <s v="Combined Heat and Power, Electric Power"/>
    <x v="3"/>
    <n v="2472683"/>
  </r>
  <r>
    <x v="7"/>
    <x v="5"/>
    <s v="Combined Heat and Power, Electric Power"/>
    <x v="8"/>
    <n v="1849"/>
  </r>
  <r>
    <x v="7"/>
    <x v="5"/>
    <s v="Combined Heat and Power, Electric Power"/>
    <x v="4"/>
    <n v="390"/>
  </r>
  <r>
    <x v="7"/>
    <x v="5"/>
    <s v="Combined Heat and Power, Commercial Power"/>
    <x v="0"/>
    <n v="153691"/>
  </r>
  <r>
    <x v="7"/>
    <x v="5"/>
    <s v="Combined Heat and Power, Commercial Power"/>
    <x v="3"/>
    <n v="122575"/>
  </r>
  <r>
    <x v="7"/>
    <x v="5"/>
    <s v="Combined Heat and Power, Commercial Power"/>
    <x v="8"/>
    <n v="30709"/>
  </r>
  <r>
    <x v="7"/>
    <x v="5"/>
    <s v="Combined Heat and Power, Commercial Power"/>
    <x v="4"/>
    <n v="407"/>
  </r>
  <r>
    <x v="7"/>
    <x v="6"/>
    <s v="Total Electric Power Industry"/>
    <x v="0"/>
    <n v="17674298"/>
  </r>
  <r>
    <x v="7"/>
    <x v="6"/>
    <s v="Total Electric Power Industry"/>
    <x v="1"/>
    <n v="4159144"/>
  </r>
  <r>
    <x v="7"/>
    <x v="6"/>
    <s v="Total Electric Power Industry"/>
    <x v="2"/>
    <n v="446695"/>
  </r>
  <r>
    <x v="7"/>
    <x v="6"/>
    <s v="Total Electric Power Industry"/>
    <x v="3"/>
    <n v="2595364"/>
  </r>
  <r>
    <x v="7"/>
    <x v="6"/>
    <s v="Total Electric Power Industry"/>
    <x v="7"/>
    <n v="-124722"/>
  </r>
  <r>
    <x v="7"/>
    <x v="6"/>
    <s v="Total Electric Power Industry"/>
    <x v="12"/>
    <n v="0"/>
  </r>
  <r>
    <x v="7"/>
    <x v="6"/>
    <s v="Total Electric Power Industry"/>
    <x v="8"/>
    <n v="2096499"/>
  </r>
  <r>
    <x v="7"/>
    <x v="6"/>
    <s v="Total Electric Power Industry"/>
    <x v="9"/>
    <n v="51"/>
  </r>
  <r>
    <x v="7"/>
    <x v="6"/>
    <s v="Total Electric Power Industry"/>
    <x v="4"/>
    <n v="8508709"/>
  </r>
  <r>
    <x v="7"/>
    <x v="6"/>
    <s v="Total Electric Power Industry"/>
    <x v="10"/>
    <n v="-7442"/>
  </r>
  <r>
    <x v="7"/>
    <x v="6"/>
    <s v="Electric Generators, Independent Power Producers"/>
    <x v="0"/>
    <n v="1246482"/>
  </r>
  <r>
    <x v="7"/>
    <x v="6"/>
    <s v="Electric Generators, Independent Power Producers"/>
    <x v="2"/>
    <n v="64237"/>
  </r>
  <r>
    <x v="7"/>
    <x v="6"/>
    <s v="Electric Generators, Independent Power Producers"/>
    <x v="3"/>
    <n v="1741"/>
  </r>
  <r>
    <x v="7"/>
    <x v="6"/>
    <s v="Electric Generators, Independent Power Producers"/>
    <x v="8"/>
    <n v="1176800"/>
  </r>
  <r>
    <x v="7"/>
    <x v="6"/>
    <s v="Electric Generators, Independent Power Producers"/>
    <x v="9"/>
    <n v="51"/>
  </r>
  <r>
    <x v="7"/>
    <x v="6"/>
    <s v="Electric Generators, Independent Power Producers"/>
    <x v="4"/>
    <n v="3653"/>
  </r>
  <r>
    <x v="7"/>
    <x v="6"/>
    <s v="Electric Generators, Electric Utilities"/>
    <x v="0"/>
    <n v="13227766"/>
  </r>
  <r>
    <x v="7"/>
    <x v="6"/>
    <s v="Electric Generators, Electric Utilities"/>
    <x v="1"/>
    <n v="2557934"/>
  </r>
  <r>
    <x v="7"/>
    <x v="6"/>
    <s v="Electric Generators, Electric Utilities"/>
    <x v="2"/>
    <n v="374110"/>
  </r>
  <r>
    <x v="7"/>
    <x v="6"/>
    <s v="Electric Generators, Electric Utilities"/>
    <x v="3"/>
    <n v="1545712"/>
  </r>
  <r>
    <x v="7"/>
    <x v="6"/>
    <s v="Electric Generators, Electric Utilities"/>
    <x v="7"/>
    <n v="-124722"/>
  </r>
  <r>
    <x v="7"/>
    <x v="6"/>
    <s v="Electric Generators, Electric Utilities"/>
    <x v="8"/>
    <n v="450749"/>
  </r>
  <r>
    <x v="7"/>
    <x v="6"/>
    <s v="Electric Generators, Electric Utilities"/>
    <x v="4"/>
    <n v="8431425"/>
  </r>
  <r>
    <x v="7"/>
    <x v="6"/>
    <s v="Electric Generators, Electric Utilities"/>
    <x v="10"/>
    <n v="-7442"/>
  </r>
  <r>
    <x v="7"/>
    <x v="6"/>
    <s v="Combined Heat and Power, Industrial Power"/>
    <x v="0"/>
    <n v="364151"/>
  </r>
  <r>
    <x v="7"/>
    <x v="6"/>
    <s v="Combined Heat and Power, Industrial Power"/>
    <x v="2"/>
    <n v="8348"/>
  </r>
  <r>
    <x v="7"/>
    <x v="6"/>
    <s v="Combined Heat and Power, Industrial Power"/>
    <x v="3"/>
    <n v="291735"/>
  </r>
  <r>
    <x v="7"/>
    <x v="6"/>
    <s v="Combined Heat and Power, Industrial Power"/>
    <x v="12"/>
    <n v="0"/>
  </r>
  <r>
    <x v="7"/>
    <x v="6"/>
    <s v="Combined Heat and Power, Industrial Power"/>
    <x v="4"/>
    <n v="64068"/>
  </r>
  <r>
    <x v="7"/>
    <x v="6"/>
    <s v="Combined Heat and Power, Electric Power"/>
    <x v="0"/>
    <n v="2320840"/>
  </r>
  <r>
    <x v="7"/>
    <x v="6"/>
    <s v="Combined Heat and Power, Electric Power"/>
    <x v="1"/>
    <n v="1580849"/>
  </r>
  <r>
    <x v="7"/>
    <x v="6"/>
    <s v="Combined Heat and Power, Electric Power"/>
    <x v="3"/>
    <n v="730661"/>
  </r>
  <r>
    <x v="7"/>
    <x v="6"/>
    <s v="Combined Heat and Power, Electric Power"/>
    <x v="4"/>
    <n v="9330"/>
  </r>
  <r>
    <x v="7"/>
    <x v="6"/>
    <s v="Combined Heat and Power, Commercial Power"/>
    <x v="0"/>
    <n v="515059"/>
  </r>
  <r>
    <x v="7"/>
    <x v="6"/>
    <s v="Combined Heat and Power, Commercial Power"/>
    <x v="1"/>
    <n v="20361"/>
  </r>
  <r>
    <x v="7"/>
    <x v="6"/>
    <s v="Combined Heat and Power, Commercial Power"/>
    <x v="3"/>
    <n v="25515"/>
  </r>
  <r>
    <x v="7"/>
    <x v="6"/>
    <s v="Combined Heat and Power, Commercial Power"/>
    <x v="8"/>
    <n v="468950"/>
  </r>
  <r>
    <x v="7"/>
    <x v="6"/>
    <s v="Combined Heat and Power, Commercial Power"/>
    <x v="4"/>
    <n v="233"/>
  </r>
  <r>
    <x v="7"/>
    <x v="7"/>
    <s v="Total Electric Power Industry"/>
    <x v="0"/>
    <n v="70661"/>
  </r>
  <r>
    <x v="7"/>
    <x v="7"/>
    <s v="Total Electric Power Industry"/>
    <x v="4"/>
    <n v="70661"/>
  </r>
  <r>
    <x v="7"/>
    <x v="7"/>
    <s v="Electric Generators, Electric Utilities"/>
    <x v="0"/>
    <n v="70661"/>
  </r>
  <r>
    <x v="7"/>
    <x v="7"/>
    <s v="Electric Generators, Electric Utilities"/>
    <x v="4"/>
    <n v="70661"/>
  </r>
  <r>
    <x v="7"/>
    <x v="8"/>
    <s v="Total Electric Power Industry"/>
    <x v="0"/>
    <n v="7222635"/>
  </r>
  <r>
    <x v="7"/>
    <x v="8"/>
    <s v="Total Electric Power Industry"/>
    <x v="1"/>
    <n v="4000584"/>
  </r>
  <r>
    <x v="7"/>
    <x v="8"/>
    <s v="Total Electric Power Industry"/>
    <x v="3"/>
    <n v="1828758"/>
  </r>
  <r>
    <x v="7"/>
    <x v="8"/>
    <s v="Total Electric Power Industry"/>
    <x v="9"/>
    <n v="177792"/>
  </r>
  <r>
    <x v="7"/>
    <x v="8"/>
    <s v="Total Electric Power Industry"/>
    <x v="4"/>
    <n v="1215501"/>
  </r>
  <r>
    <x v="7"/>
    <x v="8"/>
    <s v="Electric Generators, Electric Utilities"/>
    <x v="0"/>
    <n v="6578599"/>
  </r>
  <r>
    <x v="7"/>
    <x v="8"/>
    <s v="Electric Generators, Electric Utilities"/>
    <x v="1"/>
    <n v="3925643"/>
  </r>
  <r>
    <x v="7"/>
    <x v="8"/>
    <s v="Electric Generators, Electric Utilities"/>
    <x v="3"/>
    <n v="1820379"/>
  </r>
  <r>
    <x v="7"/>
    <x v="8"/>
    <s v="Electric Generators, Electric Utilities"/>
    <x v="4"/>
    <n v="832577"/>
  </r>
  <r>
    <x v="7"/>
    <x v="8"/>
    <s v="Combined Heat and Power, Industrial Power"/>
    <x v="0"/>
    <n v="644036"/>
  </r>
  <r>
    <x v="7"/>
    <x v="8"/>
    <s v="Combined Heat and Power, Industrial Power"/>
    <x v="1"/>
    <n v="74941"/>
  </r>
  <r>
    <x v="7"/>
    <x v="8"/>
    <s v="Combined Heat and Power, Industrial Power"/>
    <x v="3"/>
    <n v="8379"/>
  </r>
  <r>
    <x v="7"/>
    <x v="8"/>
    <s v="Combined Heat and Power, Industrial Power"/>
    <x v="9"/>
    <n v="177792"/>
  </r>
  <r>
    <x v="7"/>
    <x v="8"/>
    <s v="Combined Heat and Power, Industrial Power"/>
    <x v="4"/>
    <n v="382924"/>
  </r>
  <r>
    <x v="7"/>
    <x v="9"/>
    <s v="Total Electric Power Industry"/>
    <x v="0"/>
    <n v="168246993"/>
  </r>
  <r>
    <x v="7"/>
    <x v="9"/>
    <s v="Total Electric Power Industry"/>
    <x v="1"/>
    <n v="70934505"/>
  </r>
  <r>
    <x v="7"/>
    <x v="9"/>
    <s v="Total Electric Power Industry"/>
    <x v="2"/>
    <n v="241280"/>
  </r>
  <r>
    <x v="7"/>
    <x v="9"/>
    <s v="Total Electric Power Industry"/>
    <x v="3"/>
    <n v="39875684"/>
  </r>
  <r>
    <x v="7"/>
    <x v="9"/>
    <s v="Total Electric Power Industry"/>
    <x v="7"/>
    <n v="22967743"/>
  </r>
  <r>
    <x v="7"/>
    <x v="9"/>
    <s v="Total Electric Power Industry"/>
    <x v="12"/>
    <n v="2058826"/>
  </r>
  <r>
    <x v="7"/>
    <x v="9"/>
    <s v="Total Electric Power Industry"/>
    <x v="8"/>
    <n v="3305830"/>
  </r>
  <r>
    <x v="7"/>
    <x v="9"/>
    <s v="Total Electric Power Industry"/>
    <x v="9"/>
    <n v="56209"/>
  </r>
  <r>
    <x v="7"/>
    <x v="9"/>
    <s v="Total Electric Power Industry"/>
    <x v="4"/>
    <n v="26159721"/>
  </r>
  <r>
    <x v="7"/>
    <x v="9"/>
    <s v="Total Electric Power Industry"/>
    <x v="6"/>
    <n v="2647195"/>
  </r>
  <r>
    <x v="7"/>
    <x v="9"/>
    <s v="Electric Generators, Independent Power Producers"/>
    <x v="0"/>
    <n v="3715901"/>
  </r>
  <r>
    <x v="7"/>
    <x v="9"/>
    <s v="Electric Generators, Independent Power Producers"/>
    <x v="3"/>
    <n v="446059"/>
  </r>
  <r>
    <x v="7"/>
    <x v="9"/>
    <s v="Electric Generators, Independent Power Producers"/>
    <x v="8"/>
    <n v="3036334"/>
  </r>
  <r>
    <x v="7"/>
    <x v="9"/>
    <s v="Electric Generators, Independent Power Producers"/>
    <x v="9"/>
    <n v="29466"/>
  </r>
  <r>
    <x v="7"/>
    <x v="9"/>
    <s v="Electric Generators, Independent Power Producers"/>
    <x v="4"/>
    <n v="7151"/>
  </r>
  <r>
    <x v="7"/>
    <x v="9"/>
    <s v="Electric Generators, Independent Power Producers"/>
    <x v="6"/>
    <n v="196891"/>
  </r>
  <r>
    <x v="7"/>
    <x v="9"/>
    <s v="Electric Generators, Electric Utilities"/>
    <x v="0"/>
    <n v="147983676"/>
  </r>
  <r>
    <x v="7"/>
    <x v="9"/>
    <s v="Electric Generators, Electric Utilities"/>
    <x v="1"/>
    <n v="66034628"/>
  </r>
  <r>
    <x v="7"/>
    <x v="9"/>
    <s v="Electric Generators, Electric Utilities"/>
    <x v="2"/>
    <n v="241280"/>
  </r>
  <r>
    <x v="7"/>
    <x v="9"/>
    <s v="Electric Generators, Electric Utilities"/>
    <x v="3"/>
    <n v="32997876"/>
  </r>
  <r>
    <x v="7"/>
    <x v="9"/>
    <s v="Electric Generators, Electric Utilities"/>
    <x v="7"/>
    <n v="22967743"/>
  </r>
  <r>
    <x v="7"/>
    <x v="9"/>
    <s v="Electric Generators, Electric Utilities"/>
    <x v="8"/>
    <n v="0"/>
  </r>
  <r>
    <x v="7"/>
    <x v="9"/>
    <s v="Electric Generators, Electric Utilities"/>
    <x v="4"/>
    <n v="25742149"/>
  </r>
  <r>
    <x v="7"/>
    <x v="9"/>
    <s v="Combined Heat and Power, Industrial Power"/>
    <x v="0"/>
    <n v="6641553"/>
  </r>
  <r>
    <x v="7"/>
    <x v="9"/>
    <s v="Combined Heat and Power, Industrial Power"/>
    <x v="1"/>
    <n v="346315"/>
  </r>
  <r>
    <x v="7"/>
    <x v="9"/>
    <s v="Combined Heat and Power, Industrial Power"/>
    <x v="3"/>
    <n v="1734626"/>
  </r>
  <r>
    <x v="7"/>
    <x v="9"/>
    <s v="Combined Heat and Power, Industrial Power"/>
    <x v="12"/>
    <n v="2058826"/>
  </r>
  <r>
    <x v="7"/>
    <x v="9"/>
    <s v="Combined Heat and Power, Industrial Power"/>
    <x v="8"/>
    <n v="111994"/>
  </r>
  <r>
    <x v="7"/>
    <x v="9"/>
    <s v="Combined Heat and Power, Industrial Power"/>
    <x v="9"/>
    <n v="26743"/>
  </r>
  <r>
    <x v="7"/>
    <x v="9"/>
    <s v="Combined Heat and Power, Industrial Power"/>
    <x v="4"/>
    <n v="385587"/>
  </r>
  <r>
    <x v="7"/>
    <x v="9"/>
    <s v="Combined Heat and Power, Industrial Power"/>
    <x v="6"/>
    <n v="1977462"/>
  </r>
  <r>
    <x v="7"/>
    <x v="9"/>
    <s v="Combined Heat and Power, Electric Power"/>
    <x v="0"/>
    <n v="9779297"/>
  </r>
  <r>
    <x v="7"/>
    <x v="9"/>
    <s v="Combined Heat and Power, Electric Power"/>
    <x v="1"/>
    <n v="4553562"/>
  </r>
  <r>
    <x v="7"/>
    <x v="9"/>
    <s v="Combined Heat and Power, Electric Power"/>
    <x v="3"/>
    <n v="4608009"/>
  </r>
  <r>
    <x v="7"/>
    <x v="9"/>
    <s v="Combined Heat and Power, Electric Power"/>
    <x v="8"/>
    <n v="120453"/>
  </r>
  <r>
    <x v="7"/>
    <x v="9"/>
    <s v="Combined Heat and Power, Electric Power"/>
    <x v="4"/>
    <n v="24431"/>
  </r>
  <r>
    <x v="7"/>
    <x v="9"/>
    <s v="Combined Heat and Power, Electric Power"/>
    <x v="6"/>
    <n v="472842"/>
  </r>
  <r>
    <x v="7"/>
    <x v="9"/>
    <s v="Combined Heat and Power, Commercial Power"/>
    <x v="0"/>
    <n v="126566"/>
  </r>
  <r>
    <x v="7"/>
    <x v="9"/>
    <s v="Combined Heat and Power, Commercial Power"/>
    <x v="3"/>
    <n v="89114"/>
  </r>
  <r>
    <x v="7"/>
    <x v="9"/>
    <s v="Combined Heat and Power, Commercial Power"/>
    <x v="8"/>
    <n v="37049"/>
  </r>
  <r>
    <x v="7"/>
    <x v="9"/>
    <s v="Combined Heat and Power, Commercial Power"/>
    <x v="4"/>
    <n v="403"/>
  </r>
  <r>
    <x v="7"/>
    <x v="10"/>
    <s v="Total Electric Power Industry"/>
    <x v="0"/>
    <n v="107625958"/>
  </r>
  <r>
    <x v="7"/>
    <x v="10"/>
    <s v="Total Electric Power Industry"/>
    <x v="1"/>
    <n v="67175571"/>
  </r>
  <r>
    <x v="7"/>
    <x v="10"/>
    <s v="Total Electric Power Industry"/>
    <x v="2"/>
    <n v="4279689"/>
  </r>
  <r>
    <x v="7"/>
    <x v="10"/>
    <s v="Total Electric Power Industry"/>
    <x v="3"/>
    <n v="1216108"/>
  </r>
  <r>
    <x v="7"/>
    <x v="10"/>
    <s v="Total Electric Power Industry"/>
    <x v="7"/>
    <n v="30414494"/>
  </r>
  <r>
    <x v="7"/>
    <x v="10"/>
    <s v="Total Electric Power Industry"/>
    <x v="12"/>
    <n v="4194"/>
  </r>
  <r>
    <x v="7"/>
    <x v="10"/>
    <s v="Total Electric Power Industry"/>
    <x v="8"/>
    <n v="61481"/>
  </r>
  <r>
    <x v="7"/>
    <x v="10"/>
    <s v="Total Electric Power Industry"/>
    <x v="4"/>
    <n v="931168"/>
  </r>
  <r>
    <x v="7"/>
    <x v="10"/>
    <s v="Total Electric Power Industry"/>
    <x v="10"/>
    <n v="189519"/>
  </r>
  <r>
    <x v="7"/>
    <x v="10"/>
    <s v="Total Electric Power Industry"/>
    <x v="6"/>
    <n v="3353734"/>
  </r>
  <r>
    <x v="7"/>
    <x v="10"/>
    <s v="Electric Generators, Independent Power Producers"/>
    <x v="0"/>
    <n v="218644"/>
  </r>
  <r>
    <x v="7"/>
    <x v="10"/>
    <s v="Electric Generators, Independent Power Producers"/>
    <x v="2"/>
    <n v="11120"/>
  </r>
  <r>
    <x v="7"/>
    <x v="10"/>
    <s v="Electric Generators, Independent Power Producers"/>
    <x v="3"/>
    <n v="187717"/>
  </r>
  <r>
    <x v="7"/>
    <x v="10"/>
    <s v="Electric Generators, Independent Power Producers"/>
    <x v="8"/>
    <n v="18166"/>
  </r>
  <r>
    <x v="7"/>
    <x v="10"/>
    <s v="Electric Generators, Independent Power Producers"/>
    <x v="4"/>
    <n v="1641"/>
  </r>
  <r>
    <x v="7"/>
    <x v="10"/>
    <s v="Electric Generators, Electric Utilities"/>
    <x v="0"/>
    <n v="101780433"/>
  </r>
  <r>
    <x v="7"/>
    <x v="10"/>
    <s v="Electric Generators, Electric Utilities"/>
    <x v="1"/>
    <n v="66179551"/>
  </r>
  <r>
    <x v="7"/>
    <x v="10"/>
    <s v="Electric Generators, Electric Utilities"/>
    <x v="2"/>
    <n v="4228269"/>
  </r>
  <r>
    <x v="7"/>
    <x v="10"/>
    <s v="Electric Generators, Electric Utilities"/>
    <x v="3"/>
    <n v="567727"/>
  </r>
  <r>
    <x v="7"/>
    <x v="10"/>
    <s v="Electric Generators, Electric Utilities"/>
    <x v="7"/>
    <n v="30414494"/>
  </r>
  <r>
    <x v="7"/>
    <x v="10"/>
    <s v="Electric Generators, Electric Utilities"/>
    <x v="4"/>
    <n v="200873"/>
  </r>
  <r>
    <x v="7"/>
    <x v="10"/>
    <s v="Electric Generators, Electric Utilities"/>
    <x v="10"/>
    <n v="189519"/>
  </r>
  <r>
    <x v="7"/>
    <x v="10"/>
    <s v="Combined Heat and Power, Industrial Power"/>
    <x v="0"/>
    <n v="5052565"/>
  </r>
  <r>
    <x v="7"/>
    <x v="10"/>
    <s v="Combined Heat and Power, Industrial Power"/>
    <x v="1"/>
    <n v="737490"/>
  </r>
  <r>
    <x v="7"/>
    <x v="10"/>
    <s v="Combined Heat and Power, Industrial Power"/>
    <x v="2"/>
    <n v="40300"/>
  </r>
  <r>
    <x v="7"/>
    <x v="10"/>
    <s v="Combined Heat and Power, Industrial Power"/>
    <x v="3"/>
    <n v="253504"/>
  </r>
  <r>
    <x v="7"/>
    <x v="10"/>
    <s v="Combined Heat and Power, Industrial Power"/>
    <x v="12"/>
    <n v="4194"/>
  </r>
  <r>
    <x v="7"/>
    <x v="10"/>
    <s v="Combined Heat and Power, Industrial Power"/>
    <x v="8"/>
    <n v="36092"/>
  </r>
  <r>
    <x v="7"/>
    <x v="10"/>
    <s v="Combined Heat and Power, Industrial Power"/>
    <x v="4"/>
    <n v="703001"/>
  </r>
  <r>
    <x v="7"/>
    <x v="10"/>
    <s v="Combined Heat and Power, Industrial Power"/>
    <x v="6"/>
    <n v="3277984"/>
  </r>
  <r>
    <x v="7"/>
    <x v="10"/>
    <s v="Combined Heat and Power, Electric Power"/>
    <x v="0"/>
    <n v="568074"/>
  </r>
  <r>
    <x v="7"/>
    <x v="10"/>
    <s v="Combined Heat and Power, Electric Power"/>
    <x v="1"/>
    <n v="258530"/>
  </r>
  <r>
    <x v="7"/>
    <x v="10"/>
    <s v="Combined Heat and Power, Electric Power"/>
    <x v="3"/>
    <n v="207160"/>
  </r>
  <r>
    <x v="7"/>
    <x v="10"/>
    <s v="Combined Heat and Power, Electric Power"/>
    <x v="8"/>
    <n v="7223"/>
  </r>
  <r>
    <x v="7"/>
    <x v="10"/>
    <s v="Combined Heat and Power, Electric Power"/>
    <x v="4"/>
    <n v="19411"/>
  </r>
  <r>
    <x v="7"/>
    <x v="10"/>
    <s v="Combined Heat and Power, Electric Power"/>
    <x v="6"/>
    <n v="75750"/>
  </r>
  <r>
    <x v="7"/>
    <x v="10"/>
    <s v="Combined Heat and Power, Commercial Power"/>
    <x v="0"/>
    <n v="6242"/>
  </r>
  <r>
    <x v="7"/>
    <x v="10"/>
    <s v="Combined Heat and Power, Commercial Power"/>
    <x v="4"/>
    <n v="6242"/>
  </r>
  <r>
    <x v="7"/>
    <x v="11"/>
    <s v="Total Electric Power Industry"/>
    <x v="0"/>
    <n v="10312247"/>
  </r>
  <r>
    <x v="7"/>
    <x v="11"/>
    <s v="Total Electric Power Industry"/>
    <x v="1"/>
    <n v="1574731"/>
  </r>
  <r>
    <x v="7"/>
    <x v="11"/>
    <s v="Total Electric Power Industry"/>
    <x v="11"/>
    <n v="245390"/>
  </r>
  <r>
    <x v="7"/>
    <x v="11"/>
    <s v="Total Electric Power Industry"/>
    <x v="2"/>
    <n v="115330"/>
  </r>
  <r>
    <x v="7"/>
    <x v="11"/>
    <s v="Total Electric Power Industry"/>
    <x v="8"/>
    <n v="605809"/>
  </r>
  <r>
    <x v="7"/>
    <x v="11"/>
    <s v="Total Electric Power Industry"/>
    <x v="9"/>
    <n v="65383"/>
  </r>
  <r>
    <x v="7"/>
    <x v="11"/>
    <s v="Total Electric Power Industry"/>
    <x v="4"/>
    <n v="7689140"/>
  </r>
  <r>
    <x v="7"/>
    <x v="11"/>
    <s v="Total Electric Power Industry"/>
    <x v="5"/>
    <n v="16031"/>
  </r>
  <r>
    <x v="7"/>
    <x v="11"/>
    <s v="Total Electric Power Industry"/>
    <x v="6"/>
    <n v="433"/>
  </r>
  <r>
    <x v="7"/>
    <x v="11"/>
    <s v="Electric Generators, Independent Power Producers"/>
    <x v="0"/>
    <n v="656259"/>
  </r>
  <r>
    <x v="7"/>
    <x v="11"/>
    <s v="Electric Generators, Independent Power Producers"/>
    <x v="11"/>
    <n v="245390"/>
  </r>
  <r>
    <x v="7"/>
    <x v="11"/>
    <s v="Electric Generators, Independent Power Producers"/>
    <x v="2"/>
    <n v="29762"/>
  </r>
  <r>
    <x v="7"/>
    <x v="11"/>
    <s v="Electric Generators, Independent Power Producers"/>
    <x v="8"/>
    <n v="363293"/>
  </r>
  <r>
    <x v="7"/>
    <x v="11"/>
    <s v="Electric Generators, Independent Power Producers"/>
    <x v="4"/>
    <n v="1783"/>
  </r>
  <r>
    <x v="7"/>
    <x v="11"/>
    <s v="Electric Generators, Independent Power Producers"/>
    <x v="5"/>
    <n v="16031"/>
  </r>
  <r>
    <x v="7"/>
    <x v="11"/>
    <s v="Electric Generators, Electric Utilities"/>
    <x v="0"/>
    <n v="6212643"/>
  </r>
  <r>
    <x v="7"/>
    <x v="11"/>
    <s v="Electric Generators, Electric Utilities"/>
    <x v="2"/>
    <n v="18791"/>
  </r>
  <r>
    <x v="7"/>
    <x v="11"/>
    <s v="Electric Generators, Electric Utilities"/>
    <x v="4"/>
    <n v="6193852"/>
  </r>
  <r>
    <x v="7"/>
    <x v="11"/>
    <s v="Combined Heat and Power, Industrial Power"/>
    <x v="0"/>
    <n v="574691"/>
  </r>
  <r>
    <x v="7"/>
    <x v="11"/>
    <s v="Combined Heat and Power, Industrial Power"/>
    <x v="1"/>
    <n v="59665"/>
  </r>
  <r>
    <x v="7"/>
    <x v="11"/>
    <s v="Combined Heat and Power, Industrial Power"/>
    <x v="2"/>
    <n v="66777"/>
  </r>
  <r>
    <x v="7"/>
    <x v="11"/>
    <s v="Combined Heat and Power, Industrial Power"/>
    <x v="8"/>
    <n v="237716"/>
  </r>
  <r>
    <x v="7"/>
    <x v="11"/>
    <s v="Combined Heat and Power, Industrial Power"/>
    <x v="9"/>
    <n v="65383"/>
  </r>
  <r>
    <x v="7"/>
    <x v="11"/>
    <s v="Combined Heat and Power, Industrial Power"/>
    <x v="4"/>
    <n v="144717"/>
  </r>
  <r>
    <x v="7"/>
    <x v="11"/>
    <s v="Combined Heat and Power, Industrial Power"/>
    <x v="6"/>
    <n v="433"/>
  </r>
  <r>
    <x v="7"/>
    <x v="11"/>
    <s v="Combined Heat and Power, Electric Power"/>
    <x v="0"/>
    <n v="2868654"/>
  </r>
  <r>
    <x v="7"/>
    <x v="11"/>
    <s v="Combined Heat and Power, Electric Power"/>
    <x v="1"/>
    <n v="1515066"/>
  </r>
  <r>
    <x v="7"/>
    <x v="11"/>
    <s v="Combined Heat and Power, Electric Power"/>
    <x v="8"/>
    <n v="4800"/>
  </r>
  <r>
    <x v="7"/>
    <x v="11"/>
    <s v="Combined Heat and Power, Electric Power"/>
    <x v="4"/>
    <n v="1348788"/>
  </r>
  <r>
    <x v="7"/>
    <x v="12"/>
    <s v="Total Electric Power Industry"/>
    <x v="0"/>
    <n v="35418940"/>
  </r>
  <r>
    <x v="7"/>
    <x v="12"/>
    <s v="Total Electric Power Industry"/>
    <x v="1"/>
    <n v="29833225"/>
  </r>
  <r>
    <x v="7"/>
    <x v="12"/>
    <s v="Total Electric Power Industry"/>
    <x v="2"/>
    <n v="804944"/>
  </r>
  <r>
    <x v="7"/>
    <x v="12"/>
    <s v="Total Electric Power Industry"/>
    <x v="3"/>
    <n v="437691"/>
  </r>
  <r>
    <x v="7"/>
    <x v="12"/>
    <s v="Total Electric Power Industry"/>
    <x v="7"/>
    <n v="4149111"/>
  </r>
  <r>
    <x v="7"/>
    <x v="12"/>
    <s v="Total Electric Power Industry"/>
    <x v="8"/>
    <n v="102719"/>
  </r>
  <r>
    <x v="7"/>
    <x v="12"/>
    <s v="Total Electric Power Industry"/>
    <x v="4"/>
    <n v="90192"/>
  </r>
  <r>
    <x v="7"/>
    <x v="12"/>
    <s v="Total Electric Power Industry"/>
    <x v="5"/>
    <n v="118"/>
  </r>
  <r>
    <x v="7"/>
    <x v="12"/>
    <s v="Total Electric Power Industry"/>
    <x v="6"/>
    <n v="940"/>
  </r>
  <r>
    <x v="7"/>
    <x v="12"/>
    <s v="Electric Generators, Independent Power Producers"/>
    <x v="0"/>
    <n v="14534"/>
  </r>
  <r>
    <x v="7"/>
    <x v="12"/>
    <s v="Electric Generators, Independent Power Producers"/>
    <x v="2"/>
    <n v="10205"/>
  </r>
  <r>
    <x v="7"/>
    <x v="12"/>
    <s v="Electric Generators, Independent Power Producers"/>
    <x v="4"/>
    <n v="4329"/>
  </r>
  <r>
    <x v="7"/>
    <x v="12"/>
    <s v="Electric Generators, Electric Utilities"/>
    <x v="0"/>
    <n v="34064343"/>
  </r>
  <r>
    <x v="7"/>
    <x v="12"/>
    <s v="Electric Generators, Electric Utilities"/>
    <x v="1"/>
    <n v="28739404"/>
  </r>
  <r>
    <x v="7"/>
    <x v="12"/>
    <s v="Electric Generators, Electric Utilities"/>
    <x v="2"/>
    <n v="794739"/>
  </r>
  <r>
    <x v="7"/>
    <x v="12"/>
    <s v="Electric Generators, Electric Utilities"/>
    <x v="3"/>
    <n v="276627"/>
  </r>
  <r>
    <x v="7"/>
    <x v="12"/>
    <s v="Electric Generators, Electric Utilities"/>
    <x v="7"/>
    <n v="4149111"/>
  </r>
  <r>
    <x v="7"/>
    <x v="12"/>
    <s v="Electric Generators, Electric Utilities"/>
    <x v="8"/>
    <n v="22360"/>
  </r>
  <r>
    <x v="7"/>
    <x v="12"/>
    <s v="Electric Generators, Electric Utilities"/>
    <x v="4"/>
    <n v="81984"/>
  </r>
  <r>
    <x v="7"/>
    <x v="12"/>
    <s v="Electric Generators, Electric Utilities"/>
    <x v="5"/>
    <n v="118"/>
  </r>
  <r>
    <x v="7"/>
    <x v="12"/>
    <s v="Combined Heat and Power, Industrial Power"/>
    <x v="0"/>
    <n v="1097517"/>
  </r>
  <r>
    <x v="7"/>
    <x v="12"/>
    <s v="Combined Heat and Power, Industrial Power"/>
    <x v="1"/>
    <n v="946815"/>
  </r>
  <r>
    <x v="7"/>
    <x v="12"/>
    <s v="Combined Heat and Power, Industrial Power"/>
    <x v="3"/>
    <n v="149621"/>
  </r>
  <r>
    <x v="7"/>
    <x v="12"/>
    <s v="Combined Heat and Power, Industrial Power"/>
    <x v="4"/>
    <n v="141"/>
  </r>
  <r>
    <x v="7"/>
    <x v="12"/>
    <s v="Combined Heat and Power, Industrial Power"/>
    <x v="6"/>
    <n v="940"/>
  </r>
  <r>
    <x v="7"/>
    <x v="12"/>
    <s v="Combined Heat and Power, Electric Power"/>
    <x v="0"/>
    <n v="130284"/>
  </r>
  <r>
    <x v="7"/>
    <x v="12"/>
    <s v="Combined Heat and Power, Electric Power"/>
    <x v="1"/>
    <n v="89957"/>
  </r>
  <r>
    <x v="7"/>
    <x v="12"/>
    <s v="Combined Heat and Power, Electric Power"/>
    <x v="8"/>
    <n v="40327"/>
  </r>
  <r>
    <x v="7"/>
    <x v="12"/>
    <s v="Combined Heat and Power, Commercial Power"/>
    <x v="0"/>
    <n v="112262"/>
  </r>
  <r>
    <x v="7"/>
    <x v="12"/>
    <s v="Combined Heat and Power, Commercial Power"/>
    <x v="1"/>
    <n v="57049"/>
  </r>
  <r>
    <x v="7"/>
    <x v="12"/>
    <s v="Combined Heat and Power, Commercial Power"/>
    <x v="3"/>
    <n v="11443"/>
  </r>
  <r>
    <x v="7"/>
    <x v="12"/>
    <s v="Combined Heat and Power, Commercial Power"/>
    <x v="8"/>
    <n v="40032"/>
  </r>
  <r>
    <x v="7"/>
    <x v="12"/>
    <s v="Combined Heat and Power, Commercial Power"/>
    <x v="4"/>
    <n v="3738"/>
  </r>
  <r>
    <x v="7"/>
    <x v="13"/>
    <s v="Total Electric Power Industry"/>
    <x v="0"/>
    <n v="15589010"/>
  </r>
  <r>
    <x v="7"/>
    <x v="13"/>
    <s v="Total Electric Power Industry"/>
    <x v="1"/>
    <n v="27462"/>
  </r>
  <r>
    <x v="7"/>
    <x v="13"/>
    <s v="Total Electric Power Industry"/>
    <x v="2"/>
    <n v="14675627"/>
  </r>
  <r>
    <x v="7"/>
    <x v="13"/>
    <s v="Total Electric Power Industry"/>
    <x v="3"/>
    <n v="312988"/>
  </r>
  <r>
    <x v="7"/>
    <x v="13"/>
    <s v="Total Electric Power Industry"/>
    <x v="12"/>
    <n v="89950"/>
  </r>
  <r>
    <x v="7"/>
    <x v="13"/>
    <s v="Total Electric Power Industry"/>
    <x v="8"/>
    <n v="9266"/>
  </r>
  <r>
    <x v="7"/>
    <x v="13"/>
    <s v="Total Electric Power Industry"/>
    <x v="4"/>
    <n v="11746"/>
  </r>
  <r>
    <x v="7"/>
    <x v="13"/>
    <s v="Total Electric Power Industry"/>
    <x v="6"/>
    <n v="461971"/>
  </r>
  <r>
    <x v="7"/>
    <x v="13"/>
    <s v="Electric Generators, Independent Power Producers"/>
    <x v="0"/>
    <n v="1163899"/>
  </r>
  <r>
    <x v="7"/>
    <x v="13"/>
    <s v="Electric Generators, Independent Power Producers"/>
    <x v="2"/>
    <n v="1163899"/>
  </r>
  <r>
    <x v="7"/>
    <x v="13"/>
    <s v="Electric Generators, Electric Utilities"/>
    <x v="0"/>
    <n v="13511823"/>
  </r>
  <r>
    <x v="7"/>
    <x v="13"/>
    <s v="Electric Generators, Electric Utilities"/>
    <x v="2"/>
    <n v="13511728"/>
  </r>
  <r>
    <x v="7"/>
    <x v="13"/>
    <s v="Electric Generators, Electric Utilities"/>
    <x v="3"/>
    <n v="0"/>
  </r>
  <r>
    <x v="7"/>
    <x v="13"/>
    <s v="Electric Generators, Electric Utilities"/>
    <x v="4"/>
    <n v="95"/>
  </r>
  <r>
    <x v="7"/>
    <x v="13"/>
    <s v="Combined Heat and Power, Industrial Power"/>
    <x v="0"/>
    <n v="707971"/>
  </r>
  <r>
    <x v="7"/>
    <x v="13"/>
    <s v="Combined Heat and Power, Industrial Power"/>
    <x v="1"/>
    <n v="27462"/>
  </r>
  <r>
    <x v="7"/>
    <x v="13"/>
    <s v="Combined Heat and Power, Industrial Power"/>
    <x v="3"/>
    <n v="154646"/>
  </r>
  <r>
    <x v="7"/>
    <x v="13"/>
    <s v="Combined Heat and Power, Industrial Power"/>
    <x v="12"/>
    <n v="89950"/>
  </r>
  <r>
    <x v="7"/>
    <x v="13"/>
    <s v="Combined Heat and Power, Industrial Power"/>
    <x v="8"/>
    <n v="9266"/>
  </r>
  <r>
    <x v="7"/>
    <x v="13"/>
    <s v="Combined Heat and Power, Industrial Power"/>
    <x v="4"/>
    <n v="11651"/>
  </r>
  <r>
    <x v="7"/>
    <x v="13"/>
    <s v="Combined Heat and Power, Industrial Power"/>
    <x v="6"/>
    <n v="414996"/>
  </r>
  <r>
    <x v="7"/>
    <x v="13"/>
    <s v="Combined Heat and Power, Electric Power"/>
    <x v="0"/>
    <n v="205317"/>
  </r>
  <r>
    <x v="7"/>
    <x v="13"/>
    <s v="Combined Heat and Power, Electric Power"/>
    <x v="3"/>
    <n v="158342"/>
  </r>
  <r>
    <x v="7"/>
    <x v="13"/>
    <s v="Combined Heat and Power, Electric Power"/>
    <x v="6"/>
    <n v="46975"/>
  </r>
  <r>
    <x v="7"/>
    <x v="14"/>
    <s v="Total Electric Power Industry"/>
    <x v="0"/>
    <n v="135140769"/>
  </r>
  <r>
    <x v="7"/>
    <x v="14"/>
    <s v="Total Electric Power Industry"/>
    <x v="1"/>
    <n v="78121267"/>
  </r>
  <r>
    <x v="7"/>
    <x v="14"/>
    <s v="Total Electric Power Industry"/>
    <x v="2"/>
    <n v="97174"/>
  </r>
  <r>
    <x v="7"/>
    <x v="14"/>
    <s v="Total Electric Power Industry"/>
    <x v="3"/>
    <n v="4282604"/>
  </r>
  <r>
    <x v="7"/>
    <x v="14"/>
    <s v="Total Electric Power Industry"/>
    <x v="7"/>
    <n v="51068818"/>
  </r>
  <r>
    <x v="7"/>
    <x v="14"/>
    <s v="Total Electric Power Industry"/>
    <x v="8"/>
    <n v="641541"/>
  </r>
  <r>
    <x v="7"/>
    <x v="14"/>
    <s v="Total Electric Power Industry"/>
    <x v="9"/>
    <n v="361119"/>
  </r>
  <r>
    <x v="7"/>
    <x v="14"/>
    <s v="Total Electric Power Industry"/>
    <x v="4"/>
    <n v="527922"/>
  </r>
  <r>
    <x v="7"/>
    <x v="14"/>
    <s v="Total Electric Power Industry"/>
    <x v="6"/>
    <n v="40324"/>
  </r>
  <r>
    <x v="7"/>
    <x v="14"/>
    <s v="Electric Generators, Independent Power Producers"/>
    <x v="0"/>
    <n v="317891"/>
  </r>
  <r>
    <x v="7"/>
    <x v="14"/>
    <s v="Electric Generators, Independent Power Producers"/>
    <x v="2"/>
    <n v="75530"/>
  </r>
  <r>
    <x v="7"/>
    <x v="14"/>
    <s v="Electric Generators, Independent Power Producers"/>
    <x v="3"/>
    <n v="0"/>
  </r>
  <r>
    <x v="7"/>
    <x v="14"/>
    <s v="Electric Generators, Independent Power Producers"/>
    <x v="8"/>
    <n v="242361"/>
  </r>
  <r>
    <x v="7"/>
    <x v="14"/>
    <s v="Electric Generators, Independent Power Producers"/>
    <x v="6"/>
    <n v="0"/>
  </r>
  <r>
    <x v="7"/>
    <x v="14"/>
    <s v="Electric Generators, Electric Utilities"/>
    <x v="0"/>
    <n v="131138327"/>
  </r>
  <r>
    <x v="7"/>
    <x v="14"/>
    <s v="Electric Generators, Electric Utilities"/>
    <x v="1"/>
    <n v="76091528"/>
  </r>
  <r>
    <x v="7"/>
    <x v="14"/>
    <s v="Electric Generators, Electric Utilities"/>
    <x v="2"/>
    <n v="16773"/>
  </r>
  <r>
    <x v="7"/>
    <x v="14"/>
    <s v="Electric Generators, Electric Utilities"/>
    <x v="3"/>
    <n v="3442363"/>
  </r>
  <r>
    <x v="7"/>
    <x v="14"/>
    <s v="Electric Generators, Electric Utilities"/>
    <x v="7"/>
    <n v="51068818"/>
  </r>
  <r>
    <x v="7"/>
    <x v="14"/>
    <s v="Electric Generators, Electric Utilities"/>
    <x v="8"/>
    <n v="23595"/>
  </r>
  <r>
    <x v="7"/>
    <x v="14"/>
    <s v="Electric Generators, Electric Utilities"/>
    <x v="4"/>
    <n v="495250"/>
  </r>
  <r>
    <x v="7"/>
    <x v="14"/>
    <s v="Electric Generators, Electric Utilities"/>
    <x v="6"/>
    <n v="0"/>
  </r>
  <r>
    <x v="7"/>
    <x v="14"/>
    <s v="Combined Heat and Power, Industrial Power"/>
    <x v="0"/>
    <n v="3113553"/>
  </r>
  <r>
    <x v="7"/>
    <x v="14"/>
    <s v="Combined Heat and Power, Industrial Power"/>
    <x v="1"/>
    <n v="1979631"/>
  </r>
  <r>
    <x v="7"/>
    <x v="14"/>
    <s v="Combined Heat and Power, Industrial Power"/>
    <x v="3"/>
    <n v="599542"/>
  </r>
  <r>
    <x v="7"/>
    <x v="14"/>
    <s v="Combined Heat and Power, Industrial Power"/>
    <x v="8"/>
    <n v="102486"/>
  </r>
  <r>
    <x v="7"/>
    <x v="14"/>
    <s v="Combined Heat and Power, Industrial Power"/>
    <x v="9"/>
    <n v="361119"/>
  </r>
  <r>
    <x v="7"/>
    <x v="14"/>
    <s v="Combined Heat and Power, Industrial Power"/>
    <x v="4"/>
    <n v="30793"/>
  </r>
  <r>
    <x v="7"/>
    <x v="14"/>
    <s v="Combined Heat and Power, Industrial Power"/>
    <x v="6"/>
    <n v="39982"/>
  </r>
  <r>
    <x v="7"/>
    <x v="14"/>
    <s v="Combined Heat and Power, Electric Power"/>
    <x v="0"/>
    <n v="281665"/>
  </r>
  <r>
    <x v="7"/>
    <x v="14"/>
    <s v="Combined Heat and Power, Electric Power"/>
    <x v="3"/>
    <n v="8822"/>
  </r>
  <r>
    <x v="7"/>
    <x v="14"/>
    <s v="Combined Heat and Power, Electric Power"/>
    <x v="8"/>
    <n v="272501"/>
  </r>
  <r>
    <x v="7"/>
    <x v="14"/>
    <s v="Combined Heat and Power, Electric Power"/>
    <x v="6"/>
    <n v="342"/>
  </r>
  <r>
    <x v="7"/>
    <x v="14"/>
    <s v="Combined Heat and Power, Commercial Power"/>
    <x v="0"/>
    <n v="289333"/>
  </r>
  <r>
    <x v="7"/>
    <x v="14"/>
    <s v="Combined Heat and Power, Commercial Power"/>
    <x v="1"/>
    <n v="50108"/>
  </r>
  <r>
    <x v="7"/>
    <x v="14"/>
    <s v="Combined Heat and Power, Commercial Power"/>
    <x v="2"/>
    <n v="4871"/>
  </r>
  <r>
    <x v="7"/>
    <x v="14"/>
    <s v="Combined Heat and Power, Commercial Power"/>
    <x v="3"/>
    <n v="231877"/>
  </r>
  <r>
    <x v="7"/>
    <x v="14"/>
    <s v="Combined Heat and Power, Commercial Power"/>
    <x v="8"/>
    <n v="598"/>
  </r>
  <r>
    <x v="7"/>
    <x v="14"/>
    <s v="Combined Heat and Power, Commercial Power"/>
    <x v="4"/>
    <n v="1879"/>
  </r>
  <r>
    <x v="7"/>
    <x v="15"/>
    <s v="Total Electric Power Industry"/>
    <x v="0"/>
    <n v="114728907"/>
  </r>
  <r>
    <x v="7"/>
    <x v="15"/>
    <s v="Total Electric Power Industry"/>
    <x v="1"/>
    <n v="110051663"/>
  </r>
  <r>
    <x v="7"/>
    <x v="15"/>
    <s v="Total Electric Power Industry"/>
    <x v="2"/>
    <n v="561593"/>
  </r>
  <r>
    <x v="7"/>
    <x v="15"/>
    <s v="Total Electric Power Industry"/>
    <x v="3"/>
    <n v="1233101"/>
  </r>
  <r>
    <x v="7"/>
    <x v="15"/>
    <s v="Total Electric Power Industry"/>
    <x v="8"/>
    <n v="124056"/>
  </r>
  <r>
    <x v="7"/>
    <x v="15"/>
    <s v="Total Electric Power Industry"/>
    <x v="9"/>
    <n v="1995347"/>
  </r>
  <r>
    <x v="7"/>
    <x v="15"/>
    <s v="Total Electric Power Industry"/>
    <x v="4"/>
    <n v="763147"/>
  </r>
  <r>
    <x v="7"/>
    <x v="15"/>
    <s v="Electric Generators, Independent Power Producers"/>
    <x v="0"/>
    <n v="84572"/>
  </r>
  <r>
    <x v="7"/>
    <x v="15"/>
    <s v="Electric Generators, Independent Power Producers"/>
    <x v="8"/>
    <n v="84572"/>
  </r>
  <r>
    <x v="7"/>
    <x v="15"/>
    <s v="Electric Generators, Electric Utilities"/>
    <x v="0"/>
    <n v="110466291"/>
  </r>
  <r>
    <x v="7"/>
    <x v="15"/>
    <s v="Electric Generators, Electric Utilities"/>
    <x v="1"/>
    <n v="108911799"/>
  </r>
  <r>
    <x v="7"/>
    <x v="15"/>
    <s v="Electric Generators, Electric Utilities"/>
    <x v="2"/>
    <n v="561593"/>
  </r>
  <r>
    <x v="7"/>
    <x v="15"/>
    <s v="Electric Generators, Electric Utilities"/>
    <x v="3"/>
    <n v="385994"/>
  </r>
  <r>
    <x v="7"/>
    <x v="15"/>
    <s v="Electric Generators, Electric Utilities"/>
    <x v="4"/>
    <n v="606905"/>
  </r>
  <r>
    <x v="7"/>
    <x v="15"/>
    <s v="Combined Heat and Power, Industrial Power"/>
    <x v="0"/>
    <n v="3979882"/>
  </r>
  <r>
    <x v="7"/>
    <x v="15"/>
    <s v="Combined Heat and Power, Industrial Power"/>
    <x v="1"/>
    <n v="990641"/>
  </r>
  <r>
    <x v="7"/>
    <x v="15"/>
    <s v="Combined Heat and Power, Industrial Power"/>
    <x v="3"/>
    <n v="838954"/>
  </r>
  <r>
    <x v="7"/>
    <x v="15"/>
    <s v="Combined Heat and Power, Industrial Power"/>
    <x v="9"/>
    <n v="1995347"/>
  </r>
  <r>
    <x v="7"/>
    <x v="15"/>
    <s v="Combined Heat and Power, Industrial Power"/>
    <x v="4"/>
    <n v="154940"/>
  </r>
  <r>
    <x v="7"/>
    <x v="15"/>
    <s v="Combined Heat and Power, Commercial Power"/>
    <x v="0"/>
    <n v="198162"/>
  </r>
  <r>
    <x v="7"/>
    <x v="15"/>
    <s v="Combined Heat and Power, Commercial Power"/>
    <x v="1"/>
    <n v="149223"/>
  </r>
  <r>
    <x v="7"/>
    <x v="15"/>
    <s v="Combined Heat and Power, Commercial Power"/>
    <x v="3"/>
    <n v="8153"/>
  </r>
  <r>
    <x v="7"/>
    <x v="15"/>
    <s v="Combined Heat and Power, Commercial Power"/>
    <x v="8"/>
    <n v="39484"/>
  </r>
  <r>
    <x v="7"/>
    <x v="15"/>
    <s v="Combined Heat and Power, Commercial Power"/>
    <x v="4"/>
    <n v="1302"/>
  </r>
  <r>
    <x v="7"/>
    <x v="16"/>
    <s v="Total Electric Power Industry"/>
    <x v="0"/>
    <n v="37917485"/>
  </r>
  <r>
    <x v="7"/>
    <x v="16"/>
    <s v="Total Electric Power Industry"/>
    <x v="1"/>
    <n v="27235875"/>
  </r>
  <r>
    <x v="7"/>
    <x v="16"/>
    <s v="Total Electric Power Industry"/>
    <x v="2"/>
    <n v="13881"/>
  </r>
  <r>
    <x v="7"/>
    <x v="16"/>
    <s v="Total Electric Power Industry"/>
    <x v="3"/>
    <n v="2126511"/>
  </r>
  <r>
    <x v="7"/>
    <x v="16"/>
    <s v="Total Electric Power Industry"/>
    <x v="7"/>
    <n v="8430455"/>
  </r>
  <r>
    <x v="7"/>
    <x v="16"/>
    <s v="Total Electric Power Industry"/>
    <x v="4"/>
    <n v="110763"/>
  </r>
  <r>
    <x v="7"/>
    <x v="16"/>
    <s v="Electric Generators, Independent Power Producers"/>
    <x v="0"/>
    <n v="13881"/>
  </r>
  <r>
    <x v="7"/>
    <x v="16"/>
    <s v="Electric Generators, Independent Power Producers"/>
    <x v="2"/>
    <n v="13881"/>
  </r>
  <r>
    <x v="7"/>
    <x v="16"/>
    <s v="Electric Generators, Electric Utilities"/>
    <x v="0"/>
    <n v="37843716"/>
  </r>
  <r>
    <x v="7"/>
    <x v="16"/>
    <s v="Electric Generators, Electric Utilities"/>
    <x v="1"/>
    <n v="27235875"/>
  </r>
  <r>
    <x v="7"/>
    <x v="16"/>
    <s v="Electric Generators, Electric Utilities"/>
    <x v="3"/>
    <n v="2067501"/>
  </r>
  <r>
    <x v="7"/>
    <x v="16"/>
    <s v="Electric Generators, Electric Utilities"/>
    <x v="7"/>
    <n v="8430455"/>
  </r>
  <r>
    <x v="7"/>
    <x v="16"/>
    <s v="Electric Generators, Electric Utilities"/>
    <x v="4"/>
    <n v="109885"/>
  </r>
  <r>
    <x v="7"/>
    <x v="16"/>
    <s v="Combined Heat and Power, Industrial Power"/>
    <x v="0"/>
    <n v="58976"/>
  </r>
  <r>
    <x v="7"/>
    <x v="16"/>
    <s v="Combined Heat and Power, Industrial Power"/>
    <x v="3"/>
    <n v="58329"/>
  </r>
  <r>
    <x v="7"/>
    <x v="16"/>
    <s v="Combined Heat and Power, Industrial Power"/>
    <x v="4"/>
    <n v="647"/>
  </r>
  <r>
    <x v="7"/>
    <x v="16"/>
    <s v="Combined Heat and Power, Commercial Power"/>
    <x v="0"/>
    <n v="912"/>
  </r>
  <r>
    <x v="7"/>
    <x v="16"/>
    <s v="Combined Heat and Power, Commercial Power"/>
    <x v="3"/>
    <n v="681"/>
  </r>
  <r>
    <x v="7"/>
    <x v="16"/>
    <s v="Combined Heat and Power, Commercial Power"/>
    <x v="4"/>
    <n v="231"/>
  </r>
  <r>
    <x v="7"/>
    <x v="17"/>
    <s v="Total Electric Power Industry"/>
    <x v="0"/>
    <n v="91572095"/>
  </r>
  <r>
    <x v="7"/>
    <x v="17"/>
    <s v="Total Electric Power Industry"/>
    <x v="1"/>
    <n v="87875331"/>
  </r>
  <r>
    <x v="7"/>
    <x v="17"/>
    <s v="Total Electric Power Industry"/>
    <x v="2"/>
    <n v="3380233"/>
  </r>
  <r>
    <x v="7"/>
    <x v="17"/>
    <s v="Total Electric Power Industry"/>
    <x v="3"/>
    <n v="176857"/>
  </r>
  <r>
    <x v="7"/>
    <x v="17"/>
    <s v="Total Electric Power Industry"/>
    <x v="4"/>
    <n v="125625"/>
  </r>
  <r>
    <x v="7"/>
    <x v="17"/>
    <s v="Total Electric Power Industry"/>
    <x v="6"/>
    <n v="14049"/>
  </r>
  <r>
    <x v="7"/>
    <x v="17"/>
    <s v="Electric Generators, Electric Utilities"/>
    <x v="0"/>
    <n v="91558046"/>
  </r>
  <r>
    <x v="7"/>
    <x v="17"/>
    <s v="Electric Generators, Electric Utilities"/>
    <x v="1"/>
    <n v="87875331"/>
  </r>
  <r>
    <x v="7"/>
    <x v="17"/>
    <s v="Electric Generators, Electric Utilities"/>
    <x v="2"/>
    <n v="3380233"/>
  </r>
  <r>
    <x v="7"/>
    <x v="17"/>
    <s v="Electric Generators, Electric Utilities"/>
    <x v="3"/>
    <n v="176857"/>
  </r>
  <r>
    <x v="7"/>
    <x v="17"/>
    <s v="Electric Generators, Electric Utilities"/>
    <x v="4"/>
    <n v="125625"/>
  </r>
  <r>
    <x v="7"/>
    <x v="17"/>
    <s v="Combined Heat and Power, Industrial Power"/>
    <x v="0"/>
    <n v="14049"/>
  </r>
  <r>
    <x v="7"/>
    <x v="17"/>
    <s v="Combined Heat and Power, Industrial Power"/>
    <x v="6"/>
    <n v="14049"/>
  </r>
  <r>
    <x v="7"/>
    <x v="18"/>
    <s v="Total Electric Power Industry"/>
    <x v="0"/>
    <n v="82821643"/>
  </r>
  <r>
    <x v="7"/>
    <x v="18"/>
    <s v="Total Electric Power Industry"/>
    <x v="1"/>
    <n v="21007121"/>
  </r>
  <r>
    <x v="7"/>
    <x v="18"/>
    <s v="Total Electric Power Industry"/>
    <x v="2"/>
    <n v="1035961"/>
  </r>
  <r>
    <x v="7"/>
    <x v="18"/>
    <s v="Total Electric Power Industry"/>
    <x v="3"/>
    <n v="40576562"/>
  </r>
  <r>
    <x v="7"/>
    <x v="18"/>
    <s v="Total Electric Power Industry"/>
    <x v="7"/>
    <n v="13511008"/>
  </r>
  <r>
    <x v="7"/>
    <x v="18"/>
    <s v="Total Electric Power Industry"/>
    <x v="12"/>
    <n v="177798"/>
  </r>
  <r>
    <x v="7"/>
    <x v="18"/>
    <s v="Total Electric Power Industry"/>
    <x v="8"/>
    <n v="104424"/>
  </r>
  <r>
    <x v="7"/>
    <x v="18"/>
    <s v="Total Electric Power Industry"/>
    <x v="9"/>
    <n v="1088279"/>
  </r>
  <r>
    <x v="7"/>
    <x v="18"/>
    <s v="Total Electric Power Industry"/>
    <x v="4"/>
    <n v="2286144"/>
  </r>
  <r>
    <x v="7"/>
    <x v="18"/>
    <s v="Total Electric Power Industry"/>
    <x v="6"/>
    <n v="3034346"/>
  </r>
  <r>
    <x v="7"/>
    <x v="18"/>
    <s v="Electric Generators, Independent Power Producers"/>
    <x v="0"/>
    <n v="1252782"/>
  </r>
  <r>
    <x v="7"/>
    <x v="18"/>
    <s v="Electric Generators, Independent Power Producers"/>
    <x v="2"/>
    <n v="1035961"/>
  </r>
  <r>
    <x v="7"/>
    <x v="18"/>
    <s v="Electric Generators, Independent Power Producers"/>
    <x v="3"/>
    <n v="123002"/>
  </r>
  <r>
    <x v="7"/>
    <x v="18"/>
    <s v="Electric Generators, Independent Power Producers"/>
    <x v="8"/>
    <n v="74202"/>
  </r>
  <r>
    <x v="7"/>
    <x v="18"/>
    <s v="Electric Generators, Independent Power Producers"/>
    <x v="4"/>
    <n v="19617"/>
  </r>
  <r>
    <x v="7"/>
    <x v="18"/>
    <s v="Electric Generators, Electric Utilities"/>
    <x v="0"/>
    <n v="61120002"/>
  </r>
  <r>
    <x v="7"/>
    <x v="18"/>
    <s v="Electric Generators, Electric Utilities"/>
    <x v="1"/>
    <n v="20952995"/>
  </r>
  <r>
    <x v="7"/>
    <x v="18"/>
    <s v="Electric Generators, Electric Utilities"/>
    <x v="3"/>
    <n v="26010452"/>
  </r>
  <r>
    <x v="7"/>
    <x v="18"/>
    <s v="Electric Generators, Electric Utilities"/>
    <x v="7"/>
    <n v="13511008"/>
  </r>
  <r>
    <x v="7"/>
    <x v="18"/>
    <s v="Electric Generators, Electric Utilities"/>
    <x v="4"/>
    <n v="645547"/>
  </r>
  <r>
    <x v="7"/>
    <x v="18"/>
    <s v="Combined Heat and Power, Industrial Power"/>
    <x v="0"/>
    <n v="18849547"/>
  </r>
  <r>
    <x v="7"/>
    <x v="18"/>
    <s v="Combined Heat and Power, Industrial Power"/>
    <x v="1"/>
    <n v="54126"/>
  </r>
  <r>
    <x v="7"/>
    <x v="18"/>
    <s v="Combined Heat and Power, Industrial Power"/>
    <x v="3"/>
    <n v="14411554"/>
  </r>
  <r>
    <x v="7"/>
    <x v="18"/>
    <s v="Combined Heat and Power, Industrial Power"/>
    <x v="12"/>
    <n v="177798"/>
  </r>
  <r>
    <x v="7"/>
    <x v="18"/>
    <s v="Combined Heat and Power, Industrial Power"/>
    <x v="8"/>
    <n v="30222"/>
  </r>
  <r>
    <x v="7"/>
    <x v="18"/>
    <s v="Combined Heat and Power, Industrial Power"/>
    <x v="9"/>
    <n v="1088279"/>
  </r>
  <r>
    <x v="7"/>
    <x v="18"/>
    <s v="Combined Heat and Power, Industrial Power"/>
    <x v="4"/>
    <n v="53222"/>
  </r>
  <r>
    <x v="7"/>
    <x v="18"/>
    <s v="Combined Heat and Power, Industrial Power"/>
    <x v="6"/>
    <n v="3034346"/>
  </r>
  <r>
    <x v="7"/>
    <x v="18"/>
    <s v="Combined Heat and Power, Electric Power"/>
    <x v="0"/>
    <n v="1567758"/>
  </r>
  <r>
    <x v="7"/>
    <x v="18"/>
    <s v="Combined Heat and Power, Electric Power"/>
    <x v="4"/>
    <n v="1567758"/>
  </r>
  <r>
    <x v="7"/>
    <x v="18"/>
    <s v="Combined Heat and Power, Commercial Power"/>
    <x v="0"/>
    <n v="31554"/>
  </r>
  <r>
    <x v="7"/>
    <x v="18"/>
    <s v="Combined Heat and Power, Commercial Power"/>
    <x v="3"/>
    <n v="31554"/>
  </r>
  <r>
    <x v="7"/>
    <x v="19"/>
    <s v="Total Electric Power Industry"/>
    <x v="0"/>
    <n v="44965328"/>
  </r>
  <r>
    <x v="7"/>
    <x v="19"/>
    <s v="Total Electric Power Industry"/>
    <x v="1"/>
    <n v="12526456"/>
  </r>
  <r>
    <x v="7"/>
    <x v="19"/>
    <s v="Total Electric Power Industry"/>
    <x v="2"/>
    <n v="1031687"/>
  </r>
  <r>
    <x v="7"/>
    <x v="19"/>
    <s v="Total Electric Power Industry"/>
    <x v="3"/>
    <n v="13626170"/>
  </r>
  <r>
    <x v="7"/>
    <x v="19"/>
    <s v="Total Electric Power Industry"/>
    <x v="7"/>
    <n v="4310431"/>
  </r>
  <r>
    <x v="7"/>
    <x v="19"/>
    <s v="Total Electric Power Industry"/>
    <x v="8"/>
    <n v="2011629"/>
  </r>
  <r>
    <x v="7"/>
    <x v="19"/>
    <s v="Total Electric Power Industry"/>
    <x v="4"/>
    <n v="11812417"/>
  </r>
  <r>
    <x v="7"/>
    <x v="19"/>
    <s v="Total Electric Power Industry"/>
    <x v="10"/>
    <n v="-488178"/>
  </r>
  <r>
    <x v="7"/>
    <x v="19"/>
    <s v="Total Electric Power Industry"/>
    <x v="5"/>
    <n v="0"/>
  </r>
  <r>
    <x v="7"/>
    <x v="19"/>
    <s v="Total Electric Power Industry"/>
    <x v="6"/>
    <n v="134716"/>
  </r>
  <r>
    <x v="7"/>
    <x v="19"/>
    <s v="Electric Generators, Independent Power Producers"/>
    <x v="0"/>
    <n v="3559541"/>
  </r>
  <r>
    <x v="7"/>
    <x v="19"/>
    <s v="Electric Generators, Independent Power Producers"/>
    <x v="2"/>
    <n v="225849"/>
  </r>
  <r>
    <x v="7"/>
    <x v="19"/>
    <s v="Electric Generators, Independent Power Producers"/>
    <x v="3"/>
    <n v="1316158"/>
  </r>
  <r>
    <x v="7"/>
    <x v="19"/>
    <s v="Electric Generators, Independent Power Producers"/>
    <x v="8"/>
    <n v="1860338"/>
  </r>
  <r>
    <x v="7"/>
    <x v="19"/>
    <s v="Electric Generators, Independent Power Producers"/>
    <x v="4"/>
    <n v="25441"/>
  </r>
  <r>
    <x v="7"/>
    <x v="19"/>
    <s v="Electric Generators, Independent Power Producers"/>
    <x v="6"/>
    <n v="131755"/>
  </r>
  <r>
    <x v="7"/>
    <x v="19"/>
    <s v="Electric Generators, Electric Utilities"/>
    <x v="0"/>
    <n v="33898697"/>
  </r>
  <r>
    <x v="7"/>
    <x v="19"/>
    <s v="Electric Generators, Electric Utilities"/>
    <x v="1"/>
    <n v="12488802"/>
  </r>
  <r>
    <x v="7"/>
    <x v="19"/>
    <s v="Electric Generators, Electric Utilities"/>
    <x v="2"/>
    <n v="788540"/>
  </r>
  <r>
    <x v="7"/>
    <x v="19"/>
    <s v="Electric Generators, Electric Utilities"/>
    <x v="3"/>
    <n v="5213021"/>
  </r>
  <r>
    <x v="7"/>
    <x v="19"/>
    <s v="Electric Generators, Electric Utilities"/>
    <x v="7"/>
    <n v="4310431"/>
  </r>
  <r>
    <x v="7"/>
    <x v="19"/>
    <s v="Electric Generators, Electric Utilities"/>
    <x v="4"/>
    <n v="11586081"/>
  </r>
  <r>
    <x v="7"/>
    <x v="19"/>
    <s v="Electric Generators, Electric Utilities"/>
    <x v="10"/>
    <n v="-488178"/>
  </r>
  <r>
    <x v="7"/>
    <x v="19"/>
    <s v="Electric Generators, Electric Utilities"/>
    <x v="5"/>
    <n v="0"/>
  </r>
  <r>
    <x v="7"/>
    <x v="19"/>
    <s v="Combined Heat and Power, Industrial Power"/>
    <x v="0"/>
    <n v="513102"/>
  </r>
  <r>
    <x v="7"/>
    <x v="19"/>
    <s v="Combined Heat and Power, Industrial Power"/>
    <x v="1"/>
    <n v="37654"/>
  </r>
  <r>
    <x v="7"/>
    <x v="19"/>
    <s v="Combined Heat and Power, Industrial Power"/>
    <x v="2"/>
    <n v="17298"/>
  </r>
  <r>
    <x v="7"/>
    <x v="19"/>
    <s v="Combined Heat and Power, Industrial Power"/>
    <x v="3"/>
    <n v="251760"/>
  </r>
  <r>
    <x v="7"/>
    <x v="19"/>
    <s v="Combined Heat and Power, Industrial Power"/>
    <x v="8"/>
    <n v="91487"/>
  </r>
  <r>
    <x v="7"/>
    <x v="19"/>
    <s v="Combined Heat and Power, Industrial Power"/>
    <x v="4"/>
    <n v="114903"/>
  </r>
  <r>
    <x v="7"/>
    <x v="19"/>
    <s v="Combined Heat and Power, Electric Power"/>
    <x v="0"/>
    <n v="6646585"/>
  </r>
  <r>
    <x v="7"/>
    <x v="19"/>
    <s v="Combined Heat and Power, Electric Power"/>
    <x v="3"/>
    <n v="6574514"/>
  </r>
  <r>
    <x v="7"/>
    <x v="19"/>
    <s v="Combined Heat and Power, Electric Power"/>
    <x v="8"/>
    <n v="59804"/>
  </r>
  <r>
    <x v="7"/>
    <x v="19"/>
    <s v="Combined Heat and Power, Electric Power"/>
    <x v="4"/>
    <n v="9306"/>
  </r>
  <r>
    <x v="7"/>
    <x v="19"/>
    <s v="Combined Heat and Power, Electric Power"/>
    <x v="6"/>
    <n v="2961"/>
  </r>
  <r>
    <x v="7"/>
    <x v="19"/>
    <s v="Combined Heat and Power, Commercial Power"/>
    <x v="0"/>
    <n v="347403"/>
  </r>
  <r>
    <x v="7"/>
    <x v="19"/>
    <s v="Combined Heat and Power, Commercial Power"/>
    <x v="3"/>
    <n v="270717"/>
  </r>
  <r>
    <x v="7"/>
    <x v="19"/>
    <s v="Combined Heat and Power, Commercial Power"/>
    <x v="8"/>
    <n v="0"/>
  </r>
  <r>
    <x v="7"/>
    <x v="19"/>
    <s v="Combined Heat and Power, Commercial Power"/>
    <x v="4"/>
    <n v="76686"/>
  </r>
  <r>
    <x v="7"/>
    <x v="20"/>
    <s v="Total Electric Power Industry"/>
    <x v="0"/>
    <n v="46707396"/>
  </r>
  <r>
    <x v="7"/>
    <x v="20"/>
    <s v="Total Electric Power Industry"/>
    <x v="1"/>
    <n v="27620925"/>
  </r>
  <r>
    <x v="7"/>
    <x v="20"/>
    <s v="Total Electric Power Industry"/>
    <x v="2"/>
    <n v="1588375"/>
  </r>
  <r>
    <x v="7"/>
    <x v="20"/>
    <s v="Total Electric Power Industry"/>
    <x v="3"/>
    <n v="1412585"/>
  </r>
  <r>
    <x v="7"/>
    <x v="20"/>
    <s v="Total Electric Power Industry"/>
    <x v="7"/>
    <n v="13212967"/>
  </r>
  <r>
    <x v="7"/>
    <x v="20"/>
    <s v="Total Electric Power Industry"/>
    <x v="8"/>
    <n v="587592"/>
  </r>
  <r>
    <x v="7"/>
    <x v="20"/>
    <s v="Total Electric Power Industry"/>
    <x v="9"/>
    <n v="564036"/>
  </r>
  <r>
    <x v="7"/>
    <x v="20"/>
    <s v="Total Electric Power Industry"/>
    <x v="4"/>
    <n v="1565010"/>
  </r>
  <r>
    <x v="7"/>
    <x v="20"/>
    <s v="Total Electric Power Industry"/>
    <x v="6"/>
    <n v="155906"/>
  </r>
  <r>
    <x v="7"/>
    <x v="20"/>
    <s v="Electric Generators, Independent Power Producers"/>
    <x v="0"/>
    <n v="289901"/>
  </r>
  <r>
    <x v="7"/>
    <x v="20"/>
    <s v="Electric Generators, Independent Power Producers"/>
    <x v="3"/>
    <n v="1214"/>
  </r>
  <r>
    <x v="7"/>
    <x v="20"/>
    <s v="Electric Generators, Independent Power Producers"/>
    <x v="8"/>
    <n v="288687"/>
  </r>
  <r>
    <x v="7"/>
    <x v="20"/>
    <s v="Electric Generators, Electric Utilities"/>
    <x v="0"/>
    <n v="44552905"/>
  </r>
  <r>
    <x v="7"/>
    <x v="20"/>
    <s v="Electric Generators, Electric Utilities"/>
    <x v="1"/>
    <n v="27394342"/>
  </r>
  <r>
    <x v="7"/>
    <x v="20"/>
    <s v="Electric Generators, Electric Utilities"/>
    <x v="2"/>
    <n v="1588375"/>
  </r>
  <r>
    <x v="7"/>
    <x v="20"/>
    <s v="Electric Generators, Electric Utilities"/>
    <x v="3"/>
    <n v="878598"/>
  </r>
  <r>
    <x v="7"/>
    <x v="20"/>
    <s v="Electric Generators, Electric Utilities"/>
    <x v="7"/>
    <n v="13212967"/>
  </r>
  <r>
    <x v="7"/>
    <x v="20"/>
    <s v="Electric Generators, Electric Utilities"/>
    <x v="4"/>
    <n v="1478623"/>
  </r>
  <r>
    <x v="7"/>
    <x v="20"/>
    <s v="Combined Heat and Power, Industrial Power"/>
    <x v="0"/>
    <n v="457961"/>
  </r>
  <r>
    <x v="7"/>
    <x v="20"/>
    <s v="Combined Heat and Power, Industrial Power"/>
    <x v="1"/>
    <n v="226583"/>
  </r>
  <r>
    <x v="7"/>
    <x v="20"/>
    <s v="Combined Heat and Power, Industrial Power"/>
    <x v="3"/>
    <n v="72246"/>
  </r>
  <r>
    <x v="7"/>
    <x v="20"/>
    <s v="Combined Heat and Power, Industrial Power"/>
    <x v="4"/>
    <n v="16219"/>
  </r>
  <r>
    <x v="7"/>
    <x v="20"/>
    <s v="Combined Heat and Power, Industrial Power"/>
    <x v="6"/>
    <n v="142913"/>
  </r>
  <r>
    <x v="7"/>
    <x v="20"/>
    <s v="Combined Heat and Power, Electric Power"/>
    <x v="0"/>
    <n v="1376564"/>
  </r>
  <r>
    <x v="7"/>
    <x v="20"/>
    <s v="Combined Heat and Power, Electric Power"/>
    <x v="3"/>
    <n v="460527"/>
  </r>
  <r>
    <x v="7"/>
    <x v="20"/>
    <s v="Combined Heat and Power, Electric Power"/>
    <x v="8"/>
    <n v="282410"/>
  </r>
  <r>
    <x v="7"/>
    <x v="20"/>
    <s v="Combined Heat and Power, Electric Power"/>
    <x v="9"/>
    <n v="564035"/>
  </r>
  <r>
    <x v="7"/>
    <x v="20"/>
    <s v="Combined Heat and Power, Electric Power"/>
    <x v="4"/>
    <n v="69592"/>
  </r>
  <r>
    <x v="7"/>
    <x v="20"/>
    <s v="Combined Heat and Power, Commercial Power"/>
    <x v="0"/>
    <n v="30065"/>
  </r>
  <r>
    <x v="7"/>
    <x v="20"/>
    <s v="Combined Heat and Power, Commercial Power"/>
    <x v="8"/>
    <n v="16495"/>
  </r>
  <r>
    <x v="7"/>
    <x v="20"/>
    <s v="Combined Heat and Power, Commercial Power"/>
    <x v="9"/>
    <n v="1"/>
  </r>
  <r>
    <x v="7"/>
    <x v="20"/>
    <s v="Combined Heat and Power, Commercial Power"/>
    <x v="4"/>
    <n v="576"/>
  </r>
  <r>
    <x v="7"/>
    <x v="20"/>
    <s v="Combined Heat and Power, Commercial Power"/>
    <x v="6"/>
    <n v="12993"/>
  </r>
  <r>
    <x v="7"/>
    <x v="21"/>
    <s v="Total Electric Power Industry"/>
    <x v="0"/>
    <n v="10333406"/>
  </r>
  <r>
    <x v="7"/>
    <x v="21"/>
    <s v="Total Electric Power Industry"/>
    <x v="1"/>
    <n v="612223"/>
  </r>
  <r>
    <x v="7"/>
    <x v="21"/>
    <s v="Total Electric Power Industry"/>
    <x v="2"/>
    <n v="3647931"/>
  </r>
  <r>
    <x v="7"/>
    <x v="21"/>
    <s v="Total Electric Power Industry"/>
    <x v="3"/>
    <n v="3446"/>
  </r>
  <r>
    <x v="7"/>
    <x v="21"/>
    <s v="Total Electric Power Industry"/>
    <x v="7"/>
    <n v="0"/>
  </r>
  <r>
    <x v="7"/>
    <x v="21"/>
    <s v="Total Electric Power Industry"/>
    <x v="8"/>
    <n v="537962"/>
  </r>
  <r>
    <x v="7"/>
    <x v="21"/>
    <s v="Total Electric Power Industry"/>
    <x v="9"/>
    <n v="5073"/>
  </r>
  <r>
    <x v="7"/>
    <x v="21"/>
    <s v="Total Electric Power Industry"/>
    <x v="4"/>
    <n v="2485207"/>
  </r>
  <r>
    <x v="7"/>
    <x v="21"/>
    <s v="Total Electric Power Industry"/>
    <x v="6"/>
    <n v="3041564"/>
  </r>
  <r>
    <x v="7"/>
    <x v="21"/>
    <s v="Electric Generators, Independent Power Producers"/>
    <x v="0"/>
    <n v="1595034"/>
  </r>
  <r>
    <x v="7"/>
    <x v="21"/>
    <s v="Electric Generators, Independent Power Producers"/>
    <x v="2"/>
    <n v="583014"/>
  </r>
  <r>
    <x v="7"/>
    <x v="21"/>
    <s v="Electric Generators, Independent Power Producers"/>
    <x v="3"/>
    <n v="2847"/>
  </r>
  <r>
    <x v="7"/>
    <x v="21"/>
    <s v="Electric Generators, Independent Power Producers"/>
    <x v="8"/>
    <n v="264047"/>
  </r>
  <r>
    <x v="7"/>
    <x v="21"/>
    <s v="Electric Generators, Independent Power Producers"/>
    <x v="4"/>
    <n v="1283"/>
  </r>
  <r>
    <x v="7"/>
    <x v="21"/>
    <s v="Electric Generators, Independent Power Producers"/>
    <x v="6"/>
    <n v="743843"/>
  </r>
  <r>
    <x v="7"/>
    <x v="21"/>
    <s v="Electric Generators, Electric Utilities"/>
    <x v="0"/>
    <n v="3222785"/>
  </r>
  <r>
    <x v="7"/>
    <x v="21"/>
    <s v="Electric Generators, Electric Utilities"/>
    <x v="2"/>
    <n v="1779887"/>
  </r>
  <r>
    <x v="7"/>
    <x v="21"/>
    <s v="Electric Generators, Electric Utilities"/>
    <x v="7"/>
    <n v="0"/>
  </r>
  <r>
    <x v="7"/>
    <x v="21"/>
    <s v="Electric Generators, Electric Utilities"/>
    <x v="4"/>
    <n v="1442898"/>
  </r>
  <r>
    <x v="7"/>
    <x v="21"/>
    <s v="Electric Generators, Electric Utilities"/>
    <x v="6"/>
    <n v="0"/>
  </r>
  <r>
    <x v="7"/>
    <x v="21"/>
    <s v="Combined Heat and Power, Industrial Power"/>
    <x v="0"/>
    <n v="4521465"/>
  </r>
  <r>
    <x v="7"/>
    <x v="21"/>
    <s v="Combined Heat and Power, Industrial Power"/>
    <x v="1"/>
    <n v="287764"/>
  </r>
  <r>
    <x v="7"/>
    <x v="21"/>
    <s v="Combined Heat and Power, Industrial Power"/>
    <x v="2"/>
    <n v="1285030"/>
  </r>
  <r>
    <x v="7"/>
    <x v="21"/>
    <s v="Combined Heat and Power, Industrial Power"/>
    <x v="3"/>
    <n v="591"/>
  </r>
  <r>
    <x v="7"/>
    <x v="21"/>
    <s v="Combined Heat and Power, Industrial Power"/>
    <x v="8"/>
    <n v="7259"/>
  </r>
  <r>
    <x v="7"/>
    <x v="21"/>
    <s v="Combined Heat and Power, Industrial Power"/>
    <x v="9"/>
    <n v="5073"/>
  </r>
  <r>
    <x v="7"/>
    <x v="21"/>
    <s v="Combined Heat and Power, Industrial Power"/>
    <x v="4"/>
    <n v="910288"/>
  </r>
  <r>
    <x v="7"/>
    <x v="21"/>
    <s v="Combined Heat and Power, Industrial Power"/>
    <x v="6"/>
    <n v="2025460"/>
  </r>
  <r>
    <x v="7"/>
    <x v="21"/>
    <s v="Combined Heat and Power, Electric Power"/>
    <x v="0"/>
    <n v="787337"/>
  </r>
  <r>
    <x v="7"/>
    <x v="21"/>
    <s v="Combined Heat and Power, Electric Power"/>
    <x v="1"/>
    <n v="324459"/>
  </r>
  <r>
    <x v="7"/>
    <x v="21"/>
    <s v="Combined Heat and Power, Electric Power"/>
    <x v="8"/>
    <n v="88806"/>
  </r>
  <r>
    <x v="7"/>
    <x v="21"/>
    <s v="Combined Heat and Power, Electric Power"/>
    <x v="4"/>
    <n v="127408"/>
  </r>
  <r>
    <x v="7"/>
    <x v="21"/>
    <s v="Combined Heat and Power, Electric Power"/>
    <x v="6"/>
    <n v="246664"/>
  </r>
  <r>
    <x v="7"/>
    <x v="21"/>
    <s v="Combined Heat and Power, Commercial Power"/>
    <x v="0"/>
    <n v="206785"/>
  </r>
  <r>
    <x v="7"/>
    <x v="21"/>
    <s v="Combined Heat and Power, Commercial Power"/>
    <x v="3"/>
    <n v="8"/>
  </r>
  <r>
    <x v="7"/>
    <x v="21"/>
    <s v="Combined Heat and Power, Commercial Power"/>
    <x v="8"/>
    <n v="177850"/>
  </r>
  <r>
    <x v="7"/>
    <x v="21"/>
    <s v="Combined Heat and Power, Commercial Power"/>
    <x v="4"/>
    <n v="3330"/>
  </r>
  <r>
    <x v="7"/>
    <x v="21"/>
    <s v="Combined Heat and Power, Commercial Power"/>
    <x v="6"/>
    <n v="25597"/>
  </r>
  <r>
    <x v="7"/>
    <x v="22"/>
    <s v="Total Electric Power Industry"/>
    <x v="0"/>
    <n v="106970759"/>
  </r>
  <r>
    <x v="7"/>
    <x v="22"/>
    <s v="Total Electric Power Industry"/>
    <x v="1"/>
    <n v="67444850"/>
  </r>
  <r>
    <x v="7"/>
    <x v="22"/>
    <s v="Total Electric Power Industry"/>
    <x v="2"/>
    <n v="1712464"/>
  </r>
  <r>
    <x v="7"/>
    <x v="22"/>
    <s v="Total Electric Power Industry"/>
    <x v="3"/>
    <n v="13388312"/>
  </r>
  <r>
    <x v="7"/>
    <x v="22"/>
    <s v="Total Electric Power Industry"/>
    <x v="7"/>
    <n v="21913808"/>
  </r>
  <r>
    <x v="7"/>
    <x v="22"/>
    <s v="Total Electric Power Industry"/>
    <x v="12"/>
    <n v="18122"/>
  </r>
  <r>
    <x v="7"/>
    <x v="22"/>
    <s v="Total Electric Power Industry"/>
    <x v="8"/>
    <n v="941632"/>
  </r>
  <r>
    <x v="7"/>
    <x v="22"/>
    <s v="Total Electric Power Industry"/>
    <x v="9"/>
    <n v="959"/>
  </r>
  <r>
    <x v="7"/>
    <x v="22"/>
    <s v="Total Electric Power Industry"/>
    <x v="4"/>
    <n v="757653"/>
  </r>
  <r>
    <x v="7"/>
    <x v="22"/>
    <s v="Total Electric Power Industry"/>
    <x v="10"/>
    <n v="-934385"/>
  </r>
  <r>
    <x v="7"/>
    <x v="22"/>
    <s v="Total Electric Power Industry"/>
    <x v="6"/>
    <n v="1727344"/>
  </r>
  <r>
    <x v="7"/>
    <x v="22"/>
    <s v="Electric Generators, Independent Power Producers"/>
    <x v="0"/>
    <n v="1679487"/>
  </r>
  <r>
    <x v="7"/>
    <x v="22"/>
    <s v="Electric Generators, Independent Power Producers"/>
    <x v="2"/>
    <n v="93318"/>
  </r>
  <r>
    <x v="7"/>
    <x v="22"/>
    <s v="Electric Generators, Independent Power Producers"/>
    <x v="3"/>
    <n v="17307"/>
  </r>
  <r>
    <x v="7"/>
    <x v="22"/>
    <s v="Electric Generators, Independent Power Producers"/>
    <x v="8"/>
    <n v="590733"/>
  </r>
  <r>
    <x v="7"/>
    <x v="22"/>
    <s v="Electric Generators, Independent Power Producers"/>
    <x v="6"/>
    <n v="978129"/>
  </r>
  <r>
    <x v="7"/>
    <x v="22"/>
    <s v="Electric Generators, Electric Utilities"/>
    <x v="0"/>
    <n v="89564616"/>
  </r>
  <r>
    <x v="7"/>
    <x v="22"/>
    <s v="Electric Generators, Electric Utilities"/>
    <x v="1"/>
    <n v="65552021"/>
  </r>
  <r>
    <x v="7"/>
    <x v="22"/>
    <s v="Electric Generators, Electric Utilities"/>
    <x v="2"/>
    <n v="1592707"/>
  </r>
  <r>
    <x v="7"/>
    <x v="22"/>
    <s v="Electric Generators, Electric Utilities"/>
    <x v="3"/>
    <n v="838412"/>
  </r>
  <r>
    <x v="7"/>
    <x v="22"/>
    <s v="Electric Generators, Electric Utilities"/>
    <x v="7"/>
    <n v="21913808"/>
  </r>
  <r>
    <x v="7"/>
    <x v="22"/>
    <s v="Electric Generators, Electric Utilities"/>
    <x v="4"/>
    <n v="602053"/>
  </r>
  <r>
    <x v="7"/>
    <x v="22"/>
    <s v="Electric Generators, Electric Utilities"/>
    <x v="10"/>
    <n v="-934385"/>
  </r>
  <r>
    <x v="7"/>
    <x v="22"/>
    <s v="Combined Heat and Power, Industrial Power"/>
    <x v="0"/>
    <n v="2803339"/>
  </r>
  <r>
    <x v="7"/>
    <x v="22"/>
    <s v="Combined Heat and Power, Industrial Power"/>
    <x v="1"/>
    <n v="1194610"/>
  </r>
  <r>
    <x v="7"/>
    <x v="22"/>
    <s v="Combined Heat and Power, Industrial Power"/>
    <x v="2"/>
    <n v="26439"/>
  </r>
  <r>
    <x v="7"/>
    <x v="22"/>
    <s v="Combined Heat and Power, Industrial Power"/>
    <x v="3"/>
    <n v="685319"/>
  </r>
  <r>
    <x v="7"/>
    <x v="22"/>
    <s v="Combined Heat and Power, Industrial Power"/>
    <x v="12"/>
    <n v="18110"/>
  </r>
  <r>
    <x v="7"/>
    <x v="22"/>
    <s v="Combined Heat and Power, Industrial Power"/>
    <x v="8"/>
    <n v="5226"/>
  </r>
  <r>
    <x v="7"/>
    <x v="22"/>
    <s v="Combined Heat and Power, Industrial Power"/>
    <x v="9"/>
    <n v="579"/>
  </r>
  <r>
    <x v="7"/>
    <x v="22"/>
    <s v="Combined Heat and Power, Industrial Power"/>
    <x v="4"/>
    <n v="147547"/>
  </r>
  <r>
    <x v="7"/>
    <x v="22"/>
    <s v="Combined Heat and Power, Industrial Power"/>
    <x v="6"/>
    <n v="725509"/>
  </r>
  <r>
    <x v="7"/>
    <x v="22"/>
    <s v="Combined Heat and Power, Electric Power"/>
    <x v="0"/>
    <n v="12287613"/>
  </r>
  <r>
    <x v="7"/>
    <x v="22"/>
    <s v="Combined Heat and Power, Electric Power"/>
    <x v="1"/>
    <n v="446131"/>
  </r>
  <r>
    <x v="7"/>
    <x v="22"/>
    <s v="Combined Heat and Power, Electric Power"/>
    <x v="3"/>
    <n v="11816278"/>
  </r>
  <r>
    <x v="7"/>
    <x v="22"/>
    <s v="Combined Heat and Power, Electric Power"/>
    <x v="9"/>
    <n v="380"/>
  </r>
  <r>
    <x v="7"/>
    <x v="22"/>
    <s v="Combined Heat and Power, Electric Power"/>
    <x v="4"/>
    <n v="1118"/>
  </r>
  <r>
    <x v="7"/>
    <x v="22"/>
    <s v="Combined Heat and Power, Electric Power"/>
    <x v="6"/>
    <n v="23706"/>
  </r>
  <r>
    <x v="7"/>
    <x v="22"/>
    <s v="Combined Heat and Power, Commercial Power"/>
    <x v="0"/>
    <n v="635704"/>
  </r>
  <r>
    <x v="7"/>
    <x v="22"/>
    <s v="Combined Heat and Power, Commercial Power"/>
    <x v="1"/>
    <n v="252088"/>
  </r>
  <r>
    <x v="7"/>
    <x v="22"/>
    <s v="Combined Heat and Power, Commercial Power"/>
    <x v="3"/>
    <n v="30996"/>
  </r>
  <r>
    <x v="7"/>
    <x v="22"/>
    <s v="Combined Heat and Power, Commercial Power"/>
    <x v="12"/>
    <n v="12"/>
  </r>
  <r>
    <x v="7"/>
    <x v="22"/>
    <s v="Combined Heat and Power, Commercial Power"/>
    <x v="8"/>
    <n v="345673"/>
  </r>
  <r>
    <x v="7"/>
    <x v="22"/>
    <s v="Combined Heat and Power, Commercial Power"/>
    <x v="4"/>
    <n v="6935"/>
  </r>
  <r>
    <x v="7"/>
    <x v="23"/>
    <s v="Total Electric Power Industry"/>
    <x v="0"/>
    <n v="43240295"/>
  </r>
  <r>
    <x v="7"/>
    <x v="23"/>
    <s v="Total Electric Power Industry"/>
    <x v="1"/>
    <n v="28601705"/>
  </r>
  <r>
    <x v="7"/>
    <x v="23"/>
    <s v="Total Electric Power Industry"/>
    <x v="2"/>
    <n v="1034697"/>
  </r>
  <r>
    <x v="7"/>
    <x v="23"/>
    <s v="Total Electric Power Industry"/>
    <x v="3"/>
    <n v="772764"/>
  </r>
  <r>
    <x v="7"/>
    <x v="23"/>
    <s v="Total Electric Power Industry"/>
    <x v="7"/>
    <n v="10819172"/>
  </r>
  <r>
    <x v="7"/>
    <x v="23"/>
    <s v="Total Electric Power Industry"/>
    <x v="8"/>
    <n v="731551"/>
  </r>
  <r>
    <x v="7"/>
    <x v="23"/>
    <s v="Total Electric Power Industry"/>
    <x v="4"/>
    <n v="837387"/>
  </r>
  <r>
    <x v="7"/>
    <x v="23"/>
    <s v="Total Electric Power Industry"/>
    <x v="5"/>
    <n v="53954"/>
  </r>
  <r>
    <x v="7"/>
    <x v="23"/>
    <s v="Total Electric Power Industry"/>
    <x v="6"/>
    <n v="389065"/>
  </r>
  <r>
    <x v="7"/>
    <x v="23"/>
    <s v="Electric Generators, Independent Power Producers"/>
    <x v="0"/>
    <n v="445402"/>
  </r>
  <r>
    <x v="7"/>
    <x v="23"/>
    <s v="Electric Generators, Independent Power Producers"/>
    <x v="2"/>
    <n v="110087"/>
  </r>
  <r>
    <x v="7"/>
    <x v="23"/>
    <s v="Electric Generators, Independent Power Producers"/>
    <x v="8"/>
    <n v="281078"/>
  </r>
  <r>
    <x v="7"/>
    <x v="23"/>
    <s v="Electric Generators, Independent Power Producers"/>
    <x v="4"/>
    <n v="283"/>
  </r>
  <r>
    <x v="7"/>
    <x v="23"/>
    <s v="Electric Generators, Independent Power Producers"/>
    <x v="5"/>
    <n v="53954"/>
  </r>
  <r>
    <x v="7"/>
    <x v="23"/>
    <s v="Electric Generators, Electric Utilities"/>
    <x v="0"/>
    <n v="40302526"/>
  </r>
  <r>
    <x v="7"/>
    <x v="23"/>
    <s v="Electric Generators, Electric Utilities"/>
    <x v="1"/>
    <n v="27081067"/>
  </r>
  <r>
    <x v="7"/>
    <x v="23"/>
    <s v="Electric Generators, Electric Utilities"/>
    <x v="2"/>
    <n v="697224"/>
  </r>
  <r>
    <x v="7"/>
    <x v="23"/>
    <s v="Electric Generators, Electric Utilities"/>
    <x v="3"/>
    <n v="511966"/>
  </r>
  <r>
    <x v="7"/>
    <x v="23"/>
    <s v="Electric Generators, Electric Utilities"/>
    <x v="7"/>
    <n v="10819172"/>
  </r>
  <r>
    <x v="7"/>
    <x v="23"/>
    <s v="Electric Generators, Electric Utilities"/>
    <x v="8"/>
    <n v="425416"/>
  </r>
  <r>
    <x v="7"/>
    <x v="23"/>
    <s v="Electric Generators, Electric Utilities"/>
    <x v="4"/>
    <n v="763764"/>
  </r>
  <r>
    <x v="7"/>
    <x v="23"/>
    <s v="Electric Generators, Electric Utilities"/>
    <x v="5"/>
    <n v="0"/>
  </r>
  <r>
    <x v="7"/>
    <x v="23"/>
    <s v="Electric Generators, Electric Utilities"/>
    <x v="6"/>
    <n v="3917"/>
  </r>
  <r>
    <x v="7"/>
    <x v="23"/>
    <s v="Combined Heat and Power, Industrial Power"/>
    <x v="0"/>
    <n v="2312610"/>
  </r>
  <r>
    <x v="7"/>
    <x v="23"/>
    <s v="Combined Heat and Power, Industrial Power"/>
    <x v="1"/>
    <n v="1520638"/>
  </r>
  <r>
    <x v="7"/>
    <x v="23"/>
    <s v="Combined Heat and Power, Industrial Power"/>
    <x v="2"/>
    <n v="227386"/>
  </r>
  <r>
    <x v="7"/>
    <x v="23"/>
    <s v="Combined Heat and Power, Industrial Power"/>
    <x v="3"/>
    <n v="148844"/>
  </r>
  <r>
    <x v="7"/>
    <x v="23"/>
    <s v="Combined Heat and Power, Industrial Power"/>
    <x v="8"/>
    <n v="7389"/>
  </r>
  <r>
    <x v="7"/>
    <x v="23"/>
    <s v="Combined Heat and Power, Industrial Power"/>
    <x v="4"/>
    <n v="23205"/>
  </r>
  <r>
    <x v="7"/>
    <x v="23"/>
    <s v="Combined Heat and Power, Industrial Power"/>
    <x v="6"/>
    <n v="385148"/>
  </r>
  <r>
    <x v="7"/>
    <x v="23"/>
    <s v="Combined Heat and Power, Electric Power"/>
    <x v="0"/>
    <n v="50352"/>
  </r>
  <r>
    <x v="7"/>
    <x v="23"/>
    <s v="Combined Heat and Power, Electric Power"/>
    <x v="3"/>
    <n v="1901"/>
  </r>
  <r>
    <x v="7"/>
    <x v="23"/>
    <s v="Combined Heat and Power, Electric Power"/>
    <x v="4"/>
    <n v="48451"/>
  </r>
  <r>
    <x v="7"/>
    <x v="23"/>
    <s v="Combined Heat and Power, Commercial Power"/>
    <x v="0"/>
    <n v="129405"/>
  </r>
  <r>
    <x v="7"/>
    <x v="23"/>
    <s v="Combined Heat and Power, Commercial Power"/>
    <x v="3"/>
    <n v="110053"/>
  </r>
  <r>
    <x v="7"/>
    <x v="23"/>
    <s v="Combined Heat and Power, Commercial Power"/>
    <x v="8"/>
    <n v="17668"/>
  </r>
  <r>
    <x v="7"/>
    <x v="23"/>
    <s v="Combined Heat and Power, Commercial Power"/>
    <x v="4"/>
    <n v="1684"/>
  </r>
  <r>
    <x v="7"/>
    <x v="24"/>
    <s v="Total Electric Power Industry"/>
    <x v="0"/>
    <n v="71374185"/>
  </r>
  <r>
    <x v="7"/>
    <x v="24"/>
    <s v="Total Electric Power Industry"/>
    <x v="1"/>
    <n v="60150280"/>
  </r>
  <r>
    <x v="7"/>
    <x v="24"/>
    <s v="Total Electric Power Industry"/>
    <x v="2"/>
    <n v="1593309"/>
  </r>
  <r>
    <x v="7"/>
    <x v="24"/>
    <s v="Total Electric Power Industry"/>
    <x v="3"/>
    <n v="598410"/>
  </r>
  <r>
    <x v="7"/>
    <x v="24"/>
    <s v="Total Electric Power Industry"/>
    <x v="7"/>
    <n v="8954604"/>
  </r>
  <r>
    <x v="7"/>
    <x v="24"/>
    <s v="Total Electric Power Industry"/>
    <x v="8"/>
    <n v="53044"/>
  </r>
  <r>
    <x v="7"/>
    <x v="24"/>
    <s v="Total Electric Power Industry"/>
    <x v="4"/>
    <n v="139522"/>
  </r>
  <r>
    <x v="7"/>
    <x v="24"/>
    <s v="Total Electric Power Industry"/>
    <x v="10"/>
    <n v="-114984"/>
  </r>
  <r>
    <x v="7"/>
    <x v="24"/>
    <s v="Electric Generators, Electric Utilities"/>
    <x v="0"/>
    <n v="71073239"/>
  </r>
  <r>
    <x v="7"/>
    <x v="24"/>
    <s v="Electric Generators, Electric Utilities"/>
    <x v="1"/>
    <n v="59903073"/>
  </r>
  <r>
    <x v="7"/>
    <x v="24"/>
    <s v="Electric Generators, Electric Utilities"/>
    <x v="2"/>
    <n v="1593309"/>
  </r>
  <r>
    <x v="7"/>
    <x v="24"/>
    <s v="Electric Generators, Electric Utilities"/>
    <x v="3"/>
    <n v="570084"/>
  </r>
  <r>
    <x v="7"/>
    <x v="24"/>
    <s v="Electric Generators, Electric Utilities"/>
    <x v="7"/>
    <n v="8954604"/>
  </r>
  <r>
    <x v="7"/>
    <x v="24"/>
    <s v="Electric Generators, Electric Utilities"/>
    <x v="8"/>
    <n v="41704"/>
  </r>
  <r>
    <x v="7"/>
    <x v="24"/>
    <s v="Electric Generators, Electric Utilities"/>
    <x v="4"/>
    <n v="125449"/>
  </r>
  <r>
    <x v="7"/>
    <x v="24"/>
    <s v="Electric Generators, Electric Utilities"/>
    <x v="10"/>
    <n v="-114984"/>
  </r>
  <r>
    <x v="7"/>
    <x v="24"/>
    <s v="Combined Heat and Power, Industrial Power"/>
    <x v="0"/>
    <n v="183014"/>
  </r>
  <r>
    <x v="7"/>
    <x v="24"/>
    <s v="Combined Heat and Power, Industrial Power"/>
    <x v="1"/>
    <n v="149971"/>
  </r>
  <r>
    <x v="7"/>
    <x v="24"/>
    <s v="Combined Heat and Power, Industrial Power"/>
    <x v="3"/>
    <n v="24405"/>
  </r>
  <r>
    <x v="7"/>
    <x v="24"/>
    <s v="Combined Heat and Power, Industrial Power"/>
    <x v="8"/>
    <n v="7691"/>
  </r>
  <r>
    <x v="7"/>
    <x v="24"/>
    <s v="Combined Heat and Power, Industrial Power"/>
    <x v="4"/>
    <n v="947"/>
  </r>
  <r>
    <x v="7"/>
    <x v="24"/>
    <s v="Combined Heat and Power, Commercial Power"/>
    <x v="0"/>
    <n v="117932"/>
  </r>
  <r>
    <x v="7"/>
    <x v="24"/>
    <s v="Combined Heat and Power, Commercial Power"/>
    <x v="1"/>
    <n v="97236"/>
  </r>
  <r>
    <x v="7"/>
    <x v="24"/>
    <s v="Combined Heat and Power, Commercial Power"/>
    <x v="3"/>
    <n v="3921"/>
  </r>
  <r>
    <x v="7"/>
    <x v="24"/>
    <s v="Combined Heat and Power, Commercial Power"/>
    <x v="8"/>
    <n v="3649"/>
  </r>
  <r>
    <x v="7"/>
    <x v="24"/>
    <s v="Combined Heat and Power, Commercial Power"/>
    <x v="4"/>
    <n v="13126"/>
  </r>
  <r>
    <x v="7"/>
    <x v="25"/>
    <s v="Total Electric Power Industry"/>
    <x v="0"/>
    <n v="33678952"/>
  </r>
  <r>
    <x v="7"/>
    <x v="25"/>
    <s v="Total Electric Power Industry"/>
    <x v="1"/>
    <n v="12546534"/>
  </r>
  <r>
    <x v="7"/>
    <x v="25"/>
    <s v="Total Electric Power Industry"/>
    <x v="3"/>
    <n v="6054127"/>
  </r>
  <r>
    <x v="7"/>
    <x v="25"/>
    <s v="Total Electric Power Industry"/>
    <x v="7"/>
    <n v="10812562"/>
  </r>
  <r>
    <x v="7"/>
    <x v="25"/>
    <s v="Total Electric Power Industry"/>
    <x v="8"/>
    <n v="982"/>
  </r>
  <r>
    <x v="7"/>
    <x v="25"/>
    <s v="Total Electric Power Industry"/>
    <x v="4"/>
    <n v="2644220"/>
  </r>
  <r>
    <x v="7"/>
    <x v="25"/>
    <s v="Total Electric Power Industry"/>
    <x v="6"/>
    <n v="1620527"/>
  </r>
  <r>
    <x v="7"/>
    <x v="25"/>
    <s v="Electric Generators, Independent Power Producers"/>
    <x v="0"/>
    <n v="4904"/>
  </r>
  <r>
    <x v="7"/>
    <x v="25"/>
    <s v="Electric Generators, Independent Power Producers"/>
    <x v="3"/>
    <n v="4904"/>
  </r>
  <r>
    <x v="7"/>
    <x v="25"/>
    <s v="Electric Generators, Electric Utilities"/>
    <x v="0"/>
    <n v="31227619"/>
  </r>
  <r>
    <x v="7"/>
    <x v="25"/>
    <s v="Electric Generators, Electric Utilities"/>
    <x v="1"/>
    <n v="12500586"/>
  </r>
  <r>
    <x v="7"/>
    <x v="25"/>
    <s v="Electric Generators, Electric Utilities"/>
    <x v="3"/>
    <n v="5281362"/>
  </r>
  <r>
    <x v="7"/>
    <x v="25"/>
    <s v="Electric Generators, Electric Utilities"/>
    <x v="7"/>
    <n v="10812562"/>
  </r>
  <r>
    <x v="7"/>
    <x v="25"/>
    <s v="Electric Generators, Electric Utilities"/>
    <x v="4"/>
    <n v="2633109"/>
  </r>
  <r>
    <x v="7"/>
    <x v="25"/>
    <s v="Combined Heat and Power, Industrial Power"/>
    <x v="0"/>
    <n v="2421952"/>
  </r>
  <r>
    <x v="7"/>
    <x v="25"/>
    <s v="Combined Heat and Power, Industrial Power"/>
    <x v="1"/>
    <n v="45948"/>
  </r>
  <r>
    <x v="7"/>
    <x v="25"/>
    <s v="Combined Heat and Power, Industrial Power"/>
    <x v="3"/>
    <n v="743384"/>
  </r>
  <r>
    <x v="7"/>
    <x v="25"/>
    <s v="Combined Heat and Power, Industrial Power"/>
    <x v="8"/>
    <n v="982"/>
  </r>
  <r>
    <x v="7"/>
    <x v="25"/>
    <s v="Combined Heat and Power, Industrial Power"/>
    <x v="4"/>
    <n v="11111"/>
  </r>
  <r>
    <x v="7"/>
    <x v="25"/>
    <s v="Combined Heat and Power, Industrial Power"/>
    <x v="6"/>
    <n v="1620527"/>
  </r>
  <r>
    <x v="7"/>
    <x v="25"/>
    <s v="Combined Heat and Power, Commercial Power"/>
    <x v="0"/>
    <n v="24477"/>
  </r>
  <r>
    <x v="7"/>
    <x v="25"/>
    <s v="Combined Heat and Power, Commercial Power"/>
    <x v="3"/>
    <n v="24477"/>
  </r>
  <r>
    <x v="7"/>
    <x v="26"/>
    <s v="Total Electric Power Industry"/>
    <x v="0"/>
    <n v="28586946"/>
  </r>
  <r>
    <x v="7"/>
    <x v="26"/>
    <s v="Total Electric Power Industry"/>
    <x v="1"/>
    <n v="14616020"/>
  </r>
  <r>
    <x v="7"/>
    <x v="26"/>
    <s v="Total Electric Power Industry"/>
    <x v="2"/>
    <n v="13406494"/>
  </r>
  <r>
    <x v="7"/>
    <x v="26"/>
    <s v="Total Electric Power Industry"/>
    <x v="3"/>
    <n v="48610"/>
  </r>
  <r>
    <x v="7"/>
    <x v="26"/>
    <s v="Total Electric Power Industry"/>
    <x v="9"/>
    <n v="30861"/>
  </r>
  <r>
    <x v="7"/>
    <x v="26"/>
    <s v="Total Electric Power Industry"/>
    <x v="4"/>
    <n v="436632"/>
  </r>
  <r>
    <x v="7"/>
    <x v="26"/>
    <s v="Total Electric Power Industry"/>
    <x v="6"/>
    <n v="48329"/>
  </r>
  <r>
    <x v="7"/>
    <x v="26"/>
    <s v="Electric Generators, Independent Power Producers"/>
    <x v="0"/>
    <n v="264886"/>
  </r>
  <r>
    <x v="7"/>
    <x v="26"/>
    <s v="Electric Generators, Independent Power Producers"/>
    <x v="1"/>
    <n v="206099"/>
  </r>
  <r>
    <x v="7"/>
    <x v="26"/>
    <s v="Electric Generators, Independent Power Producers"/>
    <x v="2"/>
    <n v="57995"/>
  </r>
  <r>
    <x v="7"/>
    <x v="26"/>
    <s v="Electric Generators, Independent Power Producers"/>
    <x v="4"/>
    <n v="792"/>
  </r>
  <r>
    <x v="7"/>
    <x v="26"/>
    <s v="Electric Generators, Electric Utilities"/>
    <x v="0"/>
    <n v="27807273"/>
  </r>
  <r>
    <x v="7"/>
    <x v="26"/>
    <s v="Electric Generators, Electric Utilities"/>
    <x v="1"/>
    <n v="14409921"/>
  </r>
  <r>
    <x v="7"/>
    <x v="26"/>
    <s v="Electric Generators, Electric Utilities"/>
    <x v="2"/>
    <n v="13348499"/>
  </r>
  <r>
    <x v="7"/>
    <x v="26"/>
    <s v="Electric Generators, Electric Utilities"/>
    <x v="3"/>
    <n v="31625"/>
  </r>
  <r>
    <x v="7"/>
    <x v="26"/>
    <s v="Electric Generators, Electric Utilities"/>
    <x v="4"/>
    <n v="17228"/>
  </r>
  <r>
    <x v="7"/>
    <x v="26"/>
    <s v="Combined Heat and Power, Industrial Power"/>
    <x v="0"/>
    <n v="65824"/>
  </r>
  <r>
    <x v="7"/>
    <x v="26"/>
    <s v="Combined Heat and Power, Industrial Power"/>
    <x v="3"/>
    <n v="16985"/>
  </r>
  <r>
    <x v="7"/>
    <x v="26"/>
    <s v="Combined Heat and Power, Industrial Power"/>
    <x v="9"/>
    <n v="56"/>
  </r>
  <r>
    <x v="7"/>
    <x v="26"/>
    <s v="Combined Heat and Power, Industrial Power"/>
    <x v="4"/>
    <n v="454"/>
  </r>
  <r>
    <x v="7"/>
    <x v="26"/>
    <s v="Combined Heat and Power, Industrial Power"/>
    <x v="6"/>
    <n v="48329"/>
  </r>
  <r>
    <x v="7"/>
    <x v="26"/>
    <s v="Combined Heat and Power, Electric Power"/>
    <x v="0"/>
    <n v="448963"/>
  </r>
  <r>
    <x v="7"/>
    <x v="26"/>
    <s v="Combined Heat and Power, Electric Power"/>
    <x v="9"/>
    <n v="30805"/>
  </r>
  <r>
    <x v="7"/>
    <x v="26"/>
    <s v="Combined Heat and Power, Electric Power"/>
    <x v="4"/>
    <n v="418158"/>
  </r>
  <r>
    <x v="7"/>
    <x v="27"/>
    <s v="Total Electric Power Industry"/>
    <x v="0"/>
    <n v="115494689"/>
  </r>
  <r>
    <x v="7"/>
    <x v="27"/>
    <s v="Total Electric Power Industry"/>
    <x v="1"/>
    <n v="74072041"/>
  </r>
  <r>
    <x v="7"/>
    <x v="27"/>
    <s v="Total Electric Power Industry"/>
    <x v="2"/>
    <n v="5625884"/>
  </r>
  <r>
    <x v="7"/>
    <x v="27"/>
    <s v="Total Electric Power Industry"/>
    <x v="3"/>
    <n v="699936"/>
  </r>
  <r>
    <x v="7"/>
    <x v="27"/>
    <s v="Total Electric Power Industry"/>
    <x v="7"/>
    <n v="32453074"/>
  </r>
  <r>
    <x v="7"/>
    <x v="27"/>
    <s v="Total Electric Power Industry"/>
    <x v="12"/>
    <n v="236051"/>
  </r>
  <r>
    <x v="7"/>
    <x v="27"/>
    <s v="Total Electric Power Industry"/>
    <x v="8"/>
    <n v="78571"/>
  </r>
  <r>
    <x v="7"/>
    <x v="27"/>
    <s v="Total Electric Power Industry"/>
    <x v="4"/>
    <n v="496509"/>
  </r>
  <r>
    <x v="7"/>
    <x v="27"/>
    <s v="Total Electric Power Industry"/>
    <x v="10"/>
    <n v="253805"/>
  </r>
  <r>
    <x v="7"/>
    <x v="27"/>
    <s v="Total Electric Power Industry"/>
    <x v="6"/>
    <n v="1578818"/>
  </r>
  <r>
    <x v="7"/>
    <x v="27"/>
    <s v="Electric Generators, Independent Power Producers"/>
    <x v="0"/>
    <n v="1793442"/>
  </r>
  <r>
    <x v="7"/>
    <x v="27"/>
    <s v="Electric Generators, Independent Power Producers"/>
    <x v="1"/>
    <n v="1317849"/>
  </r>
  <r>
    <x v="7"/>
    <x v="27"/>
    <s v="Electric Generators, Independent Power Producers"/>
    <x v="2"/>
    <n v="19527"/>
  </r>
  <r>
    <x v="7"/>
    <x v="27"/>
    <s v="Electric Generators, Independent Power Producers"/>
    <x v="3"/>
    <n v="35091"/>
  </r>
  <r>
    <x v="7"/>
    <x v="27"/>
    <s v="Electric Generators, Independent Power Producers"/>
    <x v="8"/>
    <n v="62954"/>
  </r>
  <r>
    <x v="7"/>
    <x v="27"/>
    <s v="Electric Generators, Independent Power Producers"/>
    <x v="4"/>
    <n v="2714"/>
  </r>
  <r>
    <x v="7"/>
    <x v="27"/>
    <s v="Electric Generators, Independent Power Producers"/>
    <x v="6"/>
    <n v="355307"/>
  </r>
  <r>
    <x v="7"/>
    <x v="27"/>
    <s v="Electric Generators, Electric Utilities"/>
    <x v="0"/>
    <n v="107371092"/>
  </r>
  <r>
    <x v="7"/>
    <x v="27"/>
    <s v="Electric Generators, Electric Utilities"/>
    <x v="1"/>
    <n v="70181392"/>
  </r>
  <r>
    <x v="7"/>
    <x v="27"/>
    <s v="Electric Generators, Electric Utilities"/>
    <x v="2"/>
    <n v="3894248"/>
  </r>
  <r>
    <x v="7"/>
    <x v="27"/>
    <s v="Electric Generators, Electric Utilities"/>
    <x v="3"/>
    <n v="376599"/>
  </r>
  <r>
    <x v="7"/>
    <x v="27"/>
    <s v="Electric Generators, Electric Utilities"/>
    <x v="7"/>
    <n v="32453074"/>
  </r>
  <r>
    <x v="7"/>
    <x v="27"/>
    <s v="Electric Generators, Electric Utilities"/>
    <x v="4"/>
    <n v="211974"/>
  </r>
  <r>
    <x v="7"/>
    <x v="27"/>
    <s v="Electric Generators, Electric Utilities"/>
    <x v="10"/>
    <n v="253805"/>
  </r>
  <r>
    <x v="7"/>
    <x v="27"/>
    <s v="Combined Heat and Power, Industrial Power"/>
    <x v="0"/>
    <n v="4758041"/>
  </r>
  <r>
    <x v="7"/>
    <x v="27"/>
    <s v="Combined Heat and Power, Industrial Power"/>
    <x v="1"/>
    <n v="1102648"/>
  </r>
  <r>
    <x v="7"/>
    <x v="27"/>
    <s v="Combined Heat and Power, Industrial Power"/>
    <x v="2"/>
    <n v="1696503"/>
  </r>
  <r>
    <x v="7"/>
    <x v="27"/>
    <s v="Combined Heat and Power, Industrial Power"/>
    <x v="3"/>
    <n v="222336"/>
  </r>
  <r>
    <x v="7"/>
    <x v="27"/>
    <s v="Combined Heat and Power, Industrial Power"/>
    <x v="12"/>
    <n v="236051"/>
  </r>
  <r>
    <x v="7"/>
    <x v="27"/>
    <s v="Combined Heat and Power, Industrial Power"/>
    <x v="8"/>
    <n v="15617"/>
  </r>
  <r>
    <x v="7"/>
    <x v="27"/>
    <s v="Combined Heat and Power, Industrial Power"/>
    <x v="4"/>
    <n v="261375"/>
  </r>
  <r>
    <x v="7"/>
    <x v="27"/>
    <s v="Combined Heat and Power, Industrial Power"/>
    <x v="6"/>
    <n v="1223511"/>
  </r>
  <r>
    <x v="7"/>
    <x v="27"/>
    <s v="Combined Heat and Power, Electric Power"/>
    <x v="0"/>
    <n v="1466920"/>
  </r>
  <r>
    <x v="7"/>
    <x v="27"/>
    <s v="Combined Heat and Power, Electric Power"/>
    <x v="1"/>
    <n v="1381730"/>
  </r>
  <r>
    <x v="7"/>
    <x v="27"/>
    <s v="Combined Heat and Power, Electric Power"/>
    <x v="3"/>
    <n v="65543"/>
  </r>
  <r>
    <x v="7"/>
    <x v="27"/>
    <s v="Combined Heat and Power, Electric Power"/>
    <x v="4"/>
    <n v="19647"/>
  </r>
  <r>
    <x v="7"/>
    <x v="27"/>
    <s v="Combined Heat and Power, Commercial Power"/>
    <x v="0"/>
    <n v="105194"/>
  </r>
  <r>
    <x v="7"/>
    <x v="27"/>
    <s v="Combined Heat and Power, Commercial Power"/>
    <x v="1"/>
    <n v="88422"/>
  </r>
  <r>
    <x v="7"/>
    <x v="27"/>
    <s v="Combined Heat and Power, Commercial Power"/>
    <x v="2"/>
    <n v="15606"/>
  </r>
  <r>
    <x v="7"/>
    <x v="27"/>
    <s v="Combined Heat and Power, Commercial Power"/>
    <x v="3"/>
    <n v="367"/>
  </r>
  <r>
    <x v="7"/>
    <x v="27"/>
    <s v="Combined Heat and Power, Commercial Power"/>
    <x v="4"/>
    <n v="799"/>
  </r>
  <r>
    <x v="7"/>
    <x v="28"/>
    <s v="Total Electric Power Industry"/>
    <x v="0"/>
    <n v="29852603"/>
  </r>
  <r>
    <x v="7"/>
    <x v="28"/>
    <s v="Total Electric Power Industry"/>
    <x v="1"/>
    <n v="26389952"/>
  </r>
  <r>
    <x v="7"/>
    <x v="28"/>
    <s v="Total Electric Power Industry"/>
    <x v="2"/>
    <n v="3319577"/>
  </r>
  <r>
    <x v="7"/>
    <x v="28"/>
    <s v="Total Electric Power Industry"/>
    <x v="3"/>
    <n v="391"/>
  </r>
  <r>
    <x v="7"/>
    <x v="28"/>
    <s v="Total Electric Power Industry"/>
    <x v="8"/>
    <n v="4139"/>
  </r>
  <r>
    <x v="7"/>
    <x v="28"/>
    <s v="Total Electric Power Industry"/>
    <x v="9"/>
    <n v="44317"/>
  </r>
  <r>
    <x v="7"/>
    <x v="28"/>
    <s v="Total Electric Power Industry"/>
    <x v="4"/>
    <n v="94227"/>
  </r>
  <r>
    <x v="7"/>
    <x v="28"/>
    <s v="Electric Generators, Electric Utilities"/>
    <x v="0"/>
    <n v="29719764"/>
  </r>
  <r>
    <x v="7"/>
    <x v="28"/>
    <s v="Electric Generators, Electric Utilities"/>
    <x v="1"/>
    <n v="26314471"/>
  </r>
  <r>
    <x v="7"/>
    <x v="28"/>
    <s v="Electric Generators, Electric Utilities"/>
    <x v="2"/>
    <n v="3319577"/>
  </r>
  <r>
    <x v="7"/>
    <x v="28"/>
    <s v="Electric Generators, Electric Utilities"/>
    <x v="3"/>
    <n v="18"/>
  </r>
  <r>
    <x v="7"/>
    <x v="28"/>
    <s v="Electric Generators, Electric Utilities"/>
    <x v="4"/>
    <n v="85698"/>
  </r>
  <r>
    <x v="7"/>
    <x v="28"/>
    <s v="Combined Heat and Power, Industrial Power"/>
    <x v="0"/>
    <n v="132839"/>
  </r>
  <r>
    <x v="7"/>
    <x v="28"/>
    <s v="Combined Heat and Power, Industrial Power"/>
    <x v="1"/>
    <n v="75481"/>
  </r>
  <r>
    <x v="7"/>
    <x v="28"/>
    <s v="Combined Heat and Power, Industrial Power"/>
    <x v="3"/>
    <n v="373"/>
  </r>
  <r>
    <x v="7"/>
    <x v="28"/>
    <s v="Combined Heat and Power, Industrial Power"/>
    <x v="8"/>
    <n v="4139"/>
  </r>
  <r>
    <x v="7"/>
    <x v="28"/>
    <s v="Combined Heat and Power, Industrial Power"/>
    <x v="9"/>
    <n v="44317"/>
  </r>
  <r>
    <x v="7"/>
    <x v="28"/>
    <s v="Combined Heat and Power, Industrial Power"/>
    <x v="4"/>
    <n v="8529"/>
  </r>
  <r>
    <x v="7"/>
    <x v="29"/>
    <s v="Total Electric Power Industry"/>
    <x v="0"/>
    <n v="28449267"/>
  </r>
  <r>
    <x v="7"/>
    <x v="29"/>
    <s v="Total Electric Power Industry"/>
    <x v="1"/>
    <n v="17248637"/>
  </r>
  <r>
    <x v="7"/>
    <x v="29"/>
    <s v="Total Electric Power Industry"/>
    <x v="2"/>
    <n v="1672419"/>
  </r>
  <r>
    <x v="7"/>
    <x v="29"/>
    <s v="Total Electric Power Industry"/>
    <x v="3"/>
    <n v="211301"/>
  </r>
  <r>
    <x v="7"/>
    <x v="29"/>
    <s v="Total Electric Power Industry"/>
    <x v="7"/>
    <n v="9268857"/>
  </r>
  <r>
    <x v="7"/>
    <x v="29"/>
    <s v="Total Electric Power Industry"/>
    <x v="8"/>
    <n v="16994"/>
  </r>
  <r>
    <x v="7"/>
    <x v="29"/>
    <s v="Total Electric Power Industry"/>
    <x v="4"/>
    <n v="31059"/>
  </r>
  <r>
    <x v="7"/>
    <x v="29"/>
    <s v="Electric Generators, Electric Utilities"/>
    <x v="0"/>
    <n v="28388030"/>
  </r>
  <r>
    <x v="7"/>
    <x v="29"/>
    <s v="Electric Generators, Electric Utilities"/>
    <x v="1"/>
    <n v="17209080"/>
  </r>
  <r>
    <x v="7"/>
    <x v="29"/>
    <s v="Electric Generators, Electric Utilities"/>
    <x v="2"/>
    <n v="1672419"/>
  </r>
  <r>
    <x v="7"/>
    <x v="29"/>
    <s v="Electric Generators, Electric Utilities"/>
    <x v="3"/>
    <n v="205991"/>
  </r>
  <r>
    <x v="7"/>
    <x v="29"/>
    <s v="Electric Generators, Electric Utilities"/>
    <x v="7"/>
    <n v="9268857"/>
  </r>
  <r>
    <x v="7"/>
    <x v="29"/>
    <s v="Electric Generators, Electric Utilities"/>
    <x v="8"/>
    <n v="624"/>
  </r>
  <r>
    <x v="7"/>
    <x v="29"/>
    <s v="Electric Generators, Electric Utilities"/>
    <x v="4"/>
    <n v="31059"/>
  </r>
  <r>
    <x v="7"/>
    <x v="29"/>
    <s v="Combined Heat and Power, Industrial Power"/>
    <x v="0"/>
    <n v="42855"/>
  </r>
  <r>
    <x v="7"/>
    <x v="29"/>
    <s v="Combined Heat and Power, Industrial Power"/>
    <x v="1"/>
    <n v="39557"/>
  </r>
  <r>
    <x v="7"/>
    <x v="29"/>
    <s v="Combined Heat and Power, Industrial Power"/>
    <x v="3"/>
    <n v="3298"/>
  </r>
  <r>
    <x v="7"/>
    <x v="29"/>
    <s v="Combined Heat and Power, Electric Power"/>
    <x v="0"/>
    <n v="8395"/>
  </r>
  <r>
    <x v="7"/>
    <x v="29"/>
    <s v="Combined Heat and Power, Electric Power"/>
    <x v="3"/>
    <n v="1407"/>
  </r>
  <r>
    <x v="7"/>
    <x v="29"/>
    <s v="Combined Heat and Power, Electric Power"/>
    <x v="8"/>
    <n v="6988"/>
  </r>
  <r>
    <x v="7"/>
    <x v="29"/>
    <s v="Combined Heat and Power, Commercial Power"/>
    <x v="0"/>
    <n v="9987"/>
  </r>
  <r>
    <x v="7"/>
    <x v="29"/>
    <s v="Combined Heat and Power, Commercial Power"/>
    <x v="3"/>
    <n v="605"/>
  </r>
  <r>
    <x v="7"/>
    <x v="29"/>
    <s v="Combined Heat and Power, Commercial Power"/>
    <x v="8"/>
    <n v="9382"/>
  </r>
  <r>
    <x v="7"/>
    <x v="30"/>
    <s v="Total Electric Power Industry"/>
    <x v="0"/>
    <n v="15880223"/>
  </r>
  <r>
    <x v="7"/>
    <x v="30"/>
    <s v="Total Electric Power Industry"/>
    <x v="1"/>
    <n v="4077225"/>
  </r>
  <r>
    <x v="7"/>
    <x v="30"/>
    <s v="Total Electric Power Industry"/>
    <x v="2"/>
    <n v="1621591"/>
  </r>
  <r>
    <x v="7"/>
    <x v="30"/>
    <s v="Total Electric Power Industry"/>
    <x v="3"/>
    <n v="46894"/>
  </r>
  <r>
    <x v="7"/>
    <x v="30"/>
    <s v="Total Electric Power Industry"/>
    <x v="7"/>
    <n v="7979448"/>
  </r>
  <r>
    <x v="7"/>
    <x v="30"/>
    <s v="Total Electric Power Industry"/>
    <x v="8"/>
    <n v="192804"/>
  </r>
  <r>
    <x v="7"/>
    <x v="30"/>
    <s v="Total Electric Power Industry"/>
    <x v="4"/>
    <n v="1069822"/>
  </r>
  <r>
    <x v="7"/>
    <x v="30"/>
    <s v="Total Electric Power Industry"/>
    <x v="6"/>
    <n v="892439"/>
  </r>
  <r>
    <x v="7"/>
    <x v="30"/>
    <s v="Electric Generators, Independent Power Producers"/>
    <x v="0"/>
    <n v="1164424"/>
  </r>
  <r>
    <x v="7"/>
    <x v="30"/>
    <s v="Electric Generators, Independent Power Producers"/>
    <x v="2"/>
    <n v="259972"/>
  </r>
  <r>
    <x v="7"/>
    <x v="30"/>
    <s v="Electric Generators, Independent Power Producers"/>
    <x v="8"/>
    <n v="191973"/>
  </r>
  <r>
    <x v="7"/>
    <x v="30"/>
    <s v="Electric Generators, Independent Power Producers"/>
    <x v="4"/>
    <n v="383"/>
  </r>
  <r>
    <x v="7"/>
    <x v="30"/>
    <s v="Electric Generators, Independent Power Producers"/>
    <x v="6"/>
    <n v="712096"/>
  </r>
  <r>
    <x v="7"/>
    <x v="30"/>
    <s v="Electric Generators, Electric Utilities"/>
    <x v="0"/>
    <n v="14264333"/>
  </r>
  <r>
    <x v="7"/>
    <x v="30"/>
    <s v="Electric Generators, Electric Utilities"/>
    <x v="1"/>
    <n v="4077225"/>
  </r>
  <r>
    <x v="7"/>
    <x v="30"/>
    <s v="Electric Generators, Electric Utilities"/>
    <x v="2"/>
    <n v="1165007"/>
  </r>
  <r>
    <x v="7"/>
    <x v="30"/>
    <s v="Electric Generators, Electric Utilities"/>
    <x v="3"/>
    <n v="35108"/>
  </r>
  <r>
    <x v="7"/>
    <x v="30"/>
    <s v="Electric Generators, Electric Utilities"/>
    <x v="7"/>
    <n v="7979448"/>
  </r>
  <r>
    <x v="7"/>
    <x v="30"/>
    <s v="Electric Generators, Electric Utilities"/>
    <x v="4"/>
    <n v="1007545"/>
  </r>
  <r>
    <x v="7"/>
    <x v="30"/>
    <s v="Combined Heat and Power, Industrial Power"/>
    <x v="0"/>
    <n v="351231"/>
  </r>
  <r>
    <x v="7"/>
    <x v="30"/>
    <s v="Combined Heat and Power, Industrial Power"/>
    <x v="2"/>
    <n v="196612"/>
  </r>
  <r>
    <x v="7"/>
    <x v="30"/>
    <s v="Combined Heat and Power, Industrial Power"/>
    <x v="3"/>
    <n v="11786"/>
  </r>
  <r>
    <x v="7"/>
    <x v="30"/>
    <s v="Combined Heat and Power, Industrial Power"/>
    <x v="8"/>
    <n v="831"/>
  </r>
  <r>
    <x v="7"/>
    <x v="30"/>
    <s v="Combined Heat and Power, Industrial Power"/>
    <x v="4"/>
    <n v="36082"/>
  </r>
  <r>
    <x v="7"/>
    <x v="30"/>
    <s v="Combined Heat and Power, Industrial Power"/>
    <x v="6"/>
    <n v="105920"/>
  </r>
  <r>
    <x v="7"/>
    <x v="30"/>
    <s v="Combined Heat and Power, Electric Power"/>
    <x v="0"/>
    <n v="74823"/>
  </r>
  <r>
    <x v="7"/>
    <x v="30"/>
    <s v="Combined Heat and Power, Electric Power"/>
    <x v="4"/>
    <n v="400"/>
  </r>
  <r>
    <x v="7"/>
    <x v="30"/>
    <s v="Combined Heat and Power, Electric Power"/>
    <x v="6"/>
    <n v="74423"/>
  </r>
  <r>
    <x v="7"/>
    <x v="30"/>
    <s v="Combined Heat and Power, Commercial Power"/>
    <x v="0"/>
    <n v="25412"/>
  </r>
  <r>
    <x v="7"/>
    <x v="30"/>
    <s v="Combined Heat and Power, Commercial Power"/>
    <x v="4"/>
    <n v="25412"/>
  </r>
  <r>
    <x v="7"/>
    <x v="31"/>
    <s v="Total Electric Power Industry"/>
    <x v="0"/>
    <n v="41756261"/>
  </r>
  <r>
    <x v="7"/>
    <x v="31"/>
    <s v="Total Electric Power Industry"/>
    <x v="1"/>
    <n v="8898206"/>
  </r>
  <r>
    <x v="7"/>
    <x v="31"/>
    <s v="Total Electric Power Industry"/>
    <x v="2"/>
    <n v="18371"/>
  </r>
  <r>
    <x v="7"/>
    <x v="31"/>
    <s v="Total Electric Power Industry"/>
    <x v="3"/>
    <n v="16987930"/>
  </r>
  <r>
    <x v="7"/>
    <x v="31"/>
    <s v="Total Electric Power Industry"/>
    <x v="7"/>
    <n v="13908074"/>
  </r>
  <r>
    <x v="7"/>
    <x v="31"/>
    <s v="Total Electric Power Industry"/>
    <x v="8"/>
    <n v="1173176"/>
  </r>
  <r>
    <x v="7"/>
    <x v="31"/>
    <s v="Total Electric Power Industry"/>
    <x v="9"/>
    <n v="131982"/>
  </r>
  <r>
    <x v="7"/>
    <x v="31"/>
    <s v="Total Electric Power Industry"/>
    <x v="4"/>
    <n v="768045"/>
  </r>
  <r>
    <x v="7"/>
    <x v="31"/>
    <s v="Total Electric Power Industry"/>
    <x v="10"/>
    <n v="-129523"/>
  </r>
  <r>
    <x v="7"/>
    <x v="31"/>
    <s v="Electric Generators, Independent Power Producers"/>
    <x v="0"/>
    <n v="1555743"/>
  </r>
  <r>
    <x v="7"/>
    <x v="31"/>
    <s v="Electric Generators, Independent Power Producers"/>
    <x v="2"/>
    <n v="18371"/>
  </r>
  <r>
    <x v="7"/>
    <x v="31"/>
    <s v="Electric Generators, Independent Power Producers"/>
    <x v="3"/>
    <n v="870486"/>
  </r>
  <r>
    <x v="7"/>
    <x v="31"/>
    <s v="Electric Generators, Independent Power Producers"/>
    <x v="8"/>
    <n v="656418"/>
  </r>
  <r>
    <x v="7"/>
    <x v="31"/>
    <s v="Electric Generators, Independent Power Producers"/>
    <x v="4"/>
    <n v="10468"/>
  </r>
  <r>
    <x v="7"/>
    <x v="31"/>
    <s v="Electric Generators, Electric Utilities"/>
    <x v="0"/>
    <n v="23761443"/>
  </r>
  <r>
    <x v="7"/>
    <x v="31"/>
    <s v="Electric Generators, Electric Utilities"/>
    <x v="1"/>
    <n v="6821610"/>
  </r>
  <r>
    <x v="7"/>
    <x v="31"/>
    <s v="Electric Generators, Electric Utilities"/>
    <x v="3"/>
    <n v="2776813"/>
  </r>
  <r>
    <x v="7"/>
    <x v="31"/>
    <s v="Electric Generators, Electric Utilities"/>
    <x v="7"/>
    <n v="13908074"/>
  </r>
  <r>
    <x v="7"/>
    <x v="31"/>
    <s v="Electric Generators, Electric Utilities"/>
    <x v="4"/>
    <n v="384469"/>
  </r>
  <r>
    <x v="7"/>
    <x v="31"/>
    <s v="Electric Generators, Electric Utilities"/>
    <x v="10"/>
    <n v="-129523"/>
  </r>
  <r>
    <x v="7"/>
    <x v="31"/>
    <s v="Combined Heat and Power, Industrial Power"/>
    <x v="0"/>
    <n v="2916646"/>
  </r>
  <r>
    <x v="7"/>
    <x v="31"/>
    <s v="Combined Heat and Power, Industrial Power"/>
    <x v="3"/>
    <n v="2522436"/>
  </r>
  <r>
    <x v="7"/>
    <x v="31"/>
    <s v="Combined Heat and Power, Industrial Power"/>
    <x v="8"/>
    <n v="4938"/>
  </r>
  <r>
    <x v="7"/>
    <x v="31"/>
    <s v="Combined Heat and Power, Industrial Power"/>
    <x v="9"/>
    <n v="131982"/>
  </r>
  <r>
    <x v="7"/>
    <x v="31"/>
    <s v="Combined Heat and Power, Industrial Power"/>
    <x v="4"/>
    <n v="257290"/>
  </r>
  <r>
    <x v="7"/>
    <x v="31"/>
    <s v="Combined Heat and Power, Electric Power"/>
    <x v="0"/>
    <n v="13369899"/>
  </r>
  <r>
    <x v="7"/>
    <x v="31"/>
    <s v="Combined Heat and Power, Electric Power"/>
    <x v="1"/>
    <n v="2076596"/>
  </r>
  <r>
    <x v="7"/>
    <x v="31"/>
    <s v="Combined Heat and Power, Electric Power"/>
    <x v="3"/>
    <n v="10673489"/>
  </r>
  <r>
    <x v="7"/>
    <x v="31"/>
    <s v="Combined Heat and Power, Electric Power"/>
    <x v="8"/>
    <n v="508232"/>
  </r>
  <r>
    <x v="7"/>
    <x v="31"/>
    <s v="Combined Heat and Power, Electric Power"/>
    <x v="4"/>
    <n v="111582"/>
  </r>
  <r>
    <x v="7"/>
    <x v="31"/>
    <s v="Combined Heat and Power, Commercial Power"/>
    <x v="0"/>
    <n v="152530"/>
  </r>
  <r>
    <x v="7"/>
    <x v="31"/>
    <s v="Combined Heat and Power, Commercial Power"/>
    <x v="3"/>
    <n v="144706"/>
  </r>
  <r>
    <x v="7"/>
    <x v="31"/>
    <s v="Combined Heat and Power, Commercial Power"/>
    <x v="8"/>
    <n v="3588"/>
  </r>
  <r>
    <x v="7"/>
    <x v="31"/>
    <s v="Combined Heat and Power, Commercial Power"/>
    <x v="4"/>
    <n v="4236"/>
  </r>
  <r>
    <x v="7"/>
    <x v="32"/>
    <s v="Total Electric Power Industry"/>
    <x v="0"/>
    <n v="31462357"/>
  </r>
  <r>
    <x v="7"/>
    <x v="32"/>
    <s v="Total Electric Power Industry"/>
    <x v="1"/>
    <n v="27078660"/>
  </r>
  <r>
    <x v="7"/>
    <x v="32"/>
    <s v="Total Electric Power Industry"/>
    <x v="2"/>
    <n v="258810"/>
  </r>
  <r>
    <x v="7"/>
    <x v="32"/>
    <s v="Total Electric Power Industry"/>
    <x v="3"/>
    <n v="4095677"/>
  </r>
  <r>
    <x v="7"/>
    <x v="32"/>
    <s v="Total Electric Power Industry"/>
    <x v="8"/>
    <n v="6212"/>
  </r>
  <r>
    <x v="7"/>
    <x v="32"/>
    <s v="Total Electric Power Industry"/>
    <x v="4"/>
    <n v="22998"/>
  </r>
  <r>
    <x v="7"/>
    <x v="32"/>
    <s v="Electric Generators, Electric Utilities"/>
    <x v="0"/>
    <n v="30568142"/>
  </r>
  <r>
    <x v="7"/>
    <x v="32"/>
    <s v="Electric Generators, Electric Utilities"/>
    <x v="1"/>
    <n v="27078660"/>
  </r>
  <r>
    <x v="7"/>
    <x v="32"/>
    <s v="Electric Generators, Electric Utilities"/>
    <x v="2"/>
    <n v="258810"/>
  </r>
  <r>
    <x v="7"/>
    <x v="32"/>
    <s v="Electric Generators, Electric Utilities"/>
    <x v="3"/>
    <n v="3209597"/>
  </r>
  <r>
    <x v="7"/>
    <x v="32"/>
    <s v="Electric Generators, Electric Utilities"/>
    <x v="4"/>
    <n v="21075"/>
  </r>
  <r>
    <x v="7"/>
    <x v="32"/>
    <s v="Combined Heat and Power, Industrial Power"/>
    <x v="0"/>
    <n v="327656"/>
  </r>
  <r>
    <x v="7"/>
    <x v="32"/>
    <s v="Combined Heat and Power, Industrial Power"/>
    <x v="3"/>
    <n v="325733"/>
  </r>
  <r>
    <x v="7"/>
    <x v="32"/>
    <s v="Combined Heat and Power, Industrial Power"/>
    <x v="4"/>
    <n v="1923"/>
  </r>
  <r>
    <x v="7"/>
    <x v="32"/>
    <s v="Combined Heat and Power, Electric Power"/>
    <x v="0"/>
    <n v="506997"/>
  </r>
  <r>
    <x v="7"/>
    <x v="32"/>
    <s v="Combined Heat and Power, Electric Power"/>
    <x v="3"/>
    <n v="500785"/>
  </r>
  <r>
    <x v="7"/>
    <x v="32"/>
    <s v="Combined Heat and Power, Electric Power"/>
    <x v="8"/>
    <n v="6212"/>
  </r>
  <r>
    <x v="7"/>
    <x v="32"/>
    <s v="Combined Heat and Power, Commercial Power"/>
    <x v="0"/>
    <n v="59562"/>
  </r>
  <r>
    <x v="7"/>
    <x v="32"/>
    <s v="Combined Heat and Power, Commercial Power"/>
    <x v="3"/>
    <n v="59562"/>
  </r>
  <r>
    <x v="7"/>
    <x v="33"/>
    <s v="Total Electric Power Industry"/>
    <x v="0"/>
    <n v="27031522"/>
  </r>
  <r>
    <x v="7"/>
    <x v="33"/>
    <s v="Total Electric Power Industry"/>
    <x v="1"/>
    <n v="15250606"/>
  </r>
  <r>
    <x v="7"/>
    <x v="33"/>
    <s v="Total Electric Power Industry"/>
    <x v="11"/>
    <n v="1596001"/>
  </r>
  <r>
    <x v="7"/>
    <x v="33"/>
    <s v="Total Electric Power Industry"/>
    <x v="2"/>
    <n v="2586974"/>
  </r>
  <r>
    <x v="7"/>
    <x v="33"/>
    <s v="Total Electric Power Industry"/>
    <x v="3"/>
    <n v="7557814"/>
  </r>
  <r>
    <x v="7"/>
    <x v="33"/>
    <s v="Total Electric Power Industry"/>
    <x v="12"/>
    <n v="8182"/>
  </r>
  <r>
    <x v="7"/>
    <x v="33"/>
    <s v="Total Electric Power Industry"/>
    <x v="4"/>
    <n v="31945"/>
  </r>
  <r>
    <x v="7"/>
    <x v="33"/>
    <s v="Electric Generators, Independent Power Producers"/>
    <x v="0"/>
    <n v="1830940"/>
  </r>
  <r>
    <x v="7"/>
    <x v="33"/>
    <s v="Electric Generators, Independent Power Producers"/>
    <x v="11"/>
    <n v="1596001"/>
  </r>
  <r>
    <x v="7"/>
    <x v="33"/>
    <s v="Electric Generators, Independent Power Producers"/>
    <x v="2"/>
    <n v="19523"/>
  </r>
  <r>
    <x v="7"/>
    <x v="33"/>
    <s v="Electric Generators, Independent Power Producers"/>
    <x v="3"/>
    <n v="214627"/>
  </r>
  <r>
    <x v="7"/>
    <x v="33"/>
    <s v="Electric Generators, Independent Power Producers"/>
    <x v="4"/>
    <n v="789"/>
  </r>
  <r>
    <x v="7"/>
    <x v="33"/>
    <s v="Electric Generators, Electric Utilities"/>
    <x v="0"/>
    <n v="22869773"/>
  </r>
  <r>
    <x v="7"/>
    <x v="33"/>
    <s v="Electric Generators, Electric Utilities"/>
    <x v="1"/>
    <n v="15250606"/>
  </r>
  <r>
    <x v="7"/>
    <x v="33"/>
    <s v="Electric Generators, Electric Utilities"/>
    <x v="2"/>
    <n v="2567451"/>
  </r>
  <r>
    <x v="7"/>
    <x v="33"/>
    <s v="Electric Generators, Electric Utilities"/>
    <x v="3"/>
    <n v="5020560"/>
  </r>
  <r>
    <x v="7"/>
    <x v="33"/>
    <s v="Electric Generators, Electric Utilities"/>
    <x v="4"/>
    <n v="31156"/>
  </r>
  <r>
    <x v="7"/>
    <x v="33"/>
    <s v="Combined Heat and Power, Industrial Power"/>
    <x v="0"/>
    <n v="138"/>
  </r>
  <r>
    <x v="7"/>
    <x v="33"/>
    <s v="Combined Heat and Power, Industrial Power"/>
    <x v="3"/>
    <n v="138"/>
  </r>
  <r>
    <x v="7"/>
    <x v="33"/>
    <s v="Combined Heat and Power, Electric Power"/>
    <x v="0"/>
    <n v="2330671"/>
  </r>
  <r>
    <x v="7"/>
    <x v="33"/>
    <s v="Combined Heat and Power, Electric Power"/>
    <x v="3"/>
    <n v="2322489"/>
  </r>
  <r>
    <x v="7"/>
    <x v="33"/>
    <s v="Combined Heat and Power, Electric Power"/>
    <x v="12"/>
    <n v="8182"/>
  </r>
  <r>
    <x v="7"/>
    <x v="34"/>
    <s v="Total Electric Power Industry"/>
    <x v="0"/>
    <n v="140831648"/>
  </r>
  <r>
    <x v="7"/>
    <x v="34"/>
    <s v="Total Electric Power Industry"/>
    <x v="1"/>
    <n v="24058794"/>
  </r>
  <r>
    <x v="7"/>
    <x v="34"/>
    <s v="Total Electric Power Industry"/>
    <x v="2"/>
    <n v="30617995"/>
  </r>
  <r>
    <x v="7"/>
    <x v="34"/>
    <s v="Total Electric Power Industry"/>
    <x v="3"/>
    <n v="46280916"/>
  </r>
  <r>
    <x v="7"/>
    <x v="34"/>
    <s v="Total Electric Power Industry"/>
    <x v="7"/>
    <n v="29569618"/>
  </r>
  <r>
    <x v="7"/>
    <x v="34"/>
    <s v="Total Electric Power Industry"/>
    <x v="8"/>
    <n v="2107261"/>
  </r>
  <r>
    <x v="7"/>
    <x v="34"/>
    <s v="Total Electric Power Industry"/>
    <x v="9"/>
    <n v="107411"/>
  </r>
  <r>
    <x v="7"/>
    <x v="34"/>
    <s v="Total Electric Power Industry"/>
    <x v="4"/>
    <n v="8588376"/>
  </r>
  <r>
    <x v="7"/>
    <x v="34"/>
    <s v="Total Electric Power Industry"/>
    <x v="10"/>
    <n v="-1093153"/>
  </r>
  <r>
    <x v="7"/>
    <x v="34"/>
    <s v="Total Electric Power Industry"/>
    <x v="6"/>
    <n v="594430"/>
  </r>
  <r>
    <x v="7"/>
    <x v="34"/>
    <s v="Electric Generators, Independent Power Producers"/>
    <x v="0"/>
    <n v="3186990"/>
  </r>
  <r>
    <x v="7"/>
    <x v="34"/>
    <s v="Electric Generators, Independent Power Producers"/>
    <x v="2"/>
    <n v="1492897"/>
  </r>
  <r>
    <x v="7"/>
    <x v="34"/>
    <s v="Electric Generators, Independent Power Producers"/>
    <x v="3"/>
    <n v="15045"/>
  </r>
  <r>
    <x v="7"/>
    <x v="34"/>
    <s v="Electric Generators, Independent Power Producers"/>
    <x v="8"/>
    <n v="1399025"/>
  </r>
  <r>
    <x v="7"/>
    <x v="34"/>
    <s v="Electric Generators, Independent Power Producers"/>
    <x v="9"/>
    <n v="832"/>
  </r>
  <r>
    <x v="7"/>
    <x v="34"/>
    <s v="Electric Generators, Independent Power Producers"/>
    <x v="4"/>
    <n v="122108"/>
  </r>
  <r>
    <x v="7"/>
    <x v="34"/>
    <s v="Electric Generators, Independent Power Producers"/>
    <x v="6"/>
    <n v="157083"/>
  </r>
  <r>
    <x v="7"/>
    <x v="34"/>
    <s v="Electric Generators, Electric Utilities"/>
    <x v="0"/>
    <n v="108098599"/>
  </r>
  <r>
    <x v="7"/>
    <x v="34"/>
    <s v="Electric Generators, Electric Utilities"/>
    <x v="1"/>
    <n v="21752103"/>
  </r>
  <r>
    <x v="7"/>
    <x v="34"/>
    <s v="Electric Generators, Electric Utilities"/>
    <x v="2"/>
    <n v="29004673"/>
  </r>
  <r>
    <x v="7"/>
    <x v="34"/>
    <s v="Electric Generators, Electric Utilities"/>
    <x v="3"/>
    <n v="20705736"/>
  </r>
  <r>
    <x v="7"/>
    <x v="34"/>
    <s v="Electric Generators, Electric Utilities"/>
    <x v="7"/>
    <n v="29569618"/>
  </r>
  <r>
    <x v="7"/>
    <x v="34"/>
    <s v="Electric Generators, Electric Utilities"/>
    <x v="4"/>
    <n v="8141829"/>
  </r>
  <r>
    <x v="7"/>
    <x v="34"/>
    <s v="Electric Generators, Electric Utilities"/>
    <x v="10"/>
    <n v="-1093153"/>
  </r>
  <r>
    <x v="7"/>
    <x v="34"/>
    <s v="Electric Generators, Electric Utilities"/>
    <x v="6"/>
    <n v="17793"/>
  </r>
  <r>
    <x v="7"/>
    <x v="34"/>
    <s v="Combined Heat and Power, Industrial Power"/>
    <x v="0"/>
    <n v="3408527"/>
  </r>
  <r>
    <x v="7"/>
    <x v="34"/>
    <s v="Combined Heat and Power, Industrial Power"/>
    <x v="1"/>
    <n v="844493"/>
  </r>
  <r>
    <x v="7"/>
    <x v="34"/>
    <s v="Combined Heat and Power, Industrial Power"/>
    <x v="2"/>
    <n v="115185"/>
  </r>
  <r>
    <x v="7"/>
    <x v="34"/>
    <s v="Combined Heat and Power, Industrial Power"/>
    <x v="3"/>
    <n v="1888448"/>
  </r>
  <r>
    <x v="7"/>
    <x v="34"/>
    <s v="Combined Heat and Power, Industrial Power"/>
    <x v="9"/>
    <n v="106380"/>
  </r>
  <r>
    <x v="7"/>
    <x v="34"/>
    <s v="Combined Heat and Power, Industrial Power"/>
    <x v="4"/>
    <n v="200975"/>
  </r>
  <r>
    <x v="7"/>
    <x v="34"/>
    <s v="Combined Heat and Power, Industrial Power"/>
    <x v="6"/>
    <n v="253046"/>
  </r>
  <r>
    <x v="7"/>
    <x v="34"/>
    <s v="Combined Heat and Power, Electric Power"/>
    <x v="0"/>
    <n v="25108846"/>
  </r>
  <r>
    <x v="7"/>
    <x v="34"/>
    <s v="Combined Heat and Power, Electric Power"/>
    <x v="1"/>
    <n v="1434629"/>
  </r>
  <r>
    <x v="7"/>
    <x v="34"/>
    <s v="Combined Heat and Power, Electric Power"/>
    <x v="3"/>
    <n v="22921796"/>
  </r>
  <r>
    <x v="7"/>
    <x v="34"/>
    <s v="Combined Heat and Power, Electric Power"/>
    <x v="8"/>
    <n v="510856"/>
  </r>
  <r>
    <x v="7"/>
    <x v="34"/>
    <s v="Combined Heat and Power, Electric Power"/>
    <x v="9"/>
    <n v="199"/>
  </r>
  <r>
    <x v="7"/>
    <x v="34"/>
    <s v="Combined Heat and Power, Electric Power"/>
    <x v="4"/>
    <n v="74858"/>
  </r>
  <r>
    <x v="7"/>
    <x v="34"/>
    <s v="Combined Heat and Power, Electric Power"/>
    <x v="6"/>
    <n v="166508"/>
  </r>
  <r>
    <x v="7"/>
    <x v="34"/>
    <s v="Combined Heat and Power, Commercial Power"/>
    <x v="0"/>
    <n v="1028686"/>
  </r>
  <r>
    <x v="7"/>
    <x v="34"/>
    <s v="Combined Heat and Power, Commercial Power"/>
    <x v="1"/>
    <n v="27569"/>
  </r>
  <r>
    <x v="7"/>
    <x v="34"/>
    <s v="Combined Heat and Power, Commercial Power"/>
    <x v="2"/>
    <n v="5240"/>
  </r>
  <r>
    <x v="7"/>
    <x v="34"/>
    <s v="Combined Heat and Power, Commercial Power"/>
    <x v="3"/>
    <n v="749891"/>
  </r>
  <r>
    <x v="7"/>
    <x v="34"/>
    <s v="Combined Heat and Power, Commercial Power"/>
    <x v="8"/>
    <n v="197380"/>
  </r>
  <r>
    <x v="7"/>
    <x v="34"/>
    <s v="Combined Heat and Power, Commercial Power"/>
    <x v="4"/>
    <n v="48606"/>
  </r>
  <r>
    <x v="7"/>
    <x v="35"/>
    <s v="Total Electric Power Industry"/>
    <x v="0"/>
    <n v="142811248"/>
  </r>
  <r>
    <x v="7"/>
    <x v="35"/>
    <s v="Total Electric Power Industry"/>
    <x v="1"/>
    <n v="125435419"/>
  </r>
  <r>
    <x v="7"/>
    <x v="35"/>
    <s v="Total Electric Power Industry"/>
    <x v="2"/>
    <n v="507368"/>
  </r>
  <r>
    <x v="7"/>
    <x v="35"/>
    <s v="Total Electric Power Industry"/>
    <x v="3"/>
    <n v="468934"/>
  </r>
  <r>
    <x v="7"/>
    <x v="35"/>
    <s v="Total Electric Power Industry"/>
    <x v="7"/>
    <n v="15330830"/>
  </r>
  <r>
    <x v="7"/>
    <x v="35"/>
    <s v="Total Electric Power Industry"/>
    <x v="8"/>
    <n v="94"/>
  </r>
  <r>
    <x v="7"/>
    <x v="35"/>
    <s v="Total Electric Power Industry"/>
    <x v="9"/>
    <n v="189767"/>
  </r>
  <r>
    <x v="7"/>
    <x v="35"/>
    <s v="Total Electric Power Industry"/>
    <x v="4"/>
    <n v="293908"/>
  </r>
  <r>
    <x v="7"/>
    <x v="35"/>
    <s v="Total Electric Power Industry"/>
    <x v="6"/>
    <n v="584928"/>
  </r>
  <r>
    <x v="7"/>
    <x v="35"/>
    <s v="Electric Generators, Electric Utilities"/>
    <x v="0"/>
    <n v="141248874"/>
  </r>
  <r>
    <x v="7"/>
    <x v="35"/>
    <s v="Electric Generators, Electric Utilities"/>
    <x v="1"/>
    <n v="124909642"/>
  </r>
  <r>
    <x v="7"/>
    <x v="35"/>
    <s v="Electric Generators, Electric Utilities"/>
    <x v="2"/>
    <n v="507368"/>
  </r>
  <r>
    <x v="7"/>
    <x v="35"/>
    <s v="Electric Generators, Electric Utilities"/>
    <x v="3"/>
    <n v="228254"/>
  </r>
  <r>
    <x v="7"/>
    <x v="35"/>
    <s v="Electric Generators, Electric Utilities"/>
    <x v="7"/>
    <n v="15330830"/>
  </r>
  <r>
    <x v="7"/>
    <x v="35"/>
    <s v="Electric Generators, Electric Utilities"/>
    <x v="8"/>
    <n v="0"/>
  </r>
  <r>
    <x v="7"/>
    <x v="35"/>
    <s v="Electric Generators, Electric Utilities"/>
    <x v="4"/>
    <n v="272780"/>
  </r>
  <r>
    <x v="7"/>
    <x v="35"/>
    <s v="Combined Heat and Power, Industrial Power"/>
    <x v="0"/>
    <n v="1464989"/>
  </r>
  <r>
    <x v="7"/>
    <x v="35"/>
    <s v="Combined Heat and Power, Industrial Power"/>
    <x v="1"/>
    <n v="522498"/>
  </r>
  <r>
    <x v="7"/>
    <x v="35"/>
    <s v="Combined Heat and Power, Industrial Power"/>
    <x v="3"/>
    <n v="197093"/>
  </r>
  <r>
    <x v="7"/>
    <x v="35"/>
    <s v="Combined Heat and Power, Industrial Power"/>
    <x v="8"/>
    <n v="94"/>
  </r>
  <r>
    <x v="7"/>
    <x v="35"/>
    <s v="Combined Heat and Power, Industrial Power"/>
    <x v="9"/>
    <n v="189767"/>
  </r>
  <r>
    <x v="7"/>
    <x v="35"/>
    <s v="Combined Heat and Power, Industrial Power"/>
    <x v="4"/>
    <n v="16624"/>
  </r>
  <r>
    <x v="7"/>
    <x v="35"/>
    <s v="Combined Heat and Power, Industrial Power"/>
    <x v="6"/>
    <n v="538913"/>
  </r>
  <r>
    <x v="7"/>
    <x v="35"/>
    <s v="Combined Heat and Power, Electric Power"/>
    <x v="0"/>
    <n v="44111"/>
  </r>
  <r>
    <x v="7"/>
    <x v="35"/>
    <s v="Combined Heat and Power, Electric Power"/>
    <x v="3"/>
    <n v="301"/>
  </r>
  <r>
    <x v="7"/>
    <x v="35"/>
    <s v="Combined Heat and Power, Electric Power"/>
    <x v="8"/>
    <n v="0"/>
  </r>
  <r>
    <x v="7"/>
    <x v="35"/>
    <s v="Combined Heat and Power, Electric Power"/>
    <x v="6"/>
    <n v="43810"/>
  </r>
  <r>
    <x v="7"/>
    <x v="35"/>
    <s v="Combined Heat and Power, Commercial Power"/>
    <x v="0"/>
    <n v="53274"/>
  </r>
  <r>
    <x v="7"/>
    <x v="35"/>
    <s v="Combined Heat and Power, Commercial Power"/>
    <x v="1"/>
    <n v="3279"/>
  </r>
  <r>
    <x v="7"/>
    <x v="35"/>
    <s v="Combined Heat and Power, Commercial Power"/>
    <x v="3"/>
    <n v="43286"/>
  </r>
  <r>
    <x v="7"/>
    <x v="35"/>
    <s v="Combined Heat and Power, Commercial Power"/>
    <x v="4"/>
    <n v="4504"/>
  </r>
  <r>
    <x v="7"/>
    <x v="35"/>
    <s v="Combined Heat and Power, Commercial Power"/>
    <x v="6"/>
    <n v="2205"/>
  </r>
  <r>
    <x v="7"/>
    <x v="36"/>
    <s v="Total Electric Power Industry"/>
    <x v="0"/>
    <n v="52863977"/>
  </r>
  <r>
    <x v="7"/>
    <x v="36"/>
    <s v="Total Electric Power Industry"/>
    <x v="1"/>
    <n v="36032829"/>
  </r>
  <r>
    <x v="7"/>
    <x v="36"/>
    <s v="Total Electric Power Industry"/>
    <x v="2"/>
    <n v="2921206"/>
  </r>
  <r>
    <x v="7"/>
    <x v="36"/>
    <s v="Total Electric Power Industry"/>
    <x v="3"/>
    <n v="13682329"/>
  </r>
  <r>
    <x v="7"/>
    <x v="36"/>
    <s v="Total Electric Power Industry"/>
    <x v="8"/>
    <n v="1827"/>
  </r>
  <r>
    <x v="7"/>
    <x v="36"/>
    <s v="Total Electric Power Industry"/>
    <x v="9"/>
    <n v="66790"/>
  </r>
  <r>
    <x v="7"/>
    <x v="36"/>
    <s v="Total Electric Power Industry"/>
    <x v="4"/>
    <n v="26792"/>
  </r>
  <r>
    <x v="7"/>
    <x v="36"/>
    <s v="Total Electric Power Industry"/>
    <x v="10"/>
    <n v="-97108"/>
  </r>
  <r>
    <x v="7"/>
    <x v="36"/>
    <s v="Total Electric Power Industry"/>
    <x v="6"/>
    <n v="229312"/>
  </r>
  <r>
    <x v="7"/>
    <x v="36"/>
    <s v="Electric Generators, Electric Utilities"/>
    <x v="0"/>
    <n v="48380102"/>
  </r>
  <r>
    <x v="7"/>
    <x v="36"/>
    <s v="Electric Generators, Electric Utilities"/>
    <x v="1"/>
    <n v="33036688"/>
  </r>
  <r>
    <x v="7"/>
    <x v="36"/>
    <s v="Electric Generators, Electric Utilities"/>
    <x v="2"/>
    <n v="2921206"/>
  </r>
  <r>
    <x v="7"/>
    <x v="36"/>
    <s v="Electric Generators, Electric Utilities"/>
    <x v="3"/>
    <n v="12506748"/>
  </r>
  <r>
    <x v="7"/>
    <x v="36"/>
    <s v="Electric Generators, Electric Utilities"/>
    <x v="4"/>
    <n v="12568"/>
  </r>
  <r>
    <x v="7"/>
    <x v="36"/>
    <s v="Electric Generators, Electric Utilities"/>
    <x v="10"/>
    <n v="-97108"/>
  </r>
  <r>
    <x v="7"/>
    <x v="36"/>
    <s v="Combined Heat and Power, Industrial Power"/>
    <x v="0"/>
    <n v="1277604"/>
  </r>
  <r>
    <x v="7"/>
    <x v="36"/>
    <s v="Combined Heat and Power, Industrial Power"/>
    <x v="1"/>
    <n v="498599"/>
  </r>
  <r>
    <x v="7"/>
    <x v="36"/>
    <s v="Combined Heat and Power, Industrial Power"/>
    <x v="3"/>
    <n v="466852"/>
  </r>
  <r>
    <x v="7"/>
    <x v="36"/>
    <s v="Combined Heat and Power, Industrial Power"/>
    <x v="8"/>
    <n v="1827"/>
  </r>
  <r>
    <x v="7"/>
    <x v="36"/>
    <s v="Combined Heat and Power, Industrial Power"/>
    <x v="9"/>
    <n v="66790"/>
  </r>
  <r>
    <x v="7"/>
    <x v="36"/>
    <s v="Combined Heat and Power, Industrial Power"/>
    <x v="4"/>
    <n v="14224"/>
  </r>
  <r>
    <x v="7"/>
    <x v="36"/>
    <s v="Combined Heat and Power, Industrial Power"/>
    <x v="6"/>
    <n v="229312"/>
  </r>
  <r>
    <x v="7"/>
    <x v="36"/>
    <s v="Combined Heat and Power, Electric Power"/>
    <x v="0"/>
    <n v="3173388"/>
  </r>
  <r>
    <x v="7"/>
    <x v="36"/>
    <s v="Combined Heat and Power, Electric Power"/>
    <x v="1"/>
    <n v="2497542"/>
  </r>
  <r>
    <x v="7"/>
    <x v="36"/>
    <s v="Combined Heat and Power, Electric Power"/>
    <x v="3"/>
    <n v="675846"/>
  </r>
  <r>
    <x v="7"/>
    <x v="36"/>
    <s v="Combined Heat and Power, Commercial Power"/>
    <x v="0"/>
    <n v="32883"/>
  </r>
  <r>
    <x v="7"/>
    <x v="36"/>
    <s v="Combined Heat and Power, Commercial Power"/>
    <x v="3"/>
    <n v="32883"/>
  </r>
  <r>
    <x v="7"/>
    <x v="37"/>
    <s v="Total Electric Power Industry"/>
    <x v="0"/>
    <n v="52412854"/>
  </r>
  <r>
    <x v="7"/>
    <x v="37"/>
    <s v="Total Electric Power Industry"/>
    <x v="1"/>
    <n v="1519667"/>
  </r>
  <r>
    <x v="7"/>
    <x v="37"/>
    <s v="Total Electric Power Industry"/>
    <x v="2"/>
    <n v="46703700"/>
  </r>
  <r>
    <x v="7"/>
    <x v="37"/>
    <s v="Total Electric Power Industry"/>
    <x v="3"/>
    <n v="3597469"/>
  </r>
  <r>
    <x v="7"/>
    <x v="37"/>
    <s v="Total Electric Power Industry"/>
    <x v="8"/>
    <n v="90571"/>
  </r>
  <r>
    <x v="7"/>
    <x v="37"/>
    <s v="Total Electric Power Industry"/>
    <x v="4"/>
    <n v="13377"/>
  </r>
  <r>
    <x v="7"/>
    <x v="37"/>
    <s v="Total Electric Power Industry"/>
    <x v="6"/>
    <n v="488070"/>
  </r>
  <r>
    <x v="7"/>
    <x v="37"/>
    <s v="Electric Generators, Independent Power Producers"/>
    <x v="0"/>
    <n v="511234"/>
  </r>
  <r>
    <x v="7"/>
    <x v="37"/>
    <s v="Electric Generators, Independent Power Producers"/>
    <x v="2"/>
    <n v="420425"/>
  </r>
  <r>
    <x v="7"/>
    <x v="37"/>
    <s v="Electric Generators, Independent Power Producers"/>
    <x v="3"/>
    <n v="238"/>
  </r>
  <r>
    <x v="7"/>
    <x v="37"/>
    <s v="Electric Generators, Independent Power Producers"/>
    <x v="8"/>
    <n v="90571"/>
  </r>
  <r>
    <x v="7"/>
    <x v="37"/>
    <s v="Electric Generators, Electric Utilities"/>
    <x v="0"/>
    <n v="49068279"/>
  </r>
  <r>
    <x v="7"/>
    <x v="37"/>
    <s v="Electric Generators, Electric Utilities"/>
    <x v="1"/>
    <n v="1500879"/>
  </r>
  <r>
    <x v="7"/>
    <x v="37"/>
    <s v="Electric Generators, Electric Utilities"/>
    <x v="2"/>
    <n v="46283275"/>
  </r>
  <r>
    <x v="7"/>
    <x v="37"/>
    <s v="Electric Generators, Electric Utilities"/>
    <x v="3"/>
    <n v="1273183"/>
  </r>
  <r>
    <x v="7"/>
    <x v="37"/>
    <s v="Electric Generators, Electric Utilities"/>
    <x v="8"/>
    <n v="0"/>
  </r>
  <r>
    <x v="7"/>
    <x v="37"/>
    <s v="Electric Generators, Electric Utilities"/>
    <x v="4"/>
    <n v="10942"/>
  </r>
  <r>
    <x v="7"/>
    <x v="37"/>
    <s v="Electric Generators, Electric Utilities"/>
    <x v="6"/>
    <n v="0"/>
  </r>
  <r>
    <x v="7"/>
    <x v="37"/>
    <s v="Combined Heat and Power, Industrial Power"/>
    <x v="0"/>
    <n v="660034"/>
  </r>
  <r>
    <x v="7"/>
    <x v="37"/>
    <s v="Combined Heat and Power, Industrial Power"/>
    <x v="1"/>
    <n v="18788"/>
  </r>
  <r>
    <x v="7"/>
    <x v="37"/>
    <s v="Combined Heat and Power, Industrial Power"/>
    <x v="3"/>
    <n v="408214"/>
  </r>
  <r>
    <x v="7"/>
    <x v="37"/>
    <s v="Combined Heat and Power, Industrial Power"/>
    <x v="4"/>
    <n v="2423"/>
  </r>
  <r>
    <x v="7"/>
    <x v="37"/>
    <s v="Combined Heat and Power, Industrial Power"/>
    <x v="6"/>
    <n v="230609"/>
  </r>
  <r>
    <x v="7"/>
    <x v="37"/>
    <s v="Combined Heat and Power, Electric Power"/>
    <x v="0"/>
    <n v="2166349"/>
  </r>
  <r>
    <x v="7"/>
    <x v="37"/>
    <s v="Combined Heat and Power, Electric Power"/>
    <x v="3"/>
    <n v="1908888"/>
  </r>
  <r>
    <x v="7"/>
    <x v="37"/>
    <s v="Combined Heat and Power, Electric Power"/>
    <x v="6"/>
    <n v="257461"/>
  </r>
  <r>
    <x v="7"/>
    <x v="37"/>
    <s v="Combined Heat and Power, Commercial Power"/>
    <x v="0"/>
    <n v="6958"/>
  </r>
  <r>
    <x v="7"/>
    <x v="37"/>
    <s v="Combined Heat and Power, Commercial Power"/>
    <x v="3"/>
    <n v="6946"/>
  </r>
  <r>
    <x v="7"/>
    <x v="37"/>
    <s v="Combined Heat and Power, Commercial Power"/>
    <x v="4"/>
    <n v="12"/>
  </r>
  <r>
    <x v="7"/>
    <x v="38"/>
    <s v="Total Electric Power Industry"/>
    <x v="0"/>
    <n v="193463198"/>
  </r>
  <r>
    <x v="7"/>
    <x v="38"/>
    <s v="Total Electric Power Industry"/>
    <x v="1"/>
    <n v="115504502"/>
  </r>
  <r>
    <x v="7"/>
    <x v="38"/>
    <s v="Total Electric Power Industry"/>
    <x v="2"/>
    <n v="2249115"/>
  </r>
  <r>
    <x v="7"/>
    <x v="38"/>
    <s v="Total Electric Power Industry"/>
    <x v="3"/>
    <n v="2654904"/>
  </r>
  <r>
    <x v="7"/>
    <x v="38"/>
    <s v="Total Electric Power Industry"/>
    <x v="7"/>
    <n v="67654588"/>
  </r>
  <r>
    <x v="7"/>
    <x v="38"/>
    <s v="Total Electric Power Industry"/>
    <x v="12"/>
    <n v="28955"/>
  </r>
  <r>
    <x v="7"/>
    <x v="38"/>
    <s v="Total Electric Power Industry"/>
    <x v="8"/>
    <n v="1793284"/>
  </r>
  <r>
    <x v="7"/>
    <x v="38"/>
    <s v="Total Electric Power Industry"/>
    <x v="9"/>
    <n v="756189"/>
  </r>
  <r>
    <x v="7"/>
    <x v="38"/>
    <s v="Total Electric Power Industry"/>
    <x v="4"/>
    <n v="2705109"/>
  </r>
  <r>
    <x v="7"/>
    <x v="38"/>
    <s v="Total Electric Power Industry"/>
    <x v="10"/>
    <n v="-631044"/>
  </r>
  <r>
    <x v="7"/>
    <x v="38"/>
    <s v="Total Electric Power Industry"/>
    <x v="6"/>
    <n v="747596"/>
  </r>
  <r>
    <x v="7"/>
    <x v="38"/>
    <s v="Electric Generators, Independent Power Producers"/>
    <x v="0"/>
    <n v="4741756"/>
  </r>
  <r>
    <x v="7"/>
    <x v="38"/>
    <s v="Electric Generators, Independent Power Producers"/>
    <x v="1"/>
    <n v="2728622"/>
  </r>
  <r>
    <x v="7"/>
    <x v="38"/>
    <s v="Electric Generators, Independent Power Producers"/>
    <x v="2"/>
    <n v="470117"/>
  </r>
  <r>
    <x v="7"/>
    <x v="38"/>
    <s v="Electric Generators, Independent Power Producers"/>
    <x v="3"/>
    <n v="18906"/>
  </r>
  <r>
    <x v="7"/>
    <x v="38"/>
    <s v="Electric Generators, Independent Power Producers"/>
    <x v="8"/>
    <n v="1507254"/>
  </r>
  <r>
    <x v="7"/>
    <x v="38"/>
    <s v="Electric Generators, Independent Power Producers"/>
    <x v="9"/>
    <n v="266"/>
  </r>
  <r>
    <x v="7"/>
    <x v="38"/>
    <s v="Electric Generators, Independent Power Producers"/>
    <x v="4"/>
    <n v="16591"/>
  </r>
  <r>
    <x v="7"/>
    <x v="38"/>
    <s v="Electric Generators, Electric Utilities"/>
    <x v="0"/>
    <n v="177166516"/>
  </r>
  <r>
    <x v="7"/>
    <x v="38"/>
    <s v="Electric Generators, Electric Utilities"/>
    <x v="1"/>
    <n v="105445514"/>
  </r>
  <r>
    <x v="7"/>
    <x v="38"/>
    <s v="Electric Generators, Electric Utilities"/>
    <x v="2"/>
    <n v="1778998"/>
  </r>
  <r>
    <x v="7"/>
    <x v="38"/>
    <s v="Electric Generators, Electric Utilities"/>
    <x v="3"/>
    <n v="611049"/>
  </r>
  <r>
    <x v="7"/>
    <x v="38"/>
    <s v="Electric Generators, Electric Utilities"/>
    <x v="7"/>
    <n v="67654588"/>
  </r>
  <r>
    <x v="7"/>
    <x v="38"/>
    <s v="Electric Generators, Electric Utilities"/>
    <x v="4"/>
    <n v="2307411"/>
  </r>
  <r>
    <x v="7"/>
    <x v="38"/>
    <s v="Electric Generators, Electric Utilities"/>
    <x v="10"/>
    <n v="-631044"/>
  </r>
  <r>
    <x v="7"/>
    <x v="38"/>
    <s v="Combined Heat and Power, Industrial Power"/>
    <x v="0"/>
    <n v="3904710"/>
  </r>
  <r>
    <x v="7"/>
    <x v="38"/>
    <s v="Combined Heat and Power, Industrial Power"/>
    <x v="1"/>
    <n v="1705233"/>
  </r>
  <r>
    <x v="7"/>
    <x v="38"/>
    <s v="Combined Heat and Power, Industrial Power"/>
    <x v="3"/>
    <n v="676081"/>
  </r>
  <r>
    <x v="7"/>
    <x v="38"/>
    <s v="Combined Heat and Power, Industrial Power"/>
    <x v="12"/>
    <n v="28955"/>
  </r>
  <r>
    <x v="7"/>
    <x v="38"/>
    <s v="Combined Heat and Power, Industrial Power"/>
    <x v="8"/>
    <n v="19345"/>
  </r>
  <r>
    <x v="7"/>
    <x v="38"/>
    <s v="Combined Heat and Power, Industrial Power"/>
    <x v="9"/>
    <n v="755139"/>
  </r>
  <r>
    <x v="7"/>
    <x v="38"/>
    <s v="Combined Heat and Power, Industrial Power"/>
    <x v="4"/>
    <n v="174943"/>
  </r>
  <r>
    <x v="7"/>
    <x v="38"/>
    <s v="Combined Heat and Power, Industrial Power"/>
    <x v="6"/>
    <n v="545014"/>
  </r>
  <r>
    <x v="7"/>
    <x v="38"/>
    <s v="Combined Heat and Power, Electric Power"/>
    <x v="0"/>
    <n v="7238719"/>
  </r>
  <r>
    <x v="7"/>
    <x v="38"/>
    <s v="Combined Heat and Power, Electric Power"/>
    <x v="1"/>
    <n v="5617839"/>
  </r>
  <r>
    <x v="7"/>
    <x v="38"/>
    <s v="Combined Heat and Power, Electric Power"/>
    <x v="3"/>
    <n v="1177047"/>
  </r>
  <r>
    <x v="7"/>
    <x v="38"/>
    <s v="Combined Heat and Power, Electric Power"/>
    <x v="8"/>
    <n v="41135"/>
  </r>
  <r>
    <x v="7"/>
    <x v="38"/>
    <s v="Combined Heat and Power, Electric Power"/>
    <x v="9"/>
    <n v="784"/>
  </r>
  <r>
    <x v="7"/>
    <x v="38"/>
    <s v="Combined Heat and Power, Electric Power"/>
    <x v="4"/>
    <n v="199332"/>
  </r>
  <r>
    <x v="7"/>
    <x v="38"/>
    <s v="Combined Heat and Power, Electric Power"/>
    <x v="6"/>
    <n v="202582"/>
  </r>
  <r>
    <x v="7"/>
    <x v="38"/>
    <s v="Combined Heat and Power, Commercial Power"/>
    <x v="0"/>
    <n v="411497"/>
  </r>
  <r>
    <x v="7"/>
    <x v="38"/>
    <s v="Combined Heat and Power, Commercial Power"/>
    <x v="1"/>
    <n v="7294"/>
  </r>
  <r>
    <x v="7"/>
    <x v="38"/>
    <s v="Combined Heat and Power, Commercial Power"/>
    <x v="3"/>
    <n v="171821"/>
  </r>
  <r>
    <x v="7"/>
    <x v="38"/>
    <s v="Combined Heat and Power, Commercial Power"/>
    <x v="8"/>
    <n v="225550"/>
  </r>
  <r>
    <x v="7"/>
    <x v="38"/>
    <s v="Combined Heat and Power, Commercial Power"/>
    <x v="4"/>
    <n v="6832"/>
  </r>
  <r>
    <x v="7"/>
    <x v="39"/>
    <s v="Total Electric Power Industry"/>
    <x v="0"/>
    <n v="7709553"/>
  </r>
  <r>
    <x v="7"/>
    <x v="39"/>
    <s v="Total Electric Power Industry"/>
    <x v="1"/>
    <n v="0"/>
  </r>
  <r>
    <x v="7"/>
    <x v="39"/>
    <s v="Total Electric Power Industry"/>
    <x v="2"/>
    <n v="7509"/>
  </r>
  <r>
    <x v="7"/>
    <x v="39"/>
    <s v="Total Electric Power Industry"/>
    <x v="3"/>
    <n v="7508404"/>
  </r>
  <r>
    <x v="7"/>
    <x v="39"/>
    <s v="Total Electric Power Industry"/>
    <x v="8"/>
    <n v="104590"/>
  </r>
  <r>
    <x v="7"/>
    <x v="39"/>
    <s v="Total Electric Power Industry"/>
    <x v="4"/>
    <n v="89050"/>
  </r>
  <r>
    <x v="7"/>
    <x v="39"/>
    <s v="Electric Generators, Independent Power Producers"/>
    <x v="0"/>
    <n v="3551611"/>
  </r>
  <r>
    <x v="7"/>
    <x v="39"/>
    <s v="Electric Generators, Independent Power Producers"/>
    <x v="2"/>
    <n v="7509"/>
  </r>
  <r>
    <x v="7"/>
    <x v="39"/>
    <s v="Electric Generators, Independent Power Producers"/>
    <x v="3"/>
    <n v="3437250"/>
  </r>
  <r>
    <x v="7"/>
    <x v="39"/>
    <s v="Electric Generators, Independent Power Producers"/>
    <x v="8"/>
    <n v="104590"/>
  </r>
  <r>
    <x v="7"/>
    <x v="39"/>
    <s v="Electric Generators, Independent Power Producers"/>
    <x v="4"/>
    <n v="2262"/>
  </r>
  <r>
    <x v="7"/>
    <x v="39"/>
    <s v="Electric Generators, Electric Utilities"/>
    <x v="0"/>
    <n v="3562833"/>
  </r>
  <r>
    <x v="7"/>
    <x v="39"/>
    <s v="Electric Generators, Electric Utilities"/>
    <x v="1"/>
    <n v="0"/>
  </r>
  <r>
    <x v="7"/>
    <x v="39"/>
    <s v="Electric Generators, Electric Utilities"/>
    <x v="2"/>
    <n v="0"/>
  </r>
  <r>
    <x v="7"/>
    <x v="39"/>
    <s v="Electric Generators, Electric Utilities"/>
    <x v="3"/>
    <n v="3546224"/>
  </r>
  <r>
    <x v="7"/>
    <x v="39"/>
    <s v="Electric Generators, Electric Utilities"/>
    <x v="4"/>
    <n v="16609"/>
  </r>
  <r>
    <x v="7"/>
    <x v="39"/>
    <s v="Combined Heat and Power, Industrial Power"/>
    <x v="0"/>
    <n v="4601"/>
  </r>
  <r>
    <x v="7"/>
    <x v="39"/>
    <s v="Combined Heat and Power, Industrial Power"/>
    <x v="3"/>
    <n v="857"/>
  </r>
  <r>
    <x v="7"/>
    <x v="39"/>
    <s v="Combined Heat and Power, Industrial Power"/>
    <x v="4"/>
    <n v="3744"/>
  </r>
  <r>
    <x v="7"/>
    <x v="39"/>
    <s v="Combined Heat and Power, Electric Power"/>
    <x v="0"/>
    <n v="539135"/>
  </r>
  <r>
    <x v="7"/>
    <x v="39"/>
    <s v="Combined Heat and Power, Electric Power"/>
    <x v="3"/>
    <n v="513102"/>
  </r>
  <r>
    <x v="7"/>
    <x v="39"/>
    <s v="Combined Heat and Power, Electric Power"/>
    <x v="4"/>
    <n v="26033"/>
  </r>
  <r>
    <x v="7"/>
    <x v="39"/>
    <s v="Combined Heat and Power, Commercial Power"/>
    <x v="0"/>
    <n v="51373"/>
  </r>
  <r>
    <x v="7"/>
    <x v="39"/>
    <s v="Combined Heat and Power, Commercial Power"/>
    <x v="3"/>
    <n v="10971"/>
  </r>
  <r>
    <x v="7"/>
    <x v="39"/>
    <s v="Combined Heat and Power, Commercial Power"/>
    <x v="4"/>
    <n v="40402"/>
  </r>
  <r>
    <x v="7"/>
    <x v="40"/>
    <s v="Total Electric Power Industry"/>
    <x v="0"/>
    <n v="80828058"/>
  </r>
  <r>
    <x v="7"/>
    <x v="40"/>
    <s v="Total Electric Power Industry"/>
    <x v="1"/>
    <n v="31574374"/>
  </r>
  <r>
    <x v="7"/>
    <x v="40"/>
    <s v="Total Electric Power Industry"/>
    <x v="2"/>
    <n v="2958153"/>
  </r>
  <r>
    <x v="7"/>
    <x v="40"/>
    <s v="Total Electric Power Industry"/>
    <x v="3"/>
    <n v="290711"/>
  </r>
  <r>
    <x v="7"/>
    <x v="40"/>
    <s v="Total Electric Power Industry"/>
    <x v="7"/>
    <n v="44915514"/>
  </r>
  <r>
    <x v="7"/>
    <x v="40"/>
    <s v="Total Electric Power Industry"/>
    <x v="12"/>
    <n v="5045"/>
  </r>
  <r>
    <x v="7"/>
    <x v="40"/>
    <s v="Total Electric Power Industry"/>
    <x v="8"/>
    <n v="67500"/>
  </r>
  <r>
    <x v="7"/>
    <x v="40"/>
    <s v="Total Electric Power Industry"/>
    <x v="9"/>
    <n v="1141"/>
  </r>
  <r>
    <x v="7"/>
    <x v="40"/>
    <s v="Total Electric Power Industry"/>
    <x v="4"/>
    <n v="364005"/>
  </r>
  <r>
    <x v="7"/>
    <x v="40"/>
    <s v="Total Electric Power Industry"/>
    <x v="10"/>
    <n v="-855044"/>
  </r>
  <r>
    <x v="7"/>
    <x v="40"/>
    <s v="Total Electric Power Industry"/>
    <x v="6"/>
    <n v="1506659"/>
  </r>
  <r>
    <x v="7"/>
    <x v="40"/>
    <s v="Electric Generators, Independent Power Producers"/>
    <x v="0"/>
    <n v="54569"/>
  </r>
  <r>
    <x v="7"/>
    <x v="40"/>
    <s v="Electric Generators, Independent Power Producers"/>
    <x v="2"/>
    <n v="54569"/>
  </r>
  <r>
    <x v="7"/>
    <x v="40"/>
    <s v="Electric Generators, Electric Utilities"/>
    <x v="0"/>
    <n v="78374450"/>
  </r>
  <r>
    <x v="7"/>
    <x v="40"/>
    <s v="Electric Generators, Electric Utilities"/>
    <x v="1"/>
    <n v="31042658"/>
  </r>
  <r>
    <x v="7"/>
    <x v="40"/>
    <s v="Electric Generators, Electric Utilities"/>
    <x v="2"/>
    <n v="2901794"/>
  </r>
  <r>
    <x v="7"/>
    <x v="40"/>
    <s v="Electric Generators, Electric Utilities"/>
    <x v="3"/>
    <n v="181202"/>
  </r>
  <r>
    <x v="7"/>
    <x v="40"/>
    <s v="Electric Generators, Electric Utilities"/>
    <x v="7"/>
    <n v="44915514"/>
  </r>
  <r>
    <x v="7"/>
    <x v="40"/>
    <s v="Electric Generators, Electric Utilities"/>
    <x v="4"/>
    <n v="188326"/>
  </r>
  <r>
    <x v="7"/>
    <x v="40"/>
    <s v="Electric Generators, Electric Utilities"/>
    <x v="10"/>
    <n v="-855044"/>
  </r>
  <r>
    <x v="7"/>
    <x v="40"/>
    <s v="Combined Heat and Power, Industrial Power"/>
    <x v="0"/>
    <n v="2331393"/>
  </r>
  <r>
    <x v="7"/>
    <x v="40"/>
    <s v="Combined Heat and Power, Industrial Power"/>
    <x v="1"/>
    <n v="531716"/>
  </r>
  <r>
    <x v="7"/>
    <x v="40"/>
    <s v="Combined Heat and Power, Industrial Power"/>
    <x v="3"/>
    <n v="107437"/>
  </r>
  <r>
    <x v="7"/>
    <x v="40"/>
    <s v="Combined Heat and Power, Industrial Power"/>
    <x v="12"/>
    <n v="5045"/>
  </r>
  <r>
    <x v="7"/>
    <x v="40"/>
    <s v="Combined Heat and Power, Industrial Power"/>
    <x v="8"/>
    <n v="5051"/>
  </r>
  <r>
    <x v="7"/>
    <x v="40"/>
    <s v="Combined Heat and Power, Industrial Power"/>
    <x v="9"/>
    <n v="1141"/>
  </r>
  <r>
    <x v="7"/>
    <x v="40"/>
    <s v="Combined Heat and Power, Industrial Power"/>
    <x v="4"/>
    <n v="174344"/>
  </r>
  <r>
    <x v="7"/>
    <x v="40"/>
    <s v="Combined Heat and Power, Industrial Power"/>
    <x v="6"/>
    <n v="1506659"/>
  </r>
  <r>
    <x v="7"/>
    <x v="40"/>
    <s v="Combined Heat and Power, Commercial Power"/>
    <x v="0"/>
    <n v="67646"/>
  </r>
  <r>
    <x v="7"/>
    <x v="40"/>
    <s v="Combined Heat and Power, Commercial Power"/>
    <x v="2"/>
    <n v="1790"/>
  </r>
  <r>
    <x v="7"/>
    <x v="40"/>
    <s v="Combined Heat and Power, Commercial Power"/>
    <x v="3"/>
    <n v="2072"/>
  </r>
  <r>
    <x v="7"/>
    <x v="40"/>
    <s v="Combined Heat and Power, Commercial Power"/>
    <x v="8"/>
    <n v="62449"/>
  </r>
  <r>
    <x v="7"/>
    <x v="40"/>
    <s v="Combined Heat and Power, Commercial Power"/>
    <x v="4"/>
    <n v="1335"/>
  </r>
  <r>
    <x v="7"/>
    <x v="41"/>
    <s v="Total Electric Power Industry"/>
    <x v="0"/>
    <n v="12449501"/>
  </r>
  <r>
    <x v="7"/>
    <x v="41"/>
    <s v="Total Electric Power Industry"/>
    <x v="1"/>
    <n v="3314068"/>
  </r>
  <r>
    <x v="7"/>
    <x v="41"/>
    <s v="Total Electric Power Industry"/>
    <x v="2"/>
    <n v="9012260"/>
  </r>
  <r>
    <x v="7"/>
    <x v="41"/>
    <s v="Total Electric Power Industry"/>
    <x v="3"/>
    <n v="116637"/>
  </r>
  <r>
    <x v="7"/>
    <x v="41"/>
    <s v="Total Electric Power Industry"/>
    <x v="4"/>
    <n v="6536"/>
  </r>
  <r>
    <x v="7"/>
    <x v="41"/>
    <s v="Electric Generators, Electric Utilities"/>
    <x v="0"/>
    <n v="12449501"/>
  </r>
  <r>
    <x v="7"/>
    <x v="41"/>
    <s v="Electric Generators, Electric Utilities"/>
    <x v="1"/>
    <n v="3314068"/>
  </r>
  <r>
    <x v="7"/>
    <x v="41"/>
    <s v="Electric Generators, Electric Utilities"/>
    <x v="2"/>
    <n v="9012260"/>
  </r>
  <r>
    <x v="7"/>
    <x v="41"/>
    <s v="Electric Generators, Electric Utilities"/>
    <x v="3"/>
    <n v="116637"/>
  </r>
  <r>
    <x v="7"/>
    <x v="41"/>
    <s v="Electric Generators, Electric Utilities"/>
    <x v="4"/>
    <n v="6536"/>
  </r>
  <r>
    <x v="7"/>
    <x v="42"/>
    <s v="Total Electric Power Industry"/>
    <x v="0"/>
    <n v="96814073"/>
  </r>
  <r>
    <x v="7"/>
    <x v="42"/>
    <s v="Total Electric Power Industry"/>
    <x v="1"/>
    <n v="60517697"/>
  </r>
  <r>
    <x v="7"/>
    <x v="42"/>
    <s v="Total Electric Power Industry"/>
    <x v="2"/>
    <n v="11037998"/>
  </r>
  <r>
    <x v="7"/>
    <x v="42"/>
    <s v="Total Electric Power Industry"/>
    <x v="3"/>
    <n v="356587"/>
  </r>
  <r>
    <x v="7"/>
    <x v="42"/>
    <s v="Total Electric Power Industry"/>
    <x v="7"/>
    <n v="24647994"/>
  </r>
  <r>
    <x v="7"/>
    <x v="42"/>
    <s v="Total Electric Power Industry"/>
    <x v="12"/>
    <n v="115440"/>
  </r>
  <r>
    <x v="7"/>
    <x v="42"/>
    <s v="Total Electric Power Industry"/>
    <x v="8"/>
    <n v="60910"/>
  </r>
  <r>
    <x v="7"/>
    <x v="42"/>
    <s v="Total Electric Power Industry"/>
    <x v="9"/>
    <n v="17555"/>
  </r>
  <r>
    <x v="7"/>
    <x v="42"/>
    <s v="Total Electric Power Industry"/>
    <x v="4"/>
    <n v="197610"/>
  </r>
  <r>
    <x v="7"/>
    <x v="42"/>
    <s v="Total Electric Power Industry"/>
    <x v="10"/>
    <n v="-672094"/>
  </r>
  <r>
    <x v="7"/>
    <x v="42"/>
    <s v="Total Electric Power Industry"/>
    <x v="6"/>
    <n v="534376"/>
  </r>
  <r>
    <x v="7"/>
    <x v="42"/>
    <s v="Electric Generators, Independent Power Producers"/>
    <x v="0"/>
    <n v="22707"/>
  </r>
  <r>
    <x v="7"/>
    <x v="42"/>
    <s v="Electric Generators, Independent Power Producers"/>
    <x v="8"/>
    <n v="22707"/>
  </r>
  <r>
    <x v="7"/>
    <x v="42"/>
    <s v="Electric Generators, Electric Utilities"/>
    <x v="0"/>
    <n v="93293232"/>
  </r>
  <r>
    <x v="7"/>
    <x v="42"/>
    <s v="Electric Generators, Electric Utilities"/>
    <x v="1"/>
    <n v="58899058"/>
  </r>
  <r>
    <x v="7"/>
    <x v="42"/>
    <s v="Electric Generators, Electric Utilities"/>
    <x v="2"/>
    <n v="10073313"/>
  </r>
  <r>
    <x v="7"/>
    <x v="42"/>
    <s v="Electric Generators, Electric Utilities"/>
    <x v="3"/>
    <n v="152081"/>
  </r>
  <r>
    <x v="7"/>
    <x v="42"/>
    <s v="Electric Generators, Electric Utilities"/>
    <x v="7"/>
    <n v="24647994"/>
  </r>
  <r>
    <x v="7"/>
    <x v="42"/>
    <s v="Electric Generators, Electric Utilities"/>
    <x v="4"/>
    <n v="192880"/>
  </r>
  <r>
    <x v="7"/>
    <x v="42"/>
    <s v="Electric Generators, Electric Utilities"/>
    <x v="10"/>
    <n v="-672094"/>
  </r>
  <r>
    <x v="7"/>
    <x v="42"/>
    <s v="Combined Heat and Power, Industrial Power"/>
    <x v="0"/>
    <n v="3383238"/>
  </r>
  <r>
    <x v="7"/>
    <x v="42"/>
    <s v="Combined Heat and Power, Industrial Power"/>
    <x v="1"/>
    <n v="1576275"/>
  </r>
  <r>
    <x v="7"/>
    <x v="42"/>
    <s v="Combined Heat and Power, Industrial Power"/>
    <x v="2"/>
    <n v="964685"/>
  </r>
  <r>
    <x v="7"/>
    <x v="42"/>
    <s v="Combined Heat and Power, Industrial Power"/>
    <x v="3"/>
    <n v="163539"/>
  </r>
  <r>
    <x v="7"/>
    <x v="42"/>
    <s v="Combined Heat and Power, Industrial Power"/>
    <x v="12"/>
    <n v="115440"/>
  </r>
  <r>
    <x v="7"/>
    <x v="42"/>
    <s v="Combined Heat and Power, Industrial Power"/>
    <x v="8"/>
    <n v="7012"/>
  </r>
  <r>
    <x v="7"/>
    <x v="42"/>
    <s v="Combined Heat and Power, Industrial Power"/>
    <x v="9"/>
    <n v="17486"/>
  </r>
  <r>
    <x v="7"/>
    <x v="42"/>
    <s v="Combined Heat and Power, Industrial Power"/>
    <x v="4"/>
    <n v="4530"/>
  </r>
  <r>
    <x v="7"/>
    <x v="42"/>
    <s v="Combined Heat and Power, Industrial Power"/>
    <x v="6"/>
    <n v="534271"/>
  </r>
  <r>
    <x v="7"/>
    <x v="42"/>
    <s v="Combined Heat and Power, Electric Power"/>
    <x v="0"/>
    <n v="174"/>
  </r>
  <r>
    <x v="7"/>
    <x v="42"/>
    <s v="Combined Heat and Power, Electric Power"/>
    <x v="9"/>
    <n v="69"/>
  </r>
  <r>
    <x v="7"/>
    <x v="42"/>
    <s v="Combined Heat and Power, Electric Power"/>
    <x v="6"/>
    <n v="105"/>
  </r>
  <r>
    <x v="7"/>
    <x v="42"/>
    <s v="Combined Heat and Power, Commercial Power"/>
    <x v="0"/>
    <n v="114722"/>
  </r>
  <r>
    <x v="7"/>
    <x v="42"/>
    <s v="Combined Heat and Power, Commercial Power"/>
    <x v="1"/>
    <n v="42364"/>
  </r>
  <r>
    <x v="7"/>
    <x v="42"/>
    <s v="Combined Heat and Power, Commercial Power"/>
    <x v="3"/>
    <n v="40967"/>
  </r>
  <r>
    <x v="7"/>
    <x v="42"/>
    <s v="Combined Heat and Power, Commercial Power"/>
    <x v="8"/>
    <n v="31191"/>
  </r>
  <r>
    <x v="7"/>
    <x v="42"/>
    <s v="Combined Heat and Power, Commercial Power"/>
    <x v="4"/>
    <n v="200"/>
  </r>
  <r>
    <x v="7"/>
    <x v="43"/>
    <s v="Total Electric Power Industry"/>
    <x v="0"/>
    <n v="336319510"/>
  </r>
  <r>
    <x v="7"/>
    <x v="43"/>
    <s v="Total Electric Power Industry"/>
    <x v="1"/>
    <n v="138491102"/>
  </r>
  <r>
    <x v="7"/>
    <x v="43"/>
    <s v="Total Electric Power Industry"/>
    <x v="2"/>
    <n v="1790750"/>
  </r>
  <r>
    <x v="7"/>
    <x v="43"/>
    <s v="Total Electric Power Industry"/>
    <x v="3"/>
    <n v="151504768"/>
  </r>
  <r>
    <x v="7"/>
    <x v="43"/>
    <s v="Total Electric Power Industry"/>
    <x v="7"/>
    <n v="37357647"/>
  </r>
  <r>
    <x v="7"/>
    <x v="43"/>
    <s v="Total Electric Power Industry"/>
    <x v="12"/>
    <n v="404237"/>
  </r>
  <r>
    <x v="7"/>
    <x v="43"/>
    <s v="Total Electric Power Industry"/>
    <x v="8"/>
    <n v="88899"/>
  </r>
  <r>
    <x v="7"/>
    <x v="43"/>
    <s v="Total Electric Power Industry"/>
    <x v="9"/>
    <n v="3705248"/>
  </r>
  <r>
    <x v="7"/>
    <x v="43"/>
    <s v="Total Electric Power Industry"/>
    <x v="4"/>
    <n v="1523836"/>
  </r>
  <r>
    <x v="7"/>
    <x v="43"/>
    <s v="Total Electric Power Industry"/>
    <x v="13"/>
    <n v="212"/>
  </r>
  <r>
    <x v="7"/>
    <x v="43"/>
    <s v="Total Electric Power Industry"/>
    <x v="5"/>
    <n v="81054"/>
  </r>
  <r>
    <x v="7"/>
    <x v="43"/>
    <s v="Total Electric Power Industry"/>
    <x v="6"/>
    <n v="1371757"/>
  </r>
  <r>
    <x v="7"/>
    <x v="43"/>
    <s v="Electric Generators, Independent Power Producers"/>
    <x v="0"/>
    <n v="150958"/>
  </r>
  <r>
    <x v="7"/>
    <x v="43"/>
    <s v="Electric Generators, Independent Power Producers"/>
    <x v="2"/>
    <n v="6121"/>
  </r>
  <r>
    <x v="7"/>
    <x v="43"/>
    <s v="Electric Generators, Independent Power Producers"/>
    <x v="3"/>
    <n v="18848"/>
  </r>
  <r>
    <x v="7"/>
    <x v="43"/>
    <s v="Electric Generators, Independent Power Producers"/>
    <x v="8"/>
    <n v="44935"/>
  </r>
  <r>
    <x v="7"/>
    <x v="43"/>
    <s v="Electric Generators, Independent Power Producers"/>
    <x v="5"/>
    <n v="81054"/>
  </r>
  <r>
    <x v="7"/>
    <x v="43"/>
    <s v="Electric Generators, Electric Utilities"/>
    <x v="0"/>
    <n v="277190347"/>
  </r>
  <r>
    <x v="7"/>
    <x v="43"/>
    <s v="Electric Generators, Electric Utilities"/>
    <x v="1"/>
    <n v="135696240"/>
  </r>
  <r>
    <x v="7"/>
    <x v="43"/>
    <s v="Electric Generators, Electric Utilities"/>
    <x v="2"/>
    <n v="1784629"/>
  </r>
  <r>
    <x v="7"/>
    <x v="43"/>
    <s v="Electric Generators, Electric Utilities"/>
    <x v="3"/>
    <n v="102163775"/>
  </r>
  <r>
    <x v="7"/>
    <x v="43"/>
    <s v="Electric Generators, Electric Utilities"/>
    <x v="7"/>
    <n v="37357647"/>
  </r>
  <r>
    <x v="7"/>
    <x v="43"/>
    <s v="Electric Generators, Electric Utilities"/>
    <x v="4"/>
    <n v="187844"/>
  </r>
  <r>
    <x v="7"/>
    <x v="43"/>
    <s v="Electric Generators, Electric Utilities"/>
    <x v="13"/>
    <n v="212"/>
  </r>
  <r>
    <x v="7"/>
    <x v="43"/>
    <s v="Combined Heat and Power, Industrial Power"/>
    <x v="0"/>
    <n v="38672093"/>
  </r>
  <r>
    <x v="7"/>
    <x v="43"/>
    <s v="Combined Heat and Power, Industrial Power"/>
    <x v="1"/>
    <n v="2794862"/>
  </r>
  <r>
    <x v="7"/>
    <x v="43"/>
    <s v="Combined Heat and Power, Industrial Power"/>
    <x v="3"/>
    <n v="30811844"/>
  </r>
  <r>
    <x v="7"/>
    <x v="43"/>
    <s v="Combined Heat and Power, Industrial Power"/>
    <x v="12"/>
    <n v="349612"/>
  </r>
  <r>
    <x v="7"/>
    <x v="43"/>
    <s v="Combined Heat and Power, Industrial Power"/>
    <x v="8"/>
    <n v="37791"/>
  </r>
  <r>
    <x v="7"/>
    <x v="43"/>
    <s v="Combined Heat and Power, Industrial Power"/>
    <x v="9"/>
    <n v="3185152"/>
  </r>
  <r>
    <x v="7"/>
    <x v="43"/>
    <s v="Combined Heat and Power, Industrial Power"/>
    <x v="4"/>
    <n v="121075"/>
  </r>
  <r>
    <x v="7"/>
    <x v="43"/>
    <s v="Combined Heat and Power, Industrial Power"/>
    <x v="6"/>
    <n v="1371757"/>
  </r>
  <r>
    <x v="7"/>
    <x v="43"/>
    <s v="Combined Heat and Power, Electric Power"/>
    <x v="0"/>
    <n v="19890667"/>
  </r>
  <r>
    <x v="7"/>
    <x v="43"/>
    <s v="Combined Heat and Power, Electric Power"/>
    <x v="3"/>
    <n v="18106192"/>
  </r>
  <r>
    <x v="7"/>
    <x v="43"/>
    <s v="Combined Heat and Power, Electric Power"/>
    <x v="12"/>
    <n v="54625"/>
  </r>
  <r>
    <x v="7"/>
    <x v="43"/>
    <s v="Combined Heat and Power, Electric Power"/>
    <x v="9"/>
    <n v="520096"/>
  </r>
  <r>
    <x v="7"/>
    <x v="43"/>
    <s v="Combined Heat and Power, Electric Power"/>
    <x v="4"/>
    <n v="1209754"/>
  </r>
  <r>
    <x v="7"/>
    <x v="43"/>
    <s v="Combined Heat and Power, Commercial Power"/>
    <x v="0"/>
    <n v="415445"/>
  </r>
  <r>
    <x v="7"/>
    <x v="43"/>
    <s v="Combined Heat and Power, Commercial Power"/>
    <x v="3"/>
    <n v="404109"/>
  </r>
  <r>
    <x v="7"/>
    <x v="43"/>
    <s v="Combined Heat and Power, Commercial Power"/>
    <x v="8"/>
    <n v="6173"/>
  </r>
  <r>
    <x v="7"/>
    <x v="43"/>
    <s v="Combined Heat and Power, Commercial Power"/>
    <x v="4"/>
    <n v="5163"/>
  </r>
  <r>
    <x v="7"/>
    <x v="44"/>
    <s v="Total Electric Power Industry"/>
    <x v="0"/>
    <n v="3492172283"/>
  </r>
  <r>
    <x v="7"/>
    <x v="44"/>
    <s v="Total Electric Power Industry"/>
    <x v="1"/>
    <n v="1845015736"/>
  </r>
  <r>
    <x v="7"/>
    <x v="44"/>
    <s v="Total Electric Power Industry"/>
    <x v="11"/>
    <n v="14726102"/>
  </r>
  <r>
    <x v="7"/>
    <x v="44"/>
    <s v="Total Electric Power Industry"/>
    <x v="2"/>
    <n v="356453295"/>
  </r>
  <r>
    <x v="7"/>
    <x v="44"/>
    <s v="Total Electric Power Industry"/>
    <x v="3"/>
    <n v="479398670"/>
  </r>
  <r>
    <x v="7"/>
    <x v="44"/>
    <s v="Total Electric Power Industry"/>
    <x v="7"/>
    <n v="628644171"/>
  </r>
  <r>
    <x v="7"/>
    <x v="44"/>
    <s v="Total Electric Power Industry"/>
    <x v="12"/>
    <n v="3611990"/>
  </r>
  <r>
    <x v="7"/>
    <x v="44"/>
    <s v="Total Electric Power Industry"/>
    <x v="8"/>
    <n v="21709073"/>
  </r>
  <r>
    <x v="7"/>
    <x v="44"/>
    <s v="Total Electric Power Industry"/>
    <x v="9"/>
    <n v="13350634"/>
  </r>
  <r>
    <x v="7"/>
    <x v="44"/>
    <s v="Total Electric Power Industry"/>
    <x v="4"/>
    <n v="92554873"/>
  </r>
  <r>
    <x v="7"/>
    <x v="44"/>
    <s v="Total Electric Power Industry"/>
    <x v="10"/>
    <n v="-4039905"/>
  </r>
  <r>
    <x v="7"/>
    <x v="44"/>
    <s v="Total Electric Power Industry"/>
    <x v="13"/>
    <n v="511168"/>
  </r>
  <r>
    <x v="7"/>
    <x v="44"/>
    <s v="Total Electric Power Industry"/>
    <x v="5"/>
    <n v="3288035"/>
  </r>
  <r>
    <x v="7"/>
    <x v="44"/>
    <s v="Total Electric Power Industry"/>
    <x v="6"/>
    <n v="36948441"/>
  </r>
  <r>
    <x v="7"/>
    <x v="44"/>
    <s v="Electric Generators, Independent Power Producers"/>
    <x v="0"/>
    <n v="58741256"/>
  </r>
  <r>
    <x v="7"/>
    <x v="44"/>
    <s v="Electric Generators, Independent Power Producers"/>
    <x v="1"/>
    <n v="5343990"/>
  </r>
  <r>
    <x v="7"/>
    <x v="44"/>
    <s v="Electric Generators, Independent Power Producers"/>
    <x v="11"/>
    <n v="9256992"/>
  </r>
  <r>
    <x v="7"/>
    <x v="44"/>
    <s v="Electric Generators, Independent Power Producers"/>
    <x v="2"/>
    <n v="9374519"/>
  </r>
  <r>
    <x v="7"/>
    <x v="44"/>
    <s v="Electric Generators, Independent Power Producers"/>
    <x v="3"/>
    <n v="7506269"/>
  </r>
  <r>
    <x v="7"/>
    <x v="44"/>
    <s v="Electric Generators, Independent Power Producers"/>
    <x v="8"/>
    <n v="15153365"/>
  </r>
  <r>
    <x v="7"/>
    <x v="44"/>
    <s v="Electric Generators, Independent Power Producers"/>
    <x v="9"/>
    <n v="30615"/>
  </r>
  <r>
    <x v="7"/>
    <x v="44"/>
    <s v="Electric Generators, Independent Power Producers"/>
    <x v="4"/>
    <n v="2556696"/>
  </r>
  <r>
    <x v="7"/>
    <x v="44"/>
    <s v="Electric Generators, Independent Power Producers"/>
    <x v="13"/>
    <n v="507687"/>
  </r>
  <r>
    <x v="7"/>
    <x v="44"/>
    <s v="Electric Generators, Independent Power Producers"/>
    <x v="5"/>
    <n v="3282058"/>
  </r>
  <r>
    <x v="7"/>
    <x v="44"/>
    <s v="Electric Generators, Independent Power Producers"/>
    <x v="6"/>
    <n v="5729065"/>
  </r>
  <r>
    <x v="7"/>
    <x v="44"/>
    <s v="Electric Generators, Electric Utilities"/>
    <x v="0"/>
    <n v="3122523144"/>
  </r>
  <r>
    <x v="7"/>
    <x v="44"/>
    <s v="Electric Generators, Electric Utilities"/>
    <x v="1"/>
    <n v="1787806344"/>
  </r>
  <r>
    <x v="7"/>
    <x v="44"/>
    <s v="Electric Generators, Electric Utilities"/>
    <x v="11"/>
    <n v="5469110"/>
  </r>
  <r>
    <x v="7"/>
    <x v="44"/>
    <s v="Electric Generators, Electric Utilities"/>
    <x v="2"/>
    <n v="341273443"/>
  </r>
  <r>
    <x v="7"/>
    <x v="44"/>
    <s v="Electric Generators, Electric Utilities"/>
    <x v="3"/>
    <n v="283624806"/>
  </r>
  <r>
    <x v="7"/>
    <x v="44"/>
    <s v="Electric Generators, Electric Utilities"/>
    <x v="7"/>
    <n v="628644171"/>
  </r>
  <r>
    <x v="7"/>
    <x v="44"/>
    <s v="Electric Generators, Electric Utilities"/>
    <x v="8"/>
    <n v="1243774"/>
  </r>
  <r>
    <x v="7"/>
    <x v="44"/>
    <s v="Electric Generators, Electric Utilities"/>
    <x v="4"/>
    <n v="77752652"/>
  </r>
  <r>
    <x v="7"/>
    <x v="44"/>
    <s v="Electric Generators, Electric Utilities"/>
    <x v="10"/>
    <n v="-4039905"/>
  </r>
  <r>
    <x v="7"/>
    <x v="44"/>
    <s v="Electric Generators, Electric Utilities"/>
    <x v="13"/>
    <n v="3481"/>
  </r>
  <r>
    <x v="7"/>
    <x v="44"/>
    <s v="Electric Generators, Electric Utilities"/>
    <x v="5"/>
    <n v="5977"/>
  </r>
  <r>
    <x v="7"/>
    <x v="44"/>
    <s v="Electric Generators, Electric Utilities"/>
    <x v="6"/>
    <n v="739291"/>
  </r>
  <r>
    <x v="7"/>
    <x v="44"/>
    <s v="Combined Heat and Power, Industrial Power"/>
    <x v="0"/>
    <n v="154096608"/>
  </r>
  <r>
    <x v="7"/>
    <x v="44"/>
    <s v="Combined Heat and Power, Industrial Power"/>
    <x v="1"/>
    <n v="23214152"/>
  </r>
  <r>
    <x v="7"/>
    <x v="44"/>
    <s v="Combined Heat and Power, Industrial Power"/>
    <x v="2"/>
    <n v="5685141"/>
  </r>
  <r>
    <x v="7"/>
    <x v="44"/>
    <s v="Combined Heat and Power, Industrial Power"/>
    <x v="3"/>
    <n v="75077847"/>
  </r>
  <r>
    <x v="7"/>
    <x v="44"/>
    <s v="Combined Heat and Power, Industrial Power"/>
    <x v="12"/>
    <n v="3549171"/>
  </r>
  <r>
    <x v="7"/>
    <x v="44"/>
    <s v="Combined Heat and Power, Industrial Power"/>
    <x v="8"/>
    <n v="882479"/>
  </r>
  <r>
    <x v="7"/>
    <x v="44"/>
    <s v="Combined Heat and Power, Industrial Power"/>
    <x v="9"/>
    <n v="11814154"/>
  </r>
  <r>
    <x v="7"/>
    <x v="44"/>
    <s v="Combined Heat and Power, Industrial Power"/>
    <x v="4"/>
    <n v="5648645"/>
  </r>
  <r>
    <x v="7"/>
    <x v="44"/>
    <s v="Combined Heat and Power, Industrial Power"/>
    <x v="6"/>
    <n v="28225019"/>
  </r>
  <r>
    <x v="7"/>
    <x v="44"/>
    <s v="Combined Heat and Power, Electric Power"/>
    <x v="0"/>
    <n v="148110733"/>
  </r>
  <r>
    <x v="7"/>
    <x v="44"/>
    <s v="Combined Heat and Power, Electric Power"/>
    <x v="1"/>
    <n v="27611427"/>
  </r>
  <r>
    <x v="7"/>
    <x v="44"/>
    <s v="Combined Heat and Power, Electric Power"/>
    <x v="3"/>
    <n v="108464747"/>
  </r>
  <r>
    <x v="7"/>
    <x v="44"/>
    <s v="Combined Heat and Power, Electric Power"/>
    <x v="12"/>
    <n v="62807"/>
  </r>
  <r>
    <x v="7"/>
    <x v="44"/>
    <s v="Combined Heat and Power, Electric Power"/>
    <x v="8"/>
    <n v="2087426"/>
  </r>
  <r>
    <x v="7"/>
    <x v="44"/>
    <s v="Combined Heat and Power, Electric Power"/>
    <x v="9"/>
    <n v="1502751"/>
  </r>
  <r>
    <x v="7"/>
    <x v="44"/>
    <s v="Combined Heat and Power, Electric Power"/>
    <x v="4"/>
    <n v="6169702"/>
  </r>
  <r>
    <x v="7"/>
    <x v="44"/>
    <s v="Combined Heat and Power, Electric Power"/>
    <x v="6"/>
    <n v="2211873"/>
  </r>
  <r>
    <x v="7"/>
    <x v="44"/>
    <s v="Combined Heat and Power, Commercial Power"/>
    <x v="0"/>
    <n v="8700542"/>
  </r>
  <r>
    <x v="7"/>
    <x v="44"/>
    <s v="Combined Heat and Power, Commercial Power"/>
    <x v="1"/>
    <n v="1039823"/>
  </r>
  <r>
    <x v="7"/>
    <x v="44"/>
    <s v="Combined Heat and Power, Commercial Power"/>
    <x v="2"/>
    <n v="120192"/>
  </r>
  <r>
    <x v="7"/>
    <x v="44"/>
    <s v="Combined Heat and Power, Commercial Power"/>
    <x v="3"/>
    <n v="4725001"/>
  </r>
  <r>
    <x v="7"/>
    <x v="44"/>
    <s v="Combined Heat and Power, Commercial Power"/>
    <x v="12"/>
    <n v="12"/>
  </r>
  <r>
    <x v="7"/>
    <x v="44"/>
    <s v="Combined Heat and Power, Commercial Power"/>
    <x v="8"/>
    <n v="2342029"/>
  </r>
  <r>
    <x v="7"/>
    <x v="44"/>
    <s v="Combined Heat and Power, Commercial Power"/>
    <x v="9"/>
    <n v="3114"/>
  </r>
  <r>
    <x v="7"/>
    <x v="44"/>
    <s v="Combined Heat and Power, Commercial Power"/>
    <x v="4"/>
    <n v="427178"/>
  </r>
  <r>
    <x v="7"/>
    <x v="44"/>
    <s v="Combined Heat and Power, Commercial Power"/>
    <x v="6"/>
    <n v="43193"/>
  </r>
  <r>
    <x v="7"/>
    <x v="45"/>
    <s v="Total Electric Power Industry"/>
    <x v="0"/>
    <n v="34712212"/>
  </r>
  <r>
    <x v="7"/>
    <x v="45"/>
    <s v="Total Electric Power Industry"/>
    <x v="1"/>
    <n v="32544003"/>
  </r>
  <r>
    <x v="7"/>
    <x v="45"/>
    <s v="Total Electric Power Industry"/>
    <x v="11"/>
    <n v="168518"/>
  </r>
  <r>
    <x v="7"/>
    <x v="45"/>
    <s v="Total Electric Power Industry"/>
    <x v="2"/>
    <n v="1344161"/>
  </r>
  <r>
    <x v="7"/>
    <x v="45"/>
    <s v="Total Electric Power Industry"/>
    <x v="3"/>
    <n v="327566"/>
  </r>
  <r>
    <x v="7"/>
    <x v="45"/>
    <s v="Total Electric Power Industry"/>
    <x v="9"/>
    <n v="281017"/>
  </r>
  <r>
    <x v="7"/>
    <x v="45"/>
    <s v="Total Electric Power Industry"/>
    <x v="4"/>
    <n v="46947"/>
  </r>
  <r>
    <x v="7"/>
    <x v="45"/>
    <s v="Total Electric Power Industry"/>
    <x v="10"/>
    <n v="0"/>
  </r>
  <r>
    <x v="7"/>
    <x v="45"/>
    <s v="Electric Generators, Independent Power Producers"/>
    <x v="0"/>
    <n v="401820"/>
  </r>
  <r>
    <x v="7"/>
    <x v="45"/>
    <s v="Electric Generators, Independent Power Producers"/>
    <x v="1"/>
    <n v="385829"/>
  </r>
  <r>
    <x v="7"/>
    <x v="45"/>
    <s v="Electric Generators, Independent Power Producers"/>
    <x v="2"/>
    <n v="13583"/>
  </r>
  <r>
    <x v="7"/>
    <x v="45"/>
    <s v="Electric Generators, Independent Power Producers"/>
    <x v="4"/>
    <n v="2408"/>
  </r>
  <r>
    <x v="7"/>
    <x v="45"/>
    <s v="Electric Generators, Electric Utilities"/>
    <x v="0"/>
    <n v="33969325"/>
  </r>
  <r>
    <x v="7"/>
    <x v="45"/>
    <s v="Electric Generators, Electric Utilities"/>
    <x v="1"/>
    <n v="32143936"/>
  </r>
  <r>
    <x v="7"/>
    <x v="45"/>
    <s v="Electric Generators, Electric Utilities"/>
    <x v="11"/>
    <n v="168518"/>
  </r>
  <r>
    <x v="7"/>
    <x v="45"/>
    <s v="Electric Generators, Electric Utilities"/>
    <x v="2"/>
    <n v="1330578"/>
  </r>
  <r>
    <x v="7"/>
    <x v="45"/>
    <s v="Electric Generators, Electric Utilities"/>
    <x v="3"/>
    <n v="297457"/>
  </r>
  <r>
    <x v="7"/>
    <x v="45"/>
    <s v="Electric Generators, Electric Utilities"/>
    <x v="4"/>
    <n v="28836"/>
  </r>
  <r>
    <x v="7"/>
    <x v="45"/>
    <s v="Electric Generators, Electric Utilities"/>
    <x v="10"/>
    <n v="0"/>
  </r>
  <r>
    <x v="7"/>
    <x v="45"/>
    <s v="Combined Heat and Power, Industrial Power"/>
    <x v="0"/>
    <n v="317002"/>
  </r>
  <r>
    <x v="7"/>
    <x v="45"/>
    <s v="Combined Heat and Power, Industrial Power"/>
    <x v="1"/>
    <n v="14238"/>
  </r>
  <r>
    <x v="7"/>
    <x v="45"/>
    <s v="Combined Heat and Power, Industrial Power"/>
    <x v="3"/>
    <n v="9258"/>
  </r>
  <r>
    <x v="7"/>
    <x v="45"/>
    <s v="Combined Heat and Power, Industrial Power"/>
    <x v="9"/>
    <n v="277915"/>
  </r>
  <r>
    <x v="7"/>
    <x v="45"/>
    <s v="Combined Heat and Power, Industrial Power"/>
    <x v="4"/>
    <n v="15591"/>
  </r>
  <r>
    <x v="7"/>
    <x v="45"/>
    <s v="Combined Heat and Power, Commercial Power"/>
    <x v="0"/>
    <n v="24065"/>
  </r>
  <r>
    <x v="7"/>
    <x v="45"/>
    <s v="Combined Heat and Power, Commercial Power"/>
    <x v="3"/>
    <n v="20851"/>
  </r>
  <r>
    <x v="7"/>
    <x v="45"/>
    <s v="Combined Heat and Power, Commercial Power"/>
    <x v="9"/>
    <n v="3102"/>
  </r>
  <r>
    <x v="7"/>
    <x v="45"/>
    <s v="Combined Heat and Power, Commercial Power"/>
    <x v="4"/>
    <n v="112"/>
  </r>
  <r>
    <x v="7"/>
    <x v="46"/>
    <s v="Total Electric Power Industry"/>
    <x v="0"/>
    <n v="68515334"/>
  </r>
  <r>
    <x v="7"/>
    <x v="46"/>
    <s v="Total Electric Power Industry"/>
    <x v="1"/>
    <n v="34159931"/>
  </r>
  <r>
    <x v="7"/>
    <x v="46"/>
    <s v="Total Electric Power Industry"/>
    <x v="2"/>
    <n v="1020276"/>
  </r>
  <r>
    <x v="7"/>
    <x v="46"/>
    <s v="Total Electric Power Industry"/>
    <x v="3"/>
    <n v="1880049"/>
  </r>
  <r>
    <x v="7"/>
    <x v="46"/>
    <s v="Total Electric Power Industry"/>
    <x v="7"/>
    <n v="27084059"/>
  </r>
  <r>
    <x v="7"/>
    <x v="46"/>
    <s v="Total Electric Power Industry"/>
    <x v="8"/>
    <n v="1055393"/>
  </r>
  <r>
    <x v="7"/>
    <x v="46"/>
    <s v="Total Electric Power Industry"/>
    <x v="9"/>
    <n v="66"/>
  </r>
  <r>
    <x v="7"/>
    <x v="46"/>
    <s v="Total Electric Power Industry"/>
    <x v="4"/>
    <n v="2770044"/>
  </r>
  <r>
    <x v="7"/>
    <x v="46"/>
    <s v="Total Electric Power Industry"/>
    <x v="10"/>
    <n v="-863791"/>
  </r>
  <r>
    <x v="7"/>
    <x v="46"/>
    <s v="Total Electric Power Industry"/>
    <x v="13"/>
    <n v="0"/>
  </r>
  <r>
    <x v="7"/>
    <x v="46"/>
    <s v="Total Electric Power Industry"/>
    <x v="6"/>
    <n v="1409307"/>
  </r>
  <r>
    <x v="7"/>
    <x v="46"/>
    <s v="Electric Generators, Independent Power Producers"/>
    <x v="0"/>
    <n v="2510375"/>
  </r>
  <r>
    <x v="7"/>
    <x v="46"/>
    <s v="Electric Generators, Independent Power Producers"/>
    <x v="2"/>
    <n v="67835"/>
  </r>
  <r>
    <x v="7"/>
    <x v="46"/>
    <s v="Electric Generators, Independent Power Producers"/>
    <x v="3"/>
    <n v="71411"/>
  </r>
  <r>
    <x v="7"/>
    <x v="46"/>
    <s v="Electric Generators, Independent Power Producers"/>
    <x v="8"/>
    <n v="692045"/>
  </r>
  <r>
    <x v="7"/>
    <x v="46"/>
    <s v="Electric Generators, Independent Power Producers"/>
    <x v="4"/>
    <n v="1573488"/>
  </r>
  <r>
    <x v="7"/>
    <x v="46"/>
    <s v="Electric Generators, Independent Power Producers"/>
    <x v="6"/>
    <n v="105596"/>
  </r>
  <r>
    <x v="7"/>
    <x v="46"/>
    <s v="Electric Generators, Electric Utilities"/>
    <x v="0"/>
    <n v="58985991"/>
  </r>
  <r>
    <x v="7"/>
    <x v="46"/>
    <s v="Electric Generators, Electric Utilities"/>
    <x v="1"/>
    <n v="29676411"/>
  </r>
  <r>
    <x v="7"/>
    <x v="46"/>
    <s v="Electric Generators, Electric Utilities"/>
    <x v="2"/>
    <n v="939569"/>
  </r>
  <r>
    <x v="7"/>
    <x v="46"/>
    <s v="Electric Generators, Electric Utilities"/>
    <x v="3"/>
    <n v="1291954"/>
  </r>
  <r>
    <x v="7"/>
    <x v="46"/>
    <s v="Electric Generators, Electric Utilities"/>
    <x v="7"/>
    <n v="27084059"/>
  </r>
  <r>
    <x v="7"/>
    <x v="46"/>
    <s v="Electric Generators, Electric Utilities"/>
    <x v="4"/>
    <n v="857789"/>
  </r>
  <r>
    <x v="7"/>
    <x v="46"/>
    <s v="Electric Generators, Electric Utilities"/>
    <x v="10"/>
    <n v="-863791"/>
  </r>
  <r>
    <x v="7"/>
    <x v="46"/>
    <s v="Electric Generators, Electric Utilities"/>
    <x v="13"/>
    <n v="0"/>
  </r>
  <r>
    <x v="7"/>
    <x v="46"/>
    <s v="Combined Heat and Power, Industrial Power"/>
    <x v="0"/>
    <n v="2615905"/>
  </r>
  <r>
    <x v="7"/>
    <x v="46"/>
    <s v="Combined Heat and Power, Industrial Power"/>
    <x v="1"/>
    <n v="977824"/>
  </r>
  <r>
    <x v="7"/>
    <x v="46"/>
    <s v="Combined Heat and Power, Industrial Power"/>
    <x v="2"/>
    <n v="12872"/>
  </r>
  <r>
    <x v="7"/>
    <x v="46"/>
    <s v="Combined Heat and Power, Industrial Power"/>
    <x v="3"/>
    <n v="121901"/>
  </r>
  <r>
    <x v="7"/>
    <x v="46"/>
    <s v="Combined Heat and Power, Industrial Power"/>
    <x v="8"/>
    <n v="17572"/>
  </r>
  <r>
    <x v="7"/>
    <x v="46"/>
    <s v="Combined Heat and Power, Industrial Power"/>
    <x v="9"/>
    <n v="66"/>
  </r>
  <r>
    <x v="7"/>
    <x v="46"/>
    <s v="Combined Heat and Power, Industrial Power"/>
    <x v="4"/>
    <n v="185387"/>
  </r>
  <r>
    <x v="7"/>
    <x v="46"/>
    <s v="Combined Heat and Power, Industrial Power"/>
    <x v="6"/>
    <n v="1300283"/>
  </r>
  <r>
    <x v="7"/>
    <x v="46"/>
    <s v="Combined Heat and Power, Electric Power"/>
    <x v="0"/>
    <n v="3745572"/>
  </r>
  <r>
    <x v="7"/>
    <x v="46"/>
    <s v="Combined Heat and Power, Electric Power"/>
    <x v="1"/>
    <n v="3484483"/>
  </r>
  <r>
    <x v="7"/>
    <x v="46"/>
    <s v="Combined Heat and Power, Electric Power"/>
    <x v="3"/>
    <n v="214023"/>
  </r>
  <r>
    <x v="7"/>
    <x v="46"/>
    <s v="Combined Heat and Power, Electric Power"/>
    <x v="8"/>
    <n v="2268"/>
  </r>
  <r>
    <x v="7"/>
    <x v="46"/>
    <s v="Combined Heat and Power, Electric Power"/>
    <x v="4"/>
    <n v="41370"/>
  </r>
  <r>
    <x v="7"/>
    <x v="46"/>
    <s v="Combined Heat and Power, Electric Power"/>
    <x v="6"/>
    <n v="3428"/>
  </r>
  <r>
    <x v="7"/>
    <x v="46"/>
    <s v="Combined Heat and Power, Commercial Power"/>
    <x v="0"/>
    <n v="657491"/>
  </r>
  <r>
    <x v="7"/>
    <x v="46"/>
    <s v="Combined Heat and Power, Commercial Power"/>
    <x v="1"/>
    <n v="21213"/>
  </r>
  <r>
    <x v="7"/>
    <x v="46"/>
    <s v="Combined Heat and Power, Commercial Power"/>
    <x v="3"/>
    <n v="180760"/>
  </r>
  <r>
    <x v="7"/>
    <x v="46"/>
    <s v="Combined Heat and Power, Commercial Power"/>
    <x v="8"/>
    <n v="343508"/>
  </r>
  <r>
    <x v="7"/>
    <x v="46"/>
    <s v="Combined Heat and Power, Commercial Power"/>
    <x v="4"/>
    <n v="112010"/>
  </r>
  <r>
    <x v="7"/>
    <x v="47"/>
    <s v="Total Electric Power Industry"/>
    <x v="0"/>
    <n v="5680538"/>
  </r>
  <r>
    <x v="7"/>
    <x v="47"/>
    <s v="Total Electric Power Industry"/>
    <x v="2"/>
    <n v="1067442"/>
  </r>
  <r>
    <x v="7"/>
    <x v="47"/>
    <s v="Total Electric Power Industry"/>
    <x v="3"/>
    <n v="93"/>
  </r>
  <r>
    <x v="7"/>
    <x v="47"/>
    <s v="Total Electric Power Industry"/>
    <x v="7"/>
    <n v="4266866"/>
  </r>
  <r>
    <x v="7"/>
    <x v="47"/>
    <s v="Total Electric Power Industry"/>
    <x v="4"/>
    <n v="11206"/>
  </r>
  <r>
    <x v="7"/>
    <x v="47"/>
    <s v="Total Electric Power Industry"/>
    <x v="5"/>
    <n v="0"/>
  </r>
  <r>
    <x v="7"/>
    <x v="47"/>
    <s v="Total Electric Power Industry"/>
    <x v="6"/>
    <n v="334931"/>
  </r>
  <r>
    <x v="7"/>
    <x v="47"/>
    <s v="Electric Generators, Independent Power Producers"/>
    <x v="0"/>
    <n v="313696"/>
  </r>
  <r>
    <x v="7"/>
    <x v="47"/>
    <s v="Electric Generators, Independent Power Producers"/>
    <x v="2"/>
    <n v="149275"/>
  </r>
  <r>
    <x v="7"/>
    <x v="47"/>
    <s v="Electric Generators, Independent Power Producers"/>
    <x v="4"/>
    <n v="1246"/>
  </r>
  <r>
    <x v="7"/>
    <x v="47"/>
    <s v="Electric Generators, Independent Power Producers"/>
    <x v="6"/>
    <n v="163175"/>
  </r>
  <r>
    <x v="7"/>
    <x v="47"/>
    <s v="Electric Generators, Electric Utilities"/>
    <x v="0"/>
    <n v="5323432"/>
  </r>
  <r>
    <x v="7"/>
    <x v="47"/>
    <s v="Electric Generators, Electric Utilities"/>
    <x v="2"/>
    <n v="896312"/>
  </r>
  <r>
    <x v="7"/>
    <x v="47"/>
    <s v="Electric Generators, Electric Utilities"/>
    <x v="3"/>
    <n v="93"/>
  </r>
  <r>
    <x v="7"/>
    <x v="47"/>
    <s v="Electric Generators, Electric Utilities"/>
    <x v="7"/>
    <n v="4266866"/>
  </r>
  <r>
    <x v="7"/>
    <x v="47"/>
    <s v="Electric Generators, Electric Utilities"/>
    <x v="4"/>
    <n v="9816"/>
  </r>
  <r>
    <x v="7"/>
    <x v="47"/>
    <s v="Electric Generators, Electric Utilities"/>
    <x v="5"/>
    <n v="0"/>
  </r>
  <r>
    <x v="7"/>
    <x v="47"/>
    <s v="Electric Generators, Electric Utilities"/>
    <x v="6"/>
    <n v="150345"/>
  </r>
  <r>
    <x v="7"/>
    <x v="47"/>
    <s v="Combined Heat and Power, Industrial Power"/>
    <x v="0"/>
    <n v="43410"/>
  </r>
  <r>
    <x v="7"/>
    <x v="47"/>
    <s v="Combined Heat and Power, Industrial Power"/>
    <x v="2"/>
    <n v="21855"/>
  </r>
  <r>
    <x v="7"/>
    <x v="47"/>
    <s v="Combined Heat and Power, Industrial Power"/>
    <x v="4"/>
    <n v="144"/>
  </r>
  <r>
    <x v="7"/>
    <x v="47"/>
    <s v="Combined Heat and Power, Industrial Power"/>
    <x v="6"/>
    <n v="21411"/>
  </r>
  <r>
    <x v="7"/>
    <x v="48"/>
    <s v="Total Electric Power Industry"/>
    <x v="0"/>
    <n v="122126167"/>
  </r>
  <r>
    <x v="7"/>
    <x v="48"/>
    <s v="Total Electric Power Industry"/>
    <x v="1"/>
    <n v="6990519"/>
  </r>
  <r>
    <x v="7"/>
    <x v="48"/>
    <s v="Total Electric Power Industry"/>
    <x v="2"/>
    <n v="104170551"/>
  </r>
  <r>
    <x v="7"/>
    <x v="48"/>
    <s v="Total Electric Power Industry"/>
    <x v="3"/>
    <n v="2961661"/>
  </r>
  <r>
    <x v="7"/>
    <x v="48"/>
    <s v="Total Electric Power Industry"/>
    <x v="7"/>
    <n v="6244135"/>
  </r>
  <r>
    <x v="7"/>
    <x v="48"/>
    <s v="Total Electric Power Industry"/>
    <x v="8"/>
    <n v="222483"/>
  </r>
  <r>
    <x v="7"/>
    <x v="48"/>
    <s v="Total Electric Power Industry"/>
    <x v="9"/>
    <n v="290495"/>
  </r>
  <r>
    <x v="7"/>
    <x v="48"/>
    <s v="Total Electric Power Industry"/>
    <x v="4"/>
    <n v="228589"/>
  </r>
  <r>
    <x v="7"/>
    <x v="48"/>
    <s v="Total Electric Power Industry"/>
    <x v="10"/>
    <n v="0"/>
  </r>
  <r>
    <x v="7"/>
    <x v="48"/>
    <s v="Total Electric Power Industry"/>
    <x v="6"/>
    <n v="1017734"/>
  </r>
  <r>
    <x v="7"/>
    <x v="48"/>
    <s v="Electric Generators, Independent Power Producers"/>
    <x v="0"/>
    <n v="407735"/>
  </r>
  <r>
    <x v="7"/>
    <x v="48"/>
    <s v="Electric Generators, Independent Power Producers"/>
    <x v="2"/>
    <n v="230085"/>
  </r>
  <r>
    <x v="7"/>
    <x v="48"/>
    <s v="Electric Generators, Independent Power Producers"/>
    <x v="8"/>
    <n v="177650"/>
  </r>
  <r>
    <x v="7"/>
    <x v="48"/>
    <s v="Electric Generators, Electric Utilities"/>
    <x v="0"/>
    <n v="117453024"/>
  </r>
  <r>
    <x v="7"/>
    <x v="48"/>
    <s v="Electric Generators, Electric Utilities"/>
    <x v="1"/>
    <n v="6965990"/>
  </r>
  <r>
    <x v="7"/>
    <x v="48"/>
    <s v="Electric Generators, Electric Utilities"/>
    <x v="2"/>
    <n v="103644592"/>
  </r>
  <r>
    <x v="7"/>
    <x v="48"/>
    <s v="Electric Generators, Electric Utilities"/>
    <x v="3"/>
    <n v="228754"/>
  </r>
  <r>
    <x v="7"/>
    <x v="48"/>
    <s v="Electric Generators, Electric Utilities"/>
    <x v="7"/>
    <n v="6244135"/>
  </r>
  <r>
    <x v="7"/>
    <x v="48"/>
    <s v="Electric Generators, Electric Utilities"/>
    <x v="4"/>
    <n v="16297"/>
  </r>
  <r>
    <x v="7"/>
    <x v="48"/>
    <s v="Electric Generators, Electric Utilities"/>
    <x v="10"/>
    <n v="0"/>
  </r>
  <r>
    <x v="7"/>
    <x v="48"/>
    <s v="Electric Generators, Electric Utilities"/>
    <x v="6"/>
    <n v="353256"/>
  </r>
  <r>
    <x v="7"/>
    <x v="48"/>
    <s v="Combined Heat and Power, Industrial Power"/>
    <x v="0"/>
    <n v="1204831"/>
  </r>
  <r>
    <x v="7"/>
    <x v="48"/>
    <s v="Combined Heat and Power, Industrial Power"/>
    <x v="1"/>
    <n v="17930"/>
  </r>
  <r>
    <x v="7"/>
    <x v="48"/>
    <s v="Combined Heat and Power, Industrial Power"/>
    <x v="2"/>
    <n v="216693"/>
  </r>
  <r>
    <x v="7"/>
    <x v="48"/>
    <s v="Combined Heat and Power, Industrial Power"/>
    <x v="3"/>
    <n v="235063"/>
  </r>
  <r>
    <x v="7"/>
    <x v="48"/>
    <s v="Combined Heat and Power, Industrial Power"/>
    <x v="8"/>
    <n v="36703"/>
  </r>
  <r>
    <x v="7"/>
    <x v="48"/>
    <s v="Combined Heat and Power, Industrial Power"/>
    <x v="4"/>
    <n v="33964"/>
  </r>
  <r>
    <x v="7"/>
    <x v="48"/>
    <s v="Combined Heat and Power, Industrial Power"/>
    <x v="6"/>
    <n v="664478"/>
  </r>
  <r>
    <x v="7"/>
    <x v="48"/>
    <s v="Combined Heat and Power, Electric Power"/>
    <x v="0"/>
    <n v="2947067"/>
  </r>
  <r>
    <x v="7"/>
    <x v="48"/>
    <s v="Combined Heat and Power, Electric Power"/>
    <x v="3"/>
    <n v="2470873"/>
  </r>
  <r>
    <x v="7"/>
    <x v="48"/>
    <s v="Combined Heat and Power, Electric Power"/>
    <x v="8"/>
    <n v="8130"/>
  </r>
  <r>
    <x v="7"/>
    <x v="48"/>
    <s v="Combined Heat and Power, Electric Power"/>
    <x v="9"/>
    <n v="290495"/>
  </r>
  <r>
    <x v="7"/>
    <x v="48"/>
    <s v="Combined Heat and Power, Electric Power"/>
    <x v="4"/>
    <n v="177569"/>
  </r>
  <r>
    <x v="7"/>
    <x v="48"/>
    <s v="Combined Heat and Power, Commercial Power"/>
    <x v="0"/>
    <n v="113510"/>
  </r>
  <r>
    <x v="7"/>
    <x v="48"/>
    <s v="Combined Heat and Power, Commercial Power"/>
    <x v="1"/>
    <n v="6599"/>
  </r>
  <r>
    <x v="7"/>
    <x v="48"/>
    <s v="Combined Heat and Power, Commercial Power"/>
    <x v="2"/>
    <n v="79181"/>
  </r>
  <r>
    <x v="7"/>
    <x v="48"/>
    <s v="Combined Heat and Power, Commercial Power"/>
    <x v="3"/>
    <n v="26971"/>
  </r>
  <r>
    <x v="7"/>
    <x v="48"/>
    <s v="Combined Heat and Power, Commercial Power"/>
    <x v="4"/>
    <n v="759"/>
  </r>
  <r>
    <x v="7"/>
    <x v="49"/>
    <s v="Total Electric Power Industry"/>
    <x v="0"/>
    <n v="51414008"/>
  </r>
  <r>
    <x v="7"/>
    <x v="49"/>
    <s v="Total Electric Power Industry"/>
    <x v="1"/>
    <n v="41976485"/>
  </r>
  <r>
    <x v="7"/>
    <x v="49"/>
    <s v="Total Electric Power Industry"/>
    <x v="2"/>
    <n v="2483293"/>
  </r>
  <r>
    <x v="7"/>
    <x v="49"/>
    <s v="Total Electric Power Industry"/>
    <x v="3"/>
    <n v="1424354"/>
  </r>
  <r>
    <x v="7"/>
    <x v="49"/>
    <s v="Total Electric Power Industry"/>
    <x v="7"/>
    <n v="3915871"/>
  </r>
  <r>
    <x v="7"/>
    <x v="49"/>
    <s v="Total Electric Power Industry"/>
    <x v="8"/>
    <n v="334682"/>
  </r>
  <r>
    <x v="7"/>
    <x v="49"/>
    <s v="Total Electric Power Industry"/>
    <x v="4"/>
    <n v="410749"/>
  </r>
  <r>
    <x v="7"/>
    <x v="49"/>
    <s v="Total Electric Power Industry"/>
    <x v="6"/>
    <n v="868574"/>
  </r>
  <r>
    <x v="7"/>
    <x v="49"/>
    <s v="Electric Generators, Independent Power Producers"/>
    <x v="0"/>
    <n v="164657"/>
  </r>
  <r>
    <x v="7"/>
    <x v="49"/>
    <s v="Electric Generators, Independent Power Producers"/>
    <x v="2"/>
    <n v="12526"/>
  </r>
  <r>
    <x v="7"/>
    <x v="49"/>
    <s v="Electric Generators, Independent Power Producers"/>
    <x v="3"/>
    <n v="13"/>
  </r>
  <r>
    <x v="7"/>
    <x v="49"/>
    <s v="Electric Generators, Independent Power Producers"/>
    <x v="8"/>
    <n v="152118"/>
  </r>
  <r>
    <x v="7"/>
    <x v="49"/>
    <s v="Electric Generators, Electric Utilities"/>
    <x v="0"/>
    <n v="48560127"/>
  </r>
  <r>
    <x v="7"/>
    <x v="49"/>
    <s v="Electric Generators, Electric Utilities"/>
    <x v="1"/>
    <n v="40819517"/>
  </r>
  <r>
    <x v="7"/>
    <x v="49"/>
    <s v="Electric Generators, Electric Utilities"/>
    <x v="2"/>
    <n v="2182208"/>
  </r>
  <r>
    <x v="7"/>
    <x v="49"/>
    <s v="Electric Generators, Electric Utilities"/>
    <x v="3"/>
    <n v="1100895"/>
  </r>
  <r>
    <x v="7"/>
    <x v="49"/>
    <s v="Electric Generators, Electric Utilities"/>
    <x v="7"/>
    <n v="3915871"/>
  </r>
  <r>
    <x v="7"/>
    <x v="49"/>
    <s v="Electric Generators, Electric Utilities"/>
    <x v="8"/>
    <n v="157793"/>
  </r>
  <r>
    <x v="7"/>
    <x v="49"/>
    <s v="Electric Generators, Electric Utilities"/>
    <x v="4"/>
    <n v="169863"/>
  </r>
  <r>
    <x v="7"/>
    <x v="49"/>
    <s v="Electric Generators, Electric Utilities"/>
    <x v="6"/>
    <n v="213980"/>
  </r>
  <r>
    <x v="7"/>
    <x v="49"/>
    <s v="Combined Heat and Power, Industrial Power"/>
    <x v="0"/>
    <n v="2562111"/>
  </r>
  <r>
    <x v="7"/>
    <x v="49"/>
    <s v="Combined Heat and Power, Industrial Power"/>
    <x v="1"/>
    <n v="1145487"/>
  </r>
  <r>
    <x v="7"/>
    <x v="49"/>
    <s v="Combined Heat and Power, Industrial Power"/>
    <x v="2"/>
    <n v="280370"/>
  </r>
  <r>
    <x v="7"/>
    <x v="49"/>
    <s v="Combined Heat and Power, Industrial Power"/>
    <x v="3"/>
    <n v="227779"/>
  </r>
  <r>
    <x v="7"/>
    <x v="49"/>
    <s v="Combined Heat and Power, Industrial Power"/>
    <x v="8"/>
    <n v="14997"/>
  </r>
  <r>
    <x v="7"/>
    <x v="49"/>
    <s v="Combined Heat and Power, Industrial Power"/>
    <x v="4"/>
    <n v="240329"/>
  </r>
  <r>
    <x v="7"/>
    <x v="49"/>
    <s v="Combined Heat and Power, Industrial Power"/>
    <x v="6"/>
    <n v="653149"/>
  </r>
  <r>
    <x v="7"/>
    <x v="49"/>
    <s v="Combined Heat and Power, Commercial Power"/>
    <x v="0"/>
    <n v="127113"/>
  </r>
  <r>
    <x v="7"/>
    <x v="49"/>
    <s v="Combined Heat and Power, Commercial Power"/>
    <x v="1"/>
    <n v="11481"/>
  </r>
  <r>
    <x v="7"/>
    <x v="49"/>
    <s v="Combined Heat and Power, Commercial Power"/>
    <x v="2"/>
    <n v="8189"/>
  </r>
  <r>
    <x v="7"/>
    <x v="49"/>
    <s v="Combined Heat and Power, Commercial Power"/>
    <x v="3"/>
    <n v="95667"/>
  </r>
  <r>
    <x v="7"/>
    <x v="49"/>
    <s v="Combined Heat and Power, Commercial Power"/>
    <x v="8"/>
    <n v="9774"/>
  </r>
  <r>
    <x v="7"/>
    <x v="49"/>
    <s v="Combined Heat and Power, Commercial Power"/>
    <x v="4"/>
    <n v="557"/>
  </r>
  <r>
    <x v="7"/>
    <x v="49"/>
    <s v="Combined Heat and Power, Commercial Power"/>
    <x v="6"/>
    <n v="1445"/>
  </r>
  <r>
    <x v="7"/>
    <x v="50"/>
    <s v="Total Electric Power Industry"/>
    <x v="0"/>
    <n v="91528877"/>
  </r>
  <r>
    <x v="7"/>
    <x v="50"/>
    <s v="Total Electric Power Industry"/>
    <x v="1"/>
    <n v="89845529"/>
  </r>
  <r>
    <x v="7"/>
    <x v="50"/>
    <s v="Total Electric Power Industry"/>
    <x v="2"/>
    <n v="1138769"/>
  </r>
  <r>
    <x v="7"/>
    <x v="50"/>
    <s v="Total Electric Power Industry"/>
    <x v="3"/>
    <n v="216746"/>
  </r>
  <r>
    <x v="7"/>
    <x v="50"/>
    <s v="Total Electric Power Industry"/>
    <x v="12"/>
    <n v="231"/>
  </r>
  <r>
    <x v="7"/>
    <x v="50"/>
    <s v="Total Electric Power Industry"/>
    <x v="9"/>
    <n v="138004"/>
  </r>
  <r>
    <x v="7"/>
    <x v="50"/>
    <s v="Total Electric Power Industry"/>
    <x v="4"/>
    <n v="189598"/>
  </r>
  <r>
    <x v="7"/>
    <x v="50"/>
    <s v="Electric Generators, Independent Power Producers"/>
    <x v="0"/>
    <n v="960345"/>
  </r>
  <r>
    <x v="7"/>
    <x v="50"/>
    <s v="Electric Generators, Independent Power Producers"/>
    <x v="1"/>
    <n v="705591"/>
  </r>
  <r>
    <x v="7"/>
    <x v="50"/>
    <s v="Electric Generators, Independent Power Producers"/>
    <x v="2"/>
    <n v="252790"/>
  </r>
  <r>
    <x v="7"/>
    <x v="50"/>
    <s v="Electric Generators, Independent Power Producers"/>
    <x v="3"/>
    <n v="1964"/>
  </r>
  <r>
    <x v="7"/>
    <x v="50"/>
    <s v="Electric Generators, Electric Utilities"/>
    <x v="0"/>
    <n v="88284461"/>
  </r>
  <r>
    <x v="7"/>
    <x v="50"/>
    <s v="Electric Generators, Electric Utilities"/>
    <x v="1"/>
    <n v="87714945"/>
  </r>
  <r>
    <x v="7"/>
    <x v="50"/>
    <s v="Electric Generators, Electric Utilities"/>
    <x v="2"/>
    <n v="377192"/>
  </r>
  <r>
    <x v="7"/>
    <x v="50"/>
    <s v="Electric Generators, Electric Utilities"/>
    <x v="3"/>
    <n v="21355"/>
  </r>
  <r>
    <x v="7"/>
    <x v="50"/>
    <s v="Electric Generators, Electric Utilities"/>
    <x v="4"/>
    <n v="170969"/>
  </r>
  <r>
    <x v="7"/>
    <x v="50"/>
    <s v="Combined Heat and Power, Industrial Power"/>
    <x v="0"/>
    <n v="1827648"/>
  </r>
  <r>
    <x v="7"/>
    <x v="50"/>
    <s v="Combined Heat and Power, Industrial Power"/>
    <x v="1"/>
    <n v="993435"/>
  </r>
  <r>
    <x v="7"/>
    <x v="50"/>
    <s v="Combined Heat and Power, Industrial Power"/>
    <x v="2"/>
    <n v="508787"/>
  </r>
  <r>
    <x v="7"/>
    <x v="50"/>
    <s v="Combined Heat and Power, Industrial Power"/>
    <x v="3"/>
    <n v="168562"/>
  </r>
  <r>
    <x v="7"/>
    <x v="50"/>
    <s v="Combined Heat and Power, Industrial Power"/>
    <x v="12"/>
    <n v="231"/>
  </r>
  <r>
    <x v="7"/>
    <x v="50"/>
    <s v="Combined Heat and Power, Industrial Power"/>
    <x v="9"/>
    <n v="138004"/>
  </r>
  <r>
    <x v="7"/>
    <x v="50"/>
    <s v="Combined Heat and Power, Industrial Power"/>
    <x v="4"/>
    <n v="18629"/>
  </r>
  <r>
    <x v="7"/>
    <x v="50"/>
    <s v="Combined Heat and Power, Electric Power"/>
    <x v="0"/>
    <n v="456423"/>
  </r>
  <r>
    <x v="7"/>
    <x v="50"/>
    <s v="Combined Heat and Power, Electric Power"/>
    <x v="1"/>
    <n v="431558"/>
  </r>
  <r>
    <x v="7"/>
    <x v="50"/>
    <s v="Combined Heat and Power, Electric Power"/>
    <x v="3"/>
    <n v="24865"/>
  </r>
  <r>
    <x v="7"/>
    <x v="51"/>
    <s v="Total Electric Power Industry"/>
    <x v="0"/>
    <n v="41409562"/>
  </r>
  <r>
    <x v="7"/>
    <x v="51"/>
    <s v="Total Electric Power Industry"/>
    <x v="1"/>
    <n v="39499793"/>
  </r>
  <r>
    <x v="7"/>
    <x v="51"/>
    <s v="Total Electric Power Industry"/>
    <x v="2"/>
    <n v="1380713"/>
  </r>
  <r>
    <x v="7"/>
    <x v="51"/>
    <s v="Total Electric Power Industry"/>
    <x v="3"/>
    <n v="385562"/>
  </r>
  <r>
    <x v="7"/>
    <x v="51"/>
    <s v="Total Electric Power Industry"/>
    <x v="12"/>
    <n v="72889"/>
  </r>
  <r>
    <x v="7"/>
    <x v="51"/>
    <s v="Total Electric Power Industry"/>
    <x v="9"/>
    <n v="7124"/>
  </r>
  <r>
    <x v="7"/>
    <x v="51"/>
    <s v="Total Electric Power Industry"/>
    <x v="4"/>
    <n v="63481"/>
  </r>
  <r>
    <x v="7"/>
    <x v="51"/>
    <s v="Electric Generators, Electric Utilities"/>
    <x v="0"/>
    <n v="40765087"/>
  </r>
  <r>
    <x v="7"/>
    <x v="51"/>
    <s v="Electric Generators, Electric Utilities"/>
    <x v="1"/>
    <n v="39315335"/>
  </r>
  <r>
    <x v="7"/>
    <x v="51"/>
    <s v="Electric Generators, Electric Utilities"/>
    <x v="2"/>
    <n v="1380713"/>
  </r>
  <r>
    <x v="7"/>
    <x v="51"/>
    <s v="Electric Generators, Electric Utilities"/>
    <x v="3"/>
    <n v="10274"/>
  </r>
  <r>
    <x v="7"/>
    <x v="51"/>
    <s v="Electric Generators, Electric Utilities"/>
    <x v="4"/>
    <n v="58765"/>
  </r>
  <r>
    <x v="7"/>
    <x v="51"/>
    <s v="Combined Heat and Power, Industrial Power"/>
    <x v="0"/>
    <n v="644475"/>
  </r>
  <r>
    <x v="7"/>
    <x v="51"/>
    <s v="Combined Heat and Power, Industrial Power"/>
    <x v="1"/>
    <n v="184458"/>
  </r>
  <r>
    <x v="7"/>
    <x v="51"/>
    <s v="Combined Heat and Power, Industrial Power"/>
    <x v="3"/>
    <n v="375288"/>
  </r>
  <r>
    <x v="7"/>
    <x v="51"/>
    <s v="Combined Heat and Power, Industrial Power"/>
    <x v="12"/>
    <n v="72889"/>
  </r>
  <r>
    <x v="7"/>
    <x v="51"/>
    <s v="Combined Heat and Power, Industrial Power"/>
    <x v="9"/>
    <n v="7124"/>
  </r>
  <r>
    <x v="7"/>
    <x v="51"/>
    <s v="Combined Heat and Power, Industrial Power"/>
    <x v="4"/>
    <n v="4716"/>
  </r>
  <r>
    <x v="8"/>
    <x v="0"/>
    <s v="Total Electric Power Industry"/>
    <x v="0"/>
    <n v="5828845"/>
  </r>
  <r>
    <x v="8"/>
    <x v="0"/>
    <s v="Total Electric Power Industry"/>
    <x v="1"/>
    <n v="524613"/>
  </r>
  <r>
    <x v="8"/>
    <x v="0"/>
    <s v="Total Electric Power Industry"/>
    <x v="2"/>
    <n v="1113332"/>
  </r>
  <r>
    <x v="8"/>
    <x v="0"/>
    <s v="Total Electric Power Industry"/>
    <x v="3"/>
    <n v="3352895"/>
  </r>
  <r>
    <x v="8"/>
    <x v="0"/>
    <s v="Total Electric Power Industry"/>
    <x v="4"/>
    <n v="836467"/>
  </r>
  <r>
    <x v="8"/>
    <x v="0"/>
    <s v="Total Electric Power Industry"/>
    <x v="5"/>
    <n v="0"/>
  </r>
  <r>
    <x v="8"/>
    <x v="0"/>
    <s v="Total Electric Power Industry"/>
    <x v="6"/>
    <n v="1538"/>
  </r>
  <r>
    <x v="8"/>
    <x v="0"/>
    <s v="Electric Generators, Electric Utilities"/>
    <x v="0"/>
    <n v="4590270"/>
  </r>
  <r>
    <x v="8"/>
    <x v="0"/>
    <s v="Electric Generators, Electric Utilities"/>
    <x v="1"/>
    <n v="171053"/>
  </r>
  <r>
    <x v="8"/>
    <x v="0"/>
    <s v="Electric Generators, Electric Utilities"/>
    <x v="2"/>
    <n v="1113332"/>
  </r>
  <r>
    <x v="8"/>
    <x v="0"/>
    <s v="Electric Generators, Electric Utilities"/>
    <x v="3"/>
    <n v="2548971"/>
  </r>
  <r>
    <x v="8"/>
    <x v="0"/>
    <s v="Electric Generators, Electric Utilities"/>
    <x v="4"/>
    <n v="756914"/>
  </r>
  <r>
    <x v="8"/>
    <x v="0"/>
    <s v="Electric Generators, Electric Utilities"/>
    <x v="5"/>
    <n v="0"/>
  </r>
  <r>
    <x v="8"/>
    <x v="0"/>
    <s v="Combined Heat and Power, Industrial Power"/>
    <x v="0"/>
    <n v="876375"/>
  </r>
  <r>
    <x v="8"/>
    <x v="0"/>
    <s v="Combined Heat and Power, Industrial Power"/>
    <x v="3"/>
    <n v="803924"/>
  </r>
  <r>
    <x v="8"/>
    <x v="0"/>
    <s v="Combined Heat and Power, Industrial Power"/>
    <x v="4"/>
    <n v="71574"/>
  </r>
  <r>
    <x v="8"/>
    <x v="0"/>
    <s v="Combined Heat and Power, Industrial Power"/>
    <x v="6"/>
    <n v="877"/>
  </r>
  <r>
    <x v="8"/>
    <x v="0"/>
    <s v="Combined Heat and Power, Electric Power"/>
    <x v="0"/>
    <n v="211373"/>
  </r>
  <r>
    <x v="8"/>
    <x v="0"/>
    <s v="Combined Heat and Power, Electric Power"/>
    <x v="1"/>
    <n v="210238"/>
  </r>
  <r>
    <x v="8"/>
    <x v="0"/>
    <s v="Combined Heat and Power, Electric Power"/>
    <x v="4"/>
    <n v="474"/>
  </r>
  <r>
    <x v="8"/>
    <x v="0"/>
    <s v="Combined Heat and Power, Electric Power"/>
    <x v="6"/>
    <n v="661"/>
  </r>
  <r>
    <x v="8"/>
    <x v="0"/>
    <s v="Combined Heat and Power, Commercial Power"/>
    <x v="0"/>
    <n v="150827"/>
  </r>
  <r>
    <x v="8"/>
    <x v="0"/>
    <s v="Combined Heat and Power, Commercial Power"/>
    <x v="1"/>
    <n v="143322"/>
  </r>
  <r>
    <x v="8"/>
    <x v="0"/>
    <s v="Combined Heat and Power, Commercial Power"/>
    <x v="4"/>
    <n v="7505"/>
  </r>
  <r>
    <x v="8"/>
    <x v="1"/>
    <s v="Total Electric Power Industry"/>
    <x v="0"/>
    <n v="119862125"/>
  </r>
  <r>
    <x v="8"/>
    <x v="1"/>
    <s v="Total Electric Power Industry"/>
    <x v="1"/>
    <n v="71940036"/>
  </r>
  <r>
    <x v="8"/>
    <x v="1"/>
    <s v="Total Electric Power Industry"/>
    <x v="2"/>
    <n v="10564857"/>
  </r>
  <r>
    <x v="8"/>
    <x v="1"/>
    <s v="Total Electric Power Industry"/>
    <x v="3"/>
    <n v="3751698"/>
  </r>
  <r>
    <x v="8"/>
    <x v="1"/>
    <s v="Total Electric Power Industry"/>
    <x v="7"/>
    <n v="28662513"/>
  </r>
  <r>
    <x v="8"/>
    <x v="1"/>
    <s v="Total Electric Power Industry"/>
    <x v="12"/>
    <n v="1227"/>
  </r>
  <r>
    <x v="8"/>
    <x v="1"/>
    <s v="Total Electric Power Industry"/>
    <x v="8"/>
    <n v="7958"/>
  </r>
  <r>
    <x v="8"/>
    <x v="1"/>
    <s v="Total Electric Power Industry"/>
    <x v="9"/>
    <n v="268002"/>
  </r>
  <r>
    <x v="8"/>
    <x v="1"/>
    <s v="Total Electric Power Industry"/>
    <x v="4"/>
    <n v="453674"/>
  </r>
  <r>
    <x v="8"/>
    <x v="1"/>
    <s v="Total Electric Power Industry"/>
    <x v="6"/>
    <n v="4212160"/>
  </r>
  <r>
    <x v="8"/>
    <x v="1"/>
    <s v="Electric Generators, Independent Power Producers"/>
    <x v="0"/>
    <n v="4410"/>
  </r>
  <r>
    <x v="8"/>
    <x v="1"/>
    <s v="Electric Generators, Independent Power Producers"/>
    <x v="3"/>
    <n v="4410"/>
  </r>
  <r>
    <x v="8"/>
    <x v="1"/>
    <s v="Electric Generators, Electric Utilities"/>
    <x v="0"/>
    <n v="113393840"/>
  </r>
  <r>
    <x v="8"/>
    <x v="1"/>
    <s v="Electric Generators, Electric Utilities"/>
    <x v="1"/>
    <n v="71457433"/>
  </r>
  <r>
    <x v="8"/>
    <x v="1"/>
    <s v="Electric Generators, Electric Utilities"/>
    <x v="2"/>
    <n v="10564857"/>
  </r>
  <r>
    <x v="8"/>
    <x v="1"/>
    <s v="Electric Generators, Electric Utilities"/>
    <x v="3"/>
    <n v="2448942"/>
  </r>
  <r>
    <x v="8"/>
    <x v="1"/>
    <s v="Electric Generators, Electric Utilities"/>
    <x v="7"/>
    <n v="28662513"/>
  </r>
  <r>
    <x v="8"/>
    <x v="1"/>
    <s v="Electric Generators, Electric Utilities"/>
    <x v="4"/>
    <n v="260095"/>
  </r>
  <r>
    <x v="8"/>
    <x v="1"/>
    <s v="Combined Heat and Power, Industrial Power"/>
    <x v="0"/>
    <n v="5621779"/>
  </r>
  <r>
    <x v="8"/>
    <x v="1"/>
    <s v="Combined Heat and Power, Industrial Power"/>
    <x v="1"/>
    <n v="407325"/>
  </r>
  <r>
    <x v="8"/>
    <x v="1"/>
    <s v="Combined Heat and Power, Industrial Power"/>
    <x v="3"/>
    <n v="1216537"/>
  </r>
  <r>
    <x v="8"/>
    <x v="1"/>
    <s v="Combined Heat and Power, Industrial Power"/>
    <x v="12"/>
    <n v="1227"/>
  </r>
  <r>
    <x v="8"/>
    <x v="1"/>
    <s v="Combined Heat and Power, Industrial Power"/>
    <x v="8"/>
    <n v="7702"/>
  </r>
  <r>
    <x v="8"/>
    <x v="1"/>
    <s v="Combined Heat and Power, Industrial Power"/>
    <x v="9"/>
    <n v="268002"/>
  </r>
  <r>
    <x v="8"/>
    <x v="1"/>
    <s v="Combined Heat and Power, Industrial Power"/>
    <x v="4"/>
    <n v="193271"/>
  </r>
  <r>
    <x v="8"/>
    <x v="1"/>
    <s v="Combined Heat and Power, Industrial Power"/>
    <x v="6"/>
    <n v="3527715"/>
  </r>
  <r>
    <x v="8"/>
    <x v="1"/>
    <s v="Combined Heat and Power, Electric Power"/>
    <x v="0"/>
    <n v="842096"/>
  </r>
  <r>
    <x v="8"/>
    <x v="1"/>
    <s v="Combined Heat and Power, Electric Power"/>
    <x v="1"/>
    <n v="75278"/>
  </r>
  <r>
    <x v="8"/>
    <x v="1"/>
    <s v="Combined Heat and Power, Electric Power"/>
    <x v="3"/>
    <n v="81809"/>
  </r>
  <r>
    <x v="8"/>
    <x v="1"/>
    <s v="Combined Heat and Power, Electric Power"/>
    <x v="8"/>
    <n v="256"/>
  </r>
  <r>
    <x v="8"/>
    <x v="1"/>
    <s v="Combined Heat and Power, Electric Power"/>
    <x v="4"/>
    <n v="308"/>
  </r>
  <r>
    <x v="8"/>
    <x v="1"/>
    <s v="Combined Heat and Power, Electric Power"/>
    <x v="6"/>
    <n v="684445"/>
  </r>
  <r>
    <x v="8"/>
    <x v="2"/>
    <s v="Total Electric Power Industry"/>
    <x v="0"/>
    <n v="45665301"/>
  </r>
  <r>
    <x v="8"/>
    <x v="2"/>
    <s v="Total Electric Power Industry"/>
    <x v="1"/>
    <n v="23180204"/>
  </r>
  <r>
    <x v="8"/>
    <x v="2"/>
    <s v="Total Electric Power Industry"/>
    <x v="2"/>
    <n v="3116743"/>
  </r>
  <r>
    <x v="8"/>
    <x v="2"/>
    <s v="Total Electric Power Industry"/>
    <x v="3"/>
    <n v="4507079"/>
  </r>
  <r>
    <x v="8"/>
    <x v="2"/>
    <s v="Total Electric Power Industry"/>
    <x v="7"/>
    <n v="13097252"/>
  </r>
  <r>
    <x v="8"/>
    <x v="2"/>
    <s v="Total Electric Power Industry"/>
    <x v="8"/>
    <n v="7787"/>
  </r>
  <r>
    <x v="8"/>
    <x v="2"/>
    <s v="Total Electric Power Industry"/>
    <x v="9"/>
    <n v="185"/>
  </r>
  <r>
    <x v="8"/>
    <x v="2"/>
    <s v="Total Electric Power Industry"/>
    <x v="4"/>
    <n v="165349"/>
  </r>
  <r>
    <x v="8"/>
    <x v="2"/>
    <s v="Total Electric Power Industry"/>
    <x v="10"/>
    <n v="0"/>
  </r>
  <r>
    <x v="8"/>
    <x v="2"/>
    <s v="Total Electric Power Industry"/>
    <x v="6"/>
    <n v="1590702"/>
  </r>
  <r>
    <x v="8"/>
    <x v="2"/>
    <s v="Electric Generators, Independent Power Producers"/>
    <x v="0"/>
    <n v="3100"/>
  </r>
  <r>
    <x v="8"/>
    <x v="2"/>
    <s v="Electric Generators, Independent Power Producers"/>
    <x v="2"/>
    <n v="3100"/>
  </r>
  <r>
    <x v="8"/>
    <x v="2"/>
    <s v="Electric Generators, Electric Utilities"/>
    <x v="0"/>
    <n v="43198908"/>
  </r>
  <r>
    <x v="8"/>
    <x v="2"/>
    <s v="Electric Generators, Electric Utilities"/>
    <x v="1"/>
    <n v="23140020"/>
  </r>
  <r>
    <x v="8"/>
    <x v="2"/>
    <s v="Electric Generators, Electric Utilities"/>
    <x v="2"/>
    <n v="3113643"/>
  </r>
  <r>
    <x v="8"/>
    <x v="2"/>
    <s v="Electric Generators, Electric Utilities"/>
    <x v="3"/>
    <n v="3704159"/>
  </r>
  <r>
    <x v="8"/>
    <x v="2"/>
    <s v="Electric Generators, Electric Utilities"/>
    <x v="7"/>
    <n v="13097252"/>
  </r>
  <r>
    <x v="8"/>
    <x v="2"/>
    <s v="Electric Generators, Electric Utilities"/>
    <x v="4"/>
    <n v="143834"/>
  </r>
  <r>
    <x v="8"/>
    <x v="2"/>
    <s v="Electric Generators, Electric Utilities"/>
    <x v="10"/>
    <n v="0"/>
  </r>
  <r>
    <x v="8"/>
    <x v="2"/>
    <s v="Combined Heat and Power, Industrial Power"/>
    <x v="0"/>
    <n v="2422110"/>
  </r>
  <r>
    <x v="8"/>
    <x v="2"/>
    <s v="Combined Heat and Power, Industrial Power"/>
    <x v="1"/>
    <n v="40184"/>
  </r>
  <r>
    <x v="8"/>
    <x v="2"/>
    <s v="Combined Heat and Power, Industrial Power"/>
    <x v="3"/>
    <n v="770642"/>
  </r>
  <r>
    <x v="8"/>
    <x v="2"/>
    <s v="Combined Heat and Power, Industrial Power"/>
    <x v="8"/>
    <n v="3042"/>
  </r>
  <r>
    <x v="8"/>
    <x v="2"/>
    <s v="Combined Heat and Power, Industrial Power"/>
    <x v="9"/>
    <n v="185"/>
  </r>
  <r>
    <x v="8"/>
    <x v="2"/>
    <s v="Combined Heat and Power, Industrial Power"/>
    <x v="4"/>
    <n v="17355"/>
  </r>
  <r>
    <x v="8"/>
    <x v="2"/>
    <s v="Combined Heat and Power, Industrial Power"/>
    <x v="6"/>
    <n v="1590702"/>
  </r>
  <r>
    <x v="8"/>
    <x v="2"/>
    <s v="Combined Heat and Power, Commercial Power"/>
    <x v="0"/>
    <n v="41183"/>
  </r>
  <r>
    <x v="8"/>
    <x v="2"/>
    <s v="Combined Heat and Power, Commercial Power"/>
    <x v="3"/>
    <n v="32278"/>
  </r>
  <r>
    <x v="8"/>
    <x v="2"/>
    <s v="Combined Heat and Power, Commercial Power"/>
    <x v="8"/>
    <n v="4745"/>
  </r>
  <r>
    <x v="8"/>
    <x v="2"/>
    <s v="Combined Heat and Power, Commercial Power"/>
    <x v="4"/>
    <n v="4160"/>
  </r>
  <r>
    <x v="8"/>
    <x v="3"/>
    <s v="Total Electric Power Industry"/>
    <x v="0"/>
    <n v="82095072"/>
  </r>
  <r>
    <x v="8"/>
    <x v="3"/>
    <s v="Total Electric Power Industry"/>
    <x v="1"/>
    <n v="36563427"/>
  </r>
  <r>
    <x v="8"/>
    <x v="3"/>
    <s v="Total Electric Power Industry"/>
    <x v="2"/>
    <n v="10970189"/>
  </r>
  <r>
    <x v="8"/>
    <x v="3"/>
    <s v="Total Electric Power Industry"/>
    <x v="3"/>
    <n v="3928204"/>
  </r>
  <r>
    <x v="8"/>
    <x v="3"/>
    <s v="Total Electric Power Industry"/>
    <x v="7"/>
    <n v="30301045"/>
  </r>
  <r>
    <x v="8"/>
    <x v="3"/>
    <s v="Total Electric Power Industry"/>
    <x v="4"/>
    <n v="63216"/>
  </r>
  <r>
    <x v="8"/>
    <x v="3"/>
    <s v="Total Electric Power Industry"/>
    <x v="10"/>
    <n v="268991"/>
  </r>
  <r>
    <x v="8"/>
    <x v="3"/>
    <s v="Total Electric Power Industry"/>
    <x v="13"/>
    <n v="0"/>
  </r>
  <r>
    <x v="8"/>
    <x v="3"/>
    <s v="Electric Generators, Electric Utilities"/>
    <x v="0"/>
    <n v="81299241"/>
  </r>
  <r>
    <x v="8"/>
    <x v="3"/>
    <s v="Electric Generators, Electric Utilities"/>
    <x v="1"/>
    <n v="36225373"/>
  </r>
  <r>
    <x v="8"/>
    <x v="3"/>
    <s v="Electric Generators, Electric Utilities"/>
    <x v="2"/>
    <n v="10970189"/>
  </r>
  <r>
    <x v="8"/>
    <x v="3"/>
    <s v="Electric Generators, Electric Utilities"/>
    <x v="3"/>
    <n v="3472416"/>
  </r>
  <r>
    <x v="8"/>
    <x v="3"/>
    <s v="Electric Generators, Electric Utilities"/>
    <x v="7"/>
    <n v="30301045"/>
  </r>
  <r>
    <x v="8"/>
    <x v="3"/>
    <s v="Electric Generators, Electric Utilities"/>
    <x v="4"/>
    <n v="61227"/>
  </r>
  <r>
    <x v="8"/>
    <x v="3"/>
    <s v="Electric Generators, Electric Utilities"/>
    <x v="10"/>
    <n v="268991"/>
  </r>
  <r>
    <x v="8"/>
    <x v="3"/>
    <s v="Electric Generators, Electric Utilities"/>
    <x v="13"/>
    <n v="0"/>
  </r>
  <r>
    <x v="8"/>
    <x v="3"/>
    <s v="Combined Heat and Power, Industrial Power"/>
    <x v="0"/>
    <n v="365507"/>
  </r>
  <r>
    <x v="8"/>
    <x v="3"/>
    <s v="Combined Heat and Power, Industrial Power"/>
    <x v="1"/>
    <n v="338054"/>
  </r>
  <r>
    <x v="8"/>
    <x v="3"/>
    <s v="Combined Heat and Power, Industrial Power"/>
    <x v="3"/>
    <n v="27012"/>
  </r>
  <r>
    <x v="8"/>
    <x v="3"/>
    <s v="Combined Heat and Power, Industrial Power"/>
    <x v="4"/>
    <n v="441"/>
  </r>
  <r>
    <x v="8"/>
    <x v="3"/>
    <s v="Combined Heat and Power, Electric Power"/>
    <x v="0"/>
    <n v="410095"/>
  </r>
  <r>
    <x v="8"/>
    <x v="3"/>
    <s v="Combined Heat and Power, Electric Power"/>
    <x v="3"/>
    <n v="410095"/>
  </r>
  <r>
    <x v="8"/>
    <x v="3"/>
    <s v="Combined Heat and Power, Commercial Power"/>
    <x v="0"/>
    <n v="20229"/>
  </r>
  <r>
    <x v="8"/>
    <x v="3"/>
    <s v="Combined Heat and Power, Commercial Power"/>
    <x v="3"/>
    <n v="18681"/>
  </r>
  <r>
    <x v="8"/>
    <x v="3"/>
    <s v="Combined Heat and Power, Commercial Power"/>
    <x v="4"/>
    <n v="1548"/>
  </r>
  <r>
    <x v="8"/>
    <x v="4"/>
    <s v="Total Electric Power Industry"/>
    <x v="0"/>
    <n v="189600706"/>
  </r>
  <r>
    <x v="8"/>
    <x v="4"/>
    <s v="Total Electric Power Industry"/>
    <x v="1"/>
    <n v="2159070"/>
  </r>
  <r>
    <x v="8"/>
    <x v="4"/>
    <s v="Total Electric Power Industry"/>
    <x v="11"/>
    <n v="12839684"/>
  </r>
  <r>
    <x v="8"/>
    <x v="4"/>
    <s v="Total Electric Power Industry"/>
    <x v="2"/>
    <n v="49548200"/>
  </r>
  <r>
    <x v="8"/>
    <x v="4"/>
    <s v="Total Electric Power Industry"/>
    <x v="3"/>
    <n v="75131992"/>
  </r>
  <r>
    <x v="8"/>
    <x v="4"/>
    <s v="Total Electric Power Industry"/>
    <x v="7"/>
    <n v="34594206"/>
  </r>
  <r>
    <x v="8"/>
    <x v="4"/>
    <s v="Total Electric Power Industry"/>
    <x v="12"/>
    <n v="20225"/>
  </r>
  <r>
    <x v="8"/>
    <x v="4"/>
    <s v="Total Electric Power Industry"/>
    <x v="8"/>
    <n v="2399711"/>
  </r>
  <r>
    <x v="8"/>
    <x v="4"/>
    <s v="Total Electric Power Industry"/>
    <x v="9"/>
    <n v="3076556"/>
  </r>
  <r>
    <x v="8"/>
    <x v="4"/>
    <s v="Total Electric Power Industry"/>
    <x v="4"/>
    <n v="2213072"/>
  </r>
  <r>
    <x v="8"/>
    <x v="4"/>
    <s v="Total Electric Power Industry"/>
    <x v="10"/>
    <n v="1208801"/>
  </r>
  <r>
    <x v="8"/>
    <x v="4"/>
    <s v="Total Electric Power Industry"/>
    <x v="13"/>
    <n v="502339"/>
  </r>
  <r>
    <x v="8"/>
    <x v="4"/>
    <s v="Total Electric Power Industry"/>
    <x v="5"/>
    <n v="2757869"/>
  </r>
  <r>
    <x v="8"/>
    <x v="4"/>
    <s v="Total Electric Power Industry"/>
    <x v="6"/>
    <n v="3148981"/>
  </r>
  <r>
    <x v="8"/>
    <x v="4"/>
    <s v="Electric Generators, Independent Power Producers"/>
    <x v="0"/>
    <n v="31928914"/>
  </r>
  <r>
    <x v="8"/>
    <x v="4"/>
    <s v="Electric Generators, Independent Power Producers"/>
    <x v="11"/>
    <n v="7823461"/>
  </r>
  <r>
    <x v="8"/>
    <x v="4"/>
    <s v="Electric Generators, Independent Power Producers"/>
    <x v="2"/>
    <n v="2061188"/>
  </r>
  <r>
    <x v="8"/>
    <x v="4"/>
    <s v="Electric Generators, Independent Power Producers"/>
    <x v="3"/>
    <n v="13958291"/>
  </r>
  <r>
    <x v="8"/>
    <x v="4"/>
    <s v="Electric Generators, Independent Power Producers"/>
    <x v="8"/>
    <n v="1815753"/>
  </r>
  <r>
    <x v="8"/>
    <x v="4"/>
    <s v="Electric Generators, Independent Power Producers"/>
    <x v="4"/>
    <n v="782958"/>
  </r>
  <r>
    <x v="8"/>
    <x v="4"/>
    <s v="Electric Generators, Independent Power Producers"/>
    <x v="13"/>
    <n v="499955"/>
  </r>
  <r>
    <x v="8"/>
    <x v="4"/>
    <s v="Electric Generators, Independent Power Producers"/>
    <x v="5"/>
    <n v="2755313"/>
  </r>
  <r>
    <x v="8"/>
    <x v="4"/>
    <s v="Electric Generators, Independent Power Producers"/>
    <x v="6"/>
    <n v="2231995"/>
  </r>
  <r>
    <x v="8"/>
    <x v="4"/>
    <s v="Electric Generators, Electric Utilities"/>
    <x v="0"/>
    <n v="114926213"/>
  </r>
  <r>
    <x v="8"/>
    <x v="4"/>
    <s v="Electric Generators, Electric Utilities"/>
    <x v="11"/>
    <n v="5016223"/>
  </r>
  <r>
    <x v="8"/>
    <x v="4"/>
    <s v="Electric Generators, Electric Utilities"/>
    <x v="2"/>
    <n v="47475341"/>
  </r>
  <r>
    <x v="8"/>
    <x v="4"/>
    <s v="Electric Generators, Electric Utilities"/>
    <x v="3"/>
    <n v="26385452"/>
  </r>
  <r>
    <x v="8"/>
    <x v="4"/>
    <s v="Electric Generators, Electric Utilities"/>
    <x v="7"/>
    <n v="34594206"/>
  </r>
  <r>
    <x v="8"/>
    <x v="4"/>
    <s v="Electric Generators, Electric Utilities"/>
    <x v="8"/>
    <n v="119865"/>
  </r>
  <r>
    <x v="8"/>
    <x v="4"/>
    <s v="Electric Generators, Electric Utilities"/>
    <x v="4"/>
    <n v="121385"/>
  </r>
  <r>
    <x v="8"/>
    <x v="4"/>
    <s v="Electric Generators, Electric Utilities"/>
    <x v="10"/>
    <n v="1208801"/>
  </r>
  <r>
    <x v="8"/>
    <x v="4"/>
    <s v="Electric Generators, Electric Utilities"/>
    <x v="13"/>
    <n v="2384"/>
  </r>
  <r>
    <x v="8"/>
    <x v="4"/>
    <s v="Electric Generators, Electric Utilities"/>
    <x v="5"/>
    <n v="2556"/>
  </r>
  <r>
    <x v="8"/>
    <x v="4"/>
    <s v="Combined Heat and Power, Industrial Power"/>
    <x v="0"/>
    <n v="17441143"/>
  </r>
  <r>
    <x v="8"/>
    <x v="4"/>
    <s v="Combined Heat and Power, Industrial Power"/>
    <x v="1"/>
    <n v="445047"/>
  </r>
  <r>
    <x v="8"/>
    <x v="4"/>
    <s v="Combined Heat and Power, Industrial Power"/>
    <x v="3"/>
    <n v="12683138"/>
  </r>
  <r>
    <x v="8"/>
    <x v="4"/>
    <s v="Combined Heat and Power, Industrial Power"/>
    <x v="12"/>
    <n v="14177"/>
  </r>
  <r>
    <x v="8"/>
    <x v="4"/>
    <s v="Combined Heat and Power, Industrial Power"/>
    <x v="8"/>
    <n v="32963"/>
  </r>
  <r>
    <x v="8"/>
    <x v="4"/>
    <s v="Combined Heat and Power, Industrial Power"/>
    <x v="9"/>
    <n v="2961138"/>
  </r>
  <r>
    <x v="8"/>
    <x v="4"/>
    <s v="Combined Heat and Power, Industrial Power"/>
    <x v="4"/>
    <n v="461335"/>
  </r>
  <r>
    <x v="8"/>
    <x v="4"/>
    <s v="Combined Heat and Power, Industrial Power"/>
    <x v="6"/>
    <n v="843345"/>
  </r>
  <r>
    <x v="8"/>
    <x v="4"/>
    <s v="Combined Heat and Power, Electric Power"/>
    <x v="0"/>
    <n v="23266897"/>
  </r>
  <r>
    <x v="8"/>
    <x v="4"/>
    <s v="Combined Heat and Power, Electric Power"/>
    <x v="1"/>
    <n v="1714023"/>
  </r>
  <r>
    <x v="8"/>
    <x v="4"/>
    <s v="Combined Heat and Power, Electric Power"/>
    <x v="3"/>
    <n v="20337866"/>
  </r>
  <r>
    <x v="8"/>
    <x v="4"/>
    <s v="Combined Heat and Power, Electric Power"/>
    <x v="12"/>
    <n v="6048"/>
  </r>
  <r>
    <x v="8"/>
    <x v="4"/>
    <s v="Combined Heat and Power, Electric Power"/>
    <x v="8"/>
    <n v="175821"/>
  </r>
  <r>
    <x v="8"/>
    <x v="4"/>
    <s v="Combined Heat and Power, Electric Power"/>
    <x v="9"/>
    <n v="115217"/>
  </r>
  <r>
    <x v="8"/>
    <x v="4"/>
    <s v="Combined Heat and Power, Electric Power"/>
    <x v="4"/>
    <n v="844281"/>
  </r>
  <r>
    <x v="8"/>
    <x v="4"/>
    <s v="Combined Heat and Power, Electric Power"/>
    <x v="6"/>
    <n v="73641"/>
  </r>
  <r>
    <x v="8"/>
    <x v="4"/>
    <s v="Combined Heat and Power, Commercial Power"/>
    <x v="0"/>
    <n v="2037539"/>
  </r>
  <r>
    <x v="8"/>
    <x v="4"/>
    <s v="Combined Heat and Power, Commercial Power"/>
    <x v="2"/>
    <n v="11671"/>
  </r>
  <r>
    <x v="8"/>
    <x v="4"/>
    <s v="Combined Heat and Power, Commercial Power"/>
    <x v="3"/>
    <n v="1767245"/>
  </r>
  <r>
    <x v="8"/>
    <x v="4"/>
    <s v="Combined Heat and Power, Commercial Power"/>
    <x v="8"/>
    <n v="255309"/>
  </r>
  <r>
    <x v="8"/>
    <x v="4"/>
    <s v="Combined Heat and Power, Commercial Power"/>
    <x v="9"/>
    <n v="201"/>
  </r>
  <r>
    <x v="8"/>
    <x v="4"/>
    <s v="Combined Heat and Power, Commercial Power"/>
    <x v="4"/>
    <n v="3113"/>
  </r>
  <r>
    <x v="8"/>
    <x v="5"/>
    <s v="Total Electric Power Industry"/>
    <x v="0"/>
    <n v="38881563"/>
  </r>
  <r>
    <x v="8"/>
    <x v="5"/>
    <s v="Total Electric Power Industry"/>
    <x v="1"/>
    <n v="33357849"/>
  </r>
  <r>
    <x v="8"/>
    <x v="5"/>
    <s v="Total Electric Power Industry"/>
    <x v="2"/>
    <n v="1461961"/>
  </r>
  <r>
    <x v="8"/>
    <x v="5"/>
    <s v="Total Electric Power Industry"/>
    <x v="3"/>
    <n v="3936314"/>
  </r>
  <r>
    <x v="8"/>
    <x v="5"/>
    <s v="Total Electric Power Industry"/>
    <x v="8"/>
    <n v="30719"/>
  </r>
  <r>
    <x v="8"/>
    <x v="5"/>
    <s v="Total Electric Power Industry"/>
    <x v="4"/>
    <n v="49190"/>
  </r>
  <r>
    <x v="8"/>
    <x v="5"/>
    <s v="Total Electric Power Industry"/>
    <x v="10"/>
    <n v="45530"/>
  </r>
  <r>
    <x v="8"/>
    <x v="5"/>
    <s v="Electric Generators, Independent Power Producers"/>
    <x v="0"/>
    <n v="308412"/>
  </r>
  <r>
    <x v="8"/>
    <x v="5"/>
    <s v="Electric Generators, Independent Power Producers"/>
    <x v="2"/>
    <n v="115791"/>
  </r>
  <r>
    <x v="8"/>
    <x v="5"/>
    <s v="Electric Generators, Independent Power Producers"/>
    <x v="3"/>
    <n v="192621"/>
  </r>
  <r>
    <x v="8"/>
    <x v="5"/>
    <s v="Electric Generators, Electric Utilities"/>
    <x v="0"/>
    <n v="35471294"/>
  </r>
  <r>
    <x v="8"/>
    <x v="5"/>
    <s v="Electric Generators, Electric Utilities"/>
    <x v="1"/>
    <n v="33079201"/>
  </r>
  <r>
    <x v="8"/>
    <x v="5"/>
    <s v="Electric Generators, Electric Utilities"/>
    <x v="2"/>
    <n v="1346170"/>
  </r>
  <r>
    <x v="8"/>
    <x v="5"/>
    <s v="Electric Generators, Electric Utilities"/>
    <x v="3"/>
    <n v="963657"/>
  </r>
  <r>
    <x v="8"/>
    <x v="5"/>
    <s v="Electric Generators, Electric Utilities"/>
    <x v="8"/>
    <n v="0"/>
  </r>
  <r>
    <x v="8"/>
    <x v="5"/>
    <s v="Electric Generators, Electric Utilities"/>
    <x v="4"/>
    <n v="36736"/>
  </r>
  <r>
    <x v="8"/>
    <x v="5"/>
    <s v="Electric Generators, Electric Utilities"/>
    <x v="10"/>
    <n v="45530"/>
  </r>
  <r>
    <x v="8"/>
    <x v="5"/>
    <s v="Combined Heat and Power, Industrial Power"/>
    <x v="0"/>
    <n v="90582"/>
  </r>
  <r>
    <x v="8"/>
    <x v="5"/>
    <s v="Combined Heat and Power, Industrial Power"/>
    <x v="3"/>
    <n v="79342"/>
  </r>
  <r>
    <x v="8"/>
    <x v="5"/>
    <s v="Combined Heat and Power, Industrial Power"/>
    <x v="4"/>
    <n v="11240"/>
  </r>
  <r>
    <x v="8"/>
    <x v="5"/>
    <s v="Combined Heat and Power, Electric Power"/>
    <x v="0"/>
    <n v="2850203"/>
  </r>
  <r>
    <x v="8"/>
    <x v="5"/>
    <s v="Combined Heat and Power, Electric Power"/>
    <x v="1"/>
    <n v="278648"/>
  </r>
  <r>
    <x v="8"/>
    <x v="5"/>
    <s v="Combined Heat and Power, Electric Power"/>
    <x v="3"/>
    <n v="2570736"/>
  </r>
  <r>
    <x v="8"/>
    <x v="5"/>
    <s v="Combined Heat and Power, Electric Power"/>
    <x v="4"/>
    <n v="819"/>
  </r>
  <r>
    <x v="8"/>
    <x v="5"/>
    <s v="Combined Heat and Power, Commercial Power"/>
    <x v="0"/>
    <n v="161072"/>
  </r>
  <r>
    <x v="8"/>
    <x v="5"/>
    <s v="Combined Heat and Power, Commercial Power"/>
    <x v="3"/>
    <n v="129958"/>
  </r>
  <r>
    <x v="8"/>
    <x v="5"/>
    <s v="Combined Heat and Power, Commercial Power"/>
    <x v="8"/>
    <n v="30719"/>
  </r>
  <r>
    <x v="8"/>
    <x v="5"/>
    <s v="Combined Heat and Power, Commercial Power"/>
    <x v="4"/>
    <n v="395"/>
  </r>
  <r>
    <x v="8"/>
    <x v="6"/>
    <s v="Total Electric Power Industry"/>
    <x v="0"/>
    <n v="19691492"/>
  </r>
  <r>
    <x v="8"/>
    <x v="6"/>
    <s v="Total Electric Power Industry"/>
    <x v="1"/>
    <n v="3016247"/>
  </r>
  <r>
    <x v="8"/>
    <x v="6"/>
    <s v="Total Electric Power Industry"/>
    <x v="2"/>
    <n v="448285"/>
  </r>
  <r>
    <x v="8"/>
    <x v="6"/>
    <s v="Total Electric Power Industry"/>
    <x v="3"/>
    <n v="2257468"/>
  </r>
  <r>
    <x v="8"/>
    <x v="6"/>
    <s v="Total Electric Power Industry"/>
    <x v="7"/>
    <n v="3243003"/>
  </r>
  <r>
    <x v="8"/>
    <x v="6"/>
    <s v="Total Electric Power Industry"/>
    <x v="12"/>
    <n v="0"/>
  </r>
  <r>
    <x v="8"/>
    <x v="6"/>
    <s v="Total Electric Power Industry"/>
    <x v="8"/>
    <n v="2061079"/>
  </r>
  <r>
    <x v="8"/>
    <x v="6"/>
    <s v="Total Electric Power Industry"/>
    <x v="9"/>
    <n v="239"/>
  </r>
  <r>
    <x v="8"/>
    <x v="6"/>
    <s v="Total Electric Power Industry"/>
    <x v="4"/>
    <n v="8665082"/>
  </r>
  <r>
    <x v="8"/>
    <x v="6"/>
    <s v="Total Electric Power Industry"/>
    <x v="10"/>
    <n v="89"/>
  </r>
  <r>
    <x v="8"/>
    <x v="6"/>
    <s v="Electric Generators, Independent Power Producers"/>
    <x v="0"/>
    <n v="1460849"/>
  </r>
  <r>
    <x v="8"/>
    <x v="6"/>
    <s v="Electric Generators, Independent Power Producers"/>
    <x v="2"/>
    <n v="63838"/>
  </r>
  <r>
    <x v="8"/>
    <x v="6"/>
    <s v="Electric Generators, Independent Power Producers"/>
    <x v="3"/>
    <n v="227899"/>
  </r>
  <r>
    <x v="8"/>
    <x v="6"/>
    <s v="Electric Generators, Independent Power Producers"/>
    <x v="8"/>
    <n v="1167270"/>
  </r>
  <r>
    <x v="8"/>
    <x v="6"/>
    <s v="Electric Generators, Independent Power Producers"/>
    <x v="9"/>
    <n v="239"/>
  </r>
  <r>
    <x v="8"/>
    <x v="6"/>
    <s v="Electric Generators, Independent Power Producers"/>
    <x v="4"/>
    <n v="1603"/>
  </r>
  <r>
    <x v="8"/>
    <x v="6"/>
    <s v="Electric Generators, Electric Utilities"/>
    <x v="0"/>
    <n v="15122925"/>
  </r>
  <r>
    <x v="8"/>
    <x v="6"/>
    <s v="Electric Generators, Electric Utilities"/>
    <x v="1"/>
    <n v="1482608"/>
  </r>
  <r>
    <x v="8"/>
    <x v="6"/>
    <s v="Electric Generators, Electric Utilities"/>
    <x v="2"/>
    <n v="384447"/>
  </r>
  <r>
    <x v="8"/>
    <x v="6"/>
    <s v="Electric Generators, Electric Utilities"/>
    <x v="3"/>
    <n v="977388"/>
  </r>
  <r>
    <x v="8"/>
    <x v="6"/>
    <s v="Electric Generators, Electric Utilities"/>
    <x v="7"/>
    <n v="3243003"/>
  </r>
  <r>
    <x v="8"/>
    <x v="6"/>
    <s v="Electric Generators, Electric Utilities"/>
    <x v="8"/>
    <n v="427389"/>
  </r>
  <r>
    <x v="8"/>
    <x v="6"/>
    <s v="Electric Generators, Electric Utilities"/>
    <x v="4"/>
    <n v="8608001"/>
  </r>
  <r>
    <x v="8"/>
    <x v="6"/>
    <s v="Electric Generators, Electric Utilities"/>
    <x v="10"/>
    <n v="89"/>
  </r>
  <r>
    <x v="8"/>
    <x v="6"/>
    <s v="Combined Heat and Power, Industrial Power"/>
    <x v="0"/>
    <n v="362504"/>
  </r>
  <r>
    <x v="8"/>
    <x v="6"/>
    <s v="Combined Heat and Power, Industrial Power"/>
    <x v="3"/>
    <n v="310323"/>
  </r>
  <r>
    <x v="8"/>
    <x v="6"/>
    <s v="Combined Heat and Power, Industrial Power"/>
    <x v="12"/>
    <n v="0"/>
  </r>
  <r>
    <x v="8"/>
    <x v="6"/>
    <s v="Combined Heat and Power, Industrial Power"/>
    <x v="4"/>
    <n v="52181"/>
  </r>
  <r>
    <x v="8"/>
    <x v="6"/>
    <s v="Combined Heat and Power, Electric Power"/>
    <x v="0"/>
    <n v="2263539"/>
  </r>
  <r>
    <x v="8"/>
    <x v="6"/>
    <s v="Combined Heat and Power, Electric Power"/>
    <x v="1"/>
    <n v="1524044"/>
  </r>
  <r>
    <x v="8"/>
    <x v="6"/>
    <s v="Combined Heat and Power, Electric Power"/>
    <x v="3"/>
    <n v="736692"/>
  </r>
  <r>
    <x v="8"/>
    <x v="6"/>
    <s v="Combined Heat and Power, Electric Power"/>
    <x v="4"/>
    <n v="2803"/>
  </r>
  <r>
    <x v="8"/>
    <x v="6"/>
    <s v="Combined Heat and Power, Commercial Power"/>
    <x v="0"/>
    <n v="481675"/>
  </r>
  <r>
    <x v="8"/>
    <x v="6"/>
    <s v="Combined Heat and Power, Commercial Power"/>
    <x v="1"/>
    <n v="9595"/>
  </r>
  <r>
    <x v="8"/>
    <x v="6"/>
    <s v="Combined Heat and Power, Commercial Power"/>
    <x v="3"/>
    <n v="5166"/>
  </r>
  <r>
    <x v="8"/>
    <x v="6"/>
    <s v="Combined Heat and Power, Commercial Power"/>
    <x v="8"/>
    <n v="466420"/>
  </r>
  <r>
    <x v="8"/>
    <x v="6"/>
    <s v="Combined Heat and Power, Commercial Power"/>
    <x v="4"/>
    <n v="494"/>
  </r>
  <r>
    <x v="8"/>
    <x v="7"/>
    <s v="Total Electric Power Industry"/>
    <x v="0"/>
    <n v="243975"/>
  </r>
  <r>
    <x v="8"/>
    <x v="7"/>
    <s v="Total Electric Power Industry"/>
    <x v="4"/>
    <n v="243975"/>
  </r>
  <r>
    <x v="8"/>
    <x v="7"/>
    <s v="Electric Generators, Electric Utilities"/>
    <x v="0"/>
    <n v="243975"/>
  </r>
  <r>
    <x v="8"/>
    <x v="7"/>
    <s v="Electric Generators, Electric Utilities"/>
    <x v="4"/>
    <n v="243975"/>
  </r>
  <r>
    <x v="8"/>
    <x v="8"/>
    <s v="Total Electric Power Industry"/>
    <x v="0"/>
    <n v="6898585"/>
  </r>
  <r>
    <x v="8"/>
    <x v="8"/>
    <s v="Total Electric Power Industry"/>
    <x v="1"/>
    <n v="3906177"/>
  </r>
  <r>
    <x v="8"/>
    <x v="8"/>
    <s v="Total Electric Power Industry"/>
    <x v="3"/>
    <n v="1276972"/>
  </r>
  <r>
    <x v="8"/>
    <x v="8"/>
    <s v="Total Electric Power Industry"/>
    <x v="12"/>
    <n v="4161"/>
  </r>
  <r>
    <x v="8"/>
    <x v="8"/>
    <s v="Total Electric Power Industry"/>
    <x v="9"/>
    <n v="187641"/>
  </r>
  <r>
    <x v="8"/>
    <x v="8"/>
    <s v="Total Electric Power Industry"/>
    <x v="4"/>
    <n v="1523634"/>
  </r>
  <r>
    <x v="8"/>
    <x v="8"/>
    <s v="Electric Generators, Electric Utilities"/>
    <x v="0"/>
    <n v="6317738"/>
  </r>
  <r>
    <x v="8"/>
    <x v="8"/>
    <s v="Electric Generators, Electric Utilities"/>
    <x v="1"/>
    <n v="3811669"/>
  </r>
  <r>
    <x v="8"/>
    <x v="8"/>
    <s v="Electric Generators, Electric Utilities"/>
    <x v="3"/>
    <n v="1271605"/>
  </r>
  <r>
    <x v="8"/>
    <x v="8"/>
    <s v="Electric Generators, Electric Utilities"/>
    <x v="4"/>
    <n v="1234464"/>
  </r>
  <r>
    <x v="8"/>
    <x v="8"/>
    <s v="Combined Heat and Power, Industrial Power"/>
    <x v="0"/>
    <n v="580847"/>
  </r>
  <r>
    <x v="8"/>
    <x v="8"/>
    <s v="Combined Heat and Power, Industrial Power"/>
    <x v="1"/>
    <n v="94508"/>
  </r>
  <r>
    <x v="8"/>
    <x v="8"/>
    <s v="Combined Heat and Power, Industrial Power"/>
    <x v="3"/>
    <n v="5367"/>
  </r>
  <r>
    <x v="8"/>
    <x v="8"/>
    <s v="Combined Heat and Power, Industrial Power"/>
    <x v="12"/>
    <n v="4161"/>
  </r>
  <r>
    <x v="8"/>
    <x v="8"/>
    <s v="Combined Heat and Power, Industrial Power"/>
    <x v="9"/>
    <n v="187641"/>
  </r>
  <r>
    <x v="8"/>
    <x v="8"/>
    <s v="Combined Heat and Power, Industrial Power"/>
    <x v="4"/>
    <n v="289170"/>
  </r>
  <r>
    <x v="8"/>
    <x v="9"/>
    <s v="Total Electric Power Industry"/>
    <x v="0"/>
    <n v="189628996"/>
  </r>
  <r>
    <x v="8"/>
    <x v="9"/>
    <s v="Total Electric Power Industry"/>
    <x v="1"/>
    <n v="70279444"/>
  </r>
  <r>
    <x v="8"/>
    <x v="9"/>
    <s v="Total Electric Power Industry"/>
    <x v="2"/>
    <n v="198505"/>
  </r>
  <r>
    <x v="8"/>
    <x v="9"/>
    <s v="Total Electric Power Industry"/>
    <x v="3"/>
    <n v="38923191"/>
  </r>
  <r>
    <x v="8"/>
    <x v="9"/>
    <s v="Total Electric Power Industry"/>
    <x v="7"/>
    <n v="31115419"/>
  </r>
  <r>
    <x v="8"/>
    <x v="9"/>
    <s v="Total Electric Power Industry"/>
    <x v="12"/>
    <n v="2043149"/>
  </r>
  <r>
    <x v="8"/>
    <x v="9"/>
    <s v="Total Electric Power Industry"/>
    <x v="8"/>
    <n v="3393368"/>
  </r>
  <r>
    <x v="8"/>
    <x v="9"/>
    <s v="Total Electric Power Industry"/>
    <x v="9"/>
    <n v="80305"/>
  </r>
  <r>
    <x v="8"/>
    <x v="9"/>
    <s v="Total Electric Power Industry"/>
    <x v="4"/>
    <n v="41521651"/>
  </r>
  <r>
    <x v="8"/>
    <x v="9"/>
    <s v="Total Electric Power Industry"/>
    <x v="6"/>
    <n v="2073964"/>
  </r>
  <r>
    <x v="8"/>
    <x v="9"/>
    <s v="Electric Generators, Independent Power Producers"/>
    <x v="0"/>
    <n v="4257920"/>
  </r>
  <r>
    <x v="8"/>
    <x v="9"/>
    <s v="Electric Generators, Independent Power Producers"/>
    <x v="3"/>
    <n v="901257"/>
  </r>
  <r>
    <x v="8"/>
    <x v="9"/>
    <s v="Electric Generators, Independent Power Producers"/>
    <x v="8"/>
    <n v="3097865"/>
  </r>
  <r>
    <x v="8"/>
    <x v="9"/>
    <s v="Electric Generators, Independent Power Producers"/>
    <x v="9"/>
    <n v="54544"/>
  </r>
  <r>
    <x v="8"/>
    <x v="9"/>
    <s v="Electric Generators, Independent Power Producers"/>
    <x v="4"/>
    <n v="15575"/>
  </r>
  <r>
    <x v="8"/>
    <x v="9"/>
    <s v="Electric Generators, Independent Power Producers"/>
    <x v="6"/>
    <n v="188679"/>
  </r>
  <r>
    <x v="8"/>
    <x v="9"/>
    <s v="Electric Generators, Electric Utilities"/>
    <x v="0"/>
    <n v="169447167"/>
  </r>
  <r>
    <x v="8"/>
    <x v="9"/>
    <s v="Electric Generators, Electric Utilities"/>
    <x v="1"/>
    <n v="65470151"/>
  </r>
  <r>
    <x v="8"/>
    <x v="9"/>
    <s v="Electric Generators, Electric Utilities"/>
    <x v="2"/>
    <n v="198505"/>
  </r>
  <r>
    <x v="8"/>
    <x v="9"/>
    <s v="Electric Generators, Electric Utilities"/>
    <x v="3"/>
    <n v="31710512"/>
  </r>
  <r>
    <x v="8"/>
    <x v="9"/>
    <s v="Electric Generators, Electric Utilities"/>
    <x v="7"/>
    <n v="31115419"/>
  </r>
  <r>
    <x v="8"/>
    <x v="9"/>
    <s v="Electric Generators, Electric Utilities"/>
    <x v="8"/>
    <n v="0"/>
  </r>
  <r>
    <x v="8"/>
    <x v="9"/>
    <s v="Electric Generators, Electric Utilities"/>
    <x v="4"/>
    <n v="40952580"/>
  </r>
  <r>
    <x v="8"/>
    <x v="9"/>
    <s v="Combined Heat and Power, Industrial Power"/>
    <x v="0"/>
    <n v="6443329"/>
  </r>
  <r>
    <x v="8"/>
    <x v="9"/>
    <s v="Combined Heat and Power, Industrial Power"/>
    <x v="1"/>
    <n v="343422"/>
  </r>
  <r>
    <x v="8"/>
    <x v="9"/>
    <s v="Combined Heat and Power, Industrial Power"/>
    <x v="3"/>
    <n v="1703510"/>
  </r>
  <r>
    <x v="8"/>
    <x v="9"/>
    <s v="Combined Heat and Power, Industrial Power"/>
    <x v="12"/>
    <n v="2043149"/>
  </r>
  <r>
    <x v="8"/>
    <x v="9"/>
    <s v="Combined Heat and Power, Industrial Power"/>
    <x v="8"/>
    <n v="133766"/>
  </r>
  <r>
    <x v="8"/>
    <x v="9"/>
    <s v="Combined Heat and Power, Industrial Power"/>
    <x v="9"/>
    <n v="25734"/>
  </r>
  <r>
    <x v="8"/>
    <x v="9"/>
    <s v="Combined Heat and Power, Industrial Power"/>
    <x v="4"/>
    <n v="442585"/>
  </r>
  <r>
    <x v="8"/>
    <x v="9"/>
    <s v="Combined Heat and Power, Industrial Power"/>
    <x v="6"/>
    <n v="1751163"/>
  </r>
  <r>
    <x v="8"/>
    <x v="9"/>
    <s v="Combined Heat and Power, Electric Power"/>
    <x v="0"/>
    <n v="9348092"/>
  </r>
  <r>
    <x v="8"/>
    <x v="9"/>
    <s v="Combined Heat and Power, Electric Power"/>
    <x v="1"/>
    <n v="4465871"/>
  </r>
  <r>
    <x v="8"/>
    <x v="9"/>
    <s v="Combined Heat and Power, Electric Power"/>
    <x v="3"/>
    <n v="4513185"/>
  </r>
  <r>
    <x v="8"/>
    <x v="9"/>
    <s v="Combined Heat and Power, Electric Power"/>
    <x v="8"/>
    <n v="124365"/>
  </r>
  <r>
    <x v="8"/>
    <x v="9"/>
    <s v="Combined Heat and Power, Electric Power"/>
    <x v="9"/>
    <n v="27"/>
  </r>
  <r>
    <x v="8"/>
    <x v="9"/>
    <s v="Combined Heat and Power, Electric Power"/>
    <x v="4"/>
    <n v="110522"/>
  </r>
  <r>
    <x v="8"/>
    <x v="9"/>
    <s v="Combined Heat and Power, Electric Power"/>
    <x v="6"/>
    <n v="134122"/>
  </r>
  <r>
    <x v="8"/>
    <x v="9"/>
    <s v="Combined Heat and Power, Commercial Power"/>
    <x v="0"/>
    <n v="132488"/>
  </r>
  <r>
    <x v="8"/>
    <x v="9"/>
    <s v="Combined Heat and Power, Commercial Power"/>
    <x v="3"/>
    <n v="94727"/>
  </r>
  <r>
    <x v="8"/>
    <x v="9"/>
    <s v="Combined Heat and Power, Commercial Power"/>
    <x v="8"/>
    <n v="37372"/>
  </r>
  <r>
    <x v="8"/>
    <x v="9"/>
    <s v="Combined Heat and Power, Commercial Power"/>
    <x v="4"/>
    <n v="389"/>
  </r>
  <r>
    <x v="8"/>
    <x v="10"/>
    <s v="Total Electric Power Industry"/>
    <x v="0"/>
    <n v="115323706"/>
  </r>
  <r>
    <x v="8"/>
    <x v="10"/>
    <s v="Total Electric Power Industry"/>
    <x v="1"/>
    <n v="70878052"/>
  </r>
  <r>
    <x v="8"/>
    <x v="10"/>
    <s v="Total Electric Power Industry"/>
    <x v="2"/>
    <n v="5234521"/>
  </r>
  <r>
    <x v="8"/>
    <x v="10"/>
    <s v="Total Electric Power Industry"/>
    <x v="3"/>
    <n v="3293140"/>
  </r>
  <r>
    <x v="8"/>
    <x v="10"/>
    <s v="Total Electric Power Industry"/>
    <x v="7"/>
    <n v="31380401"/>
  </r>
  <r>
    <x v="8"/>
    <x v="10"/>
    <s v="Total Electric Power Industry"/>
    <x v="12"/>
    <n v="6681"/>
  </r>
  <r>
    <x v="8"/>
    <x v="10"/>
    <s v="Total Electric Power Industry"/>
    <x v="8"/>
    <n v="54348"/>
  </r>
  <r>
    <x v="8"/>
    <x v="10"/>
    <s v="Total Electric Power Industry"/>
    <x v="4"/>
    <n v="1571191"/>
  </r>
  <r>
    <x v="8"/>
    <x v="10"/>
    <s v="Total Electric Power Industry"/>
    <x v="10"/>
    <n v="-172698"/>
  </r>
  <r>
    <x v="8"/>
    <x v="10"/>
    <s v="Total Electric Power Industry"/>
    <x v="6"/>
    <n v="3078070"/>
  </r>
  <r>
    <x v="8"/>
    <x v="10"/>
    <s v="Electric Generators, Independent Power Producers"/>
    <x v="0"/>
    <n v="406684"/>
  </r>
  <r>
    <x v="8"/>
    <x v="10"/>
    <s v="Electric Generators, Independent Power Producers"/>
    <x v="2"/>
    <n v="10234"/>
  </r>
  <r>
    <x v="8"/>
    <x v="10"/>
    <s v="Electric Generators, Independent Power Producers"/>
    <x v="3"/>
    <n v="372483"/>
  </r>
  <r>
    <x v="8"/>
    <x v="10"/>
    <s v="Electric Generators, Independent Power Producers"/>
    <x v="8"/>
    <n v="18923"/>
  </r>
  <r>
    <x v="8"/>
    <x v="10"/>
    <s v="Electric Generators, Independent Power Producers"/>
    <x v="4"/>
    <n v="5044"/>
  </r>
  <r>
    <x v="8"/>
    <x v="10"/>
    <s v="Electric Generators, Electric Utilities"/>
    <x v="0"/>
    <n v="108716930"/>
  </r>
  <r>
    <x v="8"/>
    <x v="10"/>
    <s v="Electric Generators, Electric Utilities"/>
    <x v="1"/>
    <n v="69871150"/>
  </r>
  <r>
    <x v="8"/>
    <x v="10"/>
    <s v="Electric Generators, Electric Utilities"/>
    <x v="2"/>
    <n v="5198370"/>
  </r>
  <r>
    <x v="8"/>
    <x v="10"/>
    <s v="Electric Generators, Electric Utilities"/>
    <x v="3"/>
    <n v="1768783"/>
  </r>
  <r>
    <x v="8"/>
    <x v="10"/>
    <s v="Electric Generators, Electric Utilities"/>
    <x v="7"/>
    <n v="31380401"/>
  </r>
  <r>
    <x v="8"/>
    <x v="10"/>
    <s v="Electric Generators, Electric Utilities"/>
    <x v="4"/>
    <n v="670924"/>
  </r>
  <r>
    <x v="8"/>
    <x v="10"/>
    <s v="Electric Generators, Electric Utilities"/>
    <x v="10"/>
    <n v="-172698"/>
  </r>
  <r>
    <x v="8"/>
    <x v="10"/>
    <s v="Combined Heat and Power, Industrial Power"/>
    <x v="0"/>
    <n v="5390500"/>
  </r>
  <r>
    <x v="8"/>
    <x v="10"/>
    <s v="Combined Heat and Power, Industrial Power"/>
    <x v="1"/>
    <n v="1006902"/>
  </r>
  <r>
    <x v="8"/>
    <x v="10"/>
    <s v="Combined Heat and Power, Industrial Power"/>
    <x v="2"/>
    <n v="25917"/>
  </r>
  <r>
    <x v="8"/>
    <x v="10"/>
    <s v="Combined Heat and Power, Industrial Power"/>
    <x v="3"/>
    <n v="389114"/>
  </r>
  <r>
    <x v="8"/>
    <x v="10"/>
    <s v="Combined Heat and Power, Industrial Power"/>
    <x v="12"/>
    <n v="6681"/>
  </r>
  <r>
    <x v="8"/>
    <x v="10"/>
    <s v="Combined Heat and Power, Industrial Power"/>
    <x v="8"/>
    <n v="35425"/>
  </r>
  <r>
    <x v="8"/>
    <x v="10"/>
    <s v="Combined Heat and Power, Industrial Power"/>
    <x v="4"/>
    <n v="848391"/>
  </r>
  <r>
    <x v="8"/>
    <x v="10"/>
    <s v="Combined Heat and Power, Industrial Power"/>
    <x v="6"/>
    <n v="3078070"/>
  </r>
  <r>
    <x v="8"/>
    <x v="10"/>
    <s v="Combined Heat and Power, Electric Power"/>
    <x v="0"/>
    <n v="791806"/>
  </r>
  <r>
    <x v="8"/>
    <x v="10"/>
    <s v="Combined Heat and Power, Electric Power"/>
    <x v="3"/>
    <n v="762760"/>
  </r>
  <r>
    <x v="8"/>
    <x v="10"/>
    <s v="Combined Heat and Power, Electric Power"/>
    <x v="4"/>
    <n v="29046"/>
  </r>
  <r>
    <x v="8"/>
    <x v="10"/>
    <s v="Combined Heat and Power, Commercial Power"/>
    <x v="0"/>
    <n v="17786"/>
  </r>
  <r>
    <x v="8"/>
    <x v="10"/>
    <s v="Combined Heat and Power, Commercial Power"/>
    <x v="4"/>
    <n v="17786"/>
  </r>
  <r>
    <x v="8"/>
    <x v="11"/>
    <s v="Total Electric Power Industry"/>
    <x v="0"/>
    <n v="10228082"/>
  </r>
  <r>
    <x v="8"/>
    <x v="11"/>
    <s v="Total Electric Power Industry"/>
    <x v="1"/>
    <n v="1434868"/>
  </r>
  <r>
    <x v="8"/>
    <x v="11"/>
    <s v="Total Electric Power Industry"/>
    <x v="11"/>
    <n v="237083"/>
  </r>
  <r>
    <x v="8"/>
    <x v="11"/>
    <s v="Total Electric Power Industry"/>
    <x v="2"/>
    <n v="121273"/>
  </r>
  <r>
    <x v="8"/>
    <x v="11"/>
    <s v="Total Electric Power Industry"/>
    <x v="8"/>
    <n v="504066"/>
  </r>
  <r>
    <x v="8"/>
    <x v="11"/>
    <s v="Total Electric Power Industry"/>
    <x v="9"/>
    <n v="60443"/>
  </r>
  <r>
    <x v="8"/>
    <x v="11"/>
    <s v="Total Electric Power Industry"/>
    <x v="4"/>
    <n v="7851068"/>
  </r>
  <r>
    <x v="8"/>
    <x v="11"/>
    <s v="Total Electric Power Industry"/>
    <x v="5"/>
    <n v="19281"/>
  </r>
  <r>
    <x v="8"/>
    <x v="11"/>
    <s v="Electric Generators, Independent Power Producers"/>
    <x v="0"/>
    <n v="647103"/>
  </r>
  <r>
    <x v="8"/>
    <x v="11"/>
    <s v="Electric Generators, Independent Power Producers"/>
    <x v="11"/>
    <n v="237083"/>
  </r>
  <r>
    <x v="8"/>
    <x v="11"/>
    <s v="Electric Generators, Independent Power Producers"/>
    <x v="2"/>
    <n v="32187"/>
  </r>
  <r>
    <x v="8"/>
    <x v="11"/>
    <s v="Electric Generators, Independent Power Producers"/>
    <x v="8"/>
    <n v="356322"/>
  </r>
  <r>
    <x v="8"/>
    <x v="11"/>
    <s v="Electric Generators, Independent Power Producers"/>
    <x v="4"/>
    <n v="2542"/>
  </r>
  <r>
    <x v="8"/>
    <x v="11"/>
    <s v="Electric Generators, Independent Power Producers"/>
    <x v="5"/>
    <n v="18969"/>
  </r>
  <r>
    <x v="8"/>
    <x v="11"/>
    <s v="Electric Generators, Electric Utilities"/>
    <x v="0"/>
    <n v="6301169"/>
  </r>
  <r>
    <x v="8"/>
    <x v="11"/>
    <s v="Electric Generators, Electric Utilities"/>
    <x v="2"/>
    <n v="13750"/>
  </r>
  <r>
    <x v="8"/>
    <x v="11"/>
    <s v="Electric Generators, Electric Utilities"/>
    <x v="4"/>
    <n v="6287107"/>
  </r>
  <r>
    <x v="8"/>
    <x v="11"/>
    <s v="Electric Generators, Electric Utilities"/>
    <x v="5"/>
    <n v="312"/>
  </r>
  <r>
    <x v="8"/>
    <x v="11"/>
    <s v="Combined Heat and Power, Industrial Power"/>
    <x v="0"/>
    <n v="489879"/>
  </r>
  <r>
    <x v="8"/>
    <x v="11"/>
    <s v="Combined Heat and Power, Industrial Power"/>
    <x v="1"/>
    <n v="18883"/>
  </r>
  <r>
    <x v="8"/>
    <x v="11"/>
    <s v="Combined Heat and Power, Industrial Power"/>
    <x v="2"/>
    <n v="75336"/>
  </r>
  <r>
    <x v="8"/>
    <x v="11"/>
    <s v="Combined Heat and Power, Industrial Power"/>
    <x v="8"/>
    <n v="139770"/>
  </r>
  <r>
    <x v="8"/>
    <x v="11"/>
    <s v="Combined Heat and Power, Industrial Power"/>
    <x v="9"/>
    <n v="60443"/>
  </r>
  <r>
    <x v="8"/>
    <x v="11"/>
    <s v="Combined Heat and Power, Industrial Power"/>
    <x v="4"/>
    <n v="195447"/>
  </r>
  <r>
    <x v="8"/>
    <x v="11"/>
    <s v="Combined Heat and Power, Electric Power"/>
    <x v="0"/>
    <n v="2789931"/>
  </r>
  <r>
    <x v="8"/>
    <x v="11"/>
    <s v="Combined Heat and Power, Electric Power"/>
    <x v="1"/>
    <n v="1415985"/>
  </r>
  <r>
    <x v="8"/>
    <x v="11"/>
    <s v="Combined Heat and Power, Electric Power"/>
    <x v="8"/>
    <n v="7974"/>
  </r>
  <r>
    <x v="8"/>
    <x v="11"/>
    <s v="Combined Heat and Power, Electric Power"/>
    <x v="4"/>
    <n v="1365972"/>
  </r>
  <r>
    <x v="8"/>
    <x v="12"/>
    <s v="Total Electric Power Industry"/>
    <x v="0"/>
    <n v="38448789"/>
  </r>
  <r>
    <x v="8"/>
    <x v="12"/>
    <s v="Total Electric Power Industry"/>
    <x v="1"/>
    <n v="32999971"/>
  </r>
  <r>
    <x v="8"/>
    <x v="12"/>
    <s v="Total Electric Power Industry"/>
    <x v="2"/>
    <n v="912915"/>
  </r>
  <r>
    <x v="8"/>
    <x v="12"/>
    <s v="Total Electric Power Industry"/>
    <x v="3"/>
    <n v="560892"/>
  </r>
  <r>
    <x v="8"/>
    <x v="12"/>
    <s v="Total Electric Power Industry"/>
    <x v="7"/>
    <n v="3767513"/>
  </r>
  <r>
    <x v="8"/>
    <x v="12"/>
    <s v="Total Electric Power Industry"/>
    <x v="8"/>
    <n v="89877"/>
  </r>
  <r>
    <x v="8"/>
    <x v="12"/>
    <s v="Total Electric Power Industry"/>
    <x v="4"/>
    <n v="116543"/>
  </r>
  <r>
    <x v="8"/>
    <x v="12"/>
    <s v="Total Electric Power Industry"/>
    <x v="5"/>
    <n v="89"/>
  </r>
  <r>
    <x v="8"/>
    <x v="12"/>
    <s v="Total Electric Power Industry"/>
    <x v="6"/>
    <n v="989"/>
  </r>
  <r>
    <x v="8"/>
    <x v="12"/>
    <s v="Electric Generators, Independent Power Producers"/>
    <x v="0"/>
    <n v="23057"/>
  </r>
  <r>
    <x v="8"/>
    <x v="12"/>
    <s v="Electric Generators, Independent Power Producers"/>
    <x v="2"/>
    <n v="19696"/>
  </r>
  <r>
    <x v="8"/>
    <x v="12"/>
    <s v="Electric Generators, Independent Power Producers"/>
    <x v="4"/>
    <n v="3361"/>
  </r>
  <r>
    <x v="8"/>
    <x v="12"/>
    <s v="Electric Generators, Electric Utilities"/>
    <x v="0"/>
    <n v="37085476"/>
  </r>
  <r>
    <x v="8"/>
    <x v="12"/>
    <s v="Electric Generators, Electric Utilities"/>
    <x v="1"/>
    <n v="31883678"/>
  </r>
  <r>
    <x v="8"/>
    <x v="12"/>
    <s v="Electric Generators, Electric Utilities"/>
    <x v="2"/>
    <n v="893219"/>
  </r>
  <r>
    <x v="8"/>
    <x v="12"/>
    <s v="Electric Generators, Electric Utilities"/>
    <x v="3"/>
    <n v="412281"/>
  </r>
  <r>
    <x v="8"/>
    <x v="12"/>
    <s v="Electric Generators, Electric Utilities"/>
    <x v="7"/>
    <n v="3767513"/>
  </r>
  <r>
    <x v="8"/>
    <x v="12"/>
    <s v="Electric Generators, Electric Utilities"/>
    <x v="8"/>
    <n v="19076"/>
  </r>
  <r>
    <x v="8"/>
    <x v="12"/>
    <s v="Electric Generators, Electric Utilities"/>
    <x v="4"/>
    <n v="109620"/>
  </r>
  <r>
    <x v="8"/>
    <x v="12"/>
    <s v="Electric Generators, Electric Utilities"/>
    <x v="5"/>
    <n v="89"/>
  </r>
  <r>
    <x v="8"/>
    <x v="12"/>
    <s v="Combined Heat and Power, Industrial Power"/>
    <x v="0"/>
    <n v="1086550"/>
  </r>
  <r>
    <x v="8"/>
    <x v="12"/>
    <s v="Combined Heat and Power, Industrial Power"/>
    <x v="1"/>
    <n v="955770"/>
  </r>
  <r>
    <x v="8"/>
    <x v="12"/>
    <s v="Combined Heat and Power, Industrial Power"/>
    <x v="3"/>
    <n v="129632"/>
  </r>
  <r>
    <x v="8"/>
    <x v="12"/>
    <s v="Combined Heat and Power, Industrial Power"/>
    <x v="4"/>
    <n v="159"/>
  </r>
  <r>
    <x v="8"/>
    <x v="12"/>
    <s v="Combined Heat and Power, Industrial Power"/>
    <x v="6"/>
    <n v="989"/>
  </r>
  <r>
    <x v="8"/>
    <x v="12"/>
    <s v="Combined Heat and Power, Electric Power"/>
    <x v="0"/>
    <n v="145669"/>
  </r>
  <r>
    <x v="8"/>
    <x v="12"/>
    <s v="Combined Heat and Power, Electric Power"/>
    <x v="1"/>
    <n v="97815"/>
  </r>
  <r>
    <x v="8"/>
    <x v="12"/>
    <s v="Combined Heat and Power, Electric Power"/>
    <x v="8"/>
    <n v="47854"/>
  </r>
  <r>
    <x v="8"/>
    <x v="12"/>
    <s v="Combined Heat and Power, Commercial Power"/>
    <x v="0"/>
    <n v="108037"/>
  </r>
  <r>
    <x v="8"/>
    <x v="12"/>
    <s v="Combined Heat and Power, Commercial Power"/>
    <x v="1"/>
    <n v="62708"/>
  </r>
  <r>
    <x v="8"/>
    <x v="12"/>
    <s v="Combined Heat and Power, Commercial Power"/>
    <x v="3"/>
    <n v="18979"/>
  </r>
  <r>
    <x v="8"/>
    <x v="12"/>
    <s v="Combined Heat and Power, Commercial Power"/>
    <x v="8"/>
    <n v="22947"/>
  </r>
  <r>
    <x v="8"/>
    <x v="12"/>
    <s v="Combined Heat and Power, Commercial Power"/>
    <x v="4"/>
    <n v="3403"/>
  </r>
  <r>
    <x v="8"/>
    <x v="13"/>
    <s v="Total Electric Power Industry"/>
    <x v="0"/>
    <n v="13908673"/>
  </r>
  <r>
    <x v="8"/>
    <x v="13"/>
    <s v="Total Electric Power Industry"/>
    <x v="1"/>
    <n v="48120"/>
  </r>
  <r>
    <x v="8"/>
    <x v="13"/>
    <s v="Total Electric Power Industry"/>
    <x v="2"/>
    <n v="12935550"/>
  </r>
  <r>
    <x v="8"/>
    <x v="13"/>
    <s v="Total Electric Power Industry"/>
    <x v="3"/>
    <n v="337152"/>
  </r>
  <r>
    <x v="8"/>
    <x v="13"/>
    <s v="Total Electric Power Industry"/>
    <x v="12"/>
    <n v="83514"/>
  </r>
  <r>
    <x v="8"/>
    <x v="13"/>
    <s v="Total Electric Power Industry"/>
    <x v="8"/>
    <n v="50"/>
  </r>
  <r>
    <x v="8"/>
    <x v="13"/>
    <s v="Total Electric Power Industry"/>
    <x v="4"/>
    <n v="625"/>
  </r>
  <r>
    <x v="8"/>
    <x v="13"/>
    <s v="Total Electric Power Industry"/>
    <x v="6"/>
    <n v="503662"/>
  </r>
  <r>
    <x v="8"/>
    <x v="13"/>
    <s v="Electric Generators, Independent Power Producers"/>
    <x v="0"/>
    <n v="957724"/>
  </r>
  <r>
    <x v="8"/>
    <x v="13"/>
    <s v="Electric Generators, Independent Power Producers"/>
    <x v="2"/>
    <n v="957724"/>
  </r>
  <r>
    <x v="8"/>
    <x v="13"/>
    <s v="Electric Generators, Electric Utilities"/>
    <x v="0"/>
    <n v="11978079"/>
  </r>
  <r>
    <x v="8"/>
    <x v="13"/>
    <s v="Electric Generators, Electric Utilities"/>
    <x v="2"/>
    <n v="11977826"/>
  </r>
  <r>
    <x v="8"/>
    <x v="13"/>
    <s v="Electric Generators, Electric Utilities"/>
    <x v="3"/>
    <n v="0"/>
  </r>
  <r>
    <x v="8"/>
    <x v="13"/>
    <s v="Electric Generators, Electric Utilities"/>
    <x v="4"/>
    <n v="253"/>
  </r>
  <r>
    <x v="8"/>
    <x v="13"/>
    <s v="Combined Heat and Power, Industrial Power"/>
    <x v="0"/>
    <n v="758335"/>
  </r>
  <r>
    <x v="8"/>
    <x v="13"/>
    <s v="Combined Heat and Power, Industrial Power"/>
    <x v="1"/>
    <n v="48120"/>
  </r>
  <r>
    <x v="8"/>
    <x v="13"/>
    <s v="Combined Heat and Power, Industrial Power"/>
    <x v="3"/>
    <n v="170308"/>
  </r>
  <r>
    <x v="8"/>
    <x v="13"/>
    <s v="Combined Heat and Power, Industrial Power"/>
    <x v="12"/>
    <n v="83514"/>
  </r>
  <r>
    <x v="8"/>
    <x v="13"/>
    <s v="Combined Heat and Power, Industrial Power"/>
    <x v="8"/>
    <n v="50"/>
  </r>
  <r>
    <x v="8"/>
    <x v="13"/>
    <s v="Combined Heat and Power, Industrial Power"/>
    <x v="4"/>
    <n v="372"/>
  </r>
  <r>
    <x v="8"/>
    <x v="13"/>
    <s v="Combined Heat and Power, Industrial Power"/>
    <x v="6"/>
    <n v="455971"/>
  </r>
  <r>
    <x v="8"/>
    <x v="13"/>
    <s v="Combined Heat and Power, Electric Power"/>
    <x v="0"/>
    <n v="214535"/>
  </r>
  <r>
    <x v="8"/>
    <x v="13"/>
    <s v="Combined Heat and Power, Electric Power"/>
    <x v="3"/>
    <n v="166844"/>
  </r>
  <r>
    <x v="8"/>
    <x v="13"/>
    <s v="Combined Heat and Power, Electric Power"/>
    <x v="6"/>
    <n v="47691"/>
  </r>
  <r>
    <x v="8"/>
    <x v="14"/>
    <s v="Total Electric Power Industry"/>
    <x v="0"/>
    <n v="138464562"/>
  </r>
  <r>
    <x v="8"/>
    <x v="14"/>
    <s v="Total Electric Power Industry"/>
    <x v="1"/>
    <n v="75355161"/>
  </r>
  <r>
    <x v="8"/>
    <x v="14"/>
    <s v="Total Electric Power Industry"/>
    <x v="2"/>
    <n v="137713"/>
  </r>
  <r>
    <x v="8"/>
    <x v="14"/>
    <s v="Total Electric Power Industry"/>
    <x v="3"/>
    <n v="5524342"/>
  </r>
  <r>
    <x v="8"/>
    <x v="14"/>
    <s v="Total Electric Power Industry"/>
    <x v="7"/>
    <n v="55595668"/>
  </r>
  <r>
    <x v="8"/>
    <x v="14"/>
    <s v="Total Electric Power Industry"/>
    <x v="12"/>
    <n v="19310"/>
  </r>
  <r>
    <x v="8"/>
    <x v="14"/>
    <s v="Total Electric Power Industry"/>
    <x v="8"/>
    <n v="625894"/>
  </r>
  <r>
    <x v="8"/>
    <x v="14"/>
    <s v="Total Electric Power Industry"/>
    <x v="9"/>
    <n v="342824"/>
  </r>
  <r>
    <x v="8"/>
    <x v="14"/>
    <s v="Total Electric Power Industry"/>
    <x v="4"/>
    <n v="862421"/>
  </r>
  <r>
    <x v="8"/>
    <x v="14"/>
    <s v="Total Electric Power Industry"/>
    <x v="6"/>
    <n v="1229"/>
  </r>
  <r>
    <x v="8"/>
    <x v="14"/>
    <s v="Electric Generators, Independent Power Producers"/>
    <x v="0"/>
    <n v="3521052"/>
  </r>
  <r>
    <x v="8"/>
    <x v="14"/>
    <s v="Electric Generators, Independent Power Producers"/>
    <x v="1"/>
    <n v="3134394"/>
  </r>
  <r>
    <x v="8"/>
    <x v="14"/>
    <s v="Electric Generators, Independent Power Producers"/>
    <x v="2"/>
    <n v="82907"/>
  </r>
  <r>
    <x v="8"/>
    <x v="14"/>
    <s v="Electric Generators, Independent Power Producers"/>
    <x v="3"/>
    <n v="9445"/>
  </r>
  <r>
    <x v="8"/>
    <x v="14"/>
    <s v="Electric Generators, Independent Power Producers"/>
    <x v="8"/>
    <n v="294306"/>
  </r>
  <r>
    <x v="8"/>
    <x v="14"/>
    <s v="Electric Generators, Electric Utilities"/>
    <x v="0"/>
    <n v="131273709"/>
  </r>
  <r>
    <x v="8"/>
    <x v="14"/>
    <s v="Electric Generators, Electric Utilities"/>
    <x v="1"/>
    <n v="70306091"/>
  </r>
  <r>
    <x v="8"/>
    <x v="14"/>
    <s v="Electric Generators, Electric Utilities"/>
    <x v="2"/>
    <n v="50731"/>
  </r>
  <r>
    <x v="8"/>
    <x v="14"/>
    <s v="Electric Generators, Electric Utilities"/>
    <x v="3"/>
    <n v="4483112"/>
  </r>
  <r>
    <x v="8"/>
    <x v="14"/>
    <s v="Electric Generators, Electric Utilities"/>
    <x v="7"/>
    <n v="55595668"/>
  </r>
  <r>
    <x v="8"/>
    <x v="14"/>
    <s v="Electric Generators, Electric Utilities"/>
    <x v="8"/>
    <n v="0"/>
  </r>
  <r>
    <x v="8"/>
    <x v="14"/>
    <s v="Electric Generators, Electric Utilities"/>
    <x v="4"/>
    <n v="838107"/>
  </r>
  <r>
    <x v="8"/>
    <x v="14"/>
    <s v="Electric Generators, Electric Utilities"/>
    <x v="6"/>
    <n v="0"/>
  </r>
  <r>
    <x v="8"/>
    <x v="14"/>
    <s v="Combined Heat and Power, Industrial Power"/>
    <x v="0"/>
    <n v="3106332"/>
  </r>
  <r>
    <x v="8"/>
    <x v="14"/>
    <s v="Combined Heat and Power, Industrial Power"/>
    <x v="1"/>
    <n v="1865925"/>
  </r>
  <r>
    <x v="8"/>
    <x v="14"/>
    <s v="Combined Heat and Power, Industrial Power"/>
    <x v="3"/>
    <n v="811944"/>
  </r>
  <r>
    <x v="8"/>
    <x v="14"/>
    <s v="Combined Heat and Power, Industrial Power"/>
    <x v="12"/>
    <n v="19310"/>
  </r>
  <r>
    <x v="8"/>
    <x v="14"/>
    <s v="Combined Heat and Power, Industrial Power"/>
    <x v="8"/>
    <n v="43225"/>
  </r>
  <r>
    <x v="8"/>
    <x v="14"/>
    <s v="Combined Heat and Power, Industrial Power"/>
    <x v="9"/>
    <n v="342824"/>
  </r>
  <r>
    <x v="8"/>
    <x v="14"/>
    <s v="Combined Heat and Power, Industrial Power"/>
    <x v="4"/>
    <n v="21875"/>
  </r>
  <r>
    <x v="8"/>
    <x v="14"/>
    <s v="Combined Heat and Power, Industrial Power"/>
    <x v="6"/>
    <n v="1229"/>
  </r>
  <r>
    <x v="8"/>
    <x v="14"/>
    <s v="Combined Heat and Power, Electric Power"/>
    <x v="0"/>
    <n v="293627"/>
  </r>
  <r>
    <x v="8"/>
    <x v="14"/>
    <s v="Combined Heat and Power, Electric Power"/>
    <x v="3"/>
    <n v="8764"/>
  </r>
  <r>
    <x v="8"/>
    <x v="14"/>
    <s v="Combined Heat and Power, Electric Power"/>
    <x v="8"/>
    <n v="284863"/>
  </r>
  <r>
    <x v="8"/>
    <x v="14"/>
    <s v="Combined Heat and Power, Commercial Power"/>
    <x v="0"/>
    <n v="269842"/>
  </r>
  <r>
    <x v="8"/>
    <x v="14"/>
    <s v="Combined Heat and Power, Commercial Power"/>
    <x v="1"/>
    <n v="48751"/>
  </r>
  <r>
    <x v="8"/>
    <x v="14"/>
    <s v="Combined Heat and Power, Commercial Power"/>
    <x v="2"/>
    <n v="4075"/>
  </r>
  <r>
    <x v="8"/>
    <x v="14"/>
    <s v="Combined Heat and Power, Commercial Power"/>
    <x v="3"/>
    <n v="211077"/>
  </r>
  <r>
    <x v="8"/>
    <x v="14"/>
    <s v="Combined Heat and Power, Commercial Power"/>
    <x v="8"/>
    <n v="3500"/>
  </r>
  <r>
    <x v="8"/>
    <x v="14"/>
    <s v="Combined Heat and Power, Commercial Power"/>
    <x v="4"/>
    <n v="2439"/>
  </r>
  <r>
    <x v="8"/>
    <x v="15"/>
    <s v="Total Electric Power Industry"/>
    <x v="0"/>
    <n v="117471525"/>
  </r>
  <r>
    <x v="8"/>
    <x v="15"/>
    <s v="Total Electric Power Industry"/>
    <x v="1"/>
    <n v="111818095"/>
  </r>
  <r>
    <x v="8"/>
    <x v="15"/>
    <s v="Total Electric Power Industry"/>
    <x v="2"/>
    <n v="478668"/>
  </r>
  <r>
    <x v="8"/>
    <x v="15"/>
    <s v="Total Electric Power Industry"/>
    <x v="3"/>
    <n v="2077154"/>
  </r>
  <r>
    <x v="8"/>
    <x v="15"/>
    <s v="Total Electric Power Industry"/>
    <x v="8"/>
    <n v="124111"/>
  </r>
  <r>
    <x v="8"/>
    <x v="15"/>
    <s v="Total Electric Power Industry"/>
    <x v="9"/>
    <n v="1896396"/>
  </r>
  <r>
    <x v="8"/>
    <x v="15"/>
    <s v="Total Electric Power Industry"/>
    <x v="4"/>
    <n v="1077101"/>
  </r>
  <r>
    <x v="8"/>
    <x v="15"/>
    <s v="Electric Generators, Independent Power Producers"/>
    <x v="0"/>
    <n v="787746"/>
  </r>
  <r>
    <x v="8"/>
    <x v="15"/>
    <s v="Electric Generators, Independent Power Producers"/>
    <x v="1"/>
    <n v="344223"/>
  </r>
  <r>
    <x v="8"/>
    <x v="15"/>
    <s v="Electric Generators, Independent Power Producers"/>
    <x v="3"/>
    <n v="355805"/>
  </r>
  <r>
    <x v="8"/>
    <x v="15"/>
    <s v="Electric Generators, Independent Power Producers"/>
    <x v="8"/>
    <n v="87718"/>
  </r>
  <r>
    <x v="8"/>
    <x v="15"/>
    <s v="Electric Generators, Electric Utilities"/>
    <x v="0"/>
    <n v="112771878"/>
  </r>
  <r>
    <x v="8"/>
    <x v="15"/>
    <s v="Electric Generators, Electric Utilities"/>
    <x v="1"/>
    <n v="110696190"/>
  </r>
  <r>
    <x v="8"/>
    <x v="15"/>
    <s v="Electric Generators, Electric Utilities"/>
    <x v="2"/>
    <n v="478668"/>
  </r>
  <r>
    <x v="8"/>
    <x v="15"/>
    <s v="Electric Generators, Electric Utilities"/>
    <x v="3"/>
    <n v="775490"/>
  </r>
  <r>
    <x v="8"/>
    <x v="15"/>
    <s v="Electric Generators, Electric Utilities"/>
    <x v="4"/>
    <n v="821530"/>
  </r>
  <r>
    <x v="8"/>
    <x v="15"/>
    <s v="Combined Heat and Power, Industrial Power"/>
    <x v="0"/>
    <n v="3715307"/>
  </r>
  <r>
    <x v="8"/>
    <x v="15"/>
    <s v="Combined Heat and Power, Industrial Power"/>
    <x v="1"/>
    <n v="631674"/>
  </r>
  <r>
    <x v="8"/>
    <x v="15"/>
    <s v="Combined Heat and Power, Industrial Power"/>
    <x v="3"/>
    <n v="933992"/>
  </r>
  <r>
    <x v="8"/>
    <x v="15"/>
    <s v="Combined Heat and Power, Industrial Power"/>
    <x v="9"/>
    <n v="1896396"/>
  </r>
  <r>
    <x v="8"/>
    <x v="15"/>
    <s v="Combined Heat and Power, Industrial Power"/>
    <x v="4"/>
    <n v="253245"/>
  </r>
  <r>
    <x v="8"/>
    <x v="15"/>
    <s v="Combined Heat and Power, Commercial Power"/>
    <x v="0"/>
    <n v="196594"/>
  </r>
  <r>
    <x v="8"/>
    <x v="15"/>
    <s v="Combined Heat and Power, Commercial Power"/>
    <x v="1"/>
    <n v="146008"/>
  </r>
  <r>
    <x v="8"/>
    <x v="15"/>
    <s v="Combined Heat and Power, Commercial Power"/>
    <x v="3"/>
    <n v="11867"/>
  </r>
  <r>
    <x v="8"/>
    <x v="15"/>
    <s v="Combined Heat and Power, Commercial Power"/>
    <x v="8"/>
    <n v="36393"/>
  </r>
  <r>
    <x v="8"/>
    <x v="15"/>
    <s v="Combined Heat and Power, Commercial Power"/>
    <x v="4"/>
    <n v="2326"/>
  </r>
  <r>
    <x v="8"/>
    <x v="16"/>
    <s v="Total Electric Power Industry"/>
    <x v="0"/>
    <n v="41585228"/>
  </r>
  <r>
    <x v="8"/>
    <x v="16"/>
    <s v="Total Electric Power Industry"/>
    <x v="1"/>
    <n v="28023687"/>
  </r>
  <r>
    <x v="8"/>
    <x v="16"/>
    <s v="Total Electric Power Industry"/>
    <x v="2"/>
    <n v="11425"/>
  </r>
  <r>
    <x v="8"/>
    <x v="16"/>
    <s v="Total Electric Power Industry"/>
    <x v="3"/>
    <n v="3016797"/>
  </r>
  <r>
    <x v="8"/>
    <x v="16"/>
    <s v="Total Electric Power Industry"/>
    <x v="7"/>
    <n v="10410718"/>
  </r>
  <r>
    <x v="8"/>
    <x v="16"/>
    <s v="Total Electric Power Industry"/>
    <x v="4"/>
    <n v="122601"/>
  </r>
  <r>
    <x v="8"/>
    <x v="16"/>
    <s v="Electric Generators, Independent Power Producers"/>
    <x v="0"/>
    <n v="11425"/>
  </r>
  <r>
    <x v="8"/>
    <x v="16"/>
    <s v="Electric Generators, Independent Power Producers"/>
    <x v="2"/>
    <n v="11425"/>
  </r>
  <r>
    <x v="8"/>
    <x v="16"/>
    <s v="Electric Generators, Electric Utilities"/>
    <x v="0"/>
    <n v="41480827"/>
  </r>
  <r>
    <x v="8"/>
    <x v="16"/>
    <s v="Electric Generators, Electric Utilities"/>
    <x v="1"/>
    <n v="28023687"/>
  </r>
  <r>
    <x v="8"/>
    <x v="16"/>
    <s v="Electric Generators, Electric Utilities"/>
    <x v="3"/>
    <n v="2924279"/>
  </r>
  <r>
    <x v="8"/>
    <x v="16"/>
    <s v="Electric Generators, Electric Utilities"/>
    <x v="7"/>
    <n v="10410718"/>
  </r>
  <r>
    <x v="8"/>
    <x v="16"/>
    <s v="Electric Generators, Electric Utilities"/>
    <x v="4"/>
    <n v="122143"/>
  </r>
  <r>
    <x v="8"/>
    <x v="16"/>
    <s v="Combined Heat and Power, Industrial Power"/>
    <x v="0"/>
    <n v="91733"/>
  </r>
  <r>
    <x v="8"/>
    <x v="16"/>
    <s v="Combined Heat and Power, Industrial Power"/>
    <x v="3"/>
    <n v="91275"/>
  </r>
  <r>
    <x v="8"/>
    <x v="16"/>
    <s v="Combined Heat and Power, Industrial Power"/>
    <x v="4"/>
    <n v="458"/>
  </r>
  <r>
    <x v="8"/>
    <x v="16"/>
    <s v="Combined Heat and Power, Commercial Power"/>
    <x v="0"/>
    <n v="1243"/>
  </r>
  <r>
    <x v="8"/>
    <x v="16"/>
    <s v="Combined Heat and Power, Commercial Power"/>
    <x v="3"/>
    <n v="1243"/>
  </r>
  <r>
    <x v="8"/>
    <x v="17"/>
    <s v="Total Electric Power Industry"/>
    <x v="0"/>
    <n v="90933028"/>
  </r>
  <r>
    <x v="8"/>
    <x v="17"/>
    <s v="Total Electric Power Industry"/>
    <x v="1"/>
    <n v="86838802"/>
  </r>
  <r>
    <x v="8"/>
    <x v="17"/>
    <s v="Total Electric Power Industry"/>
    <x v="2"/>
    <n v="3116018"/>
  </r>
  <r>
    <x v="8"/>
    <x v="17"/>
    <s v="Total Electric Power Industry"/>
    <x v="3"/>
    <n v="497608"/>
  </r>
  <r>
    <x v="8"/>
    <x v="17"/>
    <s v="Total Electric Power Industry"/>
    <x v="4"/>
    <n v="464948"/>
  </r>
  <r>
    <x v="8"/>
    <x v="17"/>
    <s v="Total Electric Power Industry"/>
    <x v="6"/>
    <n v="15652"/>
  </r>
  <r>
    <x v="8"/>
    <x v="17"/>
    <s v="Electric Generators, Independent Power Producers"/>
    <x v="0"/>
    <n v="4766255"/>
  </r>
  <r>
    <x v="8"/>
    <x v="17"/>
    <s v="Electric Generators, Independent Power Producers"/>
    <x v="1"/>
    <n v="4426586"/>
  </r>
  <r>
    <x v="8"/>
    <x v="17"/>
    <s v="Electric Generators, Independent Power Producers"/>
    <x v="3"/>
    <n v="1783"/>
  </r>
  <r>
    <x v="8"/>
    <x v="17"/>
    <s v="Electric Generators, Independent Power Producers"/>
    <x v="4"/>
    <n v="337886"/>
  </r>
  <r>
    <x v="8"/>
    <x v="17"/>
    <s v="Electric Generators, Electric Utilities"/>
    <x v="0"/>
    <n v="86151121"/>
  </r>
  <r>
    <x v="8"/>
    <x v="17"/>
    <s v="Electric Generators, Electric Utilities"/>
    <x v="1"/>
    <n v="82412216"/>
  </r>
  <r>
    <x v="8"/>
    <x v="17"/>
    <s v="Electric Generators, Electric Utilities"/>
    <x v="2"/>
    <n v="3116018"/>
  </r>
  <r>
    <x v="8"/>
    <x v="17"/>
    <s v="Electric Generators, Electric Utilities"/>
    <x v="3"/>
    <n v="495825"/>
  </r>
  <r>
    <x v="8"/>
    <x v="17"/>
    <s v="Electric Generators, Electric Utilities"/>
    <x v="4"/>
    <n v="127062"/>
  </r>
  <r>
    <x v="8"/>
    <x v="17"/>
    <s v="Combined Heat and Power, Industrial Power"/>
    <x v="0"/>
    <n v="15652"/>
  </r>
  <r>
    <x v="8"/>
    <x v="17"/>
    <s v="Combined Heat and Power, Industrial Power"/>
    <x v="6"/>
    <n v="15652"/>
  </r>
  <r>
    <x v="8"/>
    <x v="18"/>
    <s v="Total Electric Power Industry"/>
    <x v="0"/>
    <n v="89648611"/>
  </r>
  <r>
    <x v="8"/>
    <x v="18"/>
    <s v="Total Electric Power Industry"/>
    <x v="1"/>
    <n v="20781530"/>
  </r>
  <r>
    <x v="8"/>
    <x v="18"/>
    <s v="Total Electric Power Industry"/>
    <x v="2"/>
    <n v="1062824"/>
  </r>
  <r>
    <x v="8"/>
    <x v="18"/>
    <s v="Total Electric Power Industry"/>
    <x v="3"/>
    <n v="44975196"/>
  </r>
  <r>
    <x v="8"/>
    <x v="18"/>
    <s v="Total Electric Power Industry"/>
    <x v="7"/>
    <n v="16427501"/>
  </r>
  <r>
    <x v="8"/>
    <x v="18"/>
    <s v="Total Electric Power Industry"/>
    <x v="12"/>
    <n v="318093"/>
  </r>
  <r>
    <x v="8"/>
    <x v="18"/>
    <s v="Total Electric Power Industry"/>
    <x v="8"/>
    <n v="153407"/>
  </r>
  <r>
    <x v="8"/>
    <x v="18"/>
    <s v="Total Electric Power Industry"/>
    <x v="9"/>
    <n v="918066"/>
  </r>
  <r>
    <x v="8"/>
    <x v="18"/>
    <s v="Total Electric Power Industry"/>
    <x v="4"/>
    <n v="2293520"/>
  </r>
  <r>
    <x v="8"/>
    <x v="18"/>
    <s v="Total Electric Power Industry"/>
    <x v="6"/>
    <n v="2718474"/>
  </r>
  <r>
    <x v="8"/>
    <x v="18"/>
    <s v="Electric Generators, Independent Power Producers"/>
    <x v="0"/>
    <n v="1264377"/>
  </r>
  <r>
    <x v="8"/>
    <x v="18"/>
    <s v="Electric Generators, Independent Power Producers"/>
    <x v="2"/>
    <n v="1062824"/>
  </r>
  <r>
    <x v="8"/>
    <x v="18"/>
    <s v="Electric Generators, Independent Power Producers"/>
    <x v="3"/>
    <n v="125218"/>
  </r>
  <r>
    <x v="8"/>
    <x v="18"/>
    <s v="Electric Generators, Independent Power Producers"/>
    <x v="8"/>
    <n v="73972"/>
  </r>
  <r>
    <x v="8"/>
    <x v="18"/>
    <s v="Electric Generators, Independent Power Producers"/>
    <x v="4"/>
    <n v="2363"/>
  </r>
  <r>
    <x v="8"/>
    <x v="18"/>
    <s v="Electric Generators, Electric Utilities"/>
    <x v="0"/>
    <n v="66107474"/>
  </r>
  <r>
    <x v="8"/>
    <x v="18"/>
    <s v="Electric Generators, Electric Utilities"/>
    <x v="1"/>
    <n v="20761891"/>
  </r>
  <r>
    <x v="8"/>
    <x v="18"/>
    <s v="Electric Generators, Electric Utilities"/>
    <x v="3"/>
    <n v="28318004"/>
  </r>
  <r>
    <x v="8"/>
    <x v="18"/>
    <s v="Electric Generators, Electric Utilities"/>
    <x v="7"/>
    <n v="16427501"/>
  </r>
  <r>
    <x v="8"/>
    <x v="18"/>
    <s v="Electric Generators, Electric Utilities"/>
    <x v="4"/>
    <n v="600078"/>
  </r>
  <r>
    <x v="8"/>
    <x v="18"/>
    <s v="Combined Heat and Power, Industrial Power"/>
    <x v="0"/>
    <n v="20584809"/>
  </r>
  <r>
    <x v="8"/>
    <x v="18"/>
    <s v="Combined Heat and Power, Industrial Power"/>
    <x v="1"/>
    <n v="19639"/>
  </r>
  <r>
    <x v="8"/>
    <x v="18"/>
    <s v="Combined Heat and Power, Industrial Power"/>
    <x v="3"/>
    <n v="16503569"/>
  </r>
  <r>
    <x v="8"/>
    <x v="18"/>
    <s v="Combined Heat and Power, Industrial Power"/>
    <x v="12"/>
    <n v="318093"/>
  </r>
  <r>
    <x v="8"/>
    <x v="18"/>
    <s v="Combined Heat and Power, Industrial Power"/>
    <x v="8"/>
    <n v="79435"/>
  </r>
  <r>
    <x v="8"/>
    <x v="18"/>
    <s v="Combined Heat and Power, Industrial Power"/>
    <x v="9"/>
    <n v="918066"/>
  </r>
  <r>
    <x v="8"/>
    <x v="18"/>
    <s v="Combined Heat and Power, Industrial Power"/>
    <x v="4"/>
    <n v="27533"/>
  </r>
  <r>
    <x v="8"/>
    <x v="18"/>
    <s v="Combined Heat and Power, Industrial Power"/>
    <x v="6"/>
    <n v="2718474"/>
  </r>
  <r>
    <x v="8"/>
    <x v="18"/>
    <s v="Combined Heat and Power, Electric Power"/>
    <x v="0"/>
    <n v="1663546"/>
  </r>
  <r>
    <x v="8"/>
    <x v="18"/>
    <s v="Combined Heat and Power, Electric Power"/>
    <x v="4"/>
    <n v="1663546"/>
  </r>
  <r>
    <x v="8"/>
    <x v="18"/>
    <s v="Combined Heat and Power, Commercial Power"/>
    <x v="0"/>
    <n v="28405"/>
  </r>
  <r>
    <x v="8"/>
    <x v="18"/>
    <s v="Combined Heat and Power, Commercial Power"/>
    <x v="3"/>
    <n v="28405"/>
  </r>
  <r>
    <x v="8"/>
    <x v="19"/>
    <s v="Total Electric Power Industry"/>
    <x v="0"/>
    <n v="45683616"/>
  </r>
  <r>
    <x v="8"/>
    <x v="19"/>
    <s v="Total Electric Power Industry"/>
    <x v="1"/>
    <n v="11199758"/>
  </r>
  <r>
    <x v="8"/>
    <x v="19"/>
    <s v="Total Electric Power Industry"/>
    <x v="2"/>
    <n v="1029741"/>
  </r>
  <r>
    <x v="8"/>
    <x v="19"/>
    <s v="Total Electric Power Industry"/>
    <x v="3"/>
    <n v="11621828"/>
  </r>
  <r>
    <x v="8"/>
    <x v="19"/>
    <s v="Total Electric Power Industry"/>
    <x v="7"/>
    <n v="5698414"/>
  </r>
  <r>
    <x v="8"/>
    <x v="19"/>
    <s v="Total Electric Power Industry"/>
    <x v="8"/>
    <n v="1937066"/>
  </r>
  <r>
    <x v="8"/>
    <x v="19"/>
    <s v="Total Electric Power Industry"/>
    <x v="4"/>
    <n v="14534366"/>
  </r>
  <r>
    <x v="8"/>
    <x v="19"/>
    <s v="Total Electric Power Industry"/>
    <x v="10"/>
    <n v="-455585"/>
  </r>
  <r>
    <x v="8"/>
    <x v="19"/>
    <s v="Total Electric Power Industry"/>
    <x v="5"/>
    <n v="0"/>
  </r>
  <r>
    <x v="8"/>
    <x v="19"/>
    <s v="Total Electric Power Industry"/>
    <x v="6"/>
    <n v="118028"/>
  </r>
  <r>
    <x v="8"/>
    <x v="19"/>
    <s v="Electric Generators, Independent Power Producers"/>
    <x v="0"/>
    <n v="12600181"/>
  </r>
  <r>
    <x v="8"/>
    <x v="19"/>
    <s v="Electric Generators, Independent Power Producers"/>
    <x v="1"/>
    <n v="2993455"/>
  </r>
  <r>
    <x v="8"/>
    <x v="19"/>
    <s v="Electric Generators, Independent Power Producers"/>
    <x v="2"/>
    <n v="257648"/>
  </r>
  <r>
    <x v="8"/>
    <x v="19"/>
    <s v="Electric Generators, Independent Power Producers"/>
    <x v="3"/>
    <n v="3128857"/>
  </r>
  <r>
    <x v="8"/>
    <x v="19"/>
    <s v="Electric Generators, Independent Power Producers"/>
    <x v="8"/>
    <n v="1877095"/>
  </r>
  <r>
    <x v="8"/>
    <x v="19"/>
    <s v="Electric Generators, Independent Power Producers"/>
    <x v="4"/>
    <n v="4254413"/>
  </r>
  <r>
    <x v="8"/>
    <x v="19"/>
    <s v="Electric Generators, Independent Power Producers"/>
    <x v="10"/>
    <n v="-26072"/>
  </r>
  <r>
    <x v="8"/>
    <x v="19"/>
    <s v="Electric Generators, Independent Power Producers"/>
    <x v="6"/>
    <n v="114785"/>
  </r>
  <r>
    <x v="8"/>
    <x v="19"/>
    <s v="Electric Generators, Electric Utilities"/>
    <x v="0"/>
    <n v="26036881"/>
  </r>
  <r>
    <x v="8"/>
    <x v="19"/>
    <s v="Electric Generators, Electric Utilities"/>
    <x v="1"/>
    <n v="8168608"/>
  </r>
  <r>
    <x v="8"/>
    <x v="19"/>
    <s v="Electric Generators, Electric Utilities"/>
    <x v="2"/>
    <n v="760785"/>
  </r>
  <r>
    <x v="8"/>
    <x v="19"/>
    <s v="Electric Generators, Electric Utilities"/>
    <x v="3"/>
    <n v="1818857"/>
  </r>
  <r>
    <x v="8"/>
    <x v="19"/>
    <s v="Electric Generators, Electric Utilities"/>
    <x v="7"/>
    <n v="5698414"/>
  </r>
  <r>
    <x v="8"/>
    <x v="19"/>
    <s v="Electric Generators, Electric Utilities"/>
    <x v="4"/>
    <n v="10019730"/>
  </r>
  <r>
    <x v="8"/>
    <x v="19"/>
    <s v="Electric Generators, Electric Utilities"/>
    <x v="10"/>
    <n v="-429513"/>
  </r>
  <r>
    <x v="8"/>
    <x v="19"/>
    <s v="Electric Generators, Electric Utilities"/>
    <x v="5"/>
    <n v="0"/>
  </r>
  <r>
    <x v="8"/>
    <x v="19"/>
    <s v="Combined Heat and Power, Industrial Power"/>
    <x v="0"/>
    <n v="392164"/>
  </r>
  <r>
    <x v="8"/>
    <x v="19"/>
    <s v="Combined Heat and Power, Industrial Power"/>
    <x v="1"/>
    <n v="37695"/>
  </r>
  <r>
    <x v="8"/>
    <x v="19"/>
    <s v="Combined Heat and Power, Industrial Power"/>
    <x v="2"/>
    <n v="11308"/>
  </r>
  <r>
    <x v="8"/>
    <x v="19"/>
    <s v="Combined Heat and Power, Industrial Power"/>
    <x v="3"/>
    <n v="227647"/>
  </r>
  <r>
    <x v="8"/>
    <x v="19"/>
    <s v="Combined Heat and Power, Industrial Power"/>
    <x v="4"/>
    <n v="115514"/>
  </r>
  <r>
    <x v="8"/>
    <x v="19"/>
    <s v="Combined Heat and Power, Electric Power"/>
    <x v="0"/>
    <n v="6295787"/>
  </r>
  <r>
    <x v="8"/>
    <x v="19"/>
    <s v="Combined Heat and Power, Electric Power"/>
    <x v="3"/>
    <n v="6225285"/>
  </r>
  <r>
    <x v="8"/>
    <x v="19"/>
    <s v="Combined Heat and Power, Electric Power"/>
    <x v="8"/>
    <n v="57997"/>
  </r>
  <r>
    <x v="8"/>
    <x v="19"/>
    <s v="Combined Heat and Power, Electric Power"/>
    <x v="4"/>
    <n v="9262"/>
  </r>
  <r>
    <x v="8"/>
    <x v="19"/>
    <s v="Combined Heat and Power, Electric Power"/>
    <x v="6"/>
    <n v="3243"/>
  </r>
  <r>
    <x v="8"/>
    <x v="19"/>
    <s v="Combined Heat and Power, Commercial Power"/>
    <x v="0"/>
    <n v="358603"/>
  </r>
  <r>
    <x v="8"/>
    <x v="19"/>
    <s v="Combined Heat and Power, Commercial Power"/>
    <x v="3"/>
    <n v="221182"/>
  </r>
  <r>
    <x v="8"/>
    <x v="19"/>
    <s v="Combined Heat and Power, Commercial Power"/>
    <x v="8"/>
    <n v="1974"/>
  </r>
  <r>
    <x v="8"/>
    <x v="19"/>
    <s v="Combined Heat and Power, Commercial Power"/>
    <x v="4"/>
    <n v="135447"/>
  </r>
  <r>
    <x v="8"/>
    <x v="20"/>
    <s v="Total Electric Power Industry"/>
    <x v="0"/>
    <n v="50653017"/>
  </r>
  <r>
    <x v="8"/>
    <x v="20"/>
    <s v="Total Electric Power Industry"/>
    <x v="1"/>
    <n v="29294727"/>
  </r>
  <r>
    <x v="8"/>
    <x v="20"/>
    <s v="Total Electric Power Industry"/>
    <x v="2"/>
    <n v="1739737"/>
  </r>
  <r>
    <x v="8"/>
    <x v="20"/>
    <s v="Total Electric Power Industry"/>
    <x v="3"/>
    <n v="1990596"/>
  </r>
  <r>
    <x v="8"/>
    <x v="20"/>
    <s v="Total Electric Power Industry"/>
    <x v="7"/>
    <n v="13330598"/>
  </r>
  <r>
    <x v="8"/>
    <x v="20"/>
    <s v="Total Electric Power Industry"/>
    <x v="8"/>
    <n v="605046"/>
  </r>
  <r>
    <x v="8"/>
    <x v="20"/>
    <s v="Total Electric Power Industry"/>
    <x v="9"/>
    <n v="82316"/>
  </r>
  <r>
    <x v="8"/>
    <x v="20"/>
    <s v="Total Electric Power Industry"/>
    <x v="4"/>
    <n v="3454350"/>
  </r>
  <r>
    <x v="8"/>
    <x v="20"/>
    <s v="Total Electric Power Industry"/>
    <x v="6"/>
    <n v="155647"/>
  </r>
  <r>
    <x v="8"/>
    <x v="20"/>
    <s v="Electric Generators, Independent Power Producers"/>
    <x v="0"/>
    <n v="305064"/>
  </r>
  <r>
    <x v="8"/>
    <x v="20"/>
    <s v="Electric Generators, Independent Power Producers"/>
    <x v="3"/>
    <n v="1457"/>
  </r>
  <r>
    <x v="8"/>
    <x v="20"/>
    <s v="Electric Generators, Independent Power Producers"/>
    <x v="8"/>
    <n v="303607"/>
  </r>
  <r>
    <x v="8"/>
    <x v="20"/>
    <s v="Electric Generators, Electric Utilities"/>
    <x v="0"/>
    <n v="48513503"/>
  </r>
  <r>
    <x v="8"/>
    <x v="20"/>
    <s v="Electric Generators, Electric Utilities"/>
    <x v="1"/>
    <n v="29077013"/>
  </r>
  <r>
    <x v="8"/>
    <x v="20"/>
    <s v="Electric Generators, Electric Utilities"/>
    <x v="2"/>
    <n v="1739737"/>
  </r>
  <r>
    <x v="8"/>
    <x v="20"/>
    <s v="Electric Generators, Electric Utilities"/>
    <x v="3"/>
    <n v="1054177"/>
  </r>
  <r>
    <x v="8"/>
    <x v="20"/>
    <s v="Electric Generators, Electric Utilities"/>
    <x v="7"/>
    <n v="13330598"/>
  </r>
  <r>
    <x v="8"/>
    <x v="20"/>
    <s v="Electric Generators, Electric Utilities"/>
    <x v="4"/>
    <n v="3311978"/>
  </r>
  <r>
    <x v="8"/>
    <x v="20"/>
    <s v="Combined Heat and Power, Industrial Power"/>
    <x v="0"/>
    <n v="399999"/>
  </r>
  <r>
    <x v="8"/>
    <x v="20"/>
    <s v="Combined Heat and Power, Industrial Power"/>
    <x v="1"/>
    <n v="217714"/>
  </r>
  <r>
    <x v="8"/>
    <x v="20"/>
    <s v="Combined Heat and Power, Industrial Power"/>
    <x v="3"/>
    <n v="32077"/>
  </r>
  <r>
    <x v="8"/>
    <x v="20"/>
    <s v="Combined Heat and Power, Industrial Power"/>
    <x v="4"/>
    <n v="6754"/>
  </r>
  <r>
    <x v="8"/>
    <x v="20"/>
    <s v="Combined Heat and Power, Industrial Power"/>
    <x v="6"/>
    <n v="143454"/>
  </r>
  <r>
    <x v="8"/>
    <x v="20"/>
    <s v="Combined Heat and Power, Electric Power"/>
    <x v="0"/>
    <n v="1404885"/>
  </r>
  <r>
    <x v="8"/>
    <x v="20"/>
    <s v="Combined Heat and Power, Electric Power"/>
    <x v="3"/>
    <n v="902885"/>
  </r>
  <r>
    <x v="8"/>
    <x v="20"/>
    <s v="Combined Heat and Power, Electric Power"/>
    <x v="8"/>
    <n v="284761"/>
  </r>
  <r>
    <x v="8"/>
    <x v="20"/>
    <s v="Combined Heat and Power, Electric Power"/>
    <x v="9"/>
    <n v="82316"/>
  </r>
  <r>
    <x v="8"/>
    <x v="20"/>
    <s v="Combined Heat and Power, Electric Power"/>
    <x v="4"/>
    <n v="134923"/>
  </r>
  <r>
    <x v="8"/>
    <x v="20"/>
    <s v="Combined Heat and Power, Commercial Power"/>
    <x v="0"/>
    <n v="29566"/>
  </r>
  <r>
    <x v="8"/>
    <x v="20"/>
    <s v="Combined Heat and Power, Commercial Power"/>
    <x v="8"/>
    <n v="16678"/>
  </r>
  <r>
    <x v="8"/>
    <x v="20"/>
    <s v="Combined Heat and Power, Commercial Power"/>
    <x v="9"/>
    <n v="0"/>
  </r>
  <r>
    <x v="8"/>
    <x v="20"/>
    <s v="Combined Heat and Power, Commercial Power"/>
    <x v="4"/>
    <n v="695"/>
  </r>
  <r>
    <x v="8"/>
    <x v="20"/>
    <s v="Combined Heat and Power, Commercial Power"/>
    <x v="6"/>
    <n v="12193"/>
  </r>
  <r>
    <x v="8"/>
    <x v="21"/>
    <s v="Total Electric Power Industry"/>
    <x v="0"/>
    <n v="11003317"/>
  </r>
  <r>
    <x v="8"/>
    <x v="21"/>
    <s v="Total Electric Power Industry"/>
    <x v="1"/>
    <n v="588362"/>
  </r>
  <r>
    <x v="8"/>
    <x v="21"/>
    <s v="Total Electric Power Industry"/>
    <x v="2"/>
    <n v="3715966"/>
  </r>
  <r>
    <x v="8"/>
    <x v="21"/>
    <s v="Total Electric Power Industry"/>
    <x v="3"/>
    <n v="3369"/>
  </r>
  <r>
    <x v="8"/>
    <x v="21"/>
    <s v="Total Electric Power Industry"/>
    <x v="7"/>
    <n v="0"/>
  </r>
  <r>
    <x v="8"/>
    <x v="21"/>
    <s v="Total Electric Power Industry"/>
    <x v="8"/>
    <n v="798697"/>
  </r>
  <r>
    <x v="8"/>
    <x v="21"/>
    <s v="Total Electric Power Industry"/>
    <x v="9"/>
    <n v="4943"/>
  </r>
  <r>
    <x v="8"/>
    <x v="21"/>
    <s v="Total Electric Power Industry"/>
    <x v="4"/>
    <n v="3145163"/>
  </r>
  <r>
    <x v="8"/>
    <x v="21"/>
    <s v="Total Electric Power Industry"/>
    <x v="6"/>
    <n v="2746817"/>
  </r>
  <r>
    <x v="8"/>
    <x v="21"/>
    <s v="Electric Generators, Independent Power Producers"/>
    <x v="0"/>
    <n v="1804636"/>
  </r>
  <r>
    <x v="8"/>
    <x v="21"/>
    <s v="Electric Generators, Independent Power Producers"/>
    <x v="2"/>
    <n v="597126"/>
  </r>
  <r>
    <x v="8"/>
    <x v="21"/>
    <s v="Electric Generators, Independent Power Producers"/>
    <x v="3"/>
    <n v="3362"/>
  </r>
  <r>
    <x v="8"/>
    <x v="21"/>
    <s v="Electric Generators, Independent Power Producers"/>
    <x v="8"/>
    <n v="260883"/>
  </r>
  <r>
    <x v="8"/>
    <x v="21"/>
    <s v="Electric Generators, Independent Power Producers"/>
    <x v="4"/>
    <n v="581"/>
  </r>
  <r>
    <x v="8"/>
    <x v="21"/>
    <s v="Electric Generators, Independent Power Producers"/>
    <x v="6"/>
    <n v="942684"/>
  </r>
  <r>
    <x v="8"/>
    <x v="21"/>
    <s v="Electric Generators, Electric Utilities"/>
    <x v="0"/>
    <n v="3549008"/>
  </r>
  <r>
    <x v="8"/>
    <x v="21"/>
    <s v="Electric Generators, Electric Utilities"/>
    <x v="2"/>
    <n v="1820306"/>
  </r>
  <r>
    <x v="8"/>
    <x v="21"/>
    <s v="Electric Generators, Electric Utilities"/>
    <x v="7"/>
    <n v="0"/>
  </r>
  <r>
    <x v="8"/>
    <x v="21"/>
    <s v="Electric Generators, Electric Utilities"/>
    <x v="4"/>
    <n v="1728702"/>
  </r>
  <r>
    <x v="8"/>
    <x v="21"/>
    <s v="Electric Generators, Electric Utilities"/>
    <x v="6"/>
    <n v="0"/>
  </r>
  <r>
    <x v="8"/>
    <x v="21"/>
    <s v="Combined Heat and Power, Industrial Power"/>
    <x v="0"/>
    <n v="4606816"/>
  </r>
  <r>
    <x v="8"/>
    <x v="21"/>
    <s v="Combined Heat and Power, Industrial Power"/>
    <x v="1"/>
    <n v="247130"/>
  </r>
  <r>
    <x v="8"/>
    <x v="21"/>
    <s v="Combined Heat and Power, Industrial Power"/>
    <x v="2"/>
    <n v="1298534"/>
  </r>
  <r>
    <x v="8"/>
    <x v="21"/>
    <s v="Combined Heat and Power, Industrial Power"/>
    <x v="8"/>
    <n v="255745"/>
  </r>
  <r>
    <x v="8"/>
    <x v="21"/>
    <s v="Combined Heat and Power, Industrial Power"/>
    <x v="9"/>
    <n v="4943"/>
  </r>
  <r>
    <x v="8"/>
    <x v="21"/>
    <s v="Combined Heat and Power, Industrial Power"/>
    <x v="4"/>
    <n v="1279377"/>
  </r>
  <r>
    <x v="8"/>
    <x v="21"/>
    <s v="Combined Heat and Power, Industrial Power"/>
    <x v="6"/>
    <n v="1521087"/>
  </r>
  <r>
    <x v="8"/>
    <x v="21"/>
    <s v="Combined Heat and Power, Electric Power"/>
    <x v="0"/>
    <n v="841584"/>
  </r>
  <r>
    <x v="8"/>
    <x v="21"/>
    <s v="Combined Heat and Power, Electric Power"/>
    <x v="1"/>
    <n v="341232"/>
  </r>
  <r>
    <x v="8"/>
    <x v="21"/>
    <s v="Combined Heat and Power, Electric Power"/>
    <x v="8"/>
    <n v="105786"/>
  </r>
  <r>
    <x v="8"/>
    <x v="21"/>
    <s v="Combined Heat and Power, Electric Power"/>
    <x v="4"/>
    <n v="132748"/>
  </r>
  <r>
    <x v="8"/>
    <x v="21"/>
    <s v="Combined Heat and Power, Electric Power"/>
    <x v="6"/>
    <n v="261818"/>
  </r>
  <r>
    <x v="8"/>
    <x v="21"/>
    <s v="Combined Heat and Power, Commercial Power"/>
    <x v="0"/>
    <n v="201273"/>
  </r>
  <r>
    <x v="8"/>
    <x v="21"/>
    <s v="Combined Heat and Power, Commercial Power"/>
    <x v="3"/>
    <n v="7"/>
  </r>
  <r>
    <x v="8"/>
    <x v="21"/>
    <s v="Combined Heat and Power, Commercial Power"/>
    <x v="8"/>
    <n v="176283"/>
  </r>
  <r>
    <x v="8"/>
    <x v="21"/>
    <s v="Combined Heat and Power, Commercial Power"/>
    <x v="4"/>
    <n v="3755"/>
  </r>
  <r>
    <x v="8"/>
    <x v="21"/>
    <s v="Combined Heat and Power, Commercial Power"/>
    <x v="6"/>
    <n v="21228"/>
  </r>
  <r>
    <x v="8"/>
    <x v="22"/>
    <s v="Total Electric Power Industry"/>
    <x v="0"/>
    <n v="100477394"/>
  </r>
  <r>
    <x v="8"/>
    <x v="22"/>
    <s v="Total Electric Power Industry"/>
    <x v="1"/>
    <n v="70472657"/>
  </r>
  <r>
    <x v="8"/>
    <x v="22"/>
    <s v="Total Electric Power Industry"/>
    <x v="2"/>
    <n v="1397118"/>
  </r>
  <r>
    <x v="8"/>
    <x v="22"/>
    <s v="Total Electric Power Industry"/>
    <x v="3"/>
    <n v="13085180"/>
  </r>
  <r>
    <x v="8"/>
    <x v="22"/>
    <s v="Total Electric Power Industry"/>
    <x v="7"/>
    <n v="12494153"/>
  </r>
  <r>
    <x v="8"/>
    <x v="22"/>
    <s v="Total Electric Power Industry"/>
    <x v="12"/>
    <n v="19628"/>
  </r>
  <r>
    <x v="8"/>
    <x v="22"/>
    <s v="Total Electric Power Industry"/>
    <x v="8"/>
    <n v="1002090"/>
  </r>
  <r>
    <x v="8"/>
    <x v="22"/>
    <s v="Total Electric Power Industry"/>
    <x v="9"/>
    <n v="5294"/>
  </r>
  <r>
    <x v="8"/>
    <x v="22"/>
    <s v="Total Electric Power Industry"/>
    <x v="4"/>
    <n v="1171661"/>
  </r>
  <r>
    <x v="8"/>
    <x v="22"/>
    <s v="Total Electric Power Industry"/>
    <x v="10"/>
    <n v="-930349"/>
  </r>
  <r>
    <x v="8"/>
    <x v="22"/>
    <s v="Total Electric Power Industry"/>
    <x v="5"/>
    <n v="0"/>
  </r>
  <r>
    <x v="8"/>
    <x v="22"/>
    <s v="Total Electric Power Industry"/>
    <x v="6"/>
    <n v="1759962"/>
  </r>
  <r>
    <x v="8"/>
    <x v="22"/>
    <s v="Electric Generators, Independent Power Producers"/>
    <x v="0"/>
    <n v="1746821"/>
  </r>
  <r>
    <x v="8"/>
    <x v="22"/>
    <s v="Electric Generators, Independent Power Producers"/>
    <x v="2"/>
    <n v="89688"/>
  </r>
  <r>
    <x v="8"/>
    <x v="22"/>
    <s v="Electric Generators, Independent Power Producers"/>
    <x v="3"/>
    <n v="16249"/>
  </r>
  <r>
    <x v="8"/>
    <x v="22"/>
    <s v="Electric Generators, Independent Power Producers"/>
    <x v="8"/>
    <n v="656019"/>
  </r>
  <r>
    <x v="8"/>
    <x v="22"/>
    <s v="Electric Generators, Independent Power Producers"/>
    <x v="6"/>
    <n v="984865"/>
  </r>
  <r>
    <x v="8"/>
    <x v="22"/>
    <s v="Electric Generators, Electric Utilities"/>
    <x v="0"/>
    <n v="85146307"/>
  </r>
  <r>
    <x v="8"/>
    <x v="22"/>
    <s v="Electric Generators, Electric Utilities"/>
    <x v="1"/>
    <n v="69142807"/>
  </r>
  <r>
    <x v="8"/>
    <x v="22"/>
    <s v="Electric Generators, Electric Utilities"/>
    <x v="2"/>
    <n v="1282471"/>
  </r>
  <r>
    <x v="8"/>
    <x v="22"/>
    <s v="Electric Generators, Electric Utilities"/>
    <x v="3"/>
    <n v="2152055"/>
  </r>
  <r>
    <x v="8"/>
    <x v="22"/>
    <s v="Electric Generators, Electric Utilities"/>
    <x v="7"/>
    <n v="12494153"/>
  </r>
  <r>
    <x v="8"/>
    <x v="22"/>
    <s v="Electric Generators, Electric Utilities"/>
    <x v="4"/>
    <n v="1005170"/>
  </r>
  <r>
    <x v="8"/>
    <x v="22"/>
    <s v="Electric Generators, Electric Utilities"/>
    <x v="10"/>
    <n v="-930349"/>
  </r>
  <r>
    <x v="8"/>
    <x v="22"/>
    <s v="Electric Generators, Electric Utilities"/>
    <x v="5"/>
    <n v="0"/>
  </r>
  <r>
    <x v="8"/>
    <x v="22"/>
    <s v="Combined Heat and Power, Industrial Power"/>
    <x v="0"/>
    <n v="1931811"/>
  </r>
  <r>
    <x v="8"/>
    <x v="22"/>
    <s v="Combined Heat and Power, Industrial Power"/>
    <x v="1"/>
    <n v="600450"/>
  </r>
  <r>
    <x v="8"/>
    <x v="22"/>
    <s v="Combined Heat and Power, Industrial Power"/>
    <x v="2"/>
    <n v="24959"/>
  </r>
  <r>
    <x v="8"/>
    <x v="22"/>
    <s v="Combined Heat and Power, Industrial Power"/>
    <x v="3"/>
    <n v="379091"/>
  </r>
  <r>
    <x v="8"/>
    <x v="22"/>
    <s v="Combined Heat and Power, Industrial Power"/>
    <x v="12"/>
    <n v="19628"/>
  </r>
  <r>
    <x v="8"/>
    <x v="22"/>
    <s v="Combined Heat and Power, Industrial Power"/>
    <x v="8"/>
    <n v="5239"/>
  </r>
  <r>
    <x v="8"/>
    <x v="22"/>
    <s v="Combined Heat and Power, Industrial Power"/>
    <x v="4"/>
    <n v="155458"/>
  </r>
  <r>
    <x v="8"/>
    <x v="22"/>
    <s v="Combined Heat and Power, Industrial Power"/>
    <x v="6"/>
    <n v="746986"/>
  </r>
  <r>
    <x v="8"/>
    <x v="22"/>
    <s v="Combined Heat and Power, Electric Power"/>
    <x v="0"/>
    <n v="11014262"/>
  </r>
  <r>
    <x v="8"/>
    <x v="22"/>
    <s v="Combined Heat and Power, Electric Power"/>
    <x v="1"/>
    <n v="474925"/>
  </r>
  <r>
    <x v="8"/>
    <x v="22"/>
    <s v="Combined Heat and Power, Electric Power"/>
    <x v="3"/>
    <n v="10502950"/>
  </r>
  <r>
    <x v="8"/>
    <x v="22"/>
    <s v="Combined Heat and Power, Electric Power"/>
    <x v="9"/>
    <n v="5294"/>
  </r>
  <r>
    <x v="8"/>
    <x v="22"/>
    <s v="Combined Heat and Power, Electric Power"/>
    <x v="4"/>
    <n v="2982"/>
  </r>
  <r>
    <x v="8"/>
    <x v="22"/>
    <s v="Combined Heat and Power, Electric Power"/>
    <x v="6"/>
    <n v="28111"/>
  </r>
  <r>
    <x v="8"/>
    <x v="22"/>
    <s v="Combined Heat and Power, Commercial Power"/>
    <x v="0"/>
    <n v="638193"/>
  </r>
  <r>
    <x v="8"/>
    <x v="22"/>
    <s v="Combined Heat and Power, Commercial Power"/>
    <x v="1"/>
    <n v="254475"/>
  </r>
  <r>
    <x v="8"/>
    <x v="22"/>
    <s v="Combined Heat and Power, Commercial Power"/>
    <x v="3"/>
    <n v="34835"/>
  </r>
  <r>
    <x v="8"/>
    <x v="22"/>
    <s v="Combined Heat and Power, Commercial Power"/>
    <x v="8"/>
    <n v="340832"/>
  </r>
  <r>
    <x v="8"/>
    <x v="22"/>
    <s v="Combined Heat and Power, Commercial Power"/>
    <x v="4"/>
    <n v="8051"/>
  </r>
  <r>
    <x v="8"/>
    <x v="23"/>
    <s v="Total Electric Power Industry"/>
    <x v="0"/>
    <n v="48017905"/>
  </r>
  <r>
    <x v="8"/>
    <x v="23"/>
    <s v="Total Electric Power Industry"/>
    <x v="1"/>
    <n v="31806877"/>
  </r>
  <r>
    <x v="8"/>
    <x v="23"/>
    <s v="Total Electric Power Industry"/>
    <x v="2"/>
    <n v="954643"/>
  </r>
  <r>
    <x v="8"/>
    <x v="23"/>
    <s v="Total Electric Power Industry"/>
    <x v="3"/>
    <n v="1596032"/>
  </r>
  <r>
    <x v="8"/>
    <x v="23"/>
    <s v="Total Electric Power Industry"/>
    <x v="7"/>
    <n v="11644106"/>
  </r>
  <r>
    <x v="8"/>
    <x v="23"/>
    <s v="Total Electric Power Industry"/>
    <x v="8"/>
    <n v="770110"/>
  </r>
  <r>
    <x v="8"/>
    <x v="23"/>
    <s v="Total Electric Power Industry"/>
    <x v="4"/>
    <n v="667271"/>
  </r>
  <r>
    <x v="8"/>
    <x v="23"/>
    <s v="Total Electric Power Industry"/>
    <x v="5"/>
    <n v="146852"/>
  </r>
  <r>
    <x v="8"/>
    <x v="23"/>
    <s v="Total Electric Power Industry"/>
    <x v="6"/>
    <n v="432014"/>
  </r>
  <r>
    <x v="8"/>
    <x v="23"/>
    <s v="Electric Generators, Independent Power Producers"/>
    <x v="0"/>
    <n v="505637"/>
  </r>
  <r>
    <x v="8"/>
    <x v="23"/>
    <s v="Electric Generators, Independent Power Producers"/>
    <x v="2"/>
    <n v="55507"/>
  </r>
  <r>
    <x v="8"/>
    <x v="23"/>
    <s v="Electric Generators, Independent Power Producers"/>
    <x v="8"/>
    <n v="302160"/>
  </r>
  <r>
    <x v="8"/>
    <x v="23"/>
    <s v="Electric Generators, Independent Power Producers"/>
    <x v="4"/>
    <n v="1118"/>
  </r>
  <r>
    <x v="8"/>
    <x v="23"/>
    <s v="Electric Generators, Independent Power Producers"/>
    <x v="5"/>
    <n v="146852"/>
  </r>
  <r>
    <x v="8"/>
    <x v="23"/>
    <s v="Electric Generators, Electric Utilities"/>
    <x v="0"/>
    <n v="43976935"/>
  </r>
  <r>
    <x v="8"/>
    <x v="23"/>
    <s v="Electric Generators, Electric Utilities"/>
    <x v="1"/>
    <n v="29884402"/>
  </r>
  <r>
    <x v="8"/>
    <x v="23"/>
    <s v="Electric Generators, Electric Utilities"/>
    <x v="2"/>
    <n v="694836"/>
  </r>
  <r>
    <x v="8"/>
    <x v="23"/>
    <s v="Electric Generators, Electric Utilities"/>
    <x v="3"/>
    <n v="652432"/>
  </r>
  <r>
    <x v="8"/>
    <x v="23"/>
    <s v="Electric Generators, Electric Utilities"/>
    <x v="7"/>
    <n v="11644106"/>
  </r>
  <r>
    <x v="8"/>
    <x v="23"/>
    <s v="Electric Generators, Electric Utilities"/>
    <x v="8"/>
    <n v="451293"/>
  </r>
  <r>
    <x v="8"/>
    <x v="23"/>
    <s v="Electric Generators, Electric Utilities"/>
    <x v="4"/>
    <n v="649866"/>
  </r>
  <r>
    <x v="8"/>
    <x v="23"/>
    <s v="Electric Generators, Electric Utilities"/>
    <x v="6"/>
    <n v="0"/>
  </r>
  <r>
    <x v="8"/>
    <x v="23"/>
    <s v="Combined Heat and Power, Industrial Power"/>
    <x v="0"/>
    <n v="2761277"/>
  </r>
  <r>
    <x v="8"/>
    <x v="23"/>
    <s v="Combined Heat and Power, Industrial Power"/>
    <x v="1"/>
    <n v="1922475"/>
  </r>
  <r>
    <x v="8"/>
    <x v="23"/>
    <s v="Combined Heat and Power, Industrial Power"/>
    <x v="2"/>
    <n v="204300"/>
  </r>
  <r>
    <x v="8"/>
    <x v="23"/>
    <s v="Combined Heat and Power, Industrial Power"/>
    <x v="3"/>
    <n v="193170"/>
  </r>
  <r>
    <x v="8"/>
    <x v="23"/>
    <s v="Combined Heat and Power, Industrial Power"/>
    <x v="8"/>
    <n v="361"/>
  </r>
  <r>
    <x v="8"/>
    <x v="23"/>
    <s v="Combined Heat and Power, Industrial Power"/>
    <x v="4"/>
    <n v="8957"/>
  </r>
  <r>
    <x v="8"/>
    <x v="23"/>
    <s v="Combined Heat and Power, Industrial Power"/>
    <x v="6"/>
    <n v="432014"/>
  </r>
  <r>
    <x v="8"/>
    <x v="23"/>
    <s v="Combined Heat and Power, Electric Power"/>
    <x v="0"/>
    <n v="650177"/>
  </r>
  <r>
    <x v="8"/>
    <x v="23"/>
    <s v="Combined Heat and Power, Electric Power"/>
    <x v="3"/>
    <n v="647139"/>
  </r>
  <r>
    <x v="8"/>
    <x v="23"/>
    <s v="Combined Heat and Power, Electric Power"/>
    <x v="4"/>
    <n v="3038"/>
  </r>
  <r>
    <x v="8"/>
    <x v="23"/>
    <s v="Combined Heat and Power, Commercial Power"/>
    <x v="0"/>
    <n v="123879"/>
  </r>
  <r>
    <x v="8"/>
    <x v="23"/>
    <s v="Combined Heat and Power, Commercial Power"/>
    <x v="3"/>
    <n v="103291"/>
  </r>
  <r>
    <x v="8"/>
    <x v="23"/>
    <s v="Combined Heat and Power, Commercial Power"/>
    <x v="8"/>
    <n v="16296"/>
  </r>
  <r>
    <x v="8"/>
    <x v="23"/>
    <s v="Combined Heat and Power, Commercial Power"/>
    <x v="4"/>
    <n v="4292"/>
  </r>
  <r>
    <x v="8"/>
    <x v="24"/>
    <s v="Total Electric Power Industry"/>
    <x v="0"/>
    <n v="75187346"/>
  </r>
  <r>
    <x v="8"/>
    <x v="24"/>
    <s v="Total Electric Power Industry"/>
    <x v="1"/>
    <n v="62726176"/>
  </r>
  <r>
    <x v="8"/>
    <x v="24"/>
    <s v="Total Electric Power Industry"/>
    <x v="2"/>
    <n v="2346585"/>
  </r>
  <r>
    <x v="8"/>
    <x v="24"/>
    <s v="Total Electric Power Industry"/>
    <x v="3"/>
    <n v="1264810"/>
  </r>
  <r>
    <x v="8"/>
    <x v="24"/>
    <s v="Total Electric Power Industry"/>
    <x v="7"/>
    <n v="8516773"/>
  </r>
  <r>
    <x v="8"/>
    <x v="24"/>
    <s v="Total Electric Power Industry"/>
    <x v="8"/>
    <n v="88884"/>
  </r>
  <r>
    <x v="8"/>
    <x v="24"/>
    <s v="Total Electric Power Industry"/>
    <x v="4"/>
    <n v="321821"/>
  </r>
  <r>
    <x v="8"/>
    <x v="24"/>
    <s v="Total Electric Power Industry"/>
    <x v="10"/>
    <n v="-77703"/>
  </r>
  <r>
    <x v="8"/>
    <x v="24"/>
    <s v="Electric Generators, Electric Utilities"/>
    <x v="0"/>
    <n v="74894188"/>
  </r>
  <r>
    <x v="8"/>
    <x v="24"/>
    <s v="Electric Generators, Electric Utilities"/>
    <x v="1"/>
    <n v="62488551"/>
  </r>
  <r>
    <x v="8"/>
    <x v="24"/>
    <s v="Electric Generators, Electric Utilities"/>
    <x v="2"/>
    <n v="2346585"/>
  </r>
  <r>
    <x v="8"/>
    <x v="24"/>
    <s v="Electric Generators, Electric Utilities"/>
    <x v="3"/>
    <n v="1232461"/>
  </r>
  <r>
    <x v="8"/>
    <x v="24"/>
    <s v="Electric Generators, Electric Utilities"/>
    <x v="7"/>
    <n v="8516773"/>
  </r>
  <r>
    <x v="8"/>
    <x v="24"/>
    <s v="Electric Generators, Electric Utilities"/>
    <x v="8"/>
    <n v="77787"/>
  </r>
  <r>
    <x v="8"/>
    <x v="24"/>
    <s v="Electric Generators, Electric Utilities"/>
    <x v="4"/>
    <n v="309734"/>
  </r>
  <r>
    <x v="8"/>
    <x v="24"/>
    <s v="Electric Generators, Electric Utilities"/>
    <x v="10"/>
    <n v="-77703"/>
  </r>
  <r>
    <x v="8"/>
    <x v="24"/>
    <s v="Combined Heat and Power, Industrial Power"/>
    <x v="0"/>
    <n v="176535"/>
  </r>
  <r>
    <x v="8"/>
    <x v="24"/>
    <s v="Combined Heat and Power, Industrial Power"/>
    <x v="1"/>
    <n v="153992"/>
  </r>
  <r>
    <x v="8"/>
    <x v="24"/>
    <s v="Combined Heat and Power, Industrial Power"/>
    <x v="3"/>
    <n v="13171"/>
  </r>
  <r>
    <x v="8"/>
    <x v="24"/>
    <s v="Combined Heat and Power, Industrial Power"/>
    <x v="8"/>
    <n v="9114"/>
  </r>
  <r>
    <x v="8"/>
    <x v="24"/>
    <s v="Combined Heat and Power, Industrial Power"/>
    <x v="4"/>
    <n v="258"/>
  </r>
  <r>
    <x v="8"/>
    <x v="24"/>
    <s v="Combined Heat and Power, Commercial Power"/>
    <x v="0"/>
    <n v="116623"/>
  </r>
  <r>
    <x v="8"/>
    <x v="24"/>
    <s v="Combined Heat and Power, Commercial Power"/>
    <x v="1"/>
    <n v="83633"/>
  </r>
  <r>
    <x v="8"/>
    <x v="24"/>
    <s v="Combined Heat and Power, Commercial Power"/>
    <x v="3"/>
    <n v="19178"/>
  </r>
  <r>
    <x v="8"/>
    <x v="24"/>
    <s v="Combined Heat and Power, Commercial Power"/>
    <x v="8"/>
    <n v="1983"/>
  </r>
  <r>
    <x v="8"/>
    <x v="24"/>
    <s v="Combined Heat and Power, Commercial Power"/>
    <x v="4"/>
    <n v="11829"/>
  </r>
  <r>
    <x v="8"/>
    <x v="25"/>
    <s v="Total Electric Power Industry"/>
    <x v="0"/>
    <n v="34409056"/>
  </r>
  <r>
    <x v="8"/>
    <x v="25"/>
    <s v="Total Electric Power Industry"/>
    <x v="1"/>
    <n v="11779543"/>
  </r>
  <r>
    <x v="8"/>
    <x v="25"/>
    <s v="Total Electric Power Industry"/>
    <x v="3"/>
    <n v="6576972"/>
  </r>
  <r>
    <x v="8"/>
    <x v="25"/>
    <s v="Total Electric Power Industry"/>
    <x v="7"/>
    <n v="9190528"/>
  </r>
  <r>
    <x v="8"/>
    <x v="25"/>
    <s v="Total Electric Power Industry"/>
    <x v="8"/>
    <n v="685"/>
  </r>
  <r>
    <x v="8"/>
    <x v="25"/>
    <s v="Total Electric Power Industry"/>
    <x v="4"/>
    <n v="5425222"/>
  </r>
  <r>
    <x v="8"/>
    <x v="25"/>
    <s v="Total Electric Power Industry"/>
    <x v="6"/>
    <n v="1436106"/>
  </r>
  <r>
    <x v="8"/>
    <x v="25"/>
    <s v="Electric Generators, Independent Power Producers"/>
    <x v="0"/>
    <n v="4059"/>
  </r>
  <r>
    <x v="8"/>
    <x v="25"/>
    <s v="Electric Generators, Independent Power Producers"/>
    <x v="3"/>
    <n v="4059"/>
  </r>
  <r>
    <x v="8"/>
    <x v="25"/>
    <s v="Electric Generators, Electric Utilities"/>
    <x v="0"/>
    <n v="31991676"/>
  </r>
  <r>
    <x v="8"/>
    <x v="25"/>
    <s v="Electric Generators, Electric Utilities"/>
    <x v="1"/>
    <n v="11747963"/>
  </r>
  <r>
    <x v="8"/>
    <x v="25"/>
    <s v="Electric Generators, Electric Utilities"/>
    <x v="3"/>
    <n v="5635261"/>
  </r>
  <r>
    <x v="8"/>
    <x v="25"/>
    <s v="Electric Generators, Electric Utilities"/>
    <x v="7"/>
    <n v="9190528"/>
  </r>
  <r>
    <x v="8"/>
    <x v="25"/>
    <s v="Electric Generators, Electric Utilities"/>
    <x v="4"/>
    <n v="5417924"/>
  </r>
  <r>
    <x v="8"/>
    <x v="25"/>
    <s v="Combined Heat and Power, Industrial Power"/>
    <x v="0"/>
    <n v="2391460"/>
  </r>
  <r>
    <x v="8"/>
    <x v="25"/>
    <s v="Combined Heat and Power, Industrial Power"/>
    <x v="1"/>
    <n v="31580"/>
  </r>
  <r>
    <x v="8"/>
    <x v="25"/>
    <s v="Combined Heat and Power, Industrial Power"/>
    <x v="3"/>
    <n v="915791"/>
  </r>
  <r>
    <x v="8"/>
    <x v="25"/>
    <s v="Combined Heat and Power, Industrial Power"/>
    <x v="8"/>
    <n v="685"/>
  </r>
  <r>
    <x v="8"/>
    <x v="25"/>
    <s v="Combined Heat and Power, Industrial Power"/>
    <x v="4"/>
    <n v="7298"/>
  </r>
  <r>
    <x v="8"/>
    <x v="25"/>
    <s v="Combined Heat and Power, Industrial Power"/>
    <x v="6"/>
    <n v="1436106"/>
  </r>
  <r>
    <x v="8"/>
    <x v="25"/>
    <s v="Combined Heat and Power, Commercial Power"/>
    <x v="0"/>
    <n v="21861"/>
  </r>
  <r>
    <x v="8"/>
    <x v="25"/>
    <s v="Combined Heat and Power, Commercial Power"/>
    <x v="3"/>
    <n v="21861"/>
  </r>
  <r>
    <x v="8"/>
    <x v="26"/>
    <s v="Total Electric Power Industry"/>
    <x v="0"/>
    <n v="28460518"/>
  </r>
  <r>
    <x v="8"/>
    <x v="26"/>
    <s v="Total Electric Power Industry"/>
    <x v="1"/>
    <n v="16784786"/>
  </r>
  <r>
    <x v="8"/>
    <x v="26"/>
    <s v="Total Electric Power Industry"/>
    <x v="2"/>
    <n v="11117940"/>
  </r>
  <r>
    <x v="8"/>
    <x v="26"/>
    <s v="Total Electric Power Industry"/>
    <x v="3"/>
    <n v="55776"/>
  </r>
  <r>
    <x v="8"/>
    <x v="26"/>
    <s v="Total Electric Power Industry"/>
    <x v="9"/>
    <n v="31136"/>
  </r>
  <r>
    <x v="8"/>
    <x v="26"/>
    <s v="Total Electric Power Industry"/>
    <x v="4"/>
    <n v="426731"/>
  </r>
  <r>
    <x v="8"/>
    <x v="26"/>
    <s v="Total Electric Power Industry"/>
    <x v="6"/>
    <n v="44149"/>
  </r>
  <r>
    <x v="8"/>
    <x v="26"/>
    <s v="Electric Generators, Independent Power Producers"/>
    <x v="0"/>
    <n v="341444"/>
  </r>
  <r>
    <x v="8"/>
    <x v="26"/>
    <s v="Electric Generators, Independent Power Producers"/>
    <x v="1"/>
    <n v="276818"/>
  </r>
  <r>
    <x v="8"/>
    <x v="26"/>
    <s v="Electric Generators, Independent Power Producers"/>
    <x v="2"/>
    <n v="64292"/>
  </r>
  <r>
    <x v="8"/>
    <x v="26"/>
    <s v="Electric Generators, Independent Power Producers"/>
    <x v="4"/>
    <n v="334"/>
  </r>
  <r>
    <x v="8"/>
    <x v="26"/>
    <s v="Electric Generators, Electric Utilities"/>
    <x v="0"/>
    <n v="27616913"/>
  </r>
  <r>
    <x v="8"/>
    <x v="26"/>
    <s v="Electric Generators, Electric Utilities"/>
    <x v="1"/>
    <n v="16507968"/>
  </r>
  <r>
    <x v="8"/>
    <x v="26"/>
    <s v="Electric Generators, Electric Utilities"/>
    <x v="2"/>
    <n v="11053648"/>
  </r>
  <r>
    <x v="8"/>
    <x v="26"/>
    <s v="Electric Generators, Electric Utilities"/>
    <x v="3"/>
    <n v="40953"/>
  </r>
  <r>
    <x v="8"/>
    <x v="26"/>
    <s v="Electric Generators, Electric Utilities"/>
    <x v="4"/>
    <n v="14344"/>
  </r>
  <r>
    <x v="8"/>
    <x v="26"/>
    <s v="Combined Heat and Power, Industrial Power"/>
    <x v="0"/>
    <n v="59337"/>
  </r>
  <r>
    <x v="8"/>
    <x v="26"/>
    <s v="Combined Heat and Power, Industrial Power"/>
    <x v="3"/>
    <n v="14823"/>
  </r>
  <r>
    <x v="8"/>
    <x v="26"/>
    <s v="Combined Heat and Power, Industrial Power"/>
    <x v="9"/>
    <n v="5"/>
  </r>
  <r>
    <x v="8"/>
    <x v="26"/>
    <s v="Combined Heat and Power, Industrial Power"/>
    <x v="4"/>
    <n v="360"/>
  </r>
  <r>
    <x v="8"/>
    <x v="26"/>
    <s v="Combined Heat and Power, Industrial Power"/>
    <x v="6"/>
    <n v="44149"/>
  </r>
  <r>
    <x v="8"/>
    <x v="26"/>
    <s v="Combined Heat and Power, Electric Power"/>
    <x v="0"/>
    <n v="442824"/>
  </r>
  <r>
    <x v="8"/>
    <x v="26"/>
    <s v="Combined Heat and Power, Electric Power"/>
    <x v="9"/>
    <n v="31131"/>
  </r>
  <r>
    <x v="8"/>
    <x v="26"/>
    <s v="Combined Heat and Power, Electric Power"/>
    <x v="4"/>
    <n v="411693"/>
  </r>
  <r>
    <x v="8"/>
    <x v="27"/>
    <s v="Total Electric Power Industry"/>
    <x v="0"/>
    <n v="121378824"/>
  </r>
  <r>
    <x v="8"/>
    <x v="27"/>
    <s v="Total Electric Power Industry"/>
    <x v="1"/>
    <n v="72949463"/>
  </r>
  <r>
    <x v="8"/>
    <x v="27"/>
    <s v="Total Electric Power Industry"/>
    <x v="2"/>
    <n v="5738207"/>
  </r>
  <r>
    <x v="8"/>
    <x v="27"/>
    <s v="Total Electric Power Industry"/>
    <x v="3"/>
    <n v="1284357"/>
  </r>
  <r>
    <x v="8"/>
    <x v="27"/>
    <s v="Total Electric Power Industry"/>
    <x v="7"/>
    <n v="38778211"/>
  </r>
  <r>
    <x v="8"/>
    <x v="27"/>
    <s v="Total Electric Power Industry"/>
    <x v="12"/>
    <n v="249356"/>
  </r>
  <r>
    <x v="8"/>
    <x v="27"/>
    <s v="Total Electric Power Industry"/>
    <x v="8"/>
    <n v="88422"/>
  </r>
  <r>
    <x v="8"/>
    <x v="27"/>
    <s v="Total Electric Power Industry"/>
    <x v="4"/>
    <n v="691314"/>
  </r>
  <r>
    <x v="8"/>
    <x v="27"/>
    <s v="Total Electric Power Industry"/>
    <x v="10"/>
    <n v="65672"/>
  </r>
  <r>
    <x v="8"/>
    <x v="27"/>
    <s v="Total Electric Power Industry"/>
    <x v="6"/>
    <n v="1533822"/>
  </r>
  <r>
    <x v="8"/>
    <x v="27"/>
    <s v="Electric Generators, Independent Power Producers"/>
    <x v="0"/>
    <n v="466954"/>
  </r>
  <r>
    <x v="8"/>
    <x v="27"/>
    <s v="Electric Generators, Independent Power Producers"/>
    <x v="2"/>
    <n v="16596"/>
  </r>
  <r>
    <x v="8"/>
    <x v="27"/>
    <s v="Electric Generators, Independent Power Producers"/>
    <x v="3"/>
    <n v="708"/>
  </r>
  <r>
    <x v="8"/>
    <x v="27"/>
    <s v="Electric Generators, Independent Power Producers"/>
    <x v="8"/>
    <n v="76459"/>
  </r>
  <r>
    <x v="8"/>
    <x v="27"/>
    <s v="Electric Generators, Independent Power Producers"/>
    <x v="4"/>
    <n v="60663"/>
  </r>
  <r>
    <x v="8"/>
    <x v="27"/>
    <s v="Electric Generators, Independent Power Producers"/>
    <x v="6"/>
    <n v="312528"/>
  </r>
  <r>
    <x v="8"/>
    <x v="27"/>
    <s v="Electric Generators, Electric Utilities"/>
    <x v="0"/>
    <n v="113112235"/>
  </r>
  <r>
    <x v="8"/>
    <x v="27"/>
    <s v="Electric Generators, Electric Utilities"/>
    <x v="1"/>
    <n v="69000633"/>
  </r>
  <r>
    <x v="8"/>
    <x v="27"/>
    <s v="Electric Generators, Electric Utilities"/>
    <x v="2"/>
    <n v="4045503"/>
  </r>
  <r>
    <x v="8"/>
    <x v="27"/>
    <s v="Electric Generators, Electric Utilities"/>
    <x v="3"/>
    <n v="936314"/>
  </r>
  <r>
    <x v="8"/>
    <x v="27"/>
    <s v="Electric Generators, Electric Utilities"/>
    <x v="7"/>
    <n v="38778211"/>
  </r>
  <r>
    <x v="8"/>
    <x v="27"/>
    <s v="Electric Generators, Electric Utilities"/>
    <x v="4"/>
    <n v="285902"/>
  </r>
  <r>
    <x v="8"/>
    <x v="27"/>
    <s v="Electric Generators, Electric Utilities"/>
    <x v="10"/>
    <n v="65672"/>
  </r>
  <r>
    <x v="8"/>
    <x v="27"/>
    <s v="Combined Heat and Power, Industrial Power"/>
    <x v="0"/>
    <n v="4656616"/>
  </r>
  <r>
    <x v="8"/>
    <x v="27"/>
    <s v="Combined Heat and Power, Industrial Power"/>
    <x v="1"/>
    <n v="1011742"/>
  </r>
  <r>
    <x v="8"/>
    <x v="27"/>
    <s v="Combined Heat and Power, Industrial Power"/>
    <x v="2"/>
    <n v="1662700"/>
  </r>
  <r>
    <x v="8"/>
    <x v="27"/>
    <s v="Combined Heat and Power, Industrial Power"/>
    <x v="3"/>
    <n v="224020"/>
  </r>
  <r>
    <x v="8"/>
    <x v="27"/>
    <s v="Combined Heat and Power, Industrial Power"/>
    <x v="12"/>
    <n v="249356"/>
  </r>
  <r>
    <x v="8"/>
    <x v="27"/>
    <s v="Combined Heat and Power, Industrial Power"/>
    <x v="8"/>
    <n v="11963"/>
  </r>
  <r>
    <x v="8"/>
    <x v="27"/>
    <s v="Combined Heat and Power, Industrial Power"/>
    <x v="4"/>
    <n v="275541"/>
  </r>
  <r>
    <x v="8"/>
    <x v="27"/>
    <s v="Combined Heat and Power, Industrial Power"/>
    <x v="6"/>
    <n v="1221294"/>
  </r>
  <r>
    <x v="8"/>
    <x v="27"/>
    <s v="Combined Heat and Power, Electric Power"/>
    <x v="0"/>
    <n v="3024234"/>
  </r>
  <r>
    <x v="8"/>
    <x v="27"/>
    <s v="Combined Heat and Power, Electric Power"/>
    <x v="1"/>
    <n v="2835281"/>
  </r>
  <r>
    <x v="8"/>
    <x v="27"/>
    <s v="Combined Heat and Power, Electric Power"/>
    <x v="3"/>
    <n v="120428"/>
  </r>
  <r>
    <x v="8"/>
    <x v="27"/>
    <s v="Combined Heat and Power, Electric Power"/>
    <x v="4"/>
    <n v="68525"/>
  </r>
  <r>
    <x v="8"/>
    <x v="27"/>
    <s v="Combined Heat and Power, Commercial Power"/>
    <x v="0"/>
    <n v="118785"/>
  </r>
  <r>
    <x v="8"/>
    <x v="27"/>
    <s v="Combined Heat and Power, Commercial Power"/>
    <x v="1"/>
    <n v="101807"/>
  </r>
  <r>
    <x v="8"/>
    <x v="27"/>
    <s v="Combined Heat and Power, Commercial Power"/>
    <x v="2"/>
    <n v="13408"/>
  </r>
  <r>
    <x v="8"/>
    <x v="27"/>
    <s v="Combined Heat and Power, Commercial Power"/>
    <x v="3"/>
    <n v="2887"/>
  </r>
  <r>
    <x v="8"/>
    <x v="27"/>
    <s v="Combined Heat and Power, Commercial Power"/>
    <x v="4"/>
    <n v="683"/>
  </r>
  <r>
    <x v="8"/>
    <x v="28"/>
    <s v="Total Electric Power Industry"/>
    <x v="0"/>
    <n v="30671951"/>
  </r>
  <r>
    <x v="8"/>
    <x v="28"/>
    <s v="Total Electric Power Industry"/>
    <x v="1"/>
    <n v="28256860"/>
  </r>
  <r>
    <x v="8"/>
    <x v="28"/>
    <s v="Total Electric Power Industry"/>
    <x v="2"/>
    <n v="2295948"/>
  </r>
  <r>
    <x v="8"/>
    <x v="28"/>
    <s v="Total Electric Power Industry"/>
    <x v="3"/>
    <n v="729"/>
  </r>
  <r>
    <x v="8"/>
    <x v="28"/>
    <s v="Total Electric Power Industry"/>
    <x v="8"/>
    <n v="1524"/>
  </r>
  <r>
    <x v="8"/>
    <x v="28"/>
    <s v="Total Electric Power Industry"/>
    <x v="9"/>
    <n v="52366"/>
  </r>
  <r>
    <x v="8"/>
    <x v="28"/>
    <s v="Total Electric Power Industry"/>
    <x v="4"/>
    <n v="64524"/>
  </r>
  <r>
    <x v="8"/>
    <x v="28"/>
    <s v="Electric Generators, Electric Utilities"/>
    <x v="0"/>
    <n v="30518976"/>
  </r>
  <r>
    <x v="8"/>
    <x v="28"/>
    <s v="Electric Generators, Electric Utilities"/>
    <x v="1"/>
    <n v="28176015"/>
  </r>
  <r>
    <x v="8"/>
    <x v="28"/>
    <s v="Electric Generators, Electric Utilities"/>
    <x v="2"/>
    <n v="2295948"/>
  </r>
  <r>
    <x v="8"/>
    <x v="28"/>
    <s v="Electric Generators, Electric Utilities"/>
    <x v="3"/>
    <n v="-78"/>
  </r>
  <r>
    <x v="8"/>
    <x v="28"/>
    <s v="Electric Generators, Electric Utilities"/>
    <x v="4"/>
    <n v="47091"/>
  </r>
  <r>
    <x v="8"/>
    <x v="28"/>
    <s v="Combined Heat and Power, Industrial Power"/>
    <x v="0"/>
    <n v="152975"/>
  </r>
  <r>
    <x v="8"/>
    <x v="28"/>
    <s v="Combined Heat and Power, Industrial Power"/>
    <x v="1"/>
    <n v="80845"/>
  </r>
  <r>
    <x v="8"/>
    <x v="28"/>
    <s v="Combined Heat and Power, Industrial Power"/>
    <x v="3"/>
    <n v="807"/>
  </r>
  <r>
    <x v="8"/>
    <x v="28"/>
    <s v="Combined Heat and Power, Industrial Power"/>
    <x v="8"/>
    <n v="1524"/>
  </r>
  <r>
    <x v="8"/>
    <x v="28"/>
    <s v="Combined Heat and Power, Industrial Power"/>
    <x v="9"/>
    <n v="52366"/>
  </r>
  <r>
    <x v="8"/>
    <x v="28"/>
    <s v="Combined Heat and Power, Industrial Power"/>
    <x v="4"/>
    <n v="17433"/>
  </r>
  <r>
    <x v="8"/>
    <x v="29"/>
    <s v="Total Electric Power Industry"/>
    <x v="0"/>
    <n v="28796791"/>
  </r>
  <r>
    <x v="8"/>
    <x v="29"/>
    <s v="Total Electric Power Industry"/>
    <x v="1"/>
    <n v="18380471"/>
  </r>
  <r>
    <x v="8"/>
    <x v="29"/>
    <s v="Total Electric Power Industry"/>
    <x v="2"/>
    <n v="1682834"/>
  </r>
  <r>
    <x v="8"/>
    <x v="29"/>
    <s v="Total Electric Power Industry"/>
    <x v="3"/>
    <n v="414483"/>
  </r>
  <r>
    <x v="8"/>
    <x v="29"/>
    <s v="Total Electric Power Industry"/>
    <x v="7"/>
    <n v="8258803"/>
  </r>
  <r>
    <x v="8"/>
    <x v="29"/>
    <s v="Total Electric Power Industry"/>
    <x v="8"/>
    <n v="17593"/>
  </r>
  <r>
    <x v="8"/>
    <x v="29"/>
    <s v="Total Electric Power Industry"/>
    <x v="4"/>
    <n v="42607"/>
  </r>
  <r>
    <x v="8"/>
    <x v="29"/>
    <s v="Total Electric Power Industry"/>
    <x v="5"/>
    <n v="0"/>
  </r>
  <r>
    <x v="8"/>
    <x v="29"/>
    <s v="Electric Generators, Electric Utilities"/>
    <x v="0"/>
    <n v="28720209"/>
  </r>
  <r>
    <x v="8"/>
    <x v="29"/>
    <s v="Electric Generators, Electric Utilities"/>
    <x v="1"/>
    <n v="18335965"/>
  </r>
  <r>
    <x v="8"/>
    <x v="29"/>
    <s v="Electric Generators, Electric Utilities"/>
    <x v="2"/>
    <n v="1682834"/>
  </r>
  <r>
    <x v="8"/>
    <x v="29"/>
    <s v="Electric Generators, Electric Utilities"/>
    <x v="3"/>
    <n v="400008"/>
  </r>
  <r>
    <x v="8"/>
    <x v="29"/>
    <s v="Electric Generators, Electric Utilities"/>
    <x v="7"/>
    <n v="8258803"/>
  </r>
  <r>
    <x v="8"/>
    <x v="29"/>
    <s v="Electric Generators, Electric Utilities"/>
    <x v="8"/>
    <n v="707"/>
  </r>
  <r>
    <x v="8"/>
    <x v="29"/>
    <s v="Electric Generators, Electric Utilities"/>
    <x v="4"/>
    <n v="41892"/>
  </r>
  <r>
    <x v="8"/>
    <x v="29"/>
    <s v="Electric Generators, Electric Utilities"/>
    <x v="5"/>
    <n v="0"/>
  </r>
  <r>
    <x v="8"/>
    <x v="29"/>
    <s v="Combined Heat and Power, Industrial Power"/>
    <x v="0"/>
    <n v="47610"/>
  </r>
  <r>
    <x v="8"/>
    <x v="29"/>
    <s v="Combined Heat and Power, Industrial Power"/>
    <x v="1"/>
    <n v="44506"/>
  </r>
  <r>
    <x v="8"/>
    <x v="29"/>
    <s v="Combined Heat and Power, Industrial Power"/>
    <x v="3"/>
    <n v="3104"/>
  </r>
  <r>
    <x v="8"/>
    <x v="29"/>
    <s v="Combined Heat and Power, Electric Power"/>
    <x v="0"/>
    <n v="8400"/>
  </r>
  <r>
    <x v="8"/>
    <x v="29"/>
    <s v="Combined Heat and Power, Electric Power"/>
    <x v="3"/>
    <n v="2392"/>
  </r>
  <r>
    <x v="8"/>
    <x v="29"/>
    <s v="Combined Heat and Power, Electric Power"/>
    <x v="8"/>
    <n v="6008"/>
  </r>
  <r>
    <x v="8"/>
    <x v="29"/>
    <s v="Combined Heat and Power, Commercial Power"/>
    <x v="0"/>
    <n v="20572"/>
  </r>
  <r>
    <x v="8"/>
    <x v="29"/>
    <s v="Combined Heat and Power, Commercial Power"/>
    <x v="3"/>
    <n v="8979"/>
  </r>
  <r>
    <x v="8"/>
    <x v="29"/>
    <s v="Combined Heat and Power, Commercial Power"/>
    <x v="8"/>
    <n v="10878"/>
  </r>
  <r>
    <x v="8"/>
    <x v="29"/>
    <s v="Combined Heat and Power, Commercial Power"/>
    <x v="4"/>
    <n v="715"/>
  </r>
  <r>
    <x v="8"/>
    <x v="30"/>
    <s v="Total Electric Power Industry"/>
    <x v="0"/>
    <n v="16088853"/>
  </r>
  <r>
    <x v="8"/>
    <x v="30"/>
    <s v="Total Electric Power Industry"/>
    <x v="1"/>
    <n v="3513065"/>
  </r>
  <r>
    <x v="8"/>
    <x v="30"/>
    <s v="Total Electric Power Industry"/>
    <x v="2"/>
    <n v="1596748"/>
  </r>
  <r>
    <x v="8"/>
    <x v="30"/>
    <s v="Total Electric Power Industry"/>
    <x v="3"/>
    <n v="23309"/>
  </r>
  <r>
    <x v="8"/>
    <x v="30"/>
    <s v="Total Electric Power Industry"/>
    <x v="7"/>
    <n v="8387023"/>
  </r>
  <r>
    <x v="8"/>
    <x v="30"/>
    <s v="Total Electric Power Industry"/>
    <x v="8"/>
    <n v="233805"/>
  </r>
  <r>
    <x v="8"/>
    <x v="30"/>
    <s v="Total Electric Power Industry"/>
    <x v="4"/>
    <n v="1453854"/>
  </r>
  <r>
    <x v="8"/>
    <x v="30"/>
    <s v="Total Electric Power Industry"/>
    <x v="6"/>
    <n v="881049"/>
  </r>
  <r>
    <x v="8"/>
    <x v="30"/>
    <s v="Electric Generators, Independent Power Producers"/>
    <x v="0"/>
    <n v="1360421"/>
  </r>
  <r>
    <x v="8"/>
    <x v="30"/>
    <s v="Electric Generators, Independent Power Producers"/>
    <x v="2"/>
    <n v="422982"/>
  </r>
  <r>
    <x v="8"/>
    <x v="30"/>
    <s v="Electric Generators, Independent Power Producers"/>
    <x v="3"/>
    <n v="67"/>
  </r>
  <r>
    <x v="8"/>
    <x v="30"/>
    <s v="Electric Generators, Independent Power Producers"/>
    <x v="8"/>
    <n v="233805"/>
  </r>
  <r>
    <x v="8"/>
    <x v="30"/>
    <s v="Electric Generators, Independent Power Producers"/>
    <x v="6"/>
    <n v="703567"/>
  </r>
  <r>
    <x v="8"/>
    <x v="30"/>
    <s v="Electric Generators, Electric Utilities"/>
    <x v="0"/>
    <n v="14237580"/>
  </r>
  <r>
    <x v="8"/>
    <x v="30"/>
    <s v="Electric Generators, Electric Utilities"/>
    <x v="1"/>
    <n v="3513065"/>
  </r>
  <r>
    <x v="8"/>
    <x v="30"/>
    <s v="Electric Generators, Electric Utilities"/>
    <x v="2"/>
    <n v="975057"/>
  </r>
  <r>
    <x v="8"/>
    <x v="30"/>
    <s v="Electric Generators, Electric Utilities"/>
    <x v="3"/>
    <n v="9837"/>
  </r>
  <r>
    <x v="8"/>
    <x v="30"/>
    <s v="Electric Generators, Electric Utilities"/>
    <x v="7"/>
    <n v="8387023"/>
  </r>
  <r>
    <x v="8"/>
    <x v="30"/>
    <s v="Electric Generators, Electric Utilities"/>
    <x v="4"/>
    <n v="1352598"/>
  </r>
  <r>
    <x v="8"/>
    <x v="30"/>
    <s v="Combined Heat and Power, Industrial Power"/>
    <x v="0"/>
    <n v="372322"/>
  </r>
  <r>
    <x v="8"/>
    <x v="30"/>
    <s v="Combined Heat and Power, Industrial Power"/>
    <x v="2"/>
    <n v="198709"/>
  </r>
  <r>
    <x v="8"/>
    <x v="30"/>
    <s v="Combined Heat and Power, Industrial Power"/>
    <x v="3"/>
    <n v="13386"/>
  </r>
  <r>
    <x v="8"/>
    <x v="30"/>
    <s v="Combined Heat and Power, Industrial Power"/>
    <x v="4"/>
    <n v="75143"/>
  </r>
  <r>
    <x v="8"/>
    <x v="30"/>
    <s v="Combined Heat and Power, Industrial Power"/>
    <x v="6"/>
    <n v="85084"/>
  </r>
  <r>
    <x v="8"/>
    <x v="30"/>
    <s v="Combined Heat and Power, Electric Power"/>
    <x v="0"/>
    <n v="92417"/>
  </r>
  <r>
    <x v="8"/>
    <x v="30"/>
    <s v="Combined Heat and Power, Electric Power"/>
    <x v="3"/>
    <n v="19"/>
  </r>
  <r>
    <x v="8"/>
    <x v="30"/>
    <s v="Combined Heat and Power, Electric Power"/>
    <x v="6"/>
    <n v="92398"/>
  </r>
  <r>
    <x v="8"/>
    <x v="30"/>
    <s v="Combined Heat and Power, Commercial Power"/>
    <x v="0"/>
    <n v="26113"/>
  </r>
  <r>
    <x v="8"/>
    <x v="30"/>
    <s v="Combined Heat and Power, Commercial Power"/>
    <x v="4"/>
    <n v="26113"/>
  </r>
  <r>
    <x v="8"/>
    <x v="31"/>
    <s v="Total Electric Power Industry"/>
    <x v="0"/>
    <n v="53857633"/>
  </r>
  <r>
    <x v="8"/>
    <x v="31"/>
    <s v="Total Electric Power Industry"/>
    <x v="1"/>
    <n v="7645226"/>
  </r>
  <r>
    <x v="8"/>
    <x v="31"/>
    <s v="Total Electric Power Industry"/>
    <x v="2"/>
    <n v="20670"/>
  </r>
  <r>
    <x v="8"/>
    <x v="31"/>
    <s v="Total Electric Power Industry"/>
    <x v="3"/>
    <n v="16480826"/>
  </r>
  <r>
    <x v="8"/>
    <x v="31"/>
    <s v="Total Electric Power Industry"/>
    <x v="7"/>
    <n v="27132139"/>
  </r>
  <r>
    <x v="8"/>
    <x v="31"/>
    <s v="Total Electric Power Industry"/>
    <x v="12"/>
    <n v="25187"/>
  </r>
  <r>
    <x v="8"/>
    <x v="31"/>
    <s v="Total Electric Power Industry"/>
    <x v="8"/>
    <n v="1310817"/>
  </r>
  <r>
    <x v="8"/>
    <x v="31"/>
    <s v="Total Electric Power Industry"/>
    <x v="9"/>
    <n v="659128"/>
  </r>
  <r>
    <x v="8"/>
    <x v="31"/>
    <s v="Total Electric Power Industry"/>
    <x v="4"/>
    <n v="729873"/>
  </r>
  <r>
    <x v="8"/>
    <x v="31"/>
    <s v="Total Electric Power Industry"/>
    <x v="10"/>
    <n v="-146233"/>
  </r>
  <r>
    <x v="8"/>
    <x v="31"/>
    <s v="Electric Generators, Independent Power Producers"/>
    <x v="0"/>
    <n v="1137602"/>
  </r>
  <r>
    <x v="8"/>
    <x v="31"/>
    <s v="Electric Generators, Independent Power Producers"/>
    <x v="2"/>
    <n v="20670"/>
  </r>
  <r>
    <x v="8"/>
    <x v="31"/>
    <s v="Electric Generators, Independent Power Producers"/>
    <x v="3"/>
    <n v="381914"/>
  </r>
  <r>
    <x v="8"/>
    <x v="31"/>
    <s v="Electric Generators, Independent Power Producers"/>
    <x v="8"/>
    <n v="734986"/>
  </r>
  <r>
    <x v="8"/>
    <x v="31"/>
    <s v="Electric Generators, Independent Power Producers"/>
    <x v="4"/>
    <n v="32"/>
  </r>
  <r>
    <x v="8"/>
    <x v="31"/>
    <s v="Electric Generators, Electric Utilities"/>
    <x v="0"/>
    <n v="35911086"/>
  </r>
  <r>
    <x v="8"/>
    <x v="31"/>
    <s v="Electric Generators, Electric Utilities"/>
    <x v="1"/>
    <n v="5586357"/>
  </r>
  <r>
    <x v="8"/>
    <x v="31"/>
    <s v="Electric Generators, Electric Utilities"/>
    <x v="3"/>
    <n v="2853825"/>
  </r>
  <r>
    <x v="8"/>
    <x v="31"/>
    <s v="Electric Generators, Electric Utilities"/>
    <x v="7"/>
    <n v="27132139"/>
  </r>
  <r>
    <x v="8"/>
    <x v="31"/>
    <s v="Electric Generators, Electric Utilities"/>
    <x v="4"/>
    <n v="484998"/>
  </r>
  <r>
    <x v="8"/>
    <x v="31"/>
    <s v="Electric Generators, Electric Utilities"/>
    <x v="10"/>
    <n v="-146233"/>
  </r>
  <r>
    <x v="8"/>
    <x v="31"/>
    <s v="Combined Heat and Power, Industrial Power"/>
    <x v="0"/>
    <n v="3052188"/>
  </r>
  <r>
    <x v="8"/>
    <x v="31"/>
    <s v="Combined Heat and Power, Industrial Power"/>
    <x v="3"/>
    <n v="2238554"/>
  </r>
  <r>
    <x v="8"/>
    <x v="31"/>
    <s v="Combined Heat and Power, Industrial Power"/>
    <x v="12"/>
    <n v="25187"/>
  </r>
  <r>
    <x v="8"/>
    <x v="31"/>
    <s v="Combined Heat and Power, Industrial Power"/>
    <x v="8"/>
    <n v="7800"/>
  </r>
  <r>
    <x v="8"/>
    <x v="31"/>
    <s v="Combined Heat and Power, Industrial Power"/>
    <x v="9"/>
    <n v="659128"/>
  </r>
  <r>
    <x v="8"/>
    <x v="31"/>
    <s v="Combined Heat and Power, Industrial Power"/>
    <x v="4"/>
    <n v="121519"/>
  </r>
  <r>
    <x v="8"/>
    <x v="31"/>
    <s v="Combined Heat and Power, Electric Power"/>
    <x v="0"/>
    <n v="13598422"/>
  </r>
  <r>
    <x v="8"/>
    <x v="31"/>
    <s v="Combined Heat and Power, Electric Power"/>
    <x v="1"/>
    <n v="2058869"/>
  </r>
  <r>
    <x v="8"/>
    <x v="31"/>
    <s v="Combined Heat and Power, Electric Power"/>
    <x v="3"/>
    <n v="10851544"/>
  </r>
  <r>
    <x v="8"/>
    <x v="31"/>
    <s v="Combined Heat and Power, Electric Power"/>
    <x v="8"/>
    <n v="567442"/>
  </r>
  <r>
    <x v="8"/>
    <x v="31"/>
    <s v="Combined Heat and Power, Electric Power"/>
    <x v="4"/>
    <n v="120567"/>
  </r>
  <r>
    <x v="8"/>
    <x v="31"/>
    <s v="Combined Heat and Power, Commercial Power"/>
    <x v="0"/>
    <n v="158335"/>
  </r>
  <r>
    <x v="8"/>
    <x v="31"/>
    <s v="Combined Heat and Power, Commercial Power"/>
    <x v="3"/>
    <n v="154989"/>
  </r>
  <r>
    <x v="8"/>
    <x v="31"/>
    <s v="Combined Heat and Power, Commercial Power"/>
    <x v="8"/>
    <n v="589"/>
  </r>
  <r>
    <x v="8"/>
    <x v="31"/>
    <s v="Combined Heat and Power, Commercial Power"/>
    <x v="4"/>
    <n v="2757"/>
  </r>
  <r>
    <x v="8"/>
    <x v="32"/>
    <s v="Total Electric Power Industry"/>
    <x v="0"/>
    <n v="32324069"/>
  </r>
  <r>
    <x v="8"/>
    <x v="32"/>
    <s v="Total Electric Power Industry"/>
    <x v="1"/>
    <n v="27537426"/>
  </r>
  <r>
    <x v="8"/>
    <x v="32"/>
    <s v="Total Electric Power Industry"/>
    <x v="2"/>
    <n v="236412"/>
  </r>
  <r>
    <x v="8"/>
    <x v="32"/>
    <s v="Total Electric Power Industry"/>
    <x v="3"/>
    <n v="4513549"/>
  </r>
  <r>
    <x v="8"/>
    <x v="32"/>
    <s v="Total Electric Power Industry"/>
    <x v="8"/>
    <n v="9206"/>
  </r>
  <r>
    <x v="8"/>
    <x v="32"/>
    <s v="Total Electric Power Industry"/>
    <x v="4"/>
    <n v="27476"/>
  </r>
  <r>
    <x v="8"/>
    <x v="32"/>
    <s v="Electric Generators, Electric Utilities"/>
    <x v="0"/>
    <n v="31428332"/>
  </r>
  <r>
    <x v="8"/>
    <x v="32"/>
    <s v="Electric Generators, Electric Utilities"/>
    <x v="1"/>
    <n v="27537426"/>
  </r>
  <r>
    <x v="8"/>
    <x v="32"/>
    <s v="Electric Generators, Electric Utilities"/>
    <x v="2"/>
    <n v="236412"/>
  </r>
  <r>
    <x v="8"/>
    <x v="32"/>
    <s v="Electric Generators, Electric Utilities"/>
    <x v="3"/>
    <n v="3631474"/>
  </r>
  <r>
    <x v="8"/>
    <x v="32"/>
    <s v="Electric Generators, Electric Utilities"/>
    <x v="4"/>
    <n v="23020"/>
  </r>
  <r>
    <x v="8"/>
    <x v="32"/>
    <s v="Combined Heat and Power, Industrial Power"/>
    <x v="0"/>
    <n v="320475"/>
  </r>
  <r>
    <x v="8"/>
    <x v="32"/>
    <s v="Combined Heat and Power, Industrial Power"/>
    <x v="3"/>
    <n v="316019"/>
  </r>
  <r>
    <x v="8"/>
    <x v="32"/>
    <s v="Combined Heat and Power, Industrial Power"/>
    <x v="4"/>
    <n v="4456"/>
  </r>
  <r>
    <x v="8"/>
    <x v="32"/>
    <s v="Combined Heat and Power, Electric Power"/>
    <x v="0"/>
    <n v="519633"/>
  </r>
  <r>
    <x v="8"/>
    <x v="32"/>
    <s v="Combined Heat and Power, Electric Power"/>
    <x v="3"/>
    <n v="510427"/>
  </r>
  <r>
    <x v="8"/>
    <x v="32"/>
    <s v="Combined Heat and Power, Electric Power"/>
    <x v="8"/>
    <n v="9206"/>
  </r>
  <r>
    <x v="8"/>
    <x v="32"/>
    <s v="Combined Heat and Power, Commercial Power"/>
    <x v="0"/>
    <n v="55629"/>
  </r>
  <r>
    <x v="8"/>
    <x v="32"/>
    <s v="Combined Heat and Power, Commercial Power"/>
    <x v="3"/>
    <n v="55629"/>
  </r>
  <r>
    <x v="8"/>
    <x v="33"/>
    <s v="Total Electric Power Industry"/>
    <x v="0"/>
    <n v="30613520"/>
  </r>
  <r>
    <x v="8"/>
    <x v="33"/>
    <s v="Total Electric Power Industry"/>
    <x v="1"/>
    <n v="17161341"/>
  </r>
  <r>
    <x v="8"/>
    <x v="33"/>
    <s v="Total Electric Power Industry"/>
    <x v="11"/>
    <n v="1537094"/>
  </r>
  <r>
    <x v="8"/>
    <x v="33"/>
    <s v="Total Electric Power Industry"/>
    <x v="2"/>
    <n v="3166325"/>
  </r>
  <r>
    <x v="8"/>
    <x v="33"/>
    <s v="Total Electric Power Industry"/>
    <x v="3"/>
    <n v="8690829"/>
  </r>
  <r>
    <x v="8"/>
    <x v="33"/>
    <s v="Total Electric Power Industry"/>
    <x v="12"/>
    <n v="6399"/>
  </r>
  <r>
    <x v="8"/>
    <x v="33"/>
    <s v="Total Electric Power Industry"/>
    <x v="4"/>
    <n v="51532"/>
  </r>
  <r>
    <x v="8"/>
    <x v="33"/>
    <s v="Electric Generators, Independent Power Producers"/>
    <x v="0"/>
    <n v="1749040"/>
  </r>
  <r>
    <x v="8"/>
    <x v="33"/>
    <s v="Electric Generators, Independent Power Producers"/>
    <x v="11"/>
    <n v="1537094"/>
  </r>
  <r>
    <x v="8"/>
    <x v="33"/>
    <s v="Electric Generators, Independent Power Producers"/>
    <x v="2"/>
    <n v="14910"/>
  </r>
  <r>
    <x v="8"/>
    <x v="33"/>
    <s v="Electric Generators, Independent Power Producers"/>
    <x v="3"/>
    <n v="195789"/>
  </r>
  <r>
    <x v="8"/>
    <x v="33"/>
    <s v="Electric Generators, Independent Power Producers"/>
    <x v="4"/>
    <n v="1247"/>
  </r>
  <r>
    <x v="8"/>
    <x v="33"/>
    <s v="Electric Generators, Electric Utilities"/>
    <x v="0"/>
    <n v="26552567"/>
  </r>
  <r>
    <x v="8"/>
    <x v="33"/>
    <s v="Electric Generators, Electric Utilities"/>
    <x v="1"/>
    <n v="17161341"/>
  </r>
  <r>
    <x v="8"/>
    <x v="33"/>
    <s v="Electric Generators, Electric Utilities"/>
    <x v="2"/>
    <n v="3151415"/>
  </r>
  <r>
    <x v="8"/>
    <x v="33"/>
    <s v="Electric Generators, Electric Utilities"/>
    <x v="3"/>
    <n v="6189526"/>
  </r>
  <r>
    <x v="8"/>
    <x v="33"/>
    <s v="Electric Generators, Electric Utilities"/>
    <x v="4"/>
    <n v="50285"/>
  </r>
  <r>
    <x v="8"/>
    <x v="33"/>
    <s v="Combined Heat and Power, Electric Power"/>
    <x v="0"/>
    <n v="2311913"/>
  </r>
  <r>
    <x v="8"/>
    <x v="33"/>
    <s v="Combined Heat and Power, Electric Power"/>
    <x v="3"/>
    <n v="2305514"/>
  </r>
  <r>
    <x v="8"/>
    <x v="33"/>
    <s v="Combined Heat and Power, Electric Power"/>
    <x v="12"/>
    <n v="6399"/>
  </r>
  <r>
    <x v="8"/>
    <x v="34"/>
    <s v="Total Electric Power Industry"/>
    <x v="0"/>
    <n v="144863248"/>
  </r>
  <r>
    <x v="8"/>
    <x v="34"/>
    <s v="Total Electric Power Industry"/>
    <x v="1"/>
    <n v="25264780"/>
  </r>
  <r>
    <x v="8"/>
    <x v="34"/>
    <s v="Total Electric Power Industry"/>
    <x v="2"/>
    <n v="29315778"/>
  </r>
  <r>
    <x v="8"/>
    <x v="34"/>
    <s v="Total Electric Power Industry"/>
    <x v="3"/>
    <n v="42471599"/>
  </r>
  <r>
    <x v="8"/>
    <x v="34"/>
    <s v="Total Electric Power Industry"/>
    <x v="7"/>
    <n v="31313708"/>
  </r>
  <r>
    <x v="8"/>
    <x v="34"/>
    <s v="Total Electric Power Industry"/>
    <x v="8"/>
    <n v="2180546"/>
  </r>
  <r>
    <x v="8"/>
    <x v="34"/>
    <s v="Total Electric Power Industry"/>
    <x v="9"/>
    <n v="88313"/>
  </r>
  <r>
    <x v="8"/>
    <x v="34"/>
    <s v="Total Electric Power Industry"/>
    <x v="4"/>
    <n v="14900782"/>
  </r>
  <r>
    <x v="8"/>
    <x v="34"/>
    <s v="Total Electric Power Industry"/>
    <x v="10"/>
    <n v="-1157681"/>
  </r>
  <r>
    <x v="8"/>
    <x v="34"/>
    <s v="Total Electric Power Industry"/>
    <x v="6"/>
    <n v="485423"/>
  </r>
  <r>
    <x v="8"/>
    <x v="34"/>
    <s v="Electric Generators, Independent Power Producers"/>
    <x v="0"/>
    <n v="3315583"/>
  </r>
  <r>
    <x v="8"/>
    <x v="34"/>
    <s v="Electric Generators, Independent Power Producers"/>
    <x v="2"/>
    <n v="1463267"/>
  </r>
  <r>
    <x v="8"/>
    <x v="34"/>
    <s v="Electric Generators, Independent Power Producers"/>
    <x v="3"/>
    <n v="247278"/>
  </r>
  <r>
    <x v="8"/>
    <x v="34"/>
    <s v="Electric Generators, Independent Power Producers"/>
    <x v="8"/>
    <n v="1439326"/>
  </r>
  <r>
    <x v="8"/>
    <x v="34"/>
    <s v="Electric Generators, Independent Power Producers"/>
    <x v="9"/>
    <n v="61"/>
  </r>
  <r>
    <x v="8"/>
    <x v="34"/>
    <s v="Electric Generators, Independent Power Producers"/>
    <x v="4"/>
    <n v="2891"/>
  </r>
  <r>
    <x v="8"/>
    <x v="34"/>
    <s v="Electric Generators, Independent Power Producers"/>
    <x v="6"/>
    <n v="162760"/>
  </r>
  <r>
    <x v="8"/>
    <x v="34"/>
    <s v="Electric Generators, Electric Utilities"/>
    <x v="0"/>
    <n v="115840453"/>
  </r>
  <r>
    <x v="8"/>
    <x v="34"/>
    <s v="Electric Generators, Electric Utilities"/>
    <x v="1"/>
    <n v="23503467"/>
  </r>
  <r>
    <x v="8"/>
    <x v="34"/>
    <s v="Electric Generators, Electric Utilities"/>
    <x v="2"/>
    <n v="27739454"/>
  </r>
  <r>
    <x v="8"/>
    <x v="34"/>
    <s v="Electric Generators, Electric Utilities"/>
    <x v="3"/>
    <n v="19913329"/>
  </r>
  <r>
    <x v="8"/>
    <x v="34"/>
    <s v="Electric Generators, Electric Utilities"/>
    <x v="7"/>
    <n v="31313708"/>
  </r>
  <r>
    <x v="8"/>
    <x v="34"/>
    <s v="Electric Generators, Electric Utilities"/>
    <x v="4"/>
    <n v="14523573"/>
  </r>
  <r>
    <x v="8"/>
    <x v="34"/>
    <s v="Electric Generators, Electric Utilities"/>
    <x v="10"/>
    <n v="-1157681"/>
  </r>
  <r>
    <x v="8"/>
    <x v="34"/>
    <s v="Electric Generators, Electric Utilities"/>
    <x v="6"/>
    <n v="4603"/>
  </r>
  <r>
    <x v="8"/>
    <x v="34"/>
    <s v="Combined Heat and Power, Industrial Power"/>
    <x v="0"/>
    <n v="3171068"/>
  </r>
  <r>
    <x v="8"/>
    <x v="34"/>
    <s v="Combined Heat and Power, Industrial Power"/>
    <x v="1"/>
    <n v="816888"/>
  </r>
  <r>
    <x v="8"/>
    <x v="34"/>
    <s v="Combined Heat and Power, Industrial Power"/>
    <x v="2"/>
    <n v="108798"/>
  </r>
  <r>
    <x v="8"/>
    <x v="34"/>
    <s v="Combined Heat and Power, Industrial Power"/>
    <x v="3"/>
    <n v="1768484"/>
  </r>
  <r>
    <x v="8"/>
    <x v="34"/>
    <s v="Combined Heat and Power, Industrial Power"/>
    <x v="9"/>
    <n v="87161"/>
  </r>
  <r>
    <x v="8"/>
    <x v="34"/>
    <s v="Combined Heat and Power, Industrial Power"/>
    <x v="4"/>
    <n v="180878"/>
  </r>
  <r>
    <x v="8"/>
    <x v="34"/>
    <s v="Combined Heat and Power, Industrial Power"/>
    <x v="6"/>
    <n v="208859"/>
  </r>
  <r>
    <x v="8"/>
    <x v="34"/>
    <s v="Combined Heat and Power, Electric Power"/>
    <x v="0"/>
    <n v="21458711"/>
  </r>
  <r>
    <x v="8"/>
    <x v="34"/>
    <s v="Combined Heat and Power, Electric Power"/>
    <x v="1"/>
    <n v="919686"/>
  </r>
  <r>
    <x v="8"/>
    <x v="34"/>
    <s v="Combined Heat and Power, Electric Power"/>
    <x v="3"/>
    <n v="19753060"/>
  </r>
  <r>
    <x v="8"/>
    <x v="34"/>
    <s v="Combined Heat and Power, Electric Power"/>
    <x v="8"/>
    <n v="527645"/>
  </r>
  <r>
    <x v="8"/>
    <x v="34"/>
    <s v="Combined Heat and Power, Electric Power"/>
    <x v="9"/>
    <n v="1091"/>
  </r>
  <r>
    <x v="8"/>
    <x v="34"/>
    <s v="Combined Heat and Power, Electric Power"/>
    <x v="4"/>
    <n v="148028"/>
  </r>
  <r>
    <x v="8"/>
    <x v="34"/>
    <s v="Combined Heat and Power, Electric Power"/>
    <x v="6"/>
    <n v="109201"/>
  </r>
  <r>
    <x v="8"/>
    <x v="34"/>
    <s v="Combined Heat and Power, Commercial Power"/>
    <x v="0"/>
    <n v="1077433"/>
  </r>
  <r>
    <x v="8"/>
    <x v="34"/>
    <s v="Combined Heat and Power, Commercial Power"/>
    <x v="1"/>
    <n v="24739"/>
  </r>
  <r>
    <x v="8"/>
    <x v="34"/>
    <s v="Combined Heat and Power, Commercial Power"/>
    <x v="2"/>
    <n v="4259"/>
  </r>
  <r>
    <x v="8"/>
    <x v="34"/>
    <s v="Combined Heat and Power, Commercial Power"/>
    <x v="3"/>
    <n v="789448"/>
  </r>
  <r>
    <x v="8"/>
    <x v="34"/>
    <s v="Combined Heat and Power, Commercial Power"/>
    <x v="8"/>
    <n v="213575"/>
  </r>
  <r>
    <x v="8"/>
    <x v="34"/>
    <s v="Combined Heat and Power, Commercial Power"/>
    <x v="4"/>
    <n v="45412"/>
  </r>
  <r>
    <x v="8"/>
    <x v="35"/>
    <s v="Total Electric Power Industry"/>
    <x v="0"/>
    <n v="147940057"/>
  </r>
  <r>
    <x v="8"/>
    <x v="35"/>
    <s v="Total Electric Power Industry"/>
    <x v="1"/>
    <n v="129223181"/>
  </r>
  <r>
    <x v="8"/>
    <x v="35"/>
    <s v="Total Electric Power Industry"/>
    <x v="2"/>
    <n v="406427"/>
  </r>
  <r>
    <x v="8"/>
    <x v="35"/>
    <s v="Total Electric Power Industry"/>
    <x v="3"/>
    <n v="677578"/>
  </r>
  <r>
    <x v="8"/>
    <x v="35"/>
    <s v="Total Electric Power Industry"/>
    <x v="7"/>
    <n v="16475732"/>
  </r>
  <r>
    <x v="8"/>
    <x v="35"/>
    <s v="Total Electric Power Industry"/>
    <x v="8"/>
    <n v="241"/>
  </r>
  <r>
    <x v="8"/>
    <x v="35"/>
    <s v="Total Electric Power Industry"/>
    <x v="9"/>
    <n v="185762"/>
  </r>
  <r>
    <x v="8"/>
    <x v="35"/>
    <s v="Total Electric Power Industry"/>
    <x v="4"/>
    <n v="370838"/>
  </r>
  <r>
    <x v="8"/>
    <x v="35"/>
    <s v="Total Electric Power Industry"/>
    <x v="6"/>
    <n v="600298"/>
  </r>
  <r>
    <x v="8"/>
    <x v="35"/>
    <s v="Electric Generators, Electric Utilities"/>
    <x v="0"/>
    <n v="146448159"/>
  </r>
  <r>
    <x v="8"/>
    <x v="35"/>
    <s v="Electric Generators, Electric Utilities"/>
    <x v="1"/>
    <n v="128696073"/>
  </r>
  <r>
    <x v="8"/>
    <x v="35"/>
    <s v="Electric Generators, Electric Utilities"/>
    <x v="2"/>
    <n v="406427"/>
  </r>
  <r>
    <x v="8"/>
    <x v="35"/>
    <s v="Electric Generators, Electric Utilities"/>
    <x v="3"/>
    <n v="518519"/>
  </r>
  <r>
    <x v="8"/>
    <x v="35"/>
    <s v="Electric Generators, Electric Utilities"/>
    <x v="7"/>
    <n v="16475732"/>
  </r>
  <r>
    <x v="8"/>
    <x v="35"/>
    <s v="Electric Generators, Electric Utilities"/>
    <x v="8"/>
    <n v="0"/>
  </r>
  <r>
    <x v="8"/>
    <x v="35"/>
    <s v="Electric Generators, Electric Utilities"/>
    <x v="4"/>
    <n v="351408"/>
  </r>
  <r>
    <x v="8"/>
    <x v="35"/>
    <s v="Combined Heat and Power, Industrial Power"/>
    <x v="0"/>
    <n v="1285770"/>
  </r>
  <r>
    <x v="8"/>
    <x v="35"/>
    <s v="Combined Heat and Power, Industrial Power"/>
    <x v="1"/>
    <n v="422251"/>
  </r>
  <r>
    <x v="8"/>
    <x v="35"/>
    <s v="Combined Heat and Power, Industrial Power"/>
    <x v="3"/>
    <n v="107256"/>
  </r>
  <r>
    <x v="8"/>
    <x v="35"/>
    <s v="Combined Heat and Power, Industrial Power"/>
    <x v="8"/>
    <n v="241"/>
  </r>
  <r>
    <x v="8"/>
    <x v="35"/>
    <s v="Combined Heat and Power, Industrial Power"/>
    <x v="9"/>
    <n v="185762"/>
  </r>
  <r>
    <x v="8"/>
    <x v="35"/>
    <s v="Combined Heat and Power, Industrial Power"/>
    <x v="4"/>
    <n v="13599"/>
  </r>
  <r>
    <x v="8"/>
    <x v="35"/>
    <s v="Combined Heat and Power, Industrial Power"/>
    <x v="6"/>
    <n v="556661"/>
  </r>
  <r>
    <x v="8"/>
    <x v="35"/>
    <s v="Combined Heat and Power, Electric Power"/>
    <x v="0"/>
    <n v="155195"/>
  </r>
  <r>
    <x v="8"/>
    <x v="35"/>
    <s v="Combined Heat and Power, Electric Power"/>
    <x v="1"/>
    <n v="102682"/>
  </r>
  <r>
    <x v="8"/>
    <x v="35"/>
    <s v="Combined Heat and Power, Electric Power"/>
    <x v="3"/>
    <n v="8683"/>
  </r>
  <r>
    <x v="8"/>
    <x v="35"/>
    <s v="Combined Heat and Power, Electric Power"/>
    <x v="8"/>
    <n v="0"/>
  </r>
  <r>
    <x v="8"/>
    <x v="35"/>
    <s v="Combined Heat and Power, Electric Power"/>
    <x v="4"/>
    <n v="1920"/>
  </r>
  <r>
    <x v="8"/>
    <x v="35"/>
    <s v="Combined Heat and Power, Electric Power"/>
    <x v="6"/>
    <n v="41910"/>
  </r>
  <r>
    <x v="8"/>
    <x v="35"/>
    <s v="Combined Heat and Power, Commercial Power"/>
    <x v="0"/>
    <n v="50933"/>
  </r>
  <r>
    <x v="8"/>
    <x v="35"/>
    <s v="Combined Heat and Power, Commercial Power"/>
    <x v="1"/>
    <n v="2175"/>
  </r>
  <r>
    <x v="8"/>
    <x v="35"/>
    <s v="Combined Heat and Power, Commercial Power"/>
    <x v="3"/>
    <n v="43120"/>
  </r>
  <r>
    <x v="8"/>
    <x v="35"/>
    <s v="Combined Heat and Power, Commercial Power"/>
    <x v="4"/>
    <n v="3911"/>
  </r>
  <r>
    <x v="8"/>
    <x v="35"/>
    <s v="Combined Heat and Power, Commercial Power"/>
    <x v="6"/>
    <n v="1727"/>
  </r>
  <r>
    <x v="8"/>
    <x v="36"/>
    <s v="Total Electric Power Industry"/>
    <x v="0"/>
    <n v="56229243"/>
  </r>
  <r>
    <x v="8"/>
    <x v="36"/>
    <s v="Total Electric Power Industry"/>
    <x v="1"/>
    <n v="34224030"/>
  </r>
  <r>
    <x v="8"/>
    <x v="36"/>
    <s v="Total Electric Power Industry"/>
    <x v="2"/>
    <n v="3508748"/>
  </r>
  <r>
    <x v="8"/>
    <x v="36"/>
    <s v="Total Electric Power Industry"/>
    <x v="3"/>
    <n v="18301418"/>
  </r>
  <r>
    <x v="8"/>
    <x v="36"/>
    <s v="Total Electric Power Industry"/>
    <x v="8"/>
    <n v="1980"/>
  </r>
  <r>
    <x v="8"/>
    <x v="36"/>
    <s v="Total Electric Power Industry"/>
    <x v="9"/>
    <n v="49819"/>
  </r>
  <r>
    <x v="8"/>
    <x v="36"/>
    <s v="Total Electric Power Industry"/>
    <x v="4"/>
    <n v="13892"/>
  </r>
  <r>
    <x v="8"/>
    <x v="36"/>
    <s v="Total Electric Power Industry"/>
    <x v="10"/>
    <n v="-88735"/>
  </r>
  <r>
    <x v="8"/>
    <x v="36"/>
    <s v="Total Electric Power Industry"/>
    <x v="6"/>
    <n v="218091"/>
  </r>
  <r>
    <x v="8"/>
    <x v="36"/>
    <s v="Electric Generators, Electric Utilities"/>
    <x v="0"/>
    <n v="51454036"/>
  </r>
  <r>
    <x v="8"/>
    <x v="36"/>
    <s v="Electric Generators, Electric Utilities"/>
    <x v="1"/>
    <n v="31026837"/>
  </r>
  <r>
    <x v="8"/>
    <x v="36"/>
    <s v="Electric Generators, Electric Utilities"/>
    <x v="2"/>
    <n v="3508748"/>
  </r>
  <r>
    <x v="8"/>
    <x v="36"/>
    <s v="Electric Generators, Electric Utilities"/>
    <x v="3"/>
    <n v="16999645"/>
  </r>
  <r>
    <x v="8"/>
    <x v="36"/>
    <s v="Electric Generators, Electric Utilities"/>
    <x v="4"/>
    <n v="7541"/>
  </r>
  <r>
    <x v="8"/>
    <x v="36"/>
    <s v="Electric Generators, Electric Utilities"/>
    <x v="10"/>
    <n v="-88735"/>
  </r>
  <r>
    <x v="8"/>
    <x v="36"/>
    <s v="Combined Heat and Power, Industrial Power"/>
    <x v="0"/>
    <n v="1200277"/>
  </r>
  <r>
    <x v="8"/>
    <x v="36"/>
    <s v="Combined Heat and Power, Industrial Power"/>
    <x v="1"/>
    <n v="466180"/>
  </r>
  <r>
    <x v="8"/>
    <x v="36"/>
    <s v="Combined Heat and Power, Industrial Power"/>
    <x v="3"/>
    <n v="457856"/>
  </r>
  <r>
    <x v="8"/>
    <x v="36"/>
    <s v="Combined Heat and Power, Industrial Power"/>
    <x v="8"/>
    <n v="1980"/>
  </r>
  <r>
    <x v="8"/>
    <x v="36"/>
    <s v="Combined Heat and Power, Industrial Power"/>
    <x v="9"/>
    <n v="49819"/>
  </r>
  <r>
    <x v="8"/>
    <x v="36"/>
    <s v="Combined Heat and Power, Industrial Power"/>
    <x v="4"/>
    <n v="6351"/>
  </r>
  <r>
    <x v="8"/>
    <x v="36"/>
    <s v="Combined Heat and Power, Industrial Power"/>
    <x v="6"/>
    <n v="218091"/>
  </r>
  <r>
    <x v="8"/>
    <x v="36"/>
    <s v="Combined Heat and Power, Electric Power"/>
    <x v="0"/>
    <n v="3538830"/>
  </r>
  <r>
    <x v="8"/>
    <x v="36"/>
    <s v="Combined Heat and Power, Electric Power"/>
    <x v="1"/>
    <n v="2731013"/>
  </r>
  <r>
    <x v="8"/>
    <x v="36"/>
    <s v="Combined Heat and Power, Electric Power"/>
    <x v="3"/>
    <n v="807817"/>
  </r>
  <r>
    <x v="8"/>
    <x v="36"/>
    <s v="Combined Heat and Power, Commercial Power"/>
    <x v="0"/>
    <n v="36100"/>
  </r>
  <r>
    <x v="8"/>
    <x v="36"/>
    <s v="Combined Heat and Power, Commercial Power"/>
    <x v="3"/>
    <n v="36100"/>
  </r>
  <r>
    <x v="8"/>
    <x v="37"/>
    <s v="Total Electric Power Industry"/>
    <x v="0"/>
    <n v="51148484"/>
  </r>
  <r>
    <x v="8"/>
    <x v="37"/>
    <s v="Total Electric Power Industry"/>
    <x v="1"/>
    <n v="3374622"/>
  </r>
  <r>
    <x v="8"/>
    <x v="37"/>
    <s v="Total Electric Power Industry"/>
    <x v="2"/>
    <n v="39902167"/>
  </r>
  <r>
    <x v="8"/>
    <x v="37"/>
    <s v="Total Electric Power Industry"/>
    <x v="3"/>
    <n v="7250065"/>
  </r>
  <r>
    <x v="8"/>
    <x v="37"/>
    <s v="Total Electric Power Industry"/>
    <x v="8"/>
    <n v="92626"/>
  </r>
  <r>
    <x v="8"/>
    <x v="37"/>
    <s v="Total Electric Power Industry"/>
    <x v="4"/>
    <n v="33632"/>
  </r>
  <r>
    <x v="8"/>
    <x v="37"/>
    <s v="Total Electric Power Industry"/>
    <x v="5"/>
    <n v="19523"/>
  </r>
  <r>
    <x v="8"/>
    <x v="37"/>
    <s v="Total Electric Power Industry"/>
    <x v="6"/>
    <n v="475849"/>
  </r>
  <r>
    <x v="8"/>
    <x v="37"/>
    <s v="Electric Generators, Independent Power Producers"/>
    <x v="0"/>
    <n v="510311"/>
  </r>
  <r>
    <x v="8"/>
    <x v="37"/>
    <s v="Electric Generators, Independent Power Producers"/>
    <x v="2"/>
    <n v="397989"/>
  </r>
  <r>
    <x v="8"/>
    <x v="37"/>
    <s v="Electric Generators, Independent Power Producers"/>
    <x v="3"/>
    <n v="173"/>
  </r>
  <r>
    <x v="8"/>
    <x v="37"/>
    <s v="Electric Generators, Independent Power Producers"/>
    <x v="8"/>
    <n v="92626"/>
  </r>
  <r>
    <x v="8"/>
    <x v="37"/>
    <s v="Electric Generators, Independent Power Producers"/>
    <x v="5"/>
    <n v="19523"/>
  </r>
  <r>
    <x v="8"/>
    <x v="37"/>
    <s v="Electric Generators, Electric Utilities"/>
    <x v="0"/>
    <n v="46352310"/>
  </r>
  <r>
    <x v="8"/>
    <x v="37"/>
    <s v="Electric Generators, Electric Utilities"/>
    <x v="1"/>
    <n v="3348089"/>
  </r>
  <r>
    <x v="8"/>
    <x v="37"/>
    <s v="Electric Generators, Electric Utilities"/>
    <x v="2"/>
    <n v="39504178"/>
  </r>
  <r>
    <x v="8"/>
    <x v="37"/>
    <s v="Electric Generators, Electric Utilities"/>
    <x v="3"/>
    <n v="3466916"/>
  </r>
  <r>
    <x v="8"/>
    <x v="37"/>
    <s v="Electric Generators, Electric Utilities"/>
    <x v="8"/>
    <n v="0"/>
  </r>
  <r>
    <x v="8"/>
    <x v="37"/>
    <s v="Electric Generators, Electric Utilities"/>
    <x v="4"/>
    <n v="33127"/>
  </r>
  <r>
    <x v="8"/>
    <x v="37"/>
    <s v="Electric Generators, Electric Utilities"/>
    <x v="6"/>
    <n v="0"/>
  </r>
  <r>
    <x v="8"/>
    <x v="37"/>
    <s v="Combined Heat and Power, Industrial Power"/>
    <x v="0"/>
    <n v="594290"/>
  </r>
  <r>
    <x v="8"/>
    <x v="37"/>
    <s v="Combined Heat and Power, Industrial Power"/>
    <x v="1"/>
    <n v="26533"/>
  </r>
  <r>
    <x v="8"/>
    <x v="37"/>
    <s v="Combined Heat and Power, Industrial Power"/>
    <x v="3"/>
    <n v="382778"/>
  </r>
  <r>
    <x v="8"/>
    <x v="37"/>
    <s v="Combined Heat and Power, Industrial Power"/>
    <x v="4"/>
    <n v="453"/>
  </r>
  <r>
    <x v="8"/>
    <x v="37"/>
    <s v="Combined Heat and Power, Industrial Power"/>
    <x v="6"/>
    <n v="184526"/>
  </r>
  <r>
    <x v="8"/>
    <x v="37"/>
    <s v="Combined Heat and Power, Electric Power"/>
    <x v="0"/>
    <n v="3686437"/>
  </r>
  <r>
    <x v="8"/>
    <x v="37"/>
    <s v="Combined Heat and Power, Electric Power"/>
    <x v="3"/>
    <n v="3395114"/>
  </r>
  <r>
    <x v="8"/>
    <x v="37"/>
    <s v="Combined Heat and Power, Electric Power"/>
    <x v="6"/>
    <n v="291323"/>
  </r>
  <r>
    <x v="8"/>
    <x v="37"/>
    <s v="Combined Heat and Power, Commercial Power"/>
    <x v="0"/>
    <n v="5136"/>
  </r>
  <r>
    <x v="8"/>
    <x v="37"/>
    <s v="Combined Heat and Power, Commercial Power"/>
    <x v="3"/>
    <n v="5084"/>
  </r>
  <r>
    <x v="8"/>
    <x v="37"/>
    <s v="Combined Heat and Power, Commercial Power"/>
    <x v="4"/>
    <n v="52"/>
  </r>
  <r>
    <x v="8"/>
    <x v="38"/>
    <s v="Total Electric Power Industry"/>
    <x v="0"/>
    <n v="191191518"/>
  </r>
  <r>
    <x v="8"/>
    <x v="38"/>
    <s v="Total Electric Power Industry"/>
    <x v="1"/>
    <n v="116387155"/>
  </r>
  <r>
    <x v="8"/>
    <x v="38"/>
    <s v="Total Electric Power Industry"/>
    <x v="2"/>
    <n v="2381352"/>
  </r>
  <r>
    <x v="8"/>
    <x v="38"/>
    <s v="Total Electric Power Industry"/>
    <x v="3"/>
    <n v="3890017"/>
  </r>
  <r>
    <x v="8"/>
    <x v="38"/>
    <s v="Total Electric Power Industry"/>
    <x v="7"/>
    <n v="61149224"/>
  </r>
  <r>
    <x v="8"/>
    <x v="38"/>
    <s v="Total Electric Power Industry"/>
    <x v="12"/>
    <n v="40772"/>
  </r>
  <r>
    <x v="8"/>
    <x v="38"/>
    <s v="Total Electric Power Industry"/>
    <x v="8"/>
    <n v="1893649"/>
  </r>
  <r>
    <x v="8"/>
    <x v="38"/>
    <s v="Total Electric Power Industry"/>
    <x v="9"/>
    <n v="630761"/>
  </r>
  <r>
    <x v="8"/>
    <x v="38"/>
    <s v="Total Electric Power Industry"/>
    <x v="4"/>
    <n v="4506729"/>
  </r>
  <r>
    <x v="8"/>
    <x v="38"/>
    <s v="Total Electric Power Industry"/>
    <x v="10"/>
    <n v="-459733"/>
  </r>
  <r>
    <x v="8"/>
    <x v="38"/>
    <s v="Total Electric Power Industry"/>
    <x v="6"/>
    <n v="771592"/>
  </r>
  <r>
    <x v="8"/>
    <x v="38"/>
    <s v="Electric Generators, Independent Power Producers"/>
    <x v="0"/>
    <n v="5231413"/>
  </r>
  <r>
    <x v="8"/>
    <x v="38"/>
    <s v="Electric Generators, Independent Power Producers"/>
    <x v="1"/>
    <n v="3211427"/>
  </r>
  <r>
    <x v="8"/>
    <x v="38"/>
    <s v="Electric Generators, Independent Power Producers"/>
    <x v="2"/>
    <n v="353525"/>
  </r>
  <r>
    <x v="8"/>
    <x v="38"/>
    <s v="Electric Generators, Independent Power Producers"/>
    <x v="3"/>
    <n v="71585"/>
  </r>
  <r>
    <x v="8"/>
    <x v="38"/>
    <s v="Electric Generators, Independent Power Producers"/>
    <x v="8"/>
    <n v="1582928"/>
  </r>
  <r>
    <x v="8"/>
    <x v="38"/>
    <s v="Electric Generators, Independent Power Producers"/>
    <x v="9"/>
    <n v="373"/>
  </r>
  <r>
    <x v="8"/>
    <x v="38"/>
    <s v="Electric Generators, Independent Power Producers"/>
    <x v="4"/>
    <n v="11575"/>
  </r>
  <r>
    <x v="8"/>
    <x v="38"/>
    <s v="Electric Generators, Electric Utilities"/>
    <x v="0"/>
    <n v="173903236"/>
  </r>
  <r>
    <x v="8"/>
    <x v="38"/>
    <s v="Electric Generators, Electric Utilities"/>
    <x v="1"/>
    <n v="106516740"/>
  </r>
  <r>
    <x v="8"/>
    <x v="38"/>
    <s v="Electric Generators, Electric Utilities"/>
    <x v="2"/>
    <n v="2027827"/>
  </r>
  <r>
    <x v="8"/>
    <x v="38"/>
    <s v="Electric Generators, Electric Utilities"/>
    <x v="3"/>
    <n v="572172"/>
  </r>
  <r>
    <x v="8"/>
    <x v="38"/>
    <s v="Electric Generators, Electric Utilities"/>
    <x v="7"/>
    <n v="61149224"/>
  </r>
  <r>
    <x v="8"/>
    <x v="38"/>
    <s v="Electric Generators, Electric Utilities"/>
    <x v="4"/>
    <n v="4097006"/>
  </r>
  <r>
    <x v="8"/>
    <x v="38"/>
    <s v="Electric Generators, Electric Utilities"/>
    <x v="10"/>
    <n v="-459733"/>
  </r>
  <r>
    <x v="8"/>
    <x v="38"/>
    <s v="Combined Heat and Power, Industrial Power"/>
    <x v="0"/>
    <n v="3890981"/>
  </r>
  <r>
    <x v="8"/>
    <x v="38"/>
    <s v="Combined Heat and Power, Industrial Power"/>
    <x v="1"/>
    <n v="1597276"/>
  </r>
  <r>
    <x v="8"/>
    <x v="38"/>
    <s v="Combined Heat and Power, Industrial Power"/>
    <x v="3"/>
    <n v="705572"/>
  </r>
  <r>
    <x v="8"/>
    <x v="38"/>
    <s v="Combined Heat and Power, Industrial Power"/>
    <x v="12"/>
    <n v="40772"/>
  </r>
  <r>
    <x v="8"/>
    <x v="38"/>
    <s v="Combined Heat and Power, Industrial Power"/>
    <x v="8"/>
    <n v="18444"/>
  </r>
  <r>
    <x v="8"/>
    <x v="38"/>
    <s v="Combined Heat and Power, Industrial Power"/>
    <x v="9"/>
    <n v="617656"/>
  </r>
  <r>
    <x v="8"/>
    <x v="38"/>
    <s v="Combined Heat and Power, Industrial Power"/>
    <x v="4"/>
    <n v="329821"/>
  </r>
  <r>
    <x v="8"/>
    <x v="38"/>
    <s v="Combined Heat and Power, Industrial Power"/>
    <x v="6"/>
    <n v="581440"/>
  </r>
  <r>
    <x v="8"/>
    <x v="38"/>
    <s v="Combined Heat and Power, Electric Power"/>
    <x v="0"/>
    <n v="7732456"/>
  </r>
  <r>
    <x v="8"/>
    <x v="38"/>
    <s v="Combined Heat and Power, Electric Power"/>
    <x v="1"/>
    <n v="5057181"/>
  </r>
  <r>
    <x v="8"/>
    <x v="38"/>
    <s v="Combined Heat and Power, Electric Power"/>
    <x v="3"/>
    <n v="2350768"/>
  </r>
  <r>
    <x v="8"/>
    <x v="38"/>
    <s v="Combined Heat and Power, Electric Power"/>
    <x v="8"/>
    <n v="60479"/>
  </r>
  <r>
    <x v="8"/>
    <x v="38"/>
    <s v="Combined Heat and Power, Electric Power"/>
    <x v="9"/>
    <n v="12732"/>
  </r>
  <r>
    <x v="8"/>
    <x v="38"/>
    <s v="Combined Heat and Power, Electric Power"/>
    <x v="4"/>
    <n v="61144"/>
  </r>
  <r>
    <x v="8"/>
    <x v="38"/>
    <s v="Combined Heat and Power, Electric Power"/>
    <x v="6"/>
    <n v="190152"/>
  </r>
  <r>
    <x v="8"/>
    <x v="38"/>
    <s v="Combined Heat and Power, Commercial Power"/>
    <x v="0"/>
    <n v="433432"/>
  </r>
  <r>
    <x v="8"/>
    <x v="38"/>
    <s v="Combined Heat and Power, Commercial Power"/>
    <x v="1"/>
    <n v="4531"/>
  </r>
  <r>
    <x v="8"/>
    <x v="38"/>
    <s v="Combined Heat and Power, Commercial Power"/>
    <x v="3"/>
    <n v="189920"/>
  </r>
  <r>
    <x v="8"/>
    <x v="38"/>
    <s v="Combined Heat and Power, Commercial Power"/>
    <x v="8"/>
    <n v="231798"/>
  </r>
  <r>
    <x v="8"/>
    <x v="38"/>
    <s v="Combined Heat and Power, Commercial Power"/>
    <x v="4"/>
    <n v="7183"/>
  </r>
  <r>
    <x v="8"/>
    <x v="39"/>
    <s v="Total Electric Power Industry"/>
    <x v="0"/>
    <n v="7674511"/>
  </r>
  <r>
    <x v="8"/>
    <x v="39"/>
    <s v="Total Electric Power Industry"/>
    <x v="1"/>
    <n v="0"/>
  </r>
  <r>
    <x v="8"/>
    <x v="39"/>
    <s v="Total Electric Power Industry"/>
    <x v="2"/>
    <n v="8676"/>
  </r>
  <r>
    <x v="8"/>
    <x v="39"/>
    <s v="Total Electric Power Industry"/>
    <x v="3"/>
    <n v="7476374"/>
  </r>
  <r>
    <x v="8"/>
    <x v="39"/>
    <s v="Total Electric Power Industry"/>
    <x v="8"/>
    <n v="111155"/>
  </r>
  <r>
    <x v="8"/>
    <x v="39"/>
    <s v="Total Electric Power Industry"/>
    <x v="4"/>
    <n v="78306"/>
  </r>
  <r>
    <x v="8"/>
    <x v="39"/>
    <s v="Electric Generators, Independent Power Producers"/>
    <x v="0"/>
    <n v="5028448"/>
  </r>
  <r>
    <x v="8"/>
    <x v="39"/>
    <s v="Electric Generators, Independent Power Producers"/>
    <x v="2"/>
    <n v="8676"/>
  </r>
  <r>
    <x v="8"/>
    <x v="39"/>
    <s v="Electric Generators, Independent Power Producers"/>
    <x v="3"/>
    <n v="4905045"/>
  </r>
  <r>
    <x v="8"/>
    <x v="39"/>
    <s v="Electric Generators, Independent Power Producers"/>
    <x v="8"/>
    <n v="111155"/>
  </r>
  <r>
    <x v="8"/>
    <x v="39"/>
    <s v="Electric Generators, Independent Power Producers"/>
    <x v="4"/>
    <n v="3572"/>
  </r>
  <r>
    <x v="8"/>
    <x v="39"/>
    <s v="Electric Generators, Electric Utilities"/>
    <x v="0"/>
    <n v="2061351"/>
  </r>
  <r>
    <x v="8"/>
    <x v="39"/>
    <s v="Electric Generators, Electric Utilities"/>
    <x v="1"/>
    <n v="0"/>
  </r>
  <r>
    <x v="8"/>
    <x v="39"/>
    <s v="Electric Generators, Electric Utilities"/>
    <x v="2"/>
    <n v="0"/>
  </r>
  <r>
    <x v="8"/>
    <x v="39"/>
    <s v="Electric Generators, Electric Utilities"/>
    <x v="3"/>
    <n v="2052524"/>
  </r>
  <r>
    <x v="8"/>
    <x v="39"/>
    <s v="Electric Generators, Electric Utilities"/>
    <x v="4"/>
    <n v="8827"/>
  </r>
  <r>
    <x v="8"/>
    <x v="39"/>
    <s v="Combined Heat and Power, Industrial Power"/>
    <x v="0"/>
    <n v="15102"/>
  </r>
  <r>
    <x v="8"/>
    <x v="39"/>
    <s v="Combined Heat and Power, Industrial Power"/>
    <x v="3"/>
    <n v="12164"/>
  </r>
  <r>
    <x v="8"/>
    <x v="39"/>
    <s v="Combined Heat and Power, Industrial Power"/>
    <x v="4"/>
    <n v="2938"/>
  </r>
  <r>
    <x v="8"/>
    <x v="39"/>
    <s v="Combined Heat and Power, Electric Power"/>
    <x v="0"/>
    <n v="518319"/>
  </r>
  <r>
    <x v="8"/>
    <x v="39"/>
    <s v="Combined Heat and Power, Electric Power"/>
    <x v="3"/>
    <n v="504505"/>
  </r>
  <r>
    <x v="8"/>
    <x v="39"/>
    <s v="Combined Heat and Power, Electric Power"/>
    <x v="4"/>
    <n v="13814"/>
  </r>
  <r>
    <x v="8"/>
    <x v="39"/>
    <s v="Combined Heat and Power, Commercial Power"/>
    <x v="0"/>
    <n v="51291"/>
  </r>
  <r>
    <x v="8"/>
    <x v="39"/>
    <s v="Combined Heat and Power, Commercial Power"/>
    <x v="3"/>
    <n v="2136"/>
  </r>
  <r>
    <x v="8"/>
    <x v="39"/>
    <s v="Combined Heat and Power, Commercial Power"/>
    <x v="4"/>
    <n v="49155"/>
  </r>
  <r>
    <x v="8"/>
    <x v="40"/>
    <s v="Total Electric Power Industry"/>
    <x v="0"/>
    <n v="87246561"/>
  </r>
  <r>
    <x v="8"/>
    <x v="40"/>
    <s v="Total Electric Power Industry"/>
    <x v="1"/>
    <n v="32969699"/>
  </r>
  <r>
    <x v="8"/>
    <x v="40"/>
    <s v="Total Electric Power Industry"/>
    <x v="2"/>
    <n v="3569417"/>
  </r>
  <r>
    <x v="8"/>
    <x v="40"/>
    <s v="Total Electric Power Industry"/>
    <x v="3"/>
    <n v="877465"/>
  </r>
  <r>
    <x v="8"/>
    <x v="40"/>
    <s v="Total Electric Power Industry"/>
    <x v="7"/>
    <n v="48759447"/>
  </r>
  <r>
    <x v="8"/>
    <x v="40"/>
    <s v="Total Electric Power Industry"/>
    <x v="12"/>
    <n v="4446"/>
  </r>
  <r>
    <x v="8"/>
    <x v="40"/>
    <s v="Total Electric Power Industry"/>
    <x v="8"/>
    <n v="62332"/>
  </r>
  <r>
    <x v="8"/>
    <x v="40"/>
    <s v="Total Electric Power Industry"/>
    <x v="9"/>
    <n v="92"/>
  </r>
  <r>
    <x v="8"/>
    <x v="40"/>
    <s v="Total Electric Power Industry"/>
    <x v="4"/>
    <n v="451663"/>
  </r>
  <r>
    <x v="8"/>
    <x v="40"/>
    <s v="Total Electric Power Industry"/>
    <x v="10"/>
    <n v="-989870"/>
  </r>
  <r>
    <x v="8"/>
    <x v="40"/>
    <s v="Total Electric Power Industry"/>
    <x v="6"/>
    <n v="1541870"/>
  </r>
  <r>
    <x v="8"/>
    <x v="40"/>
    <s v="Electric Generators, Independent Power Producers"/>
    <x v="0"/>
    <n v="63652"/>
  </r>
  <r>
    <x v="8"/>
    <x v="40"/>
    <s v="Electric Generators, Independent Power Producers"/>
    <x v="2"/>
    <n v="63652"/>
  </r>
  <r>
    <x v="8"/>
    <x v="40"/>
    <s v="Electric Generators, Electric Utilities"/>
    <x v="0"/>
    <n v="84396897"/>
  </r>
  <r>
    <x v="8"/>
    <x v="40"/>
    <s v="Electric Generators, Electric Utilities"/>
    <x v="1"/>
    <n v="32377814"/>
  </r>
  <r>
    <x v="8"/>
    <x v="40"/>
    <s v="Electric Generators, Electric Utilities"/>
    <x v="2"/>
    <n v="3503249"/>
  </r>
  <r>
    <x v="8"/>
    <x v="40"/>
    <s v="Electric Generators, Electric Utilities"/>
    <x v="3"/>
    <n v="414900"/>
  </r>
  <r>
    <x v="8"/>
    <x v="40"/>
    <s v="Electric Generators, Electric Utilities"/>
    <x v="7"/>
    <n v="48759447"/>
  </r>
  <r>
    <x v="8"/>
    <x v="40"/>
    <s v="Electric Generators, Electric Utilities"/>
    <x v="4"/>
    <n v="331357"/>
  </r>
  <r>
    <x v="8"/>
    <x v="40"/>
    <s v="Electric Generators, Electric Utilities"/>
    <x v="10"/>
    <n v="-989870"/>
  </r>
  <r>
    <x v="8"/>
    <x v="40"/>
    <s v="Combined Heat and Power, Industrial Power"/>
    <x v="0"/>
    <n v="2373482"/>
  </r>
  <r>
    <x v="8"/>
    <x v="40"/>
    <s v="Combined Heat and Power, Industrial Power"/>
    <x v="1"/>
    <n v="591885"/>
  </r>
  <r>
    <x v="8"/>
    <x v="40"/>
    <s v="Combined Heat and Power, Industrial Power"/>
    <x v="3"/>
    <n v="111099"/>
  </r>
  <r>
    <x v="8"/>
    <x v="40"/>
    <s v="Combined Heat and Power, Industrial Power"/>
    <x v="12"/>
    <n v="4446"/>
  </r>
  <r>
    <x v="8"/>
    <x v="40"/>
    <s v="Combined Heat and Power, Industrial Power"/>
    <x v="8"/>
    <n v="4983"/>
  </r>
  <r>
    <x v="8"/>
    <x v="40"/>
    <s v="Combined Heat and Power, Industrial Power"/>
    <x v="9"/>
    <n v="92"/>
  </r>
  <r>
    <x v="8"/>
    <x v="40"/>
    <s v="Combined Heat and Power, Industrial Power"/>
    <x v="4"/>
    <n v="119107"/>
  </r>
  <r>
    <x v="8"/>
    <x v="40"/>
    <s v="Combined Heat and Power, Industrial Power"/>
    <x v="6"/>
    <n v="1541870"/>
  </r>
  <r>
    <x v="8"/>
    <x v="40"/>
    <s v="Combined Heat and Power, Electric Power"/>
    <x v="0"/>
    <n v="349393"/>
  </r>
  <r>
    <x v="8"/>
    <x v="40"/>
    <s v="Combined Heat and Power, Electric Power"/>
    <x v="3"/>
    <n v="349393"/>
  </r>
  <r>
    <x v="8"/>
    <x v="40"/>
    <s v="Combined Heat and Power, Commercial Power"/>
    <x v="0"/>
    <n v="63137"/>
  </r>
  <r>
    <x v="8"/>
    <x v="40"/>
    <s v="Combined Heat and Power, Commercial Power"/>
    <x v="2"/>
    <n v="2516"/>
  </r>
  <r>
    <x v="8"/>
    <x v="40"/>
    <s v="Combined Heat and Power, Commercial Power"/>
    <x v="3"/>
    <n v="2073"/>
  </r>
  <r>
    <x v="8"/>
    <x v="40"/>
    <s v="Combined Heat and Power, Commercial Power"/>
    <x v="8"/>
    <n v="57349"/>
  </r>
  <r>
    <x v="8"/>
    <x v="40"/>
    <s v="Combined Heat and Power, Commercial Power"/>
    <x v="4"/>
    <n v="1199"/>
  </r>
  <r>
    <x v="8"/>
    <x v="41"/>
    <s v="Total Electric Power Industry"/>
    <x v="0"/>
    <n v="9088990"/>
  </r>
  <r>
    <x v="8"/>
    <x v="41"/>
    <s v="Total Electric Power Industry"/>
    <x v="1"/>
    <n v="3094113"/>
  </r>
  <r>
    <x v="8"/>
    <x v="41"/>
    <s v="Total Electric Power Industry"/>
    <x v="2"/>
    <n v="5757600"/>
  </r>
  <r>
    <x v="8"/>
    <x v="41"/>
    <s v="Total Electric Power Industry"/>
    <x v="3"/>
    <n v="210726"/>
  </r>
  <r>
    <x v="8"/>
    <x v="41"/>
    <s v="Total Electric Power Industry"/>
    <x v="4"/>
    <n v="26551"/>
  </r>
  <r>
    <x v="8"/>
    <x v="41"/>
    <s v="Electric Generators, Electric Utilities"/>
    <x v="0"/>
    <n v="9088990"/>
  </r>
  <r>
    <x v="8"/>
    <x v="41"/>
    <s v="Electric Generators, Electric Utilities"/>
    <x v="1"/>
    <n v="3094113"/>
  </r>
  <r>
    <x v="8"/>
    <x v="41"/>
    <s v="Electric Generators, Electric Utilities"/>
    <x v="2"/>
    <n v="5757600"/>
  </r>
  <r>
    <x v="8"/>
    <x v="41"/>
    <s v="Electric Generators, Electric Utilities"/>
    <x v="3"/>
    <n v="210726"/>
  </r>
  <r>
    <x v="8"/>
    <x v="41"/>
    <s v="Electric Generators, Electric Utilities"/>
    <x v="4"/>
    <n v="26551"/>
  </r>
  <r>
    <x v="8"/>
    <x v="42"/>
    <s v="Total Electric Power Industry"/>
    <x v="0"/>
    <n v="97728457"/>
  </r>
  <r>
    <x v="8"/>
    <x v="42"/>
    <s v="Total Electric Power Industry"/>
    <x v="1"/>
    <n v="56832939"/>
  </r>
  <r>
    <x v="8"/>
    <x v="42"/>
    <s v="Total Electric Power Industry"/>
    <x v="2"/>
    <n v="10806028"/>
  </r>
  <r>
    <x v="8"/>
    <x v="42"/>
    <s v="Total Electric Power Industry"/>
    <x v="3"/>
    <n v="857863"/>
  </r>
  <r>
    <x v="8"/>
    <x v="42"/>
    <s v="Total Electric Power Industry"/>
    <x v="7"/>
    <n v="28387543"/>
  </r>
  <r>
    <x v="8"/>
    <x v="42"/>
    <s v="Total Electric Power Industry"/>
    <x v="12"/>
    <n v="96856"/>
  </r>
  <r>
    <x v="8"/>
    <x v="42"/>
    <s v="Total Electric Power Industry"/>
    <x v="8"/>
    <n v="52293"/>
  </r>
  <r>
    <x v="8"/>
    <x v="42"/>
    <s v="Total Electric Power Industry"/>
    <x v="9"/>
    <n v="15845"/>
  </r>
  <r>
    <x v="8"/>
    <x v="42"/>
    <s v="Total Electric Power Industry"/>
    <x v="4"/>
    <n v="706174"/>
  </r>
  <r>
    <x v="8"/>
    <x v="42"/>
    <s v="Total Electric Power Industry"/>
    <x v="10"/>
    <n v="-622336"/>
  </r>
  <r>
    <x v="8"/>
    <x v="42"/>
    <s v="Total Electric Power Industry"/>
    <x v="6"/>
    <n v="595252"/>
  </r>
  <r>
    <x v="8"/>
    <x v="42"/>
    <s v="Electric Generators, Independent Power Producers"/>
    <x v="0"/>
    <n v="20632"/>
  </r>
  <r>
    <x v="8"/>
    <x v="42"/>
    <s v="Electric Generators, Independent Power Producers"/>
    <x v="8"/>
    <n v="20632"/>
  </r>
  <r>
    <x v="8"/>
    <x v="42"/>
    <s v="Electric Generators, Electric Utilities"/>
    <x v="0"/>
    <n v="94142638"/>
  </r>
  <r>
    <x v="8"/>
    <x v="42"/>
    <s v="Electric Generators, Electric Utilities"/>
    <x v="1"/>
    <n v="55120297"/>
  </r>
  <r>
    <x v="8"/>
    <x v="42"/>
    <s v="Electric Generators, Electric Utilities"/>
    <x v="2"/>
    <n v="10007358"/>
  </r>
  <r>
    <x v="8"/>
    <x v="42"/>
    <s v="Electric Generators, Electric Utilities"/>
    <x v="3"/>
    <n v="550543"/>
  </r>
  <r>
    <x v="8"/>
    <x v="42"/>
    <s v="Electric Generators, Electric Utilities"/>
    <x v="7"/>
    <n v="28387543"/>
  </r>
  <r>
    <x v="8"/>
    <x v="42"/>
    <s v="Electric Generators, Electric Utilities"/>
    <x v="4"/>
    <n v="699233"/>
  </r>
  <r>
    <x v="8"/>
    <x v="42"/>
    <s v="Electric Generators, Electric Utilities"/>
    <x v="10"/>
    <n v="-622336"/>
  </r>
  <r>
    <x v="8"/>
    <x v="42"/>
    <s v="Combined Heat and Power, Industrial Power"/>
    <x v="0"/>
    <n v="3422422"/>
  </r>
  <r>
    <x v="8"/>
    <x v="42"/>
    <s v="Combined Heat and Power, Industrial Power"/>
    <x v="1"/>
    <n v="1660392"/>
  </r>
  <r>
    <x v="8"/>
    <x v="42"/>
    <s v="Combined Heat and Power, Industrial Power"/>
    <x v="2"/>
    <n v="798670"/>
  </r>
  <r>
    <x v="8"/>
    <x v="42"/>
    <s v="Combined Heat and Power, Industrial Power"/>
    <x v="3"/>
    <n v="235640"/>
  </r>
  <r>
    <x v="8"/>
    <x v="42"/>
    <s v="Combined Heat and Power, Industrial Power"/>
    <x v="12"/>
    <n v="96856"/>
  </r>
  <r>
    <x v="8"/>
    <x v="42"/>
    <s v="Combined Heat and Power, Industrial Power"/>
    <x v="8"/>
    <n v="13003"/>
  </r>
  <r>
    <x v="8"/>
    <x v="42"/>
    <s v="Combined Heat and Power, Industrial Power"/>
    <x v="9"/>
    <n v="15845"/>
  </r>
  <r>
    <x v="8"/>
    <x v="42"/>
    <s v="Combined Heat and Power, Industrial Power"/>
    <x v="4"/>
    <n v="6941"/>
  </r>
  <r>
    <x v="8"/>
    <x v="42"/>
    <s v="Combined Heat and Power, Industrial Power"/>
    <x v="6"/>
    <n v="595075"/>
  </r>
  <r>
    <x v="8"/>
    <x v="42"/>
    <s v="Combined Heat and Power, Electric Power"/>
    <x v="0"/>
    <n v="177"/>
  </r>
  <r>
    <x v="8"/>
    <x v="42"/>
    <s v="Combined Heat and Power, Electric Power"/>
    <x v="6"/>
    <n v="177"/>
  </r>
  <r>
    <x v="8"/>
    <x v="42"/>
    <s v="Combined Heat and Power, Commercial Power"/>
    <x v="0"/>
    <n v="142588"/>
  </r>
  <r>
    <x v="8"/>
    <x v="42"/>
    <s v="Combined Heat and Power, Commercial Power"/>
    <x v="1"/>
    <n v="52250"/>
  </r>
  <r>
    <x v="8"/>
    <x v="42"/>
    <s v="Combined Heat and Power, Commercial Power"/>
    <x v="3"/>
    <n v="71680"/>
  </r>
  <r>
    <x v="8"/>
    <x v="42"/>
    <s v="Combined Heat and Power, Commercial Power"/>
    <x v="8"/>
    <n v="18658"/>
  </r>
  <r>
    <x v="8"/>
    <x v="43"/>
    <s v="Total Electric Power Industry"/>
    <x v="0"/>
    <n v="355320164"/>
  </r>
  <r>
    <x v="8"/>
    <x v="43"/>
    <s v="Total Electric Power Industry"/>
    <x v="1"/>
    <n v="135426025"/>
  </r>
  <r>
    <x v="8"/>
    <x v="43"/>
    <s v="Total Electric Power Industry"/>
    <x v="2"/>
    <n v="1424821"/>
  </r>
  <r>
    <x v="8"/>
    <x v="43"/>
    <s v="Total Electric Power Industry"/>
    <x v="3"/>
    <n v="172143924"/>
  </r>
  <r>
    <x v="8"/>
    <x v="43"/>
    <s v="Total Electric Power Industry"/>
    <x v="7"/>
    <n v="38685129"/>
  </r>
  <r>
    <x v="8"/>
    <x v="43"/>
    <s v="Total Electric Power Industry"/>
    <x v="12"/>
    <n v="553334"/>
  </r>
  <r>
    <x v="8"/>
    <x v="43"/>
    <s v="Total Electric Power Industry"/>
    <x v="8"/>
    <n v="94345"/>
  </r>
  <r>
    <x v="8"/>
    <x v="43"/>
    <s v="Total Electric Power Industry"/>
    <x v="9"/>
    <n v="4077715"/>
  </r>
  <r>
    <x v="8"/>
    <x v="43"/>
    <s v="Total Electric Power Industry"/>
    <x v="4"/>
    <n v="1580092"/>
  </r>
  <r>
    <x v="8"/>
    <x v="43"/>
    <s v="Total Electric Power Industry"/>
    <x v="13"/>
    <n v="134"/>
  </r>
  <r>
    <x v="8"/>
    <x v="43"/>
    <s v="Total Electric Power Industry"/>
    <x v="5"/>
    <n v="80036"/>
  </r>
  <r>
    <x v="8"/>
    <x v="43"/>
    <s v="Total Electric Power Industry"/>
    <x v="6"/>
    <n v="1254609"/>
  </r>
  <r>
    <x v="8"/>
    <x v="43"/>
    <s v="Electric Generators, Independent Power Producers"/>
    <x v="0"/>
    <n v="183059"/>
  </r>
  <r>
    <x v="8"/>
    <x v="43"/>
    <s v="Electric Generators, Independent Power Producers"/>
    <x v="2"/>
    <n v="5918"/>
  </r>
  <r>
    <x v="8"/>
    <x v="43"/>
    <s v="Electric Generators, Independent Power Producers"/>
    <x v="3"/>
    <n v="51997"/>
  </r>
  <r>
    <x v="8"/>
    <x v="43"/>
    <s v="Electric Generators, Independent Power Producers"/>
    <x v="8"/>
    <n v="45108"/>
  </r>
  <r>
    <x v="8"/>
    <x v="43"/>
    <s v="Electric Generators, Independent Power Producers"/>
    <x v="5"/>
    <n v="80036"/>
  </r>
  <r>
    <x v="8"/>
    <x v="43"/>
    <s v="Electric Generators, Electric Utilities"/>
    <x v="0"/>
    <n v="293068377"/>
  </r>
  <r>
    <x v="8"/>
    <x v="43"/>
    <s v="Electric Generators, Electric Utilities"/>
    <x v="1"/>
    <n v="132626804"/>
  </r>
  <r>
    <x v="8"/>
    <x v="43"/>
    <s v="Electric Generators, Electric Utilities"/>
    <x v="2"/>
    <n v="1418903"/>
  </r>
  <r>
    <x v="8"/>
    <x v="43"/>
    <s v="Electric Generators, Electric Utilities"/>
    <x v="3"/>
    <n v="120200589"/>
  </r>
  <r>
    <x v="8"/>
    <x v="43"/>
    <s v="Electric Generators, Electric Utilities"/>
    <x v="7"/>
    <n v="38685129"/>
  </r>
  <r>
    <x v="8"/>
    <x v="43"/>
    <s v="Electric Generators, Electric Utilities"/>
    <x v="4"/>
    <n v="136818"/>
  </r>
  <r>
    <x v="8"/>
    <x v="43"/>
    <s v="Electric Generators, Electric Utilities"/>
    <x v="13"/>
    <n v="134"/>
  </r>
  <r>
    <x v="8"/>
    <x v="43"/>
    <s v="Combined Heat and Power, Industrial Power"/>
    <x v="0"/>
    <n v="37960871"/>
  </r>
  <r>
    <x v="8"/>
    <x v="43"/>
    <s v="Combined Heat and Power, Industrial Power"/>
    <x v="1"/>
    <n v="2799221"/>
  </r>
  <r>
    <x v="8"/>
    <x v="43"/>
    <s v="Combined Heat and Power, Industrial Power"/>
    <x v="3"/>
    <n v="30984044"/>
  </r>
  <r>
    <x v="8"/>
    <x v="43"/>
    <s v="Combined Heat and Power, Industrial Power"/>
    <x v="12"/>
    <n v="406946"/>
  </r>
  <r>
    <x v="8"/>
    <x v="43"/>
    <s v="Combined Heat and Power, Industrial Power"/>
    <x v="8"/>
    <n v="41469"/>
  </r>
  <r>
    <x v="8"/>
    <x v="43"/>
    <s v="Combined Heat and Power, Industrial Power"/>
    <x v="9"/>
    <n v="2414726"/>
  </r>
  <r>
    <x v="8"/>
    <x v="43"/>
    <s v="Combined Heat and Power, Industrial Power"/>
    <x v="4"/>
    <n v="59856"/>
  </r>
  <r>
    <x v="8"/>
    <x v="43"/>
    <s v="Combined Heat and Power, Industrial Power"/>
    <x v="6"/>
    <n v="1254609"/>
  </r>
  <r>
    <x v="8"/>
    <x v="43"/>
    <s v="Combined Heat and Power, Electric Power"/>
    <x v="0"/>
    <n v="23625872"/>
  </r>
  <r>
    <x v="8"/>
    <x v="43"/>
    <s v="Combined Heat and Power, Electric Power"/>
    <x v="3"/>
    <n v="20438236"/>
  </r>
  <r>
    <x v="8"/>
    <x v="43"/>
    <s v="Combined Heat and Power, Electric Power"/>
    <x v="12"/>
    <n v="146388"/>
  </r>
  <r>
    <x v="8"/>
    <x v="43"/>
    <s v="Combined Heat and Power, Electric Power"/>
    <x v="9"/>
    <n v="1662989"/>
  </r>
  <r>
    <x v="8"/>
    <x v="43"/>
    <s v="Combined Heat and Power, Electric Power"/>
    <x v="4"/>
    <n v="1378259"/>
  </r>
  <r>
    <x v="8"/>
    <x v="43"/>
    <s v="Combined Heat and Power, Commercial Power"/>
    <x v="0"/>
    <n v="481985"/>
  </r>
  <r>
    <x v="8"/>
    <x v="43"/>
    <s v="Combined Heat and Power, Commercial Power"/>
    <x v="3"/>
    <n v="469058"/>
  </r>
  <r>
    <x v="8"/>
    <x v="43"/>
    <s v="Combined Heat and Power, Commercial Power"/>
    <x v="8"/>
    <n v="7768"/>
  </r>
  <r>
    <x v="8"/>
    <x v="43"/>
    <s v="Combined Heat and Power, Commercial Power"/>
    <x v="4"/>
    <n v="5159"/>
  </r>
  <r>
    <x v="8"/>
    <x v="44"/>
    <s v="Total Electric Power Industry"/>
    <x v="0"/>
    <n v="3620295498"/>
  </r>
  <r>
    <x v="8"/>
    <x v="44"/>
    <s v="Total Electric Power Industry"/>
    <x v="1"/>
    <n v="1873515690"/>
  </r>
  <r>
    <x v="8"/>
    <x v="44"/>
    <s v="Total Electric Power Industry"/>
    <x v="11"/>
    <n v="14773918"/>
  </r>
  <r>
    <x v="8"/>
    <x v="44"/>
    <s v="Total Electric Power Industry"/>
    <x v="2"/>
    <n v="323335661"/>
  </r>
  <r>
    <x v="8"/>
    <x v="44"/>
    <s v="Total Electric Power Industry"/>
    <x v="3"/>
    <n v="531257104"/>
  </r>
  <r>
    <x v="8"/>
    <x v="44"/>
    <s v="Total Electric Power Industry"/>
    <x v="7"/>
    <n v="673702104"/>
  </r>
  <r>
    <x v="8"/>
    <x v="44"/>
    <s v="Total Electric Power Industry"/>
    <x v="12"/>
    <n v="3571410"/>
  </r>
  <r>
    <x v="8"/>
    <x v="44"/>
    <s v="Total Electric Power Industry"/>
    <x v="8"/>
    <n v="22447935"/>
  </r>
  <r>
    <x v="8"/>
    <x v="44"/>
    <s v="Total Electric Power Industry"/>
    <x v="9"/>
    <n v="13492230"/>
  </r>
  <r>
    <x v="8"/>
    <x v="44"/>
    <s v="Total Electric Power Industry"/>
    <x v="4"/>
    <n v="128800173"/>
  </r>
  <r>
    <x v="8"/>
    <x v="44"/>
    <s v="Total Electric Power Industry"/>
    <x v="10"/>
    <n v="-4467280"/>
  </r>
  <r>
    <x v="8"/>
    <x v="44"/>
    <s v="Total Electric Power Industry"/>
    <x v="13"/>
    <n v="502473"/>
  </r>
  <r>
    <x v="8"/>
    <x v="44"/>
    <s v="Total Electric Power Industry"/>
    <x v="5"/>
    <n v="3025696"/>
  </r>
  <r>
    <x v="8"/>
    <x v="44"/>
    <s v="Total Electric Power Industry"/>
    <x v="6"/>
    <n v="36338384"/>
  </r>
  <r>
    <x v="8"/>
    <x v="44"/>
    <s v="Electric Generators, Independent Power Producers"/>
    <x v="0"/>
    <n v="91454833"/>
  </r>
  <r>
    <x v="8"/>
    <x v="44"/>
    <s v="Electric Generators, Independent Power Producers"/>
    <x v="1"/>
    <n v="15539071"/>
  </r>
  <r>
    <x v="8"/>
    <x v="44"/>
    <s v="Electric Generators, Independent Power Producers"/>
    <x v="11"/>
    <n v="9597638"/>
  </r>
  <r>
    <x v="8"/>
    <x v="44"/>
    <s v="Electric Generators, Independent Power Producers"/>
    <x v="2"/>
    <n v="9022850"/>
  </r>
  <r>
    <x v="8"/>
    <x v="44"/>
    <s v="Electric Generators, Independent Power Producers"/>
    <x v="3"/>
    <n v="26657309"/>
  </r>
  <r>
    <x v="8"/>
    <x v="44"/>
    <s v="Electric Generators, Independent Power Producers"/>
    <x v="8"/>
    <n v="15658466"/>
  </r>
  <r>
    <x v="8"/>
    <x v="44"/>
    <s v="Electric Generators, Independent Power Producers"/>
    <x v="9"/>
    <n v="55217"/>
  </r>
  <r>
    <x v="8"/>
    <x v="44"/>
    <s v="Electric Generators, Independent Power Producers"/>
    <x v="4"/>
    <n v="5502981"/>
  </r>
  <r>
    <x v="8"/>
    <x v="44"/>
    <s v="Electric Generators, Independent Power Producers"/>
    <x v="10"/>
    <n v="-26072"/>
  </r>
  <r>
    <x v="8"/>
    <x v="44"/>
    <s v="Electric Generators, Independent Power Producers"/>
    <x v="13"/>
    <n v="499955"/>
  </r>
  <r>
    <x v="8"/>
    <x v="44"/>
    <s v="Electric Generators, Independent Power Producers"/>
    <x v="5"/>
    <n v="3022739"/>
  </r>
  <r>
    <x v="8"/>
    <x v="44"/>
    <s v="Electric Generators, Independent Power Producers"/>
    <x v="6"/>
    <n v="5924679"/>
  </r>
  <r>
    <x v="8"/>
    <x v="44"/>
    <s v="Electric Generators, Electric Utilities"/>
    <x v="0"/>
    <n v="3212170791"/>
  </r>
  <r>
    <x v="8"/>
    <x v="44"/>
    <s v="Electric Generators, Electric Utilities"/>
    <x v="1"/>
    <n v="1807479829"/>
  </r>
  <r>
    <x v="8"/>
    <x v="44"/>
    <s v="Electric Generators, Electric Utilities"/>
    <x v="11"/>
    <n v="5176280"/>
  </r>
  <r>
    <x v="8"/>
    <x v="44"/>
    <s v="Electric Generators, Electric Utilities"/>
    <x v="2"/>
    <n v="308843770"/>
  </r>
  <r>
    <x v="8"/>
    <x v="44"/>
    <s v="Electric Generators, Electric Utilities"/>
    <x v="3"/>
    <n v="309222404"/>
  </r>
  <r>
    <x v="8"/>
    <x v="44"/>
    <s v="Electric Generators, Electric Utilities"/>
    <x v="7"/>
    <n v="673702104"/>
  </r>
  <r>
    <x v="8"/>
    <x v="44"/>
    <s v="Electric Generators, Electric Utilities"/>
    <x v="8"/>
    <n v="1304935"/>
  </r>
  <r>
    <x v="8"/>
    <x v="44"/>
    <s v="Electric Generators, Electric Utilities"/>
    <x v="4"/>
    <n v="110157895"/>
  </r>
  <r>
    <x v="8"/>
    <x v="44"/>
    <s v="Electric Generators, Electric Utilities"/>
    <x v="10"/>
    <n v="-4441208"/>
  </r>
  <r>
    <x v="8"/>
    <x v="44"/>
    <s v="Electric Generators, Electric Utilities"/>
    <x v="13"/>
    <n v="2518"/>
  </r>
  <r>
    <x v="8"/>
    <x v="44"/>
    <s v="Electric Generators, Electric Utilities"/>
    <x v="5"/>
    <n v="2957"/>
  </r>
  <r>
    <x v="8"/>
    <x v="44"/>
    <s v="Electric Generators, Electric Utilities"/>
    <x v="6"/>
    <n v="719307"/>
  </r>
  <r>
    <x v="8"/>
    <x v="44"/>
    <s v="Combined Heat and Power, Industrial Power"/>
    <x v="0"/>
    <n v="154131767"/>
  </r>
  <r>
    <x v="8"/>
    <x v="44"/>
    <s v="Combined Heat and Power, Industrial Power"/>
    <x v="1"/>
    <n v="22336919"/>
  </r>
  <r>
    <x v="8"/>
    <x v="44"/>
    <s v="Combined Heat and Power, Industrial Power"/>
    <x v="2"/>
    <n v="5348573"/>
  </r>
  <r>
    <x v="8"/>
    <x v="44"/>
    <s v="Combined Heat and Power, Industrial Power"/>
    <x v="3"/>
    <n v="77085312"/>
  </r>
  <r>
    <x v="8"/>
    <x v="44"/>
    <s v="Combined Heat and Power, Industrial Power"/>
    <x v="12"/>
    <n v="3412468"/>
  </r>
  <r>
    <x v="8"/>
    <x v="44"/>
    <s v="Combined Heat and Power, Industrial Power"/>
    <x v="8"/>
    <n v="879712"/>
  </r>
  <r>
    <x v="8"/>
    <x v="44"/>
    <s v="Combined Heat and Power, Industrial Power"/>
    <x v="9"/>
    <n v="11169911"/>
  </r>
  <r>
    <x v="8"/>
    <x v="44"/>
    <s v="Combined Heat and Power, Industrial Power"/>
    <x v="4"/>
    <n v="6206334"/>
  </r>
  <r>
    <x v="8"/>
    <x v="44"/>
    <s v="Combined Heat and Power, Industrial Power"/>
    <x v="6"/>
    <n v="27692538"/>
  </r>
  <r>
    <x v="8"/>
    <x v="44"/>
    <s v="Combined Heat and Power, Electric Power"/>
    <x v="0"/>
    <n v="153790021"/>
  </r>
  <r>
    <x v="8"/>
    <x v="44"/>
    <s v="Combined Heat and Power, Electric Power"/>
    <x v="1"/>
    <n v="27174404"/>
  </r>
  <r>
    <x v="8"/>
    <x v="44"/>
    <s v="Combined Heat and Power, Electric Power"/>
    <x v="3"/>
    <n v="113412865"/>
  </r>
  <r>
    <x v="8"/>
    <x v="44"/>
    <s v="Combined Heat and Power, Electric Power"/>
    <x v="12"/>
    <n v="158942"/>
  </r>
  <r>
    <x v="8"/>
    <x v="44"/>
    <s v="Combined Heat and Power, Electric Power"/>
    <x v="8"/>
    <n v="2269773"/>
  </r>
  <r>
    <x v="8"/>
    <x v="44"/>
    <s v="Combined Heat and Power, Electric Power"/>
    <x v="9"/>
    <n v="2259679"/>
  </r>
  <r>
    <x v="8"/>
    <x v="44"/>
    <s v="Combined Heat and Power, Electric Power"/>
    <x v="4"/>
    <n v="6550214"/>
  </r>
  <r>
    <x v="8"/>
    <x v="44"/>
    <s v="Combined Heat and Power, Electric Power"/>
    <x v="6"/>
    <n v="1964144"/>
  </r>
  <r>
    <x v="8"/>
    <x v="44"/>
    <s v="Combined Heat and Power, Commercial Power"/>
    <x v="0"/>
    <n v="8748086"/>
  </r>
  <r>
    <x v="8"/>
    <x v="44"/>
    <s v="Combined Heat and Power, Commercial Power"/>
    <x v="1"/>
    <n v="985467"/>
  </r>
  <r>
    <x v="8"/>
    <x v="44"/>
    <s v="Combined Heat and Power, Commercial Power"/>
    <x v="2"/>
    <n v="120468"/>
  </r>
  <r>
    <x v="8"/>
    <x v="44"/>
    <s v="Combined Heat and Power, Commercial Power"/>
    <x v="3"/>
    <n v="4879214"/>
  </r>
  <r>
    <x v="8"/>
    <x v="44"/>
    <s v="Combined Heat and Power, Commercial Power"/>
    <x v="8"/>
    <n v="2335049"/>
  </r>
  <r>
    <x v="8"/>
    <x v="44"/>
    <s v="Combined Heat and Power, Commercial Power"/>
    <x v="9"/>
    <n v="7423"/>
  </r>
  <r>
    <x v="8"/>
    <x v="44"/>
    <s v="Combined Heat and Power, Commercial Power"/>
    <x v="4"/>
    <n v="382749"/>
  </r>
  <r>
    <x v="8"/>
    <x v="44"/>
    <s v="Combined Heat and Power, Commercial Power"/>
    <x v="6"/>
    <n v="37716"/>
  </r>
  <r>
    <x v="8"/>
    <x v="45"/>
    <s v="Total Electric Power Industry"/>
    <x v="0"/>
    <n v="35910430"/>
  </r>
  <r>
    <x v="8"/>
    <x v="45"/>
    <s v="Total Electric Power Industry"/>
    <x v="1"/>
    <n v="33587674"/>
  </r>
  <r>
    <x v="8"/>
    <x v="45"/>
    <s v="Total Electric Power Industry"/>
    <x v="11"/>
    <n v="160057"/>
  </r>
  <r>
    <x v="8"/>
    <x v="45"/>
    <s v="Total Electric Power Industry"/>
    <x v="2"/>
    <n v="1314711"/>
  </r>
  <r>
    <x v="8"/>
    <x v="45"/>
    <s v="Total Electric Power Industry"/>
    <x v="3"/>
    <n v="528257"/>
  </r>
  <r>
    <x v="8"/>
    <x v="45"/>
    <s v="Total Electric Power Industry"/>
    <x v="9"/>
    <n v="284783"/>
  </r>
  <r>
    <x v="8"/>
    <x v="45"/>
    <s v="Total Electric Power Industry"/>
    <x v="4"/>
    <n v="34948"/>
  </r>
  <r>
    <x v="8"/>
    <x v="45"/>
    <s v="Total Electric Power Industry"/>
    <x v="10"/>
    <n v="0"/>
  </r>
  <r>
    <x v="8"/>
    <x v="45"/>
    <s v="Electric Generators, Independent Power Producers"/>
    <x v="0"/>
    <n v="395251"/>
  </r>
  <r>
    <x v="8"/>
    <x v="45"/>
    <s v="Electric Generators, Independent Power Producers"/>
    <x v="1"/>
    <n v="376057"/>
  </r>
  <r>
    <x v="8"/>
    <x v="45"/>
    <s v="Electric Generators, Independent Power Producers"/>
    <x v="2"/>
    <n v="15659"/>
  </r>
  <r>
    <x v="8"/>
    <x v="45"/>
    <s v="Electric Generators, Independent Power Producers"/>
    <x v="4"/>
    <n v="3535"/>
  </r>
  <r>
    <x v="8"/>
    <x v="45"/>
    <s v="Electric Generators, Electric Utilities"/>
    <x v="0"/>
    <n v="35160477"/>
  </r>
  <r>
    <x v="8"/>
    <x v="45"/>
    <s v="Electric Generators, Electric Utilities"/>
    <x v="1"/>
    <n v="33206731"/>
  </r>
  <r>
    <x v="8"/>
    <x v="45"/>
    <s v="Electric Generators, Electric Utilities"/>
    <x v="11"/>
    <n v="160057"/>
  </r>
  <r>
    <x v="8"/>
    <x v="45"/>
    <s v="Electric Generators, Electric Utilities"/>
    <x v="2"/>
    <n v="1299052"/>
  </r>
  <r>
    <x v="8"/>
    <x v="45"/>
    <s v="Electric Generators, Electric Utilities"/>
    <x v="3"/>
    <n v="463348"/>
  </r>
  <r>
    <x v="8"/>
    <x v="45"/>
    <s v="Electric Generators, Electric Utilities"/>
    <x v="4"/>
    <n v="31289"/>
  </r>
  <r>
    <x v="8"/>
    <x v="45"/>
    <s v="Electric Generators, Electric Utilities"/>
    <x v="10"/>
    <n v="0"/>
  </r>
  <r>
    <x v="8"/>
    <x v="45"/>
    <s v="Combined Heat and Power, Industrial Power"/>
    <x v="0"/>
    <n v="328988"/>
  </r>
  <r>
    <x v="8"/>
    <x v="45"/>
    <s v="Combined Heat and Power, Industrial Power"/>
    <x v="1"/>
    <n v="4886"/>
  </r>
  <r>
    <x v="8"/>
    <x v="45"/>
    <s v="Combined Heat and Power, Industrial Power"/>
    <x v="3"/>
    <n v="46540"/>
  </r>
  <r>
    <x v="8"/>
    <x v="45"/>
    <s v="Combined Heat and Power, Industrial Power"/>
    <x v="9"/>
    <n v="277562"/>
  </r>
  <r>
    <x v="8"/>
    <x v="45"/>
    <s v="Combined Heat and Power, Industrial Power"/>
    <x v="4"/>
    <n v="0"/>
  </r>
  <r>
    <x v="8"/>
    <x v="45"/>
    <s v="Combined Heat and Power, Commercial Power"/>
    <x v="0"/>
    <n v="25714"/>
  </r>
  <r>
    <x v="8"/>
    <x v="45"/>
    <s v="Combined Heat and Power, Commercial Power"/>
    <x v="3"/>
    <n v="18369"/>
  </r>
  <r>
    <x v="8"/>
    <x v="45"/>
    <s v="Combined Heat and Power, Commercial Power"/>
    <x v="9"/>
    <n v="7221"/>
  </r>
  <r>
    <x v="8"/>
    <x v="45"/>
    <s v="Combined Heat and Power, Commercial Power"/>
    <x v="4"/>
    <n v="124"/>
  </r>
  <r>
    <x v="8"/>
    <x v="46"/>
    <s v="Total Electric Power Industry"/>
    <x v="0"/>
    <n v="72199439"/>
  </r>
  <r>
    <x v="8"/>
    <x v="46"/>
    <s v="Total Electric Power Industry"/>
    <x v="1"/>
    <n v="34875765"/>
  </r>
  <r>
    <x v="8"/>
    <x v="46"/>
    <s v="Total Electric Power Industry"/>
    <x v="2"/>
    <n v="1283295"/>
  </r>
  <r>
    <x v="8"/>
    <x v="46"/>
    <s v="Total Electric Power Industry"/>
    <x v="3"/>
    <n v="4236745"/>
  </r>
  <r>
    <x v="8"/>
    <x v="46"/>
    <s v="Total Electric Power Industry"/>
    <x v="7"/>
    <n v="27234399"/>
  </r>
  <r>
    <x v="8"/>
    <x v="46"/>
    <s v="Total Electric Power Industry"/>
    <x v="8"/>
    <n v="1061374"/>
  </r>
  <r>
    <x v="8"/>
    <x v="46"/>
    <s v="Total Electric Power Industry"/>
    <x v="9"/>
    <n v="58"/>
  </r>
  <r>
    <x v="8"/>
    <x v="46"/>
    <s v="Total Electric Power Industry"/>
    <x v="4"/>
    <n v="2926054"/>
  </r>
  <r>
    <x v="8"/>
    <x v="46"/>
    <s v="Total Electric Power Industry"/>
    <x v="10"/>
    <n v="-955440"/>
  </r>
  <r>
    <x v="8"/>
    <x v="46"/>
    <s v="Total Electric Power Industry"/>
    <x v="13"/>
    <n v="0"/>
  </r>
  <r>
    <x v="8"/>
    <x v="46"/>
    <s v="Total Electric Power Industry"/>
    <x v="6"/>
    <n v="1537189"/>
  </r>
  <r>
    <x v="8"/>
    <x v="46"/>
    <s v="Electric Generators, Independent Power Producers"/>
    <x v="0"/>
    <n v="2285176"/>
  </r>
  <r>
    <x v="8"/>
    <x v="46"/>
    <s v="Electric Generators, Independent Power Producers"/>
    <x v="2"/>
    <n v="61049"/>
  </r>
  <r>
    <x v="8"/>
    <x v="46"/>
    <s v="Electric Generators, Independent Power Producers"/>
    <x v="3"/>
    <n v="1435374"/>
  </r>
  <r>
    <x v="8"/>
    <x v="46"/>
    <s v="Electric Generators, Independent Power Producers"/>
    <x v="8"/>
    <n v="681504"/>
  </r>
  <r>
    <x v="8"/>
    <x v="46"/>
    <s v="Electric Generators, Independent Power Producers"/>
    <x v="4"/>
    <n v="9683"/>
  </r>
  <r>
    <x v="8"/>
    <x v="46"/>
    <s v="Electric Generators, Independent Power Producers"/>
    <x v="6"/>
    <n v="97566"/>
  </r>
  <r>
    <x v="8"/>
    <x v="46"/>
    <s v="Electric Generators, Electric Utilities"/>
    <x v="0"/>
    <n v="63814565"/>
  </r>
  <r>
    <x v="8"/>
    <x v="46"/>
    <s v="Electric Generators, Electric Utilities"/>
    <x v="1"/>
    <n v="31471297"/>
  </r>
  <r>
    <x v="8"/>
    <x v="46"/>
    <s v="Electric Generators, Electric Utilities"/>
    <x v="2"/>
    <n v="1210984"/>
  </r>
  <r>
    <x v="8"/>
    <x v="46"/>
    <s v="Electric Generators, Electric Utilities"/>
    <x v="3"/>
    <n v="2198665"/>
  </r>
  <r>
    <x v="8"/>
    <x v="46"/>
    <s v="Electric Generators, Electric Utilities"/>
    <x v="7"/>
    <n v="27234399"/>
  </r>
  <r>
    <x v="8"/>
    <x v="46"/>
    <s v="Electric Generators, Electric Utilities"/>
    <x v="4"/>
    <n v="2654660"/>
  </r>
  <r>
    <x v="8"/>
    <x v="46"/>
    <s v="Electric Generators, Electric Utilities"/>
    <x v="10"/>
    <n v="-955440"/>
  </r>
  <r>
    <x v="8"/>
    <x v="46"/>
    <s v="Electric Generators, Electric Utilities"/>
    <x v="13"/>
    <n v="0"/>
  </r>
  <r>
    <x v="8"/>
    <x v="46"/>
    <s v="Combined Heat and Power, Industrial Power"/>
    <x v="0"/>
    <n v="2662166"/>
  </r>
  <r>
    <x v="8"/>
    <x v="46"/>
    <s v="Combined Heat and Power, Industrial Power"/>
    <x v="1"/>
    <n v="950704"/>
  </r>
  <r>
    <x v="8"/>
    <x v="46"/>
    <s v="Combined Heat and Power, Industrial Power"/>
    <x v="2"/>
    <n v="11262"/>
  </r>
  <r>
    <x v="8"/>
    <x v="46"/>
    <s v="Combined Heat and Power, Industrial Power"/>
    <x v="3"/>
    <n v="59605"/>
  </r>
  <r>
    <x v="8"/>
    <x v="46"/>
    <s v="Combined Heat and Power, Industrial Power"/>
    <x v="8"/>
    <n v="3947"/>
  </r>
  <r>
    <x v="8"/>
    <x v="46"/>
    <s v="Combined Heat and Power, Industrial Power"/>
    <x v="9"/>
    <n v="58"/>
  </r>
  <r>
    <x v="8"/>
    <x v="46"/>
    <s v="Combined Heat and Power, Industrial Power"/>
    <x v="4"/>
    <n v="202217"/>
  </r>
  <r>
    <x v="8"/>
    <x v="46"/>
    <s v="Combined Heat and Power, Industrial Power"/>
    <x v="6"/>
    <n v="1434373"/>
  </r>
  <r>
    <x v="8"/>
    <x v="46"/>
    <s v="Combined Heat and Power, Electric Power"/>
    <x v="0"/>
    <n v="2827118"/>
  </r>
  <r>
    <x v="8"/>
    <x v="46"/>
    <s v="Combined Heat and Power, Electric Power"/>
    <x v="1"/>
    <n v="2434753"/>
  </r>
  <r>
    <x v="8"/>
    <x v="46"/>
    <s v="Combined Heat and Power, Electric Power"/>
    <x v="3"/>
    <n v="350855"/>
  </r>
  <r>
    <x v="8"/>
    <x v="46"/>
    <s v="Combined Heat and Power, Electric Power"/>
    <x v="8"/>
    <n v="2527"/>
  </r>
  <r>
    <x v="8"/>
    <x v="46"/>
    <s v="Combined Heat and Power, Electric Power"/>
    <x v="4"/>
    <n v="33733"/>
  </r>
  <r>
    <x v="8"/>
    <x v="46"/>
    <s v="Combined Heat and Power, Electric Power"/>
    <x v="6"/>
    <n v="5250"/>
  </r>
  <r>
    <x v="8"/>
    <x v="46"/>
    <s v="Combined Heat and Power, Commercial Power"/>
    <x v="0"/>
    <n v="610414"/>
  </r>
  <r>
    <x v="8"/>
    <x v="46"/>
    <s v="Combined Heat and Power, Commercial Power"/>
    <x v="1"/>
    <n v="19011"/>
  </r>
  <r>
    <x v="8"/>
    <x v="46"/>
    <s v="Combined Heat and Power, Commercial Power"/>
    <x v="3"/>
    <n v="192246"/>
  </r>
  <r>
    <x v="8"/>
    <x v="46"/>
    <s v="Combined Heat and Power, Commercial Power"/>
    <x v="8"/>
    <n v="373396"/>
  </r>
  <r>
    <x v="8"/>
    <x v="46"/>
    <s v="Combined Heat and Power, Commercial Power"/>
    <x v="4"/>
    <n v="25761"/>
  </r>
  <r>
    <x v="8"/>
    <x v="47"/>
    <s v="Total Electric Power Industry"/>
    <x v="0"/>
    <n v="4946297"/>
  </r>
  <r>
    <x v="8"/>
    <x v="47"/>
    <s v="Total Electric Power Industry"/>
    <x v="2"/>
    <n v="1194049"/>
  </r>
  <r>
    <x v="8"/>
    <x v="47"/>
    <s v="Total Electric Power Industry"/>
    <x v="3"/>
    <n v="827"/>
  </r>
  <r>
    <x v="8"/>
    <x v="47"/>
    <s v="Total Electric Power Industry"/>
    <x v="7"/>
    <n v="3357696"/>
  </r>
  <r>
    <x v="8"/>
    <x v="47"/>
    <s v="Total Electric Power Industry"/>
    <x v="4"/>
    <n v="42295"/>
  </r>
  <r>
    <x v="8"/>
    <x v="47"/>
    <s v="Total Electric Power Industry"/>
    <x v="5"/>
    <n v="0"/>
  </r>
  <r>
    <x v="8"/>
    <x v="47"/>
    <s v="Total Electric Power Industry"/>
    <x v="6"/>
    <n v="351430"/>
  </r>
  <r>
    <x v="8"/>
    <x v="47"/>
    <s v="Electric Generators, Independent Power Producers"/>
    <x v="0"/>
    <n v="508226"/>
  </r>
  <r>
    <x v="8"/>
    <x v="47"/>
    <s v="Electric Generators, Independent Power Producers"/>
    <x v="2"/>
    <n v="321947"/>
  </r>
  <r>
    <x v="8"/>
    <x v="47"/>
    <s v="Electric Generators, Independent Power Producers"/>
    <x v="4"/>
    <n v="1030"/>
  </r>
  <r>
    <x v="8"/>
    <x v="47"/>
    <s v="Electric Generators, Independent Power Producers"/>
    <x v="6"/>
    <n v="185249"/>
  </r>
  <r>
    <x v="8"/>
    <x v="47"/>
    <s v="Electric Generators, Electric Utilities"/>
    <x v="0"/>
    <n v="4393537"/>
  </r>
  <r>
    <x v="8"/>
    <x v="47"/>
    <s v="Electric Generators, Electric Utilities"/>
    <x v="2"/>
    <n v="848291"/>
  </r>
  <r>
    <x v="8"/>
    <x v="47"/>
    <s v="Electric Generators, Electric Utilities"/>
    <x v="3"/>
    <n v="827"/>
  </r>
  <r>
    <x v="8"/>
    <x v="47"/>
    <s v="Electric Generators, Electric Utilities"/>
    <x v="7"/>
    <n v="3357696"/>
  </r>
  <r>
    <x v="8"/>
    <x v="47"/>
    <s v="Electric Generators, Electric Utilities"/>
    <x v="4"/>
    <n v="41265"/>
  </r>
  <r>
    <x v="8"/>
    <x v="47"/>
    <s v="Electric Generators, Electric Utilities"/>
    <x v="5"/>
    <n v="0"/>
  </r>
  <r>
    <x v="8"/>
    <x v="47"/>
    <s v="Electric Generators, Electric Utilities"/>
    <x v="6"/>
    <n v="145458"/>
  </r>
  <r>
    <x v="8"/>
    <x v="47"/>
    <s v="Combined Heat and Power, Industrial Power"/>
    <x v="0"/>
    <n v="44534"/>
  </r>
  <r>
    <x v="8"/>
    <x v="47"/>
    <s v="Combined Heat and Power, Industrial Power"/>
    <x v="2"/>
    <n v="23811"/>
  </r>
  <r>
    <x v="8"/>
    <x v="47"/>
    <s v="Combined Heat and Power, Industrial Power"/>
    <x v="6"/>
    <n v="20723"/>
  </r>
  <r>
    <x v="8"/>
    <x v="48"/>
    <s v="Total Electric Power Industry"/>
    <x v="0"/>
    <n v="102158508"/>
  </r>
  <r>
    <x v="8"/>
    <x v="48"/>
    <s v="Total Electric Power Industry"/>
    <x v="1"/>
    <n v="9312205"/>
  </r>
  <r>
    <x v="8"/>
    <x v="48"/>
    <s v="Total Electric Power Industry"/>
    <x v="2"/>
    <n v="79814652"/>
  </r>
  <r>
    <x v="8"/>
    <x v="48"/>
    <s v="Total Electric Power Industry"/>
    <x v="3"/>
    <n v="4346349"/>
  </r>
  <r>
    <x v="8"/>
    <x v="48"/>
    <s v="Total Electric Power Industry"/>
    <x v="7"/>
    <n v="6916065"/>
  </r>
  <r>
    <x v="8"/>
    <x v="48"/>
    <s v="Total Electric Power Industry"/>
    <x v="12"/>
    <n v="1541"/>
  </r>
  <r>
    <x v="8"/>
    <x v="48"/>
    <s v="Total Electric Power Industry"/>
    <x v="8"/>
    <n v="211461"/>
  </r>
  <r>
    <x v="8"/>
    <x v="48"/>
    <s v="Total Electric Power Industry"/>
    <x v="9"/>
    <n v="348881"/>
  </r>
  <r>
    <x v="8"/>
    <x v="48"/>
    <s v="Total Electric Power Industry"/>
    <x v="4"/>
    <n v="87043"/>
  </r>
  <r>
    <x v="8"/>
    <x v="48"/>
    <s v="Total Electric Power Industry"/>
    <x v="10"/>
    <n v="0"/>
  </r>
  <r>
    <x v="8"/>
    <x v="48"/>
    <s v="Total Electric Power Industry"/>
    <x v="6"/>
    <n v="1120311"/>
  </r>
  <r>
    <x v="8"/>
    <x v="48"/>
    <s v="Electric Generators, Independent Power Producers"/>
    <x v="0"/>
    <n v="350207"/>
  </r>
  <r>
    <x v="8"/>
    <x v="48"/>
    <s v="Electric Generators, Independent Power Producers"/>
    <x v="2"/>
    <n v="166934"/>
  </r>
  <r>
    <x v="8"/>
    <x v="48"/>
    <s v="Electric Generators, Independent Power Producers"/>
    <x v="8"/>
    <n v="183273"/>
  </r>
  <r>
    <x v="8"/>
    <x v="48"/>
    <s v="Electric Generators, Electric Utilities"/>
    <x v="0"/>
    <n v="97127552"/>
  </r>
  <r>
    <x v="8"/>
    <x v="48"/>
    <s v="Electric Generators, Electric Utilities"/>
    <x v="1"/>
    <n v="9290499"/>
  </r>
  <r>
    <x v="8"/>
    <x v="48"/>
    <s v="Electric Generators, Electric Utilities"/>
    <x v="2"/>
    <n v="79409678"/>
  </r>
  <r>
    <x v="8"/>
    <x v="48"/>
    <s v="Electric Generators, Electric Utilities"/>
    <x v="3"/>
    <n v="1135268"/>
  </r>
  <r>
    <x v="8"/>
    <x v="48"/>
    <s v="Electric Generators, Electric Utilities"/>
    <x v="7"/>
    <n v="6916065"/>
  </r>
  <r>
    <x v="8"/>
    <x v="48"/>
    <s v="Electric Generators, Electric Utilities"/>
    <x v="4"/>
    <n v="38598"/>
  </r>
  <r>
    <x v="8"/>
    <x v="48"/>
    <s v="Electric Generators, Electric Utilities"/>
    <x v="10"/>
    <n v="0"/>
  </r>
  <r>
    <x v="8"/>
    <x v="48"/>
    <s v="Electric Generators, Electric Utilities"/>
    <x v="6"/>
    <n v="337444"/>
  </r>
  <r>
    <x v="8"/>
    <x v="48"/>
    <s v="Combined Heat and Power, Industrial Power"/>
    <x v="0"/>
    <n v="1319233"/>
  </r>
  <r>
    <x v="8"/>
    <x v="48"/>
    <s v="Combined Heat and Power, Industrial Power"/>
    <x v="1"/>
    <n v="15987"/>
  </r>
  <r>
    <x v="8"/>
    <x v="48"/>
    <s v="Combined Heat and Power, Industrial Power"/>
    <x v="2"/>
    <n v="162856"/>
  </r>
  <r>
    <x v="8"/>
    <x v="48"/>
    <s v="Combined Heat and Power, Industrial Power"/>
    <x v="3"/>
    <n v="292907"/>
  </r>
  <r>
    <x v="8"/>
    <x v="48"/>
    <s v="Combined Heat and Power, Industrial Power"/>
    <x v="12"/>
    <n v="1434"/>
  </r>
  <r>
    <x v="8"/>
    <x v="48"/>
    <s v="Combined Heat and Power, Industrial Power"/>
    <x v="8"/>
    <n v="21397"/>
  </r>
  <r>
    <x v="8"/>
    <x v="48"/>
    <s v="Combined Heat and Power, Industrial Power"/>
    <x v="4"/>
    <n v="41785"/>
  </r>
  <r>
    <x v="8"/>
    <x v="48"/>
    <s v="Combined Heat and Power, Industrial Power"/>
    <x v="6"/>
    <n v="782867"/>
  </r>
  <r>
    <x v="8"/>
    <x v="48"/>
    <s v="Combined Heat and Power, Electric Power"/>
    <x v="0"/>
    <n v="3245935"/>
  </r>
  <r>
    <x v="8"/>
    <x v="48"/>
    <s v="Combined Heat and Power, Electric Power"/>
    <x v="3"/>
    <n v="2890150"/>
  </r>
  <r>
    <x v="8"/>
    <x v="48"/>
    <s v="Combined Heat and Power, Electric Power"/>
    <x v="12"/>
    <n v="107"/>
  </r>
  <r>
    <x v="8"/>
    <x v="48"/>
    <s v="Combined Heat and Power, Electric Power"/>
    <x v="8"/>
    <n v="6791"/>
  </r>
  <r>
    <x v="8"/>
    <x v="48"/>
    <s v="Combined Heat and Power, Electric Power"/>
    <x v="9"/>
    <n v="348881"/>
  </r>
  <r>
    <x v="8"/>
    <x v="48"/>
    <s v="Combined Heat and Power, Electric Power"/>
    <x v="4"/>
    <n v="6"/>
  </r>
  <r>
    <x v="8"/>
    <x v="48"/>
    <s v="Combined Heat and Power, Commercial Power"/>
    <x v="0"/>
    <n v="115581"/>
  </r>
  <r>
    <x v="8"/>
    <x v="48"/>
    <s v="Combined Heat and Power, Commercial Power"/>
    <x v="1"/>
    <n v="5719"/>
  </r>
  <r>
    <x v="8"/>
    <x v="48"/>
    <s v="Combined Heat and Power, Commercial Power"/>
    <x v="2"/>
    <n v="75184"/>
  </r>
  <r>
    <x v="8"/>
    <x v="48"/>
    <s v="Combined Heat and Power, Commercial Power"/>
    <x v="3"/>
    <n v="28024"/>
  </r>
  <r>
    <x v="8"/>
    <x v="48"/>
    <s v="Combined Heat and Power, Commercial Power"/>
    <x v="4"/>
    <n v="6654"/>
  </r>
  <r>
    <x v="8"/>
    <x v="49"/>
    <s v="Total Electric Power Industry"/>
    <x v="0"/>
    <n v="56447431"/>
  </r>
  <r>
    <x v="8"/>
    <x v="49"/>
    <s v="Total Electric Power Industry"/>
    <x v="1"/>
    <n v="41023993"/>
  </r>
  <r>
    <x v="8"/>
    <x v="49"/>
    <s v="Total Electric Power Industry"/>
    <x v="2"/>
    <n v="1747424"/>
  </r>
  <r>
    <x v="8"/>
    <x v="49"/>
    <s v="Total Electric Power Industry"/>
    <x v="3"/>
    <n v="2484275"/>
  </r>
  <r>
    <x v="8"/>
    <x v="49"/>
    <s v="Total Electric Power Industry"/>
    <x v="7"/>
    <n v="9397174"/>
  </r>
  <r>
    <x v="8"/>
    <x v="49"/>
    <s v="Total Electric Power Industry"/>
    <x v="8"/>
    <n v="369618"/>
  </r>
  <r>
    <x v="8"/>
    <x v="49"/>
    <s v="Total Electric Power Industry"/>
    <x v="4"/>
    <n v="491495"/>
  </r>
  <r>
    <x v="8"/>
    <x v="49"/>
    <s v="Total Electric Power Industry"/>
    <x v="6"/>
    <n v="933452"/>
  </r>
  <r>
    <x v="8"/>
    <x v="49"/>
    <s v="Electric Generators, Independent Power Producers"/>
    <x v="0"/>
    <n v="244287"/>
  </r>
  <r>
    <x v="8"/>
    <x v="49"/>
    <s v="Electric Generators, Independent Power Producers"/>
    <x v="1"/>
    <n v="36343"/>
  </r>
  <r>
    <x v="8"/>
    <x v="49"/>
    <s v="Electric Generators, Independent Power Producers"/>
    <x v="2"/>
    <n v="0"/>
  </r>
  <r>
    <x v="8"/>
    <x v="49"/>
    <s v="Electric Generators, Independent Power Producers"/>
    <x v="3"/>
    <n v="62197"/>
  </r>
  <r>
    <x v="8"/>
    <x v="49"/>
    <s v="Electric Generators, Independent Power Producers"/>
    <x v="8"/>
    <n v="144773"/>
  </r>
  <r>
    <x v="8"/>
    <x v="49"/>
    <s v="Electric Generators, Independent Power Producers"/>
    <x v="4"/>
    <n v="974"/>
  </r>
  <r>
    <x v="8"/>
    <x v="49"/>
    <s v="Electric Generators, Electric Utilities"/>
    <x v="0"/>
    <n v="52529065"/>
  </r>
  <r>
    <x v="8"/>
    <x v="49"/>
    <s v="Electric Generators, Electric Utilities"/>
    <x v="1"/>
    <n v="39785759"/>
  </r>
  <r>
    <x v="8"/>
    <x v="49"/>
    <s v="Electric Generators, Electric Utilities"/>
    <x v="2"/>
    <n v="1517765"/>
  </r>
  <r>
    <x v="8"/>
    <x v="49"/>
    <s v="Electric Generators, Electric Utilities"/>
    <x v="3"/>
    <n v="1187522"/>
  </r>
  <r>
    <x v="8"/>
    <x v="49"/>
    <s v="Electric Generators, Electric Utilities"/>
    <x v="7"/>
    <n v="9397174"/>
  </r>
  <r>
    <x v="8"/>
    <x v="49"/>
    <s v="Electric Generators, Electric Utilities"/>
    <x v="8"/>
    <n v="208818"/>
  </r>
  <r>
    <x v="8"/>
    <x v="49"/>
    <s v="Electric Generators, Electric Utilities"/>
    <x v="4"/>
    <n v="200225"/>
  </r>
  <r>
    <x v="8"/>
    <x v="49"/>
    <s v="Electric Generators, Electric Utilities"/>
    <x v="6"/>
    <n v="231802"/>
  </r>
  <r>
    <x v="8"/>
    <x v="49"/>
    <s v="Combined Heat and Power, Industrial Power"/>
    <x v="0"/>
    <n v="2623074"/>
  </r>
  <r>
    <x v="8"/>
    <x v="49"/>
    <s v="Combined Heat and Power, Industrial Power"/>
    <x v="1"/>
    <n v="1175148"/>
  </r>
  <r>
    <x v="8"/>
    <x v="49"/>
    <s v="Combined Heat and Power, Industrial Power"/>
    <x v="2"/>
    <n v="220303"/>
  </r>
  <r>
    <x v="8"/>
    <x v="49"/>
    <s v="Combined Heat and Power, Industrial Power"/>
    <x v="3"/>
    <n v="243845"/>
  </r>
  <r>
    <x v="8"/>
    <x v="49"/>
    <s v="Combined Heat and Power, Industrial Power"/>
    <x v="8"/>
    <n v="6440"/>
  </r>
  <r>
    <x v="8"/>
    <x v="49"/>
    <s v="Combined Heat and Power, Industrial Power"/>
    <x v="4"/>
    <n v="278257"/>
  </r>
  <r>
    <x v="8"/>
    <x v="49"/>
    <s v="Combined Heat and Power, Industrial Power"/>
    <x v="6"/>
    <n v="699081"/>
  </r>
  <r>
    <x v="8"/>
    <x v="49"/>
    <s v="Combined Heat and Power, Electric Power"/>
    <x v="0"/>
    <n v="913015"/>
  </r>
  <r>
    <x v="8"/>
    <x v="49"/>
    <s v="Combined Heat and Power, Electric Power"/>
    <x v="3"/>
    <n v="901218"/>
  </r>
  <r>
    <x v="8"/>
    <x v="49"/>
    <s v="Combined Heat and Power, Electric Power"/>
    <x v="4"/>
    <n v="11797"/>
  </r>
  <r>
    <x v="8"/>
    <x v="49"/>
    <s v="Combined Heat and Power, Commercial Power"/>
    <x v="0"/>
    <n v="137990"/>
  </r>
  <r>
    <x v="8"/>
    <x v="49"/>
    <s v="Combined Heat and Power, Commercial Power"/>
    <x v="1"/>
    <n v="26743"/>
  </r>
  <r>
    <x v="8"/>
    <x v="49"/>
    <s v="Combined Heat and Power, Commercial Power"/>
    <x v="2"/>
    <n v="9356"/>
  </r>
  <r>
    <x v="8"/>
    <x v="49"/>
    <s v="Combined Heat and Power, Commercial Power"/>
    <x v="3"/>
    <n v="89493"/>
  </r>
  <r>
    <x v="8"/>
    <x v="49"/>
    <s v="Combined Heat and Power, Commercial Power"/>
    <x v="8"/>
    <n v="9587"/>
  </r>
  <r>
    <x v="8"/>
    <x v="49"/>
    <s v="Combined Heat and Power, Commercial Power"/>
    <x v="4"/>
    <n v="242"/>
  </r>
  <r>
    <x v="8"/>
    <x v="49"/>
    <s v="Combined Heat and Power, Commercial Power"/>
    <x v="6"/>
    <n v="2569"/>
  </r>
  <r>
    <x v="8"/>
    <x v="50"/>
    <s v="Total Electric Power Industry"/>
    <x v="0"/>
    <n v="92822186"/>
  </r>
  <r>
    <x v="8"/>
    <x v="50"/>
    <s v="Total Electric Power Industry"/>
    <x v="1"/>
    <n v="91213355"/>
  </r>
  <r>
    <x v="8"/>
    <x v="50"/>
    <s v="Total Electric Power Industry"/>
    <x v="2"/>
    <n v="1086344"/>
  </r>
  <r>
    <x v="8"/>
    <x v="50"/>
    <s v="Total Electric Power Industry"/>
    <x v="3"/>
    <n v="184473"/>
  </r>
  <r>
    <x v="8"/>
    <x v="50"/>
    <s v="Total Electric Power Industry"/>
    <x v="12"/>
    <n v="215"/>
  </r>
  <r>
    <x v="8"/>
    <x v="50"/>
    <s v="Total Electric Power Industry"/>
    <x v="9"/>
    <n v="136854"/>
  </r>
  <r>
    <x v="8"/>
    <x v="50"/>
    <s v="Total Electric Power Industry"/>
    <x v="4"/>
    <n v="200945"/>
  </r>
  <r>
    <x v="8"/>
    <x v="50"/>
    <s v="Electric Generators, Independent Power Producers"/>
    <x v="0"/>
    <n v="945653"/>
  </r>
  <r>
    <x v="8"/>
    <x v="50"/>
    <s v="Electric Generators, Independent Power Producers"/>
    <x v="1"/>
    <n v="739768"/>
  </r>
  <r>
    <x v="8"/>
    <x v="50"/>
    <s v="Electric Generators, Independent Power Producers"/>
    <x v="2"/>
    <n v="203901"/>
  </r>
  <r>
    <x v="8"/>
    <x v="50"/>
    <s v="Electric Generators, Independent Power Producers"/>
    <x v="3"/>
    <n v="1984"/>
  </r>
  <r>
    <x v="8"/>
    <x v="50"/>
    <s v="Electric Generators, Electric Utilities"/>
    <x v="0"/>
    <n v="89605447"/>
  </r>
  <r>
    <x v="8"/>
    <x v="50"/>
    <s v="Electric Generators, Electric Utilities"/>
    <x v="1"/>
    <n v="89007644"/>
  </r>
  <r>
    <x v="8"/>
    <x v="50"/>
    <s v="Electric Generators, Electric Utilities"/>
    <x v="2"/>
    <n v="361331"/>
  </r>
  <r>
    <x v="8"/>
    <x v="50"/>
    <s v="Electric Generators, Electric Utilities"/>
    <x v="3"/>
    <n v="42195"/>
  </r>
  <r>
    <x v="8"/>
    <x v="50"/>
    <s v="Electric Generators, Electric Utilities"/>
    <x v="4"/>
    <n v="194277"/>
  </r>
  <r>
    <x v="8"/>
    <x v="50"/>
    <s v="Combined Heat and Power, Industrial Power"/>
    <x v="0"/>
    <n v="1828472"/>
  </r>
  <r>
    <x v="8"/>
    <x v="50"/>
    <s v="Combined Heat and Power, Industrial Power"/>
    <x v="1"/>
    <n v="1029062"/>
  </r>
  <r>
    <x v="8"/>
    <x v="50"/>
    <s v="Combined Heat and Power, Industrial Power"/>
    <x v="2"/>
    <n v="521112"/>
  </r>
  <r>
    <x v="8"/>
    <x v="50"/>
    <s v="Combined Heat and Power, Industrial Power"/>
    <x v="3"/>
    <n v="134561"/>
  </r>
  <r>
    <x v="8"/>
    <x v="50"/>
    <s v="Combined Heat and Power, Industrial Power"/>
    <x v="12"/>
    <n v="215"/>
  </r>
  <r>
    <x v="8"/>
    <x v="50"/>
    <s v="Combined Heat and Power, Industrial Power"/>
    <x v="9"/>
    <n v="136854"/>
  </r>
  <r>
    <x v="8"/>
    <x v="50"/>
    <s v="Combined Heat and Power, Industrial Power"/>
    <x v="4"/>
    <n v="6668"/>
  </r>
  <r>
    <x v="8"/>
    <x v="50"/>
    <s v="Combined Heat and Power, Electric Power"/>
    <x v="0"/>
    <n v="442614"/>
  </r>
  <r>
    <x v="8"/>
    <x v="50"/>
    <s v="Combined Heat and Power, Electric Power"/>
    <x v="1"/>
    <n v="436881"/>
  </r>
  <r>
    <x v="8"/>
    <x v="50"/>
    <s v="Combined Heat and Power, Electric Power"/>
    <x v="3"/>
    <n v="5733"/>
  </r>
  <r>
    <x v="8"/>
    <x v="51"/>
    <s v="Total Electric Power Industry"/>
    <x v="0"/>
    <n v="45347296"/>
  </r>
  <r>
    <x v="8"/>
    <x v="51"/>
    <s v="Total Electric Power Industry"/>
    <x v="1"/>
    <n v="43504063"/>
  </r>
  <r>
    <x v="8"/>
    <x v="51"/>
    <s v="Total Electric Power Industry"/>
    <x v="2"/>
    <n v="1342322"/>
  </r>
  <r>
    <x v="8"/>
    <x v="51"/>
    <s v="Total Electric Power Industry"/>
    <x v="3"/>
    <n v="368414"/>
  </r>
  <r>
    <x v="8"/>
    <x v="51"/>
    <s v="Total Electric Power Industry"/>
    <x v="12"/>
    <n v="77316"/>
  </r>
  <r>
    <x v="8"/>
    <x v="51"/>
    <s v="Total Electric Power Industry"/>
    <x v="9"/>
    <n v="7505"/>
  </r>
  <r>
    <x v="8"/>
    <x v="51"/>
    <s v="Total Electric Power Industry"/>
    <x v="4"/>
    <n v="45631"/>
  </r>
  <r>
    <x v="8"/>
    <x v="51"/>
    <s v="Total Electric Power Industry"/>
    <x v="5"/>
    <n v="2045"/>
  </r>
  <r>
    <x v="8"/>
    <x v="51"/>
    <s v="Electric Generators, Independent Power Producers"/>
    <x v="0"/>
    <n v="2045"/>
  </r>
  <r>
    <x v="8"/>
    <x v="51"/>
    <s v="Electric Generators, Independent Power Producers"/>
    <x v="5"/>
    <n v="2045"/>
  </r>
  <r>
    <x v="8"/>
    <x v="51"/>
    <s v="Electric Generators, Electric Utilities"/>
    <x v="0"/>
    <n v="44699071"/>
  </r>
  <r>
    <x v="8"/>
    <x v="51"/>
    <s v="Electric Generators, Electric Utilities"/>
    <x v="1"/>
    <n v="43287140"/>
  </r>
  <r>
    <x v="8"/>
    <x v="51"/>
    <s v="Electric Generators, Electric Utilities"/>
    <x v="2"/>
    <n v="1342322"/>
  </r>
  <r>
    <x v="8"/>
    <x v="51"/>
    <s v="Electric Generators, Electric Utilities"/>
    <x v="3"/>
    <n v="26738"/>
  </r>
  <r>
    <x v="8"/>
    <x v="51"/>
    <s v="Electric Generators, Electric Utilities"/>
    <x v="4"/>
    <n v="42871"/>
  </r>
  <r>
    <x v="8"/>
    <x v="51"/>
    <s v="Combined Heat and Power, Industrial Power"/>
    <x v="0"/>
    <n v="646180"/>
  </r>
  <r>
    <x v="8"/>
    <x v="51"/>
    <s v="Combined Heat and Power, Industrial Power"/>
    <x v="1"/>
    <n v="216923"/>
  </r>
  <r>
    <x v="8"/>
    <x v="51"/>
    <s v="Combined Heat and Power, Industrial Power"/>
    <x v="3"/>
    <n v="341676"/>
  </r>
  <r>
    <x v="8"/>
    <x v="51"/>
    <s v="Combined Heat and Power, Industrial Power"/>
    <x v="12"/>
    <n v="77316"/>
  </r>
  <r>
    <x v="8"/>
    <x v="51"/>
    <s v="Combined Heat and Power, Industrial Power"/>
    <x v="9"/>
    <n v="7505"/>
  </r>
  <r>
    <x v="8"/>
    <x v="51"/>
    <s v="Combined Heat and Power, Industrial Power"/>
    <x v="4"/>
    <n v="2760"/>
  </r>
  <r>
    <x v="9"/>
    <x v="0"/>
    <s v="Total Electric Power Industry"/>
    <x v="0"/>
    <n v="5802308"/>
  </r>
  <r>
    <x v="9"/>
    <x v="0"/>
    <s v="Total Electric Power Industry"/>
    <x v="1"/>
    <n v="523369"/>
  </r>
  <r>
    <x v="9"/>
    <x v="0"/>
    <s v="Total Electric Power Industry"/>
    <x v="2"/>
    <n v="816608"/>
  </r>
  <r>
    <x v="9"/>
    <x v="0"/>
    <s v="Total Electric Power Industry"/>
    <x v="3"/>
    <n v="3588075"/>
  </r>
  <r>
    <x v="9"/>
    <x v="0"/>
    <s v="Total Electric Power Industry"/>
    <x v="4"/>
    <n v="874256"/>
  </r>
  <r>
    <x v="9"/>
    <x v="0"/>
    <s v="Total Electric Power Industry"/>
    <x v="5"/>
    <n v="0"/>
  </r>
  <r>
    <x v="9"/>
    <x v="0"/>
    <s v="Electric Generators, Electric Utilities"/>
    <x v="0"/>
    <n v="4609315"/>
  </r>
  <r>
    <x v="9"/>
    <x v="0"/>
    <s v="Electric Generators, Electric Utilities"/>
    <x v="1"/>
    <n v="156188"/>
  </r>
  <r>
    <x v="9"/>
    <x v="0"/>
    <s v="Electric Generators, Electric Utilities"/>
    <x v="2"/>
    <n v="816608"/>
  </r>
  <r>
    <x v="9"/>
    <x v="0"/>
    <s v="Electric Generators, Electric Utilities"/>
    <x v="3"/>
    <n v="2838480"/>
  </r>
  <r>
    <x v="9"/>
    <x v="0"/>
    <s v="Electric Generators, Electric Utilities"/>
    <x v="4"/>
    <n v="798039"/>
  </r>
  <r>
    <x v="9"/>
    <x v="0"/>
    <s v="Electric Generators, Electric Utilities"/>
    <x v="5"/>
    <n v="0"/>
  </r>
  <r>
    <x v="9"/>
    <x v="0"/>
    <s v="Combined Heat and Power, Industrial Power"/>
    <x v="0"/>
    <n v="813467"/>
  </r>
  <r>
    <x v="9"/>
    <x v="0"/>
    <s v="Combined Heat and Power, Industrial Power"/>
    <x v="3"/>
    <n v="749595"/>
  </r>
  <r>
    <x v="9"/>
    <x v="0"/>
    <s v="Combined Heat and Power, Industrial Power"/>
    <x v="4"/>
    <n v="63872"/>
  </r>
  <r>
    <x v="9"/>
    <x v="0"/>
    <s v="Combined Heat and Power, Electric Power"/>
    <x v="0"/>
    <n v="226975"/>
  </r>
  <r>
    <x v="9"/>
    <x v="0"/>
    <s v="Combined Heat and Power, Electric Power"/>
    <x v="1"/>
    <n v="226377"/>
  </r>
  <r>
    <x v="9"/>
    <x v="0"/>
    <s v="Combined Heat and Power, Electric Power"/>
    <x v="4"/>
    <n v="598"/>
  </r>
  <r>
    <x v="9"/>
    <x v="0"/>
    <s v="Combined Heat and Power, Commercial Power"/>
    <x v="0"/>
    <n v="152551"/>
  </r>
  <r>
    <x v="9"/>
    <x v="0"/>
    <s v="Combined Heat and Power, Commercial Power"/>
    <x v="1"/>
    <n v="140804"/>
  </r>
  <r>
    <x v="9"/>
    <x v="0"/>
    <s v="Combined Heat and Power, Commercial Power"/>
    <x v="4"/>
    <n v="11747"/>
  </r>
  <r>
    <x v="9"/>
    <x v="1"/>
    <s v="Total Electric Power Industry"/>
    <x v="0"/>
    <n v="120657508"/>
  </r>
  <r>
    <x v="9"/>
    <x v="1"/>
    <s v="Total Electric Power Industry"/>
    <x v="1"/>
    <n v="73754727"/>
  </r>
  <r>
    <x v="9"/>
    <x v="1"/>
    <s v="Total Electric Power Industry"/>
    <x v="2"/>
    <n v="7759602"/>
  </r>
  <r>
    <x v="9"/>
    <x v="1"/>
    <s v="Total Electric Power Industry"/>
    <x v="3"/>
    <n v="3348545"/>
  </r>
  <r>
    <x v="9"/>
    <x v="1"/>
    <s v="Total Electric Power Industry"/>
    <x v="7"/>
    <n v="30892394"/>
  </r>
  <r>
    <x v="9"/>
    <x v="1"/>
    <s v="Total Electric Power Industry"/>
    <x v="12"/>
    <n v="827"/>
  </r>
  <r>
    <x v="9"/>
    <x v="1"/>
    <s v="Total Electric Power Industry"/>
    <x v="8"/>
    <n v="14330"/>
  </r>
  <r>
    <x v="9"/>
    <x v="1"/>
    <s v="Total Electric Power Industry"/>
    <x v="9"/>
    <n v="288151"/>
  </r>
  <r>
    <x v="9"/>
    <x v="1"/>
    <s v="Total Electric Power Industry"/>
    <x v="4"/>
    <n v="316313"/>
  </r>
  <r>
    <x v="9"/>
    <x v="1"/>
    <s v="Total Electric Power Industry"/>
    <x v="6"/>
    <n v="4282619"/>
  </r>
  <r>
    <x v="9"/>
    <x v="1"/>
    <s v="Electric Generators, Independent Power Producers"/>
    <x v="0"/>
    <n v="48901"/>
  </r>
  <r>
    <x v="9"/>
    <x v="1"/>
    <s v="Electric Generators, Independent Power Producers"/>
    <x v="3"/>
    <n v="48901"/>
  </r>
  <r>
    <x v="9"/>
    <x v="1"/>
    <s v="Electric Generators, Electric Utilities"/>
    <x v="0"/>
    <n v="113908581"/>
  </r>
  <r>
    <x v="9"/>
    <x v="1"/>
    <s v="Electric Generators, Electric Utilities"/>
    <x v="1"/>
    <n v="73220751"/>
  </r>
  <r>
    <x v="9"/>
    <x v="1"/>
    <s v="Electric Generators, Electric Utilities"/>
    <x v="2"/>
    <n v="7759602"/>
  </r>
  <r>
    <x v="9"/>
    <x v="1"/>
    <s v="Electric Generators, Electric Utilities"/>
    <x v="3"/>
    <n v="1881686"/>
  </r>
  <r>
    <x v="9"/>
    <x v="1"/>
    <s v="Electric Generators, Electric Utilities"/>
    <x v="7"/>
    <n v="30892394"/>
  </r>
  <r>
    <x v="9"/>
    <x v="1"/>
    <s v="Electric Generators, Electric Utilities"/>
    <x v="4"/>
    <n v="154148"/>
  </r>
  <r>
    <x v="9"/>
    <x v="1"/>
    <s v="Combined Heat and Power, Industrial Power"/>
    <x v="0"/>
    <n v="5953086"/>
  </r>
  <r>
    <x v="9"/>
    <x v="1"/>
    <s v="Combined Heat and Power, Industrial Power"/>
    <x v="1"/>
    <n v="421149"/>
  </r>
  <r>
    <x v="9"/>
    <x v="1"/>
    <s v="Combined Heat and Power, Industrial Power"/>
    <x v="3"/>
    <n v="1264667"/>
  </r>
  <r>
    <x v="9"/>
    <x v="1"/>
    <s v="Combined Heat and Power, Industrial Power"/>
    <x v="12"/>
    <n v="827"/>
  </r>
  <r>
    <x v="9"/>
    <x v="1"/>
    <s v="Combined Heat and Power, Industrial Power"/>
    <x v="8"/>
    <n v="14330"/>
  </r>
  <r>
    <x v="9"/>
    <x v="1"/>
    <s v="Combined Heat and Power, Industrial Power"/>
    <x v="9"/>
    <n v="288151"/>
  </r>
  <r>
    <x v="9"/>
    <x v="1"/>
    <s v="Combined Heat and Power, Industrial Power"/>
    <x v="4"/>
    <n v="161735"/>
  </r>
  <r>
    <x v="9"/>
    <x v="1"/>
    <s v="Combined Heat and Power, Industrial Power"/>
    <x v="6"/>
    <n v="3802227"/>
  </r>
  <r>
    <x v="9"/>
    <x v="1"/>
    <s v="Combined Heat and Power, Electric Power"/>
    <x v="0"/>
    <n v="746940"/>
  </r>
  <r>
    <x v="9"/>
    <x v="1"/>
    <s v="Combined Heat and Power, Electric Power"/>
    <x v="1"/>
    <n v="112827"/>
  </r>
  <r>
    <x v="9"/>
    <x v="1"/>
    <s v="Combined Heat and Power, Electric Power"/>
    <x v="3"/>
    <n v="153291"/>
  </r>
  <r>
    <x v="9"/>
    <x v="1"/>
    <s v="Combined Heat and Power, Electric Power"/>
    <x v="4"/>
    <n v="430"/>
  </r>
  <r>
    <x v="9"/>
    <x v="1"/>
    <s v="Combined Heat and Power, Electric Power"/>
    <x v="6"/>
    <n v="480392"/>
  </r>
  <r>
    <x v="9"/>
    <x v="2"/>
    <s v="Total Electric Power Industry"/>
    <x v="0"/>
    <n v="46553939"/>
  </r>
  <r>
    <x v="9"/>
    <x v="2"/>
    <s v="Total Electric Power Industry"/>
    <x v="1"/>
    <n v="24668807"/>
  </r>
  <r>
    <x v="9"/>
    <x v="2"/>
    <s v="Total Electric Power Industry"/>
    <x v="2"/>
    <n v="2694334"/>
  </r>
  <r>
    <x v="9"/>
    <x v="2"/>
    <s v="Total Electric Power Industry"/>
    <x v="3"/>
    <n v="4542596"/>
  </r>
  <r>
    <x v="9"/>
    <x v="2"/>
    <s v="Total Electric Power Industry"/>
    <x v="7"/>
    <n v="12919550"/>
  </r>
  <r>
    <x v="9"/>
    <x v="2"/>
    <s v="Total Electric Power Industry"/>
    <x v="12"/>
    <n v="2781"/>
  </r>
  <r>
    <x v="9"/>
    <x v="2"/>
    <s v="Total Electric Power Industry"/>
    <x v="8"/>
    <n v="5227"/>
  </r>
  <r>
    <x v="9"/>
    <x v="2"/>
    <s v="Total Electric Power Industry"/>
    <x v="9"/>
    <n v="147"/>
  </r>
  <r>
    <x v="9"/>
    <x v="2"/>
    <s v="Total Electric Power Industry"/>
    <x v="4"/>
    <n v="159965"/>
  </r>
  <r>
    <x v="9"/>
    <x v="2"/>
    <s v="Total Electric Power Industry"/>
    <x v="10"/>
    <n v="0"/>
  </r>
  <r>
    <x v="9"/>
    <x v="2"/>
    <s v="Total Electric Power Industry"/>
    <x v="6"/>
    <n v="1560532"/>
  </r>
  <r>
    <x v="9"/>
    <x v="2"/>
    <s v="Electric Generators, Independent Power Producers"/>
    <x v="0"/>
    <n v="1323"/>
  </r>
  <r>
    <x v="9"/>
    <x v="2"/>
    <s v="Electric Generators, Independent Power Producers"/>
    <x v="2"/>
    <n v="1323"/>
  </r>
  <r>
    <x v="9"/>
    <x v="2"/>
    <s v="Electric Generators, Electric Utilities"/>
    <x v="0"/>
    <n v="44130705"/>
  </r>
  <r>
    <x v="9"/>
    <x v="2"/>
    <s v="Electric Generators, Electric Utilities"/>
    <x v="1"/>
    <n v="24612079"/>
  </r>
  <r>
    <x v="9"/>
    <x v="2"/>
    <s v="Electric Generators, Electric Utilities"/>
    <x v="2"/>
    <n v="2693011"/>
  </r>
  <r>
    <x v="9"/>
    <x v="2"/>
    <s v="Electric Generators, Electric Utilities"/>
    <x v="3"/>
    <n v="3764590"/>
  </r>
  <r>
    <x v="9"/>
    <x v="2"/>
    <s v="Electric Generators, Electric Utilities"/>
    <x v="7"/>
    <n v="12919550"/>
  </r>
  <r>
    <x v="9"/>
    <x v="2"/>
    <s v="Electric Generators, Electric Utilities"/>
    <x v="4"/>
    <n v="141475"/>
  </r>
  <r>
    <x v="9"/>
    <x v="2"/>
    <s v="Electric Generators, Electric Utilities"/>
    <x v="10"/>
    <n v="0"/>
  </r>
  <r>
    <x v="9"/>
    <x v="2"/>
    <s v="Combined Heat and Power, Industrial Power"/>
    <x v="0"/>
    <n v="2409434"/>
  </r>
  <r>
    <x v="9"/>
    <x v="2"/>
    <s v="Combined Heat and Power, Industrial Power"/>
    <x v="1"/>
    <n v="56728"/>
  </r>
  <r>
    <x v="9"/>
    <x v="2"/>
    <s v="Combined Heat and Power, Industrial Power"/>
    <x v="3"/>
    <n v="771664"/>
  </r>
  <r>
    <x v="9"/>
    <x v="2"/>
    <s v="Combined Heat and Power, Industrial Power"/>
    <x v="12"/>
    <n v="2781"/>
  </r>
  <r>
    <x v="9"/>
    <x v="2"/>
    <s v="Combined Heat and Power, Industrial Power"/>
    <x v="9"/>
    <n v="147"/>
  </r>
  <r>
    <x v="9"/>
    <x v="2"/>
    <s v="Combined Heat and Power, Industrial Power"/>
    <x v="4"/>
    <n v="17582"/>
  </r>
  <r>
    <x v="9"/>
    <x v="2"/>
    <s v="Combined Heat and Power, Industrial Power"/>
    <x v="6"/>
    <n v="1560532"/>
  </r>
  <r>
    <x v="9"/>
    <x v="2"/>
    <s v="Combined Heat and Power, Commercial Power"/>
    <x v="0"/>
    <n v="12477"/>
  </r>
  <r>
    <x v="9"/>
    <x v="2"/>
    <s v="Combined Heat and Power, Commercial Power"/>
    <x v="3"/>
    <n v="6342"/>
  </r>
  <r>
    <x v="9"/>
    <x v="2"/>
    <s v="Combined Heat and Power, Commercial Power"/>
    <x v="8"/>
    <n v="5227"/>
  </r>
  <r>
    <x v="9"/>
    <x v="2"/>
    <s v="Combined Heat and Power, Commercial Power"/>
    <x v="4"/>
    <n v="908"/>
  </r>
  <r>
    <x v="9"/>
    <x v="3"/>
    <s v="Total Electric Power Industry"/>
    <x v="0"/>
    <n v="83893173"/>
  </r>
  <r>
    <x v="9"/>
    <x v="3"/>
    <s v="Total Electric Power Industry"/>
    <x v="1"/>
    <n v="38305165"/>
  </r>
  <r>
    <x v="9"/>
    <x v="3"/>
    <s v="Total Electric Power Industry"/>
    <x v="2"/>
    <n v="9758817"/>
  </r>
  <r>
    <x v="9"/>
    <x v="3"/>
    <s v="Total Electric Power Industry"/>
    <x v="3"/>
    <n v="5034445"/>
  </r>
  <r>
    <x v="9"/>
    <x v="3"/>
    <s v="Total Electric Power Industry"/>
    <x v="7"/>
    <n v="30415572"/>
  </r>
  <r>
    <x v="9"/>
    <x v="3"/>
    <s v="Total Electric Power Industry"/>
    <x v="8"/>
    <n v="4784"/>
  </r>
  <r>
    <x v="9"/>
    <x v="3"/>
    <s v="Total Electric Power Industry"/>
    <x v="4"/>
    <n v="50355"/>
  </r>
  <r>
    <x v="9"/>
    <x v="3"/>
    <s v="Total Electric Power Industry"/>
    <x v="10"/>
    <n v="324035"/>
  </r>
  <r>
    <x v="9"/>
    <x v="3"/>
    <s v="Total Electric Power Industry"/>
    <x v="13"/>
    <n v="0"/>
  </r>
  <r>
    <x v="9"/>
    <x v="3"/>
    <s v="Electric Generators, Electric Utilities"/>
    <x v="0"/>
    <n v="83095924"/>
  </r>
  <r>
    <x v="9"/>
    <x v="3"/>
    <s v="Electric Generators, Electric Utilities"/>
    <x v="1"/>
    <n v="37994159"/>
  </r>
  <r>
    <x v="9"/>
    <x v="3"/>
    <s v="Electric Generators, Electric Utilities"/>
    <x v="2"/>
    <n v="9758817"/>
  </r>
  <r>
    <x v="9"/>
    <x v="3"/>
    <s v="Electric Generators, Electric Utilities"/>
    <x v="3"/>
    <n v="4557054"/>
  </r>
  <r>
    <x v="9"/>
    <x v="3"/>
    <s v="Electric Generators, Electric Utilities"/>
    <x v="7"/>
    <n v="30415572"/>
  </r>
  <r>
    <x v="9"/>
    <x v="3"/>
    <s v="Electric Generators, Electric Utilities"/>
    <x v="4"/>
    <n v="46287"/>
  </r>
  <r>
    <x v="9"/>
    <x v="3"/>
    <s v="Electric Generators, Electric Utilities"/>
    <x v="10"/>
    <n v="324035"/>
  </r>
  <r>
    <x v="9"/>
    <x v="3"/>
    <s v="Electric Generators, Electric Utilities"/>
    <x v="13"/>
    <n v="0"/>
  </r>
  <r>
    <x v="9"/>
    <x v="3"/>
    <s v="Combined Heat and Power, Industrial Power"/>
    <x v="0"/>
    <n v="326745"/>
  </r>
  <r>
    <x v="9"/>
    <x v="3"/>
    <s v="Combined Heat and Power, Industrial Power"/>
    <x v="1"/>
    <n v="311006"/>
  </r>
  <r>
    <x v="9"/>
    <x v="3"/>
    <s v="Combined Heat and Power, Industrial Power"/>
    <x v="3"/>
    <n v="15005"/>
  </r>
  <r>
    <x v="9"/>
    <x v="3"/>
    <s v="Combined Heat and Power, Industrial Power"/>
    <x v="4"/>
    <n v="734"/>
  </r>
  <r>
    <x v="9"/>
    <x v="3"/>
    <s v="Combined Heat and Power, Electric Power"/>
    <x v="0"/>
    <n v="434337"/>
  </r>
  <r>
    <x v="9"/>
    <x v="3"/>
    <s v="Combined Heat and Power, Electric Power"/>
    <x v="3"/>
    <n v="434337"/>
  </r>
  <r>
    <x v="9"/>
    <x v="3"/>
    <s v="Combined Heat and Power, Commercial Power"/>
    <x v="0"/>
    <n v="36167"/>
  </r>
  <r>
    <x v="9"/>
    <x v="3"/>
    <s v="Combined Heat and Power, Commercial Power"/>
    <x v="3"/>
    <n v="28049"/>
  </r>
  <r>
    <x v="9"/>
    <x v="3"/>
    <s v="Combined Heat and Power, Commercial Power"/>
    <x v="8"/>
    <n v="4784"/>
  </r>
  <r>
    <x v="9"/>
    <x v="3"/>
    <s v="Combined Heat and Power, Commercial Power"/>
    <x v="4"/>
    <n v="3334"/>
  </r>
  <r>
    <x v="9"/>
    <x v="4"/>
    <s v="Total Electric Power Industry"/>
    <x v="0"/>
    <n v="188319223"/>
  </r>
  <r>
    <x v="9"/>
    <x v="4"/>
    <s v="Total Electric Power Industry"/>
    <x v="1"/>
    <n v="2296082"/>
  </r>
  <r>
    <x v="9"/>
    <x v="4"/>
    <s v="Total Electric Power Industry"/>
    <x v="11"/>
    <n v="13045715"/>
  </r>
  <r>
    <x v="9"/>
    <x v="4"/>
    <s v="Total Electric Power Industry"/>
    <x v="2"/>
    <n v="40736667"/>
  </r>
  <r>
    <x v="9"/>
    <x v="4"/>
    <s v="Total Electric Power Industry"/>
    <x v="3"/>
    <n v="85098862"/>
  </r>
  <r>
    <x v="9"/>
    <x v="4"/>
    <s v="Total Electric Power Industry"/>
    <x v="7"/>
    <n v="33371857"/>
  </r>
  <r>
    <x v="9"/>
    <x v="4"/>
    <s v="Total Electric Power Industry"/>
    <x v="12"/>
    <n v="23427"/>
  </r>
  <r>
    <x v="9"/>
    <x v="4"/>
    <s v="Total Electric Power Industry"/>
    <x v="8"/>
    <n v="2382646"/>
  </r>
  <r>
    <x v="9"/>
    <x v="4"/>
    <s v="Total Electric Power Industry"/>
    <x v="9"/>
    <n v="2417613"/>
  </r>
  <r>
    <x v="9"/>
    <x v="4"/>
    <s v="Total Electric Power Industry"/>
    <x v="4"/>
    <n v="2137916"/>
  </r>
  <r>
    <x v="9"/>
    <x v="4"/>
    <s v="Total Electric Power Industry"/>
    <x v="10"/>
    <n v="-386214"/>
  </r>
  <r>
    <x v="9"/>
    <x v="4"/>
    <s v="Total Electric Power Industry"/>
    <x v="13"/>
    <n v="494996"/>
  </r>
  <r>
    <x v="9"/>
    <x v="4"/>
    <s v="Total Electric Power Industry"/>
    <x v="5"/>
    <n v="3229953"/>
  </r>
  <r>
    <x v="9"/>
    <x v="4"/>
    <s v="Total Electric Power Industry"/>
    <x v="6"/>
    <n v="3469703"/>
  </r>
  <r>
    <x v="9"/>
    <x v="4"/>
    <s v="Electric Generators, Independent Power Producers"/>
    <x v="0"/>
    <n v="57911795"/>
  </r>
  <r>
    <x v="9"/>
    <x v="4"/>
    <s v="Electric Generators, Independent Power Producers"/>
    <x v="11"/>
    <n v="11502845"/>
  </r>
  <r>
    <x v="9"/>
    <x v="4"/>
    <s v="Electric Generators, Independent Power Producers"/>
    <x v="2"/>
    <n v="1497501"/>
  </r>
  <r>
    <x v="9"/>
    <x v="4"/>
    <s v="Electric Generators, Independent Power Producers"/>
    <x v="3"/>
    <n v="36094259"/>
  </r>
  <r>
    <x v="9"/>
    <x v="4"/>
    <s v="Electric Generators, Independent Power Producers"/>
    <x v="8"/>
    <n v="1809391"/>
  </r>
  <r>
    <x v="9"/>
    <x v="4"/>
    <s v="Electric Generators, Independent Power Producers"/>
    <x v="4"/>
    <n v="840430"/>
  </r>
  <r>
    <x v="9"/>
    <x v="4"/>
    <s v="Electric Generators, Independent Power Producers"/>
    <x v="13"/>
    <n v="492047"/>
  </r>
  <r>
    <x v="9"/>
    <x v="4"/>
    <s v="Electric Generators, Independent Power Producers"/>
    <x v="5"/>
    <n v="3226014"/>
  </r>
  <r>
    <x v="9"/>
    <x v="4"/>
    <s v="Electric Generators, Independent Power Producers"/>
    <x v="6"/>
    <n v="2449308"/>
  </r>
  <r>
    <x v="9"/>
    <x v="4"/>
    <s v="Electric Generators, Electric Utilities"/>
    <x v="0"/>
    <n v="87874809"/>
  </r>
  <r>
    <x v="9"/>
    <x v="4"/>
    <s v="Electric Generators, Electric Utilities"/>
    <x v="11"/>
    <n v="1542870"/>
  </r>
  <r>
    <x v="9"/>
    <x v="4"/>
    <s v="Electric Generators, Electric Utilities"/>
    <x v="2"/>
    <n v="39228603"/>
  </r>
  <r>
    <x v="9"/>
    <x v="4"/>
    <s v="Electric Generators, Electric Utilities"/>
    <x v="3"/>
    <n v="13917748"/>
  </r>
  <r>
    <x v="9"/>
    <x v="4"/>
    <s v="Electric Generators, Electric Utilities"/>
    <x v="7"/>
    <n v="33371857"/>
  </r>
  <r>
    <x v="9"/>
    <x v="4"/>
    <s v="Electric Generators, Electric Utilities"/>
    <x v="8"/>
    <n v="141288"/>
  </r>
  <r>
    <x v="9"/>
    <x v="4"/>
    <s v="Electric Generators, Electric Utilities"/>
    <x v="4"/>
    <n v="51769"/>
  </r>
  <r>
    <x v="9"/>
    <x v="4"/>
    <s v="Electric Generators, Electric Utilities"/>
    <x v="10"/>
    <n v="-386214"/>
  </r>
  <r>
    <x v="9"/>
    <x v="4"/>
    <s v="Electric Generators, Electric Utilities"/>
    <x v="13"/>
    <n v="2949"/>
  </r>
  <r>
    <x v="9"/>
    <x v="4"/>
    <s v="Electric Generators, Electric Utilities"/>
    <x v="5"/>
    <n v="3939"/>
  </r>
  <r>
    <x v="9"/>
    <x v="4"/>
    <s v="Combined Heat and Power, Industrial Power"/>
    <x v="0"/>
    <n v="17544611"/>
  </r>
  <r>
    <x v="9"/>
    <x v="4"/>
    <s v="Combined Heat and Power, Industrial Power"/>
    <x v="1"/>
    <n v="453635"/>
  </r>
  <r>
    <x v="9"/>
    <x v="4"/>
    <s v="Combined Heat and Power, Industrial Power"/>
    <x v="3"/>
    <n v="13238362"/>
  </r>
  <r>
    <x v="9"/>
    <x v="4"/>
    <s v="Combined Heat and Power, Industrial Power"/>
    <x v="12"/>
    <n v="23427"/>
  </r>
  <r>
    <x v="9"/>
    <x v="4"/>
    <s v="Combined Heat and Power, Industrial Power"/>
    <x v="8"/>
    <n v="26350"/>
  </r>
  <r>
    <x v="9"/>
    <x v="4"/>
    <s v="Combined Heat and Power, Industrial Power"/>
    <x v="9"/>
    <n v="2344882"/>
  </r>
  <r>
    <x v="9"/>
    <x v="4"/>
    <s v="Combined Heat and Power, Industrial Power"/>
    <x v="4"/>
    <n v="484124"/>
  </r>
  <r>
    <x v="9"/>
    <x v="4"/>
    <s v="Combined Heat and Power, Industrial Power"/>
    <x v="6"/>
    <n v="973831"/>
  </r>
  <r>
    <x v="9"/>
    <x v="4"/>
    <s v="Combined Heat and Power, Electric Power"/>
    <x v="0"/>
    <n v="22963928"/>
  </r>
  <r>
    <x v="9"/>
    <x v="4"/>
    <s v="Combined Heat and Power, Electric Power"/>
    <x v="1"/>
    <n v="1842447"/>
  </r>
  <r>
    <x v="9"/>
    <x v="4"/>
    <s v="Combined Heat and Power, Electric Power"/>
    <x v="3"/>
    <n v="20106465"/>
  </r>
  <r>
    <x v="9"/>
    <x v="4"/>
    <s v="Combined Heat and Power, Electric Power"/>
    <x v="8"/>
    <n v="135725"/>
  </r>
  <r>
    <x v="9"/>
    <x v="4"/>
    <s v="Combined Heat and Power, Electric Power"/>
    <x v="9"/>
    <n v="72721"/>
  </r>
  <r>
    <x v="9"/>
    <x v="4"/>
    <s v="Combined Heat and Power, Electric Power"/>
    <x v="4"/>
    <n v="760006"/>
  </r>
  <r>
    <x v="9"/>
    <x v="4"/>
    <s v="Combined Heat and Power, Electric Power"/>
    <x v="6"/>
    <n v="46564"/>
  </r>
  <r>
    <x v="9"/>
    <x v="4"/>
    <s v="Combined Heat and Power, Commercial Power"/>
    <x v="0"/>
    <n v="2024080"/>
  </r>
  <r>
    <x v="9"/>
    <x v="4"/>
    <s v="Combined Heat and Power, Commercial Power"/>
    <x v="2"/>
    <n v="10563"/>
  </r>
  <r>
    <x v="9"/>
    <x v="4"/>
    <s v="Combined Heat and Power, Commercial Power"/>
    <x v="3"/>
    <n v="1742028"/>
  </r>
  <r>
    <x v="9"/>
    <x v="4"/>
    <s v="Combined Heat and Power, Commercial Power"/>
    <x v="8"/>
    <n v="269892"/>
  </r>
  <r>
    <x v="9"/>
    <x v="4"/>
    <s v="Combined Heat and Power, Commercial Power"/>
    <x v="9"/>
    <n v="10"/>
  </r>
  <r>
    <x v="9"/>
    <x v="4"/>
    <s v="Combined Heat and Power, Commercial Power"/>
    <x v="4"/>
    <n v="1587"/>
  </r>
  <r>
    <x v="9"/>
    <x v="5"/>
    <s v="Total Electric Power Industry"/>
    <x v="0"/>
    <n v="39521288"/>
  </r>
  <r>
    <x v="9"/>
    <x v="5"/>
    <s v="Total Electric Power Industry"/>
    <x v="1"/>
    <n v="32877064"/>
  </r>
  <r>
    <x v="9"/>
    <x v="5"/>
    <s v="Total Electric Power Industry"/>
    <x v="2"/>
    <n v="1562485"/>
  </r>
  <r>
    <x v="9"/>
    <x v="5"/>
    <s v="Total Electric Power Industry"/>
    <x v="3"/>
    <n v="4967383"/>
  </r>
  <r>
    <x v="9"/>
    <x v="5"/>
    <s v="Total Electric Power Industry"/>
    <x v="8"/>
    <n v="31772"/>
  </r>
  <r>
    <x v="9"/>
    <x v="5"/>
    <s v="Total Electric Power Industry"/>
    <x v="4"/>
    <n v="46235"/>
  </r>
  <r>
    <x v="9"/>
    <x v="5"/>
    <s v="Total Electric Power Industry"/>
    <x v="10"/>
    <n v="36349"/>
  </r>
  <r>
    <x v="9"/>
    <x v="5"/>
    <s v="Electric Generators, Independent Power Producers"/>
    <x v="0"/>
    <n v="178374"/>
  </r>
  <r>
    <x v="9"/>
    <x v="5"/>
    <s v="Electric Generators, Independent Power Producers"/>
    <x v="2"/>
    <n v="119059"/>
  </r>
  <r>
    <x v="9"/>
    <x v="5"/>
    <s v="Electric Generators, Independent Power Producers"/>
    <x v="3"/>
    <n v="59315"/>
  </r>
  <r>
    <x v="9"/>
    <x v="5"/>
    <s v="Electric Generators, Electric Utilities"/>
    <x v="0"/>
    <n v="36167349"/>
  </r>
  <r>
    <x v="9"/>
    <x v="5"/>
    <s v="Electric Generators, Electric Utilities"/>
    <x v="1"/>
    <n v="32605202"/>
  </r>
  <r>
    <x v="9"/>
    <x v="5"/>
    <s v="Electric Generators, Electric Utilities"/>
    <x v="2"/>
    <n v="1443426"/>
  </r>
  <r>
    <x v="9"/>
    <x v="5"/>
    <s v="Electric Generators, Electric Utilities"/>
    <x v="3"/>
    <n v="2049942"/>
  </r>
  <r>
    <x v="9"/>
    <x v="5"/>
    <s v="Electric Generators, Electric Utilities"/>
    <x v="8"/>
    <n v="0"/>
  </r>
  <r>
    <x v="9"/>
    <x v="5"/>
    <s v="Electric Generators, Electric Utilities"/>
    <x v="4"/>
    <n v="32430"/>
  </r>
  <r>
    <x v="9"/>
    <x v="5"/>
    <s v="Electric Generators, Electric Utilities"/>
    <x v="10"/>
    <n v="36349"/>
  </r>
  <r>
    <x v="9"/>
    <x v="5"/>
    <s v="Combined Heat and Power, Industrial Power"/>
    <x v="0"/>
    <n v="93970"/>
  </r>
  <r>
    <x v="9"/>
    <x v="5"/>
    <s v="Combined Heat and Power, Industrial Power"/>
    <x v="3"/>
    <n v="80940"/>
  </r>
  <r>
    <x v="9"/>
    <x v="5"/>
    <s v="Combined Heat and Power, Industrial Power"/>
    <x v="4"/>
    <n v="13030"/>
  </r>
  <r>
    <x v="9"/>
    <x v="5"/>
    <s v="Combined Heat and Power, Electric Power"/>
    <x v="0"/>
    <n v="2897278"/>
  </r>
  <r>
    <x v="9"/>
    <x v="5"/>
    <s v="Combined Heat and Power, Electric Power"/>
    <x v="1"/>
    <n v="271862"/>
  </r>
  <r>
    <x v="9"/>
    <x v="5"/>
    <s v="Combined Heat and Power, Electric Power"/>
    <x v="3"/>
    <n v="2624805"/>
  </r>
  <r>
    <x v="9"/>
    <x v="5"/>
    <s v="Combined Heat and Power, Electric Power"/>
    <x v="4"/>
    <n v="611"/>
  </r>
  <r>
    <x v="9"/>
    <x v="5"/>
    <s v="Combined Heat and Power, Commercial Power"/>
    <x v="0"/>
    <n v="184317"/>
  </r>
  <r>
    <x v="9"/>
    <x v="5"/>
    <s v="Combined Heat and Power, Commercial Power"/>
    <x v="3"/>
    <n v="152381"/>
  </r>
  <r>
    <x v="9"/>
    <x v="5"/>
    <s v="Combined Heat and Power, Commercial Power"/>
    <x v="8"/>
    <n v="31772"/>
  </r>
  <r>
    <x v="9"/>
    <x v="5"/>
    <s v="Combined Heat and Power, Commercial Power"/>
    <x v="4"/>
    <n v="164"/>
  </r>
  <r>
    <x v="9"/>
    <x v="6"/>
    <s v="Total Electric Power Industry"/>
    <x v="0"/>
    <n v="28596898"/>
  </r>
  <r>
    <x v="9"/>
    <x v="6"/>
    <s v="Total Electric Power Industry"/>
    <x v="1"/>
    <n v="1486067"/>
  </r>
  <r>
    <x v="9"/>
    <x v="6"/>
    <s v="Total Electric Power Industry"/>
    <x v="2"/>
    <n v="421962"/>
  </r>
  <r>
    <x v="9"/>
    <x v="6"/>
    <s v="Total Electric Power Industry"/>
    <x v="3"/>
    <n v="3601593"/>
  </r>
  <r>
    <x v="9"/>
    <x v="6"/>
    <s v="Total Electric Power Industry"/>
    <x v="7"/>
    <n v="12675262"/>
  </r>
  <r>
    <x v="9"/>
    <x v="6"/>
    <s v="Total Electric Power Industry"/>
    <x v="12"/>
    <n v="0"/>
  </r>
  <r>
    <x v="9"/>
    <x v="6"/>
    <s v="Total Electric Power Industry"/>
    <x v="8"/>
    <n v="2105977"/>
  </r>
  <r>
    <x v="9"/>
    <x v="6"/>
    <s v="Total Electric Power Industry"/>
    <x v="9"/>
    <n v="34831"/>
  </r>
  <r>
    <x v="9"/>
    <x v="6"/>
    <s v="Total Electric Power Industry"/>
    <x v="4"/>
    <n v="8268315"/>
  </r>
  <r>
    <x v="9"/>
    <x v="6"/>
    <s v="Total Electric Power Industry"/>
    <x v="10"/>
    <n v="2891"/>
  </r>
  <r>
    <x v="9"/>
    <x v="6"/>
    <s v="Electric Generators, Independent Power Producers"/>
    <x v="0"/>
    <n v="4992718"/>
  </r>
  <r>
    <x v="9"/>
    <x v="6"/>
    <s v="Electric Generators, Independent Power Producers"/>
    <x v="1"/>
    <n v="0"/>
  </r>
  <r>
    <x v="9"/>
    <x v="6"/>
    <s v="Electric Generators, Independent Power Producers"/>
    <x v="2"/>
    <n v="56598"/>
  </r>
  <r>
    <x v="9"/>
    <x v="6"/>
    <s v="Electric Generators, Independent Power Producers"/>
    <x v="3"/>
    <n v="1334262"/>
  </r>
  <r>
    <x v="9"/>
    <x v="6"/>
    <s v="Electric Generators, Independent Power Producers"/>
    <x v="8"/>
    <n v="1157280"/>
  </r>
  <r>
    <x v="9"/>
    <x v="6"/>
    <s v="Electric Generators, Independent Power Producers"/>
    <x v="9"/>
    <n v="34831"/>
  </r>
  <r>
    <x v="9"/>
    <x v="6"/>
    <s v="Electric Generators, Independent Power Producers"/>
    <x v="4"/>
    <n v="2409747"/>
  </r>
  <r>
    <x v="9"/>
    <x v="6"/>
    <s v="Electric Generators, Electric Utilities"/>
    <x v="0"/>
    <n v="20484367"/>
  </r>
  <r>
    <x v="9"/>
    <x v="6"/>
    <s v="Electric Generators, Electric Utilities"/>
    <x v="1"/>
    <n v="0"/>
  </r>
  <r>
    <x v="9"/>
    <x v="6"/>
    <s v="Electric Generators, Electric Utilities"/>
    <x v="2"/>
    <n v="365364"/>
  </r>
  <r>
    <x v="9"/>
    <x v="6"/>
    <s v="Electric Generators, Electric Utilities"/>
    <x v="3"/>
    <n v="1179841"/>
  </r>
  <r>
    <x v="9"/>
    <x v="6"/>
    <s v="Electric Generators, Electric Utilities"/>
    <x v="7"/>
    <n v="12675262"/>
  </r>
  <r>
    <x v="9"/>
    <x v="6"/>
    <s v="Electric Generators, Electric Utilities"/>
    <x v="8"/>
    <n v="467034"/>
  </r>
  <r>
    <x v="9"/>
    <x v="6"/>
    <s v="Electric Generators, Electric Utilities"/>
    <x v="4"/>
    <n v="5793975"/>
  </r>
  <r>
    <x v="9"/>
    <x v="6"/>
    <s v="Electric Generators, Electric Utilities"/>
    <x v="10"/>
    <n v="2891"/>
  </r>
  <r>
    <x v="9"/>
    <x v="6"/>
    <s v="Combined Heat and Power, Industrial Power"/>
    <x v="0"/>
    <n v="330073"/>
  </r>
  <r>
    <x v="9"/>
    <x v="6"/>
    <s v="Combined Heat and Power, Industrial Power"/>
    <x v="3"/>
    <n v="272021"/>
  </r>
  <r>
    <x v="9"/>
    <x v="6"/>
    <s v="Combined Heat and Power, Industrial Power"/>
    <x v="12"/>
    <n v="0"/>
  </r>
  <r>
    <x v="9"/>
    <x v="6"/>
    <s v="Combined Heat and Power, Industrial Power"/>
    <x v="4"/>
    <n v="58052"/>
  </r>
  <r>
    <x v="9"/>
    <x v="6"/>
    <s v="Combined Heat and Power, Electric Power"/>
    <x v="0"/>
    <n v="2243074"/>
  </r>
  <r>
    <x v="9"/>
    <x v="6"/>
    <s v="Combined Heat and Power, Electric Power"/>
    <x v="1"/>
    <n v="1469840"/>
  </r>
  <r>
    <x v="9"/>
    <x v="6"/>
    <s v="Combined Heat and Power, Electric Power"/>
    <x v="3"/>
    <n v="767398"/>
  </r>
  <r>
    <x v="9"/>
    <x v="6"/>
    <s v="Combined Heat and Power, Electric Power"/>
    <x v="4"/>
    <n v="5836"/>
  </r>
  <r>
    <x v="9"/>
    <x v="6"/>
    <s v="Combined Heat and Power, Commercial Power"/>
    <x v="0"/>
    <n v="546666"/>
  </r>
  <r>
    <x v="9"/>
    <x v="6"/>
    <s v="Combined Heat and Power, Commercial Power"/>
    <x v="1"/>
    <n v="16227"/>
  </r>
  <r>
    <x v="9"/>
    <x v="6"/>
    <s v="Combined Heat and Power, Commercial Power"/>
    <x v="3"/>
    <n v="48071"/>
  </r>
  <r>
    <x v="9"/>
    <x v="6"/>
    <s v="Combined Heat and Power, Commercial Power"/>
    <x v="8"/>
    <n v="481663"/>
  </r>
  <r>
    <x v="9"/>
    <x v="6"/>
    <s v="Combined Heat and Power, Commercial Power"/>
    <x v="4"/>
    <n v="705"/>
  </r>
  <r>
    <x v="9"/>
    <x v="7"/>
    <s v="Total Electric Power Industry"/>
    <x v="0"/>
    <n v="230003"/>
  </r>
  <r>
    <x v="9"/>
    <x v="7"/>
    <s v="Total Electric Power Industry"/>
    <x v="4"/>
    <n v="230003"/>
  </r>
  <r>
    <x v="9"/>
    <x v="7"/>
    <s v="Electric Generators, Electric Utilities"/>
    <x v="0"/>
    <n v="230003"/>
  </r>
  <r>
    <x v="9"/>
    <x v="7"/>
    <s v="Electric Generators, Electric Utilities"/>
    <x v="4"/>
    <n v="230003"/>
  </r>
  <r>
    <x v="9"/>
    <x v="8"/>
    <s v="Total Electric Power Industry"/>
    <x v="0"/>
    <n v="6851738"/>
  </r>
  <r>
    <x v="9"/>
    <x v="8"/>
    <s v="Total Electric Power Industry"/>
    <x v="1"/>
    <n v="2834711"/>
  </r>
  <r>
    <x v="9"/>
    <x v="8"/>
    <s v="Total Electric Power Industry"/>
    <x v="3"/>
    <n v="2242791"/>
  </r>
  <r>
    <x v="9"/>
    <x v="8"/>
    <s v="Total Electric Power Industry"/>
    <x v="9"/>
    <n v="169685"/>
  </r>
  <r>
    <x v="9"/>
    <x v="8"/>
    <s v="Total Electric Power Industry"/>
    <x v="4"/>
    <n v="1604551"/>
  </r>
  <r>
    <x v="9"/>
    <x v="8"/>
    <s v="Electric Generators, Electric Utilities"/>
    <x v="0"/>
    <n v="6239372"/>
  </r>
  <r>
    <x v="9"/>
    <x v="8"/>
    <s v="Electric Generators, Electric Utilities"/>
    <x v="1"/>
    <n v="2762460"/>
  </r>
  <r>
    <x v="9"/>
    <x v="8"/>
    <s v="Electric Generators, Electric Utilities"/>
    <x v="3"/>
    <n v="2242791"/>
  </r>
  <r>
    <x v="9"/>
    <x v="8"/>
    <s v="Electric Generators, Electric Utilities"/>
    <x v="4"/>
    <n v="1234121"/>
  </r>
  <r>
    <x v="9"/>
    <x v="8"/>
    <s v="Combined Heat and Power, Industrial Power"/>
    <x v="0"/>
    <n v="612366"/>
  </r>
  <r>
    <x v="9"/>
    <x v="8"/>
    <s v="Combined Heat and Power, Industrial Power"/>
    <x v="1"/>
    <n v="72251"/>
  </r>
  <r>
    <x v="9"/>
    <x v="8"/>
    <s v="Combined Heat and Power, Industrial Power"/>
    <x v="9"/>
    <n v="169685"/>
  </r>
  <r>
    <x v="9"/>
    <x v="8"/>
    <s v="Combined Heat and Power, Industrial Power"/>
    <x v="4"/>
    <n v="370430"/>
  </r>
  <r>
    <x v="9"/>
    <x v="9"/>
    <s v="Total Electric Power Industry"/>
    <x v="0"/>
    <n v="187263426"/>
  </r>
  <r>
    <x v="9"/>
    <x v="9"/>
    <s v="Total Electric Power Industry"/>
    <x v="1"/>
    <n v="67629927"/>
  </r>
  <r>
    <x v="9"/>
    <x v="9"/>
    <s v="Total Electric Power Industry"/>
    <x v="2"/>
    <n v="140175"/>
  </r>
  <r>
    <x v="9"/>
    <x v="9"/>
    <s v="Total Electric Power Industry"/>
    <x v="3"/>
    <n v="43166956"/>
  </r>
  <r>
    <x v="9"/>
    <x v="9"/>
    <s v="Total Electric Power Industry"/>
    <x v="7"/>
    <n v="31526285"/>
  </r>
  <r>
    <x v="9"/>
    <x v="9"/>
    <s v="Total Electric Power Industry"/>
    <x v="12"/>
    <n v="2038076"/>
  </r>
  <r>
    <x v="9"/>
    <x v="9"/>
    <s v="Total Electric Power Industry"/>
    <x v="8"/>
    <n v="3535397"/>
  </r>
  <r>
    <x v="9"/>
    <x v="9"/>
    <s v="Total Electric Power Industry"/>
    <x v="9"/>
    <n v="26619"/>
  </r>
  <r>
    <x v="9"/>
    <x v="9"/>
    <s v="Total Electric Power Industry"/>
    <x v="4"/>
    <n v="37130630"/>
  </r>
  <r>
    <x v="9"/>
    <x v="9"/>
    <s v="Total Electric Power Industry"/>
    <x v="6"/>
    <n v="2069361"/>
  </r>
  <r>
    <x v="9"/>
    <x v="9"/>
    <s v="Electric Generators, Independent Power Producers"/>
    <x v="0"/>
    <n v="4560102"/>
  </r>
  <r>
    <x v="9"/>
    <x v="9"/>
    <s v="Electric Generators, Independent Power Producers"/>
    <x v="3"/>
    <n v="1158629"/>
  </r>
  <r>
    <x v="9"/>
    <x v="9"/>
    <s v="Electric Generators, Independent Power Producers"/>
    <x v="8"/>
    <n v="3074704"/>
  </r>
  <r>
    <x v="9"/>
    <x v="9"/>
    <s v="Electric Generators, Independent Power Producers"/>
    <x v="9"/>
    <n v="325"/>
  </r>
  <r>
    <x v="9"/>
    <x v="9"/>
    <s v="Electric Generators, Independent Power Producers"/>
    <x v="4"/>
    <n v="79552"/>
  </r>
  <r>
    <x v="9"/>
    <x v="9"/>
    <s v="Electric Generators, Independent Power Producers"/>
    <x v="6"/>
    <n v="246892"/>
  </r>
  <r>
    <x v="9"/>
    <x v="9"/>
    <s v="Electric Generators, Electric Utilities"/>
    <x v="0"/>
    <n v="166914264"/>
  </r>
  <r>
    <x v="9"/>
    <x v="9"/>
    <s v="Electric Generators, Electric Utilities"/>
    <x v="1"/>
    <n v="62680522"/>
  </r>
  <r>
    <x v="9"/>
    <x v="9"/>
    <s v="Electric Generators, Electric Utilities"/>
    <x v="2"/>
    <n v="140175"/>
  </r>
  <r>
    <x v="9"/>
    <x v="9"/>
    <s v="Electric Generators, Electric Utilities"/>
    <x v="3"/>
    <n v="35853511"/>
  </r>
  <r>
    <x v="9"/>
    <x v="9"/>
    <s v="Electric Generators, Electric Utilities"/>
    <x v="7"/>
    <n v="31526285"/>
  </r>
  <r>
    <x v="9"/>
    <x v="9"/>
    <s v="Electric Generators, Electric Utilities"/>
    <x v="8"/>
    <n v="16428"/>
  </r>
  <r>
    <x v="9"/>
    <x v="9"/>
    <s v="Electric Generators, Electric Utilities"/>
    <x v="4"/>
    <n v="36697343"/>
  </r>
  <r>
    <x v="9"/>
    <x v="9"/>
    <s v="Combined Heat and Power, Industrial Power"/>
    <x v="0"/>
    <n v="6145881"/>
  </r>
  <r>
    <x v="9"/>
    <x v="9"/>
    <s v="Combined Heat and Power, Industrial Power"/>
    <x v="1"/>
    <n v="322179"/>
  </r>
  <r>
    <x v="9"/>
    <x v="9"/>
    <s v="Combined Heat and Power, Industrial Power"/>
    <x v="3"/>
    <n v="1642645"/>
  </r>
  <r>
    <x v="9"/>
    <x v="9"/>
    <s v="Combined Heat and Power, Industrial Power"/>
    <x v="12"/>
    <n v="2038076"/>
  </r>
  <r>
    <x v="9"/>
    <x v="9"/>
    <s v="Combined Heat and Power, Industrial Power"/>
    <x v="8"/>
    <n v="164044"/>
  </r>
  <r>
    <x v="9"/>
    <x v="9"/>
    <s v="Combined Heat and Power, Industrial Power"/>
    <x v="9"/>
    <n v="26294"/>
  </r>
  <r>
    <x v="9"/>
    <x v="9"/>
    <s v="Combined Heat and Power, Industrial Power"/>
    <x v="4"/>
    <n v="339016"/>
  </r>
  <r>
    <x v="9"/>
    <x v="9"/>
    <s v="Combined Heat and Power, Industrial Power"/>
    <x v="6"/>
    <n v="1613627"/>
  </r>
  <r>
    <x v="9"/>
    <x v="9"/>
    <s v="Combined Heat and Power, Electric Power"/>
    <x v="0"/>
    <n v="9525895"/>
  </r>
  <r>
    <x v="9"/>
    <x v="9"/>
    <s v="Combined Heat and Power, Electric Power"/>
    <x v="1"/>
    <n v="4627226"/>
  </r>
  <r>
    <x v="9"/>
    <x v="9"/>
    <s v="Combined Heat and Power, Electric Power"/>
    <x v="3"/>
    <n v="4427773"/>
  </r>
  <r>
    <x v="9"/>
    <x v="9"/>
    <s v="Combined Heat and Power, Electric Power"/>
    <x v="8"/>
    <n v="247647"/>
  </r>
  <r>
    <x v="9"/>
    <x v="9"/>
    <s v="Combined Heat and Power, Electric Power"/>
    <x v="4"/>
    <n v="14407"/>
  </r>
  <r>
    <x v="9"/>
    <x v="9"/>
    <s v="Combined Heat and Power, Electric Power"/>
    <x v="6"/>
    <n v="208842"/>
  </r>
  <r>
    <x v="9"/>
    <x v="9"/>
    <s v="Combined Heat and Power, Commercial Power"/>
    <x v="0"/>
    <n v="117284"/>
  </r>
  <r>
    <x v="9"/>
    <x v="9"/>
    <s v="Combined Heat and Power, Commercial Power"/>
    <x v="3"/>
    <n v="84398"/>
  </r>
  <r>
    <x v="9"/>
    <x v="9"/>
    <s v="Combined Heat and Power, Commercial Power"/>
    <x v="8"/>
    <n v="32574"/>
  </r>
  <r>
    <x v="9"/>
    <x v="9"/>
    <s v="Combined Heat and Power, Commercial Power"/>
    <x v="4"/>
    <n v="312"/>
  </r>
  <r>
    <x v="9"/>
    <x v="10"/>
    <s v="Total Electric Power Industry"/>
    <x v="0"/>
    <n v="117338745"/>
  </r>
  <r>
    <x v="9"/>
    <x v="10"/>
    <s v="Total Electric Power Industry"/>
    <x v="1"/>
    <n v="75144659"/>
  </r>
  <r>
    <x v="9"/>
    <x v="10"/>
    <s v="Total Electric Power Industry"/>
    <x v="2"/>
    <n v="2751174"/>
  </r>
  <r>
    <x v="9"/>
    <x v="10"/>
    <s v="Total Electric Power Industry"/>
    <x v="3"/>
    <n v="3228769"/>
  </r>
  <r>
    <x v="9"/>
    <x v="10"/>
    <s v="Total Electric Power Industry"/>
    <x v="7"/>
    <n v="31478122"/>
  </r>
  <r>
    <x v="9"/>
    <x v="10"/>
    <s v="Total Electric Power Industry"/>
    <x v="12"/>
    <n v="9069"/>
  </r>
  <r>
    <x v="9"/>
    <x v="10"/>
    <s v="Total Electric Power Industry"/>
    <x v="8"/>
    <n v="47112"/>
  </r>
  <r>
    <x v="9"/>
    <x v="10"/>
    <s v="Total Electric Power Industry"/>
    <x v="4"/>
    <n v="1562467"/>
  </r>
  <r>
    <x v="9"/>
    <x v="10"/>
    <s v="Total Electric Power Industry"/>
    <x v="10"/>
    <n v="-48086"/>
  </r>
  <r>
    <x v="9"/>
    <x v="10"/>
    <s v="Total Electric Power Industry"/>
    <x v="6"/>
    <n v="3165459"/>
  </r>
  <r>
    <x v="9"/>
    <x v="10"/>
    <s v="Electric Generators, Independent Power Producers"/>
    <x v="0"/>
    <n v="513264"/>
  </r>
  <r>
    <x v="9"/>
    <x v="10"/>
    <s v="Electric Generators, Independent Power Producers"/>
    <x v="2"/>
    <n v="8691"/>
  </r>
  <r>
    <x v="9"/>
    <x v="10"/>
    <s v="Electric Generators, Independent Power Producers"/>
    <x v="3"/>
    <n v="476107"/>
  </r>
  <r>
    <x v="9"/>
    <x v="10"/>
    <s v="Electric Generators, Independent Power Producers"/>
    <x v="8"/>
    <n v="16729"/>
  </r>
  <r>
    <x v="9"/>
    <x v="10"/>
    <s v="Electric Generators, Independent Power Producers"/>
    <x v="4"/>
    <n v="11737"/>
  </r>
  <r>
    <x v="9"/>
    <x v="10"/>
    <s v="Electric Generators, Electric Utilities"/>
    <x v="0"/>
    <n v="110536794"/>
  </r>
  <r>
    <x v="9"/>
    <x v="10"/>
    <s v="Electric Generators, Electric Utilities"/>
    <x v="1"/>
    <n v="74067633"/>
  </r>
  <r>
    <x v="9"/>
    <x v="10"/>
    <s v="Electric Generators, Electric Utilities"/>
    <x v="2"/>
    <n v="2722553"/>
  </r>
  <r>
    <x v="9"/>
    <x v="10"/>
    <s v="Electric Generators, Electric Utilities"/>
    <x v="3"/>
    <n v="1653873"/>
  </r>
  <r>
    <x v="9"/>
    <x v="10"/>
    <s v="Electric Generators, Electric Utilities"/>
    <x v="7"/>
    <n v="31478122"/>
  </r>
  <r>
    <x v="9"/>
    <x v="10"/>
    <s v="Electric Generators, Electric Utilities"/>
    <x v="4"/>
    <n v="662699"/>
  </r>
  <r>
    <x v="9"/>
    <x v="10"/>
    <s v="Electric Generators, Electric Utilities"/>
    <x v="10"/>
    <n v="-48086"/>
  </r>
  <r>
    <x v="9"/>
    <x v="10"/>
    <s v="Combined Heat and Power, Industrial Power"/>
    <x v="0"/>
    <n v="5553755"/>
  </r>
  <r>
    <x v="9"/>
    <x v="10"/>
    <s v="Combined Heat and Power, Industrial Power"/>
    <x v="1"/>
    <n v="1077026"/>
  </r>
  <r>
    <x v="9"/>
    <x v="10"/>
    <s v="Combined Heat and Power, Industrial Power"/>
    <x v="2"/>
    <n v="19930"/>
  </r>
  <r>
    <x v="9"/>
    <x v="10"/>
    <s v="Combined Heat and Power, Industrial Power"/>
    <x v="3"/>
    <n v="391731"/>
  </r>
  <r>
    <x v="9"/>
    <x v="10"/>
    <s v="Combined Heat and Power, Industrial Power"/>
    <x v="12"/>
    <n v="9069"/>
  </r>
  <r>
    <x v="9"/>
    <x v="10"/>
    <s v="Combined Heat and Power, Industrial Power"/>
    <x v="8"/>
    <n v="30383"/>
  </r>
  <r>
    <x v="9"/>
    <x v="10"/>
    <s v="Combined Heat and Power, Industrial Power"/>
    <x v="4"/>
    <n v="860157"/>
  </r>
  <r>
    <x v="9"/>
    <x v="10"/>
    <s v="Combined Heat and Power, Industrial Power"/>
    <x v="6"/>
    <n v="3165459"/>
  </r>
  <r>
    <x v="9"/>
    <x v="10"/>
    <s v="Combined Heat and Power, Electric Power"/>
    <x v="0"/>
    <n v="715946"/>
  </r>
  <r>
    <x v="9"/>
    <x v="10"/>
    <s v="Combined Heat and Power, Electric Power"/>
    <x v="3"/>
    <n v="707058"/>
  </r>
  <r>
    <x v="9"/>
    <x v="10"/>
    <s v="Combined Heat and Power, Electric Power"/>
    <x v="4"/>
    <n v="8888"/>
  </r>
  <r>
    <x v="9"/>
    <x v="10"/>
    <s v="Combined Heat and Power, Commercial Power"/>
    <x v="0"/>
    <n v="18986"/>
  </r>
  <r>
    <x v="9"/>
    <x v="10"/>
    <s v="Combined Heat and Power, Commercial Power"/>
    <x v="4"/>
    <n v="18986"/>
  </r>
  <r>
    <x v="9"/>
    <x v="11"/>
    <s v="Total Electric Power Industry"/>
    <x v="0"/>
    <n v="10403926"/>
  </r>
  <r>
    <x v="9"/>
    <x v="11"/>
    <s v="Total Electric Power Industry"/>
    <x v="1"/>
    <n v="1440245"/>
  </r>
  <r>
    <x v="9"/>
    <x v="11"/>
    <s v="Total Electric Power Industry"/>
    <x v="11"/>
    <n v="210857"/>
  </r>
  <r>
    <x v="9"/>
    <x v="11"/>
    <s v="Total Electric Power Industry"/>
    <x v="2"/>
    <n v="114902"/>
  </r>
  <r>
    <x v="9"/>
    <x v="11"/>
    <s v="Total Electric Power Industry"/>
    <x v="8"/>
    <n v="576595"/>
  </r>
  <r>
    <x v="9"/>
    <x v="11"/>
    <s v="Total Electric Power Industry"/>
    <x v="9"/>
    <n v="49511"/>
  </r>
  <r>
    <x v="9"/>
    <x v="11"/>
    <s v="Total Electric Power Industry"/>
    <x v="4"/>
    <n v="7995322"/>
  </r>
  <r>
    <x v="9"/>
    <x v="11"/>
    <s v="Total Electric Power Industry"/>
    <x v="5"/>
    <n v="16494"/>
  </r>
  <r>
    <x v="9"/>
    <x v="11"/>
    <s v="Electric Generators, Independent Power Producers"/>
    <x v="0"/>
    <n v="602820"/>
  </r>
  <r>
    <x v="9"/>
    <x v="11"/>
    <s v="Electric Generators, Independent Power Producers"/>
    <x v="11"/>
    <n v="210857"/>
  </r>
  <r>
    <x v="9"/>
    <x v="11"/>
    <s v="Electric Generators, Independent Power Producers"/>
    <x v="2"/>
    <n v="25902"/>
  </r>
  <r>
    <x v="9"/>
    <x v="11"/>
    <s v="Electric Generators, Independent Power Producers"/>
    <x v="8"/>
    <n v="351102"/>
  </r>
  <r>
    <x v="9"/>
    <x v="11"/>
    <s v="Electric Generators, Independent Power Producers"/>
    <x v="4"/>
    <n v="2260"/>
  </r>
  <r>
    <x v="9"/>
    <x v="11"/>
    <s v="Electric Generators, Independent Power Producers"/>
    <x v="5"/>
    <n v="12699"/>
  </r>
  <r>
    <x v="9"/>
    <x v="11"/>
    <s v="Electric Generators, Electric Utilities"/>
    <x v="0"/>
    <n v="6452068"/>
  </r>
  <r>
    <x v="9"/>
    <x v="11"/>
    <s v="Electric Generators, Electric Utilities"/>
    <x v="2"/>
    <n v="18844"/>
  </r>
  <r>
    <x v="9"/>
    <x v="11"/>
    <s v="Electric Generators, Electric Utilities"/>
    <x v="4"/>
    <n v="6429429"/>
  </r>
  <r>
    <x v="9"/>
    <x v="11"/>
    <s v="Electric Generators, Electric Utilities"/>
    <x v="5"/>
    <n v="3795"/>
  </r>
  <r>
    <x v="9"/>
    <x v="11"/>
    <s v="Combined Heat and Power, Industrial Power"/>
    <x v="0"/>
    <n v="567003"/>
  </r>
  <r>
    <x v="9"/>
    <x v="11"/>
    <s v="Combined Heat and Power, Industrial Power"/>
    <x v="1"/>
    <n v="16420"/>
  </r>
  <r>
    <x v="9"/>
    <x v="11"/>
    <s v="Combined Heat and Power, Industrial Power"/>
    <x v="2"/>
    <n v="70156"/>
  </r>
  <r>
    <x v="9"/>
    <x v="11"/>
    <s v="Combined Heat and Power, Industrial Power"/>
    <x v="8"/>
    <n v="213146"/>
  </r>
  <r>
    <x v="9"/>
    <x v="11"/>
    <s v="Combined Heat and Power, Industrial Power"/>
    <x v="9"/>
    <n v="49511"/>
  </r>
  <r>
    <x v="9"/>
    <x v="11"/>
    <s v="Combined Heat and Power, Industrial Power"/>
    <x v="4"/>
    <n v="217770"/>
  </r>
  <r>
    <x v="9"/>
    <x v="11"/>
    <s v="Combined Heat and Power, Electric Power"/>
    <x v="0"/>
    <n v="2782035"/>
  </r>
  <r>
    <x v="9"/>
    <x v="11"/>
    <s v="Combined Heat and Power, Electric Power"/>
    <x v="1"/>
    <n v="1423825"/>
  </r>
  <r>
    <x v="9"/>
    <x v="11"/>
    <s v="Combined Heat and Power, Electric Power"/>
    <x v="8"/>
    <n v="12347"/>
  </r>
  <r>
    <x v="9"/>
    <x v="11"/>
    <s v="Combined Heat and Power, Electric Power"/>
    <x v="4"/>
    <n v="1345863"/>
  </r>
  <r>
    <x v="9"/>
    <x v="12"/>
    <s v="Total Electric Power Industry"/>
    <x v="0"/>
    <n v="38801481"/>
  </r>
  <r>
    <x v="9"/>
    <x v="12"/>
    <s v="Total Electric Power Industry"/>
    <x v="1"/>
    <n v="33154236"/>
  </r>
  <r>
    <x v="9"/>
    <x v="12"/>
    <s v="Total Electric Power Industry"/>
    <x v="2"/>
    <n v="945622"/>
  </r>
  <r>
    <x v="9"/>
    <x v="12"/>
    <s v="Total Electric Power Industry"/>
    <x v="3"/>
    <n v="507375"/>
  </r>
  <r>
    <x v="9"/>
    <x v="12"/>
    <s v="Total Electric Power Industry"/>
    <x v="7"/>
    <n v="3640258"/>
  </r>
  <r>
    <x v="9"/>
    <x v="12"/>
    <s v="Total Electric Power Industry"/>
    <x v="8"/>
    <n v="90577"/>
  </r>
  <r>
    <x v="9"/>
    <x v="12"/>
    <s v="Total Electric Power Industry"/>
    <x v="4"/>
    <n v="136453"/>
  </r>
  <r>
    <x v="9"/>
    <x v="12"/>
    <s v="Total Electric Power Industry"/>
    <x v="5"/>
    <n v="326354"/>
  </r>
  <r>
    <x v="9"/>
    <x v="12"/>
    <s v="Total Electric Power Industry"/>
    <x v="6"/>
    <n v="606"/>
  </r>
  <r>
    <x v="9"/>
    <x v="12"/>
    <s v="Electric Generators, Independent Power Producers"/>
    <x v="0"/>
    <n v="344184"/>
  </r>
  <r>
    <x v="9"/>
    <x v="12"/>
    <s v="Electric Generators, Independent Power Producers"/>
    <x v="2"/>
    <n v="14549"/>
  </r>
  <r>
    <x v="9"/>
    <x v="12"/>
    <s v="Electric Generators, Independent Power Producers"/>
    <x v="4"/>
    <n v="4944"/>
  </r>
  <r>
    <x v="9"/>
    <x v="12"/>
    <s v="Electric Generators, Independent Power Producers"/>
    <x v="5"/>
    <n v="324691"/>
  </r>
  <r>
    <x v="9"/>
    <x v="12"/>
    <s v="Electric Generators, Electric Utilities"/>
    <x v="0"/>
    <n v="37032053"/>
  </r>
  <r>
    <x v="9"/>
    <x v="12"/>
    <s v="Electric Generators, Electric Utilities"/>
    <x v="1"/>
    <n v="31946304"/>
  </r>
  <r>
    <x v="9"/>
    <x v="12"/>
    <s v="Electric Generators, Electric Utilities"/>
    <x v="2"/>
    <n v="931073"/>
  </r>
  <r>
    <x v="9"/>
    <x v="12"/>
    <s v="Electric Generators, Electric Utilities"/>
    <x v="3"/>
    <n v="364434"/>
  </r>
  <r>
    <x v="9"/>
    <x v="12"/>
    <s v="Electric Generators, Electric Utilities"/>
    <x v="7"/>
    <n v="3640258"/>
  </r>
  <r>
    <x v="9"/>
    <x v="12"/>
    <s v="Electric Generators, Electric Utilities"/>
    <x v="8"/>
    <n v="20101"/>
  </r>
  <r>
    <x v="9"/>
    <x v="12"/>
    <s v="Electric Generators, Electric Utilities"/>
    <x v="4"/>
    <n v="128220"/>
  </r>
  <r>
    <x v="9"/>
    <x v="12"/>
    <s v="Electric Generators, Electric Utilities"/>
    <x v="5"/>
    <n v="1663"/>
  </r>
  <r>
    <x v="9"/>
    <x v="12"/>
    <s v="Combined Heat and Power, Industrial Power"/>
    <x v="0"/>
    <n v="1153917"/>
  </r>
  <r>
    <x v="9"/>
    <x v="12"/>
    <s v="Combined Heat and Power, Industrial Power"/>
    <x v="1"/>
    <n v="1027616"/>
  </r>
  <r>
    <x v="9"/>
    <x v="12"/>
    <s v="Combined Heat and Power, Industrial Power"/>
    <x v="3"/>
    <n v="125659"/>
  </r>
  <r>
    <x v="9"/>
    <x v="12"/>
    <s v="Combined Heat and Power, Industrial Power"/>
    <x v="4"/>
    <n v="36"/>
  </r>
  <r>
    <x v="9"/>
    <x v="12"/>
    <s v="Combined Heat and Power, Industrial Power"/>
    <x v="6"/>
    <n v="606"/>
  </r>
  <r>
    <x v="9"/>
    <x v="12"/>
    <s v="Combined Heat and Power, Electric Power"/>
    <x v="0"/>
    <n v="157213"/>
  </r>
  <r>
    <x v="9"/>
    <x v="12"/>
    <s v="Combined Heat and Power, Electric Power"/>
    <x v="1"/>
    <n v="102873"/>
  </r>
  <r>
    <x v="9"/>
    <x v="12"/>
    <s v="Combined Heat and Power, Electric Power"/>
    <x v="8"/>
    <n v="54340"/>
  </r>
  <r>
    <x v="9"/>
    <x v="12"/>
    <s v="Combined Heat and Power, Commercial Power"/>
    <x v="0"/>
    <n v="114114"/>
  </r>
  <r>
    <x v="9"/>
    <x v="12"/>
    <s v="Combined Heat and Power, Commercial Power"/>
    <x v="1"/>
    <n v="77443"/>
  </r>
  <r>
    <x v="9"/>
    <x v="12"/>
    <s v="Combined Heat and Power, Commercial Power"/>
    <x v="3"/>
    <n v="17282"/>
  </r>
  <r>
    <x v="9"/>
    <x v="12"/>
    <s v="Combined Heat and Power, Commercial Power"/>
    <x v="8"/>
    <n v="16136"/>
  </r>
  <r>
    <x v="9"/>
    <x v="12"/>
    <s v="Combined Heat and Power, Commercial Power"/>
    <x v="4"/>
    <n v="3253"/>
  </r>
  <r>
    <x v="9"/>
    <x v="13"/>
    <s v="Total Electric Power Industry"/>
    <x v="0"/>
    <n v="14436648"/>
  </r>
  <r>
    <x v="9"/>
    <x v="13"/>
    <s v="Total Electric Power Industry"/>
    <x v="1"/>
    <n v="51887"/>
  </r>
  <r>
    <x v="9"/>
    <x v="13"/>
    <s v="Total Electric Power Industry"/>
    <x v="2"/>
    <n v="13499151"/>
  </r>
  <r>
    <x v="9"/>
    <x v="13"/>
    <s v="Total Electric Power Industry"/>
    <x v="3"/>
    <n v="331610"/>
  </r>
  <r>
    <x v="9"/>
    <x v="13"/>
    <s v="Total Electric Power Industry"/>
    <x v="12"/>
    <n v="81071"/>
  </r>
  <r>
    <x v="9"/>
    <x v="13"/>
    <s v="Total Electric Power Industry"/>
    <x v="4"/>
    <n v="244"/>
  </r>
  <r>
    <x v="9"/>
    <x v="13"/>
    <s v="Total Electric Power Industry"/>
    <x v="6"/>
    <n v="472685"/>
  </r>
  <r>
    <x v="9"/>
    <x v="13"/>
    <s v="Electric Generators, Independent Power Producers"/>
    <x v="0"/>
    <n v="1043186"/>
  </r>
  <r>
    <x v="9"/>
    <x v="13"/>
    <s v="Electric Generators, Independent Power Producers"/>
    <x v="2"/>
    <n v="1043186"/>
  </r>
  <r>
    <x v="9"/>
    <x v="13"/>
    <s v="Electric Generators, Electric Utilities"/>
    <x v="0"/>
    <n v="12456120"/>
  </r>
  <r>
    <x v="9"/>
    <x v="13"/>
    <s v="Electric Generators, Electric Utilities"/>
    <x v="2"/>
    <n v="12455965"/>
  </r>
  <r>
    <x v="9"/>
    <x v="13"/>
    <s v="Electric Generators, Electric Utilities"/>
    <x v="3"/>
    <n v="0"/>
  </r>
  <r>
    <x v="9"/>
    <x v="13"/>
    <s v="Electric Generators, Electric Utilities"/>
    <x v="4"/>
    <n v="155"/>
  </r>
  <r>
    <x v="9"/>
    <x v="13"/>
    <s v="Combined Heat and Power, Industrial Power"/>
    <x v="0"/>
    <n v="728553"/>
  </r>
  <r>
    <x v="9"/>
    <x v="13"/>
    <s v="Combined Heat and Power, Industrial Power"/>
    <x v="1"/>
    <n v="51887"/>
  </r>
  <r>
    <x v="9"/>
    <x v="13"/>
    <s v="Combined Heat and Power, Industrial Power"/>
    <x v="3"/>
    <n v="165070"/>
  </r>
  <r>
    <x v="9"/>
    <x v="13"/>
    <s v="Combined Heat and Power, Industrial Power"/>
    <x v="12"/>
    <n v="81071"/>
  </r>
  <r>
    <x v="9"/>
    <x v="13"/>
    <s v="Combined Heat and Power, Industrial Power"/>
    <x v="4"/>
    <n v="89"/>
  </r>
  <r>
    <x v="9"/>
    <x v="13"/>
    <s v="Combined Heat and Power, Industrial Power"/>
    <x v="6"/>
    <n v="430436"/>
  </r>
  <r>
    <x v="9"/>
    <x v="13"/>
    <s v="Combined Heat and Power, Electric Power"/>
    <x v="0"/>
    <n v="208789"/>
  </r>
  <r>
    <x v="9"/>
    <x v="13"/>
    <s v="Combined Heat and Power, Electric Power"/>
    <x v="3"/>
    <n v="166540"/>
  </r>
  <r>
    <x v="9"/>
    <x v="13"/>
    <s v="Combined Heat and Power, Electric Power"/>
    <x v="6"/>
    <n v="42249"/>
  </r>
  <r>
    <x v="9"/>
    <x v="14"/>
    <s v="Total Electric Power Industry"/>
    <x v="0"/>
    <n v="163410520"/>
  </r>
  <r>
    <x v="9"/>
    <x v="14"/>
    <s v="Total Electric Power Industry"/>
    <x v="1"/>
    <n v="75089527"/>
  </r>
  <r>
    <x v="9"/>
    <x v="14"/>
    <s v="Total Electric Power Industry"/>
    <x v="2"/>
    <n v="142094"/>
  </r>
  <r>
    <x v="9"/>
    <x v="14"/>
    <s v="Total Electric Power Industry"/>
    <x v="3"/>
    <n v="4996528"/>
  </r>
  <r>
    <x v="9"/>
    <x v="14"/>
    <s v="Total Electric Power Industry"/>
    <x v="7"/>
    <n v="81743889"/>
  </r>
  <r>
    <x v="9"/>
    <x v="14"/>
    <s v="Total Electric Power Industry"/>
    <x v="12"/>
    <n v="20883"/>
  </r>
  <r>
    <x v="9"/>
    <x v="14"/>
    <s v="Total Electric Power Industry"/>
    <x v="8"/>
    <n v="695584"/>
  </r>
  <r>
    <x v="9"/>
    <x v="14"/>
    <s v="Total Electric Power Industry"/>
    <x v="9"/>
    <n v="321263"/>
  </r>
  <r>
    <x v="9"/>
    <x v="14"/>
    <s v="Total Electric Power Industry"/>
    <x v="4"/>
    <n v="400486"/>
  </r>
  <r>
    <x v="9"/>
    <x v="14"/>
    <s v="Total Electric Power Industry"/>
    <x v="6"/>
    <n v="266"/>
  </r>
  <r>
    <x v="9"/>
    <x v="14"/>
    <s v="Electric Generators, Independent Power Producers"/>
    <x v="0"/>
    <n v="9608640"/>
  </r>
  <r>
    <x v="9"/>
    <x v="14"/>
    <s v="Electric Generators, Independent Power Producers"/>
    <x v="1"/>
    <n v="8349842"/>
  </r>
  <r>
    <x v="9"/>
    <x v="14"/>
    <s v="Electric Generators, Independent Power Producers"/>
    <x v="2"/>
    <n v="86812"/>
  </r>
  <r>
    <x v="9"/>
    <x v="14"/>
    <s v="Electric Generators, Independent Power Producers"/>
    <x v="3"/>
    <n v="458087"/>
  </r>
  <r>
    <x v="9"/>
    <x v="14"/>
    <s v="Electric Generators, Independent Power Producers"/>
    <x v="7"/>
    <n v="387938"/>
  </r>
  <r>
    <x v="9"/>
    <x v="14"/>
    <s v="Electric Generators, Independent Power Producers"/>
    <x v="8"/>
    <n v="322786"/>
  </r>
  <r>
    <x v="9"/>
    <x v="14"/>
    <s v="Electric Generators, Independent Power Producers"/>
    <x v="4"/>
    <n v="3175"/>
  </r>
  <r>
    <x v="9"/>
    <x v="14"/>
    <s v="Electric Generators, Electric Utilities"/>
    <x v="0"/>
    <n v="149807865"/>
  </r>
  <r>
    <x v="9"/>
    <x v="14"/>
    <s v="Electric Generators, Electric Utilities"/>
    <x v="1"/>
    <n v="64918712"/>
  </r>
  <r>
    <x v="9"/>
    <x v="14"/>
    <s v="Electric Generators, Electric Utilities"/>
    <x v="2"/>
    <n v="52030"/>
  </r>
  <r>
    <x v="9"/>
    <x v="14"/>
    <s v="Electric Generators, Electric Utilities"/>
    <x v="3"/>
    <n v="3041941"/>
  </r>
  <r>
    <x v="9"/>
    <x v="14"/>
    <s v="Electric Generators, Electric Utilities"/>
    <x v="7"/>
    <n v="81355951"/>
  </r>
  <r>
    <x v="9"/>
    <x v="14"/>
    <s v="Electric Generators, Electric Utilities"/>
    <x v="8"/>
    <n v="66844"/>
  </r>
  <r>
    <x v="9"/>
    <x v="14"/>
    <s v="Electric Generators, Electric Utilities"/>
    <x v="4"/>
    <n v="372387"/>
  </r>
  <r>
    <x v="9"/>
    <x v="14"/>
    <s v="Electric Generators, Electric Utilities"/>
    <x v="6"/>
    <n v="0"/>
  </r>
  <r>
    <x v="9"/>
    <x v="14"/>
    <s v="Combined Heat and Power, Industrial Power"/>
    <x v="0"/>
    <n v="2849966"/>
  </r>
  <r>
    <x v="9"/>
    <x v="14"/>
    <s v="Combined Heat and Power, Industrial Power"/>
    <x v="1"/>
    <n v="1714221"/>
  </r>
  <r>
    <x v="9"/>
    <x v="14"/>
    <s v="Combined Heat and Power, Industrial Power"/>
    <x v="3"/>
    <n v="742879"/>
  </r>
  <r>
    <x v="9"/>
    <x v="14"/>
    <s v="Combined Heat and Power, Industrial Power"/>
    <x v="12"/>
    <n v="20883"/>
  </r>
  <r>
    <x v="9"/>
    <x v="14"/>
    <s v="Combined Heat and Power, Industrial Power"/>
    <x v="8"/>
    <n v="28482"/>
  </r>
  <r>
    <x v="9"/>
    <x v="14"/>
    <s v="Combined Heat and Power, Industrial Power"/>
    <x v="9"/>
    <n v="321263"/>
  </r>
  <r>
    <x v="9"/>
    <x v="14"/>
    <s v="Combined Heat and Power, Industrial Power"/>
    <x v="4"/>
    <n v="21972"/>
  </r>
  <r>
    <x v="9"/>
    <x v="14"/>
    <s v="Combined Heat and Power, Industrial Power"/>
    <x v="6"/>
    <n v="266"/>
  </r>
  <r>
    <x v="9"/>
    <x v="14"/>
    <s v="Combined Heat and Power, Electric Power"/>
    <x v="0"/>
    <n v="894504"/>
  </r>
  <r>
    <x v="9"/>
    <x v="14"/>
    <s v="Combined Heat and Power, Electric Power"/>
    <x v="1"/>
    <n v="62575"/>
  </r>
  <r>
    <x v="9"/>
    <x v="14"/>
    <s v="Combined Heat and Power, Electric Power"/>
    <x v="3"/>
    <n v="560506"/>
  </r>
  <r>
    <x v="9"/>
    <x v="14"/>
    <s v="Combined Heat and Power, Electric Power"/>
    <x v="8"/>
    <n v="271423"/>
  </r>
  <r>
    <x v="9"/>
    <x v="14"/>
    <s v="Combined Heat and Power, Commercial Power"/>
    <x v="0"/>
    <n v="249545"/>
  </r>
  <r>
    <x v="9"/>
    <x v="14"/>
    <s v="Combined Heat and Power, Commercial Power"/>
    <x v="1"/>
    <n v="44177"/>
  </r>
  <r>
    <x v="9"/>
    <x v="14"/>
    <s v="Combined Heat and Power, Commercial Power"/>
    <x v="2"/>
    <n v="3252"/>
  </r>
  <r>
    <x v="9"/>
    <x v="14"/>
    <s v="Combined Heat and Power, Commercial Power"/>
    <x v="3"/>
    <n v="193115"/>
  </r>
  <r>
    <x v="9"/>
    <x v="14"/>
    <s v="Combined Heat and Power, Commercial Power"/>
    <x v="8"/>
    <n v="6049"/>
  </r>
  <r>
    <x v="9"/>
    <x v="14"/>
    <s v="Combined Heat and Power, Commercial Power"/>
    <x v="4"/>
    <n v="2952"/>
  </r>
  <r>
    <x v="9"/>
    <x v="15"/>
    <s v="Total Electric Power Industry"/>
    <x v="0"/>
    <n v="121764501"/>
  </r>
  <r>
    <x v="9"/>
    <x v="15"/>
    <s v="Total Electric Power Industry"/>
    <x v="1"/>
    <n v="115209205"/>
  </r>
  <r>
    <x v="9"/>
    <x v="15"/>
    <s v="Total Electric Power Industry"/>
    <x v="2"/>
    <n v="406974"/>
  </r>
  <r>
    <x v="9"/>
    <x v="15"/>
    <s v="Total Electric Power Industry"/>
    <x v="3"/>
    <n v="2109121"/>
  </r>
  <r>
    <x v="9"/>
    <x v="15"/>
    <s v="Total Electric Power Industry"/>
    <x v="12"/>
    <n v="23876"/>
  </r>
  <r>
    <x v="9"/>
    <x v="15"/>
    <s v="Total Electric Power Industry"/>
    <x v="8"/>
    <n v="125978"/>
  </r>
  <r>
    <x v="9"/>
    <x v="15"/>
    <s v="Total Electric Power Industry"/>
    <x v="9"/>
    <n v="2968890"/>
  </r>
  <r>
    <x v="9"/>
    <x v="15"/>
    <s v="Total Electric Power Industry"/>
    <x v="4"/>
    <n v="920457"/>
  </r>
  <r>
    <x v="9"/>
    <x v="15"/>
    <s v="Electric Generators, Independent Power Producers"/>
    <x v="0"/>
    <n v="2827543"/>
  </r>
  <r>
    <x v="9"/>
    <x v="15"/>
    <s v="Electric Generators, Independent Power Producers"/>
    <x v="1"/>
    <n v="2345389"/>
  </r>
  <r>
    <x v="9"/>
    <x v="15"/>
    <s v="Electric Generators, Independent Power Producers"/>
    <x v="3"/>
    <n v="395259"/>
  </r>
  <r>
    <x v="9"/>
    <x v="15"/>
    <s v="Electric Generators, Independent Power Producers"/>
    <x v="8"/>
    <n v="86895"/>
  </r>
  <r>
    <x v="9"/>
    <x v="15"/>
    <s v="Electric Generators, Electric Utilities"/>
    <x v="0"/>
    <n v="114182827"/>
  </r>
  <r>
    <x v="9"/>
    <x v="15"/>
    <s v="Electric Generators, Electric Utilities"/>
    <x v="1"/>
    <n v="112336883"/>
  </r>
  <r>
    <x v="9"/>
    <x v="15"/>
    <s v="Electric Generators, Electric Utilities"/>
    <x v="2"/>
    <n v="406974"/>
  </r>
  <r>
    <x v="9"/>
    <x v="15"/>
    <s v="Electric Generators, Electric Utilities"/>
    <x v="3"/>
    <n v="625738"/>
  </r>
  <r>
    <x v="9"/>
    <x v="15"/>
    <s v="Electric Generators, Electric Utilities"/>
    <x v="4"/>
    <n v="813232"/>
  </r>
  <r>
    <x v="9"/>
    <x v="15"/>
    <s v="Combined Heat and Power, Industrial Power"/>
    <x v="0"/>
    <n v="4559462"/>
  </r>
  <r>
    <x v="9"/>
    <x v="15"/>
    <s v="Combined Heat and Power, Industrial Power"/>
    <x v="1"/>
    <n v="395404"/>
  </r>
  <r>
    <x v="9"/>
    <x v="15"/>
    <s v="Combined Heat and Power, Industrial Power"/>
    <x v="3"/>
    <n v="1064886"/>
  </r>
  <r>
    <x v="9"/>
    <x v="15"/>
    <s v="Combined Heat and Power, Industrial Power"/>
    <x v="12"/>
    <n v="23876"/>
  </r>
  <r>
    <x v="9"/>
    <x v="15"/>
    <s v="Combined Heat and Power, Industrial Power"/>
    <x v="8"/>
    <n v="1313"/>
  </r>
  <r>
    <x v="9"/>
    <x v="15"/>
    <s v="Combined Heat and Power, Industrial Power"/>
    <x v="9"/>
    <n v="2968890"/>
  </r>
  <r>
    <x v="9"/>
    <x v="15"/>
    <s v="Combined Heat and Power, Industrial Power"/>
    <x v="4"/>
    <n v="105093"/>
  </r>
  <r>
    <x v="9"/>
    <x v="15"/>
    <s v="Combined Heat and Power, Commercial Power"/>
    <x v="0"/>
    <n v="194669"/>
  </r>
  <r>
    <x v="9"/>
    <x v="15"/>
    <s v="Combined Heat and Power, Commercial Power"/>
    <x v="1"/>
    <n v="131529"/>
  </r>
  <r>
    <x v="9"/>
    <x v="15"/>
    <s v="Combined Heat and Power, Commercial Power"/>
    <x v="3"/>
    <n v="23238"/>
  </r>
  <r>
    <x v="9"/>
    <x v="15"/>
    <s v="Combined Heat and Power, Commercial Power"/>
    <x v="8"/>
    <n v="37770"/>
  </r>
  <r>
    <x v="9"/>
    <x v="15"/>
    <s v="Combined Heat and Power, Commercial Power"/>
    <x v="4"/>
    <n v="2132"/>
  </r>
  <r>
    <x v="9"/>
    <x v="16"/>
    <s v="Total Electric Power Industry"/>
    <x v="0"/>
    <n v="42070230"/>
  </r>
  <r>
    <x v="9"/>
    <x v="16"/>
    <s v="Total Electric Power Industry"/>
    <x v="1"/>
    <n v="29649100"/>
  </r>
  <r>
    <x v="9"/>
    <x v="16"/>
    <s v="Total Electric Power Industry"/>
    <x v="2"/>
    <n v="12367"/>
  </r>
  <r>
    <x v="9"/>
    <x v="16"/>
    <s v="Total Electric Power Industry"/>
    <x v="3"/>
    <n v="2940799"/>
  </r>
  <r>
    <x v="9"/>
    <x v="16"/>
    <s v="Total Electric Power Industry"/>
    <x v="7"/>
    <n v="9156619"/>
  </r>
  <r>
    <x v="9"/>
    <x v="16"/>
    <s v="Total Electric Power Industry"/>
    <x v="4"/>
    <n v="311345"/>
  </r>
  <r>
    <x v="9"/>
    <x v="16"/>
    <s v="Electric Generators, Independent Power Producers"/>
    <x v="0"/>
    <n v="12367"/>
  </r>
  <r>
    <x v="9"/>
    <x v="16"/>
    <s v="Electric Generators, Independent Power Producers"/>
    <x v="2"/>
    <n v="12367"/>
  </r>
  <r>
    <x v="9"/>
    <x v="16"/>
    <s v="Electric Generators, Electric Utilities"/>
    <x v="0"/>
    <n v="42002924"/>
  </r>
  <r>
    <x v="9"/>
    <x v="16"/>
    <s v="Electric Generators, Electric Utilities"/>
    <x v="1"/>
    <n v="29649100"/>
  </r>
  <r>
    <x v="9"/>
    <x v="16"/>
    <s v="Electric Generators, Electric Utilities"/>
    <x v="3"/>
    <n v="2886195"/>
  </r>
  <r>
    <x v="9"/>
    <x v="16"/>
    <s v="Electric Generators, Electric Utilities"/>
    <x v="7"/>
    <n v="9156619"/>
  </r>
  <r>
    <x v="9"/>
    <x v="16"/>
    <s v="Electric Generators, Electric Utilities"/>
    <x v="4"/>
    <n v="311010"/>
  </r>
  <r>
    <x v="9"/>
    <x v="16"/>
    <s v="Combined Heat and Power, Industrial Power"/>
    <x v="0"/>
    <n v="52723"/>
  </r>
  <r>
    <x v="9"/>
    <x v="16"/>
    <s v="Combined Heat and Power, Industrial Power"/>
    <x v="3"/>
    <n v="52388"/>
  </r>
  <r>
    <x v="9"/>
    <x v="16"/>
    <s v="Combined Heat and Power, Industrial Power"/>
    <x v="4"/>
    <n v="335"/>
  </r>
  <r>
    <x v="9"/>
    <x v="16"/>
    <s v="Combined Heat and Power, Commercial Power"/>
    <x v="0"/>
    <n v="2216"/>
  </r>
  <r>
    <x v="9"/>
    <x v="16"/>
    <s v="Combined Heat and Power, Commercial Power"/>
    <x v="3"/>
    <n v="2216"/>
  </r>
  <r>
    <x v="9"/>
    <x v="17"/>
    <s v="Total Electric Power Industry"/>
    <x v="0"/>
    <n v="92681908"/>
  </r>
  <r>
    <x v="9"/>
    <x v="17"/>
    <s v="Total Electric Power Industry"/>
    <x v="1"/>
    <n v="89522933"/>
  </r>
  <r>
    <x v="9"/>
    <x v="17"/>
    <s v="Total Electric Power Industry"/>
    <x v="2"/>
    <n v="2556572"/>
  </r>
  <r>
    <x v="9"/>
    <x v="17"/>
    <s v="Total Electric Power Industry"/>
    <x v="3"/>
    <n v="462510"/>
  </r>
  <r>
    <x v="9"/>
    <x v="17"/>
    <s v="Total Electric Power Industry"/>
    <x v="4"/>
    <n v="127484"/>
  </r>
  <r>
    <x v="9"/>
    <x v="17"/>
    <s v="Total Electric Power Industry"/>
    <x v="6"/>
    <n v="12409"/>
  </r>
  <r>
    <x v="9"/>
    <x v="17"/>
    <s v="Electric Generators, Independent Power Producers"/>
    <x v="0"/>
    <n v="11011349"/>
  </r>
  <r>
    <x v="9"/>
    <x v="17"/>
    <s v="Electric Generators, Independent Power Producers"/>
    <x v="1"/>
    <n v="10978329"/>
  </r>
  <r>
    <x v="9"/>
    <x v="17"/>
    <s v="Electric Generators, Independent Power Producers"/>
    <x v="3"/>
    <n v="9291"/>
  </r>
  <r>
    <x v="9"/>
    <x v="17"/>
    <s v="Electric Generators, Independent Power Producers"/>
    <x v="4"/>
    <n v="23729"/>
  </r>
  <r>
    <x v="9"/>
    <x v="17"/>
    <s v="Electric Generators, Electric Utilities"/>
    <x v="0"/>
    <n v="81658150"/>
  </r>
  <r>
    <x v="9"/>
    <x v="17"/>
    <s v="Electric Generators, Electric Utilities"/>
    <x v="1"/>
    <n v="78544604"/>
  </r>
  <r>
    <x v="9"/>
    <x v="17"/>
    <s v="Electric Generators, Electric Utilities"/>
    <x v="2"/>
    <n v="2556572"/>
  </r>
  <r>
    <x v="9"/>
    <x v="17"/>
    <s v="Electric Generators, Electric Utilities"/>
    <x v="3"/>
    <n v="453219"/>
  </r>
  <r>
    <x v="9"/>
    <x v="17"/>
    <s v="Electric Generators, Electric Utilities"/>
    <x v="4"/>
    <n v="103755"/>
  </r>
  <r>
    <x v="9"/>
    <x v="17"/>
    <s v="Combined Heat and Power, Industrial Power"/>
    <x v="0"/>
    <n v="12409"/>
  </r>
  <r>
    <x v="9"/>
    <x v="17"/>
    <s v="Combined Heat and Power, Industrial Power"/>
    <x v="6"/>
    <n v="12409"/>
  </r>
  <r>
    <x v="9"/>
    <x v="18"/>
    <s v="Total Electric Power Industry"/>
    <x v="0"/>
    <n v="89941753"/>
  </r>
  <r>
    <x v="9"/>
    <x v="18"/>
    <s v="Total Electric Power Industry"/>
    <x v="1"/>
    <n v="21182104"/>
  </r>
  <r>
    <x v="9"/>
    <x v="18"/>
    <s v="Total Electric Power Industry"/>
    <x v="2"/>
    <n v="801826"/>
  </r>
  <r>
    <x v="9"/>
    <x v="18"/>
    <s v="Total Electric Power Industry"/>
    <x v="3"/>
    <n v="47998719"/>
  </r>
  <r>
    <x v="9"/>
    <x v="18"/>
    <s v="Total Electric Power Industry"/>
    <x v="7"/>
    <n v="13111604"/>
  </r>
  <r>
    <x v="9"/>
    <x v="18"/>
    <s v="Total Electric Power Industry"/>
    <x v="12"/>
    <n v="403454"/>
  </r>
  <r>
    <x v="9"/>
    <x v="18"/>
    <s v="Total Electric Power Industry"/>
    <x v="8"/>
    <n v="125718"/>
  </r>
  <r>
    <x v="9"/>
    <x v="18"/>
    <s v="Total Electric Power Industry"/>
    <x v="9"/>
    <n v="1651269"/>
  </r>
  <r>
    <x v="9"/>
    <x v="18"/>
    <s v="Total Electric Power Industry"/>
    <x v="4"/>
    <n v="1932461"/>
  </r>
  <r>
    <x v="9"/>
    <x v="18"/>
    <s v="Total Electric Power Industry"/>
    <x v="6"/>
    <n v="2734598"/>
  </r>
  <r>
    <x v="9"/>
    <x v="18"/>
    <s v="Electric Generators, Independent Power Producers"/>
    <x v="0"/>
    <n v="1024419"/>
  </r>
  <r>
    <x v="9"/>
    <x v="18"/>
    <s v="Electric Generators, Independent Power Producers"/>
    <x v="2"/>
    <n v="801826"/>
  </r>
  <r>
    <x v="9"/>
    <x v="18"/>
    <s v="Electric Generators, Independent Power Producers"/>
    <x v="3"/>
    <n v="138986"/>
  </r>
  <r>
    <x v="9"/>
    <x v="18"/>
    <s v="Electric Generators, Independent Power Producers"/>
    <x v="8"/>
    <n v="81254"/>
  </r>
  <r>
    <x v="9"/>
    <x v="18"/>
    <s v="Electric Generators, Independent Power Producers"/>
    <x v="4"/>
    <n v="2353"/>
  </r>
  <r>
    <x v="9"/>
    <x v="18"/>
    <s v="Electric Generators, Electric Utilities"/>
    <x v="0"/>
    <n v="64837110"/>
  </r>
  <r>
    <x v="9"/>
    <x v="18"/>
    <s v="Electric Generators, Electric Utilities"/>
    <x v="1"/>
    <n v="21166160"/>
  </r>
  <r>
    <x v="9"/>
    <x v="18"/>
    <s v="Electric Generators, Electric Utilities"/>
    <x v="3"/>
    <n v="30162489"/>
  </r>
  <r>
    <x v="9"/>
    <x v="18"/>
    <s v="Electric Generators, Electric Utilities"/>
    <x v="7"/>
    <n v="13111604"/>
  </r>
  <r>
    <x v="9"/>
    <x v="18"/>
    <s v="Electric Generators, Electric Utilities"/>
    <x v="4"/>
    <n v="396857"/>
  </r>
  <r>
    <x v="9"/>
    <x v="18"/>
    <s v="Combined Heat and Power, Industrial Power"/>
    <x v="0"/>
    <n v="22541745"/>
  </r>
  <r>
    <x v="9"/>
    <x v="18"/>
    <s v="Combined Heat and Power, Industrial Power"/>
    <x v="1"/>
    <n v="15944"/>
  </r>
  <r>
    <x v="9"/>
    <x v="18"/>
    <s v="Combined Heat and Power, Industrial Power"/>
    <x v="3"/>
    <n v="17671561"/>
  </r>
  <r>
    <x v="9"/>
    <x v="18"/>
    <s v="Combined Heat and Power, Industrial Power"/>
    <x v="12"/>
    <n v="403454"/>
  </r>
  <r>
    <x v="9"/>
    <x v="18"/>
    <s v="Combined Heat and Power, Industrial Power"/>
    <x v="8"/>
    <n v="44464"/>
  </r>
  <r>
    <x v="9"/>
    <x v="18"/>
    <s v="Combined Heat and Power, Industrial Power"/>
    <x v="9"/>
    <n v="1651269"/>
  </r>
  <r>
    <x v="9"/>
    <x v="18"/>
    <s v="Combined Heat and Power, Industrial Power"/>
    <x v="4"/>
    <n v="20455"/>
  </r>
  <r>
    <x v="9"/>
    <x v="18"/>
    <s v="Combined Heat and Power, Industrial Power"/>
    <x v="6"/>
    <n v="2734598"/>
  </r>
  <r>
    <x v="9"/>
    <x v="18"/>
    <s v="Combined Heat and Power, Electric Power"/>
    <x v="0"/>
    <n v="1521673"/>
  </r>
  <r>
    <x v="9"/>
    <x v="18"/>
    <s v="Combined Heat and Power, Electric Power"/>
    <x v="3"/>
    <n v="8877"/>
  </r>
  <r>
    <x v="9"/>
    <x v="18"/>
    <s v="Combined Heat and Power, Electric Power"/>
    <x v="4"/>
    <n v="1512796"/>
  </r>
  <r>
    <x v="9"/>
    <x v="18"/>
    <s v="Combined Heat and Power, Commercial Power"/>
    <x v="0"/>
    <n v="16806"/>
  </r>
  <r>
    <x v="9"/>
    <x v="18"/>
    <s v="Combined Heat and Power, Commercial Power"/>
    <x v="3"/>
    <n v="16806"/>
  </r>
  <r>
    <x v="9"/>
    <x v="19"/>
    <s v="Total Electric Power Industry"/>
    <x v="0"/>
    <n v="40575392"/>
  </r>
  <r>
    <x v="9"/>
    <x v="19"/>
    <s v="Total Electric Power Industry"/>
    <x v="1"/>
    <n v="11169847"/>
  </r>
  <r>
    <x v="9"/>
    <x v="19"/>
    <s v="Total Electric Power Industry"/>
    <x v="2"/>
    <n v="974568"/>
  </r>
  <r>
    <x v="9"/>
    <x v="19"/>
    <s v="Total Electric Power Industry"/>
    <x v="3"/>
    <n v="11104399"/>
  </r>
  <r>
    <x v="9"/>
    <x v="19"/>
    <s v="Total Electric Power Industry"/>
    <x v="7"/>
    <n v="4518426"/>
  </r>
  <r>
    <x v="9"/>
    <x v="19"/>
    <s v="Total Electric Power Industry"/>
    <x v="8"/>
    <n v="1938120"/>
  </r>
  <r>
    <x v="9"/>
    <x v="19"/>
    <s v="Total Electric Power Industry"/>
    <x v="4"/>
    <n v="11241950"/>
  </r>
  <r>
    <x v="9"/>
    <x v="19"/>
    <s v="Total Electric Power Industry"/>
    <x v="10"/>
    <n v="-469367"/>
  </r>
  <r>
    <x v="9"/>
    <x v="19"/>
    <s v="Total Electric Power Industry"/>
    <x v="5"/>
    <n v="0"/>
  </r>
  <r>
    <x v="9"/>
    <x v="19"/>
    <s v="Total Electric Power Industry"/>
    <x v="6"/>
    <n v="97449"/>
  </r>
  <r>
    <x v="9"/>
    <x v="19"/>
    <s v="Electric Generators, Independent Power Producers"/>
    <x v="0"/>
    <n v="29002644"/>
  </r>
  <r>
    <x v="9"/>
    <x v="19"/>
    <s v="Electric Generators, Independent Power Producers"/>
    <x v="1"/>
    <n v="10061677"/>
  </r>
  <r>
    <x v="9"/>
    <x v="19"/>
    <s v="Electric Generators, Independent Power Producers"/>
    <x v="2"/>
    <n v="418717"/>
  </r>
  <r>
    <x v="9"/>
    <x v="19"/>
    <s v="Electric Generators, Independent Power Producers"/>
    <x v="3"/>
    <n v="3425699"/>
  </r>
  <r>
    <x v="9"/>
    <x v="19"/>
    <s v="Electric Generators, Independent Power Producers"/>
    <x v="7"/>
    <n v="2587483"/>
  </r>
  <r>
    <x v="9"/>
    <x v="19"/>
    <s v="Electric Generators, Independent Power Producers"/>
    <x v="8"/>
    <n v="1851787"/>
  </r>
  <r>
    <x v="9"/>
    <x v="19"/>
    <s v="Electric Generators, Independent Power Producers"/>
    <x v="4"/>
    <n v="10674792"/>
  </r>
  <r>
    <x v="9"/>
    <x v="19"/>
    <s v="Electric Generators, Independent Power Producers"/>
    <x v="10"/>
    <n v="-114527"/>
  </r>
  <r>
    <x v="9"/>
    <x v="19"/>
    <s v="Electric Generators, Independent Power Producers"/>
    <x v="6"/>
    <n v="97016"/>
  </r>
  <r>
    <x v="9"/>
    <x v="19"/>
    <s v="Electric Generators, Electric Utilities"/>
    <x v="0"/>
    <n v="4359511"/>
  </r>
  <r>
    <x v="9"/>
    <x v="19"/>
    <s v="Electric Generators, Electric Utilities"/>
    <x v="1"/>
    <n v="1073628"/>
  </r>
  <r>
    <x v="9"/>
    <x v="19"/>
    <s v="Electric Generators, Electric Utilities"/>
    <x v="2"/>
    <n v="544113"/>
  </r>
  <r>
    <x v="9"/>
    <x v="19"/>
    <s v="Electric Generators, Electric Utilities"/>
    <x v="3"/>
    <n v="865627"/>
  </r>
  <r>
    <x v="9"/>
    <x v="19"/>
    <s v="Electric Generators, Electric Utilities"/>
    <x v="7"/>
    <n v="1930943"/>
  </r>
  <r>
    <x v="9"/>
    <x v="19"/>
    <s v="Electric Generators, Electric Utilities"/>
    <x v="4"/>
    <n v="300040"/>
  </r>
  <r>
    <x v="9"/>
    <x v="19"/>
    <s v="Electric Generators, Electric Utilities"/>
    <x v="10"/>
    <n v="-354840"/>
  </r>
  <r>
    <x v="9"/>
    <x v="19"/>
    <s v="Electric Generators, Electric Utilities"/>
    <x v="5"/>
    <n v="0"/>
  </r>
  <r>
    <x v="9"/>
    <x v="19"/>
    <s v="Combined Heat and Power, Industrial Power"/>
    <x v="0"/>
    <n v="452832"/>
  </r>
  <r>
    <x v="9"/>
    <x v="19"/>
    <s v="Combined Heat and Power, Industrial Power"/>
    <x v="1"/>
    <n v="34542"/>
  </r>
  <r>
    <x v="9"/>
    <x v="19"/>
    <s v="Combined Heat and Power, Industrial Power"/>
    <x v="2"/>
    <n v="11738"/>
  </r>
  <r>
    <x v="9"/>
    <x v="19"/>
    <s v="Combined Heat and Power, Industrial Power"/>
    <x v="3"/>
    <n v="305488"/>
  </r>
  <r>
    <x v="9"/>
    <x v="19"/>
    <s v="Combined Heat and Power, Industrial Power"/>
    <x v="4"/>
    <n v="101064"/>
  </r>
  <r>
    <x v="9"/>
    <x v="19"/>
    <s v="Combined Heat and Power, Electric Power"/>
    <x v="0"/>
    <n v="6332803"/>
  </r>
  <r>
    <x v="9"/>
    <x v="19"/>
    <s v="Combined Heat and Power, Electric Power"/>
    <x v="3"/>
    <n v="6208961"/>
  </r>
  <r>
    <x v="9"/>
    <x v="19"/>
    <s v="Combined Heat and Power, Electric Power"/>
    <x v="8"/>
    <n v="62536"/>
  </r>
  <r>
    <x v="9"/>
    <x v="19"/>
    <s v="Combined Heat and Power, Electric Power"/>
    <x v="4"/>
    <n v="60873"/>
  </r>
  <r>
    <x v="9"/>
    <x v="19"/>
    <s v="Combined Heat and Power, Electric Power"/>
    <x v="6"/>
    <n v="433"/>
  </r>
  <r>
    <x v="9"/>
    <x v="19"/>
    <s v="Combined Heat and Power, Commercial Power"/>
    <x v="0"/>
    <n v="427602"/>
  </r>
  <r>
    <x v="9"/>
    <x v="19"/>
    <s v="Combined Heat and Power, Commercial Power"/>
    <x v="3"/>
    <n v="298624"/>
  </r>
  <r>
    <x v="9"/>
    <x v="19"/>
    <s v="Combined Heat and Power, Commercial Power"/>
    <x v="8"/>
    <n v="23797"/>
  </r>
  <r>
    <x v="9"/>
    <x v="19"/>
    <s v="Combined Heat and Power, Commercial Power"/>
    <x v="4"/>
    <n v="105181"/>
  </r>
  <r>
    <x v="9"/>
    <x v="20"/>
    <s v="Total Electric Power Industry"/>
    <x v="0"/>
    <n v="51685621"/>
  </r>
  <r>
    <x v="9"/>
    <x v="20"/>
    <s v="Total Electric Power Industry"/>
    <x v="1"/>
    <n v="29687655"/>
  </r>
  <r>
    <x v="9"/>
    <x v="20"/>
    <s v="Total Electric Power Industry"/>
    <x v="2"/>
    <n v="1424197"/>
  </r>
  <r>
    <x v="9"/>
    <x v="20"/>
    <s v="Total Electric Power Industry"/>
    <x v="3"/>
    <n v="2125193"/>
  </r>
  <r>
    <x v="9"/>
    <x v="20"/>
    <s v="Total Electric Power Industry"/>
    <x v="7"/>
    <n v="13312335"/>
  </r>
  <r>
    <x v="9"/>
    <x v="20"/>
    <s v="Total Electric Power Industry"/>
    <x v="8"/>
    <n v="614474"/>
  </r>
  <r>
    <x v="9"/>
    <x v="20"/>
    <s v="Total Electric Power Industry"/>
    <x v="9"/>
    <n v="59891"/>
  </r>
  <r>
    <x v="9"/>
    <x v="20"/>
    <s v="Total Electric Power Industry"/>
    <x v="4"/>
    <n v="4290788"/>
  </r>
  <r>
    <x v="9"/>
    <x v="20"/>
    <s v="Total Electric Power Industry"/>
    <x v="6"/>
    <n v="171088"/>
  </r>
  <r>
    <x v="9"/>
    <x v="20"/>
    <s v="Electric Generators, Independent Power Producers"/>
    <x v="0"/>
    <n v="341188"/>
  </r>
  <r>
    <x v="9"/>
    <x v="20"/>
    <s v="Electric Generators, Independent Power Producers"/>
    <x v="2"/>
    <n v="1779"/>
  </r>
  <r>
    <x v="9"/>
    <x v="20"/>
    <s v="Electric Generators, Independent Power Producers"/>
    <x v="3"/>
    <n v="909"/>
  </r>
  <r>
    <x v="9"/>
    <x v="20"/>
    <s v="Electric Generators, Independent Power Producers"/>
    <x v="8"/>
    <n v="338500"/>
  </r>
  <r>
    <x v="9"/>
    <x v="20"/>
    <s v="Electric Generators, Electric Utilities"/>
    <x v="0"/>
    <n v="49323828"/>
  </r>
  <r>
    <x v="9"/>
    <x v="20"/>
    <s v="Electric Generators, Electric Utilities"/>
    <x v="1"/>
    <n v="29352347"/>
  </r>
  <r>
    <x v="9"/>
    <x v="20"/>
    <s v="Electric Generators, Electric Utilities"/>
    <x v="2"/>
    <n v="1422418"/>
  </r>
  <r>
    <x v="9"/>
    <x v="20"/>
    <s v="Electric Generators, Electric Utilities"/>
    <x v="3"/>
    <n v="1339520"/>
  </r>
  <r>
    <x v="9"/>
    <x v="20"/>
    <s v="Electric Generators, Electric Utilities"/>
    <x v="7"/>
    <n v="13312335"/>
  </r>
  <r>
    <x v="9"/>
    <x v="20"/>
    <s v="Electric Generators, Electric Utilities"/>
    <x v="4"/>
    <n v="3897208"/>
  </r>
  <r>
    <x v="9"/>
    <x v="20"/>
    <s v="Combined Heat and Power, Industrial Power"/>
    <x v="0"/>
    <n v="467760"/>
  </r>
  <r>
    <x v="9"/>
    <x v="20"/>
    <s v="Combined Heat and Power, Industrial Power"/>
    <x v="1"/>
    <n v="231155"/>
  </r>
  <r>
    <x v="9"/>
    <x v="20"/>
    <s v="Combined Heat and Power, Industrial Power"/>
    <x v="3"/>
    <n v="68903"/>
  </r>
  <r>
    <x v="9"/>
    <x v="20"/>
    <s v="Combined Heat and Power, Industrial Power"/>
    <x v="4"/>
    <n v="9271"/>
  </r>
  <r>
    <x v="9"/>
    <x v="20"/>
    <s v="Combined Heat and Power, Industrial Power"/>
    <x v="6"/>
    <n v="158431"/>
  </r>
  <r>
    <x v="9"/>
    <x v="20"/>
    <s v="Combined Heat and Power, Electric Power"/>
    <x v="0"/>
    <n v="1527961"/>
  </r>
  <r>
    <x v="9"/>
    <x v="20"/>
    <s v="Combined Heat and Power, Electric Power"/>
    <x v="1"/>
    <n v="104153"/>
  </r>
  <r>
    <x v="9"/>
    <x v="20"/>
    <s v="Combined Heat and Power, Electric Power"/>
    <x v="3"/>
    <n v="715861"/>
  </r>
  <r>
    <x v="9"/>
    <x v="20"/>
    <s v="Combined Heat and Power, Electric Power"/>
    <x v="8"/>
    <n v="264014"/>
  </r>
  <r>
    <x v="9"/>
    <x v="20"/>
    <s v="Combined Heat and Power, Electric Power"/>
    <x v="9"/>
    <n v="59891"/>
  </r>
  <r>
    <x v="9"/>
    <x v="20"/>
    <s v="Combined Heat and Power, Electric Power"/>
    <x v="4"/>
    <n v="384042"/>
  </r>
  <r>
    <x v="9"/>
    <x v="20"/>
    <s v="Combined Heat and Power, Commercial Power"/>
    <x v="0"/>
    <n v="24884"/>
  </r>
  <r>
    <x v="9"/>
    <x v="20"/>
    <s v="Combined Heat and Power, Commercial Power"/>
    <x v="8"/>
    <n v="11960"/>
  </r>
  <r>
    <x v="9"/>
    <x v="20"/>
    <s v="Combined Heat and Power, Commercial Power"/>
    <x v="9"/>
    <n v="0"/>
  </r>
  <r>
    <x v="9"/>
    <x v="20"/>
    <s v="Combined Heat and Power, Commercial Power"/>
    <x v="4"/>
    <n v="267"/>
  </r>
  <r>
    <x v="9"/>
    <x v="20"/>
    <s v="Combined Heat and Power, Commercial Power"/>
    <x v="6"/>
    <n v="12657"/>
  </r>
  <r>
    <x v="9"/>
    <x v="21"/>
    <s v="Total Electric Power Industry"/>
    <x v="0"/>
    <n v="12673929"/>
  </r>
  <r>
    <x v="9"/>
    <x v="21"/>
    <s v="Total Electric Power Industry"/>
    <x v="1"/>
    <n v="494407"/>
  </r>
  <r>
    <x v="9"/>
    <x v="21"/>
    <s v="Total Electric Power Industry"/>
    <x v="2"/>
    <n v="3755956"/>
  </r>
  <r>
    <x v="9"/>
    <x v="21"/>
    <s v="Total Electric Power Industry"/>
    <x v="3"/>
    <n v="80735"/>
  </r>
  <r>
    <x v="9"/>
    <x v="21"/>
    <s v="Total Electric Power Industry"/>
    <x v="8"/>
    <n v="527760"/>
  </r>
  <r>
    <x v="9"/>
    <x v="21"/>
    <s v="Total Electric Power Industry"/>
    <x v="9"/>
    <n v="4517"/>
  </r>
  <r>
    <x v="9"/>
    <x v="21"/>
    <s v="Total Electric Power Industry"/>
    <x v="4"/>
    <n v="4711421"/>
  </r>
  <r>
    <x v="9"/>
    <x v="21"/>
    <s v="Total Electric Power Industry"/>
    <x v="6"/>
    <n v="3099133"/>
  </r>
  <r>
    <x v="9"/>
    <x v="21"/>
    <s v="Electric Generators, Independent Power Producers"/>
    <x v="0"/>
    <n v="5949338"/>
  </r>
  <r>
    <x v="9"/>
    <x v="21"/>
    <s v="Electric Generators, Independent Power Producers"/>
    <x v="2"/>
    <n v="1936275"/>
  </r>
  <r>
    <x v="9"/>
    <x v="21"/>
    <s v="Electric Generators, Independent Power Producers"/>
    <x v="3"/>
    <n v="5429"/>
  </r>
  <r>
    <x v="9"/>
    <x v="21"/>
    <s v="Electric Generators, Independent Power Producers"/>
    <x v="8"/>
    <n v="242974"/>
  </r>
  <r>
    <x v="9"/>
    <x v="21"/>
    <s v="Electric Generators, Independent Power Producers"/>
    <x v="4"/>
    <n v="2702668"/>
  </r>
  <r>
    <x v="9"/>
    <x v="21"/>
    <s v="Electric Generators, Independent Power Producers"/>
    <x v="6"/>
    <n v="1061992"/>
  </r>
  <r>
    <x v="9"/>
    <x v="21"/>
    <s v="Electric Generators, Electric Utilities"/>
    <x v="0"/>
    <n v="1189273"/>
  </r>
  <r>
    <x v="9"/>
    <x v="21"/>
    <s v="Electric Generators, Electric Utilities"/>
    <x v="2"/>
    <n v="516242"/>
  </r>
  <r>
    <x v="9"/>
    <x v="21"/>
    <s v="Electric Generators, Electric Utilities"/>
    <x v="4"/>
    <n v="673031"/>
  </r>
  <r>
    <x v="9"/>
    <x v="21"/>
    <s v="Combined Heat and Power, Industrial Power"/>
    <x v="0"/>
    <n v="4524282"/>
  </r>
  <r>
    <x v="9"/>
    <x v="21"/>
    <s v="Combined Heat and Power, Industrial Power"/>
    <x v="1"/>
    <n v="190597"/>
  </r>
  <r>
    <x v="9"/>
    <x v="21"/>
    <s v="Combined Heat and Power, Industrial Power"/>
    <x v="2"/>
    <n v="1303439"/>
  </r>
  <r>
    <x v="9"/>
    <x v="21"/>
    <s v="Combined Heat and Power, Industrial Power"/>
    <x v="3"/>
    <n v="45801"/>
  </r>
  <r>
    <x v="9"/>
    <x v="21"/>
    <s v="Combined Heat and Power, Industrial Power"/>
    <x v="8"/>
    <n v="39290"/>
  </r>
  <r>
    <x v="9"/>
    <x v="21"/>
    <s v="Combined Heat and Power, Industrial Power"/>
    <x v="9"/>
    <n v="4517"/>
  </r>
  <r>
    <x v="9"/>
    <x v="21"/>
    <s v="Combined Heat and Power, Industrial Power"/>
    <x v="4"/>
    <n v="1214272"/>
  </r>
  <r>
    <x v="9"/>
    <x v="21"/>
    <s v="Combined Heat and Power, Industrial Power"/>
    <x v="6"/>
    <n v="1726366"/>
  </r>
  <r>
    <x v="9"/>
    <x v="21"/>
    <s v="Combined Heat and Power, Electric Power"/>
    <x v="0"/>
    <n v="828690"/>
  </r>
  <r>
    <x v="9"/>
    <x v="21"/>
    <s v="Combined Heat and Power, Electric Power"/>
    <x v="1"/>
    <n v="303810"/>
  </r>
  <r>
    <x v="9"/>
    <x v="21"/>
    <s v="Combined Heat and Power, Electric Power"/>
    <x v="3"/>
    <n v="29498"/>
  </r>
  <r>
    <x v="9"/>
    <x v="21"/>
    <s v="Combined Heat and Power, Electric Power"/>
    <x v="8"/>
    <n v="75236"/>
  </r>
  <r>
    <x v="9"/>
    <x v="21"/>
    <s v="Combined Heat and Power, Electric Power"/>
    <x v="4"/>
    <n v="115021"/>
  </r>
  <r>
    <x v="9"/>
    <x v="21"/>
    <s v="Combined Heat and Power, Electric Power"/>
    <x v="6"/>
    <n v="305125"/>
  </r>
  <r>
    <x v="9"/>
    <x v="21"/>
    <s v="Combined Heat and Power, Commercial Power"/>
    <x v="0"/>
    <n v="182346"/>
  </r>
  <r>
    <x v="9"/>
    <x v="21"/>
    <s v="Combined Heat and Power, Commercial Power"/>
    <x v="3"/>
    <n v="7"/>
  </r>
  <r>
    <x v="9"/>
    <x v="21"/>
    <s v="Combined Heat and Power, Commercial Power"/>
    <x v="8"/>
    <n v="170260"/>
  </r>
  <r>
    <x v="9"/>
    <x v="21"/>
    <s v="Combined Heat and Power, Commercial Power"/>
    <x v="4"/>
    <n v="6429"/>
  </r>
  <r>
    <x v="9"/>
    <x v="21"/>
    <s v="Combined Heat and Power, Commercial Power"/>
    <x v="6"/>
    <n v="5650"/>
  </r>
  <r>
    <x v="9"/>
    <x v="22"/>
    <s v="Total Electric Power Industry"/>
    <x v="0"/>
    <n v="103239715"/>
  </r>
  <r>
    <x v="9"/>
    <x v="22"/>
    <s v="Total Electric Power Industry"/>
    <x v="1"/>
    <n v="70404994"/>
  </r>
  <r>
    <x v="9"/>
    <x v="22"/>
    <s v="Total Electric Power Industry"/>
    <x v="2"/>
    <n v="1458333"/>
  </r>
  <r>
    <x v="9"/>
    <x v="22"/>
    <s v="Total Electric Power Industry"/>
    <x v="3"/>
    <n v="13513755"/>
  </r>
  <r>
    <x v="9"/>
    <x v="22"/>
    <s v="Total Electric Power Industry"/>
    <x v="7"/>
    <n v="14590711"/>
  </r>
  <r>
    <x v="9"/>
    <x v="22"/>
    <s v="Total Electric Power Industry"/>
    <x v="12"/>
    <n v="17"/>
  </r>
  <r>
    <x v="9"/>
    <x v="22"/>
    <s v="Total Electric Power Industry"/>
    <x v="8"/>
    <n v="979381"/>
  </r>
  <r>
    <x v="9"/>
    <x v="22"/>
    <s v="Total Electric Power Industry"/>
    <x v="9"/>
    <n v="153"/>
  </r>
  <r>
    <x v="9"/>
    <x v="22"/>
    <s v="Total Electric Power Industry"/>
    <x v="4"/>
    <n v="1484354"/>
  </r>
  <r>
    <x v="9"/>
    <x v="22"/>
    <s v="Total Electric Power Industry"/>
    <x v="10"/>
    <n v="-932474"/>
  </r>
  <r>
    <x v="9"/>
    <x v="22"/>
    <s v="Total Electric Power Industry"/>
    <x v="5"/>
    <n v="0"/>
  </r>
  <r>
    <x v="9"/>
    <x v="22"/>
    <s v="Total Electric Power Industry"/>
    <x v="6"/>
    <n v="1740491"/>
  </r>
  <r>
    <x v="9"/>
    <x v="22"/>
    <s v="Electric Generators, Independent Power Producers"/>
    <x v="0"/>
    <n v="1723457"/>
  </r>
  <r>
    <x v="9"/>
    <x v="22"/>
    <s v="Electric Generators, Independent Power Producers"/>
    <x v="2"/>
    <n v="64910"/>
  </r>
  <r>
    <x v="9"/>
    <x v="22"/>
    <s v="Electric Generators, Independent Power Producers"/>
    <x v="3"/>
    <n v="93074"/>
  </r>
  <r>
    <x v="9"/>
    <x v="22"/>
    <s v="Electric Generators, Independent Power Producers"/>
    <x v="8"/>
    <n v="577293"/>
  </r>
  <r>
    <x v="9"/>
    <x v="22"/>
    <s v="Electric Generators, Independent Power Producers"/>
    <x v="6"/>
    <n v="988180"/>
  </r>
  <r>
    <x v="9"/>
    <x v="22"/>
    <s v="Electric Generators, Electric Utilities"/>
    <x v="0"/>
    <n v="87874695"/>
  </r>
  <r>
    <x v="9"/>
    <x v="22"/>
    <s v="Electric Generators, Electric Utilities"/>
    <x v="1"/>
    <n v="69118017"/>
  </r>
  <r>
    <x v="9"/>
    <x v="22"/>
    <s v="Electric Generators, Electric Utilities"/>
    <x v="2"/>
    <n v="1367296"/>
  </r>
  <r>
    <x v="9"/>
    <x v="22"/>
    <s v="Electric Generators, Electric Utilities"/>
    <x v="3"/>
    <n v="2448449"/>
  </r>
  <r>
    <x v="9"/>
    <x v="22"/>
    <s v="Electric Generators, Electric Utilities"/>
    <x v="7"/>
    <n v="14590711"/>
  </r>
  <r>
    <x v="9"/>
    <x v="22"/>
    <s v="Electric Generators, Electric Utilities"/>
    <x v="4"/>
    <n v="1282696"/>
  </r>
  <r>
    <x v="9"/>
    <x v="22"/>
    <s v="Electric Generators, Electric Utilities"/>
    <x v="10"/>
    <n v="-932474"/>
  </r>
  <r>
    <x v="9"/>
    <x v="22"/>
    <s v="Electric Generators, Electric Utilities"/>
    <x v="5"/>
    <n v="0"/>
  </r>
  <r>
    <x v="9"/>
    <x v="22"/>
    <s v="Combined Heat and Power, Industrial Power"/>
    <x v="0"/>
    <n v="1877968"/>
  </r>
  <r>
    <x v="9"/>
    <x v="22"/>
    <s v="Combined Heat and Power, Industrial Power"/>
    <x v="1"/>
    <n v="566335"/>
  </r>
  <r>
    <x v="9"/>
    <x v="22"/>
    <s v="Combined Heat and Power, Industrial Power"/>
    <x v="2"/>
    <n v="26127"/>
  </r>
  <r>
    <x v="9"/>
    <x v="22"/>
    <s v="Combined Heat and Power, Industrial Power"/>
    <x v="3"/>
    <n v="365429"/>
  </r>
  <r>
    <x v="9"/>
    <x v="22"/>
    <s v="Combined Heat and Power, Industrial Power"/>
    <x v="8"/>
    <n v="4103"/>
  </r>
  <r>
    <x v="9"/>
    <x v="22"/>
    <s v="Combined Heat and Power, Industrial Power"/>
    <x v="4"/>
    <n v="188715"/>
  </r>
  <r>
    <x v="9"/>
    <x v="22"/>
    <s v="Combined Heat and Power, Industrial Power"/>
    <x v="6"/>
    <n v="727259"/>
  </r>
  <r>
    <x v="9"/>
    <x v="22"/>
    <s v="Combined Heat and Power, Electric Power"/>
    <x v="0"/>
    <n v="11079892"/>
  </r>
  <r>
    <x v="9"/>
    <x v="22"/>
    <s v="Combined Heat and Power, Electric Power"/>
    <x v="1"/>
    <n v="472378"/>
  </r>
  <r>
    <x v="9"/>
    <x v="22"/>
    <s v="Combined Heat and Power, Electric Power"/>
    <x v="3"/>
    <n v="10578128"/>
  </r>
  <r>
    <x v="9"/>
    <x v="22"/>
    <s v="Combined Heat and Power, Electric Power"/>
    <x v="8"/>
    <n v="602"/>
  </r>
  <r>
    <x v="9"/>
    <x v="22"/>
    <s v="Combined Heat and Power, Electric Power"/>
    <x v="9"/>
    <n v="153"/>
  </r>
  <r>
    <x v="9"/>
    <x v="22"/>
    <s v="Combined Heat and Power, Electric Power"/>
    <x v="4"/>
    <n v="3579"/>
  </r>
  <r>
    <x v="9"/>
    <x v="22"/>
    <s v="Combined Heat and Power, Electric Power"/>
    <x v="6"/>
    <n v="25052"/>
  </r>
  <r>
    <x v="9"/>
    <x v="22"/>
    <s v="Combined Heat and Power, Commercial Power"/>
    <x v="0"/>
    <n v="683703"/>
  </r>
  <r>
    <x v="9"/>
    <x v="22"/>
    <s v="Combined Heat and Power, Commercial Power"/>
    <x v="1"/>
    <n v="248264"/>
  </r>
  <r>
    <x v="9"/>
    <x v="22"/>
    <s v="Combined Heat and Power, Commercial Power"/>
    <x v="3"/>
    <n v="28675"/>
  </r>
  <r>
    <x v="9"/>
    <x v="22"/>
    <s v="Combined Heat and Power, Commercial Power"/>
    <x v="12"/>
    <n v="17"/>
  </r>
  <r>
    <x v="9"/>
    <x v="22"/>
    <s v="Combined Heat and Power, Commercial Power"/>
    <x v="8"/>
    <n v="397383"/>
  </r>
  <r>
    <x v="9"/>
    <x v="22"/>
    <s v="Combined Heat and Power, Commercial Power"/>
    <x v="4"/>
    <n v="9364"/>
  </r>
  <r>
    <x v="9"/>
    <x v="23"/>
    <s v="Total Electric Power Industry"/>
    <x v="0"/>
    <n v="48519379"/>
  </r>
  <r>
    <x v="9"/>
    <x v="23"/>
    <s v="Total Electric Power Industry"/>
    <x v="1"/>
    <n v="30188125"/>
  </r>
  <r>
    <x v="9"/>
    <x v="23"/>
    <s v="Total Electric Power Industry"/>
    <x v="2"/>
    <n v="1178933"/>
  </r>
  <r>
    <x v="9"/>
    <x v="23"/>
    <s v="Total Electric Power Industry"/>
    <x v="3"/>
    <n v="1427272"/>
  </r>
  <r>
    <x v="9"/>
    <x v="23"/>
    <s v="Total Electric Power Industry"/>
    <x v="7"/>
    <n v="13315562"/>
  </r>
  <r>
    <x v="9"/>
    <x v="23"/>
    <s v="Total Electric Power Industry"/>
    <x v="8"/>
    <n v="730621"/>
  </r>
  <r>
    <x v="9"/>
    <x v="23"/>
    <s v="Total Electric Power Industry"/>
    <x v="4"/>
    <n v="700147"/>
  </r>
  <r>
    <x v="9"/>
    <x v="23"/>
    <s v="Total Electric Power Industry"/>
    <x v="5"/>
    <n v="485692"/>
  </r>
  <r>
    <x v="9"/>
    <x v="23"/>
    <s v="Total Electric Power Industry"/>
    <x v="6"/>
    <n v="493027"/>
  </r>
  <r>
    <x v="9"/>
    <x v="23"/>
    <s v="Electric Generators, Independent Power Producers"/>
    <x v="0"/>
    <n v="831726"/>
  </r>
  <r>
    <x v="9"/>
    <x v="23"/>
    <s v="Electric Generators, Independent Power Producers"/>
    <x v="2"/>
    <n v="49111"/>
  </r>
  <r>
    <x v="9"/>
    <x v="23"/>
    <s v="Electric Generators, Independent Power Producers"/>
    <x v="8"/>
    <n v="296013"/>
  </r>
  <r>
    <x v="9"/>
    <x v="23"/>
    <s v="Electric Generators, Independent Power Producers"/>
    <x v="4"/>
    <n v="910"/>
  </r>
  <r>
    <x v="9"/>
    <x v="23"/>
    <s v="Electric Generators, Independent Power Producers"/>
    <x v="5"/>
    <n v="485692"/>
  </r>
  <r>
    <x v="9"/>
    <x v="23"/>
    <s v="Electric Generators, Electric Utilities"/>
    <x v="0"/>
    <n v="44153826"/>
  </r>
  <r>
    <x v="9"/>
    <x v="23"/>
    <s v="Electric Generators, Electric Utilities"/>
    <x v="1"/>
    <n v="28366977"/>
  </r>
  <r>
    <x v="9"/>
    <x v="23"/>
    <s v="Electric Generators, Electric Utilities"/>
    <x v="2"/>
    <n v="857323"/>
  </r>
  <r>
    <x v="9"/>
    <x v="23"/>
    <s v="Electric Generators, Electric Utilities"/>
    <x v="3"/>
    <n v="522633"/>
  </r>
  <r>
    <x v="9"/>
    <x v="23"/>
    <s v="Electric Generators, Electric Utilities"/>
    <x v="7"/>
    <n v="13315562"/>
  </r>
  <r>
    <x v="9"/>
    <x v="23"/>
    <s v="Electric Generators, Electric Utilities"/>
    <x v="8"/>
    <n v="416933"/>
  </r>
  <r>
    <x v="9"/>
    <x v="23"/>
    <s v="Electric Generators, Electric Utilities"/>
    <x v="4"/>
    <n v="674398"/>
  </r>
  <r>
    <x v="9"/>
    <x v="23"/>
    <s v="Electric Generators, Electric Utilities"/>
    <x v="5"/>
    <n v="0"/>
  </r>
  <r>
    <x v="9"/>
    <x v="23"/>
    <s v="Electric Generators, Electric Utilities"/>
    <x v="6"/>
    <n v="0"/>
  </r>
  <r>
    <x v="9"/>
    <x v="23"/>
    <s v="Combined Heat and Power, Industrial Power"/>
    <x v="0"/>
    <n v="2797248"/>
  </r>
  <r>
    <x v="9"/>
    <x v="23"/>
    <s v="Combined Heat and Power, Industrial Power"/>
    <x v="1"/>
    <n v="1821148"/>
  </r>
  <r>
    <x v="9"/>
    <x v="23"/>
    <s v="Combined Heat and Power, Industrial Power"/>
    <x v="2"/>
    <n v="272499"/>
  </r>
  <r>
    <x v="9"/>
    <x v="23"/>
    <s v="Combined Heat and Power, Industrial Power"/>
    <x v="3"/>
    <n v="201841"/>
  </r>
  <r>
    <x v="9"/>
    <x v="23"/>
    <s v="Combined Heat and Power, Industrial Power"/>
    <x v="8"/>
    <n v="251"/>
  </r>
  <r>
    <x v="9"/>
    <x v="23"/>
    <s v="Combined Heat and Power, Industrial Power"/>
    <x v="4"/>
    <n v="8482"/>
  </r>
  <r>
    <x v="9"/>
    <x v="23"/>
    <s v="Combined Heat and Power, Industrial Power"/>
    <x v="6"/>
    <n v="493027"/>
  </r>
  <r>
    <x v="9"/>
    <x v="23"/>
    <s v="Combined Heat and Power, Electric Power"/>
    <x v="0"/>
    <n v="605974"/>
  </r>
  <r>
    <x v="9"/>
    <x v="23"/>
    <s v="Combined Heat and Power, Electric Power"/>
    <x v="3"/>
    <n v="595123"/>
  </r>
  <r>
    <x v="9"/>
    <x v="23"/>
    <s v="Combined Heat and Power, Electric Power"/>
    <x v="4"/>
    <n v="10851"/>
  </r>
  <r>
    <x v="9"/>
    <x v="23"/>
    <s v="Combined Heat and Power, Commercial Power"/>
    <x v="0"/>
    <n v="130605"/>
  </r>
  <r>
    <x v="9"/>
    <x v="23"/>
    <s v="Combined Heat and Power, Commercial Power"/>
    <x v="3"/>
    <n v="107675"/>
  </r>
  <r>
    <x v="9"/>
    <x v="23"/>
    <s v="Combined Heat and Power, Commercial Power"/>
    <x v="8"/>
    <n v="17424"/>
  </r>
  <r>
    <x v="9"/>
    <x v="23"/>
    <s v="Combined Heat and Power, Commercial Power"/>
    <x v="4"/>
    <n v="5506"/>
  </r>
  <r>
    <x v="9"/>
    <x v="24"/>
    <s v="Total Electric Power Industry"/>
    <x v="0"/>
    <n v="73815710"/>
  </r>
  <r>
    <x v="9"/>
    <x v="24"/>
    <s v="Total Electric Power Industry"/>
    <x v="1"/>
    <n v="61507298"/>
  </r>
  <r>
    <x v="9"/>
    <x v="24"/>
    <s v="Total Electric Power Industry"/>
    <x v="2"/>
    <n v="1853065"/>
  </r>
  <r>
    <x v="9"/>
    <x v="24"/>
    <s v="Total Electric Power Industry"/>
    <x v="3"/>
    <n v="1626808"/>
  </r>
  <r>
    <x v="9"/>
    <x v="24"/>
    <s v="Total Electric Power Industry"/>
    <x v="7"/>
    <n v="8586646"/>
  </r>
  <r>
    <x v="9"/>
    <x v="24"/>
    <s v="Total Electric Power Industry"/>
    <x v="8"/>
    <n v="61467"/>
  </r>
  <r>
    <x v="9"/>
    <x v="24"/>
    <s v="Total Electric Power Industry"/>
    <x v="4"/>
    <n v="293172"/>
  </r>
  <r>
    <x v="9"/>
    <x v="24"/>
    <s v="Total Electric Power Industry"/>
    <x v="10"/>
    <n v="-112746"/>
  </r>
  <r>
    <x v="9"/>
    <x v="24"/>
    <s v="Electric Generators, Electric Utilities"/>
    <x v="0"/>
    <n v="73504882"/>
  </r>
  <r>
    <x v="9"/>
    <x v="24"/>
    <s v="Electric Generators, Electric Utilities"/>
    <x v="1"/>
    <n v="61249846"/>
  </r>
  <r>
    <x v="9"/>
    <x v="24"/>
    <s v="Electric Generators, Electric Utilities"/>
    <x v="2"/>
    <n v="1853065"/>
  </r>
  <r>
    <x v="9"/>
    <x v="24"/>
    <s v="Electric Generators, Electric Utilities"/>
    <x v="3"/>
    <n v="1597302"/>
  </r>
  <r>
    <x v="9"/>
    <x v="24"/>
    <s v="Electric Generators, Electric Utilities"/>
    <x v="7"/>
    <n v="8586646"/>
  </r>
  <r>
    <x v="9"/>
    <x v="24"/>
    <s v="Electric Generators, Electric Utilities"/>
    <x v="8"/>
    <n v="49824"/>
  </r>
  <r>
    <x v="9"/>
    <x v="24"/>
    <s v="Electric Generators, Electric Utilities"/>
    <x v="4"/>
    <n v="280945"/>
  </r>
  <r>
    <x v="9"/>
    <x v="24"/>
    <s v="Electric Generators, Electric Utilities"/>
    <x v="10"/>
    <n v="-112746"/>
  </r>
  <r>
    <x v="9"/>
    <x v="24"/>
    <s v="Combined Heat and Power, Industrial Power"/>
    <x v="0"/>
    <n v="169800"/>
  </r>
  <r>
    <x v="9"/>
    <x v="24"/>
    <s v="Combined Heat and Power, Industrial Power"/>
    <x v="1"/>
    <n v="148756"/>
  </r>
  <r>
    <x v="9"/>
    <x v="24"/>
    <s v="Combined Heat and Power, Industrial Power"/>
    <x v="3"/>
    <n v="9561"/>
  </r>
  <r>
    <x v="9"/>
    <x v="24"/>
    <s v="Combined Heat and Power, Industrial Power"/>
    <x v="8"/>
    <n v="10491"/>
  </r>
  <r>
    <x v="9"/>
    <x v="24"/>
    <s v="Combined Heat and Power, Industrial Power"/>
    <x v="4"/>
    <n v="992"/>
  </r>
  <r>
    <x v="9"/>
    <x v="24"/>
    <s v="Combined Heat and Power, Commercial Power"/>
    <x v="0"/>
    <n v="141028"/>
  </r>
  <r>
    <x v="9"/>
    <x v="24"/>
    <s v="Combined Heat and Power, Commercial Power"/>
    <x v="1"/>
    <n v="108696"/>
  </r>
  <r>
    <x v="9"/>
    <x v="24"/>
    <s v="Combined Heat and Power, Commercial Power"/>
    <x v="3"/>
    <n v="19945"/>
  </r>
  <r>
    <x v="9"/>
    <x v="24"/>
    <s v="Combined Heat and Power, Commercial Power"/>
    <x v="8"/>
    <n v="1152"/>
  </r>
  <r>
    <x v="9"/>
    <x v="24"/>
    <s v="Combined Heat and Power, Commercial Power"/>
    <x v="4"/>
    <n v="11235"/>
  </r>
  <r>
    <x v="9"/>
    <x v="25"/>
    <s v="Total Electric Power Industry"/>
    <x v="0"/>
    <n v="34844972"/>
  </r>
  <r>
    <x v="9"/>
    <x v="25"/>
    <s v="Total Electric Power Industry"/>
    <x v="1"/>
    <n v="13042293"/>
  </r>
  <r>
    <x v="9"/>
    <x v="25"/>
    <s v="Total Electric Power Industry"/>
    <x v="3"/>
    <n v="8792443"/>
  </r>
  <r>
    <x v="9"/>
    <x v="25"/>
    <s v="Total Electric Power Industry"/>
    <x v="7"/>
    <n v="8428216"/>
  </r>
  <r>
    <x v="9"/>
    <x v="25"/>
    <s v="Total Electric Power Industry"/>
    <x v="4"/>
    <n v="3145053"/>
  </r>
  <r>
    <x v="9"/>
    <x v="25"/>
    <s v="Total Electric Power Industry"/>
    <x v="6"/>
    <n v="1436967"/>
  </r>
  <r>
    <x v="9"/>
    <x v="25"/>
    <s v="Electric Generators, Independent Power Producers"/>
    <x v="0"/>
    <n v="256653"/>
  </r>
  <r>
    <x v="9"/>
    <x v="25"/>
    <s v="Electric Generators, Independent Power Producers"/>
    <x v="3"/>
    <n v="256653"/>
  </r>
  <r>
    <x v="9"/>
    <x v="25"/>
    <s v="Electric Generators, Electric Utilities"/>
    <x v="0"/>
    <n v="32212133"/>
  </r>
  <r>
    <x v="9"/>
    <x v="25"/>
    <s v="Electric Generators, Electric Utilities"/>
    <x v="1"/>
    <n v="13037100"/>
  </r>
  <r>
    <x v="9"/>
    <x v="25"/>
    <s v="Electric Generators, Electric Utilities"/>
    <x v="3"/>
    <n v="7604883"/>
  </r>
  <r>
    <x v="9"/>
    <x v="25"/>
    <s v="Electric Generators, Electric Utilities"/>
    <x v="7"/>
    <n v="8428216"/>
  </r>
  <r>
    <x v="9"/>
    <x v="25"/>
    <s v="Electric Generators, Electric Utilities"/>
    <x v="4"/>
    <n v="3141934"/>
  </r>
  <r>
    <x v="9"/>
    <x v="25"/>
    <s v="Combined Heat and Power, Industrial Power"/>
    <x v="0"/>
    <n v="2351102"/>
  </r>
  <r>
    <x v="9"/>
    <x v="25"/>
    <s v="Combined Heat and Power, Industrial Power"/>
    <x v="1"/>
    <n v="5193"/>
  </r>
  <r>
    <x v="9"/>
    <x v="25"/>
    <s v="Combined Heat and Power, Industrial Power"/>
    <x v="3"/>
    <n v="905823"/>
  </r>
  <r>
    <x v="9"/>
    <x v="25"/>
    <s v="Combined Heat and Power, Industrial Power"/>
    <x v="4"/>
    <n v="3119"/>
  </r>
  <r>
    <x v="9"/>
    <x v="25"/>
    <s v="Combined Heat and Power, Industrial Power"/>
    <x v="6"/>
    <n v="1436967"/>
  </r>
  <r>
    <x v="9"/>
    <x v="25"/>
    <s v="Combined Heat and Power, Commercial Power"/>
    <x v="0"/>
    <n v="25084"/>
  </r>
  <r>
    <x v="9"/>
    <x v="25"/>
    <s v="Combined Heat and Power, Commercial Power"/>
    <x v="3"/>
    <n v="25084"/>
  </r>
  <r>
    <x v="9"/>
    <x v="26"/>
    <s v="Total Electric Power Industry"/>
    <x v="0"/>
    <n v="31419334"/>
  </r>
  <r>
    <x v="9"/>
    <x v="26"/>
    <s v="Total Electric Power Industry"/>
    <x v="1"/>
    <n v="16993155"/>
  </r>
  <r>
    <x v="9"/>
    <x v="26"/>
    <s v="Total Electric Power Industry"/>
    <x v="2"/>
    <n v="13822062"/>
  </r>
  <r>
    <x v="9"/>
    <x v="26"/>
    <s v="Total Electric Power Industry"/>
    <x v="3"/>
    <n v="36606"/>
  </r>
  <r>
    <x v="9"/>
    <x v="26"/>
    <s v="Total Electric Power Industry"/>
    <x v="9"/>
    <n v="30606"/>
  </r>
  <r>
    <x v="9"/>
    <x v="26"/>
    <s v="Total Electric Power Industry"/>
    <x v="4"/>
    <n v="486959"/>
  </r>
  <r>
    <x v="9"/>
    <x v="26"/>
    <s v="Total Electric Power Industry"/>
    <x v="6"/>
    <n v="49946"/>
  </r>
  <r>
    <x v="9"/>
    <x v="26"/>
    <s v="Electric Generators, Independent Power Producers"/>
    <x v="0"/>
    <n v="3266044"/>
  </r>
  <r>
    <x v="9"/>
    <x v="26"/>
    <s v="Electric Generators, Independent Power Producers"/>
    <x v="1"/>
    <n v="1011596"/>
  </r>
  <r>
    <x v="9"/>
    <x v="26"/>
    <s v="Electric Generators, Independent Power Producers"/>
    <x v="2"/>
    <n v="2241346"/>
  </r>
  <r>
    <x v="9"/>
    <x v="26"/>
    <s v="Electric Generators, Independent Power Producers"/>
    <x v="3"/>
    <n v="214"/>
  </r>
  <r>
    <x v="9"/>
    <x v="26"/>
    <s v="Electric Generators, Independent Power Producers"/>
    <x v="4"/>
    <n v="12888"/>
  </r>
  <r>
    <x v="9"/>
    <x v="26"/>
    <s v="Electric Generators, Electric Utilities"/>
    <x v="0"/>
    <n v="27596974"/>
  </r>
  <r>
    <x v="9"/>
    <x v="26"/>
    <s v="Electric Generators, Electric Utilities"/>
    <x v="1"/>
    <n v="15981559"/>
  </r>
  <r>
    <x v="9"/>
    <x v="26"/>
    <s v="Electric Generators, Electric Utilities"/>
    <x v="2"/>
    <n v="11580716"/>
  </r>
  <r>
    <x v="9"/>
    <x v="26"/>
    <s v="Electric Generators, Electric Utilities"/>
    <x v="3"/>
    <n v="20167"/>
  </r>
  <r>
    <x v="9"/>
    <x v="26"/>
    <s v="Electric Generators, Electric Utilities"/>
    <x v="4"/>
    <n v="14532"/>
  </r>
  <r>
    <x v="9"/>
    <x v="26"/>
    <s v="Combined Heat and Power, Industrial Power"/>
    <x v="0"/>
    <n v="66572"/>
  </r>
  <r>
    <x v="9"/>
    <x v="26"/>
    <s v="Combined Heat and Power, Industrial Power"/>
    <x v="3"/>
    <n v="16225"/>
  </r>
  <r>
    <x v="9"/>
    <x v="26"/>
    <s v="Combined Heat and Power, Industrial Power"/>
    <x v="9"/>
    <n v="53"/>
  </r>
  <r>
    <x v="9"/>
    <x v="26"/>
    <s v="Combined Heat and Power, Industrial Power"/>
    <x v="4"/>
    <n v="348"/>
  </r>
  <r>
    <x v="9"/>
    <x v="26"/>
    <s v="Combined Heat and Power, Industrial Power"/>
    <x v="6"/>
    <n v="49946"/>
  </r>
  <r>
    <x v="9"/>
    <x v="26"/>
    <s v="Combined Heat and Power, Electric Power"/>
    <x v="0"/>
    <n v="489744"/>
  </r>
  <r>
    <x v="9"/>
    <x v="26"/>
    <s v="Combined Heat and Power, Electric Power"/>
    <x v="9"/>
    <n v="30553"/>
  </r>
  <r>
    <x v="9"/>
    <x v="26"/>
    <s v="Combined Heat and Power, Electric Power"/>
    <x v="4"/>
    <n v="459191"/>
  </r>
  <r>
    <x v="9"/>
    <x v="27"/>
    <s v="Total Electric Power Industry"/>
    <x v="0"/>
    <n v="117357615"/>
  </r>
  <r>
    <x v="9"/>
    <x v="27"/>
    <s v="Total Electric Power Industry"/>
    <x v="1"/>
    <n v="72255506"/>
  </r>
  <r>
    <x v="9"/>
    <x v="27"/>
    <s v="Total Electric Power Industry"/>
    <x v="2"/>
    <n v="3684186"/>
  </r>
  <r>
    <x v="9"/>
    <x v="27"/>
    <s v="Total Electric Power Industry"/>
    <x v="3"/>
    <n v="1166663"/>
  </r>
  <r>
    <x v="9"/>
    <x v="27"/>
    <s v="Total Electric Power Industry"/>
    <x v="7"/>
    <n v="37523504"/>
  </r>
  <r>
    <x v="9"/>
    <x v="27"/>
    <s v="Total Electric Power Industry"/>
    <x v="12"/>
    <n v="252784"/>
  </r>
  <r>
    <x v="9"/>
    <x v="27"/>
    <s v="Total Electric Power Industry"/>
    <x v="8"/>
    <n v="92654"/>
  </r>
  <r>
    <x v="9"/>
    <x v="27"/>
    <s v="Total Electric Power Industry"/>
    <x v="4"/>
    <n v="662070"/>
  </r>
  <r>
    <x v="9"/>
    <x v="27"/>
    <s v="Total Electric Power Industry"/>
    <x v="10"/>
    <n v="175397"/>
  </r>
  <r>
    <x v="9"/>
    <x v="27"/>
    <s v="Total Electric Power Industry"/>
    <x v="6"/>
    <n v="1544851"/>
  </r>
  <r>
    <x v="9"/>
    <x v="27"/>
    <s v="Electric Generators, Independent Power Producers"/>
    <x v="0"/>
    <n v="474378"/>
  </r>
  <r>
    <x v="9"/>
    <x v="27"/>
    <s v="Electric Generators, Independent Power Producers"/>
    <x v="2"/>
    <n v="21386"/>
  </r>
  <r>
    <x v="9"/>
    <x v="27"/>
    <s v="Electric Generators, Independent Power Producers"/>
    <x v="3"/>
    <n v="433"/>
  </r>
  <r>
    <x v="9"/>
    <x v="27"/>
    <s v="Electric Generators, Independent Power Producers"/>
    <x v="8"/>
    <n v="81034"/>
  </r>
  <r>
    <x v="9"/>
    <x v="27"/>
    <s v="Electric Generators, Independent Power Producers"/>
    <x v="4"/>
    <n v="55550"/>
  </r>
  <r>
    <x v="9"/>
    <x v="27"/>
    <s v="Electric Generators, Independent Power Producers"/>
    <x v="6"/>
    <n v="315975"/>
  </r>
  <r>
    <x v="9"/>
    <x v="27"/>
    <s v="Electric Generators, Electric Utilities"/>
    <x v="0"/>
    <n v="109882388"/>
  </r>
  <r>
    <x v="9"/>
    <x v="27"/>
    <s v="Electric Generators, Electric Utilities"/>
    <x v="1"/>
    <n v="68569499"/>
  </r>
  <r>
    <x v="9"/>
    <x v="27"/>
    <s v="Electric Generators, Electric Utilities"/>
    <x v="2"/>
    <n v="2478485"/>
  </r>
  <r>
    <x v="9"/>
    <x v="27"/>
    <s v="Electric Generators, Electric Utilities"/>
    <x v="3"/>
    <n v="851103"/>
  </r>
  <r>
    <x v="9"/>
    <x v="27"/>
    <s v="Electric Generators, Electric Utilities"/>
    <x v="7"/>
    <n v="37523504"/>
  </r>
  <r>
    <x v="9"/>
    <x v="27"/>
    <s v="Electric Generators, Electric Utilities"/>
    <x v="4"/>
    <n v="284400"/>
  </r>
  <r>
    <x v="9"/>
    <x v="27"/>
    <s v="Electric Generators, Electric Utilities"/>
    <x v="10"/>
    <n v="175397"/>
  </r>
  <r>
    <x v="9"/>
    <x v="27"/>
    <s v="Combined Heat and Power, Industrial Power"/>
    <x v="0"/>
    <n v="4058828"/>
  </r>
  <r>
    <x v="9"/>
    <x v="27"/>
    <s v="Combined Heat and Power, Industrial Power"/>
    <x v="1"/>
    <n v="903703"/>
  </r>
  <r>
    <x v="9"/>
    <x v="27"/>
    <s v="Combined Heat and Power, Industrial Power"/>
    <x v="2"/>
    <n v="1174340"/>
  </r>
  <r>
    <x v="9"/>
    <x v="27"/>
    <s v="Combined Heat and Power, Industrial Power"/>
    <x v="3"/>
    <n v="190280"/>
  </r>
  <r>
    <x v="9"/>
    <x v="27"/>
    <s v="Combined Heat and Power, Industrial Power"/>
    <x v="12"/>
    <n v="252784"/>
  </r>
  <r>
    <x v="9"/>
    <x v="27"/>
    <s v="Combined Heat and Power, Industrial Power"/>
    <x v="8"/>
    <n v="11620"/>
  </r>
  <r>
    <x v="9"/>
    <x v="27"/>
    <s v="Combined Heat and Power, Industrial Power"/>
    <x v="4"/>
    <n v="297225"/>
  </r>
  <r>
    <x v="9"/>
    <x v="27"/>
    <s v="Combined Heat and Power, Industrial Power"/>
    <x v="6"/>
    <n v="1228876"/>
  </r>
  <r>
    <x v="9"/>
    <x v="27"/>
    <s v="Combined Heat and Power, Electric Power"/>
    <x v="0"/>
    <n v="2834663"/>
  </r>
  <r>
    <x v="9"/>
    <x v="27"/>
    <s v="Combined Heat and Power, Electric Power"/>
    <x v="1"/>
    <n v="2700618"/>
  </r>
  <r>
    <x v="9"/>
    <x v="27"/>
    <s v="Combined Heat and Power, Electric Power"/>
    <x v="3"/>
    <n v="120818"/>
  </r>
  <r>
    <x v="9"/>
    <x v="27"/>
    <s v="Combined Heat and Power, Electric Power"/>
    <x v="4"/>
    <n v="13227"/>
  </r>
  <r>
    <x v="9"/>
    <x v="27"/>
    <s v="Combined Heat and Power, Commercial Power"/>
    <x v="0"/>
    <n v="107358"/>
  </r>
  <r>
    <x v="9"/>
    <x v="27"/>
    <s v="Combined Heat and Power, Commercial Power"/>
    <x v="1"/>
    <n v="81686"/>
  </r>
  <r>
    <x v="9"/>
    <x v="27"/>
    <s v="Combined Heat and Power, Commercial Power"/>
    <x v="2"/>
    <n v="9975"/>
  </r>
  <r>
    <x v="9"/>
    <x v="27"/>
    <s v="Combined Heat and Power, Commercial Power"/>
    <x v="3"/>
    <n v="4029"/>
  </r>
  <r>
    <x v="9"/>
    <x v="27"/>
    <s v="Combined Heat and Power, Commercial Power"/>
    <x v="4"/>
    <n v="11668"/>
  </r>
  <r>
    <x v="9"/>
    <x v="28"/>
    <s v="Total Electric Power Industry"/>
    <x v="0"/>
    <n v="31417403"/>
  </r>
  <r>
    <x v="9"/>
    <x v="28"/>
    <s v="Total Electric Power Industry"/>
    <x v="1"/>
    <n v="28693034"/>
  </r>
  <r>
    <x v="9"/>
    <x v="28"/>
    <s v="Total Electric Power Industry"/>
    <x v="2"/>
    <n v="2609159"/>
  </r>
  <r>
    <x v="9"/>
    <x v="28"/>
    <s v="Total Electric Power Industry"/>
    <x v="3"/>
    <n v="1604"/>
  </r>
  <r>
    <x v="9"/>
    <x v="28"/>
    <s v="Total Electric Power Industry"/>
    <x v="8"/>
    <n v="5564"/>
  </r>
  <r>
    <x v="9"/>
    <x v="28"/>
    <s v="Total Electric Power Industry"/>
    <x v="9"/>
    <n v="53121"/>
  </r>
  <r>
    <x v="9"/>
    <x v="28"/>
    <s v="Total Electric Power Industry"/>
    <x v="4"/>
    <n v="54921"/>
  </r>
  <r>
    <x v="9"/>
    <x v="28"/>
    <s v="Electric Generators, Electric Utilities"/>
    <x v="0"/>
    <n v="31259830"/>
  </r>
  <r>
    <x v="9"/>
    <x v="28"/>
    <s v="Electric Generators, Electric Utilities"/>
    <x v="1"/>
    <n v="28610457"/>
  </r>
  <r>
    <x v="9"/>
    <x v="28"/>
    <s v="Electric Generators, Electric Utilities"/>
    <x v="2"/>
    <n v="2609159"/>
  </r>
  <r>
    <x v="9"/>
    <x v="28"/>
    <s v="Electric Generators, Electric Utilities"/>
    <x v="3"/>
    <n v="-86"/>
  </r>
  <r>
    <x v="9"/>
    <x v="28"/>
    <s v="Electric Generators, Electric Utilities"/>
    <x v="4"/>
    <n v="40300"/>
  </r>
  <r>
    <x v="9"/>
    <x v="28"/>
    <s v="Combined Heat and Power, Industrial Power"/>
    <x v="0"/>
    <n v="157573"/>
  </r>
  <r>
    <x v="9"/>
    <x v="28"/>
    <s v="Combined Heat and Power, Industrial Power"/>
    <x v="1"/>
    <n v="82577"/>
  </r>
  <r>
    <x v="9"/>
    <x v="28"/>
    <s v="Combined Heat and Power, Industrial Power"/>
    <x v="3"/>
    <n v="1690"/>
  </r>
  <r>
    <x v="9"/>
    <x v="28"/>
    <s v="Combined Heat and Power, Industrial Power"/>
    <x v="8"/>
    <n v="5564"/>
  </r>
  <r>
    <x v="9"/>
    <x v="28"/>
    <s v="Combined Heat and Power, Industrial Power"/>
    <x v="9"/>
    <n v="53121"/>
  </r>
  <r>
    <x v="9"/>
    <x v="28"/>
    <s v="Combined Heat and Power, Industrial Power"/>
    <x v="4"/>
    <n v="14621"/>
  </r>
  <r>
    <x v="9"/>
    <x v="29"/>
    <s v="Total Electric Power Industry"/>
    <x v="0"/>
    <n v="30055751"/>
  </r>
  <r>
    <x v="9"/>
    <x v="29"/>
    <s v="Total Electric Power Industry"/>
    <x v="1"/>
    <n v="17837176"/>
  </r>
  <r>
    <x v="9"/>
    <x v="29"/>
    <s v="Total Electric Power Industry"/>
    <x v="2"/>
    <n v="1719030"/>
  </r>
  <r>
    <x v="9"/>
    <x v="29"/>
    <s v="Total Electric Power Industry"/>
    <x v="3"/>
    <n v="362628"/>
  </r>
  <r>
    <x v="9"/>
    <x v="29"/>
    <s v="Total Electric Power Industry"/>
    <x v="7"/>
    <n v="10091092"/>
  </r>
  <r>
    <x v="9"/>
    <x v="29"/>
    <s v="Total Electric Power Industry"/>
    <x v="8"/>
    <n v="16202"/>
  </r>
  <r>
    <x v="9"/>
    <x v="29"/>
    <s v="Total Electric Power Industry"/>
    <x v="4"/>
    <n v="29623"/>
  </r>
  <r>
    <x v="9"/>
    <x v="29"/>
    <s v="Total Electric Power Industry"/>
    <x v="5"/>
    <n v="0"/>
  </r>
  <r>
    <x v="9"/>
    <x v="29"/>
    <s v="Electric Generators, Electric Utilities"/>
    <x v="0"/>
    <n v="29980967"/>
  </r>
  <r>
    <x v="9"/>
    <x v="29"/>
    <s v="Electric Generators, Electric Utilities"/>
    <x v="1"/>
    <n v="17794136"/>
  </r>
  <r>
    <x v="9"/>
    <x v="29"/>
    <s v="Electric Generators, Electric Utilities"/>
    <x v="2"/>
    <n v="1719030"/>
  </r>
  <r>
    <x v="9"/>
    <x v="29"/>
    <s v="Electric Generators, Electric Utilities"/>
    <x v="3"/>
    <n v="347902"/>
  </r>
  <r>
    <x v="9"/>
    <x v="29"/>
    <s v="Electric Generators, Electric Utilities"/>
    <x v="7"/>
    <n v="10091092"/>
  </r>
  <r>
    <x v="9"/>
    <x v="29"/>
    <s v="Electric Generators, Electric Utilities"/>
    <x v="8"/>
    <n v="0"/>
  </r>
  <r>
    <x v="9"/>
    <x v="29"/>
    <s v="Electric Generators, Electric Utilities"/>
    <x v="4"/>
    <n v="28807"/>
  </r>
  <r>
    <x v="9"/>
    <x v="29"/>
    <s v="Electric Generators, Electric Utilities"/>
    <x v="5"/>
    <n v="0"/>
  </r>
  <r>
    <x v="9"/>
    <x v="29"/>
    <s v="Combined Heat and Power, Industrial Power"/>
    <x v="0"/>
    <n v="47762"/>
  </r>
  <r>
    <x v="9"/>
    <x v="29"/>
    <s v="Combined Heat and Power, Industrial Power"/>
    <x v="1"/>
    <n v="43040"/>
  </r>
  <r>
    <x v="9"/>
    <x v="29"/>
    <s v="Combined Heat and Power, Industrial Power"/>
    <x v="3"/>
    <n v="4722"/>
  </r>
  <r>
    <x v="9"/>
    <x v="29"/>
    <s v="Combined Heat and Power, Electric Power"/>
    <x v="0"/>
    <n v="8733"/>
  </r>
  <r>
    <x v="9"/>
    <x v="29"/>
    <s v="Combined Heat and Power, Electric Power"/>
    <x v="3"/>
    <n v="1742"/>
  </r>
  <r>
    <x v="9"/>
    <x v="29"/>
    <s v="Combined Heat and Power, Electric Power"/>
    <x v="8"/>
    <n v="6991"/>
  </r>
  <r>
    <x v="9"/>
    <x v="29"/>
    <s v="Combined Heat and Power, Commercial Power"/>
    <x v="0"/>
    <n v="18289"/>
  </r>
  <r>
    <x v="9"/>
    <x v="29"/>
    <s v="Combined Heat and Power, Commercial Power"/>
    <x v="3"/>
    <n v="8262"/>
  </r>
  <r>
    <x v="9"/>
    <x v="29"/>
    <s v="Combined Heat and Power, Commercial Power"/>
    <x v="8"/>
    <n v="9211"/>
  </r>
  <r>
    <x v="9"/>
    <x v="29"/>
    <s v="Combined Heat and Power, Commercial Power"/>
    <x v="4"/>
    <n v="816"/>
  </r>
  <r>
    <x v="9"/>
    <x v="30"/>
    <s v="Total Electric Power Industry"/>
    <x v="0"/>
    <n v="16189247"/>
  </r>
  <r>
    <x v="9"/>
    <x v="30"/>
    <s v="Total Electric Power Industry"/>
    <x v="1"/>
    <n v="3328263"/>
  </r>
  <r>
    <x v="9"/>
    <x v="30"/>
    <s v="Total Electric Power Industry"/>
    <x v="2"/>
    <n v="1411282"/>
  </r>
  <r>
    <x v="9"/>
    <x v="30"/>
    <s v="Total Electric Power Industry"/>
    <x v="3"/>
    <n v="74455"/>
  </r>
  <r>
    <x v="9"/>
    <x v="30"/>
    <s v="Total Electric Power Industry"/>
    <x v="7"/>
    <n v="8676237"/>
  </r>
  <r>
    <x v="9"/>
    <x v="30"/>
    <s v="Total Electric Power Industry"/>
    <x v="8"/>
    <n v="240767"/>
  </r>
  <r>
    <x v="9"/>
    <x v="30"/>
    <s v="Total Electric Power Industry"/>
    <x v="4"/>
    <n v="1572013"/>
  </r>
  <r>
    <x v="9"/>
    <x v="30"/>
    <s v="Total Electric Power Industry"/>
    <x v="6"/>
    <n v="886230"/>
  </r>
  <r>
    <x v="9"/>
    <x v="30"/>
    <s v="Electric Generators, Independent Power Producers"/>
    <x v="0"/>
    <n v="1818169"/>
  </r>
  <r>
    <x v="9"/>
    <x v="30"/>
    <s v="Electric Generators, Independent Power Producers"/>
    <x v="2"/>
    <n v="872439"/>
  </r>
  <r>
    <x v="9"/>
    <x v="30"/>
    <s v="Electric Generators, Independent Power Producers"/>
    <x v="8"/>
    <n v="240767"/>
  </r>
  <r>
    <x v="9"/>
    <x v="30"/>
    <s v="Electric Generators, Independent Power Producers"/>
    <x v="4"/>
    <n v="255"/>
  </r>
  <r>
    <x v="9"/>
    <x v="30"/>
    <s v="Electric Generators, Independent Power Producers"/>
    <x v="6"/>
    <n v="704708"/>
  </r>
  <r>
    <x v="9"/>
    <x v="30"/>
    <s v="Electric Generators, Electric Utilities"/>
    <x v="0"/>
    <n v="13875659"/>
  </r>
  <r>
    <x v="9"/>
    <x v="30"/>
    <s v="Electric Generators, Electric Utilities"/>
    <x v="1"/>
    <n v="3328263"/>
  </r>
  <r>
    <x v="9"/>
    <x v="30"/>
    <s v="Electric Generators, Electric Utilities"/>
    <x v="2"/>
    <n v="339216"/>
  </r>
  <r>
    <x v="9"/>
    <x v="30"/>
    <s v="Electric Generators, Electric Utilities"/>
    <x v="3"/>
    <n v="45461"/>
  </r>
  <r>
    <x v="9"/>
    <x v="30"/>
    <s v="Electric Generators, Electric Utilities"/>
    <x v="7"/>
    <n v="8676237"/>
  </r>
  <r>
    <x v="9"/>
    <x v="30"/>
    <s v="Electric Generators, Electric Utilities"/>
    <x v="4"/>
    <n v="1486482"/>
  </r>
  <r>
    <x v="9"/>
    <x v="30"/>
    <s v="Combined Heat and Power, Industrial Power"/>
    <x v="0"/>
    <n v="373356"/>
  </r>
  <r>
    <x v="9"/>
    <x v="30"/>
    <s v="Combined Heat and Power, Industrial Power"/>
    <x v="2"/>
    <n v="199627"/>
  </r>
  <r>
    <x v="9"/>
    <x v="30"/>
    <s v="Combined Heat and Power, Industrial Power"/>
    <x v="3"/>
    <n v="28994"/>
  </r>
  <r>
    <x v="9"/>
    <x v="30"/>
    <s v="Combined Heat and Power, Industrial Power"/>
    <x v="4"/>
    <n v="57337"/>
  </r>
  <r>
    <x v="9"/>
    <x v="30"/>
    <s v="Combined Heat and Power, Industrial Power"/>
    <x v="6"/>
    <n v="87398"/>
  </r>
  <r>
    <x v="9"/>
    <x v="30"/>
    <s v="Combined Heat and Power, Electric Power"/>
    <x v="0"/>
    <n v="94193"/>
  </r>
  <r>
    <x v="9"/>
    <x v="30"/>
    <s v="Combined Heat and Power, Electric Power"/>
    <x v="4"/>
    <n v="69"/>
  </r>
  <r>
    <x v="9"/>
    <x v="30"/>
    <s v="Combined Heat and Power, Electric Power"/>
    <x v="6"/>
    <n v="94124"/>
  </r>
  <r>
    <x v="9"/>
    <x v="30"/>
    <s v="Combined Heat and Power, Commercial Power"/>
    <x v="0"/>
    <n v="27870"/>
  </r>
  <r>
    <x v="9"/>
    <x v="30"/>
    <s v="Combined Heat and Power, Commercial Power"/>
    <x v="4"/>
    <n v="27870"/>
  </r>
  <r>
    <x v="9"/>
    <x v="31"/>
    <s v="Total Electric Power Industry"/>
    <x v="0"/>
    <n v="56803421"/>
  </r>
  <r>
    <x v="9"/>
    <x v="31"/>
    <s v="Total Electric Power Industry"/>
    <x v="1"/>
    <n v="8064392"/>
  </r>
  <r>
    <x v="9"/>
    <x v="31"/>
    <s v="Total Electric Power Industry"/>
    <x v="2"/>
    <n v="17303"/>
  </r>
  <r>
    <x v="9"/>
    <x v="31"/>
    <s v="Total Electric Power Industry"/>
    <x v="3"/>
    <n v="17099236"/>
  </r>
  <r>
    <x v="9"/>
    <x v="31"/>
    <s v="Total Electric Power Industry"/>
    <x v="7"/>
    <n v="28970893"/>
  </r>
  <r>
    <x v="9"/>
    <x v="31"/>
    <s v="Total Electric Power Industry"/>
    <x v="12"/>
    <n v="27640"/>
  </r>
  <r>
    <x v="9"/>
    <x v="31"/>
    <s v="Total Electric Power Industry"/>
    <x v="8"/>
    <n v="1365251"/>
  </r>
  <r>
    <x v="9"/>
    <x v="31"/>
    <s v="Total Electric Power Industry"/>
    <x v="9"/>
    <n v="611649"/>
  </r>
  <r>
    <x v="9"/>
    <x v="31"/>
    <s v="Total Electric Power Industry"/>
    <x v="4"/>
    <n v="792470"/>
  </r>
  <r>
    <x v="9"/>
    <x v="31"/>
    <s v="Total Electric Power Industry"/>
    <x v="10"/>
    <n v="-145413"/>
  </r>
  <r>
    <x v="9"/>
    <x v="31"/>
    <s v="Electric Generators, Independent Power Producers"/>
    <x v="0"/>
    <n v="1229303"/>
  </r>
  <r>
    <x v="9"/>
    <x v="31"/>
    <s v="Electric Generators, Independent Power Producers"/>
    <x v="2"/>
    <n v="17303"/>
  </r>
  <r>
    <x v="9"/>
    <x v="31"/>
    <s v="Electric Generators, Independent Power Producers"/>
    <x v="3"/>
    <n v="413173"/>
  </r>
  <r>
    <x v="9"/>
    <x v="31"/>
    <s v="Electric Generators, Independent Power Producers"/>
    <x v="8"/>
    <n v="771981"/>
  </r>
  <r>
    <x v="9"/>
    <x v="31"/>
    <s v="Electric Generators, Independent Power Producers"/>
    <x v="4"/>
    <n v="26846"/>
  </r>
  <r>
    <x v="9"/>
    <x v="31"/>
    <s v="Electric Generators, Electric Utilities"/>
    <x v="0"/>
    <n v="38867608"/>
  </r>
  <r>
    <x v="9"/>
    <x v="31"/>
    <s v="Electric Generators, Electric Utilities"/>
    <x v="1"/>
    <n v="6387952"/>
  </r>
  <r>
    <x v="9"/>
    <x v="31"/>
    <s v="Electric Generators, Electric Utilities"/>
    <x v="3"/>
    <n v="3122217"/>
  </r>
  <r>
    <x v="9"/>
    <x v="31"/>
    <s v="Electric Generators, Electric Utilities"/>
    <x v="7"/>
    <n v="28970893"/>
  </r>
  <r>
    <x v="9"/>
    <x v="31"/>
    <s v="Electric Generators, Electric Utilities"/>
    <x v="4"/>
    <n v="531959"/>
  </r>
  <r>
    <x v="9"/>
    <x v="31"/>
    <s v="Electric Generators, Electric Utilities"/>
    <x v="10"/>
    <n v="-145413"/>
  </r>
  <r>
    <x v="9"/>
    <x v="31"/>
    <s v="Combined Heat and Power, Industrial Power"/>
    <x v="0"/>
    <n v="3021559"/>
  </r>
  <r>
    <x v="9"/>
    <x v="31"/>
    <s v="Combined Heat and Power, Industrial Power"/>
    <x v="3"/>
    <n v="2290897"/>
  </r>
  <r>
    <x v="9"/>
    <x v="31"/>
    <s v="Combined Heat and Power, Industrial Power"/>
    <x v="12"/>
    <n v="27640"/>
  </r>
  <r>
    <x v="9"/>
    <x v="31"/>
    <s v="Combined Heat and Power, Industrial Power"/>
    <x v="8"/>
    <n v="15384"/>
  </r>
  <r>
    <x v="9"/>
    <x v="31"/>
    <s v="Combined Heat and Power, Industrial Power"/>
    <x v="9"/>
    <n v="611649"/>
  </r>
  <r>
    <x v="9"/>
    <x v="31"/>
    <s v="Combined Heat and Power, Industrial Power"/>
    <x v="4"/>
    <n v="75989"/>
  </r>
  <r>
    <x v="9"/>
    <x v="31"/>
    <s v="Combined Heat and Power, Electric Power"/>
    <x v="0"/>
    <n v="13524590"/>
  </r>
  <r>
    <x v="9"/>
    <x v="31"/>
    <s v="Combined Heat and Power, Electric Power"/>
    <x v="1"/>
    <n v="1676440"/>
  </r>
  <r>
    <x v="9"/>
    <x v="31"/>
    <s v="Combined Heat and Power, Electric Power"/>
    <x v="3"/>
    <n v="11113974"/>
  </r>
  <r>
    <x v="9"/>
    <x v="31"/>
    <s v="Combined Heat and Power, Electric Power"/>
    <x v="8"/>
    <n v="577261"/>
  </r>
  <r>
    <x v="9"/>
    <x v="31"/>
    <s v="Combined Heat and Power, Electric Power"/>
    <x v="4"/>
    <n v="156915"/>
  </r>
  <r>
    <x v="9"/>
    <x v="31"/>
    <s v="Combined Heat and Power, Commercial Power"/>
    <x v="0"/>
    <n v="160361"/>
  </r>
  <r>
    <x v="9"/>
    <x v="31"/>
    <s v="Combined Heat and Power, Commercial Power"/>
    <x v="3"/>
    <n v="158975"/>
  </r>
  <r>
    <x v="9"/>
    <x v="31"/>
    <s v="Combined Heat and Power, Commercial Power"/>
    <x v="8"/>
    <n v="625"/>
  </r>
  <r>
    <x v="9"/>
    <x v="31"/>
    <s v="Combined Heat and Power, Commercial Power"/>
    <x v="4"/>
    <n v="761"/>
  </r>
  <r>
    <x v="9"/>
    <x v="32"/>
    <s v="Total Electric Power Industry"/>
    <x v="0"/>
    <n v="32521856"/>
  </r>
  <r>
    <x v="9"/>
    <x v="32"/>
    <s v="Total Electric Power Industry"/>
    <x v="1"/>
    <n v="28067704"/>
  </r>
  <r>
    <x v="9"/>
    <x v="32"/>
    <s v="Total Electric Power Industry"/>
    <x v="2"/>
    <n v="242710"/>
  </r>
  <r>
    <x v="9"/>
    <x v="32"/>
    <s v="Total Electric Power Industry"/>
    <x v="3"/>
    <n v="4156548"/>
  </r>
  <r>
    <x v="9"/>
    <x v="32"/>
    <s v="Total Electric Power Industry"/>
    <x v="8"/>
    <n v="11013"/>
  </r>
  <r>
    <x v="9"/>
    <x v="32"/>
    <s v="Total Electric Power Industry"/>
    <x v="4"/>
    <n v="43881"/>
  </r>
  <r>
    <x v="9"/>
    <x v="32"/>
    <s v="Electric Generators, Electric Utilities"/>
    <x v="0"/>
    <n v="31654480"/>
  </r>
  <r>
    <x v="9"/>
    <x v="32"/>
    <s v="Electric Generators, Electric Utilities"/>
    <x v="1"/>
    <n v="28067704"/>
  </r>
  <r>
    <x v="9"/>
    <x v="32"/>
    <s v="Electric Generators, Electric Utilities"/>
    <x v="2"/>
    <n v="242710"/>
  </r>
  <r>
    <x v="9"/>
    <x v="32"/>
    <s v="Electric Generators, Electric Utilities"/>
    <x v="3"/>
    <n v="3303933"/>
  </r>
  <r>
    <x v="9"/>
    <x v="32"/>
    <s v="Electric Generators, Electric Utilities"/>
    <x v="4"/>
    <n v="40133"/>
  </r>
  <r>
    <x v="9"/>
    <x v="32"/>
    <s v="Combined Heat and Power, Industrial Power"/>
    <x v="0"/>
    <n v="285915"/>
  </r>
  <r>
    <x v="9"/>
    <x v="32"/>
    <s v="Combined Heat and Power, Industrial Power"/>
    <x v="3"/>
    <n v="282167"/>
  </r>
  <r>
    <x v="9"/>
    <x v="32"/>
    <s v="Combined Heat and Power, Industrial Power"/>
    <x v="4"/>
    <n v="3748"/>
  </r>
  <r>
    <x v="9"/>
    <x v="32"/>
    <s v="Combined Heat and Power, Electric Power"/>
    <x v="0"/>
    <n v="524477"/>
  </r>
  <r>
    <x v="9"/>
    <x v="32"/>
    <s v="Combined Heat and Power, Electric Power"/>
    <x v="3"/>
    <n v="513464"/>
  </r>
  <r>
    <x v="9"/>
    <x v="32"/>
    <s v="Combined Heat and Power, Electric Power"/>
    <x v="8"/>
    <n v="11013"/>
  </r>
  <r>
    <x v="9"/>
    <x v="32"/>
    <s v="Combined Heat and Power, Commercial Power"/>
    <x v="0"/>
    <n v="56984"/>
  </r>
  <r>
    <x v="9"/>
    <x v="32"/>
    <s v="Combined Heat and Power, Commercial Power"/>
    <x v="3"/>
    <n v="56984"/>
  </r>
  <r>
    <x v="9"/>
    <x v="33"/>
    <s v="Total Electric Power Industry"/>
    <x v="0"/>
    <n v="30532131"/>
  </r>
  <r>
    <x v="9"/>
    <x v="33"/>
    <s v="Total Electric Power Industry"/>
    <x v="1"/>
    <n v="16907530"/>
  </r>
  <r>
    <x v="9"/>
    <x v="33"/>
    <s v="Total Electric Power Industry"/>
    <x v="11"/>
    <n v="1414912"/>
  </r>
  <r>
    <x v="9"/>
    <x v="33"/>
    <s v="Total Electric Power Industry"/>
    <x v="2"/>
    <n v="2827671"/>
  </r>
  <r>
    <x v="9"/>
    <x v="33"/>
    <s v="Total Electric Power Industry"/>
    <x v="3"/>
    <n v="9346541"/>
  </r>
  <r>
    <x v="9"/>
    <x v="33"/>
    <s v="Total Electric Power Industry"/>
    <x v="4"/>
    <n v="35477"/>
  </r>
  <r>
    <x v="9"/>
    <x v="33"/>
    <s v="Electric Generators, Independent Power Producers"/>
    <x v="0"/>
    <n v="1711718"/>
  </r>
  <r>
    <x v="9"/>
    <x v="33"/>
    <s v="Electric Generators, Independent Power Producers"/>
    <x v="11"/>
    <n v="1414912"/>
  </r>
  <r>
    <x v="9"/>
    <x v="33"/>
    <s v="Electric Generators, Independent Power Producers"/>
    <x v="2"/>
    <n v="20509"/>
  </r>
  <r>
    <x v="9"/>
    <x v="33"/>
    <s v="Electric Generators, Independent Power Producers"/>
    <x v="3"/>
    <n v="276238"/>
  </r>
  <r>
    <x v="9"/>
    <x v="33"/>
    <s v="Electric Generators, Independent Power Producers"/>
    <x v="4"/>
    <n v="59"/>
  </r>
  <r>
    <x v="9"/>
    <x v="33"/>
    <s v="Electric Generators, Electric Utilities"/>
    <x v="0"/>
    <n v="26485602"/>
  </r>
  <r>
    <x v="9"/>
    <x v="33"/>
    <s v="Electric Generators, Electric Utilities"/>
    <x v="1"/>
    <n v="16907530"/>
  </r>
  <r>
    <x v="9"/>
    <x v="33"/>
    <s v="Electric Generators, Electric Utilities"/>
    <x v="2"/>
    <n v="2807162"/>
  </r>
  <r>
    <x v="9"/>
    <x v="33"/>
    <s v="Electric Generators, Electric Utilities"/>
    <x v="3"/>
    <n v="6735492"/>
  </r>
  <r>
    <x v="9"/>
    <x v="33"/>
    <s v="Electric Generators, Electric Utilities"/>
    <x v="4"/>
    <n v="35418"/>
  </r>
  <r>
    <x v="9"/>
    <x v="33"/>
    <s v="Combined Heat and Power, Electric Power"/>
    <x v="0"/>
    <n v="2334811"/>
  </r>
  <r>
    <x v="9"/>
    <x v="33"/>
    <s v="Combined Heat and Power, Electric Power"/>
    <x v="3"/>
    <n v="2334811"/>
  </r>
  <r>
    <x v="9"/>
    <x v="34"/>
    <s v="Total Electric Power Industry"/>
    <x v="0"/>
    <n v="146280866"/>
  </r>
  <r>
    <x v="9"/>
    <x v="34"/>
    <s v="Total Electric Power Industry"/>
    <x v="1"/>
    <n v="23365942"/>
  </r>
  <r>
    <x v="9"/>
    <x v="34"/>
    <s v="Total Electric Power Industry"/>
    <x v="2"/>
    <n v="24752318"/>
  </r>
  <r>
    <x v="9"/>
    <x v="34"/>
    <s v="Total Electric Power Industry"/>
    <x v="3"/>
    <n v="45999188"/>
  </r>
  <r>
    <x v="9"/>
    <x v="34"/>
    <s v="Total Electric Power Industry"/>
    <x v="7"/>
    <n v="37018540"/>
  </r>
  <r>
    <x v="9"/>
    <x v="34"/>
    <s v="Total Electric Power Industry"/>
    <x v="8"/>
    <n v="2257728"/>
  </r>
  <r>
    <x v="9"/>
    <x v="34"/>
    <s v="Total Electric Power Industry"/>
    <x v="9"/>
    <n v="111954"/>
  </r>
  <r>
    <x v="9"/>
    <x v="34"/>
    <s v="Total Electric Power Industry"/>
    <x v="4"/>
    <n v="13304192"/>
  </r>
  <r>
    <x v="9"/>
    <x v="34"/>
    <s v="Total Electric Power Industry"/>
    <x v="10"/>
    <n v="-1109075"/>
  </r>
  <r>
    <x v="9"/>
    <x v="34"/>
    <s v="Total Electric Power Industry"/>
    <x v="6"/>
    <n v="580079"/>
  </r>
  <r>
    <x v="9"/>
    <x v="34"/>
    <s v="Electric Generators, Independent Power Producers"/>
    <x v="0"/>
    <n v="24869201"/>
  </r>
  <r>
    <x v="9"/>
    <x v="34"/>
    <s v="Electric Generators, Independent Power Producers"/>
    <x v="1"/>
    <n v="11234667"/>
  </r>
  <r>
    <x v="9"/>
    <x v="34"/>
    <s v="Electric Generators, Independent Power Producers"/>
    <x v="2"/>
    <n v="3415277"/>
  </r>
  <r>
    <x v="9"/>
    <x v="34"/>
    <s v="Electric Generators, Independent Power Producers"/>
    <x v="3"/>
    <n v="7461925"/>
  </r>
  <r>
    <x v="9"/>
    <x v="34"/>
    <s v="Electric Generators, Independent Power Producers"/>
    <x v="8"/>
    <n v="1474183"/>
  </r>
  <r>
    <x v="9"/>
    <x v="34"/>
    <s v="Electric Generators, Independent Power Producers"/>
    <x v="9"/>
    <n v="53"/>
  </r>
  <r>
    <x v="9"/>
    <x v="34"/>
    <s v="Electric Generators, Independent Power Producers"/>
    <x v="4"/>
    <n v="977279"/>
  </r>
  <r>
    <x v="9"/>
    <x v="34"/>
    <s v="Electric Generators, Independent Power Producers"/>
    <x v="6"/>
    <n v="305817"/>
  </r>
  <r>
    <x v="9"/>
    <x v="34"/>
    <s v="Electric Generators, Electric Utilities"/>
    <x v="0"/>
    <n v="97009440"/>
  </r>
  <r>
    <x v="9"/>
    <x v="34"/>
    <s v="Electric Generators, Electric Utilities"/>
    <x v="1"/>
    <n v="10949307"/>
  </r>
  <r>
    <x v="9"/>
    <x v="34"/>
    <s v="Electric Generators, Electric Utilities"/>
    <x v="2"/>
    <n v="21232642"/>
  </r>
  <r>
    <x v="9"/>
    <x v="34"/>
    <s v="Electric Generators, Electric Utilities"/>
    <x v="3"/>
    <n v="17183250"/>
  </r>
  <r>
    <x v="9"/>
    <x v="34"/>
    <s v="Electric Generators, Electric Utilities"/>
    <x v="7"/>
    <n v="37018540"/>
  </r>
  <r>
    <x v="9"/>
    <x v="34"/>
    <s v="Electric Generators, Electric Utilities"/>
    <x v="4"/>
    <n v="11734647"/>
  </r>
  <r>
    <x v="9"/>
    <x v="34"/>
    <s v="Electric Generators, Electric Utilities"/>
    <x v="10"/>
    <n v="-1109075"/>
  </r>
  <r>
    <x v="9"/>
    <x v="34"/>
    <s v="Electric Generators, Electric Utilities"/>
    <x v="6"/>
    <n v="129"/>
  </r>
  <r>
    <x v="9"/>
    <x v="34"/>
    <s v="Combined Heat and Power, Industrial Power"/>
    <x v="0"/>
    <n v="2471287"/>
  </r>
  <r>
    <x v="9"/>
    <x v="34"/>
    <s v="Combined Heat and Power, Industrial Power"/>
    <x v="1"/>
    <n v="774871"/>
  </r>
  <r>
    <x v="9"/>
    <x v="34"/>
    <s v="Combined Heat and Power, Industrial Power"/>
    <x v="2"/>
    <n v="101320"/>
  </r>
  <r>
    <x v="9"/>
    <x v="34"/>
    <s v="Combined Heat and Power, Industrial Power"/>
    <x v="3"/>
    <n v="1085832"/>
  </r>
  <r>
    <x v="9"/>
    <x v="34"/>
    <s v="Combined Heat and Power, Industrial Power"/>
    <x v="9"/>
    <n v="111706"/>
  </r>
  <r>
    <x v="9"/>
    <x v="34"/>
    <s v="Combined Heat and Power, Industrial Power"/>
    <x v="4"/>
    <n v="155315"/>
  </r>
  <r>
    <x v="9"/>
    <x v="34"/>
    <s v="Combined Heat and Power, Industrial Power"/>
    <x v="6"/>
    <n v="242243"/>
  </r>
  <r>
    <x v="9"/>
    <x v="34"/>
    <s v="Combined Heat and Power, Electric Power"/>
    <x v="0"/>
    <n v="21096792"/>
  </r>
  <r>
    <x v="9"/>
    <x v="34"/>
    <s v="Combined Heat and Power, Electric Power"/>
    <x v="1"/>
    <n v="382157"/>
  </r>
  <r>
    <x v="9"/>
    <x v="34"/>
    <s v="Combined Heat and Power, Electric Power"/>
    <x v="3"/>
    <n v="19754693"/>
  </r>
  <r>
    <x v="9"/>
    <x v="34"/>
    <s v="Combined Heat and Power, Electric Power"/>
    <x v="8"/>
    <n v="568054"/>
  </r>
  <r>
    <x v="9"/>
    <x v="34"/>
    <s v="Combined Heat and Power, Electric Power"/>
    <x v="9"/>
    <n v="195"/>
  </r>
  <r>
    <x v="9"/>
    <x v="34"/>
    <s v="Combined Heat and Power, Electric Power"/>
    <x v="4"/>
    <n v="359803"/>
  </r>
  <r>
    <x v="9"/>
    <x v="34"/>
    <s v="Combined Heat and Power, Electric Power"/>
    <x v="6"/>
    <n v="31890"/>
  </r>
  <r>
    <x v="9"/>
    <x v="34"/>
    <s v="Combined Heat and Power, Commercial Power"/>
    <x v="0"/>
    <n v="834146"/>
  </r>
  <r>
    <x v="9"/>
    <x v="34"/>
    <s v="Combined Heat and Power, Commercial Power"/>
    <x v="1"/>
    <n v="24940"/>
  </r>
  <r>
    <x v="9"/>
    <x v="34"/>
    <s v="Combined Heat and Power, Commercial Power"/>
    <x v="2"/>
    <n v="3079"/>
  </r>
  <r>
    <x v="9"/>
    <x v="34"/>
    <s v="Combined Heat and Power, Commercial Power"/>
    <x v="3"/>
    <n v="513488"/>
  </r>
  <r>
    <x v="9"/>
    <x v="34"/>
    <s v="Combined Heat and Power, Commercial Power"/>
    <x v="8"/>
    <n v="215491"/>
  </r>
  <r>
    <x v="9"/>
    <x v="34"/>
    <s v="Combined Heat and Power, Commercial Power"/>
    <x v="4"/>
    <n v="77148"/>
  </r>
  <r>
    <x v="9"/>
    <x v="35"/>
    <s v="Total Electric Power Industry"/>
    <x v="0"/>
    <n v="142330431"/>
  </r>
  <r>
    <x v="9"/>
    <x v="35"/>
    <s v="Total Electric Power Industry"/>
    <x v="1"/>
    <n v="123320141"/>
  </r>
  <r>
    <x v="9"/>
    <x v="35"/>
    <s v="Total Electric Power Industry"/>
    <x v="2"/>
    <n v="423031"/>
  </r>
  <r>
    <x v="9"/>
    <x v="35"/>
    <s v="Total Electric Power Industry"/>
    <x v="3"/>
    <n v="886446"/>
  </r>
  <r>
    <x v="9"/>
    <x v="35"/>
    <s v="Total Electric Power Industry"/>
    <x v="7"/>
    <n v="16422010"/>
  </r>
  <r>
    <x v="9"/>
    <x v="35"/>
    <s v="Total Electric Power Industry"/>
    <x v="8"/>
    <n v="0"/>
  </r>
  <r>
    <x v="9"/>
    <x v="35"/>
    <s v="Total Electric Power Industry"/>
    <x v="9"/>
    <n v="156424"/>
  </r>
  <r>
    <x v="9"/>
    <x v="35"/>
    <s v="Total Electric Power Industry"/>
    <x v="4"/>
    <n v="483998"/>
  </r>
  <r>
    <x v="9"/>
    <x v="35"/>
    <s v="Total Electric Power Industry"/>
    <x v="6"/>
    <n v="638381"/>
  </r>
  <r>
    <x v="9"/>
    <x v="35"/>
    <s v="Electric Generators, Electric Utilities"/>
    <x v="0"/>
    <n v="140912140"/>
  </r>
  <r>
    <x v="9"/>
    <x v="35"/>
    <s v="Electric Generators, Electric Utilities"/>
    <x v="1"/>
    <n v="122845628"/>
  </r>
  <r>
    <x v="9"/>
    <x v="35"/>
    <s v="Electric Generators, Electric Utilities"/>
    <x v="2"/>
    <n v="423031"/>
  </r>
  <r>
    <x v="9"/>
    <x v="35"/>
    <s v="Electric Generators, Electric Utilities"/>
    <x v="3"/>
    <n v="747385"/>
  </r>
  <r>
    <x v="9"/>
    <x v="35"/>
    <s v="Electric Generators, Electric Utilities"/>
    <x v="7"/>
    <n v="16422010"/>
  </r>
  <r>
    <x v="9"/>
    <x v="35"/>
    <s v="Electric Generators, Electric Utilities"/>
    <x v="8"/>
    <n v="0"/>
  </r>
  <r>
    <x v="9"/>
    <x v="35"/>
    <s v="Electric Generators, Electric Utilities"/>
    <x v="4"/>
    <n v="474086"/>
  </r>
  <r>
    <x v="9"/>
    <x v="35"/>
    <s v="Combined Heat and Power, Industrial Power"/>
    <x v="0"/>
    <n v="1297749"/>
  </r>
  <r>
    <x v="9"/>
    <x v="35"/>
    <s v="Combined Heat and Power, Industrial Power"/>
    <x v="1"/>
    <n v="413555"/>
  </r>
  <r>
    <x v="9"/>
    <x v="35"/>
    <s v="Combined Heat and Power, Industrial Power"/>
    <x v="3"/>
    <n v="129440"/>
  </r>
  <r>
    <x v="9"/>
    <x v="35"/>
    <s v="Combined Heat and Power, Industrial Power"/>
    <x v="9"/>
    <n v="156424"/>
  </r>
  <r>
    <x v="9"/>
    <x v="35"/>
    <s v="Combined Heat and Power, Industrial Power"/>
    <x v="4"/>
    <n v="6806"/>
  </r>
  <r>
    <x v="9"/>
    <x v="35"/>
    <s v="Combined Heat and Power, Industrial Power"/>
    <x v="6"/>
    <n v="591524"/>
  </r>
  <r>
    <x v="9"/>
    <x v="35"/>
    <s v="Combined Heat and Power, Electric Power"/>
    <x v="0"/>
    <n v="117106"/>
  </r>
  <r>
    <x v="9"/>
    <x v="35"/>
    <s v="Combined Heat and Power, Electric Power"/>
    <x v="1"/>
    <n v="60674"/>
  </r>
  <r>
    <x v="9"/>
    <x v="35"/>
    <s v="Combined Heat and Power, Electric Power"/>
    <x v="3"/>
    <n v="6907"/>
  </r>
  <r>
    <x v="9"/>
    <x v="35"/>
    <s v="Combined Heat and Power, Electric Power"/>
    <x v="4"/>
    <n v="3097"/>
  </r>
  <r>
    <x v="9"/>
    <x v="35"/>
    <s v="Combined Heat and Power, Electric Power"/>
    <x v="6"/>
    <n v="46428"/>
  </r>
  <r>
    <x v="9"/>
    <x v="35"/>
    <s v="Combined Heat and Power, Commercial Power"/>
    <x v="0"/>
    <n v="3436"/>
  </r>
  <r>
    <x v="9"/>
    <x v="35"/>
    <s v="Combined Heat and Power, Commercial Power"/>
    <x v="1"/>
    <n v="284"/>
  </r>
  <r>
    <x v="9"/>
    <x v="35"/>
    <s v="Combined Heat and Power, Commercial Power"/>
    <x v="3"/>
    <n v="2714"/>
  </r>
  <r>
    <x v="9"/>
    <x v="35"/>
    <s v="Combined Heat and Power, Commercial Power"/>
    <x v="4"/>
    <n v="9"/>
  </r>
  <r>
    <x v="9"/>
    <x v="35"/>
    <s v="Combined Heat and Power, Commercial Power"/>
    <x v="6"/>
    <n v="429"/>
  </r>
  <r>
    <x v="9"/>
    <x v="36"/>
    <s v="Total Electric Power Industry"/>
    <x v="0"/>
    <n v="54865359"/>
  </r>
  <r>
    <x v="9"/>
    <x v="36"/>
    <s v="Total Electric Power Industry"/>
    <x v="1"/>
    <n v="33710011"/>
  </r>
  <r>
    <x v="9"/>
    <x v="36"/>
    <s v="Total Electric Power Industry"/>
    <x v="2"/>
    <n v="3175399"/>
  </r>
  <r>
    <x v="9"/>
    <x v="36"/>
    <s v="Total Electric Power Industry"/>
    <x v="3"/>
    <n v="17852306"/>
  </r>
  <r>
    <x v="9"/>
    <x v="36"/>
    <s v="Total Electric Power Industry"/>
    <x v="8"/>
    <n v="1603"/>
  </r>
  <r>
    <x v="9"/>
    <x v="36"/>
    <s v="Total Electric Power Industry"/>
    <x v="9"/>
    <n v="55265"/>
  </r>
  <r>
    <x v="9"/>
    <x v="36"/>
    <s v="Total Electric Power Industry"/>
    <x v="4"/>
    <n v="16625"/>
  </r>
  <r>
    <x v="9"/>
    <x v="36"/>
    <s v="Total Electric Power Industry"/>
    <x v="10"/>
    <n v="-106374"/>
  </r>
  <r>
    <x v="9"/>
    <x v="36"/>
    <s v="Total Electric Power Industry"/>
    <x v="6"/>
    <n v="160524"/>
  </r>
  <r>
    <x v="9"/>
    <x v="36"/>
    <s v="Electric Generators, Electric Utilities"/>
    <x v="0"/>
    <n v="50278792"/>
  </r>
  <r>
    <x v="9"/>
    <x v="36"/>
    <s v="Electric Generators, Electric Utilities"/>
    <x v="1"/>
    <n v="30588375"/>
  </r>
  <r>
    <x v="9"/>
    <x v="36"/>
    <s v="Electric Generators, Electric Utilities"/>
    <x v="2"/>
    <n v="3175399"/>
  </r>
  <r>
    <x v="9"/>
    <x v="36"/>
    <s v="Electric Generators, Electric Utilities"/>
    <x v="3"/>
    <n v="16613770"/>
  </r>
  <r>
    <x v="9"/>
    <x v="36"/>
    <s v="Electric Generators, Electric Utilities"/>
    <x v="4"/>
    <n v="7622"/>
  </r>
  <r>
    <x v="9"/>
    <x v="36"/>
    <s v="Electric Generators, Electric Utilities"/>
    <x v="10"/>
    <n v="-106374"/>
  </r>
  <r>
    <x v="9"/>
    <x v="36"/>
    <s v="Combined Heat and Power, Industrial Power"/>
    <x v="0"/>
    <n v="1113716"/>
  </r>
  <r>
    <x v="9"/>
    <x v="36"/>
    <s v="Combined Heat and Power, Industrial Power"/>
    <x v="1"/>
    <n v="447261"/>
  </r>
  <r>
    <x v="9"/>
    <x v="36"/>
    <s v="Combined Heat and Power, Industrial Power"/>
    <x v="3"/>
    <n v="440157"/>
  </r>
  <r>
    <x v="9"/>
    <x v="36"/>
    <s v="Combined Heat and Power, Industrial Power"/>
    <x v="8"/>
    <n v="1603"/>
  </r>
  <r>
    <x v="9"/>
    <x v="36"/>
    <s v="Combined Heat and Power, Industrial Power"/>
    <x v="9"/>
    <n v="55265"/>
  </r>
  <r>
    <x v="9"/>
    <x v="36"/>
    <s v="Combined Heat and Power, Industrial Power"/>
    <x v="4"/>
    <n v="8906"/>
  </r>
  <r>
    <x v="9"/>
    <x v="36"/>
    <s v="Combined Heat and Power, Industrial Power"/>
    <x v="6"/>
    <n v="160524"/>
  </r>
  <r>
    <x v="9"/>
    <x v="36"/>
    <s v="Combined Heat and Power, Electric Power"/>
    <x v="0"/>
    <n v="3433579"/>
  </r>
  <r>
    <x v="9"/>
    <x v="36"/>
    <s v="Combined Heat and Power, Electric Power"/>
    <x v="1"/>
    <n v="2674375"/>
  </r>
  <r>
    <x v="9"/>
    <x v="36"/>
    <s v="Combined Heat and Power, Electric Power"/>
    <x v="3"/>
    <n v="759204"/>
  </r>
  <r>
    <x v="9"/>
    <x v="36"/>
    <s v="Combined Heat and Power, Commercial Power"/>
    <x v="0"/>
    <n v="39272"/>
  </r>
  <r>
    <x v="9"/>
    <x v="36"/>
    <s v="Combined Heat and Power, Commercial Power"/>
    <x v="3"/>
    <n v="39175"/>
  </r>
  <r>
    <x v="9"/>
    <x v="36"/>
    <s v="Combined Heat and Power, Commercial Power"/>
    <x v="4"/>
    <n v="97"/>
  </r>
  <r>
    <x v="9"/>
    <x v="37"/>
    <s v="Total Electric Power Industry"/>
    <x v="0"/>
    <n v="56848347"/>
  </r>
  <r>
    <x v="9"/>
    <x v="37"/>
    <s v="Total Electric Power Industry"/>
    <x v="1"/>
    <n v="3722644"/>
  </r>
  <r>
    <x v="9"/>
    <x v="37"/>
    <s v="Total Electric Power Industry"/>
    <x v="2"/>
    <n v="45639050"/>
  </r>
  <r>
    <x v="9"/>
    <x v="37"/>
    <s v="Total Electric Power Industry"/>
    <x v="3"/>
    <n v="6880440"/>
  </r>
  <r>
    <x v="9"/>
    <x v="37"/>
    <s v="Total Electric Power Industry"/>
    <x v="8"/>
    <n v="92410"/>
  </r>
  <r>
    <x v="9"/>
    <x v="37"/>
    <s v="Total Electric Power Industry"/>
    <x v="4"/>
    <n v="8029"/>
  </r>
  <r>
    <x v="9"/>
    <x v="37"/>
    <s v="Total Electric Power Industry"/>
    <x v="5"/>
    <n v="84792"/>
  </r>
  <r>
    <x v="9"/>
    <x v="37"/>
    <s v="Total Electric Power Industry"/>
    <x v="6"/>
    <n v="420982"/>
  </r>
  <r>
    <x v="9"/>
    <x v="37"/>
    <s v="Electric Generators, Independent Power Producers"/>
    <x v="0"/>
    <n v="582535"/>
  </r>
  <r>
    <x v="9"/>
    <x v="37"/>
    <s v="Electric Generators, Independent Power Producers"/>
    <x v="2"/>
    <n v="405167"/>
  </r>
  <r>
    <x v="9"/>
    <x v="37"/>
    <s v="Electric Generators, Independent Power Producers"/>
    <x v="3"/>
    <n v="166"/>
  </r>
  <r>
    <x v="9"/>
    <x v="37"/>
    <s v="Electric Generators, Independent Power Producers"/>
    <x v="8"/>
    <n v="92410"/>
  </r>
  <r>
    <x v="9"/>
    <x v="37"/>
    <s v="Electric Generators, Independent Power Producers"/>
    <x v="5"/>
    <n v="84792"/>
  </r>
  <r>
    <x v="9"/>
    <x v="37"/>
    <s v="Electric Generators, Electric Utilities"/>
    <x v="0"/>
    <n v="51698318"/>
  </r>
  <r>
    <x v="9"/>
    <x v="37"/>
    <s v="Electric Generators, Electric Utilities"/>
    <x v="1"/>
    <n v="3697900"/>
  </r>
  <r>
    <x v="9"/>
    <x v="37"/>
    <s v="Electric Generators, Electric Utilities"/>
    <x v="2"/>
    <n v="45233883"/>
  </r>
  <r>
    <x v="9"/>
    <x v="37"/>
    <s v="Electric Generators, Electric Utilities"/>
    <x v="3"/>
    <n v="2758836"/>
  </r>
  <r>
    <x v="9"/>
    <x v="37"/>
    <s v="Electric Generators, Electric Utilities"/>
    <x v="8"/>
    <n v="0"/>
  </r>
  <r>
    <x v="9"/>
    <x v="37"/>
    <s v="Electric Generators, Electric Utilities"/>
    <x v="4"/>
    <n v="7699"/>
  </r>
  <r>
    <x v="9"/>
    <x v="37"/>
    <s v="Electric Generators, Electric Utilities"/>
    <x v="6"/>
    <n v="0"/>
  </r>
  <r>
    <x v="9"/>
    <x v="37"/>
    <s v="Combined Heat and Power, Industrial Power"/>
    <x v="0"/>
    <n v="645607"/>
  </r>
  <r>
    <x v="9"/>
    <x v="37"/>
    <s v="Combined Heat and Power, Industrial Power"/>
    <x v="1"/>
    <n v="24744"/>
  </r>
  <r>
    <x v="9"/>
    <x v="37"/>
    <s v="Combined Heat and Power, Industrial Power"/>
    <x v="3"/>
    <n v="434964"/>
  </r>
  <r>
    <x v="9"/>
    <x v="37"/>
    <s v="Combined Heat and Power, Industrial Power"/>
    <x v="4"/>
    <n v="327"/>
  </r>
  <r>
    <x v="9"/>
    <x v="37"/>
    <s v="Combined Heat and Power, Industrial Power"/>
    <x v="6"/>
    <n v="185572"/>
  </r>
  <r>
    <x v="9"/>
    <x v="37"/>
    <s v="Combined Heat and Power, Electric Power"/>
    <x v="0"/>
    <n v="3915583"/>
  </r>
  <r>
    <x v="9"/>
    <x v="37"/>
    <s v="Combined Heat and Power, Electric Power"/>
    <x v="3"/>
    <n v="3680173"/>
  </r>
  <r>
    <x v="9"/>
    <x v="37"/>
    <s v="Combined Heat and Power, Electric Power"/>
    <x v="6"/>
    <n v="235410"/>
  </r>
  <r>
    <x v="9"/>
    <x v="37"/>
    <s v="Combined Heat and Power, Commercial Power"/>
    <x v="0"/>
    <n v="6304"/>
  </r>
  <r>
    <x v="9"/>
    <x v="37"/>
    <s v="Combined Heat and Power, Commercial Power"/>
    <x v="3"/>
    <n v="6301"/>
  </r>
  <r>
    <x v="9"/>
    <x v="37"/>
    <s v="Combined Heat and Power, Commercial Power"/>
    <x v="4"/>
    <n v="3"/>
  </r>
  <r>
    <x v="9"/>
    <x v="38"/>
    <s v="Total Electric Power Industry"/>
    <x v="0"/>
    <n v="194528045"/>
  </r>
  <r>
    <x v="9"/>
    <x v="38"/>
    <s v="Total Electric Power Industry"/>
    <x v="1"/>
    <n v="111214374"/>
  </r>
  <r>
    <x v="9"/>
    <x v="38"/>
    <s v="Total Electric Power Industry"/>
    <x v="2"/>
    <n v="1946598"/>
  </r>
  <r>
    <x v="9"/>
    <x v="38"/>
    <s v="Total Electric Power Industry"/>
    <x v="3"/>
    <n v="3802013"/>
  </r>
  <r>
    <x v="9"/>
    <x v="38"/>
    <s v="Total Electric Power Industry"/>
    <x v="7"/>
    <n v="71127449"/>
  </r>
  <r>
    <x v="9"/>
    <x v="38"/>
    <s v="Total Electric Power Industry"/>
    <x v="12"/>
    <n v="57657"/>
  </r>
  <r>
    <x v="9"/>
    <x v="38"/>
    <s v="Total Electric Power Industry"/>
    <x v="8"/>
    <n v="2038376"/>
  </r>
  <r>
    <x v="9"/>
    <x v="38"/>
    <s v="Total Electric Power Industry"/>
    <x v="9"/>
    <n v="575293"/>
  </r>
  <r>
    <x v="9"/>
    <x v="38"/>
    <s v="Total Electric Power Industry"/>
    <x v="4"/>
    <n v="3496238"/>
  </r>
  <r>
    <x v="9"/>
    <x v="38"/>
    <s v="Total Electric Power Industry"/>
    <x v="10"/>
    <n v="-449612"/>
  </r>
  <r>
    <x v="9"/>
    <x v="38"/>
    <s v="Total Electric Power Industry"/>
    <x v="6"/>
    <n v="719659"/>
  </r>
  <r>
    <x v="9"/>
    <x v="38"/>
    <s v="Electric Generators, Independent Power Producers"/>
    <x v="0"/>
    <n v="21629679"/>
  </r>
  <r>
    <x v="9"/>
    <x v="38"/>
    <s v="Electric Generators, Independent Power Producers"/>
    <x v="1"/>
    <n v="19263357"/>
  </r>
  <r>
    <x v="9"/>
    <x v="38"/>
    <s v="Electric Generators, Independent Power Producers"/>
    <x v="2"/>
    <n v="342247"/>
  </r>
  <r>
    <x v="9"/>
    <x v="38"/>
    <s v="Electric Generators, Independent Power Producers"/>
    <x v="3"/>
    <n v="26999"/>
  </r>
  <r>
    <x v="9"/>
    <x v="38"/>
    <s v="Electric Generators, Independent Power Producers"/>
    <x v="7"/>
    <n v="242572"/>
  </r>
  <r>
    <x v="9"/>
    <x v="38"/>
    <s v="Electric Generators, Independent Power Producers"/>
    <x v="8"/>
    <n v="1707739"/>
  </r>
  <r>
    <x v="9"/>
    <x v="38"/>
    <s v="Electric Generators, Independent Power Producers"/>
    <x v="9"/>
    <n v="307"/>
  </r>
  <r>
    <x v="9"/>
    <x v="38"/>
    <s v="Electric Generators, Independent Power Producers"/>
    <x v="4"/>
    <n v="46458"/>
  </r>
  <r>
    <x v="9"/>
    <x v="38"/>
    <s v="Electric Generators, Electric Utilities"/>
    <x v="0"/>
    <n v="161595988"/>
  </r>
  <r>
    <x v="9"/>
    <x v="38"/>
    <s v="Electric Generators, Electric Utilities"/>
    <x v="1"/>
    <n v="85580341"/>
  </r>
  <r>
    <x v="9"/>
    <x v="38"/>
    <s v="Electric Generators, Electric Utilities"/>
    <x v="2"/>
    <n v="1604351"/>
  </r>
  <r>
    <x v="9"/>
    <x v="38"/>
    <s v="Electric Generators, Electric Utilities"/>
    <x v="3"/>
    <n v="912763"/>
  </r>
  <r>
    <x v="9"/>
    <x v="38"/>
    <s v="Electric Generators, Electric Utilities"/>
    <x v="7"/>
    <n v="70884877"/>
  </r>
  <r>
    <x v="9"/>
    <x v="38"/>
    <s v="Electric Generators, Electric Utilities"/>
    <x v="4"/>
    <n v="3063268"/>
  </r>
  <r>
    <x v="9"/>
    <x v="38"/>
    <s v="Electric Generators, Electric Utilities"/>
    <x v="10"/>
    <n v="-449612"/>
  </r>
  <r>
    <x v="9"/>
    <x v="38"/>
    <s v="Combined Heat and Power, Industrial Power"/>
    <x v="0"/>
    <n v="3764114"/>
  </r>
  <r>
    <x v="9"/>
    <x v="38"/>
    <s v="Combined Heat and Power, Industrial Power"/>
    <x v="1"/>
    <n v="1556983"/>
  </r>
  <r>
    <x v="9"/>
    <x v="38"/>
    <s v="Combined Heat and Power, Industrial Power"/>
    <x v="3"/>
    <n v="676758"/>
  </r>
  <r>
    <x v="9"/>
    <x v="38"/>
    <s v="Combined Heat and Power, Industrial Power"/>
    <x v="12"/>
    <n v="57657"/>
  </r>
  <r>
    <x v="9"/>
    <x v="38"/>
    <s v="Combined Heat and Power, Industrial Power"/>
    <x v="8"/>
    <n v="30010"/>
  </r>
  <r>
    <x v="9"/>
    <x v="38"/>
    <s v="Combined Heat and Power, Industrial Power"/>
    <x v="9"/>
    <n v="574986"/>
  </r>
  <r>
    <x v="9"/>
    <x v="38"/>
    <s v="Combined Heat and Power, Industrial Power"/>
    <x v="4"/>
    <n v="333143"/>
  </r>
  <r>
    <x v="9"/>
    <x v="38"/>
    <s v="Combined Heat and Power, Industrial Power"/>
    <x v="6"/>
    <n v="534577"/>
  </r>
  <r>
    <x v="9"/>
    <x v="38"/>
    <s v="Combined Heat and Power, Electric Power"/>
    <x v="0"/>
    <n v="7107445"/>
  </r>
  <r>
    <x v="9"/>
    <x v="38"/>
    <s v="Combined Heat and Power, Electric Power"/>
    <x v="1"/>
    <n v="4808324"/>
  </r>
  <r>
    <x v="9"/>
    <x v="38"/>
    <s v="Combined Heat and Power, Electric Power"/>
    <x v="3"/>
    <n v="1995713"/>
  </r>
  <r>
    <x v="9"/>
    <x v="38"/>
    <s v="Combined Heat and Power, Electric Power"/>
    <x v="8"/>
    <n v="75368"/>
  </r>
  <r>
    <x v="9"/>
    <x v="38"/>
    <s v="Combined Heat and Power, Electric Power"/>
    <x v="4"/>
    <n v="42958"/>
  </r>
  <r>
    <x v="9"/>
    <x v="38"/>
    <s v="Combined Heat and Power, Electric Power"/>
    <x v="6"/>
    <n v="185082"/>
  </r>
  <r>
    <x v="9"/>
    <x v="38"/>
    <s v="Combined Heat and Power, Commercial Power"/>
    <x v="0"/>
    <n v="430819"/>
  </r>
  <r>
    <x v="9"/>
    <x v="38"/>
    <s v="Combined Heat and Power, Commercial Power"/>
    <x v="1"/>
    <n v="5369"/>
  </r>
  <r>
    <x v="9"/>
    <x v="38"/>
    <s v="Combined Heat and Power, Commercial Power"/>
    <x v="3"/>
    <n v="189780"/>
  </r>
  <r>
    <x v="9"/>
    <x v="38"/>
    <s v="Combined Heat and Power, Commercial Power"/>
    <x v="8"/>
    <n v="225259"/>
  </r>
  <r>
    <x v="9"/>
    <x v="38"/>
    <s v="Combined Heat and Power, Commercial Power"/>
    <x v="4"/>
    <n v="10411"/>
  </r>
  <r>
    <x v="9"/>
    <x v="39"/>
    <s v="Total Electric Power Industry"/>
    <x v="0"/>
    <n v="6376881"/>
  </r>
  <r>
    <x v="9"/>
    <x v="39"/>
    <s v="Total Electric Power Industry"/>
    <x v="2"/>
    <n v="6050"/>
  </r>
  <r>
    <x v="9"/>
    <x v="39"/>
    <s v="Total Electric Power Industry"/>
    <x v="3"/>
    <n v="6184600"/>
  </r>
  <r>
    <x v="9"/>
    <x v="39"/>
    <s v="Total Electric Power Industry"/>
    <x v="8"/>
    <n v="114192"/>
  </r>
  <r>
    <x v="9"/>
    <x v="39"/>
    <s v="Total Electric Power Industry"/>
    <x v="4"/>
    <n v="72039"/>
  </r>
  <r>
    <x v="9"/>
    <x v="39"/>
    <s v="Electric Generators, Independent Power Producers"/>
    <x v="0"/>
    <n v="5843286"/>
  </r>
  <r>
    <x v="9"/>
    <x v="39"/>
    <s v="Electric Generators, Independent Power Producers"/>
    <x v="2"/>
    <n v="6050"/>
  </r>
  <r>
    <x v="9"/>
    <x v="39"/>
    <s v="Electric Generators, Independent Power Producers"/>
    <x v="3"/>
    <n v="5714316"/>
  </r>
  <r>
    <x v="9"/>
    <x v="39"/>
    <s v="Electric Generators, Independent Power Producers"/>
    <x v="8"/>
    <n v="114192"/>
  </r>
  <r>
    <x v="9"/>
    <x v="39"/>
    <s v="Electric Generators, Independent Power Producers"/>
    <x v="4"/>
    <n v="8728"/>
  </r>
  <r>
    <x v="9"/>
    <x v="39"/>
    <s v="Electric Generators, Electric Utilities"/>
    <x v="0"/>
    <n v="9436"/>
  </r>
  <r>
    <x v="9"/>
    <x v="39"/>
    <s v="Electric Generators, Electric Utilities"/>
    <x v="2"/>
    <n v="0"/>
  </r>
  <r>
    <x v="9"/>
    <x v="39"/>
    <s v="Electric Generators, Electric Utilities"/>
    <x v="4"/>
    <n v="9436"/>
  </r>
  <r>
    <x v="9"/>
    <x v="39"/>
    <s v="Combined Heat and Power, Industrial Power"/>
    <x v="0"/>
    <n v="2364"/>
  </r>
  <r>
    <x v="9"/>
    <x v="39"/>
    <s v="Combined Heat and Power, Industrial Power"/>
    <x v="4"/>
    <n v="2364"/>
  </r>
  <r>
    <x v="9"/>
    <x v="39"/>
    <s v="Combined Heat and Power, Electric Power"/>
    <x v="0"/>
    <n v="472964"/>
  </r>
  <r>
    <x v="9"/>
    <x v="39"/>
    <s v="Combined Heat and Power, Electric Power"/>
    <x v="3"/>
    <n v="465320"/>
  </r>
  <r>
    <x v="9"/>
    <x v="39"/>
    <s v="Combined Heat and Power, Electric Power"/>
    <x v="4"/>
    <n v="7644"/>
  </r>
  <r>
    <x v="9"/>
    <x v="39"/>
    <s v="Combined Heat and Power, Commercial Power"/>
    <x v="0"/>
    <n v="48831"/>
  </r>
  <r>
    <x v="9"/>
    <x v="39"/>
    <s v="Combined Heat and Power, Commercial Power"/>
    <x v="3"/>
    <n v="4964"/>
  </r>
  <r>
    <x v="9"/>
    <x v="39"/>
    <s v="Combined Heat and Power, Commercial Power"/>
    <x v="4"/>
    <n v="43867"/>
  </r>
  <r>
    <x v="9"/>
    <x v="40"/>
    <s v="Total Electric Power Industry"/>
    <x v="0"/>
    <n v="90233508"/>
  </r>
  <r>
    <x v="9"/>
    <x v="40"/>
    <s v="Total Electric Power Industry"/>
    <x v="1"/>
    <n v="35804943"/>
  </r>
  <r>
    <x v="9"/>
    <x v="40"/>
    <s v="Total Electric Power Industry"/>
    <x v="2"/>
    <n v="1687351"/>
  </r>
  <r>
    <x v="9"/>
    <x v="40"/>
    <s v="Total Electric Power Industry"/>
    <x v="3"/>
    <n v="1046550"/>
  </r>
  <r>
    <x v="9"/>
    <x v="40"/>
    <s v="Total Electric Power Industry"/>
    <x v="7"/>
    <n v="50813559"/>
  </r>
  <r>
    <x v="9"/>
    <x v="40"/>
    <s v="Total Electric Power Industry"/>
    <x v="8"/>
    <n v="60577"/>
  </r>
  <r>
    <x v="9"/>
    <x v="40"/>
    <s v="Total Electric Power Industry"/>
    <x v="9"/>
    <n v="54609"/>
  </r>
  <r>
    <x v="9"/>
    <x v="40"/>
    <s v="Total Electric Power Industry"/>
    <x v="4"/>
    <n v="386565"/>
  </r>
  <r>
    <x v="9"/>
    <x v="40"/>
    <s v="Total Electric Power Industry"/>
    <x v="10"/>
    <n v="-996777"/>
  </r>
  <r>
    <x v="9"/>
    <x v="40"/>
    <s v="Total Electric Power Industry"/>
    <x v="6"/>
    <n v="1376131"/>
  </r>
  <r>
    <x v="9"/>
    <x v="40"/>
    <s v="Electric Generators, Independent Power Producers"/>
    <x v="0"/>
    <n v="39575"/>
  </r>
  <r>
    <x v="9"/>
    <x v="40"/>
    <s v="Electric Generators, Independent Power Producers"/>
    <x v="2"/>
    <n v="39575"/>
  </r>
  <r>
    <x v="9"/>
    <x v="40"/>
    <s v="Electric Generators, Electric Utilities"/>
    <x v="0"/>
    <n v="87347364"/>
  </r>
  <r>
    <x v="9"/>
    <x v="40"/>
    <s v="Electric Generators, Electric Utilities"/>
    <x v="1"/>
    <n v="35246389"/>
  </r>
  <r>
    <x v="9"/>
    <x v="40"/>
    <s v="Electric Generators, Electric Utilities"/>
    <x v="2"/>
    <n v="1646643"/>
  </r>
  <r>
    <x v="9"/>
    <x v="40"/>
    <s v="Electric Generators, Electric Utilities"/>
    <x v="3"/>
    <n v="336811"/>
  </r>
  <r>
    <x v="9"/>
    <x v="40"/>
    <s v="Electric Generators, Electric Utilities"/>
    <x v="7"/>
    <n v="50813559"/>
  </r>
  <r>
    <x v="9"/>
    <x v="40"/>
    <s v="Electric Generators, Electric Utilities"/>
    <x v="4"/>
    <n v="300739"/>
  </r>
  <r>
    <x v="9"/>
    <x v="40"/>
    <s v="Electric Generators, Electric Utilities"/>
    <x v="10"/>
    <n v="-996777"/>
  </r>
  <r>
    <x v="9"/>
    <x v="40"/>
    <s v="Combined Heat and Power, Industrial Power"/>
    <x v="0"/>
    <n v="2153937"/>
  </r>
  <r>
    <x v="9"/>
    <x v="40"/>
    <s v="Combined Heat and Power, Industrial Power"/>
    <x v="1"/>
    <n v="558554"/>
  </r>
  <r>
    <x v="9"/>
    <x v="40"/>
    <s v="Combined Heat and Power, Industrial Power"/>
    <x v="3"/>
    <n v="80059"/>
  </r>
  <r>
    <x v="9"/>
    <x v="40"/>
    <s v="Combined Heat and Power, Industrial Power"/>
    <x v="9"/>
    <n v="54609"/>
  </r>
  <r>
    <x v="9"/>
    <x v="40"/>
    <s v="Combined Heat and Power, Industrial Power"/>
    <x v="4"/>
    <n v="84584"/>
  </r>
  <r>
    <x v="9"/>
    <x v="40"/>
    <s v="Combined Heat and Power, Industrial Power"/>
    <x v="6"/>
    <n v="1376131"/>
  </r>
  <r>
    <x v="9"/>
    <x v="40"/>
    <s v="Combined Heat and Power, Electric Power"/>
    <x v="0"/>
    <n v="627468"/>
  </r>
  <r>
    <x v="9"/>
    <x v="40"/>
    <s v="Combined Heat and Power, Electric Power"/>
    <x v="3"/>
    <n v="627468"/>
  </r>
  <r>
    <x v="9"/>
    <x v="40"/>
    <s v="Combined Heat and Power, Commercial Power"/>
    <x v="0"/>
    <n v="65164"/>
  </r>
  <r>
    <x v="9"/>
    <x v="40"/>
    <s v="Combined Heat and Power, Commercial Power"/>
    <x v="2"/>
    <n v="1133"/>
  </r>
  <r>
    <x v="9"/>
    <x v="40"/>
    <s v="Combined Heat and Power, Commercial Power"/>
    <x v="3"/>
    <n v="2212"/>
  </r>
  <r>
    <x v="9"/>
    <x v="40"/>
    <s v="Combined Heat and Power, Commercial Power"/>
    <x v="8"/>
    <n v="60577"/>
  </r>
  <r>
    <x v="9"/>
    <x v="40"/>
    <s v="Combined Heat and Power, Commercial Power"/>
    <x v="4"/>
    <n v="1242"/>
  </r>
  <r>
    <x v="9"/>
    <x v="41"/>
    <s v="Total Electric Power Industry"/>
    <x v="0"/>
    <n v="10557027"/>
  </r>
  <r>
    <x v="9"/>
    <x v="41"/>
    <s v="Total Electric Power Industry"/>
    <x v="1"/>
    <n v="3674400"/>
  </r>
  <r>
    <x v="9"/>
    <x v="41"/>
    <s v="Total Electric Power Industry"/>
    <x v="2"/>
    <n v="6677303"/>
  </r>
  <r>
    <x v="9"/>
    <x v="41"/>
    <s v="Total Electric Power Industry"/>
    <x v="3"/>
    <n v="181205"/>
  </r>
  <r>
    <x v="9"/>
    <x v="41"/>
    <s v="Total Electric Power Industry"/>
    <x v="4"/>
    <n v="24119"/>
  </r>
  <r>
    <x v="9"/>
    <x v="41"/>
    <s v="Electric Generators, Electric Utilities"/>
    <x v="0"/>
    <n v="10557027"/>
  </r>
  <r>
    <x v="9"/>
    <x v="41"/>
    <s v="Electric Generators, Electric Utilities"/>
    <x v="1"/>
    <n v="3674400"/>
  </r>
  <r>
    <x v="9"/>
    <x v="41"/>
    <s v="Electric Generators, Electric Utilities"/>
    <x v="2"/>
    <n v="6677303"/>
  </r>
  <r>
    <x v="9"/>
    <x v="41"/>
    <s v="Electric Generators, Electric Utilities"/>
    <x v="3"/>
    <n v="181205"/>
  </r>
  <r>
    <x v="9"/>
    <x v="41"/>
    <s v="Electric Generators, Electric Utilities"/>
    <x v="4"/>
    <n v="24119"/>
  </r>
  <r>
    <x v="9"/>
    <x v="42"/>
    <s v="Total Electric Power Industry"/>
    <x v="0"/>
    <n v="93320137"/>
  </r>
  <r>
    <x v="9"/>
    <x v="42"/>
    <s v="Total Electric Power Industry"/>
    <x v="1"/>
    <n v="56878038"/>
  </r>
  <r>
    <x v="9"/>
    <x v="42"/>
    <s v="Total Electric Power Industry"/>
    <x v="2"/>
    <n v="7801957"/>
  </r>
  <r>
    <x v="9"/>
    <x v="42"/>
    <s v="Total Electric Power Industry"/>
    <x v="3"/>
    <n v="693206"/>
  </r>
  <r>
    <x v="9"/>
    <x v="42"/>
    <s v="Total Electric Power Industry"/>
    <x v="7"/>
    <n v="27227225"/>
  </r>
  <r>
    <x v="9"/>
    <x v="42"/>
    <s v="Total Electric Power Industry"/>
    <x v="12"/>
    <n v="112832"/>
  </r>
  <r>
    <x v="9"/>
    <x v="42"/>
    <s v="Total Electric Power Industry"/>
    <x v="8"/>
    <n v="38748"/>
  </r>
  <r>
    <x v="9"/>
    <x v="42"/>
    <s v="Total Electric Power Industry"/>
    <x v="9"/>
    <n v="14451"/>
  </r>
  <r>
    <x v="9"/>
    <x v="42"/>
    <s v="Total Electric Power Industry"/>
    <x v="4"/>
    <n v="515575"/>
  </r>
  <r>
    <x v="9"/>
    <x v="42"/>
    <s v="Total Electric Power Industry"/>
    <x v="10"/>
    <n v="-651676"/>
  </r>
  <r>
    <x v="9"/>
    <x v="42"/>
    <s v="Total Electric Power Industry"/>
    <x v="6"/>
    <n v="689781"/>
  </r>
  <r>
    <x v="9"/>
    <x v="42"/>
    <s v="Electric Generators, Independent Power Producers"/>
    <x v="0"/>
    <n v="211876"/>
  </r>
  <r>
    <x v="9"/>
    <x v="42"/>
    <s v="Electric Generators, Independent Power Producers"/>
    <x v="3"/>
    <n v="192676"/>
  </r>
  <r>
    <x v="9"/>
    <x v="42"/>
    <s v="Electric Generators, Independent Power Producers"/>
    <x v="8"/>
    <n v="19200"/>
  </r>
  <r>
    <x v="9"/>
    <x v="42"/>
    <s v="Electric Generators, Electric Utilities"/>
    <x v="0"/>
    <n v="89682569"/>
  </r>
  <r>
    <x v="9"/>
    <x v="42"/>
    <s v="Electric Generators, Electric Utilities"/>
    <x v="1"/>
    <n v="55220519"/>
  </r>
  <r>
    <x v="9"/>
    <x v="42"/>
    <s v="Electric Generators, Electric Utilities"/>
    <x v="2"/>
    <n v="7150413"/>
  </r>
  <r>
    <x v="9"/>
    <x v="42"/>
    <s v="Electric Generators, Electric Utilities"/>
    <x v="3"/>
    <n v="233802"/>
  </r>
  <r>
    <x v="9"/>
    <x v="42"/>
    <s v="Electric Generators, Electric Utilities"/>
    <x v="7"/>
    <n v="27227225"/>
  </r>
  <r>
    <x v="9"/>
    <x v="42"/>
    <s v="Electric Generators, Electric Utilities"/>
    <x v="4"/>
    <n v="502286"/>
  </r>
  <r>
    <x v="9"/>
    <x v="42"/>
    <s v="Electric Generators, Electric Utilities"/>
    <x v="10"/>
    <n v="-651676"/>
  </r>
  <r>
    <x v="9"/>
    <x v="42"/>
    <s v="Combined Heat and Power, Industrial Power"/>
    <x v="0"/>
    <n v="3289135"/>
  </r>
  <r>
    <x v="9"/>
    <x v="42"/>
    <s v="Combined Heat and Power, Industrial Power"/>
    <x v="1"/>
    <n v="1616252"/>
  </r>
  <r>
    <x v="9"/>
    <x v="42"/>
    <s v="Combined Heat and Power, Industrial Power"/>
    <x v="2"/>
    <n v="651544"/>
  </r>
  <r>
    <x v="9"/>
    <x v="42"/>
    <s v="Combined Heat and Power, Industrial Power"/>
    <x v="3"/>
    <n v="186431"/>
  </r>
  <r>
    <x v="9"/>
    <x v="42"/>
    <s v="Combined Heat and Power, Industrial Power"/>
    <x v="12"/>
    <n v="112832"/>
  </r>
  <r>
    <x v="9"/>
    <x v="42"/>
    <s v="Combined Heat and Power, Industrial Power"/>
    <x v="8"/>
    <n v="4846"/>
  </r>
  <r>
    <x v="9"/>
    <x v="42"/>
    <s v="Combined Heat and Power, Industrial Power"/>
    <x v="9"/>
    <n v="14451"/>
  </r>
  <r>
    <x v="9"/>
    <x v="42"/>
    <s v="Combined Heat and Power, Industrial Power"/>
    <x v="4"/>
    <n v="13144"/>
  </r>
  <r>
    <x v="9"/>
    <x v="42"/>
    <s v="Combined Heat and Power, Industrial Power"/>
    <x v="6"/>
    <n v="689635"/>
  </r>
  <r>
    <x v="9"/>
    <x v="42"/>
    <s v="Combined Heat and Power, Electric Power"/>
    <x v="0"/>
    <n v="146"/>
  </r>
  <r>
    <x v="9"/>
    <x v="42"/>
    <s v="Combined Heat and Power, Electric Power"/>
    <x v="6"/>
    <n v="146"/>
  </r>
  <r>
    <x v="9"/>
    <x v="42"/>
    <s v="Combined Heat and Power, Commercial Power"/>
    <x v="0"/>
    <n v="136411"/>
  </r>
  <r>
    <x v="9"/>
    <x v="42"/>
    <s v="Combined Heat and Power, Commercial Power"/>
    <x v="1"/>
    <n v="41267"/>
  </r>
  <r>
    <x v="9"/>
    <x v="42"/>
    <s v="Combined Heat and Power, Commercial Power"/>
    <x v="3"/>
    <n v="80297"/>
  </r>
  <r>
    <x v="9"/>
    <x v="42"/>
    <s v="Combined Heat and Power, Commercial Power"/>
    <x v="8"/>
    <n v="14702"/>
  </r>
  <r>
    <x v="9"/>
    <x v="42"/>
    <s v="Combined Heat and Power, Commercial Power"/>
    <x v="4"/>
    <n v="145"/>
  </r>
  <r>
    <x v="9"/>
    <x v="43"/>
    <s v="Total Electric Power Industry"/>
    <x v="0"/>
    <n v="358944744"/>
  </r>
  <r>
    <x v="9"/>
    <x v="43"/>
    <s v="Total Electric Power Industry"/>
    <x v="1"/>
    <n v="140864899"/>
  </r>
  <r>
    <x v="9"/>
    <x v="43"/>
    <s v="Total Electric Power Industry"/>
    <x v="2"/>
    <n v="1120206"/>
  </r>
  <r>
    <x v="9"/>
    <x v="43"/>
    <s v="Total Electric Power Industry"/>
    <x v="3"/>
    <n v="172060773"/>
  </r>
  <r>
    <x v="9"/>
    <x v="43"/>
    <s v="Total Electric Power Industry"/>
    <x v="7"/>
    <n v="36759899"/>
  </r>
  <r>
    <x v="9"/>
    <x v="43"/>
    <s v="Total Electric Power Industry"/>
    <x v="12"/>
    <n v="895076"/>
  </r>
  <r>
    <x v="9"/>
    <x v="43"/>
    <s v="Total Electric Power Industry"/>
    <x v="8"/>
    <n v="74465"/>
  </r>
  <r>
    <x v="9"/>
    <x v="43"/>
    <s v="Total Electric Power Industry"/>
    <x v="9"/>
    <n v="3971925"/>
  </r>
  <r>
    <x v="9"/>
    <x v="43"/>
    <s v="Total Electric Power Industry"/>
    <x v="4"/>
    <n v="1750919"/>
  </r>
  <r>
    <x v="9"/>
    <x v="43"/>
    <s v="Total Electric Power Industry"/>
    <x v="13"/>
    <n v="86"/>
  </r>
  <r>
    <x v="9"/>
    <x v="43"/>
    <s v="Total Electric Power Industry"/>
    <x v="5"/>
    <n v="319960"/>
  </r>
  <r>
    <x v="9"/>
    <x v="43"/>
    <s v="Total Electric Power Industry"/>
    <x v="6"/>
    <n v="1126536"/>
  </r>
  <r>
    <x v="9"/>
    <x v="43"/>
    <s v="Electric Generators, Independent Power Producers"/>
    <x v="0"/>
    <n v="1071502"/>
  </r>
  <r>
    <x v="9"/>
    <x v="43"/>
    <s v="Electric Generators, Independent Power Producers"/>
    <x v="2"/>
    <n v="3325"/>
  </r>
  <r>
    <x v="9"/>
    <x v="43"/>
    <s v="Electric Generators, Independent Power Producers"/>
    <x v="3"/>
    <n v="704748"/>
  </r>
  <r>
    <x v="9"/>
    <x v="43"/>
    <s v="Electric Generators, Independent Power Producers"/>
    <x v="8"/>
    <n v="43469"/>
  </r>
  <r>
    <x v="9"/>
    <x v="43"/>
    <s v="Electric Generators, Independent Power Producers"/>
    <x v="5"/>
    <n v="319960"/>
  </r>
  <r>
    <x v="9"/>
    <x v="43"/>
    <s v="Electric Generators, Electric Utilities"/>
    <x v="0"/>
    <n v="292458336"/>
  </r>
  <r>
    <x v="9"/>
    <x v="43"/>
    <s v="Electric Generators, Electric Utilities"/>
    <x v="1"/>
    <n v="138077181"/>
  </r>
  <r>
    <x v="9"/>
    <x v="43"/>
    <s v="Electric Generators, Electric Utilities"/>
    <x v="2"/>
    <n v="1116881"/>
  </r>
  <r>
    <x v="9"/>
    <x v="43"/>
    <s v="Electric Generators, Electric Utilities"/>
    <x v="3"/>
    <n v="116358063"/>
  </r>
  <r>
    <x v="9"/>
    <x v="43"/>
    <s v="Electric Generators, Electric Utilities"/>
    <x v="7"/>
    <n v="36759899"/>
  </r>
  <r>
    <x v="9"/>
    <x v="43"/>
    <s v="Electric Generators, Electric Utilities"/>
    <x v="4"/>
    <n v="146226"/>
  </r>
  <r>
    <x v="9"/>
    <x v="43"/>
    <s v="Electric Generators, Electric Utilities"/>
    <x v="13"/>
    <n v="86"/>
  </r>
  <r>
    <x v="9"/>
    <x v="43"/>
    <s v="Combined Heat and Power, Industrial Power"/>
    <x v="0"/>
    <n v="39321347"/>
  </r>
  <r>
    <x v="9"/>
    <x v="43"/>
    <s v="Combined Heat and Power, Industrial Power"/>
    <x v="1"/>
    <n v="2787718"/>
  </r>
  <r>
    <x v="9"/>
    <x v="43"/>
    <s v="Combined Heat and Power, Industrial Power"/>
    <x v="3"/>
    <n v="31615358"/>
  </r>
  <r>
    <x v="9"/>
    <x v="43"/>
    <s v="Combined Heat and Power, Industrial Power"/>
    <x v="12"/>
    <n v="756134"/>
  </r>
  <r>
    <x v="9"/>
    <x v="43"/>
    <s v="Combined Heat and Power, Industrial Power"/>
    <x v="8"/>
    <n v="22073"/>
  </r>
  <r>
    <x v="9"/>
    <x v="43"/>
    <s v="Combined Heat and Power, Industrial Power"/>
    <x v="9"/>
    <n v="2785726"/>
  </r>
  <r>
    <x v="9"/>
    <x v="43"/>
    <s v="Combined Heat and Power, Industrial Power"/>
    <x v="4"/>
    <n v="227802"/>
  </r>
  <r>
    <x v="9"/>
    <x v="43"/>
    <s v="Combined Heat and Power, Industrial Power"/>
    <x v="6"/>
    <n v="1126536"/>
  </r>
  <r>
    <x v="9"/>
    <x v="43"/>
    <s v="Combined Heat and Power, Electric Power"/>
    <x v="0"/>
    <n v="25590396"/>
  </r>
  <r>
    <x v="9"/>
    <x v="43"/>
    <s v="Combined Heat and Power, Electric Power"/>
    <x v="3"/>
    <n v="22893808"/>
  </r>
  <r>
    <x v="9"/>
    <x v="43"/>
    <s v="Combined Heat and Power, Electric Power"/>
    <x v="12"/>
    <n v="138942"/>
  </r>
  <r>
    <x v="9"/>
    <x v="43"/>
    <s v="Combined Heat and Power, Electric Power"/>
    <x v="9"/>
    <n v="1186199"/>
  </r>
  <r>
    <x v="9"/>
    <x v="43"/>
    <s v="Combined Heat and Power, Electric Power"/>
    <x v="4"/>
    <n v="1371447"/>
  </r>
  <r>
    <x v="9"/>
    <x v="43"/>
    <s v="Combined Heat and Power, Commercial Power"/>
    <x v="0"/>
    <n v="503163"/>
  </r>
  <r>
    <x v="9"/>
    <x v="43"/>
    <s v="Combined Heat and Power, Commercial Power"/>
    <x v="3"/>
    <n v="488796"/>
  </r>
  <r>
    <x v="9"/>
    <x v="43"/>
    <s v="Combined Heat and Power, Commercial Power"/>
    <x v="8"/>
    <n v="8923"/>
  </r>
  <r>
    <x v="9"/>
    <x v="43"/>
    <s v="Combined Heat and Power, Commercial Power"/>
    <x v="4"/>
    <n v="5444"/>
  </r>
  <r>
    <x v="9"/>
    <x v="44"/>
    <s v="Total Electric Power Industry"/>
    <x v="0"/>
    <n v="3694809810"/>
  </r>
  <r>
    <x v="9"/>
    <x v="44"/>
    <s v="Total Electric Power Industry"/>
    <x v="1"/>
    <n v="1881087224"/>
  </r>
  <r>
    <x v="9"/>
    <x v="44"/>
    <s v="Total Electric Power Industry"/>
    <x v="11"/>
    <n v="14827013"/>
  </r>
  <r>
    <x v="9"/>
    <x v="44"/>
    <s v="Total Electric Power Industry"/>
    <x v="2"/>
    <n v="319536029"/>
  </r>
  <r>
    <x v="9"/>
    <x v="44"/>
    <s v="Total Electric Power Industry"/>
    <x v="3"/>
    <n v="556396127"/>
  </r>
  <r>
    <x v="9"/>
    <x v="44"/>
    <s v="Total Electric Power Industry"/>
    <x v="7"/>
    <n v="728254124"/>
  </r>
  <r>
    <x v="9"/>
    <x v="44"/>
    <s v="Total Electric Power Industry"/>
    <x v="12"/>
    <n v="4023773"/>
  </r>
  <r>
    <x v="9"/>
    <x v="44"/>
    <s v="Total Electric Power Industry"/>
    <x v="8"/>
    <n v="22572175"/>
  </r>
  <r>
    <x v="9"/>
    <x v="44"/>
    <s v="Total Electric Power Industry"/>
    <x v="9"/>
    <n v="14125592"/>
  </r>
  <r>
    <x v="9"/>
    <x v="44"/>
    <s v="Total Electric Power Industry"/>
    <x v="4"/>
    <n v="118060838"/>
  </r>
  <r>
    <x v="9"/>
    <x v="44"/>
    <s v="Total Electric Power Industry"/>
    <x v="10"/>
    <n v="-6096899"/>
  </r>
  <r>
    <x v="9"/>
    <x v="44"/>
    <s v="Total Electric Power Industry"/>
    <x v="13"/>
    <n v="495082"/>
  </r>
  <r>
    <x v="9"/>
    <x v="44"/>
    <s v="Total Electric Power Industry"/>
    <x v="5"/>
    <n v="4487998"/>
  </r>
  <r>
    <x v="9"/>
    <x v="44"/>
    <s v="Total Electric Power Industry"/>
    <x v="6"/>
    <n v="37040734"/>
  </r>
  <r>
    <x v="9"/>
    <x v="44"/>
    <s v="Electric Generators, Independent Power Producers"/>
    <x v="0"/>
    <n v="200904625"/>
  </r>
  <r>
    <x v="9"/>
    <x v="44"/>
    <s v="Electric Generators, Independent Power Producers"/>
    <x v="1"/>
    <n v="64387181"/>
  </r>
  <r>
    <x v="9"/>
    <x v="44"/>
    <s v="Electric Generators, Independent Power Producers"/>
    <x v="11"/>
    <n v="13128613"/>
  </r>
  <r>
    <x v="9"/>
    <x v="44"/>
    <s v="Electric Generators, Independent Power Producers"/>
    <x v="2"/>
    <n v="14749103"/>
  </r>
  <r>
    <x v="9"/>
    <x v="44"/>
    <s v="Electric Generators, Independent Power Producers"/>
    <x v="3"/>
    <n v="60263663"/>
  </r>
  <r>
    <x v="9"/>
    <x v="44"/>
    <s v="Electric Generators, Independent Power Producers"/>
    <x v="7"/>
    <n v="3217994"/>
  </r>
  <r>
    <x v="9"/>
    <x v="44"/>
    <s v="Electric Generators, Independent Power Producers"/>
    <x v="8"/>
    <n v="15804725"/>
  </r>
  <r>
    <x v="9"/>
    <x v="44"/>
    <s v="Electric Generators, Independent Power Producers"/>
    <x v="9"/>
    <n v="35516"/>
  </r>
  <r>
    <x v="9"/>
    <x v="44"/>
    <s v="Electric Generators, Independent Power Producers"/>
    <x v="4"/>
    <n v="17905955"/>
  </r>
  <r>
    <x v="9"/>
    <x v="44"/>
    <s v="Electric Generators, Independent Power Producers"/>
    <x v="10"/>
    <n v="-114527"/>
  </r>
  <r>
    <x v="9"/>
    <x v="44"/>
    <s v="Electric Generators, Independent Power Producers"/>
    <x v="13"/>
    <n v="492047"/>
  </r>
  <r>
    <x v="9"/>
    <x v="44"/>
    <s v="Electric Generators, Independent Power Producers"/>
    <x v="5"/>
    <n v="4464997"/>
  </r>
  <r>
    <x v="9"/>
    <x v="44"/>
    <s v="Electric Generators, Independent Power Producers"/>
    <x v="6"/>
    <n v="6569358"/>
  </r>
  <r>
    <x v="9"/>
    <x v="44"/>
    <s v="Electric Generators, Electric Utilities"/>
    <x v="0"/>
    <n v="3173673550"/>
  </r>
  <r>
    <x v="9"/>
    <x v="44"/>
    <s v="Electric Generators, Electric Utilities"/>
    <x v="1"/>
    <n v="1767679446"/>
  </r>
  <r>
    <x v="9"/>
    <x v="44"/>
    <s v="Electric Generators, Electric Utilities"/>
    <x v="11"/>
    <n v="1698400"/>
  </r>
  <r>
    <x v="9"/>
    <x v="44"/>
    <s v="Electric Generators, Electric Utilities"/>
    <x v="2"/>
    <n v="299913955"/>
  </r>
  <r>
    <x v="9"/>
    <x v="44"/>
    <s v="Electric Generators, Electric Utilities"/>
    <x v="3"/>
    <n v="296381322"/>
  </r>
  <r>
    <x v="9"/>
    <x v="44"/>
    <s v="Electric Generators, Electric Utilities"/>
    <x v="7"/>
    <n v="725036130"/>
  </r>
  <r>
    <x v="9"/>
    <x v="44"/>
    <s v="Electric Generators, Electric Utilities"/>
    <x v="8"/>
    <n v="1307376"/>
  </r>
  <r>
    <x v="9"/>
    <x v="44"/>
    <s v="Electric Generators, Electric Utilities"/>
    <x v="4"/>
    <n v="86929098"/>
  </r>
  <r>
    <x v="9"/>
    <x v="44"/>
    <s v="Electric Generators, Electric Utilities"/>
    <x v="10"/>
    <n v="-5982372"/>
  </r>
  <r>
    <x v="9"/>
    <x v="44"/>
    <s v="Electric Generators, Electric Utilities"/>
    <x v="13"/>
    <n v="3035"/>
  </r>
  <r>
    <x v="9"/>
    <x v="44"/>
    <s v="Electric Generators, Electric Utilities"/>
    <x v="5"/>
    <n v="23001"/>
  </r>
  <r>
    <x v="9"/>
    <x v="44"/>
    <s v="Electric Generators, Electric Utilities"/>
    <x v="6"/>
    <n v="684159"/>
  </r>
  <r>
    <x v="9"/>
    <x v="44"/>
    <s v="Combined Heat and Power, Industrial Power"/>
    <x v="0"/>
    <n v="156264291"/>
  </r>
  <r>
    <x v="9"/>
    <x v="44"/>
    <s v="Combined Heat and Power, Industrial Power"/>
    <x v="1"/>
    <n v="21474219"/>
  </r>
  <r>
    <x v="9"/>
    <x v="44"/>
    <s v="Combined Heat and Power, Industrial Power"/>
    <x v="2"/>
    <n v="4758308"/>
  </r>
  <r>
    <x v="9"/>
    <x v="44"/>
    <s v="Combined Heat and Power, Industrial Power"/>
    <x v="3"/>
    <n v="78793140"/>
  </r>
  <r>
    <x v="9"/>
    <x v="44"/>
    <s v="Combined Heat and Power, Industrial Power"/>
    <x v="12"/>
    <n v="3884814"/>
  </r>
  <r>
    <x v="9"/>
    <x v="44"/>
    <s v="Combined Heat and Power, Industrial Power"/>
    <x v="8"/>
    <n v="686340"/>
  </r>
  <r>
    <x v="9"/>
    <x v="44"/>
    <s v="Combined Heat and Power, Industrial Power"/>
    <x v="9"/>
    <n v="12518998"/>
  </r>
  <r>
    <x v="9"/>
    <x v="44"/>
    <s v="Combined Heat and Power, Industrial Power"/>
    <x v="4"/>
    <n v="6088114"/>
  </r>
  <r>
    <x v="9"/>
    <x v="44"/>
    <s v="Combined Heat and Power, Industrial Power"/>
    <x v="6"/>
    <n v="28060358"/>
  </r>
  <r>
    <x v="9"/>
    <x v="44"/>
    <s v="Combined Heat and Power, Electric Power"/>
    <x v="0"/>
    <n v="155404288"/>
  </r>
  <r>
    <x v="9"/>
    <x v="44"/>
    <s v="Combined Heat and Power, Electric Power"/>
    <x v="1"/>
    <n v="26551097"/>
  </r>
  <r>
    <x v="9"/>
    <x v="44"/>
    <s v="Combined Heat and Power, Electric Power"/>
    <x v="3"/>
    <n v="116350971"/>
  </r>
  <r>
    <x v="9"/>
    <x v="44"/>
    <s v="Combined Heat and Power, Electric Power"/>
    <x v="12"/>
    <n v="138942"/>
  </r>
  <r>
    <x v="9"/>
    <x v="44"/>
    <s v="Combined Heat and Power, Electric Power"/>
    <x v="8"/>
    <n v="2380949"/>
  </r>
  <r>
    <x v="9"/>
    <x v="44"/>
    <s v="Combined Heat and Power, Electric Power"/>
    <x v="9"/>
    <n v="1571067"/>
  </r>
  <r>
    <x v="9"/>
    <x v="44"/>
    <s v="Combined Heat and Power, Electric Power"/>
    <x v="4"/>
    <n v="6704074"/>
  </r>
  <r>
    <x v="9"/>
    <x v="44"/>
    <s v="Combined Heat and Power, Electric Power"/>
    <x v="6"/>
    <n v="1707188"/>
  </r>
  <r>
    <x v="9"/>
    <x v="44"/>
    <s v="Combined Heat and Power, Commercial Power"/>
    <x v="0"/>
    <n v="8563056"/>
  </r>
  <r>
    <x v="9"/>
    <x v="44"/>
    <s v="Combined Heat and Power, Commercial Power"/>
    <x v="1"/>
    <n v="995281"/>
  </r>
  <r>
    <x v="9"/>
    <x v="44"/>
    <s v="Combined Heat and Power, Commercial Power"/>
    <x v="2"/>
    <n v="114663"/>
  </r>
  <r>
    <x v="9"/>
    <x v="44"/>
    <s v="Combined Heat and Power, Commercial Power"/>
    <x v="3"/>
    <n v="4607031"/>
  </r>
  <r>
    <x v="9"/>
    <x v="44"/>
    <s v="Combined Heat and Power, Commercial Power"/>
    <x v="12"/>
    <n v="17"/>
  </r>
  <r>
    <x v="9"/>
    <x v="44"/>
    <s v="Combined Heat and Power, Commercial Power"/>
    <x v="8"/>
    <n v="2392785"/>
  </r>
  <r>
    <x v="9"/>
    <x v="44"/>
    <s v="Combined Heat and Power, Commercial Power"/>
    <x v="9"/>
    <n v="11"/>
  </r>
  <r>
    <x v="9"/>
    <x v="44"/>
    <s v="Combined Heat and Power, Commercial Power"/>
    <x v="4"/>
    <n v="433597"/>
  </r>
  <r>
    <x v="9"/>
    <x v="44"/>
    <s v="Combined Heat and Power, Commercial Power"/>
    <x v="6"/>
    <n v="19671"/>
  </r>
  <r>
    <x v="9"/>
    <x v="45"/>
    <s v="Total Electric Power Industry"/>
    <x v="0"/>
    <n v="36784628"/>
  </r>
  <r>
    <x v="9"/>
    <x v="45"/>
    <s v="Total Electric Power Industry"/>
    <x v="1"/>
    <n v="34533781"/>
  </r>
  <r>
    <x v="9"/>
    <x v="45"/>
    <s v="Total Electric Power Industry"/>
    <x v="11"/>
    <n v="155530"/>
  </r>
  <r>
    <x v="9"/>
    <x v="45"/>
    <s v="Total Electric Power Industry"/>
    <x v="2"/>
    <n v="1255142"/>
  </r>
  <r>
    <x v="9"/>
    <x v="45"/>
    <s v="Total Electric Power Industry"/>
    <x v="3"/>
    <n v="610057"/>
  </r>
  <r>
    <x v="9"/>
    <x v="45"/>
    <s v="Total Electric Power Industry"/>
    <x v="8"/>
    <n v="8169"/>
  </r>
  <r>
    <x v="9"/>
    <x v="45"/>
    <s v="Total Electric Power Industry"/>
    <x v="9"/>
    <n v="191285"/>
  </r>
  <r>
    <x v="9"/>
    <x v="45"/>
    <s v="Total Electric Power Industry"/>
    <x v="4"/>
    <n v="30664"/>
  </r>
  <r>
    <x v="9"/>
    <x v="45"/>
    <s v="Total Electric Power Industry"/>
    <x v="10"/>
    <n v="0"/>
  </r>
  <r>
    <x v="9"/>
    <x v="45"/>
    <s v="Electric Generators, Independent Power Producers"/>
    <x v="0"/>
    <n v="408875"/>
  </r>
  <r>
    <x v="9"/>
    <x v="45"/>
    <s v="Electric Generators, Independent Power Producers"/>
    <x v="1"/>
    <n v="398945"/>
  </r>
  <r>
    <x v="9"/>
    <x v="45"/>
    <s v="Electric Generators, Independent Power Producers"/>
    <x v="2"/>
    <n v="8415"/>
  </r>
  <r>
    <x v="9"/>
    <x v="45"/>
    <s v="Electric Generators, Independent Power Producers"/>
    <x v="4"/>
    <n v="1515"/>
  </r>
  <r>
    <x v="9"/>
    <x v="45"/>
    <s v="Electric Generators, Electric Utilities"/>
    <x v="0"/>
    <n v="36071421"/>
  </r>
  <r>
    <x v="9"/>
    <x v="45"/>
    <s v="Electric Generators, Electric Utilities"/>
    <x v="1"/>
    <n v="34125014"/>
  </r>
  <r>
    <x v="9"/>
    <x v="45"/>
    <s v="Electric Generators, Electric Utilities"/>
    <x v="11"/>
    <n v="155530"/>
  </r>
  <r>
    <x v="9"/>
    <x v="45"/>
    <s v="Electric Generators, Electric Utilities"/>
    <x v="2"/>
    <n v="1246727"/>
  </r>
  <r>
    <x v="9"/>
    <x v="45"/>
    <s v="Electric Generators, Electric Utilities"/>
    <x v="3"/>
    <n v="515127"/>
  </r>
  <r>
    <x v="9"/>
    <x v="45"/>
    <s v="Electric Generators, Electric Utilities"/>
    <x v="4"/>
    <n v="29023"/>
  </r>
  <r>
    <x v="9"/>
    <x v="45"/>
    <s v="Electric Generators, Electric Utilities"/>
    <x v="10"/>
    <n v="0"/>
  </r>
  <r>
    <x v="9"/>
    <x v="45"/>
    <s v="Combined Heat and Power, Industrial Power"/>
    <x v="0"/>
    <n v="269853"/>
  </r>
  <r>
    <x v="9"/>
    <x v="45"/>
    <s v="Combined Heat and Power, Industrial Power"/>
    <x v="1"/>
    <n v="9822"/>
  </r>
  <r>
    <x v="9"/>
    <x v="45"/>
    <s v="Combined Heat and Power, Industrial Power"/>
    <x v="3"/>
    <n v="68746"/>
  </r>
  <r>
    <x v="9"/>
    <x v="45"/>
    <s v="Combined Heat and Power, Industrial Power"/>
    <x v="9"/>
    <n v="191285"/>
  </r>
  <r>
    <x v="9"/>
    <x v="45"/>
    <s v="Combined Heat and Power, Industrial Power"/>
    <x v="4"/>
    <n v="0"/>
  </r>
  <r>
    <x v="9"/>
    <x v="45"/>
    <s v="Combined Heat and Power, Electric Power"/>
    <x v="0"/>
    <n v="8169"/>
  </r>
  <r>
    <x v="9"/>
    <x v="45"/>
    <s v="Combined Heat and Power, Electric Power"/>
    <x v="8"/>
    <n v="8169"/>
  </r>
  <r>
    <x v="9"/>
    <x v="45"/>
    <s v="Combined Heat and Power, Commercial Power"/>
    <x v="0"/>
    <n v="26310"/>
  </r>
  <r>
    <x v="9"/>
    <x v="45"/>
    <s v="Combined Heat and Power, Commercial Power"/>
    <x v="3"/>
    <n v="26184"/>
  </r>
  <r>
    <x v="9"/>
    <x v="45"/>
    <s v="Combined Heat and Power, Commercial Power"/>
    <x v="4"/>
    <n v="126"/>
  </r>
  <r>
    <x v="9"/>
    <x v="46"/>
    <s v="Total Electric Power Industry"/>
    <x v="0"/>
    <n v="73897611"/>
  </r>
  <r>
    <x v="9"/>
    <x v="46"/>
    <s v="Total Electric Power Industry"/>
    <x v="1"/>
    <n v="35444523"/>
  </r>
  <r>
    <x v="9"/>
    <x v="46"/>
    <s v="Total Electric Power Industry"/>
    <x v="2"/>
    <n v="681687"/>
  </r>
  <r>
    <x v="9"/>
    <x v="46"/>
    <s v="Total Electric Power Industry"/>
    <x v="3"/>
    <n v="4639481"/>
  </r>
  <r>
    <x v="9"/>
    <x v="46"/>
    <s v="Total Electric Power Industry"/>
    <x v="7"/>
    <n v="28300643"/>
  </r>
  <r>
    <x v="9"/>
    <x v="46"/>
    <s v="Total Electric Power Industry"/>
    <x v="8"/>
    <n v="1073438"/>
  </r>
  <r>
    <x v="9"/>
    <x v="46"/>
    <s v="Total Electric Power Industry"/>
    <x v="4"/>
    <n v="3362738"/>
  </r>
  <r>
    <x v="9"/>
    <x v="46"/>
    <s v="Total Electric Power Industry"/>
    <x v="10"/>
    <n v="-1227757"/>
  </r>
  <r>
    <x v="9"/>
    <x v="46"/>
    <s v="Total Electric Power Industry"/>
    <x v="13"/>
    <n v="0"/>
  </r>
  <r>
    <x v="9"/>
    <x v="46"/>
    <s v="Total Electric Power Industry"/>
    <x v="6"/>
    <n v="1622858"/>
  </r>
  <r>
    <x v="9"/>
    <x v="46"/>
    <s v="Electric Generators, Independent Power Producers"/>
    <x v="0"/>
    <n v="2408324"/>
  </r>
  <r>
    <x v="9"/>
    <x v="46"/>
    <s v="Electric Generators, Independent Power Producers"/>
    <x v="2"/>
    <n v="49103"/>
  </r>
  <r>
    <x v="9"/>
    <x v="46"/>
    <s v="Electric Generators, Independent Power Producers"/>
    <x v="3"/>
    <n v="1452882"/>
  </r>
  <r>
    <x v="9"/>
    <x v="46"/>
    <s v="Electric Generators, Independent Power Producers"/>
    <x v="8"/>
    <n v="727404"/>
  </r>
  <r>
    <x v="9"/>
    <x v="46"/>
    <s v="Electric Generators, Independent Power Producers"/>
    <x v="4"/>
    <n v="15971"/>
  </r>
  <r>
    <x v="9"/>
    <x v="46"/>
    <s v="Electric Generators, Independent Power Producers"/>
    <x v="6"/>
    <n v="162964"/>
  </r>
  <r>
    <x v="9"/>
    <x v="46"/>
    <s v="Electric Generators, Electric Utilities"/>
    <x v="0"/>
    <n v="65071068"/>
  </r>
  <r>
    <x v="9"/>
    <x v="46"/>
    <s v="Electric Generators, Electric Utilities"/>
    <x v="1"/>
    <n v="31743474"/>
  </r>
  <r>
    <x v="9"/>
    <x v="46"/>
    <s v="Electric Generators, Electric Utilities"/>
    <x v="2"/>
    <n v="620073"/>
  </r>
  <r>
    <x v="9"/>
    <x v="46"/>
    <s v="Electric Generators, Electric Utilities"/>
    <x v="3"/>
    <n v="2599607"/>
  </r>
  <r>
    <x v="9"/>
    <x v="46"/>
    <s v="Electric Generators, Electric Utilities"/>
    <x v="7"/>
    <n v="28300643"/>
  </r>
  <r>
    <x v="9"/>
    <x v="46"/>
    <s v="Electric Generators, Electric Utilities"/>
    <x v="4"/>
    <n v="3035028"/>
  </r>
  <r>
    <x v="9"/>
    <x v="46"/>
    <s v="Electric Generators, Electric Utilities"/>
    <x v="10"/>
    <n v="-1227757"/>
  </r>
  <r>
    <x v="9"/>
    <x v="46"/>
    <s v="Electric Generators, Electric Utilities"/>
    <x v="13"/>
    <n v="0"/>
  </r>
  <r>
    <x v="9"/>
    <x v="46"/>
    <s v="Combined Heat and Power, Industrial Power"/>
    <x v="0"/>
    <n v="2641144"/>
  </r>
  <r>
    <x v="9"/>
    <x v="46"/>
    <s v="Combined Heat and Power, Industrial Power"/>
    <x v="1"/>
    <n v="882630"/>
  </r>
  <r>
    <x v="9"/>
    <x v="46"/>
    <s v="Combined Heat and Power, Industrial Power"/>
    <x v="2"/>
    <n v="12511"/>
  </r>
  <r>
    <x v="9"/>
    <x v="46"/>
    <s v="Combined Heat and Power, Industrial Power"/>
    <x v="3"/>
    <n v="102614"/>
  </r>
  <r>
    <x v="9"/>
    <x v="46"/>
    <s v="Combined Heat and Power, Industrial Power"/>
    <x v="8"/>
    <n v="3325"/>
  </r>
  <r>
    <x v="9"/>
    <x v="46"/>
    <s v="Combined Heat and Power, Industrial Power"/>
    <x v="4"/>
    <n v="185621"/>
  </r>
  <r>
    <x v="9"/>
    <x v="46"/>
    <s v="Combined Heat and Power, Industrial Power"/>
    <x v="6"/>
    <n v="1454443"/>
  </r>
  <r>
    <x v="9"/>
    <x v="46"/>
    <s v="Combined Heat and Power, Electric Power"/>
    <x v="0"/>
    <n v="3233798"/>
  </r>
  <r>
    <x v="9"/>
    <x v="46"/>
    <s v="Combined Heat and Power, Electric Power"/>
    <x v="1"/>
    <n v="2799679"/>
  </r>
  <r>
    <x v="9"/>
    <x v="46"/>
    <s v="Combined Heat and Power, Electric Power"/>
    <x v="3"/>
    <n v="367095"/>
  </r>
  <r>
    <x v="9"/>
    <x v="46"/>
    <s v="Combined Heat and Power, Electric Power"/>
    <x v="8"/>
    <n v="2822"/>
  </r>
  <r>
    <x v="9"/>
    <x v="46"/>
    <s v="Combined Heat and Power, Electric Power"/>
    <x v="4"/>
    <n v="58751"/>
  </r>
  <r>
    <x v="9"/>
    <x v="46"/>
    <s v="Combined Heat and Power, Electric Power"/>
    <x v="6"/>
    <n v="5451"/>
  </r>
  <r>
    <x v="9"/>
    <x v="46"/>
    <s v="Combined Heat and Power, Commercial Power"/>
    <x v="0"/>
    <n v="543277"/>
  </r>
  <r>
    <x v="9"/>
    <x v="46"/>
    <s v="Combined Heat and Power, Commercial Power"/>
    <x v="1"/>
    <n v="18740"/>
  </r>
  <r>
    <x v="9"/>
    <x v="46"/>
    <s v="Combined Heat and Power, Commercial Power"/>
    <x v="3"/>
    <n v="117283"/>
  </r>
  <r>
    <x v="9"/>
    <x v="46"/>
    <s v="Combined Heat and Power, Commercial Power"/>
    <x v="8"/>
    <n v="339887"/>
  </r>
  <r>
    <x v="9"/>
    <x v="46"/>
    <s v="Combined Heat and Power, Commercial Power"/>
    <x v="4"/>
    <n v="67367"/>
  </r>
  <r>
    <x v="9"/>
    <x v="47"/>
    <s v="Total Electric Power Industry"/>
    <x v="0"/>
    <n v="5703593"/>
  </r>
  <r>
    <x v="9"/>
    <x v="47"/>
    <s v="Total Electric Power Industry"/>
    <x v="2"/>
    <n v="1195696"/>
  </r>
  <r>
    <x v="9"/>
    <x v="47"/>
    <s v="Total Electric Power Industry"/>
    <x v="3"/>
    <n v="18291"/>
  </r>
  <r>
    <x v="9"/>
    <x v="47"/>
    <s v="Total Electric Power Industry"/>
    <x v="7"/>
    <n v="4059107"/>
  </r>
  <r>
    <x v="9"/>
    <x v="47"/>
    <s v="Total Electric Power Industry"/>
    <x v="4"/>
    <n v="24978"/>
  </r>
  <r>
    <x v="9"/>
    <x v="47"/>
    <s v="Total Electric Power Industry"/>
    <x v="5"/>
    <n v="13604"/>
  </r>
  <r>
    <x v="9"/>
    <x v="47"/>
    <s v="Total Electric Power Industry"/>
    <x v="6"/>
    <n v="391917"/>
  </r>
  <r>
    <x v="9"/>
    <x v="47"/>
    <s v="Electric Generators, Independent Power Producers"/>
    <x v="0"/>
    <n v="933281"/>
  </r>
  <r>
    <x v="9"/>
    <x v="47"/>
    <s v="Electric Generators, Independent Power Producers"/>
    <x v="2"/>
    <n v="754643"/>
  </r>
  <r>
    <x v="9"/>
    <x v="47"/>
    <s v="Electric Generators, Independent Power Producers"/>
    <x v="4"/>
    <n v="2586"/>
  </r>
  <r>
    <x v="9"/>
    <x v="47"/>
    <s v="Electric Generators, Independent Power Producers"/>
    <x v="6"/>
    <n v="176052"/>
  </r>
  <r>
    <x v="9"/>
    <x v="47"/>
    <s v="Electric Generators, Electric Utilities"/>
    <x v="0"/>
    <n v="4734555"/>
  </r>
  <r>
    <x v="9"/>
    <x v="47"/>
    <s v="Electric Generators, Electric Utilities"/>
    <x v="2"/>
    <n v="420685"/>
  </r>
  <r>
    <x v="9"/>
    <x v="47"/>
    <s v="Electric Generators, Electric Utilities"/>
    <x v="3"/>
    <n v="18291"/>
  </r>
  <r>
    <x v="9"/>
    <x v="47"/>
    <s v="Electric Generators, Electric Utilities"/>
    <x v="7"/>
    <n v="4059107"/>
  </r>
  <r>
    <x v="9"/>
    <x v="47"/>
    <s v="Electric Generators, Electric Utilities"/>
    <x v="4"/>
    <n v="22392"/>
  </r>
  <r>
    <x v="9"/>
    <x v="47"/>
    <s v="Electric Generators, Electric Utilities"/>
    <x v="5"/>
    <n v="13604"/>
  </r>
  <r>
    <x v="9"/>
    <x v="47"/>
    <s v="Electric Generators, Electric Utilities"/>
    <x v="6"/>
    <n v="200476"/>
  </r>
  <r>
    <x v="9"/>
    <x v="47"/>
    <s v="Combined Heat and Power, Industrial Power"/>
    <x v="0"/>
    <n v="35757"/>
  </r>
  <r>
    <x v="9"/>
    <x v="47"/>
    <s v="Combined Heat and Power, Industrial Power"/>
    <x v="2"/>
    <n v="20368"/>
  </r>
  <r>
    <x v="9"/>
    <x v="47"/>
    <s v="Combined Heat and Power, Industrial Power"/>
    <x v="6"/>
    <n v="15389"/>
  </r>
  <r>
    <x v="9"/>
    <x v="48"/>
    <s v="Total Electric Power Industry"/>
    <x v="0"/>
    <n v="117084018"/>
  </r>
  <r>
    <x v="9"/>
    <x v="48"/>
    <s v="Total Electric Power Industry"/>
    <x v="1"/>
    <n v="8692479"/>
  </r>
  <r>
    <x v="9"/>
    <x v="48"/>
    <s v="Total Electric Power Industry"/>
    <x v="2"/>
    <n v="96989382"/>
  </r>
  <r>
    <x v="9"/>
    <x v="48"/>
    <s v="Total Electric Power Industry"/>
    <x v="3"/>
    <n v="3707237"/>
  </r>
  <r>
    <x v="9"/>
    <x v="48"/>
    <s v="Total Electric Power Industry"/>
    <x v="7"/>
    <n v="6085893"/>
  </r>
  <r>
    <x v="9"/>
    <x v="48"/>
    <s v="Total Electric Power Industry"/>
    <x v="12"/>
    <n v="44"/>
  </r>
  <r>
    <x v="9"/>
    <x v="48"/>
    <s v="Total Electric Power Industry"/>
    <x v="8"/>
    <n v="206823"/>
  </r>
  <r>
    <x v="9"/>
    <x v="48"/>
    <s v="Total Electric Power Industry"/>
    <x v="9"/>
    <n v="221354"/>
  </r>
  <r>
    <x v="9"/>
    <x v="48"/>
    <s v="Total Electric Power Industry"/>
    <x v="4"/>
    <n v="51495"/>
  </r>
  <r>
    <x v="9"/>
    <x v="48"/>
    <s v="Total Electric Power Industry"/>
    <x v="10"/>
    <n v="0"/>
  </r>
  <r>
    <x v="9"/>
    <x v="48"/>
    <s v="Total Electric Power Industry"/>
    <x v="6"/>
    <n v="1129311"/>
  </r>
  <r>
    <x v="9"/>
    <x v="48"/>
    <s v="Electric Generators, Independent Power Producers"/>
    <x v="0"/>
    <n v="484377"/>
  </r>
  <r>
    <x v="9"/>
    <x v="48"/>
    <s v="Electric Generators, Independent Power Producers"/>
    <x v="1"/>
    <n v="16515"/>
  </r>
  <r>
    <x v="9"/>
    <x v="48"/>
    <s v="Electric Generators, Independent Power Producers"/>
    <x v="2"/>
    <n v="218982"/>
  </r>
  <r>
    <x v="9"/>
    <x v="48"/>
    <s v="Electric Generators, Independent Power Producers"/>
    <x v="3"/>
    <n v="542"/>
  </r>
  <r>
    <x v="9"/>
    <x v="48"/>
    <s v="Electric Generators, Independent Power Producers"/>
    <x v="8"/>
    <n v="187669"/>
  </r>
  <r>
    <x v="9"/>
    <x v="48"/>
    <s v="Electric Generators, Independent Power Producers"/>
    <x v="4"/>
    <n v="213"/>
  </r>
  <r>
    <x v="9"/>
    <x v="48"/>
    <s v="Electric Generators, Independent Power Producers"/>
    <x v="6"/>
    <n v="60456"/>
  </r>
  <r>
    <x v="9"/>
    <x v="48"/>
    <s v="Electric Generators, Electric Utilities"/>
    <x v="0"/>
    <n v="112071721"/>
  </r>
  <r>
    <x v="9"/>
    <x v="48"/>
    <s v="Electric Generators, Electric Utilities"/>
    <x v="1"/>
    <n v="8655652"/>
  </r>
  <r>
    <x v="9"/>
    <x v="48"/>
    <s v="Electric Generators, Electric Utilities"/>
    <x v="2"/>
    <n v="96472455"/>
  </r>
  <r>
    <x v="9"/>
    <x v="48"/>
    <s v="Electric Generators, Electric Utilities"/>
    <x v="3"/>
    <n v="578069"/>
  </r>
  <r>
    <x v="9"/>
    <x v="48"/>
    <s v="Electric Generators, Electric Utilities"/>
    <x v="7"/>
    <n v="6085893"/>
  </r>
  <r>
    <x v="9"/>
    <x v="48"/>
    <s v="Electric Generators, Electric Utilities"/>
    <x v="8"/>
    <n v="0"/>
  </r>
  <r>
    <x v="9"/>
    <x v="48"/>
    <s v="Electric Generators, Electric Utilities"/>
    <x v="4"/>
    <n v="9688"/>
  </r>
  <r>
    <x v="9"/>
    <x v="48"/>
    <s v="Electric Generators, Electric Utilities"/>
    <x v="10"/>
    <n v="0"/>
  </r>
  <r>
    <x v="9"/>
    <x v="48"/>
    <s v="Electric Generators, Electric Utilities"/>
    <x v="6"/>
    <n v="269964"/>
  </r>
  <r>
    <x v="9"/>
    <x v="48"/>
    <s v="Combined Heat and Power, Industrial Power"/>
    <x v="0"/>
    <n v="1362400"/>
  </r>
  <r>
    <x v="9"/>
    <x v="48"/>
    <s v="Combined Heat and Power, Industrial Power"/>
    <x v="1"/>
    <n v="16319"/>
  </r>
  <r>
    <x v="9"/>
    <x v="48"/>
    <s v="Combined Heat and Power, Industrial Power"/>
    <x v="2"/>
    <n v="216346"/>
  </r>
  <r>
    <x v="9"/>
    <x v="48"/>
    <s v="Combined Heat and Power, Industrial Power"/>
    <x v="3"/>
    <n v="279746"/>
  </r>
  <r>
    <x v="9"/>
    <x v="48"/>
    <s v="Combined Heat and Power, Industrial Power"/>
    <x v="12"/>
    <n v="44"/>
  </r>
  <r>
    <x v="9"/>
    <x v="48"/>
    <s v="Combined Heat and Power, Industrial Power"/>
    <x v="8"/>
    <n v="11751"/>
  </r>
  <r>
    <x v="9"/>
    <x v="48"/>
    <s v="Combined Heat and Power, Industrial Power"/>
    <x v="4"/>
    <n v="39303"/>
  </r>
  <r>
    <x v="9"/>
    <x v="48"/>
    <s v="Combined Heat and Power, Industrial Power"/>
    <x v="6"/>
    <n v="798891"/>
  </r>
  <r>
    <x v="9"/>
    <x v="48"/>
    <s v="Combined Heat and Power, Electric Power"/>
    <x v="0"/>
    <n v="3047599"/>
  </r>
  <r>
    <x v="9"/>
    <x v="48"/>
    <s v="Combined Heat and Power, Electric Power"/>
    <x v="3"/>
    <n v="2818282"/>
  </r>
  <r>
    <x v="9"/>
    <x v="48"/>
    <s v="Combined Heat and Power, Electric Power"/>
    <x v="8"/>
    <n v="7403"/>
  </r>
  <r>
    <x v="9"/>
    <x v="48"/>
    <s v="Combined Heat and Power, Electric Power"/>
    <x v="9"/>
    <n v="221354"/>
  </r>
  <r>
    <x v="9"/>
    <x v="48"/>
    <s v="Combined Heat and Power, Electric Power"/>
    <x v="4"/>
    <n v="560"/>
  </r>
  <r>
    <x v="9"/>
    <x v="48"/>
    <s v="Combined Heat and Power, Commercial Power"/>
    <x v="0"/>
    <n v="117921"/>
  </r>
  <r>
    <x v="9"/>
    <x v="48"/>
    <s v="Combined Heat and Power, Commercial Power"/>
    <x v="1"/>
    <n v="3993"/>
  </r>
  <r>
    <x v="9"/>
    <x v="48"/>
    <s v="Combined Heat and Power, Commercial Power"/>
    <x v="2"/>
    <n v="81599"/>
  </r>
  <r>
    <x v="9"/>
    <x v="48"/>
    <s v="Combined Heat and Power, Commercial Power"/>
    <x v="3"/>
    <n v="30598"/>
  </r>
  <r>
    <x v="9"/>
    <x v="48"/>
    <s v="Combined Heat and Power, Commercial Power"/>
    <x v="4"/>
    <n v="1731"/>
  </r>
  <r>
    <x v="9"/>
    <x v="49"/>
    <s v="Total Electric Power Industry"/>
    <x v="0"/>
    <n v="58538854"/>
  </r>
  <r>
    <x v="9"/>
    <x v="49"/>
    <s v="Total Electric Power Industry"/>
    <x v="1"/>
    <n v="41131554"/>
  </r>
  <r>
    <x v="9"/>
    <x v="49"/>
    <s v="Total Electric Power Industry"/>
    <x v="2"/>
    <n v="1984594"/>
  </r>
  <r>
    <x v="9"/>
    <x v="49"/>
    <s v="Total Electric Power Industry"/>
    <x v="3"/>
    <n v="2208680"/>
  </r>
  <r>
    <x v="9"/>
    <x v="49"/>
    <s v="Total Electric Power Industry"/>
    <x v="7"/>
    <n v="11494764"/>
  </r>
  <r>
    <x v="9"/>
    <x v="49"/>
    <s v="Total Electric Power Industry"/>
    <x v="8"/>
    <n v="280684"/>
  </r>
  <r>
    <x v="9"/>
    <x v="49"/>
    <s v="Total Electric Power Industry"/>
    <x v="4"/>
    <n v="541422"/>
  </r>
  <r>
    <x v="9"/>
    <x v="49"/>
    <s v="Total Electric Power Industry"/>
    <x v="5"/>
    <n v="0"/>
  </r>
  <r>
    <x v="9"/>
    <x v="49"/>
    <s v="Total Electric Power Industry"/>
    <x v="6"/>
    <n v="897156"/>
  </r>
  <r>
    <x v="9"/>
    <x v="49"/>
    <s v="Electric Generators, Independent Power Producers"/>
    <x v="0"/>
    <n v="233409"/>
  </r>
  <r>
    <x v="9"/>
    <x v="49"/>
    <s v="Electric Generators, Independent Power Producers"/>
    <x v="1"/>
    <n v="31907"/>
  </r>
  <r>
    <x v="9"/>
    <x v="49"/>
    <s v="Electric Generators, Independent Power Producers"/>
    <x v="3"/>
    <n v="62218"/>
  </r>
  <r>
    <x v="9"/>
    <x v="49"/>
    <s v="Electric Generators, Independent Power Producers"/>
    <x v="8"/>
    <n v="137973"/>
  </r>
  <r>
    <x v="9"/>
    <x v="49"/>
    <s v="Electric Generators, Independent Power Producers"/>
    <x v="4"/>
    <n v="1311"/>
  </r>
  <r>
    <x v="9"/>
    <x v="49"/>
    <s v="Electric Generators, Electric Utilities"/>
    <x v="0"/>
    <n v="54704370"/>
  </r>
  <r>
    <x v="9"/>
    <x v="49"/>
    <s v="Electric Generators, Electric Utilities"/>
    <x v="1"/>
    <n v="39899142"/>
  </r>
  <r>
    <x v="9"/>
    <x v="49"/>
    <s v="Electric Generators, Electric Utilities"/>
    <x v="2"/>
    <n v="1733959"/>
  </r>
  <r>
    <x v="9"/>
    <x v="49"/>
    <s v="Electric Generators, Electric Utilities"/>
    <x v="3"/>
    <n v="1013047"/>
  </r>
  <r>
    <x v="9"/>
    <x v="49"/>
    <s v="Electric Generators, Electric Utilities"/>
    <x v="7"/>
    <n v="11494764"/>
  </r>
  <r>
    <x v="9"/>
    <x v="49"/>
    <s v="Electric Generators, Electric Utilities"/>
    <x v="8"/>
    <n v="128924"/>
  </r>
  <r>
    <x v="9"/>
    <x v="49"/>
    <s v="Electric Generators, Electric Utilities"/>
    <x v="4"/>
    <n v="220944"/>
  </r>
  <r>
    <x v="9"/>
    <x v="49"/>
    <s v="Electric Generators, Electric Utilities"/>
    <x v="5"/>
    <n v="0"/>
  </r>
  <r>
    <x v="9"/>
    <x v="49"/>
    <s v="Electric Generators, Electric Utilities"/>
    <x v="6"/>
    <n v="213590"/>
  </r>
  <r>
    <x v="9"/>
    <x v="49"/>
    <s v="Combined Heat and Power, Industrial Power"/>
    <x v="0"/>
    <n v="2636064"/>
  </r>
  <r>
    <x v="9"/>
    <x v="49"/>
    <s v="Combined Heat and Power, Industrial Power"/>
    <x v="1"/>
    <n v="1148644"/>
  </r>
  <r>
    <x v="9"/>
    <x v="49"/>
    <s v="Combined Heat and Power, Industrial Power"/>
    <x v="2"/>
    <n v="245574"/>
  </r>
  <r>
    <x v="9"/>
    <x v="49"/>
    <s v="Combined Heat and Power, Industrial Power"/>
    <x v="3"/>
    <n v="243970"/>
  </r>
  <r>
    <x v="9"/>
    <x v="49"/>
    <s v="Combined Heat and Power, Industrial Power"/>
    <x v="8"/>
    <n v="3518"/>
  </r>
  <r>
    <x v="9"/>
    <x v="49"/>
    <s v="Combined Heat and Power, Industrial Power"/>
    <x v="4"/>
    <n v="311726"/>
  </r>
  <r>
    <x v="9"/>
    <x v="49"/>
    <s v="Combined Heat and Power, Industrial Power"/>
    <x v="6"/>
    <n v="682632"/>
  </r>
  <r>
    <x v="9"/>
    <x v="49"/>
    <s v="Combined Heat and Power, Electric Power"/>
    <x v="0"/>
    <n v="813002"/>
  </r>
  <r>
    <x v="9"/>
    <x v="49"/>
    <s v="Combined Heat and Power, Electric Power"/>
    <x v="3"/>
    <n v="806390"/>
  </r>
  <r>
    <x v="9"/>
    <x v="49"/>
    <s v="Combined Heat and Power, Electric Power"/>
    <x v="4"/>
    <n v="6612"/>
  </r>
  <r>
    <x v="9"/>
    <x v="49"/>
    <s v="Combined Heat and Power, Commercial Power"/>
    <x v="0"/>
    <n v="152009"/>
  </r>
  <r>
    <x v="9"/>
    <x v="49"/>
    <s v="Combined Heat and Power, Commercial Power"/>
    <x v="1"/>
    <n v="51861"/>
  </r>
  <r>
    <x v="9"/>
    <x v="49"/>
    <s v="Combined Heat and Power, Commercial Power"/>
    <x v="2"/>
    <n v="5061"/>
  </r>
  <r>
    <x v="9"/>
    <x v="49"/>
    <s v="Combined Heat and Power, Commercial Power"/>
    <x v="3"/>
    <n v="83055"/>
  </r>
  <r>
    <x v="9"/>
    <x v="49"/>
    <s v="Combined Heat and Power, Commercial Power"/>
    <x v="8"/>
    <n v="10269"/>
  </r>
  <r>
    <x v="9"/>
    <x v="49"/>
    <s v="Combined Heat and Power, Commercial Power"/>
    <x v="4"/>
    <n v="829"/>
  </r>
  <r>
    <x v="9"/>
    <x v="49"/>
    <s v="Combined Heat and Power, Commercial Power"/>
    <x v="6"/>
    <n v="934"/>
  </r>
  <r>
    <x v="9"/>
    <x v="50"/>
    <s v="Total Electric Power Industry"/>
    <x v="0"/>
    <n v="94692596"/>
  </r>
  <r>
    <x v="9"/>
    <x v="50"/>
    <s v="Total Electric Power Industry"/>
    <x v="1"/>
    <n v="93329226"/>
  </r>
  <r>
    <x v="9"/>
    <x v="50"/>
    <s v="Total Electric Power Industry"/>
    <x v="2"/>
    <n v="930255"/>
  </r>
  <r>
    <x v="9"/>
    <x v="50"/>
    <s v="Total Electric Power Industry"/>
    <x v="3"/>
    <n v="164472"/>
  </r>
  <r>
    <x v="9"/>
    <x v="50"/>
    <s v="Total Electric Power Industry"/>
    <x v="12"/>
    <n v="195"/>
  </r>
  <r>
    <x v="9"/>
    <x v="50"/>
    <s v="Total Electric Power Industry"/>
    <x v="9"/>
    <n v="75458"/>
  </r>
  <r>
    <x v="9"/>
    <x v="50"/>
    <s v="Total Electric Power Industry"/>
    <x v="4"/>
    <n v="192990"/>
  </r>
  <r>
    <x v="9"/>
    <x v="50"/>
    <s v="Electric Generators, Independent Power Producers"/>
    <x v="0"/>
    <n v="891963"/>
  </r>
  <r>
    <x v="9"/>
    <x v="50"/>
    <s v="Electric Generators, Independent Power Producers"/>
    <x v="1"/>
    <n v="694958"/>
  </r>
  <r>
    <x v="9"/>
    <x v="50"/>
    <s v="Electric Generators, Independent Power Producers"/>
    <x v="2"/>
    <n v="194732"/>
  </r>
  <r>
    <x v="9"/>
    <x v="50"/>
    <s v="Electric Generators, Independent Power Producers"/>
    <x v="3"/>
    <n v="2273"/>
  </r>
  <r>
    <x v="9"/>
    <x v="50"/>
    <s v="Electric Generators, Electric Utilities"/>
    <x v="0"/>
    <n v="91677692"/>
  </r>
  <r>
    <x v="9"/>
    <x v="50"/>
    <s v="Electric Generators, Electric Utilities"/>
    <x v="1"/>
    <n v="91151804"/>
  </r>
  <r>
    <x v="9"/>
    <x v="50"/>
    <s v="Electric Generators, Electric Utilities"/>
    <x v="2"/>
    <n v="302733"/>
  </r>
  <r>
    <x v="9"/>
    <x v="50"/>
    <s v="Electric Generators, Electric Utilities"/>
    <x v="3"/>
    <n v="37074"/>
  </r>
  <r>
    <x v="9"/>
    <x v="50"/>
    <s v="Electric Generators, Electric Utilities"/>
    <x v="4"/>
    <n v="186081"/>
  </r>
  <r>
    <x v="9"/>
    <x v="50"/>
    <s v="Combined Heat and Power, Industrial Power"/>
    <x v="0"/>
    <n v="1687816"/>
  </r>
  <r>
    <x v="9"/>
    <x v="50"/>
    <s v="Combined Heat and Power, Industrial Power"/>
    <x v="1"/>
    <n v="1053828"/>
  </r>
  <r>
    <x v="9"/>
    <x v="50"/>
    <s v="Combined Heat and Power, Industrial Power"/>
    <x v="2"/>
    <n v="432790"/>
  </r>
  <r>
    <x v="9"/>
    <x v="50"/>
    <s v="Combined Heat and Power, Industrial Power"/>
    <x v="3"/>
    <n v="118636"/>
  </r>
  <r>
    <x v="9"/>
    <x v="50"/>
    <s v="Combined Heat and Power, Industrial Power"/>
    <x v="12"/>
    <n v="195"/>
  </r>
  <r>
    <x v="9"/>
    <x v="50"/>
    <s v="Combined Heat and Power, Industrial Power"/>
    <x v="9"/>
    <n v="75458"/>
  </r>
  <r>
    <x v="9"/>
    <x v="50"/>
    <s v="Combined Heat and Power, Industrial Power"/>
    <x v="4"/>
    <n v="6909"/>
  </r>
  <r>
    <x v="9"/>
    <x v="50"/>
    <s v="Combined Heat and Power, Electric Power"/>
    <x v="0"/>
    <n v="435125"/>
  </r>
  <r>
    <x v="9"/>
    <x v="50"/>
    <s v="Combined Heat and Power, Electric Power"/>
    <x v="1"/>
    <n v="428636"/>
  </r>
  <r>
    <x v="9"/>
    <x v="50"/>
    <s v="Combined Heat and Power, Electric Power"/>
    <x v="3"/>
    <n v="6489"/>
  </r>
  <r>
    <x v="9"/>
    <x v="51"/>
    <s v="Total Electric Power Industry"/>
    <x v="0"/>
    <n v="43632491"/>
  </r>
  <r>
    <x v="9"/>
    <x v="51"/>
    <s v="Total Electric Power Industry"/>
    <x v="1"/>
    <n v="41939072"/>
  </r>
  <r>
    <x v="9"/>
    <x v="51"/>
    <s v="Total Electric Power Industry"/>
    <x v="2"/>
    <n v="1170225"/>
  </r>
  <r>
    <x v="9"/>
    <x v="51"/>
    <s v="Total Electric Power Industry"/>
    <x v="3"/>
    <n v="379624"/>
  </r>
  <r>
    <x v="9"/>
    <x v="51"/>
    <s v="Total Electric Power Industry"/>
    <x v="12"/>
    <n v="74065"/>
  </r>
  <r>
    <x v="9"/>
    <x v="51"/>
    <s v="Total Electric Power Industry"/>
    <x v="9"/>
    <n v="9656"/>
  </r>
  <r>
    <x v="9"/>
    <x v="51"/>
    <s v="Total Electric Power Industry"/>
    <x v="4"/>
    <n v="48699"/>
  </r>
  <r>
    <x v="9"/>
    <x v="51"/>
    <s v="Total Electric Power Industry"/>
    <x v="5"/>
    <n v="11150"/>
  </r>
  <r>
    <x v="9"/>
    <x v="51"/>
    <s v="Electric Generators, Independent Power Producers"/>
    <x v="0"/>
    <n v="11150"/>
  </r>
  <r>
    <x v="9"/>
    <x v="51"/>
    <s v="Electric Generators, Independent Power Producers"/>
    <x v="5"/>
    <n v="11150"/>
  </r>
  <r>
    <x v="9"/>
    <x v="51"/>
    <s v="Electric Generators, Electric Utilities"/>
    <x v="0"/>
    <n v="42951057"/>
  </r>
  <r>
    <x v="9"/>
    <x v="51"/>
    <s v="Electric Generators, Electric Utilities"/>
    <x v="1"/>
    <n v="41718548"/>
  </r>
  <r>
    <x v="9"/>
    <x v="51"/>
    <s v="Electric Generators, Electric Utilities"/>
    <x v="2"/>
    <n v="1170225"/>
  </r>
  <r>
    <x v="9"/>
    <x v="51"/>
    <s v="Electric Generators, Electric Utilities"/>
    <x v="3"/>
    <n v="16087"/>
  </r>
  <r>
    <x v="9"/>
    <x v="51"/>
    <s v="Electric Generators, Electric Utilities"/>
    <x v="4"/>
    <n v="46197"/>
  </r>
  <r>
    <x v="9"/>
    <x v="51"/>
    <s v="Electric Generators, Electric Utilities"/>
    <x v="5"/>
    <n v="0"/>
  </r>
  <r>
    <x v="9"/>
    <x v="51"/>
    <s v="Combined Heat and Power, Industrial Power"/>
    <x v="0"/>
    <n v="670284"/>
  </r>
  <r>
    <x v="9"/>
    <x v="51"/>
    <s v="Combined Heat and Power, Industrial Power"/>
    <x v="1"/>
    <n v="220524"/>
  </r>
  <r>
    <x v="9"/>
    <x v="51"/>
    <s v="Combined Heat and Power, Industrial Power"/>
    <x v="3"/>
    <n v="363537"/>
  </r>
  <r>
    <x v="9"/>
    <x v="51"/>
    <s v="Combined Heat and Power, Industrial Power"/>
    <x v="12"/>
    <n v="74065"/>
  </r>
  <r>
    <x v="9"/>
    <x v="51"/>
    <s v="Combined Heat and Power, Industrial Power"/>
    <x v="9"/>
    <n v="9656"/>
  </r>
  <r>
    <x v="9"/>
    <x v="51"/>
    <s v="Combined Heat and Power, Industrial Power"/>
    <x v="4"/>
    <n v="2502"/>
  </r>
  <r>
    <x v="10"/>
    <x v="0"/>
    <s v="Total Electric Power Industry"/>
    <x v="0"/>
    <n v="6156525"/>
  </r>
  <r>
    <x v="10"/>
    <x v="0"/>
    <s v="Total Electric Power Industry"/>
    <x v="1"/>
    <n v="538673"/>
  </r>
  <r>
    <x v="10"/>
    <x v="0"/>
    <s v="Total Electric Power Industry"/>
    <x v="2"/>
    <n v="1001819"/>
  </r>
  <r>
    <x v="10"/>
    <x v="0"/>
    <s v="Total Electric Power Industry"/>
    <x v="3"/>
    <n v="3975832"/>
  </r>
  <r>
    <x v="10"/>
    <x v="0"/>
    <s v="Total Electric Power Industry"/>
    <x v="4"/>
    <n v="640201"/>
  </r>
  <r>
    <x v="10"/>
    <x v="0"/>
    <s v="Total Electric Power Industry"/>
    <x v="5"/>
    <n v="0"/>
  </r>
  <r>
    <x v="10"/>
    <x v="0"/>
    <s v="Electric Generators, Electric Utilities"/>
    <x v="0"/>
    <n v="4937687"/>
  </r>
  <r>
    <x v="10"/>
    <x v="0"/>
    <s v="Electric Generators, Electric Utilities"/>
    <x v="1"/>
    <n v="184901"/>
  </r>
  <r>
    <x v="10"/>
    <x v="0"/>
    <s v="Electric Generators, Electric Utilities"/>
    <x v="2"/>
    <n v="1001819"/>
  </r>
  <r>
    <x v="10"/>
    <x v="0"/>
    <s v="Electric Generators, Electric Utilities"/>
    <x v="3"/>
    <n v="3193954"/>
  </r>
  <r>
    <x v="10"/>
    <x v="0"/>
    <s v="Electric Generators, Electric Utilities"/>
    <x v="4"/>
    <n v="557013"/>
  </r>
  <r>
    <x v="10"/>
    <x v="0"/>
    <s v="Electric Generators, Electric Utilities"/>
    <x v="5"/>
    <n v="0"/>
  </r>
  <r>
    <x v="10"/>
    <x v="0"/>
    <s v="Combined Heat and Power, Industrial Power"/>
    <x v="0"/>
    <n v="848205"/>
  </r>
  <r>
    <x v="10"/>
    <x v="0"/>
    <s v="Combined Heat and Power, Industrial Power"/>
    <x v="3"/>
    <n v="781878"/>
  </r>
  <r>
    <x v="10"/>
    <x v="0"/>
    <s v="Combined Heat and Power, Industrial Power"/>
    <x v="4"/>
    <n v="66327"/>
  </r>
  <r>
    <x v="10"/>
    <x v="0"/>
    <s v="Combined Heat and Power, Electric Power"/>
    <x v="0"/>
    <n v="223962"/>
  </r>
  <r>
    <x v="10"/>
    <x v="0"/>
    <s v="Combined Heat and Power, Electric Power"/>
    <x v="1"/>
    <n v="223138"/>
  </r>
  <r>
    <x v="10"/>
    <x v="0"/>
    <s v="Combined Heat and Power, Electric Power"/>
    <x v="4"/>
    <n v="824"/>
  </r>
  <r>
    <x v="10"/>
    <x v="0"/>
    <s v="Combined Heat and Power, Commercial Power"/>
    <x v="0"/>
    <n v="146671"/>
  </r>
  <r>
    <x v="10"/>
    <x v="0"/>
    <s v="Combined Heat and Power, Commercial Power"/>
    <x v="1"/>
    <n v="130634"/>
  </r>
  <r>
    <x v="10"/>
    <x v="0"/>
    <s v="Combined Heat and Power, Commercial Power"/>
    <x v="4"/>
    <n v="16037"/>
  </r>
  <r>
    <x v="10"/>
    <x v="1"/>
    <s v="Total Electric Power Industry"/>
    <x v="0"/>
    <n v="124405340"/>
  </r>
  <r>
    <x v="10"/>
    <x v="1"/>
    <s v="Total Electric Power Industry"/>
    <x v="1"/>
    <n v="77517714"/>
  </r>
  <r>
    <x v="10"/>
    <x v="1"/>
    <s v="Total Electric Power Industry"/>
    <x v="2"/>
    <n v="5817631"/>
  </r>
  <r>
    <x v="10"/>
    <x v="1"/>
    <s v="Total Electric Power Industry"/>
    <x v="3"/>
    <n v="5028211"/>
  </r>
  <r>
    <x v="10"/>
    <x v="1"/>
    <s v="Total Electric Power Industry"/>
    <x v="7"/>
    <n v="31368563"/>
  </r>
  <r>
    <x v="10"/>
    <x v="1"/>
    <s v="Total Electric Power Industry"/>
    <x v="12"/>
    <n v="758"/>
  </r>
  <r>
    <x v="10"/>
    <x v="1"/>
    <s v="Total Electric Power Industry"/>
    <x v="8"/>
    <n v="29012"/>
  </r>
  <r>
    <x v="10"/>
    <x v="1"/>
    <s v="Total Electric Power Industry"/>
    <x v="9"/>
    <n v="230143"/>
  </r>
  <r>
    <x v="10"/>
    <x v="1"/>
    <s v="Total Electric Power Industry"/>
    <x v="4"/>
    <n v="366155"/>
  </r>
  <r>
    <x v="10"/>
    <x v="1"/>
    <s v="Total Electric Power Industry"/>
    <x v="6"/>
    <n v="4047153"/>
  </r>
  <r>
    <x v="10"/>
    <x v="1"/>
    <s v="Electric Generators, Independent Power Producers"/>
    <x v="0"/>
    <n v="42291"/>
  </r>
  <r>
    <x v="10"/>
    <x v="1"/>
    <s v="Electric Generators, Independent Power Producers"/>
    <x v="3"/>
    <n v="42291"/>
  </r>
  <r>
    <x v="10"/>
    <x v="1"/>
    <s v="Electric Generators, Electric Utilities"/>
    <x v="0"/>
    <n v="118037076"/>
  </r>
  <r>
    <x v="10"/>
    <x v="1"/>
    <s v="Electric Generators, Electric Utilities"/>
    <x v="1"/>
    <n v="76930683"/>
  </r>
  <r>
    <x v="10"/>
    <x v="1"/>
    <s v="Electric Generators, Electric Utilities"/>
    <x v="2"/>
    <n v="5817631"/>
  </r>
  <r>
    <x v="10"/>
    <x v="1"/>
    <s v="Electric Generators, Electric Utilities"/>
    <x v="3"/>
    <n v="3679672"/>
  </r>
  <r>
    <x v="10"/>
    <x v="1"/>
    <s v="Electric Generators, Electric Utilities"/>
    <x v="7"/>
    <n v="31368563"/>
  </r>
  <r>
    <x v="10"/>
    <x v="1"/>
    <s v="Electric Generators, Electric Utilities"/>
    <x v="4"/>
    <n v="240527"/>
  </r>
  <r>
    <x v="10"/>
    <x v="1"/>
    <s v="Combined Heat and Power, Industrial Power"/>
    <x v="0"/>
    <n v="5776143"/>
  </r>
  <r>
    <x v="10"/>
    <x v="1"/>
    <s v="Combined Heat and Power, Industrial Power"/>
    <x v="1"/>
    <n v="417775"/>
  </r>
  <r>
    <x v="10"/>
    <x v="1"/>
    <s v="Combined Heat and Power, Industrial Power"/>
    <x v="3"/>
    <n v="1068502"/>
  </r>
  <r>
    <x v="10"/>
    <x v="1"/>
    <s v="Combined Heat and Power, Industrial Power"/>
    <x v="12"/>
    <n v="758"/>
  </r>
  <r>
    <x v="10"/>
    <x v="1"/>
    <s v="Combined Heat and Power, Industrial Power"/>
    <x v="8"/>
    <n v="29012"/>
  </r>
  <r>
    <x v="10"/>
    <x v="1"/>
    <s v="Combined Heat and Power, Industrial Power"/>
    <x v="9"/>
    <n v="230143"/>
  </r>
  <r>
    <x v="10"/>
    <x v="1"/>
    <s v="Combined Heat and Power, Industrial Power"/>
    <x v="4"/>
    <n v="125214"/>
  </r>
  <r>
    <x v="10"/>
    <x v="1"/>
    <s v="Combined Heat and Power, Industrial Power"/>
    <x v="6"/>
    <n v="3904739"/>
  </r>
  <r>
    <x v="10"/>
    <x v="1"/>
    <s v="Combined Heat and Power, Electric Power"/>
    <x v="0"/>
    <n v="549830"/>
  </r>
  <r>
    <x v="10"/>
    <x v="1"/>
    <s v="Combined Heat and Power, Electric Power"/>
    <x v="1"/>
    <n v="169256"/>
  </r>
  <r>
    <x v="10"/>
    <x v="1"/>
    <s v="Combined Heat and Power, Electric Power"/>
    <x v="3"/>
    <n v="237746"/>
  </r>
  <r>
    <x v="10"/>
    <x v="1"/>
    <s v="Combined Heat and Power, Electric Power"/>
    <x v="4"/>
    <n v="414"/>
  </r>
  <r>
    <x v="10"/>
    <x v="1"/>
    <s v="Combined Heat and Power, Electric Power"/>
    <x v="6"/>
    <n v="142414"/>
  </r>
  <r>
    <x v="10"/>
    <x v="2"/>
    <s v="Total Electric Power Industry"/>
    <x v="0"/>
    <n v="43875766"/>
  </r>
  <r>
    <x v="10"/>
    <x v="2"/>
    <s v="Total Electric Power Industry"/>
    <x v="1"/>
    <n v="24167699"/>
  </r>
  <r>
    <x v="10"/>
    <x v="2"/>
    <s v="Total Electric Power Industry"/>
    <x v="2"/>
    <n v="2370483"/>
  </r>
  <r>
    <x v="10"/>
    <x v="2"/>
    <s v="Total Electric Power Industry"/>
    <x v="3"/>
    <n v="3862509"/>
  </r>
  <r>
    <x v="10"/>
    <x v="2"/>
    <s v="Total Electric Power Industry"/>
    <x v="7"/>
    <n v="11651772"/>
  </r>
  <r>
    <x v="10"/>
    <x v="2"/>
    <s v="Total Electric Power Industry"/>
    <x v="12"/>
    <n v="7539"/>
  </r>
  <r>
    <x v="10"/>
    <x v="2"/>
    <s v="Total Electric Power Industry"/>
    <x v="8"/>
    <n v="7455"/>
  </r>
  <r>
    <x v="10"/>
    <x v="2"/>
    <s v="Total Electric Power Industry"/>
    <x v="4"/>
    <n v="221728"/>
  </r>
  <r>
    <x v="10"/>
    <x v="2"/>
    <s v="Total Electric Power Industry"/>
    <x v="10"/>
    <n v="0"/>
  </r>
  <r>
    <x v="10"/>
    <x v="2"/>
    <s v="Total Electric Power Industry"/>
    <x v="6"/>
    <n v="1586581"/>
  </r>
  <r>
    <x v="10"/>
    <x v="2"/>
    <s v="Electric Generators, Independent Power Producers"/>
    <x v="0"/>
    <n v="156"/>
  </r>
  <r>
    <x v="10"/>
    <x v="2"/>
    <s v="Electric Generators, Independent Power Producers"/>
    <x v="2"/>
    <n v="156"/>
  </r>
  <r>
    <x v="10"/>
    <x v="2"/>
    <s v="Electric Generators, Electric Utilities"/>
    <x v="0"/>
    <n v="41486451"/>
  </r>
  <r>
    <x v="10"/>
    <x v="2"/>
    <s v="Electric Generators, Electric Utilities"/>
    <x v="1"/>
    <n v="24073573"/>
  </r>
  <r>
    <x v="10"/>
    <x v="2"/>
    <s v="Electric Generators, Electric Utilities"/>
    <x v="2"/>
    <n v="2370327"/>
  </r>
  <r>
    <x v="10"/>
    <x v="2"/>
    <s v="Electric Generators, Electric Utilities"/>
    <x v="3"/>
    <n v="3183788"/>
  </r>
  <r>
    <x v="10"/>
    <x v="2"/>
    <s v="Electric Generators, Electric Utilities"/>
    <x v="7"/>
    <n v="11651772"/>
  </r>
  <r>
    <x v="10"/>
    <x v="2"/>
    <s v="Electric Generators, Electric Utilities"/>
    <x v="4"/>
    <n v="206991"/>
  </r>
  <r>
    <x v="10"/>
    <x v="2"/>
    <s v="Electric Generators, Electric Utilities"/>
    <x v="10"/>
    <n v="0"/>
  </r>
  <r>
    <x v="10"/>
    <x v="2"/>
    <s v="Combined Heat and Power, Industrial Power"/>
    <x v="0"/>
    <n v="2379533"/>
  </r>
  <r>
    <x v="10"/>
    <x v="2"/>
    <s v="Combined Heat and Power, Industrial Power"/>
    <x v="1"/>
    <n v="94126"/>
  </r>
  <r>
    <x v="10"/>
    <x v="2"/>
    <s v="Combined Heat and Power, Industrial Power"/>
    <x v="3"/>
    <n v="674821"/>
  </r>
  <r>
    <x v="10"/>
    <x v="2"/>
    <s v="Combined Heat and Power, Industrial Power"/>
    <x v="12"/>
    <n v="7539"/>
  </r>
  <r>
    <x v="10"/>
    <x v="2"/>
    <s v="Combined Heat and Power, Industrial Power"/>
    <x v="8"/>
    <n v="2045"/>
  </r>
  <r>
    <x v="10"/>
    <x v="2"/>
    <s v="Combined Heat and Power, Industrial Power"/>
    <x v="4"/>
    <n v="14421"/>
  </r>
  <r>
    <x v="10"/>
    <x v="2"/>
    <s v="Combined Heat and Power, Industrial Power"/>
    <x v="6"/>
    <n v="1586581"/>
  </r>
  <r>
    <x v="10"/>
    <x v="2"/>
    <s v="Combined Heat and Power, Commercial Power"/>
    <x v="0"/>
    <n v="9626"/>
  </r>
  <r>
    <x v="10"/>
    <x v="2"/>
    <s v="Combined Heat and Power, Commercial Power"/>
    <x v="3"/>
    <n v="3900"/>
  </r>
  <r>
    <x v="10"/>
    <x v="2"/>
    <s v="Combined Heat and Power, Commercial Power"/>
    <x v="8"/>
    <n v="5410"/>
  </r>
  <r>
    <x v="10"/>
    <x v="2"/>
    <s v="Combined Heat and Power, Commercial Power"/>
    <x v="4"/>
    <n v="316"/>
  </r>
  <r>
    <x v="10"/>
    <x v="3"/>
    <s v="Total Electric Power Industry"/>
    <x v="0"/>
    <n v="88946577"/>
  </r>
  <r>
    <x v="10"/>
    <x v="3"/>
    <s v="Total Electric Power Industry"/>
    <x v="1"/>
    <n v="40993129"/>
  </r>
  <r>
    <x v="10"/>
    <x v="3"/>
    <s v="Total Electric Power Industry"/>
    <x v="2"/>
    <n v="8354216"/>
  </r>
  <r>
    <x v="10"/>
    <x v="3"/>
    <s v="Total Electric Power Industry"/>
    <x v="3"/>
    <n v="8734799"/>
  </r>
  <r>
    <x v="10"/>
    <x v="3"/>
    <s v="Total Electric Power Industry"/>
    <x v="7"/>
    <n v="30380571"/>
  </r>
  <r>
    <x v="10"/>
    <x v="3"/>
    <s v="Total Electric Power Industry"/>
    <x v="8"/>
    <n v="4583"/>
  </r>
  <r>
    <x v="10"/>
    <x v="3"/>
    <s v="Total Electric Power Industry"/>
    <x v="4"/>
    <n v="190323"/>
  </r>
  <r>
    <x v="10"/>
    <x v="3"/>
    <s v="Total Electric Power Industry"/>
    <x v="10"/>
    <n v="288956"/>
  </r>
  <r>
    <x v="10"/>
    <x v="3"/>
    <s v="Total Electric Power Industry"/>
    <x v="13"/>
    <n v="0"/>
  </r>
  <r>
    <x v="10"/>
    <x v="3"/>
    <s v="Electric Generators, Electric Utilities"/>
    <x v="0"/>
    <n v="88149792"/>
  </r>
  <r>
    <x v="10"/>
    <x v="3"/>
    <s v="Electric Generators, Electric Utilities"/>
    <x v="1"/>
    <n v="40662627"/>
  </r>
  <r>
    <x v="10"/>
    <x v="3"/>
    <s v="Electric Generators, Electric Utilities"/>
    <x v="2"/>
    <n v="8354216"/>
  </r>
  <r>
    <x v="10"/>
    <x v="3"/>
    <s v="Electric Generators, Electric Utilities"/>
    <x v="3"/>
    <n v="8274026"/>
  </r>
  <r>
    <x v="10"/>
    <x v="3"/>
    <s v="Electric Generators, Electric Utilities"/>
    <x v="7"/>
    <n v="30380571"/>
  </r>
  <r>
    <x v="10"/>
    <x v="3"/>
    <s v="Electric Generators, Electric Utilities"/>
    <x v="4"/>
    <n v="189396"/>
  </r>
  <r>
    <x v="10"/>
    <x v="3"/>
    <s v="Electric Generators, Electric Utilities"/>
    <x v="10"/>
    <n v="288956"/>
  </r>
  <r>
    <x v="10"/>
    <x v="3"/>
    <s v="Electric Generators, Electric Utilities"/>
    <x v="13"/>
    <n v="0"/>
  </r>
  <r>
    <x v="10"/>
    <x v="3"/>
    <s v="Combined Heat and Power, Industrial Power"/>
    <x v="0"/>
    <n v="346695"/>
  </r>
  <r>
    <x v="10"/>
    <x v="3"/>
    <s v="Combined Heat and Power, Industrial Power"/>
    <x v="1"/>
    <n v="330502"/>
  </r>
  <r>
    <x v="10"/>
    <x v="3"/>
    <s v="Combined Heat and Power, Industrial Power"/>
    <x v="3"/>
    <n v="15402"/>
  </r>
  <r>
    <x v="10"/>
    <x v="3"/>
    <s v="Combined Heat and Power, Industrial Power"/>
    <x v="4"/>
    <n v="791"/>
  </r>
  <r>
    <x v="10"/>
    <x v="3"/>
    <s v="Combined Heat and Power, Electric Power"/>
    <x v="0"/>
    <n v="424752"/>
  </r>
  <r>
    <x v="10"/>
    <x v="3"/>
    <s v="Combined Heat and Power, Electric Power"/>
    <x v="3"/>
    <n v="424752"/>
  </r>
  <r>
    <x v="10"/>
    <x v="3"/>
    <s v="Combined Heat and Power, Commercial Power"/>
    <x v="0"/>
    <n v="25338"/>
  </r>
  <r>
    <x v="10"/>
    <x v="3"/>
    <s v="Combined Heat and Power, Commercial Power"/>
    <x v="3"/>
    <n v="20619"/>
  </r>
  <r>
    <x v="10"/>
    <x v="3"/>
    <s v="Combined Heat and Power, Commercial Power"/>
    <x v="8"/>
    <n v="4583"/>
  </r>
  <r>
    <x v="10"/>
    <x v="3"/>
    <s v="Combined Heat and Power, Commercial Power"/>
    <x v="4"/>
    <n v="136"/>
  </r>
  <r>
    <x v="10"/>
    <x v="4"/>
    <s v="Total Electric Power Industry"/>
    <x v="0"/>
    <n v="208082483"/>
  </r>
  <r>
    <x v="10"/>
    <x v="4"/>
    <s v="Total Electric Power Industry"/>
    <x v="1"/>
    <n v="2363607"/>
  </r>
  <r>
    <x v="10"/>
    <x v="4"/>
    <s v="Total Electric Power Industry"/>
    <x v="11"/>
    <n v="12308471"/>
  </r>
  <r>
    <x v="10"/>
    <x v="4"/>
    <s v="Total Electric Power Industry"/>
    <x v="2"/>
    <n v="38333786"/>
  </r>
  <r>
    <x v="10"/>
    <x v="4"/>
    <s v="Total Electric Power Industry"/>
    <x v="3"/>
    <n v="103218973"/>
  </r>
  <r>
    <x v="10"/>
    <x v="4"/>
    <s v="Total Electric Power Industry"/>
    <x v="7"/>
    <n v="35175505"/>
  </r>
  <r>
    <x v="10"/>
    <x v="4"/>
    <s v="Total Electric Power Industry"/>
    <x v="12"/>
    <n v="22040"/>
  </r>
  <r>
    <x v="10"/>
    <x v="4"/>
    <s v="Total Electric Power Industry"/>
    <x v="8"/>
    <n v="2610332"/>
  </r>
  <r>
    <x v="10"/>
    <x v="4"/>
    <s v="Total Electric Power Industry"/>
    <x v="9"/>
    <n v="2687177"/>
  </r>
  <r>
    <x v="10"/>
    <x v="4"/>
    <s v="Total Electric Power Industry"/>
    <x v="4"/>
    <n v="2839794"/>
  </r>
  <r>
    <x v="10"/>
    <x v="4"/>
    <s v="Total Electric Power Industry"/>
    <x v="10"/>
    <n v="937940"/>
  </r>
  <r>
    <x v="10"/>
    <x v="4"/>
    <s v="Total Electric Power Industry"/>
    <x v="13"/>
    <n v="493334"/>
  </r>
  <r>
    <x v="10"/>
    <x v="4"/>
    <s v="Total Electric Power Industry"/>
    <x v="5"/>
    <n v="3518023"/>
  </r>
  <r>
    <x v="10"/>
    <x v="4"/>
    <s v="Total Electric Power Industry"/>
    <x v="6"/>
    <n v="3573501"/>
  </r>
  <r>
    <x v="10"/>
    <x v="4"/>
    <s v="Electric Generators, Independent Power Producers"/>
    <x v="0"/>
    <n v="78995767"/>
  </r>
  <r>
    <x v="10"/>
    <x v="4"/>
    <s v="Electric Generators, Independent Power Producers"/>
    <x v="11"/>
    <n v="12308939"/>
  </r>
  <r>
    <x v="10"/>
    <x v="4"/>
    <s v="Electric Generators, Independent Power Producers"/>
    <x v="2"/>
    <n v="1284117"/>
  </r>
  <r>
    <x v="10"/>
    <x v="4"/>
    <s v="Electric Generators, Independent Power Producers"/>
    <x v="3"/>
    <n v="55916877"/>
  </r>
  <r>
    <x v="10"/>
    <x v="4"/>
    <s v="Electric Generators, Independent Power Producers"/>
    <x v="8"/>
    <n v="1943188"/>
  </r>
  <r>
    <x v="10"/>
    <x v="4"/>
    <s v="Electric Generators, Independent Power Producers"/>
    <x v="9"/>
    <n v="139907"/>
  </r>
  <r>
    <x v="10"/>
    <x v="4"/>
    <s v="Electric Generators, Independent Power Producers"/>
    <x v="4"/>
    <n v="1185324"/>
  </r>
  <r>
    <x v="10"/>
    <x v="4"/>
    <s v="Electric Generators, Independent Power Producers"/>
    <x v="13"/>
    <n v="490832"/>
  </r>
  <r>
    <x v="10"/>
    <x v="4"/>
    <s v="Electric Generators, Independent Power Producers"/>
    <x v="5"/>
    <n v="3511249"/>
  </r>
  <r>
    <x v="10"/>
    <x v="4"/>
    <s v="Electric Generators, Independent Power Producers"/>
    <x v="6"/>
    <n v="2215334"/>
  </r>
  <r>
    <x v="10"/>
    <x v="4"/>
    <s v="Electric Generators, Electric Utilities"/>
    <x v="0"/>
    <n v="85856285"/>
  </r>
  <r>
    <x v="10"/>
    <x v="4"/>
    <s v="Electric Generators, Electric Utilities"/>
    <x v="11"/>
    <n v="-468"/>
  </r>
  <r>
    <x v="10"/>
    <x v="4"/>
    <s v="Electric Generators, Electric Utilities"/>
    <x v="2"/>
    <n v="37041641"/>
  </r>
  <r>
    <x v="10"/>
    <x v="4"/>
    <s v="Electric Generators, Electric Utilities"/>
    <x v="3"/>
    <n v="12411961"/>
  </r>
  <r>
    <x v="10"/>
    <x v="4"/>
    <s v="Electric Generators, Electric Utilities"/>
    <x v="7"/>
    <n v="35175505"/>
  </r>
  <r>
    <x v="10"/>
    <x v="4"/>
    <s v="Electric Generators, Electric Utilities"/>
    <x v="8"/>
    <n v="135840"/>
  </r>
  <r>
    <x v="10"/>
    <x v="4"/>
    <s v="Electric Generators, Electric Utilities"/>
    <x v="4"/>
    <n v="144590"/>
  </r>
  <r>
    <x v="10"/>
    <x v="4"/>
    <s v="Electric Generators, Electric Utilities"/>
    <x v="10"/>
    <n v="937940"/>
  </r>
  <r>
    <x v="10"/>
    <x v="4"/>
    <s v="Electric Generators, Electric Utilities"/>
    <x v="13"/>
    <n v="2502"/>
  </r>
  <r>
    <x v="10"/>
    <x v="4"/>
    <s v="Electric Generators, Electric Utilities"/>
    <x v="5"/>
    <n v="6774"/>
  </r>
  <r>
    <x v="10"/>
    <x v="4"/>
    <s v="Combined Heat and Power, Industrial Power"/>
    <x v="0"/>
    <n v="17716146"/>
  </r>
  <r>
    <x v="10"/>
    <x v="4"/>
    <s v="Combined Heat and Power, Industrial Power"/>
    <x v="1"/>
    <n v="461248"/>
  </r>
  <r>
    <x v="10"/>
    <x v="4"/>
    <s v="Combined Heat and Power, Industrial Power"/>
    <x v="3"/>
    <n v="12992002"/>
  </r>
  <r>
    <x v="10"/>
    <x v="4"/>
    <s v="Combined Heat and Power, Industrial Power"/>
    <x v="12"/>
    <n v="22040"/>
  </r>
  <r>
    <x v="10"/>
    <x v="4"/>
    <s v="Combined Heat and Power, Industrial Power"/>
    <x v="8"/>
    <n v="26441"/>
  </r>
  <r>
    <x v="10"/>
    <x v="4"/>
    <s v="Combined Heat and Power, Industrial Power"/>
    <x v="9"/>
    <n v="2460111"/>
  </r>
  <r>
    <x v="10"/>
    <x v="4"/>
    <s v="Combined Heat and Power, Industrial Power"/>
    <x v="4"/>
    <n v="634984"/>
  </r>
  <r>
    <x v="10"/>
    <x v="4"/>
    <s v="Combined Heat and Power, Industrial Power"/>
    <x v="6"/>
    <n v="1119320"/>
  </r>
  <r>
    <x v="10"/>
    <x v="4"/>
    <s v="Combined Heat and Power, Electric Power"/>
    <x v="0"/>
    <n v="23410479"/>
  </r>
  <r>
    <x v="10"/>
    <x v="4"/>
    <s v="Combined Heat and Power, Electric Power"/>
    <x v="1"/>
    <n v="1902359"/>
  </r>
  <r>
    <x v="10"/>
    <x v="4"/>
    <s v="Combined Heat and Power, Electric Power"/>
    <x v="3"/>
    <n v="20187978"/>
  </r>
  <r>
    <x v="10"/>
    <x v="4"/>
    <s v="Combined Heat and Power, Electric Power"/>
    <x v="8"/>
    <n v="120403"/>
  </r>
  <r>
    <x v="10"/>
    <x v="4"/>
    <s v="Combined Heat and Power, Electric Power"/>
    <x v="9"/>
    <n v="87115"/>
  </r>
  <r>
    <x v="10"/>
    <x v="4"/>
    <s v="Combined Heat and Power, Electric Power"/>
    <x v="4"/>
    <n v="873777"/>
  </r>
  <r>
    <x v="10"/>
    <x v="4"/>
    <s v="Combined Heat and Power, Electric Power"/>
    <x v="6"/>
    <n v="238847"/>
  </r>
  <r>
    <x v="10"/>
    <x v="4"/>
    <s v="Combined Heat and Power, Commercial Power"/>
    <x v="0"/>
    <n v="2103806"/>
  </r>
  <r>
    <x v="10"/>
    <x v="4"/>
    <s v="Combined Heat and Power, Commercial Power"/>
    <x v="2"/>
    <n v="8028"/>
  </r>
  <r>
    <x v="10"/>
    <x v="4"/>
    <s v="Combined Heat and Power, Commercial Power"/>
    <x v="3"/>
    <n v="1710155"/>
  </r>
  <r>
    <x v="10"/>
    <x v="4"/>
    <s v="Combined Heat and Power, Commercial Power"/>
    <x v="8"/>
    <n v="384460"/>
  </r>
  <r>
    <x v="10"/>
    <x v="4"/>
    <s v="Combined Heat and Power, Commercial Power"/>
    <x v="9"/>
    <n v="44"/>
  </r>
  <r>
    <x v="10"/>
    <x v="4"/>
    <s v="Combined Heat and Power, Commercial Power"/>
    <x v="4"/>
    <n v="1119"/>
  </r>
  <r>
    <x v="10"/>
    <x v="5"/>
    <s v="Total Electric Power Industry"/>
    <x v="0"/>
    <n v="44165546"/>
  </r>
  <r>
    <x v="10"/>
    <x v="5"/>
    <s v="Total Electric Power Industry"/>
    <x v="1"/>
    <n v="35381219"/>
  </r>
  <r>
    <x v="10"/>
    <x v="5"/>
    <s v="Total Electric Power Industry"/>
    <x v="2"/>
    <n v="1454415"/>
  </r>
  <r>
    <x v="10"/>
    <x v="5"/>
    <s v="Total Electric Power Industry"/>
    <x v="3"/>
    <n v="7157438"/>
  </r>
  <r>
    <x v="10"/>
    <x v="5"/>
    <s v="Total Electric Power Industry"/>
    <x v="8"/>
    <n v="17914"/>
  </r>
  <r>
    <x v="10"/>
    <x v="5"/>
    <s v="Total Electric Power Industry"/>
    <x v="4"/>
    <n v="109385"/>
  </r>
  <r>
    <x v="10"/>
    <x v="5"/>
    <s v="Total Electric Power Industry"/>
    <x v="10"/>
    <n v="45175"/>
  </r>
  <r>
    <x v="10"/>
    <x v="5"/>
    <s v="Total Electric Power Industry"/>
    <x v="5"/>
    <n v="0"/>
  </r>
  <r>
    <x v="10"/>
    <x v="5"/>
    <s v="Electric Generators, Independent Power Producers"/>
    <x v="0"/>
    <n v="789815"/>
  </r>
  <r>
    <x v="10"/>
    <x v="5"/>
    <s v="Electric Generators, Independent Power Producers"/>
    <x v="2"/>
    <n v="124469"/>
  </r>
  <r>
    <x v="10"/>
    <x v="5"/>
    <s v="Electric Generators, Independent Power Producers"/>
    <x v="3"/>
    <n v="665346"/>
  </r>
  <r>
    <x v="10"/>
    <x v="5"/>
    <s v="Electric Generators, Electric Utilities"/>
    <x v="0"/>
    <n v="40108260"/>
  </r>
  <r>
    <x v="10"/>
    <x v="5"/>
    <s v="Electric Generators, Electric Utilities"/>
    <x v="1"/>
    <n v="35101982"/>
  </r>
  <r>
    <x v="10"/>
    <x v="5"/>
    <s v="Electric Generators, Electric Utilities"/>
    <x v="2"/>
    <n v="1329946"/>
  </r>
  <r>
    <x v="10"/>
    <x v="5"/>
    <s v="Electric Generators, Electric Utilities"/>
    <x v="3"/>
    <n v="3539837"/>
  </r>
  <r>
    <x v="10"/>
    <x v="5"/>
    <s v="Electric Generators, Electric Utilities"/>
    <x v="8"/>
    <n v="0"/>
  </r>
  <r>
    <x v="10"/>
    <x v="5"/>
    <s v="Electric Generators, Electric Utilities"/>
    <x v="4"/>
    <n v="91320"/>
  </r>
  <r>
    <x v="10"/>
    <x v="5"/>
    <s v="Electric Generators, Electric Utilities"/>
    <x v="10"/>
    <n v="45175"/>
  </r>
  <r>
    <x v="10"/>
    <x v="5"/>
    <s v="Electric Generators, Electric Utilities"/>
    <x v="5"/>
    <n v="0"/>
  </r>
  <r>
    <x v="10"/>
    <x v="5"/>
    <s v="Combined Heat and Power, Industrial Power"/>
    <x v="0"/>
    <n v="78825"/>
  </r>
  <r>
    <x v="10"/>
    <x v="5"/>
    <s v="Combined Heat and Power, Industrial Power"/>
    <x v="3"/>
    <n v="61265"/>
  </r>
  <r>
    <x v="10"/>
    <x v="5"/>
    <s v="Combined Heat and Power, Industrial Power"/>
    <x v="4"/>
    <n v="17560"/>
  </r>
  <r>
    <x v="10"/>
    <x v="5"/>
    <s v="Combined Heat and Power, Electric Power"/>
    <x v="0"/>
    <n v="3043591"/>
  </r>
  <r>
    <x v="10"/>
    <x v="5"/>
    <s v="Combined Heat and Power, Electric Power"/>
    <x v="1"/>
    <n v="279237"/>
  </r>
  <r>
    <x v="10"/>
    <x v="5"/>
    <s v="Combined Heat and Power, Electric Power"/>
    <x v="3"/>
    <n v="2758286"/>
  </r>
  <r>
    <x v="10"/>
    <x v="5"/>
    <s v="Combined Heat and Power, Electric Power"/>
    <x v="8"/>
    <n v="5586"/>
  </r>
  <r>
    <x v="10"/>
    <x v="5"/>
    <s v="Combined Heat and Power, Electric Power"/>
    <x v="4"/>
    <n v="482"/>
  </r>
  <r>
    <x v="10"/>
    <x v="5"/>
    <s v="Combined Heat and Power, Commercial Power"/>
    <x v="0"/>
    <n v="145055"/>
  </r>
  <r>
    <x v="10"/>
    <x v="5"/>
    <s v="Combined Heat and Power, Commercial Power"/>
    <x v="3"/>
    <n v="132704"/>
  </r>
  <r>
    <x v="10"/>
    <x v="5"/>
    <s v="Combined Heat and Power, Commercial Power"/>
    <x v="8"/>
    <n v="12328"/>
  </r>
  <r>
    <x v="10"/>
    <x v="5"/>
    <s v="Combined Heat and Power, Commercial Power"/>
    <x v="4"/>
    <n v="23"/>
  </r>
  <r>
    <x v="10"/>
    <x v="6"/>
    <s v="Total Electric Power Industry"/>
    <x v="0"/>
    <n v="32967570"/>
  </r>
  <r>
    <x v="10"/>
    <x v="6"/>
    <s v="Total Electric Power Industry"/>
    <x v="1"/>
    <n v="3186096"/>
  </r>
  <r>
    <x v="10"/>
    <x v="6"/>
    <s v="Total Electric Power Industry"/>
    <x v="2"/>
    <n v="526312"/>
  </r>
  <r>
    <x v="10"/>
    <x v="6"/>
    <s v="Total Electric Power Industry"/>
    <x v="3"/>
    <n v="4062029"/>
  </r>
  <r>
    <x v="10"/>
    <x v="6"/>
    <s v="Total Electric Power Industry"/>
    <x v="7"/>
    <n v="16365334"/>
  </r>
  <r>
    <x v="10"/>
    <x v="6"/>
    <s v="Total Electric Power Industry"/>
    <x v="8"/>
    <n v="2153135"/>
  </r>
  <r>
    <x v="10"/>
    <x v="6"/>
    <s v="Total Electric Power Industry"/>
    <x v="4"/>
    <n v="6679032"/>
  </r>
  <r>
    <x v="10"/>
    <x v="6"/>
    <s v="Total Electric Power Industry"/>
    <x v="10"/>
    <n v="-4368"/>
  </r>
  <r>
    <x v="10"/>
    <x v="6"/>
    <s v="Electric Generators, Independent Power Producers"/>
    <x v="0"/>
    <n v="13223245"/>
  </r>
  <r>
    <x v="10"/>
    <x v="6"/>
    <s v="Electric Generators, Independent Power Producers"/>
    <x v="1"/>
    <n v="1498776"/>
  </r>
  <r>
    <x v="10"/>
    <x v="6"/>
    <s v="Electric Generators, Independent Power Producers"/>
    <x v="2"/>
    <n v="379332"/>
  </r>
  <r>
    <x v="10"/>
    <x v="6"/>
    <s v="Electric Generators, Independent Power Producers"/>
    <x v="3"/>
    <n v="3060428"/>
  </r>
  <r>
    <x v="10"/>
    <x v="6"/>
    <s v="Electric Generators, Independent Power Producers"/>
    <x v="8"/>
    <n v="1676213"/>
  </r>
  <r>
    <x v="10"/>
    <x v="6"/>
    <s v="Electric Generators, Independent Power Producers"/>
    <x v="4"/>
    <n v="6608496"/>
  </r>
  <r>
    <x v="10"/>
    <x v="6"/>
    <s v="Electric Generators, Independent Power Producers"/>
    <x v="10"/>
    <n v="0"/>
  </r>
  <r>
    <x v="10"/>
    <x v="6"/>
    <s v="Electric Generators, Electric Utilities"/>
    <x v="0"/>
    <n v="16992594"/>
  </r>
  <r>
    <x v="10"/>
    <x v="6"/>
    <s v="Electric Generators, Electric Utilities"/>
    <x v="2"/>
    <n v="146980"/>
  </r>
  <r>
    <x v="10"/>
    <x v="6"/>
    <s v="Electric Generators, Electric Utilities"/>
    <x v="3"/>
    <n v="0"/>
  </r>
  <r>
    <x v="10"/>
    <x v="6"/>
    <s v="Electric Generators, Electric Utilities"/>
    <x v="7"/>
    <n v="16365334"/>
  </r>
  <r>
    <x v="10"/>
    <x v="6"/>
    <s v="Electric Generators, Electric Utilities"/>
    <x v="8"/>
    <n v="476922"/>
  </r>
  <r>
    <x v="10"/>
    <x v="6"/>
    <s v="Electric Generators, Electric Utilities"/>
    <x v="4"/>
    <n v="7726"/>
  </r>
  <r>
    <x v="10"/>
    <x v="6"/>
    <s v="Electric Generators, Electric Utilities"/>
    <x v="10"/>
    <n v="-4368"/>
  </r>
  <r>
    <x v="10"/>
    <x v="6"/>
    <s v="Combined Heat and Power, Industrial Power"/>
    <x v="0"/>
    <n v="303553"/>
  </r>
  <r>
    <x v="10"/>
    <x v="6"/>
    <s v="Combined Heat and Power, Industrial Power"/>
    <x v="3"/>
    <n v="257520"/>
  </r>
  <r>
    <x v="10"/>
    <x v="6"/>
    <s v="Combined Heat and Power, Industrial Power"/>
    <x v="4"/>
    <n v="46033"/>
  </r>
  <r>
    <x v="10"/>
    <x v="6"/>
    <s v="Combined Heat and Power, Electric Power"/>
    <x v="0"/>
    <n v="2401242"/>
  </r>
  <r>
    <x v="10"/>
    <x v="6"/>
    <s v="Combined Heat and Power, Electric Power"/>
    <x v="1"/>
    <n v="1687320"/>
  </r>
  <r>
    <x v="10"/>
    <x v="6"/>
    <s v="Combined Heat and Power, Electric Power"/>
    <x v="3"/>
    <n v="698780"/>
  </r>
  <r>
    <x v="10"/>
    <x v="6"/>
    <s v="Combined Heat and Power, Electric Power"/>
    <x v="4"/>
    <n v="15142"/>
  </r>
  <r>
    <x v="10"/>
    <x v="6"/>
    <s v="Combined Heat and Power, Commercial Power"/>
    <x v="0"/>
    <n v="46936"/>
  </r>
  <r>
    <x v="10"/>
    <x v="6"/>
    <s v="Combined Heat and Power, Commercial Power"/>
    <x v="3"/>
    <n v="45301"/>
  </r>
  <r>
    <x v="10"/>
    <x v="6"/>
    <s v="Combined Heat and Power, Commercial Power"/>
    <x v="4"/>
    <n v="1635"/>
  </r>
  <r>
    <x v="10"/>
    <x v="7"/>
    <s v="Total Electric Power Industry"/>
    <x v="0"/>
    <n v="144374"/>
  </r>
  <r>
    <x v="10"/>
    <x v="7"/>
    <s v="Total Electric Power Industry"/>
    <x v="4"/>
    <n v="144374"/>
  </r>
  <r>
    <x v="10"/>
    <x v="7"/>
    <s v="Electric Generators, Independent Power Producers"/>
    <x v="0"/>
    <n v="46951"/>
  </r>
  <r>
    <x v="10"/>
    <x v="7"/>
    <s v="Electric Generators, Independent Power Producers"/>
    <x v="4"/>
    <n v="46951"/>
  </r>
  <r>
    <x v="10"/>
    <x v="7"/>
    <s v="Electric Generators, Electric Utilities"/>
    <x v="0"/>
    <n v="97423"/>
  </r>
  <r>
    <x v="10"/>
    <x v="7"/>
    <s v="Electric Generators, Electric Utilities"/>
    <x v="4"/>
    <n v="97423"/>
  </r>
  <r>
    <x v="10"/>
    <x v="8"/>
    <s v="Total Electric Power Industry"/>
    <x v="0"/>
    <n v="5987451"/>
  </r>
  <r>
    <x v="10"/>
    <x v="8"/>
    <s v="Total Electric Power Industry"/>
    <x v="1"/>
    <n v="4112296"/>
  </r>
  <r>
    <x v="10"/>
    <x v="8"/>
    <s v="Total Electric Power Industry"/>
    <x v="3"/>
    <n v="840508"/>
  </r>
  <r>
    <x v="10"/>
    <x v="8"/>
    <s v="Total Electric Power Industry"/>
    <x v="8"/>
    <n v="18838"/>
  </r>
  <r>
    <x v="10"/>
    <x v="8"/>
    <s v="Total Electric Power Industry"/>
    <x v="9"/>
    <n v="166769"/>
  </r>
  <r>
    <x v="10"/>
    <x v="8"/>
    <s v="Total Electric Power Industry"/>
    <x v="4"/>
    <n v="849040"/>
  </r>
  <r>
    <x v="10"/>
    <x v="8"/>
    <s v="Electric Generators, Independent Power Producers"/>
    <x v="0"/>
    <n v="1402289"/>
  </r>
  <r>
    <x v="10"/>
    <x v="8"/>
    <s v="Electric Generators, Independent Power Producers"/>
    <x v="1"/>
    <n v="715567"/>
  </r>
  <r>
    <x v="10"/>
    <x v="8"/>
    <s v="Electric Generators, Independent Power Producers"/>
    <x v="3"/>
    <n v="420676"/>
  </r>
  <r>
    <x v="10"/>
    <x v="8"/>
    <s v="Electric Generators, Independent Power Producers"/>
    <x v="8"/>
    <n v="18838"/>
  </r>
  <r>
    <x v="10"/>
    <x v="8"/>
    <s v="Electric Generators, Independent Power Producers"/>
    <x v="4"/>
    <n v="247208"/>
  </r>
  <r>
    <x v="10"/>
    <x v="8"/>
    <s v="Electric Generators, Electric Utilities"/>
    <x v="0"/>
    <n v="4137127"/>
  </r>
  <r>
    <x v="10"/>
    <x v="8"/>
    <s v="Electric Generators, Electric Utilities"/>
    <x v="1"/>
    <n v="3319195"/>
  </r>
  <r>
    <x v="10"/>
    <x v="8"/>
    <s v="Electric Generators, Electric Utilities"/>
    <x v="3"/>
    <n v="419832"/>
  </r>
  <r>
    <x v="10"/>
    <x v="8"/>
    <s v="Electric Generators, Electric Utilities"/>
    <x v="4"/>
    <n v="398100"/>
  </r>
  <r>
    <x v="10"/>
    <x v="8"/>
    <s v="Combined Heat and Power, Industrial Power"/>
    <x v="0"/>
    <n v="448035"/>
  </r>
  <r>
    <x v="10"/>
    <x v="8"/>
    <s v="Combined Heat and Power, Industrial Power"/>
    <x v="1"/>
    <n v="77534"/>
  </r>
  <r>
    <x v="10"/>
    <x v="8"/>
    <s v="Combined Heat and Power, Industrial Power"/>
    <x v="9"/>
    <n v="166769"/>
  </r>
  <r>
    <x v="10"/>
    <x v="8"/>
    <s v="Combined Heat and Power, Industrial Power"/>
    <x v="4"/>
    <n v="203732"/>
  </r>
  <r>
    <x v="10"/>
    <x v="9"/>
    <s v="Total Electric Power Industry"/>
    <x v="0"/>
    <n v="191815840"/>
  </r>
  <r>
    <x v="10"/>
    <x v="9"/>
    <s v="Total Electric Power Industry"/>
    <x v="1"/>
    <n v="72741829"/>
  </r>
  <r>
    <x v="10"/>
    <x v="9"/>
    <s v="Total Electric Power Industry"/>
    <x v="2"/>
    <n v="86769"/>
  </r>
  <r>
    <x v="10"/>
    <x v="9"/>
    <s v="Total Electric Power Industry"/>
    <x v="3"/>
    <n v="43202867"/>
  </r>
  <r>
    <x v="10"/>
    <x v="9"/>
    <s v="Total Electric Power Industry"/>
    <x v="7"/>
    <n v="32291345"/>
  </r>
  <r>
    <x v="10"/>
    <x v="9"/>
    <s v="Total Electric Power Industry"/>
    <x v="12"/>
    <n v="2036183"/>
  </r>
  <r>
    <x v="10"/>
    <x v="9"/>
    <s v="Total Electric Power Industry"/>
    <x v="8"/>
    <n v="3631313"/>
  </r>
  <r>
    <x v="10"/>
    <x v="9"/>
    <s v="Total Electric Power Industry"/>
    <x v="9"/>
    <n v="23471"/>
  </r>
  <r>
    <x v="10"/>
    <x v="9"/>
    <s v="Total Electric Power Industry"/>
    <x v="4"/>
    <n v="35743030"/>
  </r>
  <r>
    <x v="10"/>
    <x v="9"/>
    <s v="Total Electric Power Industry"/>
    <x v="6"/>
    <n v="2059033"/>
  </r>
  <r>
    <x v="10"/>
    <x v="9"/>
    <s v="Electric Generators, Independent Power Producers"/>
    <x v="0"/>
    <n v="5676399"/>
  </r>
  <r>
    <x v="10"/>
    <x v="9"/>
    <s v="Electric Generators, Independent Power Producers"/>
    <x v="3"/>
    <n v="1366694"/>
  </r>
  <r>
    <x v="10"/>
    <x v="9"/>
    <s v="Electric Generators, Independent Power Producers"/>
    <x v="8"/>
    <n v="3133975"/>
  </r>
  <r>
    <x v="10"/>
    <x v="9"/>
    <s v="Electric Generators, Independent Power Producers"/>
    <x v="9"/>
    <n v="631"/>
  </r>
  <r>
    <x v="10"/>
    <x v="9"/>
    <s v="Electric Generators, Independent Power Producers"/>
    <x v="4"/>
    <n v="1015756"/>
  </r>
  <r>
    <x v="10"/>
    <x v="9"/>
    <s v="Electric Generators, Independent Power Producers"/>
    <x v="6"/>
    <n v="159343"/>
  </r>
  <r>
    <x v="10"/>
    <x v="9"/>
    <s v="Electric Generators, Electric Utilities"/>
    <x v="0"/>
    <n v="169888638"/>
  </r>
  <r>
    <x v="10"/>
    <x v="9"/>
    <s v="Electric Generators, Electric Utilities"/>
    <x v="1"/>
    <n v="67143257"/>
  </r>
  <r>
    <x v="10"/>
    <x v="9"/>
    <s v="Electric Generators, Electric Utilities"/>
    <x v="2"/>
    <n v="86769"/>
  </r>
  <r>
    <x v="10"/>
    <x v="9"/>
    <s v="Electric Generators, Electric Utilities"/>
    <x v="3"/>
    <n v="36002612"/>
  </r>
  <r>
    <x v="10"/>
    <x v="9"/>
    <s v="Electric Generators, Electric Utilities"/>
    <x v="7"/>
    <n v="32291345"/>
  </r>
  <r>
    <x v="10"/>
    <x v="9"/>
    <s v="Electric Generators, Electric Utilities"/>
    <x v="8"/>
    <n v="27575"/>
  </r>
  <r>
    <x v="10"/>
    <x v="9"/>
    <s v="Electric Generators, Electric Utilities"/>
    <x v="4"/>
    <n v="34337080"/>
  </r>
  <r>
    <x v="10"/>
    <x v="9"/>
    <s v="Combined Heat and Power, Industrial Power"/>
    <x v="0"/>
    <n v="6104667"/>
  </r>
  <r>
    <x v="10"/>
    <x v="9"/>
    <s v="Combined Heat and Power, Industrial Power"/>
    <x v="1"/>
    <n v="287826"/>
  </r>
  <r>
    <x v="10"/>
    <x v="9"/>
    <s v="Combined Heat and Power, Industrial Power"/>
    <x v="3"/>
    <n v="1576281"/>
  </r>
  <r>
    <x v="10"/>
    <x v="9"/>
    <s v="Combined Heat and Power, Industrial Power"/>
    <x v="12"/>
    <n v="2036183"/>
  </r>
  <r>
    <x v="10"/>
    <x v="9"/>
    <s v="Combined Heat and Power, Industrial Power"/>
    <x v="8"/>
    <n v="168216"/>
  </r>
  <r>
    <x v="10"/>
    <x v="9"/>
    <s v="Combined Heat and Power, Industrial Power"/>
    <x v="9"/>
    <n v="21375"/>
  </r>
  <r>
    <x v="10"/>
    <x v="9"/>
    <s v="Combined Heat and Power, Industrial Power"/>
    <x v="4"/>
    <n v="356342"/>
  </r>
  <r>
    <x v="10"/>
    <x v="9"/>
    <s v="Combined Heat and Power, Industrial Power"/>
    <x v="6"/>
    <n v="1658444"/>
  </r>
  <r>
    <x v="10"/>
    <x v="9"/>
    <s v="Combined Heat and Power, Electric Power"/>
    <x v="0"/>
    <n v="10037087"/>
  </r>
  <r>
    <x v="10"/>
    <x v="9"/>
    <s v="Combined Heat and Power, Electric Power"/>
    <x v="1"/>
    <n v="5310746"/>
  </r>
  <r>
    <x v="10"/>
    <x v="9"/>
    <s v="Combined Heat and Power, Electric Power"/>
    <x v="3"/>
    <n v="4176803"/>
  </r>
  <r>
    <x v="10"/>
    <x v="9"/>
    <s v="Combined Heat and Power, Electric Power"/>
    <x v="8"/>
    <n v="273096"/>
  </r>
  <r>
    <x v="10"/>
    <x v="9"/>
    <s v="Combined Heat and Power, Electric Power"/>
    <x v="9"/>
    <n v="1465"/>
  </r>
  <r>
    <x v="10"/>
    <x v="9"/>
    <s v="Combined Heat and Power, Electric Power"/>
    <x v="4"/>
    <n v="33731"/>
  </r>
  <r>
    <x v="10"/>
    <x v="9"/>
    <s v="Combined Heat and Power, Electric Power"/>
    <x v="6"/>
    <n v="241246"/>
  </r>
  <r>
    <x v="10"/>
    <x v="9"/>
    <s v="Combined Heat and Power, Commercial Power"/>
    <x v="0"/>
    <n v="109049"/>
  </r>
  <r>
    <x v="10"/>
    <x v="9"/>
    <s v="Combined Heat and Power, Commercial Power"/>
    <x v="3"/>
    <n v="80477"/>
  </r>
  <r>
    <x v="10"/>
    <x v="9"/>
    <s v="Combined Heat and Power, Commercial Power"/>
    <x v="8"/>
    <n v="28451"/>
  </r>
  <r>
    <x v="10"/>
    <x v="9"/>
    <s v="Combined Heat and Power, Commercial Power"/>
    <x v="4"/>
    <n v="121"/>
  </r>
  <r>
    <x v="10"/>
    <x v="10"/>
    <s v="Total Electric Power Industry"/>
    <x v="0"/>
    <n v="123877413"/>
  </r>
  <r>
    <x v="10"/>
    <x v="10"/>
    <s v="Total Electric Power Industry"/>
    <x v="1"/>
    <n v="80100450"/>
  </r>
  <r>
    <x v="10"/>
    <x v="10"/>
    <s v="Total Electric Power Industry"/>
    <x v="2"/>
    <n v="2480797"/>
  </r>
  <r>
    <x v="10"/>
    <x v="10"/>
    <s v="Total Electric Power Industry"/>
    <x v="3"/>
    <n v="4251077"/>
  </r>
  <r>
    <x v="10"/>
    <x v="10"/>
    <s v="Total Electric Power Industry"/>
    <x v="7"/>
    <n v="32472935"/>
  </r>
  <r>
    <x v="10"/>
    <x v="10"/>
    <s v="Total Electric Power Industry"/>
    <x v="12"/>
    <n v="1530"/>
  </r>
  <r>
    <x v="10"/>
    <x v="10"/>
    <s v="Total Electric Power Industry"/>
    <x v="8"/>
    <n v="89340"/>
  </r>
  <r>
    <x v="10"/>
    <x v="10"/>
    <s v="Total Electric Power Industry"/>
    <x v="4"/>
    <n v="1620653"/>
  </r>
  <r>
    <x v="10"/>
    <x v="10"/>
    <s v="Total Electric Power Industry"/>
    <x v="10"/>
    <n v="-154828"/>
  </r>
  <r>
    <x v="10"/>
    <x v="10"/>
    <s v="Total Electric Power Industry"/>
    <x v="6"/>
    <n v="3015459"/>
  </r>
  <r>
    <x v="10"/>
    <x v="10"/>
    <s v="Electric Generators, Independent Power Producers"/>
    <x v="0"/>
    <n v="1430873"/>
  </r>
  <r>
    <x v="10"/>
    <x v="10"/>
    <s v="Electric Generators, Independent Power Producers"/>
    <x v="2"/>
    <n v="3755"/>
  </r>
  <r>
    <x v="10"/>
    <x v="10"/>
    <s v="Electric Generators, Independent Power Producers"/>
    <x v="3"/>
    <n v="1335031"/>
  </r>
  <r>
    <x v="10"/>
    <x v="10"/>
    <s v="Electric Generators, Independent Power Producers"/>
    <x v="8"/>
    <n v="7482"/>
  </r>
  <r>
    <x v="10"/>
    <x v="10"/>
    <s v="Electric Generators, Independent Power Producers"/>
    <x v="4"/>
    <n v="84605"/>
  </r>
  <r>
    <x v="10"/>
    <x v="10"/>
    <s v="Electric Generators, Electric Utilities"/>
    <x v="0"/>
    <n v="116176834"/>
  </r>
  <r>
    <x v="10"/>
    <x v="10"/>
    <s v="Electric Generators, Electric Utilities"/>
    <x v="1"/>
    <n v="79007166"/>
  </r>
  <r>
    <x v="10"/>
    <x v="10"/>
    <s v="Electric Generators, Electric Utilities"/>
    <x v="2"/>
    <n v="2455467"/>
  </r>
  <r>
    <x v="10"/>
    <x v="10"/>
    <s v="Electric Generators, Electric Utilities"/>
    <x v="3"/>
    <n v="1754679"/>
  </r>
  <r>
    <x v="10"/>
    <x v="10"/>
    <s v="Electric Generators, Electric Utilities"/>
    <x v="7"/>
    <n v="32472935"/>
  </r>
  <r>
    <x v="10"/>
    <x v="10"/>
    <s v="Electric Generators, Electric Utilities"/>
    <x v="4"/>
    <n v="641415"/>
  </r>
  <r>
    <x v="10"/>
    <x v="10"/>
    <s v="Electric Generators, Electric Utilities"/>
    <x v="10"/>
    <n v="-154828"/>
  </r>
  <r>
    <x v="10"/>
    <x v="10"/>
    <s v="Combined Heat and Power, Industrial Power"/>
    <x v="0"/>
    <n v="5582235"/>
  </r>
  <r>
    <x v="10"/>
    <x v="10"/>
    <s v="Combined Heat and Power, Industrial Power"/>
    <x v="1"/>
    <n v="1093284"/>
  </r>
  <r>
    <x v="10"/>
    <x v="10"/>
    <s v="Combined Heat and Power, Industrial Power"/>
    <x v="2"/>
    <n v="21575"/>
  </r>
  <r>
    <x v="10"/>
    <x v="10"/>
    <s v="Combined Heat and Power, Industrial Power"/>
    <x v="3"/>
    <n v="520279"/>
  </r>
  <r>
    <x v="10"/>
    <x v="10"/>
    <s v="Combined Heat and Power, Industrial Power"/>
    <x v="12"/>
    <n v="1530"/>
  </r>
  <r>
    <x v="10"/>
    <x v="10"/>
    <s v="Combined Heat and Power, Industrial Power"/>
    <x v="8"/>
    <n v="81858"/>
  </r>
  <r>
    <x v="10"/>
    <x v="10"/>
    <s v="Combined Heat and Power, Industrial Power"/>
    <x v="4"/>
    <n v="848250"/>
  </r>
  <r>
    <x v="10"/>
    <x v="10"/>
    <s v="Combined Heat and Power, Industrial Power"/>
    <x v="6"/>
    <n v="3015459"/>
  </r>
  <r>
    <x v="10"/>
    <x v="10"/>
    <s v="Combined Heat and Power, Electric Power"/>
    <x v="0"/>
    <n v="663635"/>
  </r>
  <r>
    <x v="10"/>
    <x v="10"/>
    <s v="Combined Heat and Power, Electric Power"/>
    <x v="3"/>
    <n v="641088"/>
  </r>
  <r>
    <x v="10"/>
    <x v="10"/>
    <s v="Combined Heat and Power, Electric Power"/>
    <x v="4"/>
    <n v="22547"/>
  </r>
  <r>
    <x v="10"/>
    <x v="10"/>
    <s v="Combined Heat and Power, Commercial Power"/>
    <x v="0"/>
    <n v="23836"/>
  </r>
  <r>
    <x v="10"/>
    <x v="10"/>
    <s v="Combined Heat and Power, Commercial Power"/>
    <x v="3"/>
    <n v="0"/>
  </r>
  <r>
    <x v="10"/>
    <x v="10"/>
    <s v="Combined Heat and Power, Commercial Power"/>
    <x v="4"/>
    <n v="23836"/>
  </r>
  <r>
    <x v="10"/>
    <x v="11"/>
    <s v="Total Electric Power Industry"/>
    <x v="0"/>
    <n v="10593403"/>
  </r>
  <r>
    <x v="10"/>
    <x v="11"/>
    <s v="Total Electric Power Industry"/>
    <x v="1"/>
    <n v="1578585"/>
  </r>
  <r>
    <x v="10"/>
    <x v="11"/>
    <s v="Total Electric Power Industry"/>
    <x v="11"/>
    <n v="262053"/>
  </r>
  <r>
    <x v="10"/>
    <x v="11"/>
    <s v="Total Electric Power Industry"/>
    <x v="2"/>
    <n v="103458"/>
  </r>
  <r>
    <x v="10"/>
    <x v="11"/>
    <s v="Total Electric Power Industry"/>
    <x v="3"/>
    <n v="0"/>
  </r>
  <r>
    <x v="10"/>
    <x v="11"/>
    <s v="Total Electric Power Industry"/>
    <x v="8"/>
    <n v="538349"/>
  </r>
  <r>
    <x v="10"/>
    <x v="11"/>
    <s v="Total Electric Power Industry"/>
    <x v="9"/>
    <n v="42173"/>
  </r>
  <r>
    <x v="10"/>
    <x v="11"/>
    <s v="Total Electric Power Industry"/>
    <x v="4"/>
    <n v="8051782"/>
  </r>
  <r>
    <x v="10"/>
    <x v="11"/>
    <s v="Total Electric Power Industry"/>
    <x v="5"/>
    <n v="17003"/>
  </r>
  <r>
    <x v="10"/>
    <x v="11"/>
    <s v="Electric Generators, Independent Power Producers"/>
    <x v="0"/>
    <n v="656303"/>
  </r>
  <r>
    <x v="10"/>
    <x v="11"/>
    <s v="Electric Generators, Independent Power Producers"/>
    <x v="11"/>
    <n v="262053"/>
  </r>
  <r>
    <x v="10"/>
    <x v="11"/>
    <s v="Electric Generators, Independent Power Producers"/>
    <x v="2"/>
    <n v="28102"/>
  </r>
  <r>
    <x v="10"/>
    <x v="11"/>
    <s v="Electric Generators, Independent Power Producers"/>
    <x v="8"/>
    <n v="349904"/>
  </r>
  <r>
    <x v="10"/>
    <x v="11"/>
    <s v="Electric Generators, Independent Power Producers"/>
    <x v="4"/>
    <n v="1890"/>
  </r>
  <r>
    <x v="10"/>
    <x v="11"/>
    <s v="Electric Generators, Independent Power Producers"/>
    <x v="5"/>
    <n v="14354"/>
  </r>
  <r>
    <x v="10"/>
    <x v="11"/>
    <s v="Electric Generators, Electric Utilities"/>
    <x v="0"/>
    <n v="6534692"/>
  </r>
  <r>
    <x v="10"/>
    <x v="11"/>
    <s v="Electric Generators, Electric Utilities"/>
    <x v="2"/>
    <n v="15114"/>
  </r>
  <r>
    <x v="10"/>
    <x v="11"/>
    <s v="Electric Generators, Electric Utilities"/>
    <x v="3"/>
    <n v="0"/>
  </r>
  <r>
    <x v="10"/>
    <x v="11"/>
    <s v="Electric Generators, Electric Utilities"/>
    <x v="4"/>
    <n v="6516929"/>
  </r>
  <r>
    <x v="10"/>
    <x v="11"/>
    <s v="Electric Generators, Electric Utilities"/>
    <x v="5"/>
    <n v="2649"/>
  </r>
  <r>
    <x v="10"/>
    <x v="11"/>
    <s v="Combined Heat and Power, Industrial Power"/>
    <x v="0"/>
    <n v="542835"/>
  </r>
  <r>
    <x v="10"/>
    <x v="11"/>
    <s v="Combined Heat and Power, Industrial Power"/>
    <x v="1"/>
    <n v="42572"/>
  </r>
  <r>
    <x v="10"/>
    <x v="11"/>
    <s v="Combined Heat and Power, Industrial Power"/>
    <x v="2"/>
    <n v="60242"/>
  </r>
  <r>
    <x v="10"/>
    <x v="11"/>
    <s v="Combined Heat and Power, Industrial Power"/>
    <x v="8"/>
    <n v="188445"/>
  </r>
  <r>
    <x v="10"/>
    <x v="11"/>
    <s v="Combined Heat and Power, Industrial Power"/>
    <x v="9"/>
    <n v="42173"/>
  </r>
  <r>
    <x v="10"/>
    <x v="11"/>
    <s v="Combined Heat and Power, Industrial Power"/>
    <x v="4"/>
    <n v="209403"/>
  </r>
  <r>
    <x v="10"/>
    <x v="11"/>
    <s v="Combined Heat and Power, Electric Power"/>
    <x v="0"/>
    <n v="2859573"/>
  </r>
  <r>
    <x v="10"/>
    <x v="11"/>
    <s v="Combined Heat and Power, Electric Power"/>
    <x v="1"/>
    <n v="1536013"/>
  </r>
  <r>
    <x v="10"/>
    <x v="11"/>
    <s v="Combined Heat and Power, Electric Power"/>
    <x v="4"/>
    <n v="1323560"/>
  </r>
  <r>
    <x v="10"/>
    <x v="12"/>
    <s v="Total Electric Power Industry"/>
    <x v="0"/>
    <n v="41542010"/>
  </r>
  <r>
    <x v="10"/>
    <x v="12"/>
    <s v="Total Electric Power Industry"/>
    <x v="1"/>
    <n v="35067093"/>
  </r>
  <r>
    <x v="10"/>
    <x v="12"/>
    <s v="Total Electric Power Industry"/>
    <x v="2"/>
    <n v="904010"/>
  </r>
  <r>
    <x v="10"/>
    <x v="12"/>
    <s v="Total Electric Power Industry"/>
    <x v="3"/>
    <n v="433764"/>
  </r>
  <r>
    <x v="10"/>
    <x v="12"/>
    <s v="Total Electric Power Industry"/>
    <x v="7"/>
    <n v="4452884"/>
  </r>
  <r>
    <x v="10"/>
    <x v="12"/>
    <s v="Total Electric Power Industry"/>
    <x v="8"/>
    <n v="88562"/>
  </r>
  <r>
    <x v="10"/>
    <x v="12"/>
    <s v="Total Electric Power Industry"/>
    <x v="4"/>
    <n v="101877"/>
  </r>
  <r>
    <x v="10"/>
    <x v="12"/>
    <s v="Total Electric Power Industry"/>
    <x v="5"/>
    <n v="493820"/>
  </r>
  <r>
    <x v="10"/>
    <x v="12"/>
    <s v="Electric Generators, Independent Power Producers"/>
    <x v="0"/>
    <n v="504589"/>
  </r>
  <r>
    <x v="10"/>
    <x v="12"/>
    <s v="Electric Generators, Independent Power Producers"/>
    <x v="2"/>
    <n v="12666"/>
  </r>
  <r>
    <x v="10"/>
    <x v="12"/>
    <s v="Electric Generators, Independent Power Producers"/>
    <x v="4"/>
    <n v="2304"/>
  </r>
  <r>
    <x v="10"/>
    <x v="12"/>
    <s v="Electric Generators, Independent Power Producers"/>
    <x v="5"/>
    <n v="489619"/>
  </r>
  <r>
    <x v="10"/>
    <x v="12"/>
    <s v="Electric Generators, Electric Utilities"/>
    <x v="0"/>
    <n v="39634091"/>
  </r>
  <r>
    <x v="10"/>
    <x v="12"/>
    <s v="Electric Generators, Electric Utilities"/>
    <x v="1"/>
    <n v="33851496"/>
  </r>
  <r>
    <x v="10"/>
    <x v="12"/>
    <s v="Electric Generators, Electric Utilities"/>
    <x v="2"/>
    <n v="891344"/>
  </r>
  <r>
    <x v="10"/>
    <x v="12"/>
    <s v="Electric Generators, Electric Utilities"/>
    <x v="3"/>
    <n v="323197"/>
  </r>
  <r>
    <x v="10"/>
    <x v="12"/>
    <s v="Electric Generators, Electric Utilities"/>
    <x v="7"/>
    <n v="4452884"/>
  </r>
  <r>
    <x v="10"/>
    <x v="12"/>
    <s v="Electric Generators, Electric Utilities"/>
    <x v="8"/>
    <n v="15338"/>
  </r>
  <r>
    <x v="10"/>
    <x v="12"/>
    <s v="Electric Generators, Electric Utilities"/>
    <x v="4"/>
    <n v="95631"/>
  </r>
  <r>
    <x v="10"/>
    <x v="12"/>
    <s v="Electric Generators, Electric Utilities"/>
    <x v="5"/>
    <n v="4201"/>
  </r>
  <r>
    <x v="10"/>
    <x v="12"/>
    <s v="Combined Heat and Power, Industrial Power"/>
    <x v="0"/>
    <n v="1085316"/>
  </r>
  <r>
    <x v="10"/>
    <x v="12"/>
    <s v="Combined Heat and Power, Industrial Power"/>
    <x v="1"/>
    <n v="979524"/>
  </r>
  <r>
    <x v="10"/>
    <x v="12"/>
    <s v="Combined Heat and Power, Industrial Power"/>
    <x v="3"/>
    <n v="105149"/>
  </r>
  <r>
    <x v="10"/>
    <x v="12"/>
    <s v="Combined Heat and Power, Industrial Power"/>
    <x v="8"/>
    <n v="533"/>
  </r>
  <r>
    <x v="10"/>
    <x v="12"/>
    <s v="Combined Heat and Power, Industrial Power"/>
    <x v="4"/>
    <n v="110"/>
  </r>
  <r>
    <x v="10"/>
    <x v="12"/>
    <s v="Combined Heat and Power, Electric Power"/>
    <x v="0"/>
    <n v="170700"/>
  </r>
  <r>
    <x v="10"/>
    <x v="12"/>
    <s v="Combined Heat and Power, Electric Power"/>
    <x v="1"/>
    <n v="115338"/>
  </r>
  <r>
    <x v="10"/>
    <x v="12"/>
    <s v="Combined Heat and Power, Electric Power"/>
    <x v="8"/>
    <n v="55362"/>
  </r>
  <r>
    <x v="10"/>
    <x v="12"/>
    <s v="Combined Heat and Power, Commercial Power"/>
    <x v="0"/>
    <n v="147314"/>
  </r>
  <r>
    <x v="10"/>
    <x v="12"/>
    <s v="Combined Heat and Power, Commercial Power"/>
    <x v="1"/>
    <n v="120735"/>
  </r>
  <r>
    <x v="10"/>
    <x v="12"/>
    <s v="Combined Heat and Power, Commercial Power"/>
    <x v="3"/>
    <n v="5418"/>
  </r>
  <r>
    <x v="10"/>
    <x v="12"/>
    <s v="Combined Heat and Power, Commercial Power"/>
    <x v="8"/>
    <n v="17329"/>
  </r>
  <r>
    <x v="10"/>
    <x v="12"/>
    <s v="Combined Heat and Power, Commercial Power"/>
    <x v="4"/>
    <n v="3832"/>
  </r>
  <r>
    <x v="10"/>
    <x v="13"/>
    <s v="Total Electric Power Industry"/>
    <x v="0"/>
    <n v="11910442"/>
  </r>
  <r>
    <x v="10"/>
    <x v="13"/>
    <s v="Total Electric Power Industry"/>
    <x v="1"/>
    <n v="70675"/>
  </r>
  <r>
    <x v="10"/>
    <x v="13"/>
    <s v="Total Electric Power Industry"/>
    <x v="2"/>
    <n v="10966695"/>
  </r>
  <r>
    <x v="10"/>
    <x v="13"/>
    <s v="Total Electric Power Industry"/>
    <x v="3"/>
    <n v="299053"/>
  </r>
  <r>
    <x v="10"/>
    <x v="13"/>
    <s v="Total Electric Power Industry"/>
    <x v="12"/>
    <n v="83813"/>
  </r>
  <r>
    <x v="10"/>
    <x v="13"/>
    <s v="Total Electric Power Industry"/>
    <x v="4"/>
    <n v="6948"/>
  </r>
  <r>
    <x v="10"/>
    <x v="13"/>
    <s v="Total Electric Power Industry"/>
    <x v="6"/>
    <n v="483258"/>
  </r>
  <r>
    <x v="10"/>
    <x v="13"/>
    <s v="Electric Generators, Independent Power Producers"/>
    <x v="0"/>
    <n v="855230"/>
  </r>
  <r>
    <x v="10"/>
    <x v="13"/>
    <s v="Electric Generators, Independent Power Producers"/>
    <x v="2"/>
    <n v="855230"/>
  </r>
  <r>
    <x v="10"/>
    <x v="13"/>
    <s v="Electric Generators, Electric Utilities"/>
    <x v="0"/>
    <n v="10114257"/>
  </r>
  <r>
    <x v="10"/>
    <x v="13"/>
    <s v="Electric Generators, Electric Utilities"/>
    <x v="2"/>
    <n v="10111465"/>
  </r>
  <r>
    <x v="10"/>
    <x v="13"/>
    <s v="Electric Generators, Electric Utilities"/>
    <x v="3"/>
    <n v="0"/>
  </r>
  <r>
    <x v="10"/>
    <x v="13"/>
    <s v="Electric Generators, Electric Utilities"/>
    <x v="4"/>
    <n v="2792"/>
  </r>
  <r>
    <x v="10"/>
    <x v="13"/>
    <s v="Combined Heat and Power, Industrial Power"/>
    <x v="0"/>
    <n v="747275"/>
  </r>
  <r>
    <x v="10"/>
    <x v="13"/>
    <s v="Combined Heat and Power, Industrial Power"/>
    <x v="1"/>
    <n v="70675"/>
  </r>
  <r>
    <x v="10"/>
    <x v="13"/>
    <s v="Combined Heat and Power, Industrial Power"/>
    <x v="3"/>
    <n v="144448"/>
  </r>
  <r>
    <x v="10"/>
    <x v="13"/>
    <s v="Combined Heat and Power, Industrial Power"/>
    <x v="12"/>
    <n v="83813"/>
  </r>
  <r>
    <x v="10"/>
    <x v="13"/>
    <s v="Combined Heat and Power, Industrial Power"/>
    <x v="4"/>
    <n v="4156"/>
  </r>
  <r>
    <x v="10"/>
    <x v="13"/>
    <s v="Combined Heat and Power, Industrial Power"/>
    <x v="6"/>
    <n v="444183"/>
  </r>
  <r>
    <x v="10"/>
    <x v="13"/>
    <s v="Combined Heat and Power, Electric Power"/>
    <x v="0"/>
    <n v="193680"/>
  </r>
  <r>
    <x v="10"/>
    <x v="13"/>
    <s v="Combined Heat and Power, Electric Power"/>
    <x v="3"/>
    <n v="154605"/>
  </r>
  <r>
    <x v="10"/>
    <x v="13"/>
    <s v="Combined Heat and Power, Electric Power"/>
    <x v="6"/>
    <n v="39075"/>
  </r>
  <r>
    <x v="10"/>
    <x v="14"/>
    <s v="Total Electric Power Industry"/>
    <x v="0"/>
    <n v="178496081"/>
  </r>
  <r>
    <x v="10"/>
    <x v="14"/>
    <s v="Total Electric Power Industry"/>
    <x v="1"/>
    <n v="82322832"/>
  </r>
  <r>
    <x v="10"/>
    <x v="14"/>
    <s v="Total Electric Power Industry"/>
    <x v="2"/>
    <n v="143828"/>
  </r>
  <r>
    <x v="10"/>
    <x v="14"/>
    <s v="Total Electric Power Industry"/>
    <x v="3"/>
    <n v="4665563"/>
  </r>
  <r>
    <x v="10"/>
    <x v="14"/>
    <s v="Total Electric Power Industry"/>
    <x v="7"/>
    <n v="89438049"/>
  </r>
  <r>
    <x v="10"/>
    <x v="14"/>
    <s v="Total Electric Power Industry"/>
    <x v="8"/>
    <n v="908391"/>
  </r>
  <r>
    <x v="10"/>
    <x v="14"/>
    <s v="Total Electric Power Industry"/>
    <x v="9"/>
    <n v="384398"/>
  </r>
  <r>
    <x v="10"/>
    <x v="14"/>
    <s v="Total Electric Power Industry"/>
    <x v="4"/>
    <n v="633020"/>
  </r>
  <r>
    <x v="10"/>
    <x v="14"/>
    <s v="Electric Generators, Independent Power Producers"/>
    <x v="0"/>
    <n v="60976699"/>
  </r>
  <r>
    <x v="10"/>
    <x v="14"/>
    <s v="Electric Generators, Independent Power Producers"/>
    <x v="1"/>
    <n v="49885504"/>
  </r>
  <r>
    <x v="10"/>
    <x v="14"/>
    <s v="Electric Generators, Independent Power Producers"/>
    <x v="2"/>
    <n v="81277"/>
  </r>
  <r>
    <x v="10"/>
    <x v="14"/>
    <s v="Electric Generators, Independent Power Producers"/>
    <x v="3"/>
    <n v="3091697"/>
  </r>
  <r>
    <x v="10"/>
    <x v="14"/>
    <s v="Electric Generators, Independent Power Producers"/>
    <x v="7"/>
    <n v="6914455"/>
  </r>
  <r>
    <x v="10"/>
    <x v="14"/>
    <s v="Electric Generators, Independent Power Producers"/>
    <x v="8"/>
    <n v="539535"/>
  </r>
  <r>
    <x v="10"/>
    <x v="14"/>
    <s v="Electric Generators, Independent Power Producers"/>
    <x v="4"/>
    <n v="464231"/>
  </r>
  <r>
    <x v="10"/>
    <x v="14"/>
    <s v="Electric Generators, Electric Utilities"/>
    <x v="0"/>
    <n v="113565741"/>
  </r>
  <r>
    <x v="10"/>
    <x v="14"/>
    <s v="Electric Generators, Electric Utilities"/>
    <x v="1"/>
    <n v="30522951"/>
  </r>
  <r>
    <x v="10"/>
    <x v="14"/>
    <s v="Electric Generators, Electric Utilities"/>
    <x v="2"/>
    <n v="60354"/>
  </r>
  <r>
    <x v="10"/>
    <x v="14"/>
    <s v="Electric Generators, Electric Utilities"/>
    <x v="3"/>
    <n v="215826"/>
  </r>
  <r>
    <x v="10"/>
    <x v="14"/>
    <s v="Electric Generators, Electric Utilities"/>
    <x v="7"/>
    <n v="82523594"/>
  </r>
  <r>
    <x v="10"/>
    <x v="14"/>
    <s v="Electric Generators, Electric Utilities"/>
    <x v="8"/>
    <n v="101886"/>
  </r>
  <r>
    <x v="10"/>
    <x v="14"/>
    <s v="Electric Generators, Electric Utilities"/>
    <x v="4"/>
    <n v="141130"/>
  </r>
  <r>
    <x v="10"/>
    <x v="14"/>
    <s v="Combined Heat and Power, Industrial Power"/>
    <x v="0"/>
    <n v="2914153"/>
  </r>
  <r>
    <x v="10"/>
    <x v="14"/>
    <s v="Combined Heat and Power, Industrial Power"/>
    <x v="1"/>
    <n v="1817762"/>
  </r>
  <r>
    <x v="10"/>
    <x v="14"/>
    <s v="Combined Heat and Power, Industrial Power"/>
    <x v="3"/>
    <n v="714150"/>
  </r>
  <r>
    <x v="10"/>
    <x v="14"/>
    <s v="Combined Heat and Power, Industrial Power"/>
    <x v="8"/>
    <n v="23763"/>
  </r>
  <r>
    <x v="10"/>
    <x v="14"/>
    <s v="Combined Heat and Power, Industrial Power"/>
    <x v="9"/>
    <n v="339496"/>
  </r>
  <r>
    <x v="10"/>
    <x v="14"/>
    <s v="Combined Heat and Power, Industrial Power"/>
    <x v="4"/>
    <n v="18982"/>
  </r>
  <r>
    <x v="10"/>
    <x v="14"/>
    <s v="Combined Heat and Power, Electric Power"/>
    <x v="0"/>
    <n v="788419"/>
  </r>
  <r>
    <x v="10"/>
    <x v="14"/>
    <s v="Combined Heat and Power, Electric Power"/>
    <x v="1"/>
    <n v="40908"/>
  </r>
  <r>
    <x v="10"/>
    <x v="14"/>
    <s v="Combined Heat and Power, Electric Power"/>
    <x v="3"/>
    <n v="466635"/>
  </r>
  <r>
    <x v="10"/>
    <x v="14"/>
    <s v="Combined Heat and Power, Electric Power"/>
    <x v="8"/>
    <n v="235733"/>
  </r>
  <r>
    <x v="10"/>
    <x v="14"/>
    <s v="Combined Heat and Power, Electric Power"/>
    <x v="9"/>
    <n v="44902"/>
  </r>
  <r>
    <x v="10"/>
    <x v="14"/>
    <s v="Combined Heat and Power, Electric Power"/>
    <x v="4"/>
    <n v="241"/>
  </r>
  <r>
    <x v="10"/>
    <x v="14"/>
    <s v="Combined Heat and Power, Commercial Power"/>
    <x v="0"/>
    <n v="251069"/>
  </r>
  <r>
    <x v="10"/>
    <x v="14"/>
    <s v="Combined Heat and Power, Commercial Power"/>
    <x v="1"/>
    <n v="55707"/>
  </r>
  <r>
    <x v="10"/>
    <x v="14"/>
    <s v="Combined Heat and Power, Commercial Power"/>
    <x v="2"/>
    <n v="2197"/>
  </r>
  <r>
    <x v="10"/>
    <x v="14"/>
    <s v="Combined Heat and Power, Commercial Power"/>
    <x v="3"/>
    <n v="177255"/>
  </r>
  <r>
    <x v="10"/>
    <x v="14"/>
    <s v="Combined Heat and Power, Commercial Power"/>
    <x v="8"/>
    <n v="7474"/>
  </r>
  <r>
    <x v="10"/>
    <x v="14"/>
    <s v="Combined Heat and Power, Commercial Power"/>
    <x v="4"/>
    <n v="8436"/>
  </r>
  <r>
    <x v="10"/>
    <x v="15"/>
    <s v="Total Electric Power Industry"/>
    <x v="0"/>
    <n v="127819516"/>
  </r>
  <r>
    <x v="10"/>
    <x v="15"/>
    <s v="Total Electric Power Industry"/>
    <x v="1"/>
    <n v="121477884"/>
  </r>
  <r>
    <x v="10"/>
    <x v="15"/>
    <s v="Total Electric Power Industry"/>
    <x v="2"/>
    <n v="588276"/>
  </r>
  <r>
    <x v="10"/>
    <x v="15"/>
    <s v="Total Electric Power Industry"/>
    <x v="3"/>
    <n v="2054616"/>
  </r>
  <r>
    <x v="10"/>
    <x v="15"/>
    <s v="Total Electric Power Industry"/>
    <x v="8"/>
    <n v="129882"/>
  </r>
  <r>
    <x v="10"/>
    <x v="15"/>
    <s v="Total Electric Power Industry"/>
    <x v="9"/>
    <n v="2599337"/>
  </r>
  <r>
    <x v="10"/>
    <x v="15"/>
    <s v="Total Electric Power Industry"/>
    <x v="4"/>
    <n v="969521"/>
  </r>
  <r>
    <x v="10"/>
    <x v="15"/>
    <s v="Electric Generators, Independent Power Producers"/>
    <x v="0"/>
    <n v="3794053"/>
  </r>
  <r>
    <x v="10"/>
    <x v="15"/>
    <s v="Electric Generators, Independent Power Producers"/>
    <x v="1"/>
    <n v="3211521"/>
  </r>
  <r>
    <x v="10"/>
    <x v="15"/>
    <s v="Electric Generators, Independent Power Producers"/>
    <x v="3"/>
    <n v="494386"/>
  </r>
  <r>
    <x v="10"/>
    <x v="15"/>
    <s v="Electric Generators, Independent Power Producers"/>
    <x v="8"/>
    <n v="88146"/>
  </r>
  <r>
    <x v="10"/>
    <x v="15"/>
    <s v="Electric Generators, Electric Utilities"/>
    <x v="0"/>
    <n v="119721399"/>
  </r>
  <r>
    <x v="10"/>
    <x v="15"/>
    <s v="Electric Generators, Electric Utilities"/>
    <x v="1"/>
    <n v="117619535"/>
  </r>
  <r>
    <x v="10"/>
    <x v="15"/>
    <s v="Electric Generators, Electric Utilities"/>
    <x v="2"/>
    <n v="588276"/>
  </r>
  <r>
    <x v="10"/>
    <x v="15"/>
    <s v="Electric Generators, Electric Utilities"/>
    <x v="3"/>
    <n v="668107"/>
  </r>
  <r>
    <x v="10"/>
    <x v="15"/>
    <s v="Electric Generators, Electric Utilities"/>
    <x v="4"/>
    <n v="845481"/>
  </r>
  <r>
    <x v="10"/>
    <x v="15"/>
    <s v="Combined Heat and Power, Industrial Power"/>
    <x v="0"/>
    <n v="4103503"/>
  </r>
  <r>
    <x v="10"/>
    <x v="15"/>
    <s v="Combined Heat and Power, Industrial Power"/>
    <x v="1"/>
    <n v="501102"/>
  </r>
  <r>
    <x v="10"/>
    <x v="15"/>
    <s v="Combined Heat and Power, Industrial Power"/>
    <x v="3"/>
    <n v="876897"/>
  </r>
  <r>
    <x v="10"/>
    <x v="15"/>
    <s v="Combined Heat and Power, Industrial Power"/>
    <x v="8"/>
    <n v="7437"/>
  </r>
  <r>
    <x v="10"/>
    <x v="15"/>
    <s v="Combined Heat and Power, Industrial Power"/>
    <x v="9"/>
    <n v="2599008"/>
  </r>
  <r>
    <x v="10"/>
    <x v="15"/>
    <s v="Combined Heat and Power, Industrial Power"/>
    <x v="4"/>
    <n v="119059"/>
  </r>
  <r>
    <x v="10"/>
    <x v="15"/>
    <s v="Combined Heat and Power, Electric Power"/>
    <x v="0"/>
    <n v="1024"/>
  </r>
  <r>
    <x v="10"/>
    <x v="15"/>
    <s v="Combined Heat and Power, Electric Power"/>
    <x v="1"/>
    <n v="554"/>
  </r>
  <r>
    <x v="10"/>
    <x v="15"/>
    <s v="Combined Heat and Power, Electric Power"/>
    <x v="3"/>
    <n v="141"/>
  </r>
  <r>
    <x v="10"/>
    <x v="15"/>
    <s v="Combined Heat and Power, Electric Power"/>
    <x v="8"/>
    <n v="0"/>
  </r>
  <r>
    <x v="10"/>
    <x v="15"/>
    <s v="Combined Heat and Power, Electric Power"/>
    <x v="9"/>
    <n v="329"/>
  </r>
  <r>
    <x v="10"/>
    <x v="15"/>
    <s v="Combined Heat and Power, Commercial Power"/>
    <x v="0"/>
    <n v="199537"/>
  </r>
  <r>
    <x v="10"/>
    <x v="15"/>
    <s v="Combined Heat and Power, Commercial Power"/>
    <x v="1"/>
    <n v="145172"/>
  </r>
  <r>
    <x v="10"/>
    <x v="15"/>
    <s v="Combined Heat and Power, Commercial Power"/>
    <x v="3"/>
    <n v="15085"/>
  </r>
  <r>
    <x v="10"/>
    <x v="15"/>
    <s v="Combined Heat and Power, Commercial Power"/>
    <x v="8"/>
    <n v="34299"/>
  </r>
  <r>
    <x v="10"/>
    <x v="15"/>
    <s v="Combined Heat and Power, Commercial Power"/>
    <x v="4"/>
    <n v="4981"/>
  </r>
  <r>
    <x v="10"/>
    <x v="16"/>
    <s v="Total Electric Power Industry"/>
    <x v="0"/>
    <n v="44815905"/>
  </r>
  <r>
    <x v="10"/>
    <x v="16"/>
    <s v="Total Electric Power Industry"/>
    <x v="1"/>
    <n v="32507051"/>
  </r>
  <r>
    <x v="10"/>
    <x v="16"/>
    <s v="Total Electric Power Industry"/>
    <x v="2"/>
    <n v="15332"/>
  </r>
  <r>
    <x v="10"/>
    <x v="16"/>
    <s v="Total Electric Power Industry"/>
    <x v="3"/>
    <n v="2811316"/>
  </r>
  <r>
    <x v="10"/>
    <x v="16"/>
    <s v="Total Electric Power Industry"/>
    <x v="7"/>
    <n v="9060834"/>
  </r>
  <r>
    <x v="10"/>
    <x v="16"/>
    <s v="Total Electric Power Industry"/>
    <x v="4"/>
    <n v="421372"/>
  </r>
  <r>
    <x v="10"/>
    <x v="16"/>
    <s v="Electric Generators, Independent Power Producers"/>
    <x v="0"/>
    <n v="15332"/>
  </r>
  <r>
    <x v="10"/>
    <x v="16"/>
    <s v="Electric Generators, Independent Power Producers"/>
    <x v="2"/>
    <n v="15332"/>
  </r>
  <r>
    <x v="10"/>
    <x v="16"/>
    <s v="Electric Generators, Electric Utilities"/>
    <x v="0"/>
    <n v="44764909"/>
  </r>
  <r>
    <x v="10"/>
    <x v="16"/>
    <s v="Electric Generators, Electric Utilities"/>
    <x v="1"/>
    <n v="32507051"/>
  </r>
  <r>
    <x v="10"/>
    <x v="16"/>
    <s v="Electric Generators, Electric Utilities"/>
    <x v="3"/>
    <n v="2776278"/>
  </r>
  <r>
    <x v="10"/>
    <x v="16"/>
    <s v="Electric Generators, Electric Utilities"/>
    <x v="7"/>
    <n v="9060834"/>
  </r>
  <r>
    <x v="10"/>
    <x v="16"/>
    <s v="Electric Generators, Electric Utilities"/>
    <x v="4"/>
    <n v="420746"/>
  </r>
  <r>
    <x v="10"/>
    <x v="16"/>
    <s v="Combined Heat and Power, Industrial Power"/>
    <x v="0"/>
    <n v="33846"/>
  </r>
  <r>
    <x v="10"/>
    <x v="16"/>
    <s v="Combined Heat and Power, Industrial Power"/>
    <x v="3"/>
    <n v="33220"/>
  </r>
  <r>
    <x v="10"/>
    <x v="16"/>
    <s v="Combined Heat and Power, Industrial Power"/>
    <x v="4"/>
    <n v="626"/>
  </r>
  <r>
    <x v="10"/>
    <x v="16"/>
    <s v="Combined Heat and Power, Commercial Power"/>
    <x v="0"/>
    <n v="1818"/>
  </r>
  <r>
    <x v="10"/>
    <x v="16"/>
    <s v="Combined Heat and Power, Commercial Power"/>
    <x v="3"/>
    <n v="1818"/>
  </r>
  <r>
    <x v="10"/>
    <x v="17"/>
    <s v="Total Electric Power Industry"/>
    <x v="0"/>
    <n v="93006083"/>
  </r>
  <r>
    <x v="10"/>
    <x v="17"/>
    <s v="Total Electric Power Industry"/>
    <x v="1"/>
    <n v="90063054"/>
  </r>
  <r>
    <x v="10"/>
    <x v="17"/>
    <s v="Total Electric Power Industry"/>
    <x v="2"/>
    <n v="2324568"/>
  </r>
  <r>
    <x v="10"/>
    <x v="17"/>
    <s v="Total Electric Power Industry"/>
    <x v="3"/>
    <n v="461365"/>
  </r>
  <r>
    <x v="10"/>
    <x v="17"/>
    <s v="Total Electric Power Industry"/>
    <x v="9"/>
    <n v="110"/>
  </r>
  <r>
    <x v="10"/>
    <x v="17"/>
    <s v="Total Electric Power Industry"/>
    <x v="4"/>
    <n v="144693"/>
  </r>
  <r>
    <x v="10"/>
    <x v="17"/>
    <s v="Total Electric Power Industry"/>
    <x v="6"/>
    <n v="12293"/>
  </r>
  <r>
    <x v="10"/>
    <x v="17"/>
    <s v="Electric Generators, Independent Power Producers"/>
    <x v="0"/>
    <n v="11502697"/>
  </r>
  <r>
    <x v="10"/>
    <x v="17"/>
    <s v="Electric Generators, Independent Power Producers"/>
    <x v="1"/>
    <n v="11464218"/>
  </r>
  <r>
    <x v="10"/>
    <x v="17"/>
    <s v="Electric Generators, Independent Power Producers"/>
    <x v="3"/>
    <n v="12552"/>
  </r>
  <r>
    <x v="10"/>
    <x v="17"/>
    <s v="Electric Generators, Independent Power Producers"/>
    <x v="9"/>
    <n v="110"/>
  </r>
  <r>
    <x v="10"/>
    <x v="17"/>
    <s v="Electric Generators, Independent Power Producers"/>
    <x v="4"/>
    <n v="25817"/>
  </r>
  <r>
    <x v="10"/>
    <x v="17"/>
    <s v="Electric Generators, Electric Utilities"/>
    <x v="0"/>
    <n v="81349922"/>
  </r>
  <r>
    <x v="10"/>
    <x v="17"/>
    <s v="Electric Generators, Electric Utilities"/>
    <x v="1"/>
    <n v="78598836"/>
  </r>
  <r>
    <x v="10"/>
    <x v="17"/>
    <s v="Electric Generators, Electric Utilities"/>
    <x v="2"/>
    <n v="2324568"/>
  </r>
  <r>
    <x v="10"/>
    <x v="17"/>
    <s v="Electric Generators, Electric Utilities"/>
    <x v="3"/>
    <n v="307642"/>
  </r>
  <r>
    <x v="10"/>
    <x v="17"/>
    <s v="Electric Generators, Electric Utilities"/>
    <x v="4"/>
    <n v="118876"/>
  </r>
  <r>
    <x v="10"/>
    <x v="17"/>
    <s v="Combined Heat and Power, Industrial Power"/>
    <x v="0"/>
    <n v="153464"/>
  </r>
  <r>
    <x v="10"/>
    <x v="17"/>
    <s v="Combined Heat and Power, Industrial Power"/>
    <x v="3"/>
    <n v="141171"/>
  </r>
  <r>
    <x v="10"/>
    <x v="17"/>
    <s v="Combined Heat and Power, Industrial Power"/>
    <x v="6"/>
    <n v="12293"/>
  </r>
  <r>
    <x v="10"/>
    <x v="18"/>
    <s v="Total Electric Power Industry"/>
    <x v="0"/>
    <n v="92865635"/>
  </r>
  <r>
    <x v="10"/>
    <x v="18"/>
    <s v="Total Electric Power Industry"/>
    <x v="1"/>
    <n v="23488864"/>
  </r>
  <r>
    <x v="10"/>
    <x v="18"/>
    <s v="Total Electric Power Industry"/>
    <x v="2"/>
    <n v="532290"/>
  </r>
  <r>
    <x v="10"/>
    <x v="18"/>
    <s v="Total Electric Power Industry"/>
    <x v="3"/>
    <n v="46129243"/>
  </r>
  <r>
    <x v="10"/>
    <x v="18"/>
    <s v="Total Electric Power Industry"/>
    <x v="7"/>
    <n v="15795739"/>
  </r>
  <r>
    <x v="10"/>
    <x v="18"/>
    <s v="Total Electric Power Industry"/>
    <x v="12"/>
    <n v="452055"/>
  </r>
  <r>
    <x v="10"/>
    <x v="18"/>
    <s v="Total Electric Power Industry"/>
    <x v="8"/>
    <n v="94883"/>
  </r>
  <r>
    <x v="10"/>
    <x v="18"/>
    <s v="Total Electric Power Industry"/>
    <x v="9"/>
    <n v="1598632"/>
  </r>
  <r>
    <x v="10"/>
    <x v="18"/>
    <s v="Total Electric Power Industry"/>
    <x v="4"/>
    <n v="2076360"/>
  </r>
  <r>
    <x v="10"/>
    <x v="18"/>
    <s v="Total Electric Power Industry"/>
    <x v="6"/>
    <n v="2697569"/>
  </r>
  <r>
    <x v="10"/>
    <x v="18"/>
    <s v="Electric Generators, Independent Power Producers"/>
    <x v="0"/>
    <n v="11091323"/>
  </r>
  <r>
    <x v="10"/>
    <x v="18"/>
    <s v="Electric Generators, Independent Power Producers"/>
    <x v="1"/>
    <n v="8974196"/>
  </r>
  <r>
    <x v="10"/>
    <x v="18"/>
    <s v="Electric Generators, Independent Power Producers"/>
    <x v="2"/>
    <n v="532290"/>
  </r>
  <r>
    <x v="10"/>
    <x v="18"/>
    <s v="Electric Generators, Independent Power Producers"/>
    <x v="3"/>
    <n v="1503093"/>
  </r>
  <r>
    <x v="10"/>
    <x v="18"/>
    <s v="Electric Generators, Independent Power Producers"/>
    <x v="8"/>
    <n v="63767"/>
  </r>
  <r>
    <x v="10"/>
    <x v="18"/>
    <s v="Electric Generators, Independent Power Producers"/>
    <x v="4"/>
    <n v="17977"/>
  </r>
  <r>
    <x v="10"/>
    <x v="18"/>
    <s v="Electric Generators, Electric Utilities"/>
    <x v="0"/>
    <n v="57601142"/>
  </r>
  <r>
    <x v="10"/>
    <x v="18"/>
    <s v="Electric Generators, Electric Utilities"/>
    <x v="1"/>
    <n v="14484315"/>
  </r>
  <r>
    <x v="10"/>
    <x v="18"/>
    <s v="Electric Generators, Electric Utilities"/>
    <x v="3"/>
    <n v="26695995"/>
  </r>
  <r>
    <x v="10"/>
    <x v="18"/>
    <s v="Electric Generators, Electric Utilities"/>
    <x v="7"/>
    <n v="15795739"/>
  </r>
  <r>
    <x v="10"/>
    <x v="18"/>
    <s v="Electric Generators, Electric Utilities"/>
    <x v="4"/>
    <n v="625093"/>
  </r>
  <r>
    <x v="10"/>
    <x v="18"/>
    <s v="Combined Heat and Power, Industrial Power"/>
    <x v="0"/>
    <n v="22720521"/>
  </r>
  <r>
    <x v="10"/>
    <x v="18"/>
    <s v="Combined Heat and Power, Industrial Power"/>
    <x v="1"/>
    <n v="30353"/>
  </r>
  <r>
    <x v="10"/>
    <x v="18"/>
    <s v="Combined Heat and Power, Industrial Power"/>
    <x v="3"/>
    <n v="17888542"/>
  </r>
  <r>
    <x v="10"/>
    <x v="18"/>
    <s v="Combined Heat and Power, Industrial Power"/>
    <x v="12"/>
    <n v="452055"/>
  </r>
  <r>
    <x v="10"/>
    <x v="18"/>
    <s v="Combined Heat and Power, Industrial Power"/>
    <x v="8"/>
    <n v="31116"/>
  </r>
  <r>
    <x v="10"/>
    <x v="18"/>
    <s v="Combined Heat and Power, Industrial Power"/>
    <x v="9"/>
    <n v="1598632"/>
  </r>
  <r>
    <x v="10"/>
    <x v="18"/>
    <s v="Combined Heat and Power, Industrial Power"/>
    <x v="4"/>
    <n v="22254"/>
  </r>
  <r>
    <x v="10"/>
    <x v="18"/>
    <s v="Combined Heat and Power, Industrial Power"/>
    <x v="6"/>
    <n v="2697569"/>
  </r>
  <r>
    <x v="10"/>
    <x v="18"/>
    <s v="Combined Heat and Power, Electric Power"/>
    <x v="0"/>
    <n v="1420939"/>
  </r>
  <r>
    <x v="10"/>
    <x v="18"/>
    <s v="Combined Heat and Power, Electric Power"/>
    <x v="3"/>
    <n v="9903"/>
  </r>
  <r>
    <x v="10"/>
    <x v="18"/>
    <s v="Combined Heat and Power, Electric Power"/>
    <x v="4"/>
    <n v="1411036"/>
  </r>
  <r>
    <x v="10"/>
    <x v="18"/>
    <s v="Combined Heat and Power, Commercial Power"/>
    <x v="0"/>
    <n v="31710"/>
  </r>
  <r>
    <x v="10"/>
    <x v="18"/>
    <s v="Combined Heat and Power, Commercial Power"/>
    <x v="3"/>
    <n v="31710"/>
  </r>
  <r>
    <x v="10"/>
    <x v="19"/>
    <s v="Total Electric Power Industry"/>
    <x v="0"/>
    <n v="38697881"/>
  </r>
  <r>
    <x v="10"/>
    <x v="19"/>
    <s v="Total Electric Power Industry"/>
    <x v="1"/>
    <n v="11154272"/>
  </r>
  <r>
    <x v="10"/>
    <x v="19"/>
    <s v="Total Electric Power Industry"/>
    <x v="2"/>
    <n v="1065159"/>
  </r>
  <r>
    <x v="10"/>
    <x v="19"/>
    <s v="Total Electric Power Industry"/>
    <x v="3"/>
    <n v="10707072"/>
  </r>
  <r>
    <x v="10"/>
    <x v="19"/>
    <s v="Total Electric Power Industry"/>
    <x v="7"/>
    <n v="5512255"/>
  </r>
  <r>
    <x v="10"/>
    <x v="19"/>
    <s v="Total Electric Power Industry"/>
    <x v="8"/>
    <n v="2074711"/>
  </r>
  <r>
    <x v="10"/>
    <x v="19"/>
    <s v="Total Electric Power Industry"/>
    <x v="4"/>
    <n v="8762669"/>
  </r>
  <r>
    <x v="10"/>
    <x v="19"/>
    <s v="Total Electric Power Industry"/>
    <x v="10"/>
    <n v="-700364"/>
  </r>
  <r>
    <x v="10"/>
    <x v="19"/>
    <s v="Total Electric Power Industry"/>
    <x v="5"/>
    <n v="0"/>
  </r>
  <r>
    <x v="10"/>
    <x v="19"/>
    <s v="Total Electric Power Industry"/>
    <x v="6"/>
    <n v="122107"/>
  </r>
  <r>
    <x v="10"/>
    <x v="19"/>
    <s v="Electric Generators, Independent Power Producers"/>
    <x v="0"/>
    <n v="30157682"/>
  </r>
  <r>
    <x v="10"/>
    <x v="19"/>
    <s v="Electric Generators, Independent Power Producers"/>
    <x v="1"/>
    <n v="10026899"/>
  </r>
  <r>
    <x v="10"/>
    <x v="19"/>
    <s v="Electric Generators, Independent Power Producers"/>
    <x v="2"/>
    <n v="752918"/>
  </r>
  <r>
    <x v="10"/>
    <x v="19"/>
    <s v="Electric Generators, Independent Power Producers"/>
    <x v="3"/>
    <n v="4075402"/>
  </r>
  <r>
    <x v="10"/>
    <x v="19"/>
    <s v="Electric Generators, Independent Power Producers"/>
    <x v="7"/>
    <n v="5512255"/>
  </r>
  <r>
    <x v="10"/>
    <x v="19"/>
    <s v="Electric Generators, Independent Power Producers"/>
    <x v="8"/>
    <n v="1900260"/>
  </r>
  <r>
    <x v="10"/>
    <x v="19"/>
    <s v="Electric Generators, Independent Power Producers"/>
    <x v="4"/>
    <n v="8347847"/>
  </r>
  <r>
    <x v="10"/>
    <x v="19"/>
    <s v="Electric Generators, Independent Power Producers"/>
    <x v="10"/>
    <n v="-579296"/>
  </r>
  <r>
    <x v="10"/>
    <x v="19"/>
    <s v="Electric Generators, Independent Power Producers"/>
    <x v="6"/>
    <n v="121397"/>
  </r>
  <r>
    <x v="10"/>
    <x v="19"/>
    <s v="Electric Generators, Electric Utilities"/>
    <x v="0"/>
    <n v="1704653"/>
  </r>
  <r>
    <x v="10"/>
    <x v="19"/>
    <s v="Electric Generators, Electric Utilities"/>
    <x v="1"/>
    <n v="1094848"/>
  </r>
  <r>
    <x v="10"/>
    <x v="19"/>
    <s v="Electric Generators, Electric Utilities"/>
    <x v="2"/>
    <n v="299933"/>
  </r>
  <r>
    <x v="10"/>
    <x v="19"/>
    <s v="Electric Generators, Electric Utilities"/>
    <x v="3"/>
    <n v="307009"/>
  </r>
  <r>
    <x v="10"/>
    <x v="19"/>
    <s v="Electric Generators, Electric Utilities"/>
    <x v="4"/>
    <n v="123931"/>
  </r>
  <r>
    <x v="10"/>
    <x v="19"/>
    <s v="Electric Generators, Electric Utilities"/>
    <x v="10"/>
    <n v="-121068"/>
  </r>
  <r>
    <x v="10"/>
    <x v="19"/>
    <s v="Electric Generators, Electric Utilities"/>
    <x v="5"/>
    <n v="0"/>
  </r>
  <r>
    <x v="10"/>
    <x v="19"/>
    <s v="Combined Heat and Power, Industrial Power"/>
    <x v="0"/>
    <n v="428050"/>
  </r>
  <r>
    <x v="10"/>
    <x v="19"/>
    <s v="Combined Heat and Power, Industrial Power"/>
    <x v="1"/>
    <n v="32525"/>
  </r>
  <r>
    <x v="10"/>
    <x v="19"/>
    <s v="Combined Heat and Power, Industrial Power"/>
    <x v="2"/>
    <n v="12308"/>
  </r>
  <r>
    <x v="10"/>
    <x v="19"/>
    <s v="Combined Heat and Power, Industrial Power"/>
    <x v="3"/>
    <n v="301026"/>
  </r>
  <r>
    <x v="10"/>
    <x v="19"/>
    <s v="Combined Heat and Power, Industrial Power"/>
    <x v="4"/>
    <n v="82191"/>
  </r>
  <r>
    <x v="10"/>
    <x v="19"/>
    <s v="Combined Heat and Power, Electric Power"/>
    <x v="0"/>
    <n v="5981293"/>
  </r>
  <r>
    <x v="10"/>
    <x v="19"/>
    <s v="Combined Heat and Power, Electric Power"/>
    <x v="3"/>
    <n v="5714038"/>
  </r>
  <r>
    <x v="10"/>
    <x v="19"/>
    <s v="Combined Heat and Power, Electric Power"/>
    <x v="8"/>
    <n v="149503"/>
  </r>
  <r>
    <x v="10"/>
    <x v="19"/>
    <s v="Combined Heat and Power, Electric Power"/>
    <x v="4"/>
    <n v="117042"/>
  </r>
  <r>
    <x v="10"/>
    <x v="19"/>
    <s v="Combined Heat and Power, Electric Power"/>
    <x v="6"/>
    <n v="710"/>
  </r>
  <r>
    <x v="10"/>
    <x v="19"/>
    <s v="Combined Heat and Power, Commercial Power"/>
    <x v="0"/>
    <n v="426203"/>
  </r>
  <r>
    <x v="10"/>
    <x v="19"/>
    <s v="Combined Heat and Power, Commercial Power"/>
    <x v="3"/>
    <n v="309597"/>
  </r>
  <r>
    <x v="10"/>
    <x v="19"/>
    <s v="Combined Heat and Power, Commercial Power"/>
    <x v="8"/>
    <n v="24948"/>
  </r>
  <r>
    <x v="10"/>
    <x v="19"/>
    <s v="Combined Heat and Power, Commercial Power"/>
    <x v="4"/>
    <n v="91658"/>
  </r>
  <r>
    <x v="10"/>
    <x v="20"/>
    <s v="Total Electric Power Industry"/>
    <x v="0"/>
    <n v="51145380"/>
  </r>
  <r>
    <x v="10"/>
    <x v="20"/>
    <s v="Total Electric Power Industry"/>
    <x v="1"/>
    <n v="29451065"/>
  </r>
  <r>
    <x v="10"/>
    <x v="20"/>
    <s v="Total Electric Power Industry"/>
    <x v="2"/>
    <n v="1732619"/>
  </r>
  <r>
    <x v="10"/>
    <x v="20"/>
    <s v="Total Electric Power Industry"/>
    <x v="3"/>
    <n v="2852876"/>
  </r>
  <r>
    <x v="10"/>
    <x v="20"/>
    <s v="Total Electric Power Industry"/>
    <x v="7"/>
    <n v="13827243"/>
  </r>
  <r>
    <x v="10"/>
    <x v="20"/>
    <s v="Total Electric Power Industry"/>
    <x v="8"/>
    <n v="638830"/>
  </r>
  <r>
    <x v="10"/>
    <x v="20"/>
    <s v="Total Electric Power Industry"/>
    <x v="9"/>
    <n v="74572"/>
  </r>
  <r>
    <x v="10"/>
    <x v="20"/>
    <s v="Total Electric Power Industry"/>
    <x v="4"/>
    <n v="2388595"/>
  </r>
  <r>
    <x v="10"/>
    <x v="20"/>
    <s v="Total Electric Power Industry"/>
    <x v="6"/>
    <n v="179580"/>
  </r>
  <r>
    <x v="10"/>
    <x v="20"/>
    <s v="Electric Generators, Independent Power Producers"/>
    <x v="0"/>
    <n v="15800863"/>
  </r>
  <r>
    <x v="10"/>
    <x v="20"/>
    <s v="Electric Generators, Independent Power Producers"/>
    <x v="1"/>
    <n v="7380159"/>
  </r>
  <r>
    <x v="10"/>
    <x v="20"/>
    <s v="Electric Generators, Independent Power Producers"/>
    <x v="2"/>
    <n v="18635"/>
  </r>
  <r>
    <x v="10"/>
    <x v="20"/>
    <s v="Electric Generators, Independent Power Producers"/>
    <x v="3"/>
    <n v="85470"/>
  </r>
  <r>
    <x v="10"/>
    <x v="20"/>
    <s v="Electric Generators, Independent Power Producers"/>
    <x v="7"/>
    <n v="7503303"/>
  </r>
  <r>
    <x v="10"/>
    <x v="20"/>
    <s v="Electric Generators, Independent Power Producers"/>
    <x v="8"/>
    <n v="346911"/>
  </r>
  <r>
    <x v="10"/>
    <x v="20"/>
    <s v="Electric Generators, Independent Power Producers"/>
    <x v="4"/>
    <n v="466385"/>
  </r>
  <r>
    <x v="10"/>
    <x v="20"/>
    <s v="Electric Generators, Electric Utilities"/>
    <x v="0"/>
    <n v="31783195"/>
  </r>
  <r>
    <x v="10"/>
    <x v="20"/>
    <s v="Electric Generators, Electric Utilities"/>
    <x v="1"/>
    <n v="20353004"/>
  </r>
  <r>
    <x v="10"/>
    <x v="20"/>
    <s v="Electric Generators, Electric Utilities"/>
    <x v="2"/>
    <n v="1713984"/>
  </r>
  <r>
    <x v="10"/>
    <x v="20"/>
    <s v="Electric Generators, Electric Utilities"/>
    <x v="3"/>
    <n v="1884407"/>
  </r>
  <r>
    <x v="10"/>
    <x v="20"/>
    <s v="Electric Generators, Electric Utilities"/>
    <x v="7"/>
    <n v="6323940"/>
  </r>
  <r>
    <x v="10"/>
    <x v="20"/>
    <s v="Electric Generators, Electric Utilities"/>
    <x v="4"/>
    <n v="1507860"/>
  </r>
  <r>
    <x v="10"/>
    <x v="20"/>
    <s v="Combined Heat and Power, Industrial Power"/>
    <x v="0"/>
    <n v="486796"/>
  </r>
  <r>
    <x v="10"/>
    <x v="20"/>
    <s v="Combined Heat and Power, Industrial Power"/>
    <x v="1"/>
    <n v="257415"/>
  </r>
  <r>
    <x v="10"/>
    <x v="20"/>
    <s v="Combined Heat and Power, Industrial Power"/>
    <x v="3"/>
    <n v="52272"/>
  </r>
  <r>
    <x v="10"/>
    <x v="20"/>
    <s v="Combined Heat and Power, Industrial Power"/>
    <x v="4"/>
    <n v="11049"/>
  </r>
  <r>
    <x v="10"/>
    <x v="20"/>
    <s v="Combined Heat and Power, Industrial Power"/>
    <x v="6"/>
    <n v="166060"/>
  </r>
  <r>
    <x v="10"/>
    <x v="20"/>
    <s v="Combined Heat and Power, Electric Power"/>
    <x v="0"/>
    <n v="3050296"/>
  </r>
  <r>
    <x v="10"/>
    <x v="20"/>
    <s v="Combined Heat and Power, Electric Power"/>
    <x v="1"/>
    <n v="1460487"/>
  </r>
  <r>
    <x v="10"/>
    <x v="20"/>
    <s v="Combined Heat and Power, Electric Power"/>
    <x v="3"/>
    <n v="830727"/>
  </r>
  <r>
    <x v="10"/>
    <x v="20"/>
    <s v="Combined Heat and Power, Electric Power"/>
    <x v="8"/>
    <n v="281382"/>
  </r>
  <r>
    <x v="10"/>
    <x v="20"/>
    <s v="Combined Heat and Power, Electric Power"/>
    <x v="9"/>
    <n v="74572"/>
  </r>
  <r>
    <x v="10"/>
    <x v="20"/>
    <s v="Combined Heat and Power, Electric Power"/>
    <x v="4"/>
    <n v="403128"/>
  </r>
  <r>
    <x v="10"/>
    <x v="20"/>
    <s v="Combined Heat and Power, Commercial Power"/>
    <x v="0"/>
    <n v="24230"/>
  </r>
  <r>
    <x v="10"/>
    <x v="20"/>
    <s v="Combined Heat and Power, Commercial Power"/>
    <x v="8"/>
    <n v="10537"/>
  </r>
  <r>
    <x v="10"/>
    <x v="20"/>
    <s v="Combined Heat and Power, Commercial Power"/>
    <x v="4"/>
    <n v="173"/>
  </r>
  <r>
    <x v="10"/>
    <x v="20"/>
    <s v="Combined Heat and Power, Commercial Power"/>
    <x v="6"/>
    <n v="13520"/>
  </r>
  <r>
    <x v="10"/>
    <x v="21"/>
    <s v="Total Electric Power Industry"/>
    <x v="0"/>
    <n v="14047947"/>
  </r>
  <r>
    <x v="10"/>
    <x v="21"/>
    <s v="Total Electric Power Industry"/>
    <x v="1"/>
    <n v="649748"/>
  </r>
  <r>
    <x v="10"/>
    <x v="21"/>
    <s v="Total Electric Power Industry"/>
    <x v="2"/>
    <n v="3590815"/>
  </r>
  <r>
    <x v="10"/>
    <x v="21"/>
    <s v="Total Electric Power Industry"/>
    <x v="3"/>
    <n v="3044440"/>
  </r>
  <r>
    <x v="10"/>
    <x v="21"/>
    <s v="Total Electric Power Industry"/>
    <x v="12"/>
    <n v="143747"/>
  </r>
  <r>
    <x v="10"/>
    <x v="21"/>
    <s v="Total Electric Power Industry"/>
    <x v="8"/>
    <n v="580870"/>
  </r>
  <r>
    <x v="10"/>
    <x v="21"/>
    <s v="Total Electric Power Industry"/>
    <x v="4"/>
    <n v="2797329"/>
  </r>
  <r>
    <x v="10"/>
    <x v="21"/>
    <s v="Total Electric Power Industry"/>
    <x v="6"/>
    <n v="3240998"/>
  </r>
  <r>
    <x v="10"/>
    <x v="21"/>
    <s v="Electric Generators, Independent Power Producers"/>
    <x v="0"/>
    <n v="7619430"/>
  </r>
  <r>
    <x v="10"/>
    <x v="21"/>
    <s v="Electric Generators, Independent Power Producers"/>
    <x v="2"/>
    <n v="2291962"/>
  </r>
  <r>
    <x v="10"/>
    <x v="21"/>
    <s v="Electric Generators, Independent Power Producers"/>
    <x v="3"/>
    <n v="2104192"/>
  </r>
  <r>
    <x v="10"/>
    <x v="21"/>
    <s v="Electric Generators, Independent Power Producers"/>
    <x v="8"/>
    <n v="241599"/>
  </r>
  <r>
    <x v="10"/>
    <x v="21"/>
    <s v="Electric Generators, Independent Power Producers"/>
    <x v="4"/>
    <n v="1865344"/>
  </r>
  <r>
    <x v="10"/>
    <x v="21"/>
    <s v="Electric Generators, Independent Power Producers"/>
    <x v="6"/>
    <n v="1116333"/>
  </r>
  <r>
    <x v="10"/>
    <x v="21"/>
    <s v="Electric Generators, Electric Utilities"/>
    <x v="0"/>
    <n v="2781"/>
  </r>
  <r>
    <x v="10"/>
    <x v="21"/>
    <s v="Electric Generators, Electric Utilities"/>
    <x v="2"/>
    <n v="2781"/>
  </r>
  <r>
    <x v="10"/>
    <x v="21"/>
    <s v="Electric Generators, Electric Utilities"/>
    <x v="4"/>
    <n v="0"/>
  </r>
  <r>
    <x v="10"/>
    <x v="21"/>
    <s v="Combined Heat and Power, Industrial Power"/>
    <x v="0"/>
    <n v="4536343"/>
  </r>
  <r>
    <x v="10"/>
    <x v="21"/>
    <s v="Combined Heat and Power, Industrial Power"/>
    <x v="1"/>
    <n v="311827"/>
  </r>
  <r>
    <x v="10"/>
    <x v="21"/>
    <s v="Combined Heat and Power, Industrial Power"/>
    <x v="2"/>
    <n v="1296072"/>
  </r>
  <r>
    <x v="10"/>
    <x v="21"/>
    <s v="Combined Heat and Power, Industrial Power"/>
    <x v="3"/>
    <n v="62814"/>
  </r>
  <r>
    <x v="10"/>
    <x v="21"/>
    <s v="Combined Heat and Power, Industrial Power"/>
    <x v="12"/>
    <n v="143747"/>
  </r>
  <r>
    <x v="10"/>
    <x v="21"/>
    <s v="Combined Heat and Power, Industrial Power"/>
    <x v="8"/>
    <n v="58562"/>
  </r>
  <r>
    <x v="10"/>
    <x v="21"/>
    <s v="Combined Heat and Power, Industrial Power"/>
    <x v="4"/>
    <n v="844732"/>
  </r>
  <r>
    <x v="10"/>
    <x v="21"/>
    <s v="Combined Heat and Power, Industrial Power"/>
    <x v="6"/>
    <n v="1818589"/>
  </r>
  <r>
    <x v="10"/>
    <x v="21"/>
    <s v="Combined Heat and Power, Electric Power"/>
    <x v="0"/>
    <n v="1691278"/>
  </r>
  <r>
    <x v="10"/>
    <x v="21"/>
    <s v="Combined Heat and Power, Electric Power"/>
    <x v="1"/>
    <n v="337921"/>
  </r>
  <r>
    <x v="10"/>
    <x v="21"/>
    <s v="Combined Heat and Power, Electric Power"/>
    <x v="3"/>
    <n v="877427"/>
  </r>
  <r>
    <x v="10"/>
    <x v="21"/>
    <s v="Combined Heat and Power, Electric Power"/>
    <x v="8"/>
    <n v="101192"/>
  </r>
  <r>
    <x v="10"/>
    <x v="21"/>
    <s v="Combined Heat and Power, Electric Power"/>
    <x v="4"/>
    <n v="81696"/>
  </r>
  <r>
    <x v="10"/>
    <x v="21"/>
    <s v="Combined Heat and Power, Electric Power"/>
    <x v="6"/>
    <n v="293042"/>
  </r>
  <r>
    <x v="10"/>
    <x v="21"/>
    <s v="Combined Heat and Power, Commercial Power"/>
    <x v="0"/>
    <n v="198115"/>
  </r>
  <r>
    <x v="10"/>
    <x v="21"/>
    <s v="Combined Heat and Power, Commercial Power"/>
    <x v="3"/>
    <n v="7"/>
  </r>
  <r>
    <x v="10"/>
    <x v="21"/>
    <s v="Combined Heat and Power, Commercial Power"/>
    <x v="8"/>
    <n v="179517"/>
  </r>
  <r>
    <x v="10"/>
    <x v="21"/>
    <s v="Combined Heat and Power, Commercial Power"/>
    <x v="4"/>
    <n v="5557"/>
  </r>
  <r>
    <x v="10"/>
    <x v="21"/>
    <s v="Combined Heat and Power, Commercial Power"/>
    <x v="6"/>
    <n v="13034"/>
  </r>
  <r>
    <x v="10"/>
    <x v="22"/>
    <s v="Total Electric Power Industry"/>
    <x v="0"/>
    <n v="104209594"/>
  </r>
  <r>
    <x v="10"/>
    <x v="22"/>
    <s v="Total Electric Power Industry"/>
    <x v="1"/>
    <n v="68266999"/>
  </r>
  <r>
    <x v="10"/>
    <x v="22"/>
    <s v="Total Electric Power Industry"/>
    <x v="2"/>
    <n v="1427679"/>
  </r>
  <r>
    <x v="10"/>
    <x v="22"/>
    <s v="Total Electric Power Industry"/>
    <x v="3"/>
    <n v="12607264"/>
  </r>
  <r>
    <x v="10"/>
    <x v="22"/>
    <s v="Total Electric Power Industry"/>
    <x v="7"/>
    <n v="18882432"/>
  </r>
  <r>
    <x v="10"/>
    <x v="22"/>
    <s v="Total Electric Power Industry"/>
    <x v="12"/>
    <n v="61"/>
  </r>
  <r>
    <x v="10"/>
    <x v="22"/>
    <s v="Total Electric Power Industry"/>
    <x v="8"/>
    <n v="1098785"/>
  </r>
  <r>
    <x v="10"/>
    <x v="22"/>
    <s v="Total Electric Power Industry"/>
    <x v="4"/>
    <n v="1189263"/>
  </r>
  <r>
    <x v="10"/>
    <x v="22"/>
    <s v="Total Electric Power Industry"/>
    <x v="10"/>
    <n v="-1053698"/>
  </r>
  <r>
    <x v="10"/>
    <x v="22"/>
    <s v="Total Electric Power Industry"/>
    <x v="5"/>
    <n v="0"/>
  </r>
  <r>
    <x v="10"/>
    <x v="22"/>
    <s v="Total Electric Power Industry"/>
    <x v="6"/>
    <n v="1790809"/>
  </r>
  <r>
    <x v="10"/>
    <x v="22"/>
    <s v="Electric Generators, Independent Power Producers"/>
    <x v="0"/>
    <n v="1751365"/>
  </r>
  <r>
    <x v="10"/>
    <x v="22"/>
    <s v="Electric Generators, Independent Power Producers"/>
    <x v="2"/>
    <n v="72721"/>
  </r>
  <r>
    <x v="10"/>
    <x v="22"/>
    <s v="Electric Generators, Independent Power Producers"/>
    <x v="3"/>
    <n v="61768"/>
  </r>
  <r>
    <x v="10"/>
    <x v="22"/>
    <s v="Electric Generators, Independent Power Producers"/>
    <x v="8"/>
    <n v="595169"/>
  </r>
  <r>
    <x v="10"/>
    <x v="22"/>
    <s v="Electric Generators, Independent Power Producers"/>
    <x v="6"/>
    <n v="1021707"/>
  </r>
  <r>
    <x v="10"/>
    <x v="22"/>
    <s v="Electric Generators, Electric Utilities"/>
    <x v="0"/>
    <n v="89572141"/>
  </r>
  <r>
    <x v="10"/>
    <x v="22"/>
    <s v="Electric Generators, Electric Utilities"/>
    <x v="1"/>
    <n v="66980252"/>
  </r>
  <r>
    <x v="10"/>
    <x v="22"/>
    <s v="Electric Generators, Electric Utilities"/>
    <x v="2"/>
    <n v="1328083"/>
  </r>
  <r>
    <x v="10"/>
    <x v="22"/>
    <s v="Electric Generators, Electric Utilities"/>
    <x v="3"/>
    <n v="2441140"/>
  </r>
  <r>
    <x v="10"/>
    <x v="22"/>
    <s v="Electric Generators, Electric Utilities"/>
    <x v="7"/>
    <n v="18882432"/>
  </r>
  <r>
    <x v="10"/>
    <x v="22"/>
    <s v="Electric Generators, Electric Utilities"/>
    <x v="8"/>
    <n v="0"/>
  </r>
  <r>
    <x v="10"/>
    <x v="22"/>
    <s v="Electric Generators, Electric Utilities"/>
    <x v="4"/>
    <n v="993932"/>
  </r>
  <r>
    <x v="10"/>
    <x v="22"/>
    <s v="Electric Generators, Electric Utilities"/>
    <x v="10"/>
    <n v="-1053698"/>
  </r>
  <r>
    <x v="10"/>
    <x v="22"/>
    <s v="Electric Generators, Electric Utilities"/>
    <x v="5"/>
    <n v="0"/>
  </r>
  <r>
    <x v="10"/>
    <x v="22"/>
    <s v="Combined Heat and Power, Industrial Power"/>
    <x v="0"/>
    <n v="1787762"/>
  </r>
  <r>
    <x v="10"/>
    <x v="22"/>
    <s v="Combined Heat and Power, Industrial Power"/>
    <x v="1"/>
    <n v="556704"/>
  </r>
  <r>
    <x v="10"/>
    <x v="22"/>
    <s v="Combined Heat and Power, Industrial Power"/>
    <x v="2"/>
    <n v="26875"/>
  </r>
  <r>
    <x v="10"/>
    <x v="22"/>
    <s v="Combined Heat and Power, Industrial Power"/>
    <x v="3"/>
    <n v="267616"/>
  </r>
  <r>
    <x v="10"/>
    <x v="22"/>
    <s v="Combined Heat and Power, Industrial Power"/>
    <x v="8"/>
    <n v="3830"/>
  </r>
  <r>
    <x v="10"/>
    <x v="22"/>
    <s v="Combined Heat and Power, Industrial Power"/>
    <x v="4"/>
    <n v="186565"/>
  </r>
  <r>
    <x v="10"/>
    <x v="22"/>
    <s v="Combined Heat and Power, Industrial Power"/>
    <x v="6"/>
    <n v="746172"/>
  </r>
  <r>
    <x v="10"/>
    <x v="22"/>
    <s v="Combined Heat and Power, Electric Power"/>
    <x v="0"/>
    <n v="10476170"/>
  </r>
  <r>
    <x v="10"/>
    <x v="22"/>
    <s v="Combined Heat and Power, Electric Power"/>
    <x v="1"/>
    <n v="472402"/>
  </r>
  <r>
    <x v="10"/>
    <x v="22"/>
    <s v="Combined Heat and Power, Electric Power"/>
    <x v="3"/>
    <n v="9818506"/>
  </r>
  <r>
    <x v="10"/>
    <x v="22"/>
    <s v="Combined Heat and Power, Electric Power"/>
    <x v="8"/>
    <n v="159411"/>
  </r>
  <r>
    <x v="10"/>
    <x v="22"/>
    <s v="Combined Heat and Power, Electric Power"/>
    <x v="4"/>
    <n v="2921"/>
  </r>
  <r>
    <x v="10"/>
    <x v="22"/>
    <s v="Combined Heat and Power, Electric Power"/>
    <x v="6"/>
    <n v="22930"/>
  </r>
  <r>
    <x v="10"/>
    <x v="22"/>
    <s v="Combined Heat and Power, Commercial Power"/>
    <x v="0"/>
    <n v="622156"/>
  </r>
  <r>
    <x v="10"/>
    <x v="22"/>
    <s v="Combined Heat and Power, Commercial Power"/>
    <x v="1"/>
    <n v="257641"/>
  </r>
  <r>
    <x v="10"/>
    <x v="22"/>
    <s v="Combined Heat and Power, Commercial Power"/>
    <x v="3"/>
    <n v="18234"/>
  </r>
  <r>
    <x v="10"/>
    <x v="22"/>
    <s v="Combined Heat and Power, Commercial Power"/>
    <x v="12"/>
    <n v="61"/>
  </r>
  <r>
    <x v="10"/>
    <x v="22"/>
    <s v="Combined Heat and Power, Commercial Power"/>
    <x v="8"/>
    <n v="340375"/>
  </r>
  <r>
    <x v="10"/>
    <x v="22"/>
    <s v="Combined Heat and Power, Commercial Power"/>
    <x v="4"/>
    <n v="5845"/>
  </r>
  <r>
    <x v="10"/>
    <x v="23"/>
    <s v="Total Electric Power Industry"/>
    <x v="0"/>
    <n v="51423339"/>
  </r>
  <r>
    <x v="10"/>
    <x v="23"/>
    <s v="Total Electric Power Industry"/>
    <x v="1"/>
    <n v="33748088"/>
  </r>
  <r>
    <x v="10"/>
    <x v="23"/>
    <s v="Total Electric Power Industry"/>
    <x v="2"/>
    <n v="931383"/>
  </r>
  <r>
    <x v="10"/>
    <x v="23"/>
    <s v="Total Electric Power Industry"/>
    <x v="3"/>
    <n v="1265021"/>
  </r>
  <r>
    <x v="10"/>
    <x v="23"/>
    <s v="Total Electric Power Industry"/>
    <x v="7"/>
    <n v="12959976"/>
  </r>
  <r>
    <x v="10"/>
    <x v="23"/>
    <s v="Total Electric Power Industry"/>
    <x v="8"/>
    <n v="797222"/>
  </r>
  <r>
    <x v="10"/>
    <x v="23"/>
    <s v="Total Electric Power Industry"/>
    <x v="4"/>
    <n v="474777"/>
  </r>
  <r>
    <x v="10"/>
    <x v="23"/>
    <s v="Total Electric Power Industry"/>
    <x v="5"/>
    <n v="724524"/>
  </r>
  <r>
    <x v="10"/>
    <x v="23"/>
    <s v="Total Electric Power Industry"/>
    <x v="6"/>
    <n v="522348"/>
  </r>
  <r>
    <x v="10"/>
    <x v="23"/>
    <s v="Electric Generators, Independent Power Producers"/>
    <x v="0"/>
    <n v="1067260"/>
  </r>
  <r>
    <x v="10"/>
    <x v="23"/>
    <s v="Electric Generators, Independent Power Producers"/>
    <x v="2"/>
    <n v="48331"/>
  </r>
  <r>
    <x v="10"/>
    <x v="23"/>
    <s v="Electric Generators, Independent Power Producers"/>
    <x v="8"/>
    <n v="294405"/>
  </r>
  <r>
    <x v="10"/>
    <x v="23"/>
    <s v="Electric Generators, Independent Power Producers"/>
    <x v="4"/>
    <n v="0"/>
  </r>
  <r>
    <x v="10"/>
    <x v="23"/>
    <s v="Electric Generators, Independent Power Producers"/>
    <x v="5"/>
    <n v="724524"/>
  </r>
  <r>
    <x v="10"/>
    <x v="23"/>
    <s v="Electric Generators, Electric Utilities"/>
    <x v="0"/>
    <n v="46615673"/>
  </r>
  <r>
    <x v="10"/>
    <x v="23"/>
    <s v="Electric Generators, Electric Utilities"/>
    <x v="1"/>
    <n v="31731081"/>
  </r>
  <r>
    <x v="10"/>
    <x v="23"/>
    <s v="Electric Generators, Electric Utilities"/>
    <x v="2"/>
    <n v="635541"/>
  </r>
  <r>
    <x v="10"/>
    <x v="23"/>
    <s v="Electric Generators, Electric Utilities"/>
    <x v="3"/>
    <n v="433177"/>
  </r>
  <r>
    <x v="10"/>
    <x v="23"/>
    <s v="Electric Generators, Electric Utilities"/>
    <x v="7"/>
    <n v="12959976"/>
  </r>
  <r>
    <x v="10"/>
    <x v="23"/>
    <s v="Electric Generators, Electric Utilities"/>
    <x v="8"/>
    <n v="415634"/>
  </r>
  <r>
    <x v="10"/>
    <x v="23"/>
    <s v="Electric Generators, Electric Utilities"/>
    <x v="4"/>
    <n v="440264"/>
  </r>
  <r>
    <x v="10"/>
    <x v="23"/>
    <s v="Electric Generators, Electric Utilities"/>
    <x v="5"/>
    <n v="0"/>
  </r>
  <r>
    <x v="10"/>
    <x v="23"/>
    <s v="Electric Generators, Electric Utilities"/>
    <x v="6"/>
    <n v="0"/>
  </r>
  <r>
    <x v="10"/>
    <x v="23"/>
    <s v="Combined Heat and Power, Industrial Power"/>
    <x v="0"/>
    <n v="3008198"/>
  </r>
  <r>
    <x v="10"/>
    <x v="23"/>
    <s v="Combined Heat and Power, Industrial Power"/>
    <x v="1"/>
    <n v="2017007"/>
  </r>
  <r>
    <x v="10"/>
    <x v="23"/>
    <s v="Combined Heat and Power, Industrial Power"/>
    <x v="2"/>
    <n v="247511"/>
  </r>
  <r>
    <x v="10"/>
    <x v="23"/>
    <s v="Combined Heat and Power, Industrial Power"/>
    <x v="3"/>
    <n v="205847"/>
  </r>
  <r>
    <x v="10"/>
    <x v="23"/>
    <s v="Combined Heat and Power, Industrial Power"/>
    <x v="8"/>
    <n v="7707"/>
  </r>
  <r>
    <x v="10"/>
    <x v="23"/>
    <s v="Combined Heat and Power, Industrial Power"/>
    <x v="4"/>
    <n v="7778"/>
  </r>
  <r>
    <x v="10"/>
    <x v="23"/>
    <s v="Combined Heat and Power, Industrial Power"/>
    <x v="6"/>
    <n v="522348"/>
  </r>
  <r>
    <x v="10"/>
    <x v="23"/>
    <s v="Combined Heat and Power, Electric Power"/>
    <x v="0"/>
    <n v="605049"/>
  </r>
  <r>
    <x v="10"/>
    <x v="23"/>
    <s v="Combined Heat and Power, Electric Power"/>
    <x v="3"/>
    <n v="523228"/>
  </r>
  <r>
    <x v="10"/>
    <x v="23"/>
    <s v="Combined Heat and Power, Electric Power"/>
    <x v="8"/>
    <n v="62567"/>
  </r>
  <r>
    <x v="10"/>
    <x v="23"/>
    <s v="Combined Heat and Power, Electric Power"/>
    <x v="4"/>
    <n v="19254"/>
  </r>
  <r>
    <x v="10"/>
    <x v="23"/>
    <s v="Combined Heat and Power, Commercial Power"/>
    <x v="0"/>
    <n v="127159"/>
  </r>
  <r>
    <x v="10"/>
    <x v="23"/>
    <s v="Combined Heat and Power, Commercial Power"/>
    <x v="3"/>
    <n v="102769"/>
  </r>
  <r>
    <x v="10"/>
    <x v="23"/>
    <s v="Combined Heat and Power, Commercial Power"/>
    <x v="8"/>
    <n v="16909"/>
  </r>
  <r>
    <x v="10"/>
    <x v="23"/>
    <s v="Combined Heat and Power, Commercial Power"/>
    <x v="4"/>
    <n v="7481"/>
  </r>
  <r>
    <x v="10"/>
    <x v="24"/>
    <s v="Total Electric Power Industry"/>
    <x v="0"/>
    <n v="76593939"/>
  </r>
  <r>
    <x v="10"/>
    <x v="24"/>
    <s v="Total Electric Power Industry"/>
    <x v="1"/>
    <n v="62903557"/>
  </r>
  <r>
    <x v="10"/>
    <x v="24"/>
    <s v="Total Electric Power Industry"/>
    <x v="2"/>
    <n v="599920"/>
  </r>
  <r>
    <x v="10"/>
    <x v="24"/>
    <s v="Total Electric Power Industry"/>
    <x v="3"/>
    <n v="2955141"/>
  </r>
  <r>
    <x v="10"/>
    <x v="24"/>
    <s v="Total Electric Power Industry"/>
    <x v="7"/>
    <n v="9991845"/>
  </r>
  <r>
    <x v="10"/>
    <x v="24"/>
    <s v="Total Electric Power Industry"/>
    <x v="8"/>
    <n v="82853"/>
  </r>
  <r>
    <x v="10"/>
    <x v="24"/>
    <s v="Total Electric Power Industry"/>
    <x v="4"/>
    <n v="252718"/>
  </r>
  <r>
    <x v="10"/>
    <x v="24"/>
    <s v="Total Electric Power Industry"/>
    <x v="10"/>
    <n v="-192095"/>
  </r>
  <r>
    <x v="10"/>
    <x v="24"/>
    <s v="Electric Generators, Electric Utilities"/>
    <x v="0"/>
    <n v="76283550"/>
  </r>
  <r>
    <x v="10"/>
    <x v="24"/>
    <s v="Electric Generators, Electric Utilities"/>
    <x v="1"/>
    <n v="62624807"/>
  </r>
  <r>
    <x v="10"/>
    <x v="24"/>
    <s v="Electric Generators, Electric Utilities"/>
    <x v="2"/>
    <n v="599920"/>
  </r>
  <r>
    <x v="10"/>
    <x v="24"/>
    <s v="Electric Generators, Electric Utilities"/>
    <x v="3"/>
    <n v="2938356"/>
  </r>
  <r>
    <x v="10"/>
    <x v="24"/>
    <s v="Electric Generators, Electric Utilities"/>
    <x v="7"/>
    <n v="9991845"/>
  </r>
  <r>
    <x v="10"/>
    <x v="24"/>
    <s v="Electric Generators, Electric Utilities"/>
    <x v="8"/>
    <n v="73095"/>
  </r>
  <r>
    <x v="10"/>
    <x v="24"/>
    <s v="Electric Generators, Electric Utilities"/>
    <x v="4"/>
    <n v="247622"/>
  </r>
  <r>
    <x v="10"/>
    <x v="24"/>
    <s v="Electric Generators, Electric Utilities"/>
    <x v="10"/>
    <n v="-192095"/>
  </r>
  <r>
    <x v="10"/>
    <x v="24"/>
    <s v="Combined Heat and Power, Industrial Power"/>
    <x v="0"/>
    <n v="165105"/>
  </r>
  <r>
    <x v="10"/>
    <x v="24"/>
    <s v="Combined Heat and Power, Industrial Power"/>
    <x v="1"/>
    <n v="150548"/>
  </r>
  <r>
    <x v="10"/>
    <x v="24"/>
    <s v="Combined Heat and Power, Industrial Power"/>
    <x v="3"/>
    <n v="5994"/>
  </r>
  <r>
    <x v="10"/>
    <x v="24"/>
    <s v="Combined Heat and Power, Industrial Power"/>
    <x v="8"/>
    <n v="7708"/>
  </r>
  <r>
    <x v="10"/>
    <x v="24"/>
    <s v="Combined Heat and Power, Industrial Power"/>
    <x v="4"/>
    <n v="855"/>
  </r>
  <r>
    <x v="10"/>
    <x v="24"/>
    <s v="Combined Heat and Power, Commercial Power"/>
    <x v="0"/>
    <n v="145284"/>
  </r>
  <r>
    <x v="10"/>
    <x v="24"/>
    <s v="Combined Heat and Power, Commercial Power"/>
    <x v="1"/>
    <n v="128202"/>
  </r>
  <r>
    <x v="10"/>
    <x v="24"/>
    <s v="Combined Heat and Power, Commercial Power"/>
    <x v="3"/>
    <n v="10791"/>
  </r>
  <r>
    <x v="10"/>
    <x v="24"/>
    <s v="Combined Heat and Power, Commercial Power"/>
    <x v="8"/>
    <n v="2050"/>
  </r>
  <r>
    <x v="10"/>
    <x v="24"/>
    <s v="Combined Heat and Power, Commercial Power"/>
    <x v="4"/>
    <n v="4241"/>
  </r>
  <r>
    <x v="10"/>
    <x v="25"/>
    <s v="Total Electric Power Industry"/>
    <x v="0"/>
    <n v="37614563"/>
  </r>
  <r>
    <x v="10"/>
    <x v="25"/>
    <s v="Total Electric Power Industry"/>
    <x v="1"/>
    <n v="13877065"/>
  </r>
  <r>
    <x v="10"/>
    <x v="25"/>
    <s v="Total Electric Power Industry"/>
    <x v="3"/>
    <n v="8381109"/>
  </r>
  <r>
    <x v="10"/>
    <x v="25"/>
    <s v="Total Electric Power Industry"/>
    <x v="7"/>
    <n v="10694555"/>
  </r>
  <r>
    <x v="10"/>
    <x v="25"/>
    <s v="Total Electric Power Industry"/>
    <x v="8"/>
    <n v="218"/>
  </r>
  <r>
    <x v="10"/>
    <x v="25"/>
    <s v="Total Electric Power Industry"/>
    <x v="4"/>
    <n v="2981530"/>
  </r>
  <r>
    <x v="10"/>
    <x v="25"/>
    <s v="Total Electric Power Industry"/>
    <x v="6"/>
    <n v="1680086"/>
  </r>
  <r>
    <x v="10"/>
    <x v="25"/>
    <s v="Electric Generators, Independent Power Producers"/>
    <x v="0"/>
    <n v="1403816"/>
  </r>
  <r>
    <x v="10"/>
    <x v="25"/>
    <s v="Electric Generators, Independent Power Producers"/>
    <x v="3"/>
    <n v="1403816"/>
  </r>
  <r>
    <x v="10"/>
    <x v="25"/>
    <s v="Electric Generators, Electric Utilities"/>
    <x v="0"/>
    <n v="33896003"/>
  </r>
  <r>
    <x v="10"/>
    <x v="25"/>
    <s v="Electric Generators, Electric Utilities"/>
    <x v="1"/>
    <n v="13877065"/>
  </r>
  <r>
    <x v="10"/>
    <x v="25"/>
    <s v="Electric Generators, Electric Utilities"/>
    <x v="3"/>
    <n v="6353707"/>
  </r>
  <r>
    <x v="10"/>
    <x v="25"/>
    <s v="Electric Generators, Electric Utilities"/>
    <x v="7"/>
    <n v="10694555"/>
  </r>
  <r>
    <x v="10"/>
    <x v="25"/>
    <s v="Electric Generators, Electric Utilities"/>
    <x v="4"/>
    <n v="2970676"/>
  </r>
  <r>
    <x v="10"/>
    <x v="25"/>
    <s v="Combined Heat and Power, Industrial Power"/>
    <x v="0"/>
    <n v="2288946"/>
  </r>
  <r>
    <x v="10"/>
    <x v="25"/>
    <s v="Combined Heat and Power, Industrial Power"/>
    <x v="3"/>
    <n v="599374"/>
  </r>
  <r>
    <x v="10"/>
    <x v="25"/>
    <s v="Combined Heat and Power, Industrial Power"/>
    <x v="8"/>
    <n v="218"/>
  </r>
  <r>
    <x v="10"/>
    <x v="25"/>
    <s v="Combined Heat and Power, Industrial Power"/>
    <x v="4"/>
    <n v="9268"/>
  </r>
  <r>
    <x v="10"/>
    <x v="25"/>
    <s v="Combined Heat and Power, Industrial Power"/>
    <x v="6"/>
    <n v="1680086"/>
  </r>
  <r>
    <x v="10"/>
    <x v="25"/>
    <s v="Combined Heat and Power, Commercial Power"/>
    <x v="0"/>
    <n v="25798"/>
  </r>
  <r>
    <x v="10"/>
    <x v="25"/>
    <s v="Combined Heat and Power, Commercial Power"/>
    <x v="3"/>
    <n v="24212"/>
  </r>
  <r>
    <x v="10"/>
    <x v="25"/>
    <s v="Combined Heat and Power, Commercial Power"/>
    <x v="4"/>
    <n v="1586"/>
  </r>
  <r>
    <x v="10"/>
    <x v="26"/>
    <s v="Total Electric Power Industry"/>
    <x v="0"/>
    <n v="26451828"/>
  </r>
  <r>
    <x v="10"/>
    <x v="26"/>
    <s v="Total Electric Power Industry"/>
    <x v="1"/>
    <n v="16200839"/>
  </r>
  <r>
    <x v="10"/>
    <x v="26"/>
    <s v="Total Electric Power Industry"/>
    <x v="2"/>
    <n v="9623257"/>
  </r>
  <r>
    <x v="10"/>
    <x v="26"/>
    <s v="Total Electric Power Industry"/>
    <x v="3"/>
    <n v="26607"/>
  </r>
  <r>
    <x v="10"/>
    <x v="26"/>
    <s v="Total Electric Power Industry"/>
    <x v="9"/>
    <n v="34311"/>
  </r>
  <r>
    <x v="10"/>
    <x v="26"/>
    <s v="Total Electric Power Industry"/>
    <x v="4"/>
    <n v="519891"/>
  </r>
  <r>
    <x v="10"/>
    <x v="26"/>
    <s v="Total Electric Power Industry"/>
    <x v="6"/>
    <n v="46923"/>
  </r>
  <r>
    <x v="10"/>
    <x v="26"/>
    <s v="Electric Generators, Independent Power Producers"/>
    <x v="0"/>
    <n v="19275321"/>
  </r>
  <r>
    <x v="10"/>
    <x v="26"/>
    <s v="Electric Generators, Independent Power Producers"/>
    <x v="1"/>
    <n v="15877082"/>
  </r>
  <r>
    <x v="10"/>
    <x v="26"/>
    <s v="Electric Generators, Independent Power Producers"/>
    <x v="2"/>
    <n v="3333529"/>
  </r>
  <r>
    <x v="10"/>
    <x v="26"/>
    <s v="Electric Generators, Independent Power Producers"/>
    <x v="9"/>
    <n v="15033"/>
  </r>
  <r>
    <x v="10"/>
    <x v="26"/>
    <s v="Electric Generators, Independent Power Producers"/>
    <x v="4"/>
    <n v="49677"/>
  </r>
  <r>
    <x v="10"/>
    <x v="26"/>
    <s v="Electric Generators, Electric Utilities"/>
    <x v="0"/>
    <n v="6627410"/>
  </r>
  <r>
    <x v="10"/>
    <x v="26"/>
    <s v="Electric Generators, Electric Utilities"/>
    <x v="1"/>
    <n v="323757"/>
  </r>
  <r>
    <x v="10"/>
    <x v="26"/>
    <s v="Electric Generators, Electric Utilities"/>
    <x v="2"/>
    <n v="6289728"/>
  </r>
  <r>
    <x v="10"/>
    <x v="26"/>
    <s v="Electric Generators, Electric Utilities"/>
    <x v="3"/>
    <n v="13438"/>
  </r>
  <r>
    <x v="10"/>
    <x v="26"/>
    <s v="Electric Generators, Electric Utilities"/>
    <x v="4"/>
    <n v="487"/>
  </r>
  <r>
    <x v="10"/>
    <x v="26"/>
    <s v="Combined Heat and Power, Industrial Power"/>
    <x v="0"/>
    <n v="62661"/>
  </r>
  <r>
    <x v="10"/>
    <x v="26"/>
    <s v="Combined Heat and Power, Industrial Power"/>
    <x v="3"/>
    <n v="13169"/>
  </r>
  <r>
    <x v="10"/>
    <x v="26"/>
    <s v="Combined Heat and Power, Industrial Power"/>
    <x v="9"/>
    <n v="2183"/>
  </r>
  <r>
    <x v="10"/>
    <x v="26"/>
    <s v="Combined Heat and Power, Industrial Power"/>
    <x v="4"/>
    <n v="386"/>
  </r>
  <r>
    <x v="10"/>
    <x v="26"/>
    <s v="Combined Heat and Power, Industrial Power"/>
    <x v="6"/>
    <n v="46923"/>
  </r>
  <r>
    <x v="10"/>
    <x v="26"/>
    <s v="Combined Heat and Power, Electric Power"/>
    <x v="0"/>
    <n v="486436"/>
  </r>
  <r>
    <x v="10"/>
    <x v="26"/>
    <s v="Combined Heat and Power, Electric Power"/>
    <x v="9"/>
    <n v="17095"/>
  </r>
  <r>
    <x v="10"/>
    <x v="26"/>
    <s v="Combined Heat and Power, Electric Power"/>
    <x v="4"/>
    <n v="469341"/>
  </r>
  <r>
    <x v="10"/>
    <x v="27"/>
    <s v="Total Electric Power Industry"/>
    <x v="0"/>
    <n v="122274356"/>
  </r>
  <r>
    <x v="10"/>
    <x v="27"/>
    <s v="Total Electric Power Industry"/>
    <x v="1"/>
    <n v="75945463"/>
  </r>
  <r>
    <x v="10"/>
    <x v="27"/>
    <s v="Total Electric Power Industry"/>
    <x v="2"/>
    <n v="3137816"/>
  </r>
  <r>
    <x v="10"/>
    <x v="27"/>
    <s v="Total Electric Power Industry"/>
    <x v="3"/>
    <n v="1130253"/>
  </r>
  <r>
    <x v="10"/>
    <x v="27"/>
    <s v="Total Electric Power Industry"/>
    <x v="7"/>
    <n v="39126881"/>
  </r>
  <r>
    <x v="10"/>
    <x v="27"/>
    <s v="Total Electric Power Industry"/>
    <x v="12"/>
    <n v="226443"/>
  </r>
  <r>
    <x v="10"/>
    <x v="27"/>
    <s v="Total Electric Power Industry"/>
    <x v="8"/>
    <n v="109376"/>
  </r>
  <r>
    <x v="10"/>
    <x v="27"/>
    <s v="Total Electric Power Industry"/>
    <x v="4"/>
    <n v="825831"/>
  </r>
  <r>
    <x v="10"/>
    <x v="27"/>
    <s v="Total Electric Power Industry"/>
    <x v="10"/>
    <n v="108102"/>
  </r>
  <r>
    <x v="10"/>
    <x v="27"/>
    <s v="Total Electric Power Industry"/>
    <x v="6"/>
    <n v="1664191"/>
  </r>
  <r>
    <x v="10"/>
    <x v="27"/>
    <s v="Electric Generators, Independent Power Producers"/>
    <x v="0"/>
    <n v="693279"/>
  </r>
  <r>
    <x v="10"/>
    <x v="27"/>
    <s v="Electric Generators, Independent Power Producers"/>
    <x v="2"/>
    <n v="20597"/>
  </r>
  <r>
    <x v="10"/>
    <x v="27"/>
    <s v="Electric Generators, Independent Power Producers"/>
    <x v="3"/>
    <n v="181646"/>
  </r>
  <r>
    <x v="10"/>
    <x v="27"/>
    <s v="Electric Generators, Independent Power Producers"/>
    <x v="8"/>
    <n v="69623"/>
  </r>
  <r>
    <x v="10"/>
    <x v="27"/>
    <s v="Electric Generators, Independent Power Producers"/>
    <x v="4"/>
    <n v="49727"/>
  </r>
  <r>
    <x v="10"/>
    <x v="27"/>
    <s v="Electric Generators, Independent Power Producers"/>
    <x v="6"/>
    <n v="371686"/>
  </r>
  <r>
    <x v="10"/>
    <x v="27"/>
    <s v="Electric Generators, Electric Utilities"/>
    <x v="0"/>
    <n v="114433191"/>
  </r>
  <r>
    <x v="10"/>
    <x v="27"/>
    <s v="Electric Generators, Electric Utilities"/>
    <x v="1"/>
    <n v="71719489"/>
  </r>
  <r>
    <x v="10"/>
    <x v="27"/>
    <s v="Electric Generators, Electric Utilities"/>
    <x v="2"/>
    <n v="2171100"/>
  </r>
  <r>
    <x v="10"/>
    <x v="27"/>
    <s v="Electric Generators, Electric Utilities"/>
    <x v="3"/>
    <n v="839137"/>
  </r>
  <r>
    <x v="10"/>
    <x v="27"/>
    <s v="Electric Generators, Electric Utilities"/>
    <x v="7"/>
    <n v="39126881"/>
  </r>
  <r>
    <x v="10"/>
    <x v="27"/>
    <s v="Electric Generators, Electric Utilities"/>
    <x v="4"/>
    <n v="468482"/>
  </r>
  <r>
    <x v="10"/>
    <x v="27"/>
    <s v="Electric Generators, Electric Utilities"/>
    <x v="10"/>
    <n v="108102"/>
  </r>
  <r>
    <x v="10"/>
    <x v="27"/>
    <s v="Combined Heat and Power, Industrial Power"/>
    <x v="0"/>
    <n v="3731876"/>
  </r>
  <r>
    <x v="10"/>
    <x v="27"/>
    <s v="Combined Heat and Power, Industrial Power"/>
    <x v="1"/>
    <n v="962462"/>
  </r>
  <r>
    <x v="10"/>
    <x v="27"/>
    <s v="Combined Heat and Power, Industrial Power"/>
    <x v="2"/>
    <n v="935711"/>
  </r>
  <r>
    <x v="10"/>
    <x v="27"/>
    <s v="Combined Heat and Power, Industrial Power"/>
    <x v="3"/>
    <n v="28725"/>
  </r>
  <r>
    <x v="10"/>
    <x v="27"/>
    <s v="Combined Heat and Power, Industrial Power"/>
    <x v="12"/>
    <n v="226443"/>
  </r>
  <r>
    <x v="10"/>
    <x v="27"/>
    <s v="Combined Heat and Power, Industrial Power"/>
    <x v="8"/>
    <n v="11232"/>
  </r>
  <r>
    <x v="10"/>
    <x v="27"/>
    <s v="Combined Heat and Power, Industrial Power"/>
    <x v="4"/>
    <n v="274798"/>
  </r>
  <r>
    <x v="10"/>
    <x v="27"/>
    <s v="Combined Heat and Power, Industrial Power"/>
    <x v="6"/>
    <n v="1292505"/>
  </r>
  <r>
    <x v="10"/>
    <x v="27"/>
    <s v="Combined Heat and Power, Electric Power"/>
    <x v="0"/>
    <n v="3287468"/>
  </r>
  <r>
    <x v="10"/>
    <x v="27"/>
    <s v="Combined Heat and Power, Electric Power"/>
    <x v="1"/>
    <n v="3149155"/>
  </r>
  <r>
    <x v="10"/>
    <x v="27"/>
    <s v="Combined Heat and Power, Electric Power"/>
    <x v="3"/>
    <n v="77649"/>
  </r>
  <r>
    <x v="10"/>
    <x v="27"/>
    <s v="Combined Heat and Power, Electric Power"/>
    <x v="8"/>
    <n v="28521"/>
  </r>
  <r>
    <x v="10"/>
    <x v="27"/>
    <s v="Combined Heat and Power, Electric Power"/>
    <x v="4"/>
    <n v="32143"/>
  </r>
  <r>
    <x v="10"/>
    <x v="27"/>
    <s v="Combined Heat and Power, Commercial Power"/>
    <x v="0"/>
    <n v="128542"/>
  </r>
  <r>
    <x v="10"/>
    <x v="27"/>
    <s v="Combined Heat and Power, Commercial Power"/>
    <x v="1"/>
    <n v="114357"/>
  </r>
  <r>
    <x v="10"/>
    <x v="27"/>
    <s v="Combined Heat and Power, Commercial Power"/>
    <x v="2"/>
    <n v="10408"/>
  </r>
  <r>
    <x v="10"/>
    <x v="27"/>
    <s v="Combined Heat and Power, Commercial Power"/>
    <x v="3"/>
    <n v="3096"/>
  </r>
  <r>
    <x v="10"/>
    <x v="27"/>
    <s v="Combined Heat and Power, Commercial Power"/>
    <x v="4"/>
    <n v="681"/>
  </r>
  <r>
    <x v="10"/>
    <x v="28"/>
    <s v="Total Electric Power Industry"/>
    <x v="0"/>
    <n v="31311196"/>
  </r>
  <r>
    <x v="10"/>
    <x v="28"/>
    <s v="Total Electric Power Industry"/>
    <x v="1"/>
    <n v="29069203"/>
  </r>
  <r>
    <x v="10"/>
    <x v="28"/>
    <s v="Total Electric Power Industry"/>
    <x v="2"/>
    <n v="2122561"/>
  </r>
  <r>
    <x v="10"/>
    <x v="28"/>
    <s v="Total Electric Power Industry"/>
    <x v="3"/>
    <n v="2087"/>
  </r>
  <r>
    <x v="10"/>
    <x v="28"/>
    <s v="Total Electric Power Industry"/>
    <x v="8"/>
    <n v="7975"/>
  </r>
  <r>
    <x v="10"/>
    <x v="28"/>
    <s v="Total Electric Power Industry"/>
    <x v="9"/>
    <n v="48413"/>
  </r>
  <r>
    <x v="10"/>
    <x v="28"/>
    <s v="Total Electric Power Industry"/>
    <x v="4"/>
    <n v="60957"/>
  </r>
  <r>
    <x v="10"/>
    <x v="28"/>
    <s v="Electric Generators, Electric Utilities"/>
    <x v="0"/>
    <n v="31122917"/>
  </r>
  <r>
    <x v="10"/>
    <x v="28"/>
    <s v="Electric Generators, Electric Utilities"/>
    <x v="1"/>
    <n v="28952976"/>
  </r>
  <r>
    <x v="10"/>
    <x v="28"/>
    <s v="Electric Generators, Electric Utilities"/>
    <x v="2"/>
    <n v="2122561"/>
  </r>
  <r>
    <x v="10"/>
    <x v="28"/>
    <s v="Electric Generators, Electric Utilities"/>
    <x v="3"/>
    <n v="-77"/>
  </r>
  <r>
    <x v="10"/>
    <x v="28"/>
    <s v="Electric Generators, Electric Utilities"/>
    <x v="4"/>
    <n v="47457"/>
  </r>
  <r>
    <x v="10"/>
    <x v="28"/>
    <s v="Combined Heat and Power, Industrial Power"/>
    <x v="0"/>
    <n v="188279"/>
  </r>
  <r>
    <x v="10"/>
    <x v="28"/>
    <s v="Combined Heat and Power, Industrial Power"/>
    <x v="1"/>
    <n v="116227"/>
  </r>
  <r>
    <x v="10"/>
    <x v="28"/>
    <s v="Combined Heat and Power, Industrial Power"/>
    <x v="3"/>
    <n v="2164"/>
  </r>
  <r>
    <x v="10"/>
    <x v="28"/>
    <s v="Combined Heat and Power, Industrial Power"/>
    <x v="8"/>
    <n v="7975"/>
  </r>
  <r>
    <x v="10"/>
    <x v="28"/>
    <s v="Combined Heat and Power, Industrial Power"/>
    <x v="9"/>
    <n v="48413"/>
  </r>
  <r>
    <x v="10"/>
    <x v="28"/>
    <s v="Combined Heat and Power, Industrial Power"/>
    <x v="4"/>
    <n v="13500"/>
  </r>
  <r>
    <x v="10"/>
    <x v="29"/>
    <s v="Total Electric Power Industry"/>
    <x v="0"/>
    <n v="29109863"/>
  </r>
  <r>
    <x v="10"/>
    <x v="29"/>
    <s v="Total Electric Power Industry"/>
    <x v="1"/>
    <n v="18457933"/>
  </r>
  <r>
    <x v="10"/>
    <x v="29"/>
    <s v="Total Electric Power Industry"/>
    <x v="2"/>
    <n v="1500724"/>
  </r>
  <r>
    <x v="10"/>
    <x v="29"/>
    <s v="Total Electric Power Industry"/>
    <x v="3"/>
    <n v="451354"/>
  </r>
  <r>
    <x v="10"/>
    <x v="29"/>
    <s v="Total Electric Power Industry"/>
    <x v="7"/>
    <n v="8628679"/>
  </r>
  <r>
    <x v="10"/>
    <x v="29"/>
    <s v="Total Electric Power Industry"/>
    <x v="8"/>
    <n v="16514"/>
  </r>
  <r>
    <x v="10"/>
    <x v="29"/>
    <s v="Total Electric Power Industry"/>
    <x v="4"/>
    <n v="54659"/>
  </r>
  <r>
    <x v="10"/>
    <x v="29"/>
    <s v="Total Electric Power Industry"/>
    <x v="5"/>
    <n v="0"/>
  </r>
  <r>
    <x v="10"/>
    <x v="29"/>
    <s v="Electric Generators, Electric Utilities"/>
    <x v="0"/>
    <n v="29045739"/>
  </r>
  <r>
    <x v="10"/>
    <x v="29"/>
    <s v="Electric Generators, Electric Utilities"/>
    <x v="1"/>
    <n v="18424799"/>
  </r>
  <r>
    <x v="10"/>
    <x v="29"/>
    <s v="Electric Generators, Electric Utilities"/>
    <x v="2"/>
    <n v="1500724"/>
  </r>
  <r>
    <x v="10"/>
    <x v="29"/>
    <s v="Electric Generators, Electric Utilities"/>
    <x v="3"/>
    <n v="437822"/>
  </r>
  <r>
    <x v="10"/>
    <x v="29"/>
    <s v="Electric Generators, Electric Utilities"/>
    <x v="7"/>
    <n v="8628679"/>
  </r>
  <r>
    <x v="10"/>
    <x v="29"/>
    <s v="Electric Generators, Electric Utilities"/>
    <x v="8"/>
    <n v="0"/>
  </r>
  <r>
    <x v="10"/>
    <x v="29"/>
    <s v="Electric Generators, Electric Utilities"/>
    <x v="4"/>
    <n v="53715"/>
  </r>
  <r>
    <x v="10"/>
    <x v="29"/>
    <s v="Electric Generators, Electric Utilities"/>
    <x v="5"/>
    <n v="0"/>
  </r>
  <r>
    <x v="10"/>
    <x v="29"/>
    <s v="Combined Heat and Power, Industrial Power"/>
    <x v="0"/>
    <n v="38006"/>
  </r>
  <r>
    <x v="10"/>
    <x v="29"/>
    <s v="Combined Heat and Power, Industrial Power"/>
    <x v="1"/>
    <n v="33134"/>
  </r>
  <r>
    <x v="10"/>
    <x v="29"/>
    <s v="Combined Heat and Power, Industrial Power"/>
    <x v="3"/>
    <n v="4872"/>
  </r>
  <r>
    <x v="10"/>
    <x v="29"/>
    <s v="Combined Heat and Power, Electric Power"/>
    <x v="0"/>
    <n v="7469"/>
  </r>
  <r>
    <x v="10"/>
    <x v="29"/>
    <s v="Combined Heat and Power, Electric Power"/>
    <x v="3"/>
    <n v="863"/>
  </r>
  <r>
    <x v="10"/>
    <x v="29"/>
    <s v="Combined Heat and Power, Electric Power"/>
    <x v="8"/>
    <n v="6606"/>
  </r>
  <r>
    <x v="10"/>
    <x v="29"/>
    <s v="Combined Heat and Power, Commercial Power"/>
    <x v="0"/>
    <n v="18649"/>
  </r>
  <r>
    <x v="10"/>
    <x v="29"/>
    <s v="Combined Heat and Power, Commercial Power"/>
    <x v="3"/>
    <n v="7797"/>
  </r>
  <r>
    <x v="10"/>
    <x v="29"/>
    <s v="Combined Heat and Power, Commercial Power"/>
    <x v="8"/>
    <n v="9908"/>
  </r>
  <r>
    <x v="10"/>
    <x v="29"/>
    <s v="Combined Heat and Power, Commercial Power"/>
    <x v="4"/>
    <n v="944"/>
  </r>
  <r>
    <x v="10"/>
    <x v="30"/>
    <s v="Total Electric Power Industry"/>
    <x v="0"/>
    <n v="15031499"/>
  </r>
  <r>
    <x v="10"/>
    <x v="30"/>
    <s v="Total Electric Power Industry"/>
    <x v="1"/>
    <n v="3965476"/>
  </r>
  <r>
    <x v="10"/>
    <x v="30"/>
    <s v="Total Electric Power Industry"/>
    <x v="2"/>
    <n v="1427214"/>
  </r>
  <r>
    <x v="10"/>
    <x v="30"/>
    <s v="Total Electric Power Industry"/>
    <x v="3"/>
    <n v="138943"/>
  </r>
  <r>
    <x v="10"/>
    <x v="30"/>
    <s v="Total Electric Power Industry"/>
    <x v="7"/>
    <n v="7921880"/>
  </r>
  <r>
    <x v="10"/>
    <x v="30"/>
    <s v="Total Electric Power Industry"/>
    <x v="8"/>
    <n v="244270"/>
  </r>
  <r>
    <x v="10"/>
    <x v="30"/>
    <s v="Total Electric Power Industry"/>
    <x v="4"/>
    <n v="471328"/>
  </r>
  <r>
    <x v="10"/>
    <x v="30"/>
    <s v="Total Electric Power Industry"/>
    <x v="6"/>
    <n v="862388"/>
  </r>
  <r>
    <x v="10"/>
    <x v="30"/>
    <s v="Electric Generators, Independent Power Producers"/>
    <x v="0"/>
    <n v="1860736"/>
  </r>
  <r>
    <x v="10"/>
    <x v="30"/>
    <s v="Electric Generators, Independent Power Producers"/>
    <x v="2"/>
    <n v="916673"/>
  </r>
  <r>
    <x v="10"/>
    <x v="30"/>
    <s v="Electric Generators, Independent Power Producers"/>
    <x v="8"/>
    <n v="244270"/>
  </r>
  <r>
    <x v="10"/>
    <x v="30"/>
    <s v="Electric Generators, Independent Power Producers"/>
    <x v="4"/>
    <n v="398"/>
  </r>
  <r>
    <x v="10"/>
    <x v="30"/>
    <s v="Electric Generators, Independent Power Producers"/>
    <x v="6"/>
    <n v="699395"/>
  </r>
  <r>
    <x v="10"/>
    <x v="30"/>
    <s v="Electric Generators, Electric Utilities"/>
    <x v="0"/>
    <n v="12701500"/>
  </r>
  <r>
    <x v="10"/>
    <x v="30"/>
    <s v="Electric Generators, Electric Utilities"/>
    <x v="1"/>
    <n v="3965476"/>
  </r>
  <r>
    <x v="10"/>
    <x v="30"/>
    <s v="Electric Generators, Electric Utilities"/>
    <x v="2"/>
    <n v="327694"/>
  </r>
  <r>
    <x v="10"/>
    <x v="30"/>
    <s v="Electric Generators, Electric Utilities"/>
    <x v="3"/>
    <n v="76789"/>
  </r>
  <r>
    <x v="10"/>
    <x v="30"/>
    <s v="Electric Generators, Electric Utilities"/>
    <x v="7"/>
    <n v="7921880"/>
  </r>
  <r>
    <x v="10"/>
    <x v="30"/>
    <s v="Electric Generators, Electric Utilities"/>
    <x v="4"/>
    <n v="409661"/>
  </r>
  <r>
    <x v="10"/>
    <x v="30"/>
    <s v="Combined Heat and Power, Industrial Power"/>
    <x v="0"/>
    <n v="353637"/>
  </r>
  <r>
    <x v="10"/>
    <x v="30"/>
    <s v="Combined Heat and Power, Industrial Power"/>
    <x v="2"/>
    <n v="182847"/>
  </r>
  <r>
    <x v="10"/>
    <x v="30"/>
    <s v="Combined Heat and Power, Industrial Power"/>
    <x v="3"/>
    <n v="62154"/>
  </r>
  <r>
    <x v="10"/>
    <x v="30"/>
    <s v="Combined Heat and Power, Industrial Power"/>
    <x v="4"/>
    <n v="31524"/>
  </r>
  <r>
    <x v="10"/>
    <x v="30"/>
    <s v="Combined Heat and Power, Industrial Power"/>
    <x v="6"/>
    <n v="77112"/>
  </r>
  <r>
    <x v="10"/>
    <x v="30"/>
    <s v="Combined Heat and Power, Electric Power"/>
    <x v="0"/>
    <n v="85941"/>
  </r>
  <r>
    <x v="10"/>
    <x v="30"/>
    <s v="Combined Heat and Power, Electric Power"/>
    <x v="4"/>
    <n v="60"/>
  </r>
  <r>
    <x v="10"/>
    <x v="30"/>
    <s v="Combined Heat and Power, Electric Power"/>
    <x v="6"/>
    <n v="85881"/>
  </r>
  <r>
    <x v="10"/>
    <x v="30"/>
    <s v="Combined Heat and Power, Commercial Power"/>
    <x v="0"/>
    <n v="29685"/>
  </r>
  <r>
    <x v="10"/>
    <x v="30"/>
    <s v="Combined Heat and Power, Commercial Power"/>
    <x v="4"/>
    <n v="29685"/>
  </r>
  <r>
    <x v="10"/>
    <x v="31"/>
    <s v="Total Electric Power Industry"/>
    <x v="0"/>
    <n v="58085215"/>
  </r>
  <r>
    <x v="10"/>
    <x v="31"/>
    <s v="Total Electric Power Industry"/>
    <x v="1"/>
    <n v="10090115"/>
  </r>
  <r>
    <x v="10"/>
    <x v="31"/>
    <s v="Total Electric Power Industry"/>
    <x v="2"/>
    <n v="14036"/>
  </r>
  <r>
    <x v="10"/>
    <x v="31"/>
    <s v="Total Electric Power Industry"/>
    <x v="3"/>
    <n v="16509249"/>
  </r>
  <r>
    <x v="10"/>
    <x v="31"/>
    <s v="Total Electric Power Industry"/>
    <x v="7"/>
    <n v="28578119"/>
  </r>
  <r>
    <x v="10"/>
    <x v="31"/>
    <s v="Total Electric Power Industry"/>
    <x v="8"/>
    <n v="1364314"/>
  </r>
  <r>
    <x v="10"/>
    <x v="31"/>
    <s v="Total Electric Power Industry"/>
    <x v="9"/>
    <n v="584734"/>
  </r>
  <r>
    <x v="10"/>
    <x v="31"/>
    <s v="Total Electric Power Industry"/>
    <x v="4"/>
    <n v="1085276"/>
  </r>
  <r>
    <x v="10"/>
    <x v="31"/>
    <s v="Total Electric Power Industry"/>
    <x v="10"/>
    <n v="-140628"/>
  </r>
  <r>
    <x v="10"/>
    <x v="31"/>
    <s v="Electric Generators, Independent Power Producers"/>
    <x v="0"/>
    <n v="15677331"/>
  </r>
  <r>
    <x v="10"/>
    <x v="31"/>
    <s v="Electric Generators, Independent Power Producers"/>
    <x v="1"/>
    <n v="2226393"/>
  </r>
  <r>
    <x v="10"/>
    <x v="31"/>
    <s v="Electric Generators, Independent Power Producers"/>
    <x v="2"/>
    <n v="14036"/>
  </r>
  <r>
    <x v="10"/>
    <x v="31"/>
    <s v="Electric Generators, Independent Power Producers"/>
    <x v="3"/>
    <n v="1793228"/>
  </r>
  <r>
    <x v="10"/>
    <x v="31"/>
    <s v="Electric Generators, Independent Power Producers"/>
    <x v="7"/>
    <n v="10406862"/>
  </r>
  <r>
    <x v="10"/>
    <x v="31"/>
    <s v="Electric Generators, Independent Power Producers"/>
    <x v="8"/>
    <n v="834897"/>
  </r>
  <r>
    <x v="10"/>
    <x v="31"/>
    <s v="Electric Generators, Independent Power Producers"/>
    <x v="4"/>
    <n v="401915"/>
  </r>
  <r>
    <x v="10"/>
    <x v="31"/>
    <s v="Electric Generators, Electric Utilities"/>
    <x v="0"/>
    <n v="25254292"/>
  </r>
  <r>
    <x v="10"/>
    <x v="31"/>
    <s v="Electric Generators, Electric Utilities"/>
    <x v="1"/>
    <n v="5317916"/>
  </r>
  <r>
    <x v="10"/>
    <x v="31"/>
    <s v="Electric Generators, Electric Utilities"/>
    <x v="3"/>
    <n v="1610650"/>
  </r>
  <r>
    <x v="10"/>
    <x v="31"/>
    <s v="Electric Generators, Electric Utilities"/>
    <x v="7"/>
    <n v="18171257"/>
  </r>
  <r>
    <x v="10"/>
    <x v="31"/>
    <s v="Electric Generators, Electric Utilities"/>
    <x v="4"/>
    <n v="295097"/>
  </r>
  <r>
    <x v="10"/>
    <x v="31"/>
    <s v="Electric Generators, Electric Utilities"/>
    <x v="10"/>
    <n v="-140628"/>
  </r>
  <r>
    <x v="10"/>
    <x v="31"/>
    <s v="Combined Heat and Power, Industrial Power"/>
    <x v="0"/>
    <n v="2888914"/>
  </r>
  <r>
    <x v="10"/>
    <x v="31"/>
    <s v="Combined Heat and Power, Industrial Power"/>
    <x v="3"/>
    <n v="2225579"/>
  </r>
  <r>
    <x v="10"/>
    <x v="31"/>
    <s v="Combined Heat and Power, Industrial Power"/>
    <x v="8"/>
    <n v="13427"/>
  </r>
  <r>
    <x v="10"/>
    <x v="31"/>
    <s v="Combined Heat and Power, Industrial Power"/>
    <x v="9"/>
    <n v="584734"/>
  </r>
  <r>
    <x v="10"/>
    <x v="31"/>
    <s v="Combined Heat and Power, Industrial Power"/>
    <x v="4"/>
    <n v="65174"/>
  </r>
  <r>
    <x v="10"/>
    <x v="31"/>
    <s v="Combined Heat and Power, Electric Power"/>
    <x v="0"/>
    <n v="14103680"/>
  </r>
  <r>
    <x v="10"/>
    <x v="31"/>
    <s v="Combined Heat and Power, Electric Power"/>
    <x v="1"/>
    <n v="2545806"/>
  </r>
  <r>
    <x v="10"/>
    <x v="31"/>
    <s v="Combined Heat and Power, Electric Power"/>
    <x v="3"/>
    <n v="10723224"/>
  </r>
  <r>
    <x v="10"/>
    <x v="31"/>
    <s v="Combined Heat and Power, Electric Power"/>
    <x v="8"/>
    <n v="515251"/>
  </r>
  <r>
    <x v="10"/>
    <x v="31"/>
    <s v="Combined Heat and Power, Electric Power"/>
    <x v="4"/>
    <n v="319399"/>
  </r>
  <r>
    <x v="10"/>
    <x v="31"/>
    <s v="Combined Heat and Power, Commercial Power"/>
    <x v="0"/>
    <n v="160998"/>
  </r>
  <r>
    <x v="10"/>
    <x v="31"/>
    <s v="Combined Heat and Power, Commercial Power"/>
    <x v="3"/>
    <n v="156568"/>
  </r>
  <r>
    <x v="10"/>
    <x v="31"/>
    <s v="Combined Heat and Power, Commercial Power"/>
    <x v="8"/>
    <n v="739"/>
  </r>
  <r>
    <x v="10"/>
    <x v="31"/>
    <s v="Combined Heat and Power, Commercial Power"/>
    <x v="4"/>
    <n v="3691"/>
  </r>
  <r>
    <x v="10"/>
    <x v="32"/>
    <s v="Total Electric Power Industry"/>
    <x v="0"/>
    <n v="34022020"/>
  </r>
  <r>
    <x v="10"/>
    <x v="32"/>
    <s v="Total Electric Power Industry"/>
    <x v="1"/>
    <n v="29065954"/>
  </r>
  <r>
    <x v="10"/>
    <x v="32"/>
    <s v="Total Electric Power Industry"/>
    <x v="2"/>
    <n v="221152"/>
  </r>
  <r>
    <x v="10"/>
    <x v="32"/>
    <s v="Total Electric Power Industry"/>
    <x v="3"/>
    <n v="4638339"/>
  </r>
  <r>
    <x v="10"/>
    <x v="32"/>
    <s v="Total Electric Power Industry"/>
    <x v="8"/>
    <n v="8464"/>
  </r>
  <r>
    <x v="10"/>
    <x v="32"/>
    <s v="Total Electric Power Industry"/>
    <x v="4"/>
    <n v="88111"/>
  </r>
  <r>
    <x v="10"/>
    <x v="32"/>
    <s v="Electric Generators, Independent Power Producers"/>
    <x v="0"/>
    <n v="184636"/>
  </r>
  <r>
    <x v="10"/>
    <x v="32"/>
    <s v="Electric Generators, Independent Power Producers"/>
    <x v="3"/>
    <n v="179696"/>
  </r>
  <r>
    <x v="10"/>
    <x v="32"/>
    <s v="Electric Generators, Independent Power Producers"/>
    <x v="4"/>
    <n v="4940"/>
  </r>
  <r>
    <x v="10"/>
    <x v="32"/>
    <s v="Electric Generators, Electric Utilities"/>
    <x v="0"/>
    <n v="32855587"/>
  </r>
  <r>
    <x v="10"/>
    <x v="32"/>
    <s v="Electric Generators, Electric Utilities"/>
    <x v="1"/>
    <n v="29065954"/>
  </r>
  <r>
    <x v="10"/>
    <x v="32"/>
    <s v="Electric Generators, Electric Utilities"/>
    <x v="2"/>
    <n v="221152"/>
  </r>
  <r>
    <x v="10"/>
    <x v="32"/>
    <s v="Electric Generators, Electric Utilities"/>
    <x v="3"/>
    <n v="3538952"/>
  </r>
  <r>
    <x v="10"/>
    <x v="32"/>
    <s v="Electric Generators, Electric Utilities"/>
    <x v="4"/>
    <n v="29529"/>
  </r>
  <r>
    <x v="10"/>
    <x v="32"/>
    <s v="Combined Heat and Power, Industrial Power"/>
    <x v="0"/>
    <n v="409690"/>
  </r>
  <r>
    <x v="10"/>
    <x v="32"/>
    <s v="Combined Heat and Power, Industrial Power"/>
    <x v="3"/>
    <n v="356048"/>
  </r>
  <r>
    <x v="10"/>
    <x v="32"/>
    <s v="Combined Heat and Power, Industrial Power"/>
    <x v="4"/>
    <n v="53642"/>
  </r>
  <r>
    <x v="10"/>
    <x v="32"/>
    <s v="Combined Heat and Power, Electric Power"/>
    <x v="0"/>
    <n v="519687"/>
  </r>
  <r>
    <x v="10"/>
    <x v="32"/>
    <s v="Combined Heat and Power, Electric Power"/>
    <x v="3"/>
    <n v="511223"/>
  </r>
  <r>
    <x v="10"/>
    <x v="32"/>
    <s v="Combined Heat and Power, Electric Power"/>
    <x v="8"/>
    <n v="8464"/>
  </r>
  <r>
    <x v="10"/>
    <x v="32"/>
    <s v="Combined Heat and Power, Commercial Power"/>
    <x v="0"/>
    <n v="52420"/>
  </r>
  <r>
    <x v="10"/>
    <x v="32"/>
    <s v="Combined Heat and Power, Commercial Power"/>
    <x v="3"/>
    <n v="52420"/>
  </r>
  <r>
    <x v="10"/>
    <x v="33"/>
    <s v="Total Electric Power Industry"/>
    <x v="0"/>
    <n v="35484915"/>
  </r>
  <r>
    <x v="10"/>
    <x v="33"/>
    <s v="Total Electric Power Industry"/>
    <x v="1"/>
    <n v="18931521"/>
  </r>
  <r>
    <x v="10"/>
    <x v="33"/>
    <s v="Total Electric Power Industry"/>
    <x v="11"/>
    <n v="1370791"/>
  </r>
  <r>
    <x v="10"/>
    <x v="33"/>
    <s v="Total Electric Power Industry"/>
    <x v="2"/>
    <n v="2429468"/>
  </r>
  <r>
    <x v="10"/>
    <x v="33"/>
    <s v="Total Electric Power Industry"/>
    <x v="3"/>
    <n v="12667189"/>
  </r>
  <r>
    <x v="10"/>
    <x v="33"/>
    <s v="Total Electric Power Industry"/>
    <x v="12"/>
    <n v="21152"/>
  </r>
  <r>
    <x v="10"/>
    <x v="33"/>
    <s v="Total Electric Power Industry"/>
    <x v="4"/>
    <n v="64794"/>
  </r>
  <r>
    <x v="10"/>
    <x v="33"/>
    <s v="Electric Generators, Independent Power Producers"/>
    <x v="0"/>
    <n v="3690617"/>
  </r>
  <r>
    <x v="10"/>
    <x v="33"/>
    <s v="Electric Generators, Independent Power Producers"/>
    <x v="11"/>
    <n v="1370791"/>
  </r>
  <r>
    <x v="10"/>
    <x v="33"/>
    <s v="Electric Generators, Independent Power Producers"/>
    <x v="2"/>
    <n v="13870"/>
  </r>
  <r>
    <x v="10"/>
    <x v="33"/>
    <s v="Electric Generators, Independent Power Producers"/>
    <x v="3"/>
    <n v="2305776"/>
  </r>
  <r>
    <x v="10"/>
    <x v="33"/>
    <s v="Electric Generators, Independent Power Producers"/>
    <x v="4"/>
    <n v="180"/>
  </r>
  <r>
    <x v="10"/>
    <x v="33"/>
    <s v="Electric Generators, Electric Utilities"/>
    <x v="0"/>
    <n v="29341675"/>
  </r>
  <r>
    <x v="10"/>
    <x v="33"/>
    <s v="Electric Generators, Electric Utilities"/>
    <x v="1"/>
    <n v="18931521"/>
  </r>
  <r>
    <x v="10"/>
    <x v="33"/>
    <s v="Electric Generators, Electric Utilities"/>
    <x v="2"/>
    <n v="2415598"/>
  </r>
  <r>
    <x v="10"/>
    <x v="33"/>
    <s v="Electric Generators, Electric Utilities"/>
    <x v="3"/>
    <n v="7929942"/>
  </r>
  <r>
    <x v="10"/>
    <x v="33"/>
    <s v="Electric Generators, Electric Utilities"/>
    <x v="4"/>
    <n v="64614"/>
  </r>
  <r>
    <x v="10"/>
    <x v="33"/>
    <s v="Combined Heat and Power, Electric Power"/>
    <x v="0"/>
    <n v="2452623"/>
  </r>
  <r>
    <x v="10"/>
    <x v="33"/>
    <s v="Combined Heat and Power, Electric Power"/>
    <x v="3"/>
    <n v="2431471"/>
  </r>
  <r>
    <x v="10"/>
    <x v="33"/>
    <s v="Combined Heat and Power, Electric Power"/>
    <x v="12"/>
    <n v="21152"/>
  </r>
  <r>
    <x v="10"/>
    <x v="34"/>
    <s v="Total Electric Power Industry"/>
    <x v="0"/>
    <n v="138079075"/>
  </r>
  <r>
    <x v="10"/>
    <x v="34"/>
    <s v="Total Electric Power Industry"/>
    <x v="1"/>
    <n v="25009581"/>
  </r>
  <r>
    <x v="10"/>
    <x v="34"/>
    <s v="Total Electric Power Industry"/>
    <x v="2"/>
    <n v="24909572"/>
  </r>
  <r>
    <x v="10"/>
    <x v="34"/>
    <s v="Total Electric Power Industry"/>
    <x v="3"/>
    <n v="39728709"/>
  </r>
  <r>
    <x v="10"/>
    <x v="34"/>
    <s v="Total Electric Power Industry"/>
    <x v="7"/>
    <n v="31507988"/>
  </r>
  <r>
    <x v="10"/>
    <x v="34"/>
    <s v="Total Electric Power Industry"/>
    <x v="8"/>
    <n v="2231612"/>
  </r>
  <r>
    <x v="10"/>
    <x v="34"/>
    <s v="Total Electric Power Industry"/>
    <x v="9"/>
    <n v="86201"/>
  </r>
  <r>
    <x v="10"/>
    <x v="34"/>
    <s v="Total Electric Power Industry"/>
    <x v="4"/>
    <n v="14945179"/>
  </r>
  <r>
    <x v="10"/>
    <x v="34"/>
    <s v="Total Electric Power Industry"/>
    <x v="10"/>
    <n v="-990437"/>
  </r>
  <r>
    <x v="10"/>
    <x v="34"/>
    <s v="Total Electric Power Industry"/>
    <x v="5"/>
    <n v="10345"/>
  </r>
  <r>
    <x v="10"/>
    <x v="34"/>
    <s v="Total Electric Power Industry"/>
    <x v="6"/>
    <n v="640325"/>
  </r>
  <r>
    <x v="10"/>
    <x v="34"/>
    <s v="Electric Generators, Independent Power Producers"/>
    <x v="0"/>
    <n v="40756553"/>
  </r>
  <r>
    <x v="10"/>
    <x v="34"/>
    <s v="Electric Generators, Independent Power Producers"/>
    <x v="1"/>
    <n v="19239515"/>
  </r>
  <r>
    <x v="10"/>
    <x v="34"/>
    <s v="Electric Generators, Independent Power Producers"/>
    <x v="2"/>
    <n v="4972120"/>
  </r>
  <r>
    <x v="10"/>
    <x v="34"/>
    <s v="Electric Generators, Independent Power Producers"/>
    <x v="3"/>
    <n v="10130300"/>
  </r>
  <r>
    <x v="10"/>
    <x v="34"/>
    <s v="Electric Generators, Independent Power Producers"/>
    <x v="7"/>
    <n v="1619668"/>
  </r>
  <r>
    <x v="10"/>
    <x v="34"/>
    <s v="Electric Generators, Independent Power Producers"/>
    <x v="8"/>
    <n v="1424936"/>
  </r>
  <r>
    <x v="10"/>
    <x v="34"/>
    <s v="Electric Generators, Independent Power Producers"/>
    <x v="9"/>
    <n v="520"/>
  </r>
  <r>
    <x v="10"/>
    <x v="34"/>
    <s v="Electric Generators, Independent Power Producers"/>
    <x v="4"/>
    <n v="3011467"/>
  </r>
  <r>
    <x v="10"/>
    <x v="34"/>
    <s v="Electric Generators, Independent Power Producers"/>
    <x v="5"/>
    <n v="10345"/>
  </r>
  <r>
    <x v="10"/>
    <x v="34"/>
    <s v="Electric Generators, Independent Power Producers"/>
    <x v="6"/>
    <n v="347682"/>
  </r>
  <r>
    <x v="10"/>
    <x v="34"/>
    <s v="Electric Generators, Electric Utilities"/>
    <x v="0"/>
    <n v="73187745"/>
  </r>
  <r>
    <x v="10"/>
    <x v="34"/>
    <s v="Electric Generators, Electric Utilities"/>
    <x v="1"/>
    <n v="4025614"/>
  </r>
  <r>
    <x v="10"/>
    <x v="34"/>
    <s v="Electric Generators, Electric Utilities"/>
    <x v="2"/>
    <n v="19846498"/>
  </r>
  <r>
    <x v="10"/>
    <x v="34"/>
    <s v="Electric Generators, Electric Utilities"/>
    <x v="3"/>
    <n v="8968658"/>
  </r>
  <r>
    <x v="10"/>
    <x v="34"/>
    <s v="Electric Generators, Electric Utilities"/>
    <x v="7"/>
    <n v="29888320"/>
  </r>
  <r>
    <x v="10"/>
    <x v="34"/>
    <s v="Electric Generators, Electric Utilities"/>
    <x v="4"/>
    <n v="11449092"/>
  </r>
  <r>
    <x v="10"/>
    <x v="34"/>
    <s v="Electric Generators, Electric Utilities"/>
    <x v="10"/>
    <n v="-990437"/>
  </r>
  <r>
    <x v="10"/>
    <x v="34"/>
    <s v="Combined Heat and Power, Industrial Power"/>
    <x v="0"/>
    <n v="2327145"/>
  </r>
  <r>
    <x v="10"/>
    <x v="34"/>
    <s v="Combined Heat and Power, Industrial Power"/>
    <x v="1"/>
    <n v="824541"/>
  </r>
  <r>
    <x v="10"/>
    <x v="34"/>
    <s v="Combined Heat and Power, Industrial Power"/>
    <x v="2"/>
    <n v="87176"/>
  </r>
  <r>
    <x v="10"/>
    <x v="34"/>
    <s v="Combined Heat and Power, Industrial Power"/>
    <x v="3"/>
    <n v="895307"/>
  </r>
  <r>
    <x v="10"/>
    <x v="34"/>
    <s v="Combined Heat and Power, Industrial Power"/>
    <x v="8"/>
    <n v="3863"/>
  </r>
  <r>
    <x v="10"/>
    <x v="34"/>
    <s v="Combined Heat and Power, Industrial Power"/>
    <x v="9"/>
    <n v="85658"/>
  </r>
  <r>
    <x v="10"/>
    <x v="34"/>
    <s v="Combined Heat and Power, Industrial Power"/>
    <x v="4"/>
    <n v="172949"/>
  </r>
  <r>
    <x v="10"/>
    <x v="34"/>
    <s v="Combined Heat and Power, Industrial Power"/>
    <x v="6"/>
    <n v="257651"/>
  </r>
  <r>
    <x v="10"/>
    <x v="34"/>
    <s v="Combined Heat and Power, Electric Power"/>
    <x v="0"/>
    <n v="21188097"/>
  </r>
  <r>
    <x v="10"/>
    <x v="34"/>
    <s v="Combined Heat and Power, Electric Power"/>
    <x v="1"/>
    <n v="892942"/>
  </r>
  <r>
    <x v="10"/>
    <x v="34"/>
    <s v="Combined Heat and Power, Electric Power"/>
    <x v="3"/>
    <n v="19443053"/>
  </r>
  <r>
    <x v="10"/>
    <x v="34"/>
    <s v="Combined Heat and Power, Electric Power"/>
    <x v="8"/>
    <n v="567940"/>
  </r>
  <r>
    <x v="10"/>
    <x v="34"/>
    <s v="Combined Heat and Power, Electric Power"/>
    <x v="9"/>
    <n v="23"/>
  </r>
  <r>
    <x v="10"/>
    <x v="34"/>
    <s v="Combined Heat and Power, Electric Power"/>
    <x v="4"/>
    <n v="249147"/>
  </r>
  <r>
    <x v="10"/>
    <x v="34"/>
    <s v="Combined Heat and Power, Electric Power"/>
    <x v="6"/>
    <n v="34992"/>
  </r>
  <r>
    <x v="10"/>
    <x v="34"/>
    <s v="Combined Heat and Power, Commercial Power"/>
    <x v="0"/>
    <n v="619535"/>
  </r>
  <r>
    <x v="10"/>
    <x v="34"/>
    <s v="Combined Heat and Power, Commercial Power"/>
    <x v="1"/>
    <n v="26969"/>
  </r>
  <r>
    <x v="10"/>
    <x v="34"/>
    <s v="Combined Heat and Power, Commercial Power"/>
    <x v="2"/>
    <n v="3778"/>
  </r>
  <r>
    <x v="10"/>
    <x v="34"/>
    <s v="Combined Heat and Power, Commercial Power"/>
    <x v="3"/>
    <n v="291391"/>
  </r>
  <r>
    <x v="10"/>
    <x v="34"/>
    <s v="Combined Heat and Power, Commercial Power"/>
    <x v="8"/>
    <n v="234873"/>
  </r>
  <r>
    <x v="10"/>
    <x v="34"/>
    <s v="Combined Heat and Power, Commercial Power"/>
    <x v="4"/>
    <n v="62524"/>
  </r>
  <r>
    <x v="10"/>
    <x v="35"/>
    <s v="Total Electric Power Industry"/>
    <x v="0"/>
    <n v="149060280"/>
  </r>
  <r>
    <x v="10"/>
    <x v="35"/>
    <s v="Total Electric Power Industry"/>
    <x v="1"/>
    <n v="129578544"/>
  </r>
  <r>
    <x v="10"/>
    <x v="35"/>
    <s v="Total Electric Power Industry"/>
    <x v="2"/>
    <n v="583048"/>
  </r>
  <r>
    <x v="10"/>
    <x v="35"/>
    <s v="Total Electric Power Industry"/>
    <x v="3"/>
    <n v="825154"/>
  </r>
  <r>
    <x v="10"/>
    <x v="35"/>
    <s v="Total Electric Power Industry"/>
    <x v="7"/>
    <n v="16781378"/>
  </r>
  <r>
    <x v="10"/>
    <x v="35"/>
    <s v="Total Electric Power Industry"/>
    <x v="8"/>
    <n v="26849"/>
  </r>
  <r>
    <x v="10"/>
    <x v="35"/>
    <s v="Total Electric Power Industry"/>
    <x v="9"/>
    <n v="290353"/>
  </r>
  <r>
    <x v="10"/>
    <x v="35"/>
    <s v="Total Electric Power Industry"/>
    <x v="4"/>
    <n v="354412"/>
  </r>
  <r>
    <x v="10"/>
    <x v="35"/>
    <s v="Total Electric Power Industry"/>
    <x v="6"/>
    <n v="620542"/>
  </r>
  <r>
    <x v="10"/>
    <x v="35"/>
    <s v="Electric Generators, Independent Power Producers"/>
    <x v="0"/>
    <n v="3156853"/>
  </r>
  <r>
    <x v="10"/>
    <x v="35"/>
    <s v="Electric Generators, Independent Power Producers"/>
    <x v="1"/>
    <n v="2948583"/>
  </r>
  <r>
    <x v="10"/>
    <x v="35"/>
    <s v="Electric Generators, Independent Power Producers"/>
    <x v="3"/>
    <n v="172943"/>
  </r>
  <r>
    <x v="10"/>
    <x v="35"/>
    <s v="Electric Generators, Independent Power Producers"/>
    <x v="8"/>
    <n v="26849"/>
  </r>
  <r>
    <x v="10"/>
    <x v="35"/>
    <s v="Electric Generators, Independent Power Producers"/>
    <x v="4"/>
    <n v="8478"/>
  </r>
  <r>
    <x v="10"/>
    <x v="35"/>
    <s v="Electric Generators, Electric Utilities"/>
    <x v="0"/>
    <n v="144358306"/>
  </r>
  <r>
    <x v="10"/>
    <x v="35"/>
    <s v="Electric Generators, Electric Utilities"/>
    <x v="1"/>
    <n v="126225740"/>
  </r>
  <r>
    <x v="10"/>
    <x v="35"/>
    <s v="Electric Generators, Electric Utilities"/>
    <x v="2"/>
    <n v="583048"/>
  </r>
  <r>
    <x v="10"/>
    <x v="35"/>
    <s v="Electric Generators, Electric Utilities"/>
    <x v="3"/>
    <n v="425821"/>
  </r>
  <r>
    <x v="10"/>
    <x v="35"/>
    <s v="Electric Generators, Electric Utilities"/>
    <x v="7"/>
    <n v="16781378"/>
  </r>
  <r>
    <x v="10"/>
    <x v="35"/>
    <s v="Electric Generators, Electric Utilities"/>
    <x v="8"/>
    <n v="0"/>
  </r>
  <r>
    <x v="10"/>
    <x v="35"/>
    <s v="Electric Generators, Electric Utilities"/>
    <x v="4"/>
    <n v="342319"/>
  </r>
  <r>
    <x v="10"/>
    <x v="35"/>
    <s v="Combined Heat and Power, Industrial Power"/>
    <x v="0"/>
    <n v="1265893"/>
  </r>
  <r>
    <x v="10"/>
    <x v="35"/>
    <s v="Combined Heat and Power, Industrial Power"/>
    <x v="1"/>
    <n v="363016"/>
  </r>
  <r>
    <x v="10"/>
    <x v="35"/>
    <s v="Combined Heat and Power, Industrial Power"/>
    <x v="3"/>
    <n v="171660"/>
  </r>
  <r>
    <x v="10"/>
    <x v="35"/>
    <s v="Combined Heat and Power, Industrial Power"/>
    <x v="9"/>
    <n v="153063"/>
  </r>
  <r>
    <x v="10"/>
    <x v="35"/>
    <s v="Combined Heat and Power, Industrial Power"/>
    <x v="4"/>
    <n v="2039"/>
  </r>
  <r>
    <x v="10"/>
    <x v="35"/>
    <s v="Combined Heat and Power, Industrial Power"/>
    <x v="6"/>
    <n v="576115"/>
  </r>
  <r>
    <x v="10"/>
    <x v="35"/>
    <s v="Combined Heat and Power, Electric Power"/>
    <x v="0"/>
    <n v="274511"/>
  </r>
  <r>
    <x v="10"/>
    <x v="35"/>
    <s v="Combined Heat and Power, Electric Power"/>
    <x v="1"/>
    <n v="41066"/>
  </r>
  <r>
    <x v="10"/>
    <x v="35"/>
    <s v="Combined Heat and Power, Electric Power"/>
    <x v="3"/>
    <n v="50764"/>
  </r>
  <r>
    <x v="10"/>
    <x v="35"/>
    <s v="Combined Heat and Power, Electric Power"/>
    <x v="9"/>
    <n v="137290"/>
  </r>
  <r>
    <x v="10"/>
    <x v="35"/>
    <s v="Combined Heat and Power, Electric Power"/>
    <x v="4"/>
    <n v="1368"/>
  </r>
  <r>
    <x v="10"/>
    <x v="35"/>
    <s v="Combined Heat and Power, Electric Power"/>
    <x v="6"/>
    <n v="44023"/>
  </r>
  <r>
    <x v="10"/>
    <x v="35"/>
    <s v="Combined Heat and Power, Commercial Power"/>
    <x v="0"/>
    <n v="4717"/>
  </r>
  <r>
    <x v="10"/>
    <x v="35"/>
    <s v="Combined Heat and Power, Commercial Power"/>
    <x v="1"/>
    <n v="139"/>
  </r>
  <r>
    <x v="10"/>
    <x v="35"/>
    <s v="Combined Heat and Power, Commercial Power"/>
    <x v="3"/>
    <n v="3966"/>
  </r>
  <r>
    <x v="10"/>
    <x v="35"/>
    <s v="Combined Heat and Power, Commercial Power"/>
    <x v="4"/>
    <n v="208"/>
  </r>
  <r>
    <x v="10"/>
    <x v="35"/>
    <s v="Combined Heat and Power, Commercial Power"/>
    <x v="6"/>
    <n v="404"/>
  </r>
  <r>
    <x v="10"/>
    <x v="36"/>
    <s v="Total Electric Power Industry"/>
    <x v="0"/>
    <n v="55571957"/>
  </r>
  <r>
    <x v="10"/>
    <x v="36"/>
    <s v="Total Electric Power Industry"/>
    <x v="1"/>
    <n v="35658012"/>
  </r>
  <r>
    <x v="10"/>
    <x v="36"/>
    <s v="Total Electric Power Industry"/>
    <x v="2"/>
    <n v="2276933"/>
  </r>
  <r>
    <x v="10"/>
    <x v="36"/>
    <s v="Total Electric Power Industry"/>
    <x v="3"/>
    <n v="17502576"/>
  </r>
  <r>
    <x v="10"/>
    <x v="36"/>
    <s v="Total Electric Power Industry"/>
    <x v="8"/>
    <n v="2431"/>
  </r>
  <r>
    <x v="10"/>
    <x v="36"/>
    <s v="Total Electric Power Industry"/>
    <x v="9"/>
    <n v="60616"/>
  </r>
  <r>
    <x v="10"/>
    <x v="36"/>
    <s v="Total Electric Power Industry"/>
    <x v="4"/>
    <n v="52920"/>
  </r>
  <r>
    <x v="10"/>
    <x v="36"/>
    <s v="Total Electric Power Industry"/>
    <x v="10"/>
    <n v="-127287"/>
  </r>
  <r>
    <x v="10"/>
    <x v="36"/>
    <s v="Total Electric Power Industry"/>
    <x v="6"/>
    <n v="145756"/>
  </r>
  <r>
    <x v="10"/>
    <x v="36"/>
    <s v="Electric Generators, Electric Utilities"/>
    <x v="0"/>
    <n v="51403249"/>
  </r>
  <r>
    <x v="10"/>
    <x v="36"/>
    <s v="Electric Generators, Electric Utilities"/>
    <x v="1"/>
    <n v="32852645"/>
  </r>
  <r>
    <x v="10"/>
    <x v="36"/>
    <s v="Electric Generators, Electric Utilities"/>
    <x v="2"/>
    <n v="2276933"/>
  </r>
  <r>
    <x v="10"/>
    <x v="36"/>
    <s v="Electric Generators, Electric Utilities"/>
    <x v="3"/>
    <n v="16354321"/>
  </r>
  <r>
    <x v="10"/>
    <x v="36"/>
    <s v="Electric Generators, Electric Utilities"/>
    <x v="4"/>
    <n v="46637"/>
  </r>
  <r>
    <x v="10"/>
    <x v="36"/>
    <s v="Electric Generators, Electric Utilities"/>
    <x v="10"/>
    <n v="-127287"/>
  </r>
  <r>
    <x v="10"/>
    <x v="36"/>
    <s v="Combined Heat and Power, Industrial Power"/>
    <x v="0"/>
    <n v="1114854"/>
  </r>
  <r>
    <x v="10"/>
    <x v="36"/>
    <s v="Combined Heat and Power, Industrial Power"/>
    <x v="1"/>
    <n v="487028"/>
  </r>
  <r>
    <x v="10"/>
    <x v="36"/>
    <s v="Combined Heat and Power, Industrial Power"/>
    <x v="3"/>
    <n v="412740"/>
  </r>
  <r>
    <x v="10"/>
    <x v="36"/>
    <s v="Combined Heat and Power, Industrial Power"/>
    <x v="8"/>
    <n v="2431"/>
  </r>
  <r>
    <x v="10"/>
    <x v="36"/>
    <s v="Combined Heat and Power, Industrial Power"/>
    <x v="9"/>
    <n v="60616"/>
  </r>
  <r>
    <x v="10"/>
    <x v="36"/>
    <s v="Combined Heat and Power, Industrial Power"/>
    <x v="4"/>
    <n v="6283"/>
  </r>
  <r>
    <x v="10"/>
    <x v="36"/>
    <s v="Combined Heat and Power, Industrial Power"/>
    <x v="6"/>
    <n v="145756"/>
  </r>
  <r>
    <x v="10"/>
    <x v="36"/>
    <s v="Combined Heat and Power, Electric Power"/>
    <x v="0"/>
    <n v="3026693"/>
  </r>
  <r>
    <x v="10"/>
    <x v="36"/>
    <s v="Combined Heat and Power, Electric Power"/>
    <x v="1"/>
    <n v="2318339"/>
  </r>
  <r>
    <x v="10"/>
    <x v="36"/>
    <s v="Combined Heat and Power, Electric Power"/>
    <x v="3"/>
    <n v="708354"/>
  </r>
  <r>
    <x v="10"/>
    <x v="36"/>
    <s v="Combined Heat and Power, Commercial Power"/>
    <x v="0"/>
    <n v="27161"/>
  </r>
  <r>
    <x v="10"/>
    <x v="36"/>
    <s v="Combined Heat and Power, Commercial Power"/>
    <x v="3"/>
    <n v="27161"/>
  </r>
  <r>
    <x v="10"/>
    <x v="37"/>
    <s v="Total Electric Power Industry"/>
    <x v="0"/>
    <n v="51789975"/>
  </r>
  <r>
    <x v="10"/>
    <x v="37"/>
    <s v="Total Electric Power Industry"/>
    <x v="1"/>
    <n v="3802760"/>
  </r>
  <r>
    <x v="10"/>
    <x v="37"/>
    <s v="Total Electric Power Industry"/>
    <x v="2"/>
    <n v="38115630"/>
  </r>
  <r>
    <x v="10"/>
    <x v="37"/>
    <s v="Total Electric Power Industry"/>
    <x v="3"/>
    <n v="9100017"/>
  </r>
  <r>
    <x v="10"/>
    <x v="37"/>
    <s v="Total Electric Power Industry"/>
    <x v="8"/>
    <n v="95300"/>
  </r>
  <r>
    <x v="10"/>
    <x v="37"/>
    <s v="Total Electric Power Industry"/>
    <x v="4"/>
    <n v="68212"/>
  </r>
  <r>
    <x v="10"/>
    <x v="37"/>
    <s v="Total Electric Power Industry"/>
    <x v="5"/>
    <n v="66699"/>
  </r>
  <r>
    <x v="10"/>
    <x v="37"/>
    <s v="Total Electric Power Industry"/>
    <x v="6"/>
    <n v="541357"/>
  </r>
  <r>
    <x v="10"/>
    <x v="37"/>
    <s v="Electric Generators, Independent Power Producers"/>
    <x v="0"/>
    <n v="495691"/>
  </r>
  <r>
    <x v="10"/>
    <x v="37"/>
    <s v="Electric Generators, Independent Power Producers"/>
    <x v="2"/>
    <n v="333555"/>
  </r>
  <r>
    <x v="10"/>
    <x v="37"/>
    <s v="Electric Generators, Independent Power Producers"/>
    <x v="3"/>
    <n v="137"/>
  </r>
  <r>
    <x v="10"/>
    <x v="37"/>
    <s v="Electric Generators, Independent Power Producers"/>
    <x v="8"/>
    <n v="95300"/>
  </r>
  <r>
    <x v="10"/>
    <x v="37"/>
    <s v="Electric Generators, Independent Power Producers"/>
    <x v="5"/>
    <n v="66699"/>
  </r>
  <r>
    <x v="10"/>
    <x v="37"/>
    <s v="Electric Generators, Electric Utilities"/>
    <x v="0"/>
    <n v="46059938"/>
  </r>
  <r>
    <x v="10"/>
    <x v="37"/>
    <s v="Electric Generators, Electric Utilities"/>
    <x v="1"/>
    <n v="3785462"/>
  </r>
  <r>
    <x v="10"/>
    <x v="37"/>
    <s v="Electric Generators, Electric Utilities"/>
    <x v="2"/>
    <n v="37782075"/>
  </r>
  <r>
    <x v="10"/>
    <x v="37"/>
    <s v="Electric Generators, Electric Utilities"/>
    <x v="3"/>
    <n v="4440363"/>
  </r>
  <r>
    <x v="10"/>
    <x v="37"/>
    <s v="Electric Generators, Electric Utilities"/>
    <x v="8"/>
    <n v="0"/>
  </r>
  <r>
    <x v="10"/>
    <x v="37"/>
    <s v="Electric Generators, Electric Utilities"/>
    <x v="4"/>
    <n v="52038"/>
  </r>
  <r>
    <x v="10"/>
    <x v="37"/>
    <s v="Electric Generators, Electric Utilities"/>
    <x v="6"/>
    <n v="0"/>
  </r>
  <r>
    <x v="10"/>
    <x v="37"/>
    <s v="Combined Heat and Power, Industrial Power"/>
    <x v="0"/>
    <n v="764268"/>
  </r>
  <r>
    <x v="10"/>
    <x v="37"/>
    <s v="Combined Heat and Power, Industrial Power"/>
    <x v="1"/>
    <n v="17298"/>
  </r>
  <r>
    <x v="10"/>
    <x v="37"/>
    <s v="Combined Heat and Power, Industrial Power"/>
    <x v="3"/>
    <n v="457949"/>
  </r>
  <r>
    <x v="10"/>
    <x v="37"/>
    <s v="Combined Heat and Power, Industrial Power"/>
    <x v="4"/>
    <n v="16154"/>
  </r>
  <r>
    <x v="10"/>
    <x v="37"/>
    <s v="Combined Heat and Power, Industrial Power"/>
    <x v="6"/>
    <n v="272867"/>
  </r>
  <r>
    <x v="10"/>
    <x v="37"/>
    <s v="Combined Heat and Power, Electric Power"/>
    <x v="0"/>
    <n v="4464196"/>
  </r>
  <r>
    <x v="10"/>
    <x v="37"/>
    <s v="Combined Heat and Power, Electric Power"/>
    <x v="3"/>
    <n v="4195706"/>
  </r>
  <r>
    <x v="10"/>
    <x v="37"/>
    <s v="Combined Heat and Power, Electric Power"/>
    <x v="6"/>
    <n v="268490"/>
  </r>
  <r>
    <x v="10"/>
    <x v="37"/>
    <s v="Combined Heat and Power, Commercial Power"/>
    <x v="0"/>
    <n v="5882"/>
  </r>
  <r>
    <x v="10"/>
    <x v="37"/>
    <s v="Combined Heat and Power, Commercial Power"/>
    <x v="3"/>
    <n v="5862"/>
  </r>
  <r>
    <x v="10"/>
    <x v="37"/>
    <s v="Combined Heat and Power, Commercial Power"/>
    <x v="4"/>
    <n v="20"/>
  </r>
  <r>
    <x v="10"/>
    <x v="38"/>
    <s v="Total Electric Power Industry"/>
    <x v="0"/>
    <n v="201687980"/>
  </r>
  <r>
    <x v="10"/>
    <x v="38"/>
    <s v="Total Electric Power Industry"/>
    <x v="1"/>
    <n v="116212561"/>
  </r>
  <r>
    <x v="10"/>
    <x v="38"/>
    <s v="Total Electric Power Industry"/>
    <x v="2"/>
    <n v="2290232"/>
  </r>
  <r>
    <x v="10"/>
    <x v="38"/>
    <s v="Total Electric Power Industry"/>
    <x v="3"/>
    <n v="2699072"/>
  </r>
  <r>
    <x v="10"/>
    <x v="38"/>
    <s v="Total Electric Power Industry"/>
    <x v="7"/>
    <n v="73771347"/>
  </r>
  <r>
    <x v="10"/>
    <x v="38"/>
    <s v="Total Electric Power Industry"/>
    <x v="12"/>
    <n v="48751"/>
  </r>
  <r>
    <x v="10"/>
    <x v="38"/>
    <s v="Total Electric Power Industry"/>
    <x v="8"/>
    <n v="2028662"/>
  </r>
  <r>
    <x v="10"/>
    <x v="38"/>
    <s v="Total Electric Power Industry"/>
    <x v="9"/>
    <n v="597995"/>
  </r>
  <r>
    <x v="10"/>
    <x v="38"/>
    <s v="Total Electric Power Industry"/>
    <x v="4"/>
    <n v="3748155"/>
  </r>
  <r>
    <x v="10"/>
    <x v="38"/>
    <s v="Total Electric Power Industry"/>
    <x v="10"/>
    <n v="-410596"/>
  </r>
  <r>
    <x v="10"/>
    <x v="38"/>
    <s v="Total Electric Power Industry"/>
    <x v="5"/>
    <n v="9813"/>
  </r>
  <r>
    <x v="10"/>
    <x v="38"/>
    <s v="Total Electric Power Industry"/>
    <x v="6"/>
    <n v="691988"/>
  </r>
  <r>
    <x v="10"/>
    <x v="38"/>
    <s v="Electric Generators, Independent Power Producers"/>
    <x v="0"/>
    <n v="93923887"/>
  </r>
  <r>
    <x v="10"/>
    <x v="38"/>
    <s v="Electric Generators, Independent Power Producers"/>
    <x v="1"/>
    <n v="73129889"/>
  </r>
  <r>
    <x v="10"/>
    <x v="38"/>
    <s v="Electric Generators, Independent Power Producers"/>
    <x v="2"/>
    <n v="663345"/>
  </r>
  <r>
    <x v="10"/>
    <x v="38"/>
    <s v="Electric Generators, Independent Power Producers"/>
    <x v="3"/>
    <n v="256468"/>
  </r>
  <r>
    <x v="10"/>
    <x v="38"/>
    <s v="Electric Generators, Independent Power Producers"/>
    <x v="7"/>
    <n v="16503591"/>
  </r>
  <r>
    <x v="10"/>
    <x v="38"/>
    <s v="Electric Generators, Independent Power Producers"/>
    <x v="8"/>
    <n v="1654679"/>
  </r>
  <r>
    <x v="10"/>
    <x v="38"/>
    <s v="Electric Generators, Independent Power Producers"/>
    <x v="9"/>
    <n v="2496"/>
  </r>
  <r>
    <x v="10"/>
    <x v="38"/>
    <s v="Electric Generators, Independent Power Producers"/>
    <x v="4"/>
    <n v="1703606"/>
  </r>
  <r>
    <x v="10"/>
    <x v="38"/>
    <s v="Electric Generators, Independent Power Producers"/>
    <x v="5"/>
    <n v="9813"/>
  </r>
  <r>
    <x v="10"/>
    <x v="38"/>
    <s v="Electric Generators, Electric Utilities"/>
    <x v="0"/>
    <n v="97075771"/>
  </r>
  <r>
    <x v="10"/>
    <x v="38"/>
    <s v="Electric Generators, Electric Utilities"/>
    <x v="1"/>
    <n v="36704124"/>
  </r>
  <r>
    <x v="10"/>
    <x v="38"/>
    <s v="Electric Generators, Electric Utilities"/>
    <x v="2"/>
    <n v="1626887"/>
  </r>
  <r>
    <x v="10"/>
    <x v="38"/>
    <s v="Electric Generators, Electric Utilities"/>
    <x v="3"/>
    <n v="231095"/>
  </r>
  <r>
    <x v="10"/>
    <x v="38"/>
    <s v="Electric Generators, Electric Utilities"/>
    <x v="7"/>
    <n v="57267756"/>
  </r>
  <r>
    <x v="10"/>
    <x v="38"/>
    <s v="Electric Generators, Electric Utilities"/>
    <x v="4"/>
    <n v="1656505"/>
  </r>
  <r>
    <x v="10"/>
    <x v="38"/>
    <s v="Electric Generators, Electric Utilities"/>
    <x v="10"/>
    <n v="-410596"/>
  </r>
  <r>
    <x v="10"/>
    <x v="38"/>
    <s v="Combined Heat and Power, Industrial Power"/>
    <x v="0"/>
    <n v="3702681"/>
  </r>
  <r>
    <x v="10"/>
    <x v="38"/>
    <s v="Combined Heat and Power, Industrial Power"/>
    <x v="1"/>
    <n v="1550279"/>
  </r>
  <r>
    <x v="10"/>
    <x v="38"/>
    <s v="Combined Heat and Power, Industrial Power"/>
    <x v="3"/>
    <n v="634339"/>
  </r>
  <r>
    <x v="10"/>
    <x v="38"/>
    <s v="Combined Heat and Power, Industrial Power"/>
    <x v="12"/>
    <n v="48751"/>
  </r>
  <r>
    <x v="10"/>
    <x v="38"/>
    <s v="Combined Heat and Power, Industrial Power"/>
    <x v="8"/>
    <n v="70292"/>
  </r>
  <r>
    <x v="10"/>
    <x v="38"/>
    <s v="Combined Heat and Power, Industrial Power"/>
    <x v="9"/>
    <n v="595499"/>
  </r>
  <r>
    <x v="10"/>
    <x v="38"/>
    <s v="Combined Heat and Power, Industrial Power"/>
    <x v="4"/>
    <n v="305909"/>
  </r>
  <r>
    <x v="10"/>
    <x v="38"/>
    <s v="Combined Heat and Power, Industrial Power"/>
    <x v="6"/>
    <n v="497612"/>
  </r>
  <r>
    <x v="10"/>
    <x v="38"/>
    <s v="Combined Heat and Power, Electric Power"/>
    <x v="0"/>
    <n v="6557648"/>
  </r>
  <r>
    <x v="10"/>
    <x v="38"/>
    <s v="Combined Heat and Power, Electric Power"/>
    <x v="1"/>
    <n v="4823618"/>
  </r>
  <r>
    <x v="10"/>
    <x v="38"/>
    <s v="Combined Heat and Power, Electric Power"/>
    <x v="3"/>
    <n v="1380328"/>
  </r>
  <r>
    <x v="10"/>
    <x v="38"/>
    <s v="Combined Heat and Power, Electric Power"/>
    <x v="8"/>
    <n v="83041"/>
  </r>
  <r>
    <x v="10"/>
    <x v="38"/>
    <s v="Combined Heat and Power, Electric Power"/>
    <x v="4"/>
    <n v="76285"/>
  </r>
  <r>
    <x v="10"/>
    <x v="38"/>
    <s v="Combined Heat and Power, Electric Power"/>
    <x v="6"/>
    <n v="194376"/>
  </r>
  <r>
    <x v="10"/>
    <x v="38"/>
    <s v="Combined Heat and Power, Commercial Power"/>
    <x v="0"/>
    <n v="427993"/>
  </r>
  <r>
    <x v="10"/>
    <x v="38"/>
    <s v="Combined Heat and Power, Commercial Power"/>
    <x v="1"/>
    <n v="4651"/>
  </r>
  <r>
    <x v="10"/>
    <x v="38"/>
    <s v="Combined Heat and Power, Commercial Power"/>
    <x v="3"/>
    <n v="196842"/>
  </r>
  <r>
    <x v="10"/>
    <x v="38"/>
    <s v="Combined Heat and Power, Commercial Power"/>
    <x v="8"/>
    <n v="220650"/>
  </r>
  <r>
    <x v="10"/>
    <x v="38"/>
    <s v="Combined Heat and Power, Commercial Power"/>
    <x v="4"/>
    <n v="5850"/>
  </r>
  <r>
    <x v="10"/>
    <x v="39"/>
    <s v="Total Electric Power Industry"/>
    <x v="0"/>
    <n v="5971545"/>
  </r>
  <r>
    <x v="10"/>
    <x v="39"/>
    <s v="Total Electric Power Industry"/>
    <x v="2"/>
    <n v="4867"/>
  </r>
  <r>
    <x v="10"/>
    <x v="39"/>
    <s v="Total Electric Power Industry"/>
    <x v="3"/>
    <n v="5791814"/>
  </r>
  <r>
    <x v="10"/>
    <x v="39"/>
    <s v="Total Electric Power Industry"/>
    <x v="8"/>
    <n v="115239"/>
  </r>
  <r>
    <x v="10"/>
    <x v="39"/>
    <s v="Total Electric Power Industry"/>
    <x v="4"/>
    <n v="59625"/>
  </r>
  <r>
    <x v="10"/>
    <x v="39"/>
    <s v="Electric Generators, Independent Power Producers"/>
    <x v="0"/>
    <n v="5406284"/>
  </r>
  <r>
    <x v="10"/>
    <x v="39"/>
    <s v="Electric Generators, Independent Power Producers"/>
    <x v="2"/>
    <n v="4867"/>
  </r>
  <r>
    <x v="10"/>
    <x v="39"/>
    <s v="Electric Generators, Independent Power Producers"/>
    <x v="3"/>
    <n v="5285721"/>
  </r>
  <r>
    <x v="10"/>
    <x v="39"/>
    <s v="Electric Generators, Independent Power Producers"/>
    <x v="8"/>
    <n v="115239"/>
  </r>
  <r>
    <x v="10"/>
    <x v="39"/>
    <s v="Electric Generators, Independent Power Producers"/>
    <x v="4"/>
    <n v="457"/>
  </r>
  <r>
    <x v="10"/>
    <x v="39"/>
    <s v="Electric Generators, Electric Utilities"/>
    <x v="0"/>
    <n v="10823"/>
  </r>
  <r>
    <x v="10"/>
    <x v="39"/>
    <s v="Electric Generators, Electric Utilities"/>
    <x v="2"/>
    <n v="0"/>
  </r>
  <r>
    <x v="10"/>
    <x v="39"/>
    <s v="Electric Generators, Electric Utilities"/>
    <x v="4"/>
    <n v="10823"/>
  </r>
  <r>
    <x v="10"/>
    <x v="39"/>
    <s v="Combined Heat and Power, Industrial Power"/>
    <x v="0"/>
    <n v="2311"/>
  </r>
  <r>
    <x v="10"/>
    <x v="39"/>
    <s v="Combined Heat and Power, Industrial Power"/>
    <x v="4"/>
    <n v="2311"/>
  </r>
  <r>
    <x v="10"/>
    <x v="39"/>
    <s v="Combined Heat and Power, Electric Power"/>
    <x v="0"/>
    <n v="505561"/>
  </r>
  <r>
    <x v="10"/>
    <x v="39"/>
    <s v="Combined Heat and Power, Electric Power"/>
    <x v="3"/>
    <n v="493118"/>
  </r>
  <r>
    <x v="10"/>
    <x v="39"/>
    <s v="Combined Heat and Power, Electric Power"/>
    <x v="4"/>
    <n v="12443"/>
  </r>
  <r>
    <x v="10"/>
    <x v="39"/>
    <s v="Combined Heat and Power, Commercial Power"/>
    <x v="0"/>
    <n v="46566"/>
  </r>
  <r>
    <x v="10"/>
    <x v="39"/>
    <s v="Combined Heat and Power, Commercial Power"/>
    <x v="3"/>
    <n v="12975"/>
  </r>
  <r>
    <x v="10"/>
    <x v="39"/>
    <s v="Combined Heat and Power, Commercial Power"/>
    <x v="4"/>
    <n v="33591"/>
  </r>
  <r>
    <x v="10"/>
    <x v="40"/>
    <s v="Total Electric Power Industry"/>
    <x v="0"/>
    <n v="93346240"/>
  </r>
  <r>
    <x v="10"/>
    <x v="40"/>
    <s v="Total Electric Power Industry"/>
    <x v="1"/>
    <n v="39208376"/>
  </r>
  <r>
    <x v="10"/>
    <x v="40"/>
    <s v="Total Electric Power Industry"/>
    <x v="2"/>
    <n v="1533490"/>
  </r>
  <r>
    <x v="10"/>
    <x v="40"/>
    <s v="Total Electric Power Industry"/>
    <x v="3"/>
    <n v="932902"/>
  </r>
  <r>
    <x v="10"/>
    <x v="40"/>
    <s v="Total Electric Power Industry"/>
    <x v="7"/>
    <n v="50887700"/>
  </r>
  <r>
    <x v="10"/>
    <x v="40"/>
    <s v="Total Electric Power Industry"/>
    <x v="8"/>
    <n v="68681"/>
  </r>
  <r>
    <x v="10"/>
    <x v="40"/>
    <s v="Total Electric Power Industry"/>
    <x v="9"/>
    <n v="888"/>
  </r>
  <r>
    <x v="10"/>
    <x v="40"/>
    <s v="Total Electric Power Industry"/>
    <x v="4"/>
    <n v="445157"/>
  </r>
  <r>
    <x v="10"/>
    <x v="40"/>
    <s v="Total Electric Power Industry"/>
    <x v="10"/>
    <n v="-1082006"/>
  </r>
  <r>
    <x v="10"/>
    <x v="40"/>
    <s v="Total Electric Power Industry"/>
    <x v="6"/>
    <n v="1351052"/>
  </r>
  <r>
    <x v="10"/>
    <x v="40"/>
    <s v="Electric Generators, Independent Power Producers"/>
    <x v="0"/>
    <n v="179172"/>
  </r>
  <r>
    <x v="10"/>
    <x v="40"/>
    <s v="Electric Generators, Independent Power Producers"/>
    <x v="2"/>
    <n v="35619"/>
  </r>
  <r>
    <x v="10"/>
    <x v="40"/>
    <s v="Electric Generators, Independent Power Producers"/>
    <x v="3"/>
    <n v="112677"/>
  </r>
  <r>
    <x v="10"/>
    <x v="40"/>
    <s v="Electric Generators, Independent Power Producers"/>
    <x v="4"/>
    <n v="30876"/>
  </r>
  <r>
    <x v="10"/>
    <x v="40"/>
    <s v="Electric Generators, Electric Utilities"/>
    <x v="0"/>
    <n v="90421081"/>
  </r>
  <r>
    <x v="10"/>
    <x v="40"/>
    <s v="Electric Generators, Electric Utilities"/>
    <x v="1"/>
    <n v="38664405"/>
  </r>
  <r>
    <x v="10"/>
    <x v="40"/>
    <s v="Electric Generators, Electric Utilities"/>
    <x v="2"/>
    <n v="1497013"/>
  </r>
  <r>
    <x v="10"/>
    <x v="40"/>
    <s v="Electric Generators, Electric Utilities"/>
    <x v="3"/>
    <n v="188038"/>
  </r>
  <r>
    <x v="10"/>
    <x v="40"/>
    <s v="Electric Generators, Electric Utilities"/>
    <x v="7"/>
    <n v="50887700"/>
  </r>
  <r>
    <x v="10"/>
    <x v="40"/>
    <s v="Electric Generators, Electric Utilities"/>
    <x v="4"/>
    <n v="265931"/>
  </r>
  <r>
    <x v="10"/>
    <x v="40"/>
    <s v="Electric Generators, Electric Utilities"/>
    <x v="10"/>
    <n v="-1082006"/>
  </r>
  <r>
    <x v="10"/>
    <x v="40"/>
    <s v="Combined Heat and Power, Industrial Power"/>
    <x v="0"/>
    <n v="2114101"/>
  </r>
  <r>
    <x v="10"/>
    <x v="40"/>
    <s v="Combined Heat and Power, Industrial Power"/>
    <x v="1"/>
    <n v="543971"/>
  </r>
  <r>
    <x v="10"/>
    <x v="40"/>
    <s v="Combined Heat and Power, Industrial Power"/>
    <x v="3"/>
    <n v="65009"/>
  </r>
  <r>
    <x v="10"/>
    <x v="40"/>
    <s v="Combined Heat and Power, Industrial Power"/>
    <x v="8"/>
    <n v="6147"/>
  </r>
  <r>
    <x v="10"/>
    <x v="40"/>
    <s v="Combined Heat and Power, Industrial Power"/>
    <x v="9"/>
    <n v="888"/>
  </r>
  <r>
    <x v="10"/>
    <x v="40"/>
    <s v="Combined Heat and Power, Industrial Power"/>
    <x v="4"/>
    <n v="147034"/>
  </r>
  <r>
    <x v="10"/>
    <x v="40"/>
    <s v="Combined Heat and Power, Industrial Power"/>
    <x v="6"/>
    <n v="1351052"/>
  </r>
  <r>
    <x v="10"/>
    <x v="40"/>
    <s v="Combined Heat and Power, Electric Power"/>
    <x v="0"/>
    <n v="564735"/>
  </r>
  <r>
    <x v="10"/>
    <x v="40"/>
    <s v="Combined Heat and Power, Electric Power"/>
    <x v="3"/>
    <n v="564735"/>
  </r>
  <r>
    <x v="10"/>
    <x v="40"/>
    <s v="Combined Heat and Power, Commercial Power"/>
    <x v="0"/>
    <n v="67151"/>
  </r>
  <r>
    <x v="10"/>
    <x v="40"/>
    <s v="Combined Heat and Power, Commercial Power"/>
    <x v="2"/>
    <n v="858"/>
  </r>
  <r>
    <x v="10"/>
    <x v="40"/>
    <s v="Combined Heat and Power, Commercial Power"/>
    <x v="3"/>
    <n v="2443"/>
  </r>
  <r>
    <x v="10"/>
    <x v="40"/>
    <s v="Combined Heat and Power, Commercial Power"/>
    <x v="8"/>
    <n v="62534"/>
  </r>
  <r>
    <x v="10"/>
    <x v="40"/>
    <s v="Combined Heat and Power, Commercial Power"/>
    <x v="4"/>
    <n v="1316"/>
  </r>
  <r>
    <x v="10"/>
    <x v="41"/>
    <s v="Total Electric Power Industry"/>
    <x v="0"/>
    <n v="9697337"/>
  </r>
  <r>
    <x v="10"/>
    <x v="41"/>
    <s v="Total Electric Power Industry"/>
    <x v="1"/>
    <n v="3670576"/>
  </r>
  <r>
    <x v="10"/>
    <x v="41"/>
    <s v="Total Electric Power Industry"/>
    <x v="2"/>
    <n v="5715508"/>
  </r>
  <r>
    <x v="10"/>
    <x v="41"/>
    <s v="Total Electric Power Industry"/>
    <x v="3"/>
    <n v="259039"/>
  </r>
  <r>
    <x v="10"/>
    <x v="41"/>
    <s v="Total Electric Power Industry"/>
    <x v="4"/>
    <n v="52214"/>
  </r>
  <r>
    <x v="10"/>
    <x v="41"/>
    <s v="Electric Generators, Electric Utilities"/>
    <x v="0"/>
    <n v="9697337"/>
  </r>
  <r>
    <x v="10"/>
    <x v="41"/>
    <s v="Electric Generators, Electric Utilities"/>
    <x v="1"/>
    <n v="3670576"/>
  </r>
  <r>
    <x v="10"/>
    <x v="41"/>
    <s v="Electric Generators, Electric Utilities"/>
    <x v="2"/>
    <n v="5715508"/>
  </r>
  <r>
    <x v="10"/>
    <x v="41"/>
    <s v="Electric Generators, Electric Utilities"/>
    <x v="3"/>
    <n v="259039"/>
  </r>
  <r>
    <x v="10"/>
    <x v="41"/>
    <s v="Electric Generators, Electric Utilities"/>
    <x v="4"/>
    <n v="52214"/>
  </r>
  <r>
    <x v="10"/>
    <x v="42"/>
    <s v="Total Electric Power Industry"/>
    <x v="0"/>
    <n v="95838584"/>
  </r>
  <r>
    <x v="10"/>
    <x v="42"/>
    <s v="Total Electric Power Industry"/>
    <x v="1"/>
    <n v="62219510"/>
  </r>
  <r>
    <x v="10"/>
    <x v="42"/>
    <s v="Total Electric Power Industry"/>
    <x v="2"/>
    <n v="6396209"/>
  </r>
  <r>
    <x v="10"/>
    <x v="42"/>
    <s v="Total Electric Power Industry"/>
    <x v="3"/>
    <n v="648771"/>
  </r>
  <r>
    <x v="10"/>
    <x v="42"/>
    <s v="Total Electric Power Industry"/>
    <x v="7"/>
    <n v="25824858"/>
  </r>
  <r>
    <x v="10"/>
    <x v="42"/>
    <s v="Total Electric Power Industry"/>
    <x v="12"/>
    <n v="105035"/>
  </r>
  <r>
    <x v="10"/>
    <x v="42"/>
    <s v="Total Electric Power Industry"/>
    <x v="8"/>
    <n v="38805"/>
  </r>
  <r>
    <x v="10"/>
    <x v="42"/>
    <s v="Total Electric Power Industry"/>
    <x v="9"/>
    <n v="13833"/>
  </r>
  <r>
    <x v="10"/>
    <x v="42"/>
    <s v="Total Electric Power Industry"/>
    <x v="4"/>
    <n v="562170"/>
  </r>
  <r>
    <x v="10"/>
    <x v="42"/>
    <s v="Total Electric Power Industry"/>
    <x v="10"/>
    <n v="-731451"/>
  </r>
  <r>
    <x v="10"/>
    <x v="42"/>
    <s v="Total Electric Power Industry"/>
    <x v="5"/>
    <n v="0"/>
  </r>
  <r>
    <x v="10"/>
    <x v="42"/>
    <s v="Total Electric Power Industry"/>
    <x v="6"/>
    <n v="760844"/>
  </r>
  <r>
    <x v="10"/>
    <x v="42"/>
    <s v="Electric Generators, Independent Power Producers"/>
    <x v="0"/>
    <n v="273973"/>
  </r>
  <r>
    <x v="10"/>
    <x v="42"/>
    <s v="Electric Generators, Independent Power Producers"/>
    <x v="3"/>
    <n v="244746"/>
  </r>
  <r>
    <x v="10"/>
    <x v="42"/>
    <s v="Electric Generators, Independent Power Producers"/>
    <x v="8"/>
    <n v="29227"/>
  </r>
  <r>
    <x v="10"/>
    <x v="42"/>
    <s v="Electric Generators, Electric Utilities"/>
    <x v="0"/>
    <n v="92311813"/>
  </r>
  <r>
    <x v="10"/>
    <x v="42"/>
    <s v="Electric Generators, Electric Utilities"/>
    <x v="1"/>
    <n v="60675314"/>
  </r>
  <r>
    <x v="10"/>
    <x v="42"/>
    <s v="Electric Generators, Electric Utilities"/>
    <x v="2"/>
    <n v="5876058"/>
  </r>
  <r>
    <x v="10"/>
    <x v="42"/>
    <s v="Electric Generators, Electric Utilities"/>
    <x v="3"/>
    <n v="127250"/>
  </r>
  <r>
    <x v="10"/>
    <x v="42"/>
    <s v="Electric Generators, Electric Utilities"/>
    <x v="7"/>
    <n v="25824858"/>
  </r>
  <r>
    <x v="10"/>
    <x v="42"/>
    <s v="Electric Generators, Electric Utilities"/>
    <x v="4"/>
    <n v="539784"/>
  </r>
  <r>
    <x v="10"/>
    <x v="42"/>
    <s v="Electric Generators, Electric Utilities"/>
    <x v="10"/>
    <n v="-731451"/>
  </r>
  <r>
    <x v="10"/>
    <x v="42"/>
    <s v="Electric Generators, Electric Utilities"/>
    <x v="5"/>
    <n v="0"/>
  </r>
  <r>
    <x v="10"/>
    <x v="42"/>
    <s v="Combined Heat and Power, Industrial Power"/>
    <x v="0"/>
    <n v="3143260"/>
  </r>
  <r>
    <x v="10"/>
    <x v="42"/>
    <s v="Combined Heat and Power, Industrial Power"/>
    <x v="1"/>
    <n v="1491310"/>
  </r>
  <r>
    <x v="10"/>
    <x v="42"/>
    <s v="Combined Heat and Power, Industrial Power"/>
    <x v="2"/>
    <n v="520151"/>
  </r>
  <r>
    <x v="10"/>
    <x v="42"/>
    <s v="Combined Heat and Power, Industrial Power"/>
    <x v="3"/>
    <n v="227730"/>
  </r>
  <r>
    <x v="10"/>
    <x v="42"/>
    <s v="Combined Heat and Power, Industrial Power"/>
    <x v="12"/>
    <n v="105035"/>
  </r>
  <r>
    <x v="10"/>
    <x v="42"/>
    <s v="Combined Heat and Power, Industrial Power"/>
    <x v="8"/>
    <n v="2163"/>
  </r>
  <r>
    <x v="10"/>
    <x v="42"/>
    <s v="Combined Heat and Power, Industrial Power"/>
    <x v="9"/>
    <n v="13833"/>
  </r>
  <r>
    <x v="10"/>
    <x v="42"/>
    <s v="Combined Heat and Power, Industrial Power"/>
    <x v="4"/>
    <n v="22340"/>
  </r>
  <r>
    <x v="10"/>
    <x v="42"/>
    <s v="Combined Heat and Power, Industrial Power"/>
    <x v="6"/>
    <n v="760698"/>
  </r>
  <r>
    <x v="10"/>
    <x v="42"/>
    <s v="Combined Heat and Power, Electric Power"/>
    <x v="0"/>
    <n v="146"/>
  </r>
  <r>
    <x v="10"/>
    <x v="42"/>
    <s v="Combined Heat and Power, Electric Power"/>
    <x v="6"/>
    <n v="146"/>
  </r>
  <r>
    <x v="10"/>
    <x v="42"/>
    <s v="Combined Heat and Power, Commercial Power"/>
    <x v="0"/>
    <n v="109392"/>
  </r>
  <r>
    <x v="10"/>
    <x v="42"/>
    <s v="Combined Heat and Power, Commercial Power"/>
    <x v="1"/>
    <n v="52886"/>
  </r>
  <r>
    <x v="10"/>
    <x v="42"/>
    <s v="Combined Heat and Power, Commercial Power"/>
    <x v="3"/>
    <n v="49045"/>
  </r>
  <r>
    <x v="10"/>
    <x v="42"/>
    <s v="Combined Heat and Power, Commercial Power"/>
    <x v="8"/>
    <n v="7415"/>
  </r>
  <r>
    <x v="10"/>
    <x v="42"/>
    <s v="Combined Heat and Power, Commercial Power"/>
    <x v="4"/>
    <n v="46"/>
  </r>
  <r>
    <x v="10"/>
    <x v="43"/>
    <s v="Total Electric Power Industry"/>
    <x v="0"/>
    <n v="377742365"/>
  </r>
  <r>
    <x v="10"/>
    <x v="43"/>
    <s v="Total Electric Power Industry"/>
    <x v="1"/>
    <n v="140671964"/>
  </r>
  <r>
    <x v="10"/>
    <x v="43"/>
    <s v="Total Electric Power Industry"/>
    <x v="2"/>
    <n v="828963"/>
  </r>
  <r>
    <x v="10"/>
    <x v="43"/>
    <s v="Total Electric Power Industry"/>
    <x v="3"/>
    <n v="188733295"/>
  </r>
  <r>
    <x v="10"/>
    <x v="43"/>
    <s v="Total Electric Power Industry"/>
    <x v="7"/>
    <n v="37555807"/>
  </r>
  <r>
    <x v="10"/>
    <x v="43"/>
    <s v="Total Electric Power Industry"/>
    <x v="12"/>
    <n v="1568040"/>
  </r>
  <r>
    <x v="10"/>
    <x v="43"/>
    <s v="Total Electric Power Industry"/>
    <x v="8"/>
    <n v="126174"/>
  </r>
  <r>
    <x v="10"/>
    <x v="43"/>
    <s v="Total Electric Power Industry"/>
    <x v="9"/>
    <n v="3798047"/>
  </r>
  <r>
    <x v="10"/>
    <x v="43"/>
    <s v="Total Electric Power Industry"/>
    <x v="4"/>
    <n v="2815642"/>
  </r>
  <r>
    <x v="10"/>
    <x v="43"/>
    <s v="Total Electric Power Industry"/>
    <x v="13"/>
    <n v="41"/>
  </r>
  <r>
    <x v="10"/>
    <x v="43"/>
    <s v="Total Electric Power Industry"/>
    <x v="5"/>
    <n v="492146"/>
  </r>
  <r>
    <x v="10"/>
    <x v="43"/>
    <s v="Total Electric Power Industry"/>
    <x v="6"/>
    <n v="1152246"/>
  </r>
  <r>
    <x v="10"/>
    <x v="43"/>
    <s v="Electric Generators, Independent Power Producers"/>
    <x v="0"/>
    <n v="10465530"/>
  </r>
  <r>
    <x v="10"/>
    <x v="43"/>
    <s v="Electric Generators, Independent Power Producers"/>
    <x v="2"/>
    <n v="3510"/>
  </r>
  <r>
    <x v="10"/>
    <x v="43"/>
    <s v="Electric Generators, Independent Power Producers"/>
    <x v="3"/>
    <n v="9905662"/>
  </r>
  <r>
    <x v="10"/>
    <x v="43"/>
    <s v="Electric Generators, Independent Power Producers"/>
    <x v="8"/>
    <n v="42720"/>
  </r>
  <r>
    <x v="10"/>
    <x v="43"/>
    <s v="Electric Generators, Independent Power Producers"/>
    <x v="4"/>
    <n v="21492"/>
  </r>
  <r>
    <x v="10"/>
    <x v="43"/>
    <s v="Electric Generators, Independent Power Producers"/>
    <x v="5"/>
    <n v="492146"/>
  </r>
  <r>
    <x v="10"/>
    <x v="43"/>
    <s v="Electric Generators, Electric Utilities"/>
    <x v="0"/>
    <n v="297298634"/>
  </r>
  <r>
    <x v="10"/>
    <x v="43"/>
    <s v="Electric Generators, Electric Utilities"/>
    <x v="1"/>
    <n v="137876671"/>
  </r>
  <r>
    <x v="10"/>
    <x v="43"/>
    <s v="Electric Generators, Electric Utilities"/>
    <x v="2"/>
    <n v="825453"/>
  </r>
  <r>
    <x v="10"/>
    <x v="43"/>
    <s v="Electric Generators, Electric Utilities"/>
    <x v="3"/>
    <n v="119840216"/>
  </r>
  <r>
    <x v="10"/>
    <x v="43"/>
    <s v="Electric Generators, Electric Utilities"/>
    <x v="7"/>
    <n v="37555807"/>
  </r>
  <r>
    <x v="10"/>
    <x v="43"/>
    <s v="Electric Generators, Electric Utilities"/>
    <x v="4"/>
    <n v="1200446"/>
  </r>
  <r>
    <x v="10"/>
    <x v="43"/>
    <s v="Electric Generators, Electric Utilities"/>
    <x v="13"/>
    <n v="41"/>
  </r>
  <r>
    <x v="10"/>
    <x v="43"/>
    <s v="Combined Heat and Power, Industrial Power"/>
    <x v="0"/>
    <n v="40985619"/>
  </r>
  <r>
    <x v="10"/>
    <x v="43"/>
    <s v="Combined Heat and Power, Industrial Power"/>
    <x v="1"/>
    <n v="2795293"/>
  </r>
  <r>
    <x v="10"/>
    <x v="43"/>
    <s v="Combined Heat and Power, Industrial Power"/>
    <x v="3"/>
    <n v="32741972"/>
  </r>
  <r>
    <x v="10"/>
    <x v="43"/>
    <s v="Combined Heat and Power, Industrial Power"/>
    <x v="12"/>
    <n v="1464307"/>
  </r>
  <r>
    <x v="10"/>
    <x v="43"/>
    <s v="Combined Heat and Power, Industrial Power"/>
    <x v="8"/>
    <n v="55990"/>
  </r>
  <r>
    <x v="10"/>
    <x v="43"/>
    <s v="Combined Heat and Power, Industrial Power"/>
    <x v="9"/>
    <n v="2561890"/>
  </r>
  <r>
    <x v="10"/>
    <x v="43"/>
    <s v="Combined Heat and Power, Industrial Power"/>
    <x v="4"/>
    <n v="213921"/>
  </r>
  <r>
    <x v="10"/>
    <x v="43"/>
    <s v="Combined Heat and Power, Industrial Power"/>
    <x v="6"/>
    <n v="1152246"/>
  </r>
  <r>
    <x v="10"/>
    <x v="43"/>
    <s v="Combined Heat and Power, Electric Power"/>
    <x v="0"/>
    <n v="28495205"/>
  </r>
  <r>
    <x v="10"/>
    <x v="43"/>
    <s v="Combined Heat and Power, Electric Power"/>
    <x v="3"/>
    <n v="25763238"/>
  </r>
  <r>
    <x v="10"/>
    <x v="43"/>
    <s v="Combined Heat and Power, Electric Power"/>
    <x v="12"/>
    <n v="103733"/>
  </r>
  <r>
    <x v="10"/>
    <x v="43"/>
    <s v="Combined Heat and Power, Electric Power"/>
    <x v="8"/>
    <n v="17720"/>
  </r>
  <r>
    <x v="10"/>
    <x v="43"/>
    <s v="Combined Heat and Power, Electric Power"/>
    <x v="9"/>
    <n v="1236157"/>
  </r>
  <r>
    <x v="10"/>
    <x v="43"/>
    <s v="Combined Heat and Power, Electric Power"/>
    <x v="4"/>
    <n v="1374357"/>
  </r>
  <r>
    <x v="10"/>
    <x v="43"/>
    <s v="Combined Heat and Power, Commercial Power"/>
    <x v="0"/>
    <n v="497377"/>
  </r>
  <r>
    <x v="10"/>
    <x v="43"/>
    <s v="Combined Heat and Power, Commercial Power"/>
    <x v="3"/>
    <n v="482207"/>
  </r>
  <r>
    <x v="10"/>
    <x v="43"/>
    <s v="Combined Heat and Power, Commercial Power"/>
    <x v="8"/>
    <n v="9744"/>
  </r>
  <r>
    <x v="10"/>
    <x v="43"/>
    <s v="Combined Heat and Power, Commercial Power"/>
    <x v="4"/>
    <n v="5426"/>
  </r>
  <r>
    <x v="10"/>
    <x v="44"/>
    <s v="Total Electric Power Industry"/>
    <x v="0"/>
    <n v="3802105043"/>
  </r>
  <r>
    <x v="10"/>
    <x v="44"/>
    <s v="Total Electric Power Industry"/>
    <x v="1"/>
    <n v="1966264596"/>
  </r>
  <r>
    <x v="10"/>
    <x v="44"/>
    <s v="Total Electric Power Industry"/>
    <x v="11"/>
    <n v="14093158"/>
  </r>
  <r>
    <x v="10"/>
    <x v="44"/>
    <s v="Total Electric Power Industry"/>
    <x v="2"/>
    <n v="275572597"/>
  </r>
  <r>
    <x v="10"/>
    <x v="44"/>
    <s v="Total Electric Power Industry"/>
    <x v="3"/>
    <n v="601038159"/>
  </r>
  <r>
    <x v="10"/>
    <x v="44"/>
    <s v="Total Electric Power Industry"/>
    <x v="7"/>
    <n v="753892940"/>
  </r>
  <r>
    <x v="10"/>
    <x v="44"/>
    <s v="Total Electric Power Industry"/>
    <x v="12"/>
    <n v="4793914"/>
  </r>
  <r>
    <x v="10"/>
    <x v="44"/>
    <s v="Total Electric Power Industry"/>
    <x v="8"/>
    <n v="23131314"/>
  </r>
  <r>
    <x v="10"/>
    <x v="44"/>
    <s v="Total Electric Power Industry"/>
    <x v="9"/>
    <n v="13954758"/>
  </r>
  <r>
    <x v="10"/>
    <x v="44"/>
    <s v="Total Electric Power Industry"/>
    <x v="4"/>
    <n v="111220965"/>
  </r>
  <r>
    <x v="10"/>
    <x v="44"/>
    <s v="Total Electric Power Industry"/>
    <x v="10"/>
    <n v="-5538860"/>
  </r>
  <r>
    <x v="10"/>
    <x v="44"/>
    <s v="Total Electric Power Industry"/>
    <x v="13"/>
    <n v="493375"/>
  </r>
  <r>
    <x v="10"/>
    <x v="44"/>
    <s v="Total Electric Power Industry"/>
    <x v="5"/>
    <n v="5593261"/>
  </r>
  <r>
    <x v="10"/>
    <x v="44"/>
    <s v="Total Electric Power Industry"/>
    <x v="6"/>
    <n v="37594866"/>
  </r>
  <r>
    <x v="10"/>
    <x v="44"/>
    <s v="Electric Generators, Independent Power Producers"/>
    <x v="0"/>
    <n v="457539887"/>
  </r>
  <r>
    <x v="10"/>
    <x v="44"/>
    <s v="Electric Generators, Independent Power Producers"/>
    <x v="1"/>
    <n v="213956000"/>
  </r>
  <r>
    <x v="10"/>
    <x v="44"/>
    <s v="Electric Generators, Independent Power Producers"/>
    <x v="11"/>
    <n v="13941783"/>
  </r>
  <r>
    <x v="10"/>
    <x v="44"/>
    <s v="Electric Generators, Independent Power Producers"/>
    <x v="2"/>
    <n v="18182976"/>
  </r>
  <r>
    <x v="10"/>
    <x v="44"/>
    <s v="Electric Generators, Independent Power Producers"/>
    <x v="3"/>
    <n v="108712250"/>
  </r>
  <r>
    <x v="10"/>
    <x v="44"/>
    <s v="Electric Generators, Independent Power Producers"/>
    <x v="7"/>
    <n v="48460134"/>
  </r>
  <r>
    <x v="10"/>
    <x v="44"/>
    <s v="Electric Generators, Independent Power Producers"/>
    <x v="8"/>
    <n v="16233673"/>
  </r>
  <r>
    <x v="10"/>
    <x v="44"/>
    <s v="Electric Generators, Independent Power Producers"/>
    <x v="9"/>
    <n v="181116"/>
  </r>
  <r>
    <x v="10"/>
    <x v="44"/>
    <s v="Electric Generators, Independent Power Producers"/>
    <x v="4"/>
    <n v="25795235"/>
  </r>
  <r>
    <x v="10"/>
    <x v="44"/>
    <s v="Electric Generators, Independent Power Producers"/>
    <x v="10"/>
    <n v="-579296"/>
  </r>
  <r>
    <x v="10"/>
    <x v="44"/>
    <s v="Electric Generators, Independent Power Producers"/>
    <x v="13"/>
    <n v="490832"/>
  </r>
  <r>
    <x v="10"/>
    <x v="44"/>
    <s v="Electric Generators, Independent Power Producers"/>
    <x v="5"/>
    <n v="5564660"/>
  </r>
  <r>
    <x v="10"/>
    <x v="44"/>
    <s v="Electric Generators, Independent Power Producers"/>
    <x v="6"/>
    <n v="6600524"/>
  </r>
  <r>
    <x v="10"/>
    <x v="44"/>
    <s v="Electric Generators, Electric Utilities"/>
    <x v="0"/>
    <n v="3015383376"/>
  </r>
  <r>
    <x v="10"/>
    <x v="44"/>
    <s v="Electric Generators, Electric Utilities"/>
    <x v="1"/>
    <n v="1696619307"/>
  </r>
  <r>
    <x v="10"/>
    <x v="44"/>
    <s v="Electric Generators, Electric Utilities"/>
    <x v="11"/>
    <n v="151375"/>
  </r>
  <r>
    <x v="10"/>
    <x v="44"/>
    <s v="Electric Generators, Electric Utilities"/>
    <x v="2"/>
    <n v="253154717"/>
  </r>
  <r>
    <x v="10"/>
    <x v="44"/>
    <s v="Electric Generators, Electric Utilities"/>
    <x v="3"/>
    <n v="290715178"/>
  </r>
  <r>
    <x v="10"/>
    <x v="44"/>
    <s v="Electric Generators, Electric Utilities"/>
    <x v="7"/>
    <n v="705432806"/>
  </r>
  <r>
    <x v="10"/>
    <x v="44"/>
    <s v="Electric Generators, Electric Utilities"/>
    <x v="8"/>
    <n v="1358026"/>
  </r>
  <r>
    <x v="10"/>
    <x v="44"/>
    <s v="Electric Generators, Electric Utilities"/>
    <x v="4"/>
    <n v="72179917"/>
  </r>
  <r>
    <x v="10"/>
    <x v="44"/>
    <s v="Electric Generators, Electric Utilities"/>
    <x v="10"/>
    <n v="-4959564"/>
  </r>
  <r>
    <x v="10"/>
    <x v="44"/>
    <s v="Electric Generators, Electric Utilities"/>
    <x v="13"/>
    <n v="2543"/>
  </r>
  <r>
    <x v="10"/>
    <x v="44"/>
    <s v="Electric Generators, Electric Utilities"/>
    <x v="5"/>
    <n v="28601"/>
  </r>
  <r>
    <x v="10"/>
    <x v="44"/>
    <s v="Electric Generators, Electric Utilities"/>
    <x v="6"/>
    <n v="700470"/>
  </r>
  <r>
    <x v="10"/>
    <x v="44"/>
    <s v="Combined Heat and Power, Industrial Power"/>
    <x v="0"/>
    <n v="156673289"/>
  </r>
  <r>
    <x v="10"/>
    <x v="44"/>
    <s v="Combined Heat and Power, Industrial Power"/>
    <x v="1"/>
    <n v="22055972"/>
  </r>
  <r>
    <x v="10"/>
    <x v="44"/>
    <s v="Combined Heat and Power, Industrial Power"/>
    <x v="2"/>
    <n v="4135155"/>
  </r>
  <r>
    <x v="10"/>
    <x v="44"/>
    <s v="Combined Heat and Power, Industrial Power"/>
    <x v="3"/>
    <n v="78798437"/>
  </r>
  <r>
    <x v="10"/>
    <x v="44"/>
    <s v="Combined Heat and Power, Industrial Power"/>
    <x v="12"/>
    <n v="4668968"/>
  </r>
  <r>
    <x v="10"/>
    <x v="44"/>
    <s v="Combined Heat and Power, Industrial Power"/>
    <x v="8"/>
    <n v="839314"/>
  </r>
  <r>
    <x v="10"/>
    <x v="44"/>
    <s v="Combined Heat and Power, Industrial Power"/>
    <x v="9"/>
    <n v="11926758"/>
  </r>
  <r>
    <x v="10"/>
    <x v="44"/>
    <s v="Combined Heat and Power, Industrial Power"/>
    <x v="4"/>
    <n v="5596850"/>
  </r>
  <r>
    <x v="10"/>
    <x v="44"/>
    <s v="Combined Heat and Power, Industrial Power"/>
    <x v="6"/>
    <n v="28651835"/>
  </r>
  <r>
    <x v="10"/>
    <x v="44"/>
    <s v="Combined Heat and Power, Electric Power"/>
    <x v="0"/>
    <n v="164605717"/>
  </r>
  <r>
    <x v="10"/>
    <x v="44"/>
    <s v="Combined Heat and Power, Electric Power"/>
    <x v="1"/>
    <n v="32535983"/>
  </r>
  <r>
    <x v="10"/>
    <x v="44"/>
    <s v="Combined Heat and Power, Electric Power"/>
    <x v="3"/>
    <n v="118550571"/>
  </r>
  <r>
    <x v="10"/>
    <x v="44"/>
    <s v="Combined Heat and Power, Electric Power"/>
    <x v="12"/>
    <n v="124885"/>
  </r>
  <r>
    <x v="10"/>
    <x v="44"/>
    <s v="Combined Heat and Power, Electric Power"/>
    <x v="8"/>
    <n v="2715388"/>
  </r>
  <r>
    <x v="10"/>
    <x v="44"/>
    <s v="Combined Heat and Power, Electric Power"/>
    <x v="9"/>
    <n v="1846840"/>
  </r>
  <r>
    <x v="10"/>
    <x v="44"/>
    <s v="Combined Heat and Power, Electric Power"/>
    <x v="4"/>
    <n v="7216971"/>
  </r>
  <r>
    <x v="10"/>
    <x v="44"/>
    <s v="Combined Heat and Power, Electric Power"/>
    <x v="6"/>
    <n v="1615079"/>
  </r>
  <r>
    <x v="10"/>
    <x v="44"/>
    <s v="Combined Heat and Power, Commercial Power"/>
    <x v="0"/>
    <n v="7902774"/>
  </r>
  <r>
    <x v="10"/>
    <x v="44"/>
    <s v="Combined Heat and Power, Commercial Power"/>
    <x v="1"/>
    <n v="1097334"/>
  </r>
  <r>
    <x v="10"/>
    <x v="44"/>
    <s v="Combined Heat and Power, Commercial Power"/>
    <x v="2"/>
    <n v="99749"/>
  </r>
  <r>
    <x v="10"/>
    <x v="44"/>
    <s v="Combined Heat and Power, Commercial Power"/>
    <x v="3"/>
    <n v="4261723"/>
  </r>
  <r>
    <x v="10"/>
    <x v="44"/>
    <s v="Combined Heat and Power, Commercial Power"/>
    <x v="12"/>
    <n v="61"/>
  </r>
  <r>
    <x v="10"/>
    <x v="44"/>
    <s v="Combined Heat and Power, Commercial Power"/>
    <x v="8"/>
    <n v="1984913"/>
  </r>
  <r>
    <x v="10"/>
    <x v="44"/>
    <s v="Combined Heat and Power, Commercial Power"/>
    <x v="9"/>
    <n v="44"/>
  </r>
  <r>
    <x v="10"/>
    <x v="44"/>
    <s v="Combined Heat and Power, Commercial Power"/>
    <x v="4"/>
    <n v="431992"/>
  </r>
  <r>
    <x v="10"/>
    <x v="44"/>
    <s v="Combined Heat and Power, Commercial Power"/>
    <x v="6"/>
    <n v="26958"/>
  </r>
  <r>
    <x v="10"/>
    <x v="45"/>
    <s v="Total Electric Power Industry"/>
    <x v="0"/>
    <n v="36609074"/>
  </r>
  <r>
    <x v="10"/>
    <x v="45"/>
    <s v="Total Electric Power Industry"/>
    <x v="1"/>
    <n v="34491424"/>
  </r>
  <r>
    <x v="10"/>
    <x v="45"/>
    <s v="Total Electric Power Industry"/>
    <x v="11"/>
    <n v="151843"/>
  </r>
  <r>
    <x v="10"/>
    <x v="45"/>
    <s v="Total Electric Power Industry"/>
    <x v="2"/>
    <n v="746125"/>
  </r>
  <r>
    <x v="10"/>
    <x v="45"/>
    <s v="Total Electric Power Industry"/>
    <x v="3"/>
    <n v="890228"/>
  </r>
  <r>
    <x v="10"/>
    <x v="45"/>
    <s v="Total Electric Power Industry"/>
    <x v="8"/>
    <n v="9110"/>
  </r>
  <r>
    <x v="10"/>
    <x v="45"/>
    <s v="Total Electric Power Industry"/>
    <x v="9"/>
    <n v="257857"/>
  </r>
  <r>
    <x v="10"/>
    <x v="45"/>
    <s v="Total Electric Power Industry"/>
    <x v="4"/>
    <n v="57971"/>
  </r>
  <r>
    <x v="10"/>
    <x v="45"/>
    <s v="Total Electric Power Industry"/>
    <x v="10"/>
    <n v="4516"/>
  </r>
  <r>
    <x v="10"/>
    <x v="45"/>
    <s v="Electric Generators, Independent Power Producers"/>
    <x v="0"/>
    <n v="439593"/>
  </r>
  <r>
    <x v="10"/>
    <x v="45"/>
    <s v="Electric Generators, Independent Power Producers"/>
    <x v="1"/>
    <n v="430408"/>
  </r>
  <r>
    <x v="10"/>
    <x v="45"/>
    <s v="Electric Generators, Independent Power Producers"/>
    <x v="2"/>
    <n v="8295"/>
  </r>
  <r>
    <x v="10"/>
    <x v="45"/>
    <s v="Electric Generators, Independent Power Producers"/>
    <x v="4"/>
    <n v="890"/>
  </r>
  <r>
    <x v="10"/>
    <x v="45"/>
    <s v="Electric Generators, Electric Utilities"/>
    <x v="0"/>
    <n v="35827490"/>
  </r>
  <r>
    <x v="10"/>
    <x v="45"/>
    <s v="Electric Generators, Electric Utilities"/>
    <x v="1"/>
    <n v="34045804"/>
  </r>
  <r>
    <x v="10"/>
    <x v="45"/>
    <s v="Electric Generators, Electric Utilities"/>
    <x v="11"/>
    <n v="151843"/>
  </r>
  <r>
    <x v="10"/>
    <x v="45"/>
    <s v="Electric Generators, Electric Utilities"/>
    <x v="2"/>
    <n v="737830"/>
  </r>
  <r>
    <x v="10"/>
    <x v="45"/>
    <s v="Electric Generators, Electric Utilities"/>
    <x v="3"/>
    <n v="830557"/>
  </r>
  <r>
    <x v="10"/>
    <x v="45"/>
    <s v="Electric Generators, Electric Utilities"/>
    <x v="4"/>
    <n v="56940"/>
  </r>
  <r>
    <x v="10"/>
    <x v="45"/>
    <s v="Electric Generators, Electric Utilities"/>
    <x v="10"/>
    <n v="4516"/>
  </r>
  <r>
    <x v="10"/>
    <x v="45"/>
    <s v="Combined Heat and Power, Industrial Power"/>
    <x v="0"/>
    <n v="308256"/>
  </r>
  <r>
    <x v="10"/>
    <x v="45"/>
    <s v="Combined Heat and Power, Industrial Power"/>
    <x v="1"/>
    <n v="15212"/>
  </r>
  <r>
    <x v="10"/>
    <x v="45"/>
    <s v="Combined Heat and Power, Industrial Power"/>
    <x v="3"/>
    <n v="35187"/>
  </r>
  <r>
    <x v="10"/>
    <x v="45"/>
    <s v="Combined Heat and Power, Industrial Power"/>
    <x v="9"/>
    <n v="257857"/>
  </r>
  <r>
    <x v="10"/>
    <x v="45"/>
    <s v="Combined Heat and Power, Electric Power"/>
    <x v="0"/>
    <n v="9133"/>
  </r>
  <r>
    <x v="10"/>
    <x v="45"/>
    <s v="Combined Heat and Power, Electric Power"/>
    <x v="8"/>
    <n v="9110"/>
  </r>
  <r>
    <x v="10"/>
    <x v="45"/>
    <s v="Combined Heat and Power, Electric Power"/>
    <x v="4"/>
    <n v="23"/>
  </r>
  <r>
    <x v="10"/>
    <x v="45"/>
    <s v="Combined Heat and Power, Commercial Power"/>
    <x v="0"/>
    <n v="24602"/>
  </r>
  <r>
    <x v="10"/>
    <x v="45"/>
    <s v="Combined Heat and Power, Commercial Power"/>
    <x v="3"/>
    <n v="24484"/>
  </r>
  <r>
    <x v="10"/>
    <x v="45"/>
    <s v="Combined Heat and Power, Commercial Power"/>
    <x v="4"/>
    <n v="118"/>
  </r>
  <r>
    <x v="10"/>
    <x v="46"/>
    <s v="Total Electric Power Industry"/>
    <x v="0"/>
    <n v="77189370"/>
  </r>
  <r>
    <x v="10"/>
    <x v="46"/>
    <s v="Total Electric Power Industry"/>
    <x v="1"/>
    <n v="39761316"/>
  </r>
  <r>
    <x v="10"/>
    <x v="46"/>
    <s v="Total Electric Power Industry"/>
    <x v="2"/>
    <n v="711983"/>
  </r>
  <r>
    <x v="10"/>
    <x v="46"/>
    <s v="Total Electric Power Industry"/>
    <x v="3"/>
    <n v="4653327"/>
  </r>
  <r>
    <x v="10"/>
    <x v="46"/>
    <s v="Total Electric Power Industry"/>
    <x v="7"/>
    <n v="28321091"/>
  </r>
  <r>
    <x v="10"/>
    <x v="46"/>
    <s v="Total Electric Power Industry"/>
    <x v="8"/>
    <n v="466931"/>
  </r>
  <r>
    <x v="10"/>
    <x v="46"/>
    <s v="Total Electric Power Industry"/>
    <x v="4"/>
    <n v="2938544"/>
  </r>
  <r>
    <x v="10"/>
    <x v="46"/>
    <s v="Total Electric Power Industry"/>
    <x v="10"/>
    <n v="-1340991"/>
  </r>
  <r>
    <x v="10"/>
    <x v="46"/>
    <s v="Total Electric Power Industry"/>
    <x v="13"/>
    <n v="0"/>
  </r>
  <r>
    <x v="10"/>
    <x v="46"/>
    <s v="Total Electric Power Industry"/>
    <x v="6"/>
    <n v="1677169"/>
  </r>
  <r>
    <x v="10"/>
    <x v="46"/>
    <s v="Electric Generators, Independent Power Producers"/>
    <x v="0"/>
    <n v="2857726"/>
  </r>
  <r>
    <x v="10"/>
    <x v="46"/>
    <s v="Electric Generators, Independent Power Producers"/>
    <x v="1"/>
    <n v="106285"/>
  </r>
  <r>
    <x v="10"/>
    <x v="46"/>
    <s v="Electric Generators, Independent Power Producers"/>
    <x v="2"/>
    <n v="49791"/>
  </r>
  <r>
    <x v="10"/>
    <x v="46"/>
    <s v="Electric Generators, Independent Power Producers"/>
    <x v="3"/>
    <n v="2160804"/>
  </r>
  <r>
    <x v="10"/>
    <x v="46"/>
    <s v="Electric Generators, Independent Power Producers"/>
    <x v="8"/>
    <n v="92143"/>
  </r>
  <r>
    <x v="10"/>
    <x v="46"/>
    <s v="Electric Generators, Independent Power Producers"/>
    <x v="4"/>
    <n v="122651"/>
  </r>
  <r>
    <x v="10"/>
    <x v="46"/>
    <s v="Electric Generators, Independent Power Producers"/>
    <x v="6"/>
    <n v="326052"/>
  </r>
  <r>
    <x v="10"/>
    <x v="46"/>
    <s v="Electric Generators, Electric Utilities"/>
    <x v="0"/>
    <n v="65842720"/>
  </r>
  <r>
    <x v="10"/>
    <x v="46"/>
    <s v="Electric Generators, Electric Utilities"/>
    <x v="1"/>
    <n v="33964556"/>
  </r>
  <r>
    <x v="10"/>
    <x v="46"/>
    <s v="Electric Generators, Electric Utilities"/>
    <x v="2"/>
    <n v="649614"/>
  </r>
  <r>
    <x v="10"/>
    <x v="46"/>
    <s v="Electric Generators, Electric Utilities"/>
    <x v="3"/>
    <n v="1839850"/>
  </r>
  <r>
    <x v="10"/>
    <x v="46"/>
    <s v="Electric Generators, Electric Utilities"/>
    <x v="7"/>
    <n v="28321091"/>
  </r>
  <r>
    <x v="10"/>
    <x v="46"/>
    <s v="Electric Generators, Electric Utilities"/>
    <x v="4"/>
    <n v="2408600"/>
  </r>
  <r>
    <x v="10"/>
    <x v="46"/>
    <s v="Electric Generators, Electric Utilities"/>
    <x v="10"/>
    <n v="-1340991"/>
  </r>
  <r>
    <x v="10"/>
    <x v="46"/>
    <s v="Electric Generators, Electric Utilities"/>
    <x v="13"/>
    <n v="0"/>
  </r>
  <r>
    <x v="10"/>
    <x v="46"/>
    <s v="Combined Heat and Power, Industrial Power"/>
    <x v="0"/>
    <n v="2538385"/>
  </r>
  <r>
    <x v="10"/>
    <x v="46"/>
    <s v="Combined Heat and Power, Industrial Power"/>
    <x v="1"/>
    <n v="895277"/>
  </r>
  <r>
    <x v="10"/>
    <x v="46"/>
    <s v="Combined Heat and Power, Industrial Power"/>
    <x v="2"/>
    <n v="12578"/>
  </r>
  <r>
    <x v="10"/>
    <x v="46"/>
    <s v="Combined Heat and Power, Industrial Power"/>
    <x v="3"/>
    <n v="151687"/>
  </r>
  <r>
    <x v="10"/>
    <x v="46"/>
    <s v="Combined Heat and Power, Industrial Power"/>
    <x v="8"/>
    <n v="4067"/>
  </r>
  <r>
    <x v="10"/>
    <x v="46"/>
    <s v="Combined Heat and Power, Industrial Power"/>
    <x v="4"/>
    <n v="132567"/>
  </r>
  <r>
    <x v="10"/>
    <x v="46"/>
    <s v="Combined Heat and Power, Industrial Power"/>
    <x v="6"/>
    <n v="1342209"/>
  </r>
  <r>
    <x v="10"/>
    <x v="46"/>
    <s v="Combined Heat and Power, Electric Power"/>
    <x v="0"/>
    <n v="5344130"/>
  </r>
  <r>
    <x v="10"/>
    <x v="46"/>
    <s v="Combined Heat and Power, Electric Power"/>
    <x v="1"/>
    <n v="4782233"/>
  </r>
  <r>
    <x v="10"/>
    <x v="46"/>
    <s v="Combined Heat and Power, Electric Power"/>
    <x v="3"/>
    <n v="367403"/>
  </r>
  <r>
    <x v="10"/>
    <x v="46"/>
    <s v="Combined Heat and Power, Electric Power"/>
    <x v="8"/>
    <n v="15238"/>
  </r>
  <r>
    <x v="10"/>
    <x v="46"/>
    <s v="Combined Heat and Power, Electric Power"/>
    <x v="4"/>
    <n v="170348"/>
  </r>
  <r>
    <x v="10"/>
    <x v="46"/>
    <s v="Combined Heat and Power, Electric Power"/>
    <x v="6"/>
    <n v="8908"/>
  </r>
  <r>
    <x v="10"/>
    <x v="46"/>
    <s v="Combined Heat and Power, Commercial Power"/>
    <x v="0"/>
    <n v="606409"/>
  </r>
  <r>
    <x v="10"/>
    <x v="46"/>
    <s v="Combined Heat and Power, Commercial Power"/>
    <x v="1"/>
    <n v="12965"/>
  </r>
  <r>
    <x v="10"/>
    <x v="46"/>
    <s v="Combined Heat and Power, Commercial Power"/>
    <x v="3"/>
    <n v="133583"/>
  </r>
  <r>
    <x v="10"/>
    <x v="46"/>
    <s v="Combined Heat and Power, Commercial Power"/>
    <x v="8"/>
    <n v="355483"/>
  </r>
  <r>
    <x v="10"/>
    <x v="46"/>
    <s v="Combined Heat and Power, Commercial Power"/>
    <x v="4"/>
    <n v="104378"/>
  </r>
  <r>
    <x v="10"/>
    <x v="47"/>
    <s v="Total Electric Power Industry"/>
    <x v="0"/>
    <n v="6303014"/>
  </r>
  <r>
    <x v="10"/>
    <x v="47"/>
    <s v="Total Electric Power Industry"/>
    <x v="2"/>
    <n v="1221090"/>
  </r>
  <r>
    <x v="10"/>
    <x v="47"/>
    <s v="Total Electric Power Industry"/>
    <x v="3"/>
    <n v="90790"/>
  </r>
  <r>
    <x v="10"/>
    <x v="47"/>
    <s v="Total Electric Power Industry"/>
    <x v="7"/>
    <n v="4548065"/>
  </r>
  <r>
    <x v="10"/>
    <x v="47"/>
    <s v="Total Electric Power Industry"/>
    <x v="9"/>
    <n v="22417"/>
  </r>
  <r>
    <x v="10"/>
    <x v="47"/>
    <s v="Total Electric Power Industry"/>
    <x v="4"/>
    <n v="60880"/>
  </r>
  <r>
    <x v="10"/>
    <x v="47"/>
    <s v="Total Electric Power Industry"/>
    <x v="5"/>
    <n v="12249"/>
  </r>
  <r>
    <x v="10"/>
    <x v="47"/>
    <s v="Total Electric Power Industry"/>
    <x v="6"/>
    <n v="347523"/>
  </r>
  <r>
    <x v="10"/>
    <x v="47"/>
    <s v="Electric Generators, Independent Power Producers"/>
    <x v="0"/>
    <n v="957848"/>
  </r>
  <r>
    <x v="10"/>
    <x v="47"/>
    <s v="Electric Generators, Independent Power Producers"/>
    <x v="2"/>
    <n v="781015"/>
  </r>
  <r>
    <x v="10"/>
    <x v="47"/>
    <s v="Electric Generators, Independent Power Producers"/>
    <x v="9"/>
    <n v="22417"/>
  </r>
  <r>
    <x v="10"/>
    <x v="47"/>
    <s v="Electric Generators, Independent Power Producers"/>
    <x v="6"/>
    <n v="154416"/>
  </r>
  <r>
    <x v="10"/>
    <x v="47"/>
    <s v="Electric Generators, Electric Utilities"/>
    <x v="0"/>
    <n v="5307016"/>
  </r>
  <r>
    <x v="10"/>
    <x v="47"/>
    <s v="Electric Generators, Electric Utilities"/>
    <x v="2"/>
    <n v="419908"/>
  </r>
  <r>
    <x v="10"/>
    <x v="47"/>
    <s v="Electric Generators, Electric Utilities"/>
    <x v="3"/>
    <n v="90790"/>
  </r>
  <r>
    <x v="10"/>
    <x v="47"/>
    <s v="Electric Generators, Electric Utilities"/>
    <x v="7"/>
    <n v="4548065"/>
  </r>
  <r>
    <x v="10"/>
    <x v="47"/>
    <s v="Electric Generators, Electric Utilities"/>
    <x v="4"/>
    <n v="60660"/>
  </r>
  <r>
    <x v="10"/>
    <x v="47"/>
    <s v="Electric Generators, Electric Utilities"/>
    <x v="5"/>
    <n v="12249"/>
  </r>
  <r>
    <x v="10"/>
    <x v="47"/>
    <s v="Electric Generators, Electric Utilities"/>
    <x v="6"/>
    <n v="175344"/>
  </r>
  <r>
    <x v="10"/>
    <x v="47"/>
    <s v="Combined Heat and Power, Industrial Power"/>
    <x v="0"/>
    <n v="38150"/>
  </r>
  <r>
    <x v="10"/>
    <x v="47"/>
    <s v="Combined Heat and Power, Industrial Power"/>
    <x v="2"/>
    <n v="20167"/>
  </r>
  <r>
    <x v="10"/>
    <x v="47"/>
    <s v="Combined Heat and Power, Industrial Power"/>
    <x v="4"/>
    <n v="220"/>
  </r>
  <r>
    <x v="10"/>
    <x v="47"/>
    <s v="Combined Heat and Power, Industrial Power"/>
    <x v="6"/>
    <n v="17763"/>
  </r>
  <r>
    <x v="10"/>
    <x v="48"/>
    <s v="Total Electric Power Industry"/>
    <x v="0"/>
    <n v="108236880"/>
  </r>
  <r>
    <x v="10"/>
    <x v="48"/>
    <s v="Total Electric Power Industry"/>
    <x v="1"/>
    <n v="9444564"/>
  </r>
  <r>
    <x v="10"/>
    <x v="48"/>
    <s v="Total Electric Power Industry"/>
    <x v="2"/>
    <n v="80262889"/>
  </r>
  <r>
    <x v="10"/>
    <x v="48"/>
    <s v="Total Electric Power Industry"/>
    <x v="3"/>
    <n v="7700226"/>
  </r>
  <r>
    <x v="10"/>
    <x v="48"/>
    <s v="Total Electric Power Industry"/>
    <x v="7"/>
    <n v="8605232"/>
  </r>
  <r>
    <x v="10"/>
    <x v="48"/>
    <s v="Total Electric Power Industry"/>
    <x v="8"/>
    <n v="250667"/>
  </r>
  <r>
    <x v="10"/>
    <x v="48"/>
    <s v="Total Electric Power Industry"/>
    <x v="9"/>
    <n v="247892"/>
  </r>
  <r>
    <x v="10"/>
    <x v="48"/>
    <s v="Total Electric Power Industry"/>
    <x v="4"/>
    <n v="484512"/>
  </r>
  <r>
    <x v="10"/>
    <x v="48"/>
    <s v="Total Electric Power Industry"/>
    <x v="10"/>
    <n v="0"/>
  </r>
  <r>
    <x v="10"/>
    <x v="48"/>
    <s v="Total Electric Power Industry"/>
    <x v="6"/>
    <n v="1240898"/>
  </r>
  <r>
    <x v="10"/>
    <x v="48"/>
    <s v="Electric Generators, Independent Power Producers"/>
    <x v="0"/>
    <n v="6587551"/>
  </r>
  <r>
    <x v="10"/>
    <x v="48"/>
    <s v="Electric Generators, Independent Power Producers"/>
    <x v="1"/>
    <n v="6124647"/>
  </r>
  <r>
    <x v="10"/>
    <x v="48"/>
    <s v="Electric Generators, Independent Power Producers"/>
    <x v="2"/>
    <n v="160709"/>
  </r>
  <r>
    <x v="10"/>
    <x v="48"/>
    <s v="Electric Generators, Independent Power Producers"/>
    <x v="3"/>
    <n v="415"/>
  </r>
  <r>
    <x v="10"/>
    <x v="48"/>
    <s v="Electric Generators, Independent Power Producers"/>
    <x v="8"/>
    <n v="227349"/>
  </r>
  <r>
    <x v="10"/>
    <x v="48"/>
    <s v="Electric Generators, Independent Power Producers"/>
    <x v="4"/>
    <n v="7252"/>
  </r>
  <r>
    <x v="10"/>
    <x v="48"/>
    <s v="Electric Generators, Independent Power Producers"/>
    <x v="6"/>
    <n v="67179"/>
  </r>
  <r>
    <x v="10"/>
    <x v="48"/>
    <s v="Electric Generators, Electric Utilities"/>
    <x v="0"/>
    <n v="96227037"/>
  </r>
  <r>
    <x v="10"/>
    <x v="48"/>
    <s v="Electric Generators, Electric Utilities"/>
    <x v="1"/>
    <n v="3284393"/>
  </r>
  <r>
    <x v="10"/>
    <x v="48"/>
    <s v="Electric Generators, Electric Utilities"/>
    <x v="2"/>
    <n v="79999928"/>
  </r>
  <r>
    <x v="10"/>
    <x v="48"/>
    <s v="Electric Generators, Electric Utilities"/>
    <x v="3"/>
    <n v="3749232"/>
  </r>
  <r>
    <x v="10"/>
    <x v="48"/>
    <s v="Electric Generators, Electric Utilities"/>
    <x v="7"/>
    <n v="8605232"/>
  </r>
  <r>
    <x v="10"/>
    <x v="48"/>
    <s v="Electric Generators, Electric Utilities"/>
    <x v="8"/>
    <n v="0"/>
  </r>
  <r>
    <x v="10"/>
    <x v="48"/>
    <s v="Electric Generators, Electric Utilities"/>
    <x v="4"/>
    <n v="226078"/>
  </r>
  <r>
    <x v="10"/>
    <x v="48"/>
    <s v="Electric Generators, Electric Utilities"/>
    <x v="10"/>
    <n v="0"/>
  </r>
  <r>
    <x v="10"/>
    <x v="48"/>
    <s v="Electric Generators, Electric Utilities"/>
    <x v="6"/>
    <n v="362174"/>
  </r>
  <r>
    <x v="10"/>
    <x v="48"/>
    <s v="Combined Heat and Power, Industrial Power"/>
    <x v="0"/>
    <n v="1251320"/>
  </r>
  <r>
    <x v="10"/>
    <x v="48"/>
    <s v="Combined Heat and Power, Industrial Power"/>
    <x v="1"/>
    <n v="30053"/>
  </r>
  <r>
    <x v="10"/>
    <x v="48"/>
    <s v="Combined Heat and Power, Industrial Power"/>
    <x v="2"/>
    <n v="31841"/>
  </r>
  <r>
    <x v="10"/>
    <x v="48"/>
    <s v="Combined Heat and Power, Industrial Power"/>
    <x v="3"/>
    <n v="307080"/>
  </r>
  <r>
    <x v="10"/>
    <x v="48"/>
    <s v="Combined Heat and Power, Industrial Power"/>
    <x v="8"/>
    <n v="16029"/>
  </r>
  <r>
    <x v="10"/>
    <x v="48"/>
    <s v="Combined Heat and Power, Industrial Power"/>
    <x v="4"/>
    <n v="54772"/>
  </r>
  <r>
    <x v="10"/>
    <x v="48"/>
    <s v="Combined Heat and Power, Industrial Power"/>
    <x v="6"/>
    <n v="811545"/>
  </r>
  <r>
    <x v="10"/>
    <x v="48"/>
    <s v="Combined Heat and Power, Electric Power"/>
    <x v="0"/>
    <n v="4064720"/>
  </r>
  <r>
    <x v="10"/>
    <x v="48"/>
    <s v="Combined Heat and Power, Electric Power"/>
    <x v="3"/>
    <n v="3613752"/>
  </r>
  <r>
    <x v="10"/>
    <x v="48"/>
    <s v="Combined Heat and Power, Electric Power"/>
    <x v="8"/>
    <n v="7289"/>
  </r>
  <r>
    <x v="10"/>
    <x v="48"/>
    <s v="Combined Heat and Power, Electric Power"/>
    <x v="9"/>
    <n v="247892"/>
  </r>
  <r>
    <x v="10"/>
    <x v="48"/>
    <s v="Combined Heat and Power, Electric Power"/>
    <x v="4"/>
    <n v="195787"/>
  </r>
  <r>
    <x v="10"/>
    <x v="48"/>
    <s v="Combined Heat and Power, Commercial Power"/>
    <x v="0"/>
    <n v="106252"/>
  </r>
  <r>
    <x v="10"/>
    <x v="48"/>
    <s v="Combined Heat and Power, Commercial Power"/>
    <x v="1"/>
    <n v="5471"/>
  </r>
  <r>
    <x v="10"/>
    <x v="48"/>
    <s v="Combined Heat and Power, Commercial Power"/>
    <x v="2"/>
    <n v="70411"/>
  </r>
  <r>
    <x v="10"/>
    <x v="48"/>
    <s v="Combined Heat and Power, Commercial Power"/>
    <x v="3"/>
    <n v="29747"/>
  </r>
  <r>
    <x v="10"/>
    <x v="48"/>
    <s v="Combined Heat and Power, Commercial Power"/>
    <x v="4"/>
    <n v="623"/>
  </r>
  <r>
    <x v="10"/>
    <x v="49"/>
    <s v="Total Electric Power Industry"/>
    <x v="0"/>
    <n v="59644417"/>
  </r>
  <r>
    <x v="10"/>
    <x v="49"/>
    <s v="Total Electric Power Industry"/>
    <x v="1"/>
    <n v="42302943"/>
  </r>
  <r>
    <x v="10"/>
    <x v="49"/>
    <s v="Total Electric Power Industry"/>
    <x v="2"/>
    <n v="1985634"/>
  </r>
  <r>
    <x v="10"/>
    <x v="49"/>
    <s v="Total Electric Power Industry"/>
    <x v="3"/>
    <n v="2237475"/>
  </r>
  <r>
    <x v="10"/>
    <x v="49"/>
    <s v="Total Electric Power Industry"/>
    <x v="7"/>
    <n v="11512078"/>
  </r>
  <r>
    <x v="10"/>
    <x v="49"/>
    <s v="Total Electric Power Industry"/>
    <x v="8"/>
    <n v="310032"/>
  </r>
  <r>
    <x v="10"/>
    <x v="49"/>
    <s v="Total Electric Power Industry"/>
    <x v="4"/>
    <n v="447437"/>
  </r>
  <r>
    <x v="10"/>
    <x v="49"/>
    <s v="Total Electric Power Industry"/>
    <x v="10"/>
    <n v="5200"/>
  </r>
  <r>
    <x v="10"/>
    <x v="49"/>
    <s v="Total Electric Power Industry"/>
    <x v="5"/>
    <n v="2728"/>
  </r>
  <r>
    <x v="10"/>
    <x v="49"/>
    <s v="Total Electric Power Industry"/>
    <x v="6"/>
    <n v="840890"/>
  </r>
  <r>
    <x v="10"/>
    <x v="49"/>
    <s v="Electric Generators, Independent Power Producers"/>
    <x v="0"/>
    <n v="566985"/>
  </r>
  <r>
    <x v="10"/>
    <x v="49"/>
    <s v="Electric Generators, Independent Power Producers"/>
    <x v="1"/>
    <n v="39523"/>
  </r>
  <r>
    <x v="10"/>
    <x v="49"/>
    <s v="Electric Generators, Independent Power Producers"/>
    <x v="2"/>
    <n v="9950"/>
  </r>
  <r>
    <x v="10"/>
    <x v="49"/>
    <s v="Electric Generators, Independent Power Producers"/>
    <x v="3"/>
    <n v="339369"/>
  </r>
  <r>
    <x v="10"/>
    <x v="49"/>
    <s v="Electric Generators, Independent Power Producers"/>
    <x v="8"/>
    <n v="177051"/>
  </r>
  <r>
    <x v="10"/>
    <x v="49"/>
    <s v="Electric Generators, Independent Power Producers"/>
    <x v="4"/>
    <n v="1092"/>
  </r>
  <r>
    <x v="10"/>
    <x v="49"/>
    <s v="Electric Generators, Electric Utilities"/>
    <x v="0"/>
    <n v="55665471"/>
  </r>
  <r>
    <x v="10"/>
    <x v="49"/>
    <s v="Electric Generators, Electric Utilities"/>
    <x v="1"/>
    <n v="41057919"/>
  </r>
  <r>
    <x v="10"/>
    <x v="49"/>
    <s v="Electric Generators, Electric Utilities"/>
    <x v="2"/>
    <n v="1744201"/>
  </r>
  <r>
    <x v="10"/>
    <x v="49"/>
    <s v="Electric Generators, Electric Utilities"/>
    <x v="3"/>
    <n v="891998"/>
  </r>
  <r>
    <x v="10"/>
    <x v="49"/>
    <s v="Electric Generators, Electric Utilities"/>
    <x v="7"/>
    <n v="11512078"/>
  </r>
  <r>
    <x v="10"/>
    <x v="49"/>
    <s v="Electric Generators, Electric Utilities"/>
    <x v="8"/>
    <n v="97304"/>
  </r>
  <r>
    <x v="10"/>
    <x v="49"/>
    <s v="Electric Generators, Electric Utilities"/>
    <x v="4"/>
    <n v="191091"/>
  </r>
  <r>
    <x v="10"/>
    <x v="49"/>
    <s v="Electric Generators, Electric Utilities"/>
    <x v="10"/>
    <n v="5200"/>
  </r>
  <r>
    <x v="10"/>
    <x v="49"/>
    <s v="Electric Generators, Electric Utilities"/>
    <x v="5"/>
    <n v="2728"/>
  </r>
  <r>
    <x v="10"/>
    <x v="49"/>
    <s v="Electric Generators, Electric Utilities"/>
    <x v="6"/>
    <n v="162952"/>
  </r>
  <r>
    <x v="10"/>
    <x v="49"/>
    <s v="Combined Heat and Power, Industrial Power"/>
    <x v="0"/>
    <n v="2529825"/>
  </r>
  <r>
    <x v="10"/>
    <x v="49"/>
    <s v="Combined Heat and Power, Industrial Power"/>
    <x v="1"/>
    <n v="1163696"/>
  </r>
  <r>
    <x v="10"/>
    <x v="49"/>
    <s v="Combined Heat and Power, Industrial Power"/>
    <x v="2"/>
    <n v="227413"/>
  </r>
  <r>
    <x v="10"/>
    <x v="49"/>
    <s v="Combined Heat and Power, Industrial Power"/>
    <x v="3"/>
    <n v="213074"/>
  </r>
  <r>
    <x v="10"/>
    <x v="49"/>
    <s v="Combined Heat and Power, Industrial Power"/>
    <x v="8"/>
    <n v="8806"/>
  </r>
  <r>
    <x v="10"/>
    <x v="49"/>
    <s v="Combined Heat and Power, Industrial Power"/>
    <x v="4"/>
    <n v="238898"/>
  </r>
  <r>
    <x v="10"/>
    <x v="49"/>
    <s v="Combined Heat and Power, Industrial Power"/>
    <x v="6"/>
    <n v="677938"/>
  </r>
  <r>
    <x v="10"/>
    <x v="49"/>
    <s v="Combined Heat and Power, Electric Power"/>
    <x v="0"/>
    <n v="723405"/>
  </r>
  <r>
    <x v="10"/>
    <x v="49"/>
    <s v="Combined Heat and Power, Electric Power"/>
    <x v="3"/>
    <n v="700954"/>
  </r>
  <r>
    <x v="10"/>
    <x v="49"/>
    <s v="Combined Heat and Power, Electric Power"/>
    <x v="8"/>
    <n v="11974"/>
  </r>
  <r>
    <x v="10"/>
    <x v="49"/>
    <s v="Combined Heat and Power, Electric Power"/>
    <x v="4"/>
    <n v="10477"/>
  </r>
  <r>
    <x v="10"/>
    <x v="49"/>
    <s v="Combined Heat and Power, Commercial Power"/>
    <x v="0"/>
    <n v="158731"/>
  </r>
  <r>
    <x v="10"/>
    <x v="49"/>
    <s v="Combined Heat and Power, Commercial Power"/>
    <x v="1"/>
    <n v="41805"/>
  </r>
  <r>
    <x v="10"/>
    <x v="49"/>
    <s v="Combined Heat and Power, Commercial Power"/>
    <x v="2"/>
    <n v="4070"/>
  </r>
  <r>
    <x v="10"/>
    <x v="49"/>
    <s v="Combined Heat and Power, Commercial Power"/>
    <x v="3"/>
    <n v="92080"/>
  </r>
  <r>
    <x v="10"/>
    <x v="49"/>
    <s v="Combined Heat and Power, Commercial Power"/>
    <x v="8"/>
    <n v="14897"/>
  </r>
  <r>
    <x v="10"/>
    <x v="49"/>
    <s v="Combined Heat and Power, Commercial Power"/>
    <x v="4"/>
    <n v="5879"/>
  </r>
  <r>
    <x v="10"/>
    <x v="50"/>
    <s v="Total Electric Power Industry"/>
    <x v="0"/>
    <n v="92865176"/>
  </r>
  <r>
    <x v="10"/>
    <x v="50"/>
    <s v="Total Electric Power Industry"/>
    <x v="1"/>
    <n v="91202309"/>
  </r>
  <r>
    <x v="10"/>
    <x v="50"/>
    <s v="Total Electric Power Industry"/>
    <x v="2"/>
    <n v="1150903"/>
  </r>
  <r>
    <x v="10"/>
    <x v="50"/>
    <s v="Total Electric Power Industry"/>
    <x v="3"/>
    <n v="139519"/>
  </r>
  <r>
    <x v="10"/>
    <x v="50"/>
    <s v="Total Electric Power Industry"/>
    <x v="12"/>
    <n v="196"/>
  </r>
  <r>
    <x v="10"/>
    <x v="50"/>
    <s v="Total Electric Power Industry"/>
    <x v="8"/>
    <n v="14432"/>
  </r>
  <r>
    <x v="10"/>
    <x v="50"/>
    <s v="Total Electric Power Industry"/>
    <x v="9"/>
    <n v="95064"/>
  </r>
  <r>
    <x v="10"/>
    <x v="50"/>
    <s v="Total Electric Power Industry"/>
    <x v="4"/>
    <n v="262753"/>
  </r>
  <r>
    <x v="10"/>
    <x v="50"/>
    <s v="Electric Generators, Independent Power Producers"/>
    <x v="0"/>
    <n v="1039980"/>
  </r>
  <r>
    <x v="10"/>
    <x v="50"/>
    <s v="Electric Generators, Independent Power Producers"/>
    <x v="1"/>
    <n v="676835"/>
  </r>
  <r>
    <x v="10"/>
    <x v="50"/>
    <s v="Electric Generators, Independent Power Producers"/>
    <x v="2"/>
    <n v="360204"/>
  </r>
  <r>
    <x v="10"/>
    <x v="50"/>
    <s v="Electric Generators, Independent Power Producers"/>
    <x v="3"/>
    <n v="2941"/>
  </r>
  <r>
    <x v="10"/>
    <x v="50"/>
    <s v="Electric Generators, Electric Utilities"/>
    <x v="0"/>
    <n v="89708609"/>
  </r>
  <r>
    <x v="10"/>
    <x v="50"/>
    <s v="Electric Generators, Electric Utilities"/>
    <x v="1"/>
    <n v="89060210"/>
  </r>
  <r>
    <x v="10"/>
    <x v="50"/>
    <s v="Electric Generators, Electric Utilities"/>
    <x v="2"/>
    <n v="338012"/>
  </r>
  <r>
    <x v="10"/>
    <x v="50"/>
    <s v="Electric Generators, Electric Utilities"/>
    <x v="3"/>
    <n v="41941"/>
  </r>
  <r>
    <x v="10"/>
    <x v="50"/>
    <s v="Electric Generators, Electric Utilities"/>
    <x v="8"/>
    <n v="14432"/>
  </r>
  <r>
    <x v="10"/>
    <x v="50"/>
    <s v="Electric Generators, Electric Utilities"/>
    <x v="4"/>
    <n v="254014"/>
  </r>
  <r>
    <x v="10"/>
    <x v="50"/>
    <s v="Combined Heat and Power, Industrial Power"/>
    <x v="0"/>
    <n v="1665349"/>
  </r>
  <r>
    <x v="10"/>
    <x v="50"/>
    <s v="Combined Heat and Power, Industrial Power"/>
    <x v="1"/>
    <n v="1018119"/>
  </r>
  <r>
    <x v="10"/>
    <x v="50"/>
    <s v="Combined Heat and Power, Industrial Power"/>
    <x v="2"/>
    <n v="452687"/>
  </r>
  <r>
    <x v="10"/>
    <x v="50"/>
    <s v="Combined Heat and Power, Industrial Power"/>
    <x v="3"/>
    <n v="90544"/>
  </r>
  <r>
    <x v="10"/>
    <x v="50"/>
    <s v="Combined Heat and Power, Industrial Power"/>
    <x v="12"/>
    <n v="196"/>
  </r>
  <r>
    <x v="10"/>
    <x v="50"/>
    <s v="Combined Heat and Power, Industrial Power"/>
    <x v="9"/>
    <n v="95064"/>
  </r>
  <r>
    <x v="10"/>
    <x v="50"/>
    <s v="Combined Heat and Power, Industrial Power"/>
    <x v="4"/>
    <n v="8739"/>
  </r>
  <r>
    <x v="10"/>
    <x v="50"/>
    <s v="Combined Heat and Power, Electric Power"/>
    <x v="0"/>
    <n v="451238"/>
  </r>
  <r>
    <x v="10"/>
    <x v="50"/>
    <s v="Combined Heat and Power, Electric Power"/>
    <x v="1"/>
    <n v="447145"/>
  </r>
  <r>
    <x v="10"/>
    <x v="50"/>
    <s v="Combined Heat and Power, Electric Power"/>
    <x v="3"/>
    <n v="4093"/>
  </r>
  <r>
    <x v="10"/>
    <x v="51"/>
    <s v="Total Electric Power Industry"/>
    <x v="0"/>
    <n v="45494280"/>
  </r>
  <r>
    <x v="10"/>
    <x v="51"/>
    <s v="Total Electric Power Industry"/>
    <x v="1"/>
    <n v="43574108"/>
  </r>
  <r>
    <x v="10"/>
    <x v="51"/>
    <s v="Total Electric Power Industry"/>
    <x v="2"/>
    <n v="1011035"/>
  </r>
  <r>
    <x v="10"/>
    <x v="51"/>
    <s v="Total Electric Power Industry"/>
    <x v="3"/>
    <n v="539136"/>
  </r>
  <r>
    <x v="10"/>
    <x v="51"/>
    <s v="Total Electric Power Industry"/>
    <x v="12"/>
    <n v="76571"/>
  </r>
  <r>
    <x v="10"/>
    <x v="51"/>
    <s v="Total Electric Power Industry"/>
    <x v="9"/>
    <n v="9353"/>
  </r>
  <r>
    <x v="10"/>
    <x v="51"/>
    <s v="Total Electric Power Industry"/>
    <x v="4"/>
    <n v="38166"/>
  </r>
  <r>
    <x v="10"/>
    <x v="51"/>
    <s v="Total Electric Power Industry"/>
    <x v="5"/>
    <n v="245911"/>
  </r>
  <r>
    <x v="10"/>
    <x v="51"/>
    <s v="Electric Generators, Independent Power Producers"/>
    <x v="0"/>
    <n v="245911"/>
  </r>
  <r>
    <x v="10"/>
    <x v="51"/>
    <s v="Electric Generators, Independent Power Producers"/>
    <x v="5"/>
    <n v="245911"/>
  </r>
  <r>
    <x v="10"/>
    <x v="51"/>
    <s v="Electric Generators, Electric Utilities"/>
    <x v="0"/>
    <n v="44585709"/>
  </r>
  <r>
    <x v="10"/>
    <x v="51"/>
    <s v="Electric Generators, Electric Utilities"/>
    <x v="1"/>
    <n v="43355361"/>
  </r>
  <r>
    <x v="10"/>
    <x v="51"/>
    <s v="Electric Generators, Electric Utilities"/>
    <x v="2"/>
    <n v="1011035"/>
  </r>
  <r>
    <x v="10"/>
    <x v="51"/>
    <s v="Electric Generators, Electric Utilities"/>
    <x v="3"/>
    <n v="184154"/>
  </r>
  <r>
    <x v="10"/>
    <x v="51"/>
    <s v="Electric Generators, Electric Utilities"/>
    <x v="4"/>
    <n v="35159"/>
  </r>
  <r>
    <x v="10"/>
    <x v="51"/>
    <s v="Electric Generators, Electric Utilities"/>
    <x v="5"/>
    <n v="0"/>
  </r>
  <r>
    <x v="10"/>
    <x v="51"/>
    <s v="Combined Heat and Power, Industrial Power"/>
    <x v="0"/>
    <n v="662660"/>
  </r>
  <r>
    <x v="10"/>
    <x v="51"/>
    <s v="Combined Heat and Power, Industrial Power"/>
    <x v="1"/>
    <n v="218747"/>
  </r>
  <r>
    <x v="10"/>
    <x v="51"/>
    <s v="Combined Heat and Power, Industrial Power"/>
    <x v="3"/>
    <n v="354982"/>
  </r>
  <r>
    <x v="10"/>
    <x v="51"/>
    <s v="Combined Heat and Power, Industrial Power"/>
    <x v="12"/>
    <n v="76571"/>
  </r>
  <r>
    <x v="10"/>
    <x v="51"/>
    <s v="Combined Heat and Power, Industrial Power"/>
    <x v="9"/>
    <n v="9353"/>
  </r>
  <r>
    <x v="10"/>
    <x v="51"/>
    <s v="Combined Heat and Power, Industrial Power"/>
    <x v="4"/>
    <n v="3007"/>
  </r>
  <r>
    <x v="11"/>
    <x v="0"/>
    <s v="Total Electric Power Industry"/>
    <x v="0"/>
    <n v="6743766"/>
  </r>
  <r>
    <x v="11"/>
    <x v="0"/>
    <s v="Total Electric Power Industry"/>
    <x v="1"/>
    <n v="564593"/>
  </r>
  <r>
    <x v="11"/>
    <x v="0"/>
    <s v="Total Electric Power Industry"/>
    <x v="2"/>
    <n v="1345665"/>
  </r>
  <r>
    <x v="11"/>
    <x v="0"/>
    <s v="Total Electric Power Industry"/>
    <x v="3"/>
    <n v="3895569"/>
  </r>
  <r>
    <x v="11"/>
    <x v="0"/>
    <s v="Total Electric Power Industry"/>
    <x v="4"/>
    <n v="936989"/>
  </r>
  <r>
    <x v="11"/>
    <x v="0"/>
    <s v="Total Electric Power Industry"/>
    <x v="5"/>
    <n v="950"/>
  </r>
  <r>
    <x v="11"/>
    <x v="0"/>
    <s v="Electric Generators, Electric Utilities"/>
    <x v="0"/>
    <n v="5416191"/>
  </r>
  <r>
    <x v="11"/>
    <x v="0"/>
    <s v="Electric Generators, Electric Utilities"/>
    <x v="1"/>
    <n v="194008"/>
  </r>
  <r>
    <x v="11"/>
    <x v="0"/>
    <s v="Electric Generators, Electric Utilities"/>
    <x v="2"/>
    <n v="1345665"/>
  </r>
  <r>
    <x v="11"/>
    <x v="0"/>
    <s v="Electric Generators, Electric Utilities"/>
    <x v="3"/>
    <n v="3027807"/>
  </r>
  <r>
    <x v="11"/>
    <x v="0"/>
    <s v="Electric Generators, Electric Utilities"/>
    <x v="4"/>
    <n v="847761"/>
  </r>
  <r>
    <x v="11"/>
    <x v="0"/>
    <s v="Electric Generators, Electric Utilities"/>
    <x v="5"/>
    <n v="950"/>
  </r>
  <r>
    <x v="11"/>
    <x v="0"/>
    <s v="Combined Heat and Power, Industrial Power"/>
    <x v="0"/>
    <n v="936915"/>
  </r>
  <r>
    <x v="11"/>
    <x v="0"/>
    <s v="Combined Heat and Power, Industrial Power"/>
    <x v="3"/>
    <n v="867762"/>
  </r>
  <r>
    <x v="11"/>
    <x v="0"/>
    <s v="Combined Heat and Power, Industrial Power"/>
    <x v="4"/>
    <n v="69153"/>
  </r>
  <r>
    <x v="11"/>
    <x v="0"/>
    <s v="Combined Heat and Power, Electric Power"/>
    <x v="0"/>
    <n v="237305"/>
  </r>
  <r>
    <x v="11"/>
    <x v="0"/>
    <s v="Combined Heat and Power, Electric Power"/>
    <x v="1"/>
    <n v="233975"/>
  </r>
  <r>
    <x v="11"/>
    <x v="0"/>
    <s v="Combined Heat and Power, Electric Power"/>
    <x v="4"/>
    <n v="3330"/>
  </r>
  <r>
    <x v="11"/>
    <x v="0"/>
    <s v="Combined Heat and Power, Commercial Power"/>
    <x v="0"/>
    <n v="153355"/>
  </r>
  <r>
    <x v="11"/>
    <x v="0"/>
    <s v="Combined Heat and Power, Commercial Power"/>
    <x v="1"/>
    <n v="136610"/>
  </r>
  <r>
    <x v="11"/>
    <x v="0"/>
    <s v="Combined Heat and Power, Commercial Power"/>
    <x v="4"/>
    <n v="16745"/>
  </r>
  <r>
    <x v="11"/>
    <x v="1"/>
    <s v="Total Electric Power Industry"/>
    <x v="0"/>
    <n v="125345113"/>
  </r>
  <r>
    <x v="11"/>
    <x v="1"/>
    <s v="Total Electric Power Industry"/>
    <x v="1"/>
    <n v="72198114"/>
  </r>
  <r>
    <x v="11"/>
    <x v="1"/>
    <s v="Total Electric Power Industry"/>
    <x v="2"/>
    <n v="8356382"/>
  </r>
  <r>
    <x v="11"/>
    <x v="1"/>
    <s v="Total Electric Power Industry"/>
    <x v="3"/>
    <n v="9612682"/>
  </r>
  <r>
    <x v="11"/>
    <x v="1"/>
    <s v="Total Electric Power Industry"/>
    <x v="7"/>
    <n v="30357063"/>
  </r>
  <r>
    <x v="11"/>
    <x v="1"/>
    <s v="Total Electric Power Industry"/>
    <x v="12"/>
    <n v="7812"/>
  </r>
  <r>
    <x v="11"/>
    <x v="1"/>
    <s v="Total Electric Power Industry"/>
    <x v="8"/>
    <n v="17107"/>
  </r>
  <r>
    <x v="11"/>
    <x v="1"/>
    <s v="Total Electric Power Industry"/>
    <x v="9"/>
    <n v="189147"/>
  </r>
  <r>
    <x v="11"/>
    <x v="1"/>
    <s v="Total Electric Power Industry"/>
    <x v="4"/>
    <n v="434549"/>
  </r>
  <r>
    <x v="11"/>
    <x v="1"/>
    <s v="Total Electric Power Industry"/>
    <x v="6"/>
    <n v="4172257"/>
  </r>
  <r>
    <x v="11"/>
    <x v="1"/>
    <s v="Electric Generators, Independent Power Producers"/>
    <x v="0"/>
    <n v="44733"/>
  </r>
  <r>
    <x v="11"/>
    <x v="1"/>
    <s v="Electric Generators, Independent Power Producers"/>
    <x v="3"/>
    <n v="44733"/>
  </r>
  <r>
    <x v="11"/>
    <x v="1"/>
    <s v="Electric Generators, Electric Utilities"/>
    <x v="0"/>
    <n v="118744284"/>
  </r>
  <r>
    <x v="11"/>
    <x v="1"/>
    <s v="Electric Generators, Electric Utilities"/>
    <x v="1"/>
    <n v="71483576"/>
  </r>
  <r>
    <x v="11"/>
    <x v="1"/>
    <s v="Electric Generators, Electric Utilities"/>
    <x v="2"/>
    <n v="8356382"/>
  </r>
  <r>
    <x v="11"/>
    <x v="1"/>
    <s v="Electric Generators, Electric Utilities"/>
    <x v="3"/>
    <n v="8284663"/>
  </r>
  <r>
    <x v="11"/>
    <x v="1"/>
    <s v="Electric Generators, Electric Utilities"/>
    <x v="7"/>
    <n v="30357063"/>
  </r>
  <r>
    <x v="11"/>
    <x v="1"/>
    <s v="Electric Generators, Electric Utilities"/>
    <x v="4"/>
    <n v="262600"/>
  </r>
  <r>
    <x v="11"/>
    <x v="1"/>
    <s v="Combined Heat and Power, Industrial Power"/>
    <x v="0"/>
    <n v="5858084"/>
  </r>
  <r>
    <x v="11"/>
    <x v="1"/>
    <s v="Combined Heat and Power, Industrial Power"/>
    <x v="1"/>
    <n v="446862"/>
  </r>
  <r>
    <x v="11"/>
    <x v="1"/>
    <s v="Combined Heat and Power, Industrial Power"/>
    <x v="3"/>
    <n v="1073116"/>
  </r>
  <r>
    <x v="11"/>
    <x v="1"/>
    <s v="Combined Heat and Power, Industrial Power"/>
    <x v="12"/>
    <n v="7812"/>
  </r>
  <r>
    <x v="11"/>
    <x v="1"/>
    <s v="Combined Heat and Power, Industrial Power"/>
    <x v="8"/>
    <n v="17107"/>
  </r>
  <r>
    <x v="11"/>
    <x v="1"/>
    <s v="Combined Heat and Power, Industrial Power"/>
    <x v="9"/>
    <n v="189147"/>
  </r>
  <r>
    <x v="11"/>
    <x v="1"/>
    <s v="Combined Heat and Power, Industrial Power"/>
    <x v="4"/>
    <n v="169219"/>
  </r>
  <r>
    <x v="11"/>
    <x v="1"/>
    <s v="Combined Heat and Power, Industrial Power"/>
    <x v="6"/>
    <n v="3954821"/>
  </r>
  <r>
    <x v="11"/>
    <x v="1"/>
    <s v="Combined Heat and Power, Electric Power"/>
    <x v="0"/>
    <n v="698012"/>
  </r>
  <r>
    <x v="11"/>
    <x v="1"/>
    <s v="Combined Heat and Power, Electric Power"/>
    <x v="1"/>
    <n v="267676"/>
  </r>
  <r>
    <x v="11"/>
    <x v="1"/>
    <s v="Combined Heat and Power, Electric Power"/>
    <x v="3"/>
    <n v="210170"/>
  </r>
  <r>
    <x v="11"/>
    <x v="1"/>
    <s v="Combined Heat and Power, Electric Power"/>
    <x v="4"/>
    <n v="2730"/>
  </r>
  <r>
    <x v="11"/>
    <x v="1"/>
    <s v="Combined Heat and Power, Electric Power"/>
    <x v="6"/>
    <n v="217436"/>
  </r>
  <r>
    <x v="11"/>
    <x v="2"/>
    <s v="Total Electric Power Industry"/>
    <x v="0"/>
    <n v="47192035"/>
  </r>
  <r>
    <x v="11"/>
    <x v="2"/>
    <s v="Total Electric Power Industry"/>
    <x v="1"/>
    <n v="24764471"/>
  </r>
  <r>
    <x v="11"/>
    <x v="2"/>
    <s v="Total Electric Power Industry"/>
    <x v="2"/>
    <n v="2548250"/>
  </r>
  <r>
    <x v="11"/>
    <x v="2"/>
    <s v="Total Electric Power Industry"/>
    <x v="3"/>
    <n v="2706900"/>
  </r>
  <r>
    <x v="11"/>
    <x v="2"/>
    <s v="Total Electric Power Industry"/>
    <x v="7"/>
    <n v="14780789"/>
  </r>
  <r>
    <x v="11"/>
    <x v="2"/>
    <s v="Total Electric Power Industry"/>
    <x v="12"/>
    <n v="235"/>
  </r>
  <r>
    <x v="11"/>
    <x v="2"/>
    <s v="Total Electric Power Industry"/>
    <x v="8"/>
    <n v="7303"/>
  </r>
  <r>
    <x v="11"/>
    <x v="2"/>
    <s v="Total Electric Power Industry"/>
    <x v="4"/>
    <n v="879393"/>
  </r>
  <r>
    <x v="11"/>
    <x v="2"/>
    <s v="Total Electric Power Industry"/>
    <x v="6"/>
    <n v="1504694"/>
  </r>
  <r>
    <x v="11"/>
    <x v="2"/>
    <s v="Electric Generators, Independent Power Producers"/>
    <x v="0"/>
    <n v="30"/>
  </r>
  <r>
    <x v="11"/>
    <x v="2"/>
    <s v="Electric Generators, Independent Power Producers"/>
    <x v="2"/>
    <n v="30"/>
  </r>
  <r>
    <x v="11"/>
    <x v="2"/>
    <s v="Electric Generators, Electric Utilities"/>
    <x v="0"/>
    <n v="44728133"/>
  </r>
  <r>
    <x v="11"/>
    <x v="2"/>
    <s v="Electric Generators, Electric Utilities"/>
    <x v="1"/>
    <n v="24678344"/>
  </r>
  <r>
    <x v="11"/>
    <x v="2"/>
    <s v="Electric Generators, Electric Utilities"/>
    <x v="2"/>
    <n v="2548220"/>
  </r>
  <r>
    <x v="11"/>
    <x v="2"/>
    <s v="Electric Generators, Electric Utilities"/>
    <x v="3"/>
    <n v="1874675"/>
  </r>
  <r>
    <x v="11"/>
    <x v="2"/>
    <s v="Electric Generators, Electric Utilities"/>
    <x v="7"/>
    <n v="14780789"/>
  </r>
  <r>
    <x v="11"/>
    <x v="2"/>
    <s v="Electric Generators, Electric Utilities"/>
    <x v="4"/>
    <n v="846105"/>
  </r>
  <r>
    <x v="11"/>
    <x v="2"/>
    <s v="Combined Heat and Power, Industrial Power"/>
    <x v="0"/>
    <n v="1916481"/>
  </r>
  <r>
    <x v="11"/>
    <x v="2"/>
    <s v="Combined Heat and Power, Industrial Power"/>
    <x v="1"/>
    <n v="86127"/>
  </r>
  <r>
    <x v="11"/>
    <x v="2"/>
    <s v="Combined Heat and Power, Industrial Power"/>
    <x v="3"/>
    <n v="290109"/>
  </r>
  <r>
    <x v="11"/>
    <x v="2"/>
    <s v="Combined Heat and Power, Industrial Power"/>
    <x v="12"/>
    <n v="235"/>
  </r>
  <r>
    <x v="11"/>
    <x v="2"/>
    <s v="Combined Heat and Power, Industrial Power"/>
    <x v="8"/>
    <n v="2028"/>
  </r>
  <r>
    <x v="11"/>
    <x v="2"/>
    <s v="Combined Heat and Power, Industrial Power"/>
    <x v="4"/>
    <n v="33288"/>
  </r>
  <r>
    <x v="11"/>
    <x v="2"/>
    <s v="Combined Heat and Power, Industrial Power"/>
    <x v="6"/>
    <n v="1504694"/>
  </r>
  <r>
    <x v="11"/>
    <x v="2"/>
    <s v="Combined Heat and Power, Electric Power"/>
    <x v="0"/>
    <n v="538783"/>
  </r>
  <r>
    <x v="11"/>
    <x v="2"/>
    <s v="Combined Heat and Power, Electric Power"/>
    <x v="3"/>
    <n v="538783"/>
  </r>
  <r>
    <x v="11"/>
    <x v="2"/>
    <s v="Combined Heat and Power, Electric Power"/>
    <x v="4"/>
    <n v="0"/>
  </r>
  <r>
    <x v="11"/>
    <x v="2"/>
    <s v="Combined Heat and Power, Commercial Power"/>
    <x v="0"/>
    <n v="8608"/>
  </r>
  <r>
    <x v="11"/>
    <x v="2"/>
    <s v="Combined Heat and Power, Commercial Power"/>
    <x v="3"/>
    <n v="3333"/>
  </r>
  <r>
    <x v="11"/>
    <x v="2"/>
    <s v="Combined Heat and Power, Commercial Power"/>
    <x v="8"/>
    <n v="5275"/>
  </r>
  <r>
    <x v="11"/>
    <x v="3"/>
    <s v="Total Electric Power Industry"/>
    <x v="0"/>
    <n v="89911272"/>
  </r>
  <r>
    <x v="11"/>
    <x v="3"/>
    <s v="Total Electric Power Industry"/>
    <x v="1"/>
    <n v="40061494"/>
  </r>
  <r>
    <x v="11"/>
    <x v="3"/>
    <s v="Total Electric Power Industry"/>
    <x v="2"/>
    <n v="7623565"/>
  </r>
  <r>
    <x v="11"/>
    <x v="3"/>
    <s v="Total Electric Power Industry"/>
    <x v="3"/>
    <n v="12872200"/>
  </r>
  <r>
    <x v="11"/>
    <x v="3"/>
    <s v="Total Electric Power Industry"/>
    <x v="7"/>
    <n v="28724076"/>
  </r>
  <r>
    <x v="11"/>
    <x v="3"/>
    <s v="Total Electric Power Industry"/>
    <x v="8"/>
    <n v="38948"/>
  </r>
  <r>
    <x v="11"/>
    <x v="3"/>
    <s v="Total Electric Power Industry"/>
    <x v="4"/>
    <n v="314206"/>
  </r>
  <r>
    <x v="11"/>
    <x v="3"/>
    <s v="Total Electric Power Industry"/>
    <x v="10"/>
    <n v="276294"/>
  </r>
  <r>
    <x v="11"/>
    <x v="3"/>
    <s v="Total Electric Power Industry"/>
    <x v="13"/>
    <n v="489"/>
  </r>
  <r>
    <x v="11"/>
    <x v="3"/>
    <s v="Electric Generators, Independent Power Producers"/>
    <x v="0"/>
    <n v="3289871"/>
  </r>
  <r>
    <x v="11"/>
    <x v="3"/>
    <s v="Electric Generators, Independent Power Producers"/>
    <x v="3"/>
    <n v="3289871"/>
  </r>
  <r>
    <x v="11"/>
    <x v="3"/>
    <s v="Electric Generators, Electric Utilities"/>
    <x v="0"/>
    <n v="85807868"/>
  </r>
  <r>
    <x v="11"/>
    <x v="3"/>
    <s v="Electric Generators, Electric Utilities"/>
    <x v="1"/>
    <n v="39731623"/>
  </r>
  <r>
    <x v="11"/>
    <x v="3"/>
    <s v="Electric Generators, Electric Utilities"/>
    <x v="2"/>
    <n v="7623565"/>
  </r>
  <r>
    <x v="11"/>
    <x v="3"/>
    <s v="Electric Generators, Electric Utilities"/>
    <x v="3"/>
    <n v="9106433"/>
  </r>
  <r>
    <x v="11"/>
    <x v="3"/>
    <s v="Electric Generators, Electric Utilities"/>
    <x v="7"/>
    <n v="28724076"/>
  </r>
  <r>
    <x v="11"/>
    <x v="3"/>
    <s v="Electric Generators, Electric Utilities"/>
    <x v="8"/>
    <n v="33601"/>
  </r>
  <r>
    <x v="11"/>
    <x v="3"/>
    <s v="Electric Generators, Electric Utilities"/>
    <x v="4"/>
    <n v="311787"/>
  </r>
  <r>
    <x v="11"/>
    <x v="3"/>
    <s v="Electric Generators, Electric Utilities"/>
    <x v="10"/>
    <n v="276294"/>
  </r>
  <r>
    <x v="11"/>
    <x v="3"/>
    <s v="Electric Generators, Electric Utilities"/>
    <x v="13"/>
    <n v="489"/>
  </r>
  <r>
    <x v="11"/>
    <x v="3"/>
    <s v="Combined Heat and Power, Industrial Power"/>
    <x v="0"/>
    <n v="331912"/>
  </r>
  <r>
    <x v="11"/>
    <x v="3"/>
    <s v="Combined Heat and Power, Industrial Power"/>
    <x v="1"/>
    <n v="329871"/>
  </r>
  <r>
    <x v="11"/>
    <x v="3"/>
    <s v="Combined Heat and Power, Industrial Power"/>
    <x v="3"/>
    <n v="253"/>
  </r>
  <r>
    <x v="11"/>
    <x v="3"/>
    <s v="Combined Heat and Power, Industrial Power"/>
    <x v="4"/>
    <n v="1788"/>
  </r>
  <r>
    <x v="11"/>
    <x v="3"/>
    <s v="Combined Heat and Power, Electric Power"/>
    <x v="0"/>
    <n v="458815"/>
  </r>
  <r>
    <x v="11"/>
    <x v="3"/>
    <s v="Combined Heat and Power, Electric Power"/>
    <x v="3"/>
    <n v="458815"/>
  </r>
  <r>
    <x v="11"/>
    <x v="3"/>
    <s v="Combined Heat and Power, Commercial Power"/>
    <x v="0"/>
    <n v="22806"/>
  </r>
  <r>
    <x v="11"/>
    <x v="3"/>
    <s v="Combined Heat and Power, Commercial Power"/>
    <x v="3"/>
    <n v="16828"/>
  </r>
  <r>
    <x v="11"/>
    <x v="3"/>
    <s v="Combined Heat and Power, Commercial Power"/>
    <x v="8"/>
    <n v="5347"/>
  </r>
  <r>
    <x v="11"/>
    <x v="3"/>
    <s v="Combined Heat and Power, Commercial Power"/>
    <x v="4"/>
    <n v="631"/>
  </r>
  <r>
    <x v="11"/>
    <x v="4"/>
    <s v="Total Electric Power Industry"/>
    <x v="0"/>
    <n v="198596075"/>
  </r>
  <r>
    <x v="11"/>
    <x v="4"/>
    <s v="Total Electric Power Industry"/>
    <x v="1"/>
    <n v="2232851"/>
  </r>
  <r>
    <x v="11"/>
    <x v="4"/>
    <s v="Total Electric Power Industry"/>
    <x v="11"/>
    <n v="12181294"/>
  </r>
  <r>
    <x v="11"/>
    <x v="4"/>
    <s v="Total Electric Power Industry"/>
    <x v="2"/>
    <n v="25541776"/>
  </r>
  <r>
    <x v="11"/>
    <x v="4"/>
    <s v="Total Electric Power Industry"/>
    <x v="3"/>
    <n v="111932271"/>
  </r>
  <r>
    <x v="11"/>
    <x v="4"/>
    <s v="Total Electric Power Industry"/>
    <x v="7"/>
    <n v="33219520"/>
  </r>
  <r>
    <x v="11"/>
    <x v="4"/>
    <s v="Total Electric Power Industry"/>
    <x v="12"/>
    <n v="204338"/>
  </r>
  <r>
    <x v="11"/>
    <x v="4"/>
    <s v="Total Electric Power Industry"/>
    <x v="8"/>
    <n v="2082536"/>
  </r>
  <r>
    <x v="11"/>
    <x v="4"/>
    <s v="Total Electric Power Industry"/>
    <x v="9"/>
    <n v="1130499"/>
  </r>
  <r>
    <x v="11"/>
    <x v="4"/>
    <s v="Total Electric Power Industry"/>
    <x v="4"/>
    <n v="3054893"/>
  </r>
  <r>
    <x v="11"/>
    <x v="4"/>
    <s v="Total Electric Power Industry"/>
    <x v="10"/>
    <n v="-349689"/>
  </r>
  <r>
    <x v="11"/>
    <x v="4"/>
    <s v="Total Electric Power Industry"/>
    <x v="13"/>
    <n v="542271"/>
  </r>
  <r>
    <x v="11"/>
    <x v="4"/>
    <s v="Total Electric Power Industry"/>
    <x v="5"/>
    <n v="3499738"/>
  </r>
  <r>
    <x v="11"/>
    <x v="4"/>
    <s v="Total Electric Power Industry"/>
    <x v="6"/>
    <n v="3323777"/>
  </r>
  <r>
    <x v="11"/>
    <x v="4"/>
    <s v="Electric Generators, Independent Power Producers"/>
    <x v="0"/>
    <n v="88665139"/>
  </r>
  <r>
    <x v="11"/>
    <x v="4"/>
    <s v="Electric Generators, Independent Power Producers"/>
    <x v="11"/>
    <n v="12181583"/>
  </r>
  <r>
    <x v="11"/>
    <x v="4"/>
    <s v="Electric Generators, Independent Power Producers"/>
    <x v="2"/>
    <n v="723934"/>
  </r>
  <r>
    <x v="11"/>
    <x v="4"/>
    <s v="Electric Generators, Independent Power Producers"/>
    <x v="3"/>
    <n v="66714175"/>
  </r>
  <r>
    <x v="11"/>
    <x v="4"/>
    <s v="Electric Generators, Independent Power Producers"/>
    <x v="12"/>
    <n v="186929"/>
  </r>
  <r>
    <x v="11"/>
    <x v="4"/>
    <s v="Electric Generators, Independent Power Producers"/>
    <x v="8"/>
    <n v="1552848"/>
  </r>
  <r>
    <x v="11"/>
    <x v="4"/>
    <s v="Electric Generators, Independent Power Producers"/>
    <x v="9"/>
    <n v="0"/>
  </r>
  <r>
    <x v="11"/>
    <x v="4"/>
    <s v="Electric Generators, Independent Power Producers"/>
    <x v="4"/>
    <n v="1375306"/>
  </r>
  <r>
    <x v="11"/>
    <x v="4"/>
    <s v="Electric Generators, Independent Power Producers"/>
    <x v="13"/>
    <n v="539429"/>
  </r>
  <r>
    <x v="11"/>
    <x v="4"/>
    <s v="Electric Generators, Independent Power Producers"/>
    <x v="5"/>
    <n v="3492602"/>
  </r>
  <r>
    <x v="11"/>
    <x v="4"/>
    <s v="Electric Generators, Independent Power Producers"/>
    <x v="6"/>
    <n v="1898333"/>
  </r>
  <r>
    <x v="11"/>
    <x v="4"/>
    <s v="Electric Generators, Electric Utilities"/>
    <x v="0"/>
    <n v="70132656"/>
  </r>
  <r>
    <x v="11"/>
    <x v="4"/>
    <s v="Electric Generators, Electric Utilities"/>
    <x v="11"/>
    <n v="-289"/>
  </r>
  <r>
    <x v="11"/>
    <x v="4"/>
    <s v="Electric Generators, Electric Utilities"/>
    <x v="2"/>
    <n v="24817842"/>
  </r>
  <r>
    <x v="11"/>
    <x v="4"/>
    <s v="Electric Generators, Electric Utilities"/>
    <x v="3"/>
    <n v="11918703"/>
  </r>
  <r>
    <x v="11"/>
    <x v="4"/>
    <s v="Electric Generators, Electric Utilities"/>
    <x v="7"/>
    <n v="33219520"/>
  </r>
  <r>
    <x v="11"/>
    <x v="4"/>
    <s v="Electric Generators, Electric Utilities"/>
    <x v="8"/>
    <n v="199900"/>
  </r>
  <r>
    <x v="11"/>
    <x v="4"/>
    <s v="Electric Generators, Electric Utilities"/>
    <x v="9"/>
    <n v="0"/>
  </r>
  <r>
    <x v="11"/>
    <x v="4"/>
    <s v="Electric Generators, Electric Utilities"/>
    <x v="4"/>
    <n v="316691"/>
  </r>
  <r>
    <x v="11"/>
    <x v="4"/>
    <s v="Electric Generators, Electric Utilities"/>
    <x v="10"/>
    <n v="-349689"/>
  </r>
  <r>
    <x v="11"/>
    <x v="4"/>
    <s v="Electric Generators, Electric Utilities"/>
    <x v="13"/>
    <n v="2842"/>
  </r>
  <r>
    <x v="11"/>
    <x v="4"/>
    <s v="Electric Generators, Electric Utilities"/>
    <x v="5"/>
    <n v="7136"/>
  </r>
  <r>
    <x v="11"/>
    <x v="4"/>
    <s v="Combined Heat and Power, Industrial Power"/>
    <x v="0"/>
    <n v="16668553"/>
  </r>
  <r>
    <x v="11"/>
    <x v="4"/>
    <s v="Combined Heat and Power, Industrial Power"/>
    <x v="1"/>
    <n v="484726"/>
  </r>
  <r>
    <x v="11"/>
    <x v="4"/>
    <s v="Combined Heat and Power, Industrial Power"/>
    <x v="3"/>
    <n v="13194621"/>
  </r>
  <r>
    <x v="11"/>
    <x v="4"/>
    <s v="Combined Heat and Power, Industrial Power"/>
    <x v="12"/>
    <n v="16733"/>
  </r>
  <r>
    <x v="11"/>
    <x v="4"/>
    <s v="Combined Heat and Power, Industrial Power"/>
    <x v="8"/>
    <n v="26230"/>
  </r>
  <r>
    <x v="11"/>
    <x v="4"/>
    <s v="Combined Heat and Power, Industrial Power"/>
    <x v="9"/>
    <n v="1129441"/>
  </r>
  <r>
    <x v="11"/>
    <x v="4"/>
    <s v="Combined Heat and Power, Industrial Power"/>
    <x v="4"/>
    <n v="596236"/>
  </r>
  <r>
    <x v="11"/>
    <x v="4"/>
    <s v="Combined Heat and Power, Industrial Power"/>
    <x v="6"/>
    <n v="1220566"/>
  </r>
  <r>
    <x v="11"/>
    <x v="4"/>
    <s v="Combined Heat and Power, Electric Power"/>
    <x v="0"/>
    <n v="21304836"/>
  </r>
  <r>
    <x v="11"/>
    <x v="4"/>
    <s v="Combined Heat and Power, Electric Power"/>
    <x v="1"/>
    <n v="1748125"/>
  </r>
  <r>
    <x v="11"/>
    <x v="4"/>
    <s v="Combined Heat and Power, Electric Power"/>
    <x v="3"/>
    <n v="18505756"/>
  </r>
  <r>
    <x v="11"/>
    <x v="4"/>
    <s v="Combined Heat and Power, Electric Power"/>
    <x v="12"/>
    <n v="676"/>
  </r>
  <r>
    <x v="11"/>
    <x v="4"/>
    <s v="Combined Heat and Power, Electric Power"/>
    <x v="8"/>
    <n v="78515"/>
  </r>
  <r>
    <x v="11"/>
    <x v="4"/>
    <s v="Combined Heat and Power, Electric Power"/>
    <x v="9"/>
    <n v="1052"/>
  </r>
  <r>
    <x v="11"/>
    <x v="4"/>
    <s v="Combined Heat and Power, Electric Power"/>
    <x v="4"/>
    <n v="765834"/>
  </r>
  <r>
    <x v="11"/>
    <x v="4"/>
    <s v="Combined Heat and Power, Electric Power"/>
    <x v="6"/>
    <n v="204878"/>
  </r>
  <r>
    <x v="11"/>
    <x v="4"/>
    <s v="Combined Heat and Power, Commercial Power"/>
    <x v="0"/>
    <n v="1824891"/>
  </r>
  <r>
    <x v="11"/>
    <x v="4"/>
    <s v="Combined Heat and Power, Commercial Power"/>
    <x v="3"/>
    <n v="1599016"/>
  </r>
  <r>
    <x v="11"/>
    <x v="4"/>
    <s v="Combined Heat and Power, Commercial Power"/>
    <x v="8"/>
    <n v="225043"/>
  </r>
  <r>
    <x v="11"/>
    <x v="4"/>
    <s v="Combined Heat and Power, Commercial Power"/>
    <x v="9"/>
    <n v="6"/>
  </r>
  <r>
    <x v="11"/>
    <x v="4"/>
    <s v="Combined Heat and Power, Commercial Power"/>
    <x v="4"/>
    <n v="826"/>
  </r>
  <r>
    <x v="11"/>
    <x v="5"/>
    <s v="Total Electric Power Industry"/>
    <x v="0"/>
    <n v="46876002"/>
  </r>
  <r>
    <x v="11"/>
    <x v="5"/>
    <s v="Total Electric Power Industry"/>
    <x v="1"/>
    <n v="35951028"/>
  </r>
  <r>
    <x v="11"/>
    <x v="5"/>
    <s v="Total Electric Power Industry"/>
    <x v="2"/>
    <n v="1494697"/>
  </r>
  <r>
    <x v="11"/>
    <x v="5"/>
    <s v="Total Electric Power Industry"/>
    <x v="3"/>
    <n v="9391787"/>
  </r>
  <r>
    <x v="11"/>
    <x v="5"/>
    <s v="Total Electric Power Industry"/>
    <x v="12"/>
    <n v="0"/>
  </r>
  <r>
    <x v="11"/>
    <x v="5"/>
    <s v="Total Electric Power Industry"/>
    <x v="8"/>
    <n v="64203"/>
  </r>
  <r>
    <x v="11"/>
    <x v="5"/>
    <s v="Total Electric Power Industry"/>
    <x v="4"/>
    <n v="176229"/>
  </r>
  <r>
    <x v="11"/>
    <x v="5"/>
    <s v="Total Electric Power Industry"/>
    <x v="10"/>
    <n v="-250582"/>
  </r>
  <r>
    <x v="11"/>
    <x v="5"/>
    <s v="Total Electric Power Industry"/>
    <x v="5"/>
    <n v="48640"/>
  </r>
  <r>
    <x v="11"/>
    <x v="5"/>
    <s v="Electric Generators, Independent Power Producers"/>
    <x v="0"/>
    <n v="1666885"/>
  </r>
  <r>
    <x v="11"/>
    <x v="5"/>
    <s v="Electric Generators, Independent Power Producers"/>
    <x v="2"/>
    <n v="22070"/>
  </r>
  <r>
    <x v="11"/>
    <x v="5"/>
    <s v="Electric Generators, Independent Power Producers"/>
    <x v="3"/>
    <n v="1634939"/>
  </r>
  <r>
    <x v="11"/>
    <x v="5"/>
    <s v="Electric Generators, Independent Power Producers"/>
    <x v="5"/>
    <n v="9876"/>
  </r>
  <r>
    <x v="11"/>
    <x v="5"/>
    <s v="Electric Generators, Electric Utilities"/>
    <x v="0"/>
    <n v="41957723"/>
  </r>
  <r>
    <x v="11"/>
    <x v="5"/>
    <s v="Electric Generators, Electric Utilities"/>
    <x v="1"/>
    <n v="35654162"/>
  </r>
  <r>
    <x v="11"/>
    <x v="5"/>
    <s v="Electric Generators, Electric Utilities"/>
    <x v="2"/>
    <n v="1472627"/>
  </r>
  <r>
    <x v="11"/>
    <x v="5"/>
    <s v="Electric Generators, Electric Utilities"/>
    <x v="3"/>
    <n v="4884010"/>
  </r>
  <r>
    <x v="11"/>
    <x v="5"/>
    <s v="Electric Generators, Electric Utilities"/>
    <x v="12"/>
    <n v="0"/>
  </r>
  <r>
    <x v="11"/>
    <x v="5"/>
    <s v="Electric Generators, Electric Utilities"/>
    <x v="8"/>
    <n v="0"/>
  </r>
  <r>
    <x v="11"/>
    <x v="5"/>
    <s v="Electric Generators, Electric Utilities"/>
    <x v="4"/>
    <n v="158742"/>
  </r>
  <r>
    <x v="11"/>
    <x v="5"/>
    <s v="Electric Generators, Electric Utilities"/>
    <x v="10"/>
    <n v="-250582"/>
  </r>
  <r>
    <x v="11"/>
    <x v="5"/>
    <s v="Electric Generators, Electric Utilities"/>
    <x v="5"/>
    <n v="38764"/>
  </r>
  <r>
    <x v="11"/>
    <x v="5"/>
    <s v="Combined Heat and Power, Industrial Power"/>
    <x v="0"/>
    <n v="81787"/>
  </r>
  <r>
    <x v="11"/>
    <x v="5"/>
    <s v="Combined Heat and Power, Industrial Power"/>
    <x v="3"/>
    <n v="64801"/>
  </r>
  <r>
    <x v="11"/>
    <x v="5"/>
    <s v="Combined Heat and Power, Industrial Power"/>
    <x v="4"/>
    <n v="16986"/>
  </r>
  <r>
    <x v="11"/>
    <x v="5"/>
    <s v="Combined Heat and Power, Electric Power"/>
    <x v="0"/>
    <n v="2957506"/>
  </r>
  <r>
    <x v="11"/>
    <x v="5"/>
    <s v="Combined Heat and Power, Electric Power"/>
    <x v="1"/>
    <n v="296866"/>
  </r>
  <r>
    <x v="11"/>
    <x v="5"/>
    <s v="Combined Heat and Power, Electric Power"/>
    <x v="3"/>
    <n v="2628037"/>
  </r>
  <r>
    <x v="11"/>
    <x v="5"/>
    <s v="Combined Heat and Power, Electric Power"/>
    <x v="8"/>
    <n v="32102"/>
  </r>
  <r>
    <x v="11"/>
    <x v="5"/>
    <s v="Combined Heat and Power, Electric Power"/>
    <x v="4"/>
    <n v="501"/>
  </r>
  <r>
    <x v="11"/>
    <x v="5"/>
    <s v="Combined Heat and Power, Commercial Power"/>
    <x v="0"/>
    <n v="212101"/>
  </r>
  <r>
    <x v="11"/>
    <x v="5"/>
    <s v="Combined Heat and Power, Commercial Power"/>
    <x v="3"/>
    <n v="180000"/>
  </r>
  <r>
    <x v="11"/>
    <x v="5"/>
    <s v="Combined Heat and Power, Commercial Power"/>
    <x v="8"/>
    <n v="32101"/>
  </r>
  <r>
    <x v="11"/>
    <x v="6"/>
    <s v="Total Electric Power Industry"/>
    <x v="0"/>
    <n v="30490646"/>
  </r>
  <r>
    <x v="11"/>
    <x v="6"/>
    <s v="Total Electric Power Industry"/>
    <x v="1"/>
    <n v="3735782"/>
  </r>
  <r>
    <x v="11"/>
    <x v="6"/>
    <s v="Total Electric Power Industry"/>
    <x v="2"/>
    <n v="286373"/>
  </r>
  <r>
    <x v="11"/>
    <x v="6"/>
    <s v="Total Electric Power Industry"/>
    <x v="3"/>
    <n v="4088228"/>
  </r>
  <r>
    <x v="11"/>
    <x v="6"/>
    <s v="Total Electric Power Industry"/>
    <x v="7"/>
    <n v="15427767"/>
  </r>
  <r>
    <x v="11"/>
    <x v="6"/>
    <s v="Total Electric Power Industry"/>
    <x v="12"/>
    <n v="869139"/>
  </r>
  <r>
    <x v="11"/>
    <x v="6"/>
    <s v="Total Electric Power Industry"/>
    <x v="8"/>
    <n v="908924"/>
  </r>
  <r>
    <x v="11"/>
    <x v="6"/>
    <s v="Total Electric Power Industry"/>
    <x v="9"/>
    <n v="1498"/>
  </r>
  <r>
    <x v="11"/>
    <x v="6"/>
    <s v="Total Electric Power Industry"/>
    <x v="4"/>
    <n v="5172935"/>
  </r>
  <r>
    <x v="11"/>
    <x v="6"/>
    <s v="Total Electric Power Industry"/>
    <x v="10"/>
    <n v="0"/>
  </r>
  <r>
    <x v="11"/>
    <x v="6"/>
    <s v="Electric Generators, Independent Power Producers"/>
    <x v="0"/>
    <n v="25296121"/>
  </r>
  <r>
    <x v="11"/>
    <x v="6"/>
    <s v="Electric Generators, Independent Power Producers"/>
    <x v="1"/>
    <n v="2352652"/>
  </r>
  <r>
    <x v="11"/>
    <x v="6"/>
    <s v="Electric Generators, Independent Power Producers"/>
    <x v="2"/>
    <n v="257308"/>
  </r>
  <r>
    <x v="11"/>
    <x v="6"/>
    <s v="Electric Generators, Independent Power Producers"/>
    <x v="3"/>
    <n v="3150656"/>
  </r>
  <r>
    <x v="11"/>
    <x v="6"/>
    <s v="Electric Generators, Independent Power Producers"/>
    <x v="7"/>
    <n v="12798026"/>
  </r>
  <r>
    <x v="11"/>
    <x v="6"/>
    <s v="Electric Generators, Independent Power Producers"/>
    <x v="12"/>
    <n v="805934"/>
  </r>
  <r>
    <x v="11"/>
    <x v="6"/>
    <s v="Electric Generators, Independent Power Producers"/>
    <x v="8"/>
    <n v="825141"/>
  </r>
  <r>
    <x v="11"/>
    <x v="6"/>
    <s v="Electric Generators, Independent Power Producers"/>
    <x v="9"/>
    <n v="1498"/>
  </r>
  <r>
    <x v="11"/>
    <x v="6"/>
    <s v="Electric Generators, Independent Power Producers"/>
    <x v="4"/>
    <n v="5104906"/>
  </r>
  <r>
    <x v="11"/>
    <x v="6"/>
    <s v="Electric Generators, Independent Power Producers"/>
    <x v="10"/>
    <n v="0"/>
  </r>
  <r>
    <x v="11"/>
    <x v="6"/>
    <s v="Electric Generators, Electric Utilities"/>
    <x v="0"/>
    <n v="2816826"/>
  </r>
  <r>
    <x v="11"/>
    <x v="6"/>
    <s v="Electric Generators, Electric Utilities"/>
    <x v="2"/>
    <n v="29065"/>
  </r>
  <r>
    <x v="11"/>
    <x v="6"/>
    <s v="Electric Generators, Electric Utilities"/>
    <x v="3"/>
    <n v="0"/>
  </r>
  <r>
    <x v="11"/>
    <x v="6"/>
    <s v="Electric Generators, Electric Utilities"/>
    <x v="7"/>
    <n v="2629741"/>
  </r>
  <r>
    <x v="11"/>
    <x v="6"/>
    <s v="Electric Generators, Electric Utilities"/>
    <x v="12"/>
    <n v="63205"/>
  </r>
  <r>
    <x v="11"/>
    <x v="6"/>
    <s v="Electric Generators, Electric Utilities"/>
    <x v="8"/>
    <n v="83783"/>
  </r>
  <r>
    <x v="11"/>
    <x v="6"/>
    <s v="Electric Generators, Electric Utilities"/>
    <x v="4"/>
    <n v="11032"/>
  </r>
  <r>
    <x v="11"/>
    <x v="6"/>
    <s v="Combined Heat and Power, Industrial Power"/>
    <x v="0"/>
    <n v="256479"/>
  </r>
  <r>
    <x v="11"/>
    <x v="6"/>
    <s v="Combined Heat and Power, Industrial Power"/>
    <x v="3"/>
    <n v="213423"/>
  </r>
  <r>
    <x v="11"/>
    <x v="6"/>
    <s v="Combined Heat and Power, Industrial Power"/>
    <x v="4"/>
    <n v="43056"/>
  </r>
  <r>
    <x v="11"/>
    <x v="6"/>
    <s v="Combined Heat and Power, Electric Power"/>
    <x v="0"/>
    <n v="2080288"/>
  </r>
  <r>
    <x v="11"/>
    <x v="6"/>
    <s v="Combined Heat and Power, Electric Power"/>
    <x v="1"/>
    <n v="1383130"/>
  </r>
  <r>
    <x v="11"/>
    <x v="6"/>
    <s v="Combined Heat and Power, Electric Power"/>
    <x v="3"/>
    <n v="689388"/>
  </r>
  <r>
    <x v="11"/>
    <x v="6"/>
    <s v="Combined Heat and Power, Electric Power"/>
    <x v="4"/>
    <n v="7770"/>
  </r>
  <r>
    <x v="11"/>
    <x v="6"/>
    <s v="Combined Heat and Power, Commercial Power"/>
    <x v="0"/>
    <n v="40932"/>
  </r>
  <r>
    <x v="11"/>
    <x v="6"/>
    <s v="Combined Heat and Power, Commercial Power"/>
    <x v="3"/>
    <n v="34761"/>
  </r>
  <r>
    <x v="11"/>
    <x v="6"/>
    <s v="Combined Heat and Power, Commercial Power"/>
    <x v="4"/>
    <n v="6171"/>
  </r>
  <r>
    <x v="11"/>
    <x v="7"/>
    <s v="Total Electric Power Industry"/>
    <x v="0"/>
    <n v="123239"/>
  </r>
  <r>
    <x v="11"/>
    <x v="7"/>
    <s v="Total Electric Power Industry"/>
    <x v="4"/>
    <n v="123239"/>
  </r>
  <r>
    <x v="11"/>
    <x v="7"/>
    <s v="Electric Generators, Independent Power Producers"/>
    <x v="0"/>
    <n v="123239"/>
  </r>
  <r>
    <x v="11"/>
    <x v="7"/>
    <s v="Electric Generators, Independent Power Producers"/>
    <x v="4"/>
    <n v="123239"/>
  </r>
  <r>
    <x v="11"/>
    <x v="8"/>
    <s v="Total Electric Power Industry"/>
    <x v="0"/>
    <n v="6807684"/>
  </r>
  <r>
    <x v="11"/>
    <x v="8"/>
    <s v="Total Electric Power Industry"/>
    <x v="1"/>
    <n v="3368507"/>
  </r>
  <r>
    <x v="11"/>
    <x v="8"/>
    <s v="Total Electric Power Industry"/>
    <x v="3"/>
    <n v="1575486"/>
  </r>
  <r>
    <x v="11"/>
    <x v="8"/>
    <s v="Total Electric Power Industry"/>
    <x v="9"/>
    <n v="157062"/>
  </r>
  <r>
    <x v="11"/>
    <x v="8"/>
    <s v="Total Electric Power Industry"/>
    <x v="4"/>
    <n v="1706629"/>
  </r>
  <r>
    <x v="11"/>
    <x v="8"/>
    <s v="Electric Generators, Independent Power Producers"/>
    <x v="0"/>
    <n v="4428572"/>
  </r>
  <r>
    <x v="11"/>
    <x v="8"/>
    <s v="Electric Generators, Independent Power Producers"/>
    <x v="1"/>
    <n v="1661637"/>
  </r>
  <r>
    <x v="11"/>
    <x v="8"/>
    <s v="Electric Generators, Independent Power Producers"/>
    <x v="3"/>
    <n v="1538775"/>
  </r>
  <r>
    <x v="11"/>
    <x v="8"/>
    <s v="Electric Generators, Independent Power Producers"/>
    <x v="4"/>
    <n v="1228160"/>
  </r>
  <r>
    <x v="11"/>
    <x v="8"/>
    <s v="Electric Generators, Electric Utilities"/>
    <x v="0"/>
    <n v="1872053"/>
  </r>
  <r>
    <x v="11"/>
    <x v="8"/>
    <s v="Electric Generators, Electric Utilities"/>
    <x v="1"/>
    <n v="1626254"/>
  </r>
  <r>
    <x v="11"/>
    <x v="8"/>
    <s v="Electric Generators, Electric Utilities"/>
    <x v="3"/>
    <n v="36711"/>
  </r>
  <r>
    <x v="11"/>
    <x v="8"/>
    <s v="Electric Generators, Electric Utilities"/>
    <x v="4"/>
    <n v="209088"/>
  </r>
  <r>
    <x v="11"/>
    <x v="8"/>
    <s v="Combined Heat and Power, Industrial Power"/>
    <x v="0"/>
    <n v="507059"/>
  </r>
  <r>
    <x v="11"/>
    <x v="8"/>
    <s v="Combined Heat and Power, Industrial Power"/>
    <x v="1"/>
    <n v="80616"/>
  </r>
  <r>
    <x v="11"/>
    <x v="8"/>
    <s v="Combined Heat and Power, Industrial Power"/>
    <x v="9"/>
    <n v="157062"/>
  </r>
  <r>
    <x v="11"/>
    <x v="8"/>
    <s v="Combined Heat and Power, Industrial Power"/>
    <x v="4"/>
    <n v="269381"/>
  </r>
  <r>
    <x v="11"/>
    <x v="9"/>
    <s v="Total Electric Power Industry"/>
    <x v="0"/>
    <n v="190945344"/>
  </r>
  <r>
    <x v="11"/>
    <x v="9"/>
    <s v="Total Electric Power Industry"/>
    <x v="1"/>
    <n v="68227738"/>
  </r>
  <r>
    <x v="11"/>
    <x v="9"/>
    <s v="Total Electric Power Industry"/>
    <x v="2"/>
    <n v="147718"/>
  </r>
  <r>
    <x v="11"/>
    <x v="9"/>
    <s v="Total Electric Power Industry"/>
    <x v="3"/>
    <n v="43569805"/>
  </r>
  <r>
    <x v="11"/>
    <x v="9"/>
    <s v="Total Electric Power Industry"/>
    <x v="7"/>
    <n v="31583404"/>
  </r>
  <r>
    <x v="11"/>
    <x v="9"/>
    <s v="Total Electric Power Industry"/>
    <x v="12"/>
    <n v="3046349"/>
  </r>
  <r>
    <x v="11"/>
    <x v="9"/>
    <s v="Total Electric Power Industry"/>
    <x v="8"/>
    <n v="1961521"/>
  </r>
  <r>
    <x v="11"/>
    <x v="9"/>
    <s v="Total Electric Power Industry"/>
    <x v="9"/>
    <n v="634"/>
  </r>
  <r>
    <x v="11"/>
    <x v="9"/>
    <s v="Total Electric Power Industry"/>
    <x v="4"/>
    <n v="40579939"/>
  </r>
  <r>
    <x v="11"/>
    <x v="9"/>
    <s v="Total Electric Power Industry"/>
    <x v="6"/>
    <n v="1828236"/>
  </r>
  <r>
    <x v="11"/>
    <x v="9"/>
    <s v="Electric Generators, Independent Power Producers"/>
    <x v="0"/>
    <n v="5674634"/>
  </r>
  <r>
    <x v="11"/>
    <x v="9"/>
    <s v="Electric Generators, Independent Power Producers"/>
    <x v="3"/>
    <n v="1321001"/>
  </r>
  <r>
    <x v="11"/>
    <x v="9"/>
    <s v="Electric Generators, Independent Power Producers"/>
    <x v="12"/>
    <n v="1238586"/>
  </r>
  <r>
    <x v="11"/>
    <x v="9"/>
    <s v="Electric Generators, Independent Power Producers"/>
    <x v="8"/>
    <n v="1666329"/>
  </r>
  <r>
    <x v="11"/>
    <x v="9"/>
    <s v="Electric Generators, Independent Power Producers"/>
    <x v="9"/>
    <n v="634"/>
  </r>
  <r>
    <x v="11"/>
    <x v="9"/>
    <s v="Electric Generators, Independent Power Producers"/>
    <x v="4"/>
    <n v="1230697"/>
  </r>
  <r>
    <x v="11"/>
    <x v="9"/>
    <s v="Electric Generators, Independent Power Producers"/>
    <x v="6"/>
    <n v="217387"/>
  </r>
  <r>
    <x v="11"/>
    <x v="9"/>
    <s v="Electric Generators, Electric Utilities"/>
    <x v="0"/>
    <n v="170966177"/>
  </r>
  <r>
    <x v="11"/>
    <x v="9"/>
    <s v="Electric Generators, Electric Utilities"/>
    <x v="1"/>
    <n v="63090794"/>
  </r>
  <r>
    <x v="11"/>
    <x v="9"/>
    <s v="Electric Generators, Electric Utilities"/>
    <x v="2"/>
    <n v="147718"/>
  </r>
  <r>
    <x v="11"/>
    <x v="9"/>
    <s v="Electric Generators, Electric Utilities"/>
    <x v="3"/>
    <n v="36943903"/>
  </r>
  <r>
    <x v="11"/>
    <x v="9"/>
    <s v="Electric Generators, Electric Utilities"/>
    <x v="7"/>
    <n v="31583404"/>
  </r>
  <r>
    <x v="11"/>
    <x v="9"/>
    <s v="Electric Generators, Electric Utilities"/>
    <x v="12"/>
    <n v="10383"/>
  </r>
  <r>
    <x v="11"/>
    <x v="9"/>
    <s v="Electric Generators, Electric Utilities"/>
    <x v="8"/>
    <n v="114577"/>
  </r>
  <r>
    <x v="11"/>
    <x v="9"/>
    <s v="Electric Generators, Electric Utilities"/>
    <x v="4"/>
    <n v="39075398"/>
  </r>
  <r>
    <x v="11"/>
    <x v="9"/>
    <s v="Combined Heat and Power, Industrial Power"/>
    <x v="0"/>
    <n v="5240366"/>
  </r>
  <r>
    <x v="11"/>
    <x v="9"/>
    <s v="Combined Heat and Power, Industrial Power"/>
    <x v="1"/>
    <n v="306625"/>
  </r>
  <r>
    <x v="11"/>
    <x v="9"/>
    <s v="Combined Heat and Power, Industrial Power"/>
    <x v="3"/>
    <n v="1120813"/>
  </r>
  <r>
    <x v="11"/>
    <x v="9"/>
    <s v="Combined Heat and Power, Industrial Power"/>
    <x v="12"/>
    <n v="1792826"/>
  </r>
  <r>
    <x v="11"/>
    <x v="9"/>
    <s v="Combined Heat and Power, Industrial Power"/>
    <x v="8"/>
    <n v="135423"/>
  </r>
  <r>
    <x v="11"/>
    <x v="9"/>
    <s v="Combined Heat and Power, Industrial Power"/>
    <x v="4"/>
    <n v="273830"/>
  </r>
  <r>
    <x v="11"/>
    <x v="9"/>
    <s v="Combined Heat and Power, Industrial Power"/>
    <x v="6"/>
    <n v="1610849"/>
  </r>
  <r>
    <x v="11"/>
    <x v="9"/>
    <s v="Combined Heat and Power, Electric Power"/>
    <x v="0"/>
    <n v="8956927"/>
  </r>
  <r>
    <x v="11"/>
    <x v="9"/>
    <s v="Combined Heat and Power, Electric Power"/>
    <x v="1"/>
    <n v="4830319"/>
  </r>
  <r>
    <x v="11"/>
    <x v="9"/>
    <s v="Combined Heat and Power, Electric Power"/>
    <x v="3"/>
    <n v="4116003"/>
  </r>
  <r>
    <x v="11"/>
    <x v="9"/>
    <s v="Combined Heat and Power, Electric Power"/>
    <x v="12"/>
    <n v="4554"/>
  </r>
  <r>
    <x v="11"/>
    <x v="9"/>
    <s v="Combined Heat and Power, Electric Power"/>
    <x v="8"/>
    <n v="6037"/>
  </r>
  <r>
    <x v="11"/>
    <x v="9"/>
    <s v="Combined Heat and Power, Electric Power"/>
    <x v="4"/>
    <n v="14"/>
  </r>
  <r>
    <x v="11"/>
    <x v="9"/>
    <s v="Combined Heat and Power, Commercial Power"/>
    <x v="0"/>
    <n v="107240"/>
  </r>
  <r>
    <x v="11"/>
    <x v="9"/>
    <s v="Combined Heat and Power, Commercial Power"/>
    <x v="3"/>
    <n v="68085"/>
  </r>
  <r>
    <x v="11"/>
    <x v="9"/>
    <s v="Combined Heat and Power, Commercial Power"/>
    <x v="8"/>
    <n v="39155"/>
  </r>
  <r>
    <x v="11"/>
    <x v="10"/>
    <s v="Total Electric Power Industry"/>
    <x v="0"/>
    <n v="118316789"/>
  </r>
  <r>
    <x v="11"/>
    <x v="10"/>
    <s v="Total Electric Power Industry"/>
    <x v="1"/>
    <n v="74561181"/>
  </r>
  <r>
    <x v="11"/>
    <x v="10"/>
    <s v="Total Electric Power Industry"/>
    <x v="2"/>
    <n v="2596427"/>
  </r>
  <r>
    <x v="11"/>
    <x v="10"/>
    <s v="Total Electric Power Industry"/>
    <x v="3"/>
    <n v="3865873"/>
  </r>
  <r>
    <x v="11"/>
    <x v="10"/>
    <s v="Total Electric Power Industry"/>
    <x v="7"/>
    <n v="33681769"/>
  </r>
  <r>
    <x v="11"/>
    <x v="10"/>
    <s v="Total Electric Power Industry"/>
    <x v="12"/>
    <n v="7956"/>
  </r>
  <r>
    <x v="11"/>
    <x v="10"/>
    <s v="Total Electric Power Industry"/>
    <x v="8"/>
    <n v="28420"/>
  </r>
  <r>
    <x v="11"/>
    <x v="10"/>
    <s v="Total Electric Power Industry"/>
    <x v="4"/>
    <n v="1170539"/>
  </r>
  <r>
    <x v="11"/>
    <x v="10"/>
    <s v="Total Electric Power Industry"/>
    <x v="10"/>
    <n v="-569710"/>
  </r>
  <r>
    <x v="11"/>
    <x v="10"/>
    <s v="Total Electric Power Industry"/>
    <x v="6"/>
    <n v="2974334"/>
  </r>
  <r>
    <x v="11"/>
    <x v="10"/>
    <s v="Electric Generators, Independent Power Producers"/>
    <x v="0"/>
    <n v="1847371"/>
  </r>
  <r>
    <x v="11"/>
    <x v="10"/>
    <s v="Electric Generators, Independent Power Producers"/>
    <x v="2"/>
    <n v="2205"/>
  </r>
  <r>
    <x v="11"/>
    <x v="10"/>
    <s v="Electric Generators, Independent Power Producers"/>
    <x v="3"/>
    <n v="1761824"/>
  </r>
  <r>
    <x v="11"/>
    <x v="10"/>
    <s v="Electric Generators, Independent Power Producers"/>
    <x v="8"/>
    <n v="19407"/>
  </r>
  <r>
    <x v="11"/>
    <x v="10"/>
    <s v="Electric Generators, Independent Power Producers"/>
    <x v="4"/>
    <n v="63935"/>
  </r>
  <r>
    <x v="11"/>
    <x v="10"/>
    <s v="Electric Generators, Electric Utilities"/>
    <x v="0"/>
    <n v="110564676"/>
  </r>
  <r>
    <x v="11"/>
    <x v="10"/>
    <s v="Electric Generators, Electric Utilities"/>
    <x v="1"/>
    <n v="73443695"/>
  </r>
  <r>
    <x v="11"/>
    <x v="10"/>
    <s v="Electric Generators, Electric Utilities"/>
    <x v="2"/>
    <n v="2564955"/>
  </r>
  <r>
    <x v="11"/>
    <x v="10"/>
    <s v="Electric Generators, Electric Utilities"/>
    <x v="3"/>
    <n v="1168337"/>
  </r>
  <r>
    <x v="11"/>
    <x v="10"/>
    <s v="Electric Generators, Electric Utilities"/>
    <x v="7"/>
    <n v="33681769"/>
  </r>
  <r>
    <x v="11"/>
    <x v="10"/>
    <s v="Electric Generators, Electric Utilities"/>
    <x v="4"/>
    <n v="275630"/>
  </r>
  <r>
    <x v="11"/>
    <x v="10"/>
    <s v="Electric Generators, Electric Utilities"/>
    <x v="10"/>
    <n v="-569710"/>
  </r>
  <r>
    <x v="11"/>
    <x v="10"/>
    <s v="Combined Heat and Power, Industrial Power"/>
    <x v="0"/>
    <n v="5515837"/>
  </r>
  <r>
    <x v="11"/>
    <x v="10"/>
    <s v="Combined Heat and Power, Industrial Power"/>
    <x v="1"/>
    <n v="1117486"/>
  </r>
  <r>
    <x v="11"/>
    <x v="10"/>
    <s v="Combined Heat and Power, Industrial Power"/>
    <x v="2"/>
    <n v="29267"/>
  </r>
  <r>
    <x v="11"/>
    <x v="10"/>
    <s v="Combined Heat and Power, Industrial Power"/>
    <x v="3"/>
    <n v="551418"/>
  </r>
  <r>
    <x v="11"/>
    <x v="10"/>
    <s v="Combined Heat and Power, Industrial Power"/>
    <x v="12"/>
    <n v="7956"/>
  </r>
  <r>
    <x v="11"/>
    <x v="10"/>
    <s v="Combined Heat and Power, Industrial Power"/>
    <x v="8"/>
    <n v="9013"/>
  </r>
  <r>
    <x v="11"/>
    <x v="10"/>
    <s v="Combined Heat and Power, Industrial Power"/>
    <x v="4"/>
    <n v="826363"/>
  </r>
  <r>
    <x v="11"/>
    <x v="10"/>
    <s v="Combined Heat and Power, Industrial Power"/>
    <x v="6"/>
    <n v="2974334"/>
  </r>
  <r>
    <x v="11"/>
    <x v="10"/>
    <s v="Combined Heat and Power, Electric Power"/>
    <x v="0"/>
    <n v="386085"/>
  </r>
  <r>
    <x v="11"/>
    <x v="10"/>
    <s v="Combined Heat and Power, Electric Power"/>
    <x v="3"/>
    <n v="384294"/>
  </r>
  <r>
    <x v="11"/>
    <x v="10"/>
    <s v="Combined Heat and Power, Electric Power"/>
    <x v="4"/>
    <n v="1791"/>
  </r>
  <r>
    <x v="11"/>
    <x v="10"/>
    <s v="Combined Heat and Power, Commercial Power"/>
    <x v="0"/>
    <n v="2820"/>
  </r>
  <r>
    <x v="11"/>
    <x v="10"/>
    <s v="Combined Heat and Power, Commercial Power"/>
    <x v="3"/>
    <n v="0"/>
  </r>
  <r>
    <x v="11"/>
    <x v="10"/>
    <s v="Combined Heat and Power, Commercial Power"/>
    <x v="4"/>
    <n v="2820"/>
  </r>
  <r>
    <x v="11"/>
    <x v="11"/>
    <s v="Total Electric Power Industry"/>
    <x v="0"/>
    <n v="10633093"/>
  </r>
  <r>
    <x v="11"/>
    <x v="11"/>
    <s v="Total Electric Power Industry"/>
    <x v="1"/>
    <n v="1604764"/>
  </r>
  <r>
    <x v="11"/>
    <x v="11"/>
    <s v="Total Electric Power Industry"/>
    <x v="11"/>
    <n v="206592"/>
  </r>
  <r>
    <x v="11"/>
    <x v="11"/>
    <s v="Total Electric Power Industry"/>
    <x v="2"/>
    <n v="100750"/>
  </r>
  <r>
    <x v="11"/>
    <x v="11"/>
    <s v="Total Electric Power Industry"/>
    <x v="3"/>
    <n v="0"/>
  </r>
  <r>
    <x v="11"/>
    <x v="11"/>
    <s v="Total Electric Power Industry"/>
    <x v="12"/>
    <n v="169478"/>
  </r>
  <r>
    <x v="11"/>
    <x v="11"/>
    <s v="Total Electric Power Industry"/>
    <x v="8"/>
    <n v="287708"/>
  </r>
  <r>
    <x v="11"/>
    <x v="11"/>
    <s v="Total Electric Power Industry"/>
    <x v="9"/>
    <n v="37855"/>
  </r>
  <r>
    <x v="11"/>
    <x v="11"/>
    <s v="Total Electric Power Industry"/>
    <x v="4"/>
    <n v="8223824"/>
  </r>
  <r>
    <x v="11"/>
    <x v="11"/>
    <s v="Total Electric Power Industry"/>
    <x v="5"/>
    <n v="2122"/>
  </r>
  <r>
    <x v="11"/>
    <x v="11"/>
    <s v="Electric Generators, Independent Power Producers"/>
    <x v="0"/>
    <n v="521236"/>
  </r>
  <r>
    <x v="11"/>
    <x v="11"/>
    <s v="Electric Generators, Independent Power Producers"/>
    <x v="11"/>
    <n v="206592"/>
  </r>
  <r>
    <x v="11"/>
    <x v="11"/>
    <s v="Electric Generators, Independent Power Producers"/>
    <x v="2"/>
    <n v="32150"/>
  </r>
  <r>
    <x v="11"/>
    <x v="11"/>
    <s v="Electric Generators, Independent Power Producers"/>
    <x v="12"/>
    <n v="118288"/>
  </r>
  <r>
    <x v="11"/>
    <x v="11"/>
    <s v="Electric Generators, Independent Power Producers"/>
    <x v="8"/>
    <n v="164194"/>
  </r>
  <r>
    <x v="11"/>
    <x v="11"/>
    <s v="Electric Generators, Independent Power Producers"/>
    <x v="5"/>
    <n v="12"/>
  </r>
  <r>
    <x v="11"/>
    <x v="11"/>
    <s v="Electric Generators, Electric Utilities"/>
    <x v="0"/>
    <n v="6383088"/>
  </r>
  <r>
    <x v="11"/>
    <x v="11"/>
    <s v="Electric Generators, Electric Utilities"/>
    <x v="2"/>
    <n v="18132"/>
  </r>
  <r>
    <x v="11"/>
    <x v="11"/>
    <s v="Electric Generators, Electric Utilities"/>
    <x v="4"/>
    <n v="6362846"/>
  </r>
  <r>
    <x v="11"/>
    <x v="11"/>
    <s v="Electric Generators, Electric Utilities"/>
    <x v="5"/>
    <n v="2110"/>
  </r>
  <r>
    <x v="11"/>
    <x v="11"/>
    <s v="Combined Heat and Power, Industrial Power"/>
    <x v="0"/>
    <n v="503786"/>
  </r>
  <r>
    <x v="11"/>
    <x v="11"/>
    <s v="Combined Heat and Power, Industrial Power"/>
    <x v="1"/>
    <n v="44826"/>
  </r>
  <r>
    <x v="11"/>
    <x v="11"/>
    <s v="Combined Heat and Power, Industrial Power"/>
    <x v="2"/>
    <n v="50468"/>
  </r>
  <r>
    <x v="11"/>
    <x v="11"/>
    <s v="Combined Heat and Power, Industrial Power"/>
    <x v="12"/>
    <n v="51189"/>
  </r>
  <r>
    <x v="11"/>
    <x v="11"/>
    <s v="Combined Heat and Power, Industrial Power"/>
    <x v="8"/>
    <n v="123515"/>
  </r>
  <r>
    <x v="11"/>
    <x v="11"/>
    <s v="Combined Heat and Power, Industrial Power"/>
    <x v="9"/>
    <n v="37855"/>
  </r>
  <r>
    <x v="11"/>
    <x v="11"/>
    <s v="Combined Heat and Power, Industrial Power"/>
    <x v="4"/>
    <n v="195933"/>
  </r>
  <r>
    <x v="11"/>
    <x v="11"/>
    <s v="Combined Heat and Power, Electric Power"/>
    <x v="0"/>
    <n v="3224983"/>
  </r>
  <r>
    <x v="11"/>
    <x v="11"/>
    <s v="Combined Heat and Power, Electric Power"/>
    <x v="1"/>
    <n v="1559938"/>
  </r>
  <r>
    <x v="11"/>
    <x v="11"/>
    <s v="Combined Heat and Power, Electric Power"/>
    <x v="3"/>
    <n v="0"/>
  </r>
  <r>
    <x v="11"/>
    <x v="11"/>
    <s v="Combined Heat and Power, Electric Power"/>
    <x v="4"/>
    <n v="1665045"/>
  </r>
  <r>
    <x v="11"/>
    <x v="12"/>
    <s v="Total Electric Power Industry"/>
    <x v="0"/>
    <n v="40658512"/>
  </r>
  <r>
    <x v="11"/>
    <x v="12"/>
    <s v="Total Electric Power Industry"/>
    <x v="1"/>
    <n v="34665095"/>
  </r>
  <r>
    <x v="11"/>
    <x v="12"/>
    <s v="Total Electric Power Industry"/>
    <x v="2"/>
    <n v="845154"/>
  </r>
  <r>
    <x v="11"/>
    <x v="12"/>
    <s v="Total Electric Power Industry"/>
    <x v="3"/>
    <n v="592852"/>
  </r>
  <r>
    <x v="11"/>
    <x v="12"/>
    <s v="Total Electric Power Industry"/>
    <x v="7"/>
    <n v="3852722"/>
  </r>
  <r>
    <x v="11"/>
    <x v="12"/>
    <s v="Total Electric Power Industry"/>
    <x v="12"/>
    <n v="8449"/>
  </r>
  <r>
    <x v="11"/>
    <x v="12"/>
    <s v="Total Electric Power Industry"/>
    <x v="8"/>
    <n v="103748"/>
  </r>
  <r>
    <x v="11"/>
    <x v="12"/>
    <s v="Total Electric Power Industry"/>
    <x v="4"/>
    <n v="102628"/>
  </r>
  <r>
    <x v="11"/>
    <x v="12"/>
    <s v="Total Electric Power Industry"/>
    <x v="5"/>
    <n v="487864"/>
  </r>
  <r>
    <x v="11"/>
    <x v="12"/>
    <s v="Electric Generators, Independent Power Producers"/>
    <x v="0"/>
    <n v="495183"/>
  </r>
  <r>
    <x v="11"/>
    <x v="12"/>
    <s v="Electric Generators, Independent Power Producers"/>
    <x v="2"/>
    <n v="14896"/>
  </r>
  <r>
    <x v="11"/>
    <x v="12"/>
    <s v="Electric Generators, Independent Power Producers"/>
    <x v="4"/>
    <n v="2836"/>
  </r>
  <r>
    <x v="11"/>
    <x v="12"/>
    <s v="Electric Generators, Independent Power Producers"/>
    <x v="5"/>
    <n v="477451"/>
  </r>
  <r>
    <x v="11"/>
    <x v="12"/>
    <s v="Electric Generators, Electric Utilities"/>
    <x v="0"/>
    <n v="38755520"/>
  </r>
  <r>
    <x v="11"/>
    <x v="12"/>
    <s v="Electric Generators, Electric Utilities"/>
    <x v="1"/>
    <n v="33471603"/>
  </r>
  <r>
    <x v="11"/>
    <x v="12"/>
    <s v="Electric Generators, Electric Utilities"/>
    <x v="2"/>
    <n v="830258"/>
  </r>
  <r>
    <x v="11"/>
    <x v="12"/>
    <s v="Electric Generators, Electric Utilities"/>
    <x v="3"/>
    <n v="454476"/>
  </r>
  <r>
    <x v="11"/>
    <x v="12"/>
    <s v="Electric Generators, Electric Utilities"/>
    <x v="7"/>
    <n v="3852722"/>
  </r>
  <r>
    <x v="11"/>
    <x v="12"/>
    <s v="Electric Generators, Electric Utilities"/>
    <x v="12"/>
    <n v="7708"/>
  </r>
  <r>
    <x v="11"/>
    <x v="12"/>
    <s v="Electric Generators, Electric Utilities"/>
    <x v="8"/>
    <n v="33544"/>
  </r>
  <r>
    <x v="11"/>
    <x v="12"/>
    <s v="Electric Generators, Electric Utilities"/>
    <x v="4"/>
    <n v="94796"/>
  </r>
  <r>
    <x v="11"/>
    <x v="12"/>
    <s v="Electric Generators, Electric Utilities"/>
    <x v="5"/>
    <n v="10413"/>
  </r>
  <r>
    <x v="11"/>
    <x v="12"/>
    <s v="Combined Heat and Power, Industrial Power"/>
    <x v="0"/>
    <n v="1104501"/>
  </r>
  <r>
    <x v="11"/>
    <x v="12"/>
    <s v="Combined Heat and Power, Industrial Power"/>
    <x v="1"/>
    <n v="986089"/>
  </r>
  <r>
    <x v="11"/>
    <x v="12"/>
    <s v="Combined Heat and Power, Industrial Power"/>
    <x v="3"/>
    <n v="117857"/>
  </r>
  <r>
    <x v="11"/>
    <x v="12"/>
    <s v="Combined Heat and Power, Industrial Power"/>
    <x v="4"/>
    <n v="555"/>
  </r>
  <r>
    <x v="11"/>
    <x v="12"/>
    <s v="Combined Heat and Power, Electric Power"/>
    <x v="0"/>
    <n v="173267"/>
  </r>
  <r>
    <x v="11"/>
    <x v="12"/>
    <s v="Combined Heat and Power, Electric Power"/>
    <x v="1"/>
    <n v="117787"/>
  </r>
  <r>
    <x v="11"/>
    <x v="12"/>
    <s v="Combined Heat and Power, Electric Power"/>
    <x v="8"/>
    <n v="55480"/>
  </r>
  <r>
    <x v="11"/>
    <x v="12"/>
    <s v="Combined Heat and Power, Commercial Power"/>
    <x v="0"/>
    <n v="130041"/>
  </r>
  <r>
    <x v="11"/>
    <x v="12"/>
    <s v="Combined Heat and Power, Commercial Power"/>
    <x v="1"/>
    <n v="89616"/>
  </r>
  <r>
    <x v="11"/>
    <x v="12"/>
    <s v="Combined Heat and Power, Commercial Power"/>
    <x v="3"/>
    <n v="20519"/>
  </r>
  <r>
    <x v="11"/>
    <x v="12"/>
    <s v="Combined Heat and Power, Commercial Power"/>
    <x v="12"/>
    <n v="741"/>
  </r>
  <r>
    <x v="11"/>
    <x v="12"/>
    <s v="Combined Heat and Power, Commercial Power"/>
    <x v="8"/>
    <n v="14724"/>
  </r>
  <r>
    <x v="11"/>
    <x v="12"/>
    <s v="Combined Heat and Power, Commercial Power"/>
    <x v="4"/>
    <n v="4441"/>
  </r>
  <r>
    <x v="11"/>
    <x v="13"/>
    <s v="Total Electric Power Industry"/>
    <x v="0"/>
    <n v="9346941"/>
  </r>
  <r>
    <x v="11"/>
    <x v="13"/>
    <s v="Total Electric Power Industry"/>
    <x v="1"/>
    <n v="72284"/>
  </r>
  <r>
    <x v="11"/>
    <x v="13"/>
    <s v="Total Electric Power Industry"/>
    <x v="2"/>
    <n v="7223126"/>
  </r>
  <r>
    <x v="11"/>
    <x v="13"/>
    <s v="Total Electric Power Industry"/>
    <x v="3"/>
    <n v="1405286"/>
  </r>
  <r>
    <x v="11"/>
    <x v="13"/>
    <s v="Total Electric Power Industry"/>
    <x v="12"/>
    <n v="109187"/>
  </r>
  <r>
    <x v="11"/>
    <x v="13"/>
    <s v="Total Electric Power Industry"/>
    <x v="4"/>
    <n v="3723"/>
  </r>
  <r>
    <x v="11"/>
    <x v="13"/>
    <s v="Total Electric Power Industry"/>
    <x v="6"/>
    <n v="533335"/>
  </r>
  <r>
    <x v="11"/>
    <x v="13"/>
    <s v="Electric Generators, Independent Power Producers"/>
    <x v="0"/>
    <n v="1696242"/>
  </r>
  <r>
    <x v="11"/>
    <x v="13"/>
    <s v="Electric Generators, Independent Power Producers"/>
    <x v="2"/>
    <n v="560260"/>
  </r>
  <r>
    <x v="11"/>
    <x v="13"/>
    <s v="Electric Generators, Independent Power Producers"/>
    <x v="3"/>
    <n v="1135982"/>
  </r>
  <r>
    <x v="11"/>
    <x v="13"/>
    <s v="Electric Generators, Electric Utilities"/>
    <x v="0"/>
    <n v="6666589"/>
  </r>
  <r>
    <x v="11"/>
    <x v="13"/>
    <s v="Electric Generators, Electric Utilities"/>
    <x v="2"/>
    <n v="6662866"/>
  </r>
  <r>
    <x v="11"/>
    <x v="13"/>
    <s v="Electric Generators, Electric Utilities"/>
    <x v="4"/>
    <n v="3723"/>
  </r>
  <r>
    <x v="11"/>
    <x v="13"/>
    <s v="Combined Heat and Power, Industrial Power"/>
    <x v="0"/>
    <n v="782826"/>
  </r>
  <r>
    <x v="11"/>
    <x v="13"/>
    <s v="Combined Heat and Power, Industrial Power"/>
    <x v="1"/>
    <n v="72284"/>
  </r>
  <r>
    <x v="11"/>
    <x v="13"/>
    <s v="Combined Heat and Power, Industrial Power"/>
    <x v="3"/>
    <n v="106168"/>
  </r>
  <r>
    <x v="11"/>
    <x v="13"/>
    <s v="Combined Heat and Power, Industrial Power"/>
    <x v="12"/>
    <n v="109187"/>
  </r>
  <r>
    <x v="11"/>
    <x v="13"/>
    <s v="Combined Heat and Power, Industrial Power"/>
    <x v="6"/>
    <n v="495187"/>
  </r>
  <r>
    <x v="11"/>
    <x v="13"/>
    <s v="Combined Heat and Power, Electric Power"/>
    <x v="0"/>
    <n v="201284"/>
  </r>
  <r>
    <x v="11"/>
    <x v="13"/>
    <s v="Combined Heat and Power, Electric Power"/>
    <x v="3"/>
    <n v="163136"/>
  </r>
  <r>
    <x v="11"/>
    <x v="13"/>
    <s v="Combined Heat and Power, Electric Power"/>
    <x v="6"/>
    <n v="38148"/>
  </r>
  <r>
    <x v="11"/>
    <x v="14"/>
    <s v="Total Electric Power Industry"/>
    <x v="0"/>
    <n v="179249285"/>
  </r>
  <r>
    <x v="11"/>
    <x v="14"/>
    <s v="Total Electric Power Industry"/>
    <x v="1"/>
    <n v="79550637"/>
  </r>
  <r>
    <x v="11"/>
    <x v="14"/>
    <s v="Total Electric Power Industry"/>
    <x v="2"/>
    <n v="144027"/>
  </r>
  <r>
    <x v="11"/>
    <x v="14"/>
    <s v="Total Electric Power Industry"/>
    <x v="3"/>
    <n v="4606293"/>
  </r>
  <r>
    <x v="11"/>
    <x v="14"/>
    <s v="Total Electric Power Industry"/>
    <x v="7"/>
    <n v="92358477"/>
  </r>
  <r>
    <x v="11"/>
    <x v="14"/>
    <s v="Total Electric Power Industry"/>
    <x v="12"/>
    <n v="49501"/>
  </r>
  <r>
    <x v="11"/>
    <x v="14"/>
    <s v="Total Electric Power Industry"/>
    <x v="8"/>
    <n v="678569"/>
  </r>
  <r>
    <x v="11"/>
    <x v="14"/>
    <s v="Total Electric Power Industry"/>
    <x v="9"/>
    <n v="355776"/>
  </r>
  <r>
    <x v="11"/>
    <x v="14"/>
    <s v="Total Electric Power Industry"/>
    <x v="4"/>
    <n v="1506005"/>
  </r>
  <r>
    <x v="11"/>
    <x v="14"/>
    <s v="Electric Generators, Independent Power Producers"/>
    <x v="0"/>
    <n v="145621029"/>
  </r>
  <r>
    <x v="11"/>
    <x v="14"/>
    <s v="Electric Generators, Independent Power Producers"/>
    <x v="1"/>
    <n v="48489058"/>
  </r>
  <r>
    <x v="11"/>
    <x v="14"/>
    <s v="Electric Generators, Independent Power Producers"/>
    <x v="2"/>
    <n v="84213"/>
  </r>
  <r>
    <x v="11"/>
    <x v="14"/>
    <s v="Electric Generators, Independent Power Producers"/>
    <x v="3"/>
    <n v="2841809"/>
  </r>
  <r>
    <x v="11"/>
    <x v="14"/>
    <s v="Electric Generators, Independent Power Producers"/>
    <x v="7"/>
    <n v="92358477"/>
  </r>
  <r>
    <x v="11"/>
    <x v="14"/>
    <s v="Electric Generators, Independent Power Producers"/>
    <x v="12"/>
    <n v="35316"/>
  </r>
  <r>
    <x v="11"/>
    <x v="14"/>
    <s v="Electric Generators, Independent Power Producers"/>
    <x v="8"/>
    <n v="424269"/>
  </r>
  <r>
    <x v="11"/>
    <x v="14"/>
    <s v="Electric Generators, Independent Power Producers"/>
    <x v="4"/>
    <n v="1387887"/>
  </r>
  <r>
    <x v="11"/>
    <x v="14"/>
    <s v="Electric Generators, Electric Utilities"/>
    <x v="0"/>
    <n v="29835014"/>
  </r>
  <r>
    <x v="11"/>
    <x v="14"/>
    <s v="Electric Generators, Electric Utilities"/>
    <x v="1"/>
    <n v="29124508"/>
  </r>
  <r>
    <x v="11"/>
    <x v="14"/>
    <s v="Electric Generators, Electric Utilities"/>
    <x v="2"/>
    <n v="56802"/>
  </r>
  <r>
    <x v="11"/>
    <x v="14"/>
    <s v="Electric Generators, Electric Utilities"/>
    <x v="3"/>
    <n v="546305"/>
  </r>
  <r>
    <x v="11"/>
    <x v="14"/>
    <s v="Electric Generators, Electric Utilities"/>
    <x v="12"/>
    <n v="3420"/>
  </r>
  <r>
    <x v="11"/>
    <x v="14"/>
    <s v="Electric Generators, Electric Utilities"/>
    <x v="8"/>
    <n v="4534"/>
  </r>
  <r>
    <x v="11"/>
    <x v="14"/>
    <s v="Electric Generators, Electric Utilities"/>
    <x v="4"/>
    <n v="99445"/>
  </r>
  <r>
    <x v="11"/>
    <x v="14"/>
    <s v="Combined Heat and Power, Industrial Power"/>
    <x v="0"/>
    <n v="2712662"/>
  </r>
  <r>
    <x v="11"/>
    <x v="14"/>
    <s v="Combined Heat and Power, Industrial Power"/>
    <x v="1"/>
    <n v="1819585"/>
  </r>
  <r>
    <x v="11"/>
    <x v="14"/>
    <s v="Combined Heat and Power, Industrial Power"/>
    <x v="3"/>
    <n v="442875"/>
  </r>
  <r>
    <x v="11"/>
    <x v="14"/>
    <s v="Combined Heat and Power, Industrial Power"/>
    <x v="12"/>
    <n v="10764"/>
  </r>
  <r>
    <x v="11"/>
    <x v="14"/>
    <s v="Combined Heat and Power, Industrial Power"/>
    <x v="8"/>
    <n v="68519"/>
  </r>
  <r>
    <x v="11"/>
    <x v="14"/>
    <s v="Combined Heat and Power, Industrial Power"/>
    <x v="9"/>
    <n v="355776"/>
  </r>
  <r>
    <x v="11"/>
    <x v="14"/>
    <s v="Combined Heat and Power, Industrial Power"/>
    <x v="4"/>
    <n v="15143"/>
  </r>
  <r>
    <x v="11"/>
    <x v="14"/>
    <s v="Combined Heat and Power, Electric Power"/>
    <x v="0"/>
    <n v="832611"/>
  </r>
  <r>
    <x v="11"/>
    <x v="14"/>
    <s v="Combined Heat and Power, Electric Power"/>
    <x v="1"/>
    <n v="84564"/>
  </r>
  <r>
    <x v="11"/>
    <x v="14"/>
    <s v="Combined Heat and Power, Electric Power"/>
    <x v="3"/>
    <n v="574316"/>
  </r>
  <r>
    <x v="11"/>
    <x v="14"/>
    <s v="Combined Heat and Power, Electric Power"/>
    <x v="8"/>
    <n v="173731"/>
  </r>
  <r>
    <x v="11"/>
    <x v="14"/>
    <s v="Combined Heat and Power, Commercial Power"/>
    <x v="0"/>
    <n v="247969"/>
  </r>
  <r>
    <x v="11"/>
    <x v="14"/>
    <s v="Combined Heat and Power, Commercial Power"/>
    <x v="1"/>
    <n v="32922"/>
  </r>
  <r>
    <x v="11"/>
    <x v="14"/>
    <s v="Combined Heat and Power, Commercial Power"/>
    <x v="2"/>
    <n v="3012"/>
  </r>
  <r>
    <x v="11"/>
    <x v="14"/>
    <s v="Combined Heat and Power, Commercial Power"/>
    <x v="3"/>
    <n v="200988"/>
  </r>
  <r>
    <x v="11"/>
    <x v="14"/>
    <s v="Combined Heat and Power, Commercial Power"/>
    <x v="8"/>
    <n v="7517"/>
  </r>
  <r>
    <x v="11"/>
    <x v="14"/>
    <s v="Combined Heat and Power, Commercial Power"/>
    <x v="4"/>
    <n v="3530"/>
  </r>
  <r>
    <x v="11"/>
    <x v="15"/>
    <s v="Total Electric Power Industry"/>
    <x v="0"/>
    <n v="122569673"/>
  </r>
  <r>
    <x v="11"/>
    <x v="15"/>
    <s v="Total Electric Power Industry"/>
    <x v="1"/>
    <n v="116066512"/>
  </r>
  <r>
    <x v="11"/>
    <x v="15"/>
    <s v="Total Electric Power Industry"/>
    <x v="2"/>
    <n v="570692"/>
  </r>
  <r>
    <x v="11"/>
    <x v="15"/>
    <s v="Total Electric Power Industry"/>
    <x v="3"/>
    <n v="2331660"/>
  </r>
  <r>
    <x v="11"/>
    <x v="15"/>
    <s v="Total Electric Power Industry"/>
    <x v="12"/>
    <n v="15938"/>
  </r>
  <r>
    <x v="11"/>
    <x v="15"/>
    <s v="Total Electric Power Industry"/>
    <x v="8"/>
    <n v="114580"/>
  </r>
  <r>
    <x v="11"/>
    <x v="15"/>
    <s v="Total Electric Power Industry"/>
    <x v="9"/>
    <n v="2978809"/>
  </r>
  <r>
    <x v="11"/>
    <x v="15"/>
    <s v="Total Electric Power Industry"/>
    <x v="4"/>
    <n v="491482"/>
  </r>
  <r>
    <x v="11"/>
    <x v="15"/>
    <s v="Electric Generators, Independent Power Producers"/>
    <x v="0"/>
    <n v="3665214"/>
  </r>
  <r>
    <x v="11"/>
    <x v="15"/>
    <s v="Electric Generators, Independent Power Producers"/>
    <x v="1"/>
    <n v="2702142"/>
  </r>
  <r>
    <x v="11"/>
    <x v="15"/>
    <s v="Electric Generators, Independent Power Producers"/>
    <x v="3"/>
    <n v="873883"/>
  </r>
  <r>
    <x v="11"/>
    <x v="15"/>
    <s v="Electric Generators, Independent Power Producers"/>
    <x v="8"/>
    <n v="89189"/>
  </r>
  <r>
    <x v="11"/>
    <x v="15"/>
    <s v="Electric Generators, Electric Utilities"/>
    <x v="0"/>
    <n v="114666355"/>
  </r>
  <r>
    <x v="11"/>
    <x v="15"/>
    <s v="Electric Generators, Electric Utilities"/>
    <x v="1"/>
    <n v="113135350"/>
  </r>
  <r>
    <x v="11"/>
    <x v="15"/>
    <s v="Electric Generators, Electric Utilities"/>
    <x v="2"/>
    <n v="570692"/>
  </r>
  <r>
    <x v="11"/>
    <x v="15"/>
    <s v="Electric Generators, Electric Utilities"/>
    <x v="3"/>
    <n v="588690"/>
  </r>
  <r>
    <x v="11"/>
    <x v="15"/>
    <s v="Electric Generators, Electric Utilities"/>
    <x v="4"/>
    <n v="371623"/>
  </r>
  <r>
    <x v="11"/>
    <x v="15"/>
    <s v="Combined Heat and Power, Industrial Power"/>
    <x v="0"/>
    <n v="4001392"/>
  </r>
  <r>
    <x v="11"/>
    <x v="15"/>
    <s v="Combined Heat and Power, Industrial Power"/>
    <x v="1"/>
    <n v="49596"/>
  </r>
  <r>
    <x v="11"/>
    <x v="15"/>
    <s v="Combined Heat and Power, Industrial Power"/>
    <x v="3"/>
    <n v="856451"/>
  </r>
  <r>
    <x v="11"/>
    <x v="15"/>
    <s v="Combined Heat and Power, Industrial Power"/>
    <x v="8"/>
    <n v="4264"/>
  </r>
  <r>
    <x v="11"/>
    <x v="15"/>
    <s v="Combined Heat and Power, Industrial Power"/>
    <x v="9"/>
    <n v="2974247"/>
  </r>
  <r>
    <x v="11"/>
    <x v="15"/>
    <s v="Combined Heat and Power, Industrial Power"/>
    <x v="4"/>
    <n v="116834"/>
  </r>
  <r>
    <x v="11"/>
    <x v="15"/>
    <s v="Combined Heat and Power, Electric Power"/>
    <x v="0"/>
    <n v="11916"/>
  </r>
  <r>
    <x v="11"/>
    <x v="15"/>
    <s v="Combined Heat and Power, Electric Power"/>
    <x v="1"/>
    <n v="6415"/>
  </r>
  <r>
    <x v="11"/>
    <x v="15"/>
    <s v="Combined Heat and Power, Electric Power"/>
    <x v="3"/>
    <n v="939"/>
  </r>
  <r>
    <x v="11"/>
    <x v="15"/>
    <s v="Combined Heat and Power, Electric Power"/>
    <x v="9"/>
    <n v="4562"/>
  </r>
  <r>
    <x v="11"/>
    <x v="15"/>
    <s v="Combined Heat and Power, Electric Power"/>
    <x v="4"/>
    <n v="0"/>
  </r>
  <r>
    <x v="11"/>
    <x v="15"/>
    <s v="Combined Heat and Power, Commercial Power"/>
    <x v="0"/>
    <n v="224796"/>
  </r>
  <r>
    <x v="11"/>
    <x v="15"/>
    <s v="Combined Heat and Power, Commercial Power"/>
    <x v="1"/>
    <n v="173009"/>
  </r>
  <r>
    <x v="11"/>
    <x v="15"/>
    <s v="Combined Heat and Power, Commercial Power"/>
    <x v="3"/>
    <n v="11697"/>
  </r>
  <r>
    <x v="11"/>
    <x v="15"/>
    <s v="Combined Heat and Power, Commercial Power"/>
    <x v="12"/>
    <n v="15938"/>
  </r>
  <r>
    <x v="11"/>
    <x v="15"/>
    <s v="Combined Heat and Power, Commercial Power"/>
    <x v="8"/>
    <n v="21127"/>
  </r>
  <r>
    <x v="11"/>
    <x v="15"/>
    <s v="Combined Heat and Power, Commercial Power"/>
    <x v="4"/>
    <n v="3025"/>
  </r>
  <r>
    <x v="11"/>
    <x v="16"/>
    <s v="Total Electric Power Industry"/>
    <x v="0"/>
    <n v="44748523"/>
  </r>
  <r>
    <x v="11"/>
    <x v="16"/>
    <s v="Total Electric Power Industry"/>
    <x v="1"/>
    <n v="31768001"/>
  </r>
  <r>
    <x v="11"/>
    <x v="16"/>
    <s v="Total Electric Power Industry"/>
    <x v="2"/>
    <n v="25562"/>
  </r>
  <r>
    <x v="11"/>
    <x v="16"/>
    <s v="Total Electric Power Industry"/>
    <x v="3"/>
    <n v="1951300"/>
  </r>
  <r>
    <x v="11"/>
    <x v="16"/>
    <s v="Total Electric Power Industry"/>
    <x v="7"/>
    <n v="10346651"/>
  </r>
  <r>
    <x v="11"/>
    <x v="16"/>
    <s v="Total Electric Power Industry"/>
    <x v="4"/>
    <n v="617177"/>
  </r>
  <r>
    <x v="11"/>
    <x v="16"/>
    <s v="Total Electric Power Industry"/>
    <x v="5"/>
    <n v="39832"/>
  </r>
  <r>
    <x v="11"/>
    <x v="16"/>
    <s v="Electric Generators, Independent Power Producers"/>
    <x v="0"/>
    <n v="65394"/>
  </r>
  <r>
    <x v="11"/>
    <x v="16"/>
    <s v="Electric Generators, Independent Power Producers"/>
    <x v="2"/>
    <n v="25562"/>
  </r>
  <r>
    <x v="11"/>
    <x v="16"/>
    <s v="Electric Generators, Independent Power Producers"/>
    <x v="5"/>
    <n v="39832"/>
  </r>
  <r>
    <x v="11"/>
    <x v="16"/>
    <s v="Electric Generators, Electric Utilities"/>
    <x v="0"/>
    <n v="44642712"/>
  </r>
  <r>
    <x v="11"/>
    <x v="16"/>
    <s v="Electric Generators, Electric Utilities"/>
    <x v="1"/>
    <n v="31768001"/>
  </r>
  <r>
    <x v="11"/>
    <x v="16"/>
    <s v="Electric Generators, Electric Utilities"/>
    <x v="3"/>
    <n v="1911642"/>
  </r>
  <r>
    <x v="11"/>
    <x v="16"/>
    <s v="Electric Generators, Electric Utilities"/>
    <x v="7"/>
    <n v="10346651"/>
  </r>
  <r>
    <x v="11"/>
    <x v="16"/>
    <s v="Electric Generators, Electric Utilities"/>
    <x v="4"/>
    <n v="616418"/>
  </r>
  <r>
    <x v="11"/>
    <x v="16"/>
    <s v="Combined Heat and Power, Industrial Power"/>
    <x v="0"/>
    <n v="38360"/>
  </r>
  <r>
    <x v="11"/>
    <x v="16"/>
    <s v="Combined Heat and Power, Industrial Power"/>
    <x v="3"/>
    <n v="37601"/>
  </r>
  <r>
    <x v="11"/>
    <x v="16"/>
    <s v="Combined Heat and Power, Industrial Power"/>
    <x v="4"/>
    <n v="759"/>
  </r>
  <r>
    <x v="11"/>
    <x v="16"/>
    <s v="Combined Heat and Power, Commercial Power"/>
    <x v="0"/>
    <n v="2057"/>
  </r>
  <r>
    <x v="11"/>
    <x v="16"/>
    <s v="Combined Heat and Power, Commercial Power"/>
    <x v="3"/>
    <n v="2057"/>
  </r>
  <r>
    <x v="11"/>
    <x v="16"/>
    <s v="Combined Heat and Power, Commercial Power"/>
    <x v="4"/>
    <n v="0"/>
  </r>
  <r>
    <x v="11"/>
    <x v="17"/>
    <s v="Total Electric Power Industry"/>
    <x v="0"/>
    <n v="95417626"/>
  </r>
  <r>
    <x v="11"/>
    <x v="17"/>
    <s v="Total Electric Power Industry"/>
    <x v="1"/>
    <n v="90798578"/>
  </r>
  <r>
    <x v="11"/>
    <x v="17"/>
    <s v="Total Electric Power Industry"/>
    <x v="2"/>
    <n v="3855508"/>
  </r>
  <r>
    <x v="11"/>
    <x v="17"/>
    <s v="Total Electric Power Industry"/>
    <x v="3"/>
    <n v="630427"/>
  </r>
  <r>
    <x v="11"/>
    <x v="17"/>
    <s v="Total Electric Power Industry"/>
    <x v="4"/>
    <n v="123560"/>
  </r>
  <r>
    <x v="11"/>
    <x v="17"/>
    <s v="Total Electric Power Industry"/>
    <x v="6"/>
    <n v="9553"/>
  </r>
  <r>
    <x v="11"/>
    <x v="17"/>
    <s v="Electric Generators, Independent Power Producers"/>
    <x v="0"/>
    <n v="11448423"/>
  </r>
  <r>
    <x v="11"/>
    <x v="17"/>
    <s v="Electric Generators, Independent Power Producers"/>
    <x v="1"/>
    <n v="11417074"/>
  </r>
  <r>
    <x v="11"/>
    <x v="17"/>
    <s v="Electric Generators, Independent Power Producers"/>
    <x v="3"/>
    <n v="28207"/>
  </r>
  <r>
    <x v="11"/>
    <x v="17"/>
    <s v="Electric Generators, Independent Power Producers"/>
    <x v="4"/>
    <n v="3142"/>
  </r>
  <r>
    <x v="11"/>
    <x v="17"/>
    <s v="Electric Generators, Electric Utilities"/>
    <x v="0"/>
    <n v="83677982"/>
  </r>
  <r>
    <x v="11"/>
    <x v="17"/>
    <s v="Electric Generators, Electric Utilities"/>
    <x v="1"/>
    <n v="79381504"/>
  </r>
  <r>
    <x v="11"/>
    <x v="17"/>
    <s v="Electric Generators, Electric Utilities"/>
    <x v="2"/>
    <n v="3855508"/>
  </r>
  <r>
    <x v="11"/>
    <x v="17"/>
    <s v="Electric Generators, Electric Utilities"/>
    <x v="3"/>
    <n v="320552"/>
  </r>
  <r>
    <x v="11"/>
    <x v="17"/>
    <s v="Electric Generators, Electric Utilities"/>
    <x v="4"/>
    <n v="120418"/>
  </r>
  <r>
    <x v="11"/>
    <x v="17"/>
    <s v="Combined Heat and Power, Industrial Power"/>
    <x v="0"/>
    <n v="193697"/>
  </r>
  <r>
    <x v="11"/>
    <x v="17"/>
    <s v="Combined Heat and Power, Industrial Power"/>
    <x v="3"/>
    <n v="184144"/>
  </r>
  <r>
    <x v="11"/>
    <x v="17"/>
    <s v="Combined Heat and Power, Industrial Power"/>
    <x v="6"/>
    <n v="9553"/>
  </r>
  <r>
    <x v="11"/>
    <x v="17"/>
    <s v="Combined Heat and Power, Commercial Power"/>
    <x v="0"/>
    <n v="97524"/>
  </r>
  <r>
    <x v="11"/>
    <x v="17"/>
    <s v="Combined Heat and Power, Commercial Power"/>
    <x v="3"/>
    <n v="97524"/>
  </r>
  <r>
    <x v="11"/>
    <x v="18"/>
    <s v="Total Electric Power Industry"/>
    <x v="0"/>
    <n v="87894377"/>
  </r>
  <r>
    <x v="11"/>
    <x v="18"/>
    <s v="Total Electric Power Industry"/>
    <x v="1"/>
    <n v="21968146"/>
  </r>
  <r>
    <x v="11"/>
    <x v="18"/>
    <s v="Total Electric Power Industry"/>
    <x v="2"/>
    <n v="732217"/>
  </r>
  <r>
    <x v="11"/>
    <x v="18"/>
    <s v="Total Electric Power Industry"/>
    <x v="3"/>
    <n v="40372754"/>
  </r>
  <r>
    <x v="11"/>
    <x v="18"/>
    <s v="Total Electric Power Industry"/>
    <x v="7"/>
    <n v="17336135"/>
  </r>
  <r>
    <x v="11"/>
    <x v="18"/>
    <s v="Total Electric Power Industry"/>
    <x v="12"/>
    <n v="890353"/>
  </r>
  <r>
    <x v="11"/>
    <x v="18"/>
    <s v="Total Electric Power Industry"/>
    <x v="8"/>
    <n v="63636"/>
  </r>
  <r>
    <x v="11"/>
    <x v="18"/>
    <s v="Total Electric Power Industry"/>
    <x v="9"/>
    <n v="440544"/>
  </r>
  <r>
    <x v="11"/>
    <x v="18"/>
    <s v="Total Electric Power Industry"/>
    <x v="4"/>
    <n v="3449939"/>
  </r>
  <r>
    <x v="11"/>
    <x v="18"/>
    <s v="Total Electric Power Industry"/>
    <x v="6"/>
    <n v="2640653"/>
  </r>
  <r>
    <x v="11"/>
    <x v="18"/>
    <s v="Electric Generators, Independent Power Producers"/>
    <x v="0"/>
    <n v="14007165"/>
  </r>
  <r>
    <x v="11"/>
    <x v="18"/>
    <s v="Electric Generators, Independent Power Producers"/>
    <x v="1"/>
    <n v="11006174"/>
  </r>
  <r>
    <x v="11"/>
    <x v="18"/>
    <s v="Electric Generators, Independent Power Producers"/>
    <x v="2"/>
    <n v="732217"/>
  </r>
  <r>
    <x v="11"/>
    <x v="18"/>
    <s v="Electric Generators, Independent Power Producers"/>
    <x v="3"/>
    <n v="2074829"/>
  </r>
  <r>
    <x v="11"/>
    <x v="18"/>
    <s v="Electric Generators, Independent Power Producers"/>
    <x v="8"/>
    <n v="60053"/>
  </r>
  <r>
    <x v="11"/>
    <x v="18"/>
    <s v="Electric Generators, Independent Power Producers"/>
    <x v="4"/>
    <n v="133892"/>
  </r>
  <r>
    <x v="11"/>
    <x v="18"/>
    <s v="Electric Generators, Electric Utilities"/>
    <x v="0"/>
    <n v="50378001"/>
  </r>
  <r>
    <x v="11"/>
    <x v="18"/>
    <s v="Electric Generators, Electric Utilities"/>
    <x v="1"/>
    <n v="10917220"/>
  </r>
  <r>
    <x v="11"/>
    <x v="18"/>
    <s v="Electric Generators, Electric Utilities"/>
    <x v="3"/>
    <n v="20402402"/>
  </r>
  <r>
    <x v="11"/>
    <x v="18"/>
    <s v="Electric Generators, Electric Utilities"/>
    <x v="7"/>
    <n v="17336135"/>
  </r>
  <r>
    <x v="11"/>
    <x v="18"/>
    <s v="Electric Generators, Electric Utilities"/>
    <x v="4"/>
    <n v="1722244"/>
  </r>
  <r>
    <x v="11"/>
    <x v="18"/>
    <s v="Combined Heat and Power, Industrial Power"/>
    <x v="0"/>
    <n v="21893145"/>
  </r>
  <r>
    <x v="11"/>
    <x v="18"/>
    <s v="Combined Heat and Power, Industrial Power"/>
    <x v="1"/>
    <n v="44752"/>
  </r>
  <r>
    <x v="11"/>
    <x v="18"/>
    <s v="Combined Heat and Power, Industrial Power"/>
    <x v="3"/>
    <n v="17830633"/>
  </r>
  <r>
    <x v="11"/>
    <x v="18"/>
    <s v="Combined Heat and Power, Industrial Power"/>
    <x v="12"/>
    <n v="890353"/>
  </r>
  <r>
    <x v="11"/>
    <x v="18"/>
    <s v="Combined Heat and Power, Industrial Power"/>
    <x v="8"/>
    <n v="3583"/>
  </r>
  <r>
    <x v="11"/>
    <x v="18"/>
    <s v="Combined Heat and Power, Industrial Power"/>
    <x v="9"/>
    <n v="440544"/>
  </r>
  <r>
    <x v="11"/>
    <x v="18"/>
    <s v="Combined Heat and Power, Industrial Power"/>
    <x v="4"/>
    <n v="42627"/>
  </r>
  <r>
    <x v="11"/>
    <x v="18"/>
    <s v="Combined Heat and Power, Industrial Power"/>
    <x v="6"/>
    <n v="2640653"/>
  </r>
  <r>
    <x v="11"/>
    <x v="18"/>
    <s v="Combined Heat and Power, Electric Power"/>
    <x v="0"/>
    <n v="1551176"/>
  </r>
  <r>
    <x v="11"/>
    <x v="18"/>
    <s v="Combined Heat and Power, Electric Power"/>
    <x v="4"/>
    <n v="1551176"/>
  </r>
  <r>
    <x v="11"/>
    <x v="18"/>
    <s v="Combined Heat and Power, Commercial Power"/>
    <x v="0"/>
    <n v="64890"/>
  </r>
  <r>
    <x v="11"/>
    <x v="18"/>
    <s v="Combined Heat and Power, Commercial Power"/>
    <x v="3"/>
    <n v="64890"/>
  </r>
  <r>
    <x v="11"/>
    <x v="19"/>
    <s v="Total Electric Power Industry"/>
    <x v="0"/>
    <n v="38478434"/>
  </r>
  <r>
    <x v="11"/>
    <x v="19"/>
    <s v="Total Electric Power Industry"/>
    <x v="1"/>
    <n v="11051333"/>
  </r>
  <r>
    <x v="11"/>
    <x v="19"/>
    <s v="Total Electric Power Industry"/>
    <x v="2"/>
    <n v="702505"/>
  </r>
  <r>
    <x v="11"/>
    <x v="19"/>
    <s v="Total Electric Power Industry"/>
    <x v="3"/>
    <n v="11697004"/>
  </r>
  <r>
    <x v="11"/>
    <x v="19"/>
    <s v="Total Electric Power Industry"/>
    <x v="7"/>
    <n v="5144033"/>
  </r>
  <r>
    <x v="11"/>
    <x v="19"/>
    <s v="Total Electric Power Industry"/>
    <x v="12"/>
    <n v="770549"/>
  </r>
  <r>
    <x v="11"/>
    <x v="19"/>
    <s v="Total Electric Power Industry"/>
    <x v="8"/>
    <n v="1183018"/>
  </r>
  <r>
    <x v="11"/>
    <x v="19"/>
    <s v="Total Electric Power Industry"/>
    <x v="9"/>
    <n v="0"/>
  </r>
  <r>
    <x v="11"/>
    <x v="19"/>
    <s v="Total Electric Power Industry"/>
    <x v="4"/>
    <n v="8511572"/>
  </r>
  <r>
    <x v="11"/>
    <x v="19"/>
    <s v="Total Electric Power Industry"/>
    <x v="10"/>
    <n v="-711349"/>
  </r>
  <r>
    <x v="11"/>
    <x v="19"/>
    <s v="Total Electric Power Industry"/>
    <x v="6"/>
    <n v="129769"/>
  </r>
  <r>
    <x v="11"/>
    <x v="19"/>
    <s v="Electric Generators, Independent Power Producers"/>
    <x v="0"/>
    <n v="30175744"/>
  </r>
  <r>
    <x v="11"/>
    <x v="19"/>
    <s v="Electric Generators, Independent Power Producers"/>
    <x v="1"/>
    <n v="9908459"/>
  </r>
  <r>
    <x v="11"/>
    <x v="19"/>
    <s v="Electric Generators, Independent Power Producers"/>
    <x v="2"/>
    <n v="574685"/>
  </r>
  <r>
    <x v="11"/>
    <x v="19"/>
    <s v="Electric Generators, Independent Power Producers"/>
    <x v="3"/>
    <n v="5349343"/>
  </r>
  <r>
    <x v="11"/>
    <x v="19"/>
    <s v="Electric Generators, Independent Power Producers"/>
    <x v="7"/>
    <n v="5144033"/>
  </r>
  <r>
    <x v="11"/>
    <x v="19"/>
    <s v="Electric Generators, Independent Power Producers"/>
    <x v="12"/>
    <n v="746773"/>
  </r>
  <r>
    <x v="11"/>
    <x v="19"/>
    <s v="Electric Generators, Independent Power Producers"/>
    <x v="8"/>
    <n v="1021688"/>
  </r>
  <r>
    <x v="11"/>
    <x v="19"/>
    <s v="Electric Generators, Independent Power Producers"/>
    <x v="4"/>
    <n v="8012568"/>
  </r>
  <r>
    <x v="11"/>
    <x v="19"/>
    <s v="Electric Generators, Independent Power Producers"/>
    <x v="10"/>
    <n v="-711349"/>
  </r>
  <r>
    <x v="11"/>
    <x v="19"/>
    <s v="Electric Generators, Independent Power Producers"/>
    <x v="6"/>
    <n v="129544"/>
  </r>
  <r>
    <x v="11"/>
    <x v="19"/>
    <s v="Electric Generators, Electric Utilities"/>
    <x v="0"/>
    <n v="1566491"/>
  </r>
  <r>
    <x v="11"/>
    <x v="19"/>
    <s v="Electric Generators, Electric Utilities"/>
    <x v="1"/>
    <n v="1096681"/>
  </r>
  <r>
    <x v="11"/>
    <x v="19"/>
    <s v="Electric Generators, Electric Utilities"/>
    <x v="2"/>
    <n v="119581"/>
  </r>
  <r>
    <x v="11"/>
    <x v="19"/>
    <s v="Electric Generators, Electric Utilities"/>
    <x v="3"/>
    <n v="218432"/>
  </r>
  <r>
    <x v="11"/>
    <x v="19"/>
    <s v="Electric Generators, Electric Utilities"/>
    <x v="4"/>
    <n v="131797"/>
  </r>
  <r>
    <x v="11"/>
    <x v="19"/>
    <s v="Combined Heat and Power, Industrial Power"/>
    <x v="0"/>
    <n v="409082"/>
  </r>
  <r>
    <x v="11"/>
    <x v="19"/>
    <s v="Combined Heat and Power, Industrial Power"/>
    <x v="1"/>
    <n v="46193"/>
  </r>
  <r>
    <x v="11"/>
    <x v="19"/>
    <s v="Combined Heat and Power, Industrial Power"/>
    <x v="2"/>
    <n v="8239"/>
  </r>
  <r>
    <x v="11"/>
    <x v="19"/>
    <s v="Combined Heat and Power, Industrial Power"/>
    <x v="3"/>
    <n v="213072"/>
  </r>
  <r>
    <x v="11"/>
    <x v="19"/>
    <s v="Combined Heat and Power, Industrial Power"/>
    <x v="4"/>
    <n v="141578"/>
  </r>
  <r>
    <x v="11"/>
    <x v="19"/>
    <s v="Combined Heat and Power, Electric Power"/>
    <x v="0"/>
    <n v="5768919"/>
  </r>
  <r>
    <x v="11"/>
    <x v="19"/>
    <s v="Combined Heat and Power, Electric Power"/>
    <x v="3"/>
    <n v="5512486"/>
  </r>
  <r>
    <x v="11"/>
    <x v="19"/>
    <s v="Combined Heat and Power, Electric Power"/>
    <x v="12"/>
    <n v="23776"/>
  </r>
  <r>
    <x v="11"/>
    <x v="19"/>
    <s v="Combined Heat and Power, Electric Power"/>
    <x v="8"/>
    <n v="137348"/>
  </r>
  <r>
    <x v="11"/>
    <x v="19"/>
    <s v="Combined Heat and Power, Electric Power"/>
    <x v="4"/>
    <n v="95084"/>
  </r>
  <r>
    <x v="11"/>
    <x v="19"/>
    <s v="Combined Heat and Power, Electric Power"/>
    <x v="6"/>
    <n v="225"/>
  </r>
  <r>
    <x v="11"/>
    <x v="19"/>
    <s v="Combined Heat and Power, Commercial Power"/>
    <x v="0"/>
    <n v="558198"/>
  </r>
  <r>
    <x v="11"/>
    <x v="19"/>
    <s v="Combined Heat and Power, Commercial Power"/>
    <x v="2"/>
    <n v="0"/>
  </r>
  <r>
    <x v="11"/>
    <x v="19"/>
    <s v="Combined Heat and Power, Commercial Power"/>
    <x v="3"/>
    <n v="403671"/>
  </r>
  <r>
    <x v="11"/>
    <x v="19"/>
    <s v="Combined Heat and Power, Commercial Power"/>
    <x v="8"/>
    <n v="23982"/>
  </r>
  <r>
    <x v="11"/>
    <x v="19"/>
    <s v="Combined Heat and Power, Commercial Power"/>
    <x v="9"/>
    <n v="0"/>
  </r>
  <r>
    <x v="11"/>
    <x v="19"/>
    <s v="Combined Heat and Power, Commercial Power"/>
    <x v="4"/>
    <n v="130545"/>
  </r>
  <r>
    <x v="11"/>
    <x v="20"/>
    <s v="Total Electric Power Industry"/>
    <x v="0"/>
    <n v="49062340"/>
  </r>
  <r>
    <x v="11"/>
    <x v="20"/>
    <s v="Total Electric Power Industry"/>
    <x v="1"/>
    <n v="28379409"/>
  </r>
  <r>
    <x v="11"/>
    <x v="20"/>
    <s v="Total Electric Power Industry"/>
    <x v="2"/>
    <n v="1183518"/>
  </r>
  <r>
    <x v="11"/>
    <x v="20"/>
    <s v="Total Electric Power Industry"/>
    <x v="3"/>
    <n v="1760812"/>
  </r>
  <r>
    <x v="11"/>
    <x v="20"/>
    <s v="Total Electric Power Industry"/>
    <x v="7"/>
    <n v="13656267"/>
  </r>
  <r>
    <x v="11"/>
    <x v="20"/>
    <s v="Total Electric Power Industry"/>
    <x v="12"/>
    <n v="247700"/>
  </r>
  <r>
    <x v="11"/>
    <x v="20"/>
    <s v="Total Electric Power Industry"/>
    <x v="8"/>
    <n v="361076"/>
  </r>
  <r>
    <x v="11"/>
    <x v="20"/>
    <s v="Total Electric Power Industry"/>
    <x v="9"/>
    <n v="439980"/>
  </r>
  <r>
    <x v="11"/>
    <x v="20"/>
    <s v="Total Electric Power Industry"/>
    <x v="4"/>
    <n v="3021639"/>
  </r>
  <r>
    <x v="11"/>
    <x v="20"/>
    <s v="Total Electric Power Industry"/>
    <x v="6"/>
    <n v="11939"/>
  </r>
  <r>
    <x v="11"/>
    <x v="20"/>
    <s v="Electric Generators, Independent Power Producers"/>
    <x v="0"/>
    <n v="46079380"/>
  </r>
  <r>
    <x v="11"/>
    <x v="20"/>
    <s v="Electric Generators, Independent Power Producers"/>
    <x v="1"/>
    <n v="26931886"/>
  </r>
  <r>
    <x v="11"/>
    <x v="20"/>
    <s v="Electric Generators, Independent Power Producers"/>
    <x v="2"/>
    <n v="1183518"/>
  </r>
  <r>
    <x v="11"/>
    <x v="20"/>
    <s v="Electric Generators, Independent Power Producers"/>
    <x v="3"/>
    <n v="1096995"/>
  </r>
  <r>
    <x v="11"/>
    <x v="20"/>
    <s v="Electric Generators, Independent Power Producers"/>
    <x v="7"/>
    <n v="13656267"/>
  </r>
  <r>
    <x v="11"/>
    <x v="20"/>
    <s v="Electric Generators, Independent Power Producers"/>
    <x v="12"/>
    <n v="135629"/>
  </r>
  <r>
    <x v="11"/>
    <x v="20"/>
    <s v="Electric Generators, Independent Power Producers"/>
    <x v="8"/>
    <n v="194963"/>
  </r>
  <r>
    <x v="11"/>
    <x v="20"/>
    <s v="Electric Generators, Independent Power Producers"/>
    <x v="4"/>
    <n v="2880122"/>
  </r>
  <r>
    <x v="11"/>
    <x v="20"/>
    <s v="Electric Generators, Electric Utilities"/>
    <x v="0"/>
    <n v="88150"/>
  </r>
  <r>
    <x v="11"/>
    <x v="20"/>
    <s v="Electric Generators, Electric Utilities"/>
    <x v="3"/>
    <n v="360"/>
  </r>
  <r>
    <x v="11"/>
    <x v="20"/>
    <s v="Electric Generators, Electric Utilities"/>
    <x v="4"/>
    <n v="87790"/>
  </r>
  <r>
    <x v="11"/>
    <x v="20"/>
    <s v="Combined Heat and Power, Industrial Power"/>
    <x v="0"/>
    <n v="57000"/>
  </r>
  <r>
    <x v="11"/>
    <x v="20"/>
    <s v="Combined Heat and Power, Industrial Power"/>
    <x v="3"/>
    <n v="57000"/>
  </r>
  <r>
    <x v="11"/>
    <x v="20"/>
    <s v="Combined Heat and Power, Industrial Power"/>
    <x v="4"/>
    <n v="0"/>
  </r>
  <r>
    <x v="11"/>
    <x v="20"/>
    <s v="Combined Heat and Power, Electric Power"/>
    <x v="0"/>
    <n v="2807724"/>
  </r>
  <r>
    <x v="11"/>
    <x v="20"/>
    <s v="Combined Heat and Power, Electric Power"/>
    <x v="1"/>
    <n v="1447523"/>
  </r>
  <r>
    <x v="11"/>
    <x v="20"/>
    <s v="Combined Heat and Power, Electric Power"/>
    <x v="3"/>
    <n v="606457"/>
  </r>
  <r>
    <x v="11"/>
    <x v="20"/>
    <s v="Combined Heat and Power, Electric Power"/>
    <x v="12"/>
    <n v="111907"/>
  </r>
  <r>
    <x v="11"/>
    <x v="20"/>
    <s v="Combined Heat and Power, Electric Power"/>
    <x v="8"/>
    <n v="148341"/>
  </r>
  <r>
    <x v="11"/>
    <x v="20"/>
    <s v="Combined Heat and Power, Electric Power"/>
    <x v="9"/>
    <n v="439980"/>
  </r>
  <r>
    <x v="11"/>
    <x v="20"/>
    <s v="Combined Heat and Power, Electric Power"/>
    <x v="4"/>
    <n v="53516"/>
  </r>
  <r>
    <x v="11"/>
    <x v="20"/>
    <s v="Combined Heat and Power, Commercial Power"/>
    <x v="0"/>
    <n v="30086"/>
  </r>
  <r>
    <x v="11"/>
    <x v="20"/>
    <s v="Combined Heat and Power, Commercial Power"/>
    <x v="12"/>
    <n v="164"/>
  </r>
  <r>
    <x v="11"/>
    <x v="20"/>
    <s v="Combined Heat and Power, Commercial Power"/>
    <x v="8"/>
    <n v="17772"/>
  </r>
  <r>
    <x v="11"/>
    <x v="20"/>
    <s v="Combined Heat and Power, Commercial Power"/>
    <x v="4"/>
    <n v="211"/>
  </r>
  <r>
    <x v="11"/>
    <x v="20"/>
    <s v="Combined Heat and Power, Commercial Power"/>
    <x v="6"/>
    <n v="11939"/>
  </r>
  <r>
    <x v="11"/>
    <x v="21"/>
    <s v="Total Electric Power Industry"/>
    <x v="0"/>
    <n v="19564821"/>
  </r>
  <r>
    <x v="11"/>
    <x v="21"/>
    <s v="Total Electric Power Industry"/>
    <x v="1"/>
    <n v="528412"/>
  </r>
  <r>
    <x v="11"/>
    <x v="21"/>
    <s v="Total Electric Power Industry"/>
    <x v="2"/>
    <n v="2645123"/>
  </r>
  <r>
    <x v="11"/>
    <x v="21"/>
    <s v="Total Electric Power Industry"/>
    <x v="3"/>
    <n v="10052949"/>
  </r>
  <r>
    <x v="11"/>
    <x v="21"/>
    <s v="Total Electric Power Industry"/>
    <x v="12"/>
    <n v="411090"/>
  </r>
  <r>
    <x v="11"/>
    <x v="21"/>
    <s v="Total Electric Power Industry"/>
    <x v="8"/>
    <n v="295585"/>
  </r>
  <r>
    <x v="11"/>
    <x v="21"/>
    <s v="Total Electric Power Industry"/>
    <x v="9"/>
    <n v="0"/>
  </r>
  <r>
    <x v="11"/>
    <x v="21"/>
    <s v="Total Electric Power Industry"/>
    <x v="4"/>
    <n v="2101522"/>
  </r>
  <r>
    <x v="11"/>
    <x v="21"/>
    <s v="Total Electric Power Industry"/>
    <x v="6"/>
    <n v="3530140"/>
  </r>
  <r>
    <x v="11"/>
    <x v="21"/>
    <s v="Electric Generators, Independent Power Producers"/>
    <x v="0"/>
    <n v="12050327"/>
  </r>
  <r>
    <x v="11"/>
    <x v="21"/>
    <s v="Electric Generators, Independent Power Producers"/>
    <x v="2"/>
    <n v="1710241"/>
  </r>
  <r>
    <x v="11"/>
    <x v="21"/>
    <s v="Electric Generators, Independent Power Producers"/>
    <x v="3"/>
    <n v="7868965"/>
  </r>
  <r>
    <x v="11"/>
    <x v="21"/>
    <s v="Electric Generators, Independent Power Producers"/>
    <x v="12"/>
    <n v="98034"/>
  </r>
  <r>
    <x v="11"/>
    <x v="21"/>
    <s v="Electric Generators, Independent Power Producers"/>
    <x v="8"/>
    <n v="130781"/>
  </r>
  <r>
    <x v="11"/>
    <x v="21"/>
    <s v="Electric Generators, Independent Power Producers"/>
    <x v="9"/>
    <n v="0"/>
  </r>
  <r>
    <x v="11"/>
    <x v="21"/>
    <s v="Electric Generators, Independent Power Producers"/>
    <x v="4"/>
    <n v="1106836"/>
  </r>
  <r>
    <x v="11"/>
    <x v="21"/>
    <s v="Electric Generators, Independent Power Producers"/>
    <x v="6"/>
    <n v="1135470"/>
  </r>
  <r>
    <x v="11"/>
    <x v="21"/>
    <s v="Combined Heat and Power, Industrial Power"/>
    <x v="0"/>
    <n v="4409805"/>
  </r>
  <r>
    <x v="11"/>
    <x v="21"/>
    <s v="Combined Heat and Power, Industrial Power"/>
    <x v="1"/>
    <n v="339534"/>
  </r>
  <r>
    <x v="11"/>
    <x v="21"/>
    <s v="Combined Heat and Power, Industrial Power"/>
    <x v="2"/>
    <n v="934882"/>
  </r>
  <r>
    <x v="11"/>
    <x v="21"/>
    <s v="Combined Heat and Power, Industrial Power"/>
    <x v="3"/>
    <n v="71094"/>
  </r>
  <r>
    <x v="11"/>
    <x v="21"/>
    <s v="Combined Heat and Power, Industrial Power"/>
    <x v="12"/>
    <n v="184399"/>
  </r>
  <r>
    <x v="11"/>
    <x v="21"/>
    <s v="Combined Heat and Power, Industrial Power"/>
    <x v="8"/>
    <n v="66811"/>
  </r>
  <r>
    <x v="11"/>
    <x v="21"/>
    <s v="Combined Heat and Power, Industrial Power"/>
    <x v="4"/>
    <n v="990399"/>
  </r>
  <r>
    <x v="11"/>
    <x v="21"/>
    <s v="Combined Heat and Power, Industrial Power"/>
    <x v="6"/>
    <n v="1822686"/>
  </r>
  <r>
    <x v="11"/>
    <x v="21"/>
    <s v="Combined Heat and Power, Electric Power"/>
    <x v="0"/>
    <n v="2924452"/>
  </r>
  <r>
    <x v="11"/>
    <x v="21"/>
    <s v="Combined Heat and Power, Electric Power"/>
    <x v="1"/>
    <n v="188878"/>
  </r>
  <r>
    <x v="11"/>
    <x v="21"/>
    <s v="Combined Heat and Power, Electric Power"/>
    <x v="3"/>
    <n v="2112879"/>
  </r>
  <r>
    <x v="11"/>
    <x v="21"/>
    <s v="Combined Heat and Power, Electric Power"/>
    <x v="12"/>
    <n v="54736"/>
  </r>
  <r>
    <x v="11"/>
    <x v="21"/>
    <s v="Combined Heat and Power, Electric Power"/>
    <x v="8"/>
    <n v="2"/>
  </r>
  <r>
    <x v="11"/>
    <x v="21"/>
    <s v="Combined Heat and Power, Electric Power"/>
    <x v="4"/>
    <n v="850"/>
  </r>
  <r>
    <x v="11"/>
    <x v="21"/>
    <s v="Combined Heat and Power, Electric Power"/>
    <x v="6"/>
    <n v="567108"/>
  </r>
  <r>
    <x v="11"/>
    <x v="21"/>
    <s v="Combined Heat and Power, Commercial Power"/>
    <x v="0"/>
    <n v="180237"/>
  </r>
  <r>
    <x v="11"/>
    <x v="21"/>
    <s v="Combined Heat and Power, Commercial Power"/>
    <x v="3"/>
    <n v="11"/>
  </r>
  <r>
    <x v="11"/>
    <x v="21"/>
    <s v="Combined Heat and Power, Commercial Power"/>
    <x v="12"/>
    <n v="73922"/>
  </r>
  <r>
    <x v="11"/>
    <x v="21"/>
    <s v="Combined Heat and Power, Commercial Power"/>
    <x v="8"/>
    <n v="97991"/>
  </r>
  <r>
    <x v="11"/>
    <x v="21"/>
    <s v="Combined Heat and Power, Commercial Power"/>
    <x v="4"/>
    <n v="3437"/>
  </r>
  <r>
    <x v="11"/>
    <x v="21"/>
    <s v="Combined Heat and Power, Commercial Power"/>
    <x v="6"/>
    <n v="4876"/>
  </r>
  <r>
    <x v="11"/>
    <x v="22"/>
    <s v="Total Electric Power Industry"/>
    <x v="0"/>
    <n v="111845610"/>
  </r>
  <r>
    <x v="11"/>
    <x v="22"/>
    <s v="Total Electric Power Industry"/>
    <x v="1"/>
    <n v="68263164"/>
  </r>
  <r>
    <x v="11"/>
    <x v="22"/>
    <s v="Total Electric Power Industry"/>
    <x v="2"/>
    <n v="1561923"/>
  </r>
  <r>
    <x v="11"/>
    <x v="22"/>
    <s v="Total Electric Power Industry"/>
    <x v="3"/>
    <n v="13173511"/>
  </r>
  <r>
    <x v="11"/>
    <x v="22"/>
    <s v="Total Electric Power Industry"/>
    <x v="7"/>
    <n v="26710782"/>
  </r>
  <r>
    <x v="11"/>
    <x v="22"/>
    <s v="Total Electric Power Industry"/>
    <x v="12"/>
    <n v="145903"/>
  </r>
  <r>
    <x v="11"/>
    <x v="22"/>
    <s v="Total Electric Power Industry"/>
    <x v="8"/>
    <n v="661121"/>
  </r>
  <r>
    <x v="11"/>
    <x v="22"/>
    <s v="Total Electric Power Industry"/>
    <x v="9"/>
    <n v="5614"/>
  </r>
  <r>
    <x v="11"/>
    <x v="22"/>
    <s v="Total Electric Power Industry"/>
    <x v="4"/>
    <n v="749887"/>
  </r>
  <r>
    <x v="11"/>
    <x v="22"/>
    <s v="Total Electric Power Industry"/>
    <x v="10"/>
    <n v="-1126837"/>
  </r>
  <r>
    <x v="11"/>
    <x v="22"/>
    <s v="Total Electric Power Industry"/>
    <x v="5"/>
    <n v="280"/>
  </r>
  <r>
    <x v="11"/>
    <x v="22"/>
    <s v="Total Electric Power Industry"/>
    <x v="6"/>
    <n v="1700262"/>
  </r>
  <r>
    <x v="11"/>
    <x v="22"/>
    <s v="Electric Generators, Independent Power Producers"/>
    <x v="0"/>
    <n v="2399130"/>
  </r>
  <r>
    <x v="11"/>
    <x v="22"/>
    <s v="Electric Generators, Independent Power Producers"/>
    <x v="2"/>
    <n v="85484"/>
  </r>
  <r>
    <x v="11"/>
    <x v="22"/>
    <s v="Electric Generators, Independent Power Producers"/>
    <x v="3"/>
    <n v="621608"/>
  </r>
  <r>
    <x v="11"/>
    <x v="22"/>
    <s v="Electric Generators, Independent Power Producers"/>
    <x v="12"/>
    <n v="123577"/>
  </r>
  <r>
    <x v="11"/>
    <x v="22"/>
    <s v="Electric Generators, Independent Power Producers"/>
    <x v="8"/>
    <n v="478659"/>
  </r>
  <r>
    <x v="11"/>
    <x v="22"/>
    <s v="Electric Generators, Independent Power Producers"/>
    <x v="9"/>
    <n v="5614"/>
  </r>
  <r>
    <x v="11"/>
    <x v="22"/>
    <s v="Electric Generators, Independent Power Producers"/>
    <x v="5"/>
    <n v="280"/>
  </r>
  <r>
    <x v="11"/>
    <x v="22"/>
    <s v="Electric Generators, Independent Power Producers"/>
    <x v="6"/>
    <n v="1083908"/>
  </r>
  <r>
    <x v="11"/>
    <x v="22"/>
    <s v="Electric Generators, Electric Utilities"/>
    <x v="0"/>
    <n v="97067330"/>
  </r>
  <r>
    <x v="11"/>
    <x v="22"/>
    <s v="Electric Generators, Electric Utilities"/>
    <x v="1"/>
    <n v="66931691"/>
  </r>
  <r>
    <x v="11"/>
    <x v="22"/>
    <s v="Electric Generators, Electric Utilities"/>
    <x v="2"/>
    <n v="1450093"/>
  </r>
  <r>
    <x v="11"/>
    <x v="22"/>
    <s v="Electric Generators, Electric Utilities"/>
    <x v="3"/>
    <n v="2362038"/>
  </r>
  <r>
    <x v="11"/>
    <x v="22"/>
    <s v="Electric Generators, Electric Utilities"/>
    <x v="7"/>
    <n v="26710782"/>
  </r>
  <r>
    <x v="11"/>
    <x v="22"/>
    <s v="Electric Generators, Electric Utilities"/>
    <x v="12"/>
    <n v="15250"/>
  </r>
  <r>
    <x v="11"/>
    <x v="22"/>
    <s v="Electric Generators, Electric Utilities"/>
    <x v="8"/>
    <n v="0"/>
  </r>
  <r>
    <x v="11"/>
    <x v="22"/>
    <s v="Electric Generators, Electric Utilities"/>
    <x v="9"/>
    <n v="0"/>
  </r>
  <r>
    <x v="11"/>
    <x v="22"/>
    <s v="Electric Generators, Electric Utilities"/>
    <x v="4"/>
    <n v="724313"/>
  </r>
  <r>
    <x v="11"/>
    <x v="22"/>
    <s v="Electric Generators, Electric Utilities"/>
    <x v="10"/>
    <n v="-1126837"/>
  </r>
  <r>
    <x v="11"/>
    <x v="22"/>
    <s v="Combined Heat and Power, Industrial Power"/>
    <x v="0"/>
    <n v="1638248"/>
  </r>
  <r>
    <x v="11"/>
    <x v="22"/>
    <s v="Combined Heat and Power, Industrial Power"/>
    <x v="1"/>
    <n v="710969"/>
  </r>
  <r>
    <x v="11"/>
    <x v="22"/>
    <s v="Combined Heat and Power, Industrial Power"/>
    <x v="2"/>
    <n v="26346"/>
  </r>
  <r>
    <x v="11"/>
    <x v="22"/>
    <s v="Combined Heat and Power, Industrial Power"/>
    <x v="3"/>
    <n v="268340"/>
  </r>
  <r>
    <x v="11"/>
    <x v="22"/>
    <s v="Combined Heat and Power, Industrial Power"/>
    <x v="8"/>
    <n v="20334"/>
  </r>
  <r>
    <x v="11"/>
    <x v="22"/>
    <s v="Combined Heat and Power, Industrial Power"/>
    <x v="4"/>
    <n v="14873"/>
  </r>
  <r>
    <x v="11"/>
    <x v="22"/>
    <s v="Combined Heat and Power, Industrial Power"/>
    <x v="6"/>
    <n v="597386"/>
  </r>
  <r>
    <x v="11"/>
    <x v="22"/>
    <s v="Combined Heat and Power, Electric Power"/>
    <x v="0"/>
    <n v="10501593"/>
  </r>
  <r>
    <x v="11"/>
    <x v="22"/>
    <s v="Combined Heat and Power, Electric Power"/>
    <x v="1"/>
    <n v="410874"/>
  </r>
  <r>
    <x v="11"/>
    <x v="22"/>
    <s v="Combined Heat and Power, Electric Power"/>
    <x v="3"/>
    <n v="9901408"/>
  </r>
  <r>
    <x v="11"/>
    <x v="22"/>
    <s v="Combined Heat and Power, Electric Power"/>
    <x v="12"/>
    <n v="3261"/>
  </r>
  <r>
    <x v="11"/>
    <x v="22"/>
    <s v="Combined Heat and Power, Electric Power"/>
    <x v="8"/>
    <n v="157097"/>
  </r>
  <r>
    <x v="11"/>
    <x v="22"/>
    <s v="Combined Heat and Power, Electric Power"/>
    <x v="4"/>
    <n v="9985"/>
  </r>
  <r>
    <x v="11"/>
    <x v="22"/>
    <s v="Combined Heat and Power, Electric Power"/>
    <x v="6"/>
    <n v="18968"/>
  </r>
  <r>
    <x v="11"/>
    <x v="22"/>
    <s v="Combined Heat and Power, Commercial Power"/>
    <x v="0"/>
    <n v="239309"/>
  </r>
  <r>
    <x v="11"/>
    <x v="22"/>
    <s v="Combined Heat and Power, Commercial Power"/>
    <x v="1"/>
    <n v="209630"/>
  </r>
  <r>
    <x v="11"/>
    <x v="22"/>
    <s v="Combined Heat and Power, Commercial Power"/>
    <x v="3"/>
    <n v="20117"/>
  </r>
  <r>
    <x v="11"/>
    <x v="22"/>
    <s v="Combined Heat and Power, Commercial Power"/>
    <x v="12"/>
    <n v="3815"/>
  </r>
  <r>
    <x v="11"/>
    <x v="22"/>
    <s v="Combined Heat and Power, Commercial Power"/>
    <x v="8"/>
    <n v="5031"/>
  </r>
  <r>
    <x v="11"/>
    <x v="22"/>
    <s v="Combined Heat and Power, Commercial Power"/>
    <x v="4"/>
    <n v="716"/>
  </r>
  <r>
    <x v="11"/>
    <x v="23"/>
    <s v="Total Electric Power Industry"/>
    <x v="0"/>
    <n v="48523226"/>
  </r>
  <r>
    <x v="11"/>
    <x v="23"/>
    <s v="Total Electric Power Industry"/>
    <x v="1"/>
    <n v="31819163"/>
  </r>
  <r>
    <x v="11"/>
    <x v="23"/>
    <s v="Total Electric Power Industry"/>
    <x v="2"/>
    <n v="831618"/>
  </r>
  <r>
    <x v="11"/>
    <x v="23"/>
    <s v="Total Electric Power Industry"/>
    <x v="3"/>
    <n v="1199577"/>
  </r>
  <r>
    <x v="11"/>
    <x v="23"/>
    <s v="Total Electric Power Industry"/>
    <x v="7"/>
    <n v="11789027"/>
  </r>
  <r>
    <x v="11"/>
    <x v="23"/>
    <s v="Total Electric Power Industry"/>
    <x v="12"/>
    <n v="281672"/>
  </r>
  <r>
    <x v="11"/>
    <x v="23"/>
    <s v="Total Electric Power Industry"/>
    <x v="8"/>
    <n v="505384"/>
  </r>
  <r>
    <x v="11"/>
    <x v="23"/>
    <s v="Total Electric Power Industry"/>
    <x v="4"/>
    <n v="625056"/>
  </r>
  <r>
    <x v="11"/>
    <x v="23"/>
    <s v="Total Electric Power Industry"/>
    <x v="5"/>
    <n v="897018"/>
  </r>
  <r>
    <x v="11"/>
    <x v="23"/>
    <s v="Total Electric Power Industry"/>
    <x v="6"/>
    <n v="574711"/>
  </r>
  <r>
    <x v="11"/>
    <x v="23"/>
    <s v="Electric Generators, Independent Power Producers"/>
    <x v="0"/>
    <n v="1424000"/>
  </r>
  <r>
    <x v="11"/>
    <x v="23"/>
    <s v="Electric Generators, Independent Power Producers"/>
    <x v="2"/>
    <n v="25985"/>
  </r>
  <r>
    <x v="11"/>
    <x v="23"/>
    <s v="Electric Generators, Independent Power Producers"/>
    <x v="3"/>
    <n v="199782"/>
  </r>
  <r>
    <x v="11"/>
    <x v="23"/>
    <s v="Electric Generators, Independent Power Producers"/>
    <x v="12"/>
    <n v="110002"/>
  </r>
  <r>
    <x v="11"/>
    <x v="23"/>
    <s v="Electric Generators, Independent Power Producers"/>
    <x v="8"/>
    <n v="191213"/>
  </r>
  <r>
    <x v="11"/>
    <x v="23"/>
    <s v="Electric Generators, Independent Power Producers"/>
    <x v="5"/>
    <n v="897018"/>
  </r>
  <r>
    <x v="11"/>
    <x v="23"/>
    <s v="Electric Generators, Electric Utilities"/>
    <x v="0"/>
    <n v="44798014"/>
  </r>
  <r>
    <x v="11"/>
    <x v="23"/>
    <s v="Electric Generators, Electric Utilities"/>
    <x v="1"/>
    <n v="31037544"/>
  </r>
  <r>
    <x v="11"/>
    <x v="23"/>
    <s v="Electric Generators, Electric Utilities"/>
    <x v="2"/>
    <n v="619404"/>
  </r>
  <r>
    <x v="11"/>
    <x v="23"/>
    <s v="Electric Generators, Electric Utilities"/>
    <x v="3"/>
    <n v="371643"/>
  </r>
  <r>
    <x v="11"/>
    <x v="23"/>
    <s v="Electric Generators, Electric Utilities"/>
    <x v="7"/>
    <n v="11789027"/>
  </r>
  <r>
    <x v="11"/>
    <x v="23"/>
    <s v="Electric Generators, Electric Utilities"/>
    <x v="12"/>
    <n v="163761"/>
  </r>
  <r>
    <x v="11"/>
    <x v="23"/>
    <s v="Electric Generators, Electric Utilities"/>
    <x v="8"/>
    <n v="217078"/>
  </r>
  <r>
    <x v="11"/>
    <x v="23"/>
    <s v="Electric Generators, Electric Utilities"/>
    <x v="4"/>
    <n v="599557"/>
  </r>
  <r>
    <x v="11"/>
    <x v="23"/>
    <s v="Electric Generators, Electric Utilities"/>
    <x v="6"/>
    <n v="0"/>
  </r>
  <r>
    <x v="11"/>
    <x v="23"/>
    <s v="Combined Heat and Power, Industrial Power"/>
    <x v="0"/>
    <n v="1654521"/>
  </r>
  <r>
    <x v="11"/>
    <x v="23"/>
    <s v="Combined Heat and Power, Industrial Power"/>
    <x v="1"/>
    <n v="754869"/>
  </r>
  <r>
    <x v="11"/>
    <x v="23"/>
    <s v="Combined Heat and Power, Industrial Power"/>
    <x v="2"/>
    <n v="186229"/>
  </r>
  <r>
    <x v="11"/>
    <x v="23"/>
    <s v="Combined Heat and Power, Industrial Power"/>
    <x v="3"/>
    <n v="128192"/>
  </r>
  <r>
    <x v="11"/>
    <x v="23"/>
    <s v="Combined Heat and Power, Industrial Power"/>
    <x v="8"/>
    <n v="7041"/>
  </r>
  <r>
    <x v="11"/>
    <x v="23"/>
    <s v="Combined Heat and Power, Industrial Power"/>
    <x v="4"/>
    <n v="3479"/>
  </r>
  <r>
    <x v="11"/>
    <x v="23"/>
    <s v="Combined Heat and Power, Industrial Power"/>
    <x v="6"/>
    <n v="574711"/>
  </r>
  <r>
    <x v="11"/>
    <x v="23"/>
    <s v="Combined Heat and Power, Electric Power"/>
    <x v="0"/>
    <n v="510127"/>
  </r>
  <r>
    <x v="11"/>
    <x v="23"/>
    <s v="Combined Heat and Power, Electric Power"/>
    <x v="1"/>
    <n v="26750"/>
  </r>
  <r>
    <x v="11"/>
    <x v="23"/>
    <s v="Combined Heat and Power, Electric Power"/>
    <x v="3"/>
    <n v="389587"/>
  </r>
  <r>
    <x v="11"/>
    <x v="23"/>
    <s v="Combined Heat and Power, Electric Power"/>
    <x v="8"/>
    <n v="79566"/>
  </r>
  <r>
    <x v="11"/>
    <x v="23"/>
    <s v="Combined Heat and Power, Electric Power"/>
    <x v="4"/>
    <n v="14224"/>
  </r>
  <r>
    <x v="11"/>
    <x v="23"/>
    <s v="Combined Heat and Power, Commercial Power"/>
    <x v="0"/>
    <n v="136564"/>
  </r>
  <r>
    <x v="11"/>
    <x v="23"/>
    <s v="Combined Heat and Power, Commercial Power"/>
    <x v="3"/>
    <n v="110373"/>
  </r>
  <r>
    <x v="11"/>
    <x v="23"/>
    <s v="Combined Heat and Power, Commercial Power"/>
    <x v="12"/>
    <n v="7909"/>
  </r>
  <r>
    <x v="11"/>
    <x v="23"/>
    <s v="Combined Heat and Power, Commercial Power"/>
    <x v="8"/>
    <n v="10486"/>
  </r>
  <r>
    <x v="11"/>
    <x v="23"/>
    <s v="Combined Heat and Power, Commercial Power"/>
    <x v="4"/>
    <n v="7796"/>
  </r>
  <r>
    <x v="11"/>
    <x v="24"/>
    <s v="Total Electric Power Industry"/>
    <x v="0"/>
    <n v="79544873"/>
  </r>
  <r>
    <x v="11"/>
    <x v="24"/>
    <s v="Total Electric Power Industry"/>
    <x v="1"/>
    <n v="65748683"/>
  </r>
  <r>
    <x v="11"/>
    <x v="24"/>
    <s v="Total Electric Power Industry"/>
    <x v="2"/>
    <n v="1104135"/>
  </r>
  <r>
    <x v="11"/>
    <x v="24"/>
    <s v="Total Electric Power Industry"/>
    <x v="3"/>
    <n v="3873562"/>
  </r>
  <r>
    <x v="11"/>
    <x v="24"/>
    <s v="Total Electric Power Industry"/>
    <x v="7"/>
    <n v="8384240"/>
  </r>
  <r>
    <x v="11"/>
    <x v="24"/>
    <s v="Total Electric Power Industry"/>
    <x v="12"/>
    <n v="53630"/>
  </r>
  <r>
    <x v="11"/>
    <x v="24"/>
    <s v="Total Electric Power Industry"/>
    <x v="8"/>
    <n v="8798"/>
  </r>
  <r>
    <x v="11"/>
    <x v="24"/>
    <s v="Total Electric Power Industry"/>
    <x v="4"/>
    <n v="637685"/>
  </r>
  <r>
    <x v="11"/>
    <x v="24"/>
    <s v="Total Electric Power Industry"/>
    <x v="10"/>
    <n v="-265860"/>
  </r>
  <r>
    <x v="11"/>
    <x v="24"/>
    <s v="Electric Generators, Independent Power Producers"/>
    <x v="0"/>
    <n v="226090"/>
  </r>
  <r>
    <x v="11"/>
    <x v="24"/>
    <s v="Electric Generators, Independent Power Producers"/>
    <x v="3"/>
    <n v="226090"/>
  </r>
  <r>
    <x v="11"/>
    <x v="24"/>
    <s v="Electric Generators, Electric Utilities"/>
    <x v="0"/>
    <n v="78990878"/>
  </r>
  <r>
    <x v="11"/>
    <x v="24"/>
    <s v="Electric Generators, Electric Utilities"/>
    <x v="1"/>
    <n v="65445161"/>
  </r>
  <r>
    <x v="11"/>
    <x v="24"/>
    <s v="Electric Generators, Electric Utilities"/>
    <x v="2"/>
    <n v="1104135"/>
  </r>
  <r>
    <x v="11"/>
    <x v="24"/>
    <s v="Electric Generators, Electric Utilities"/>
    <x v="3"/>
    <n v="3634106"/>
  </r>
  <r>
    <x v="11"/>
    <x v="24"/>
    <s v="Electric Generators, Electric Utilities"/>
    <x v="7"/>
    <n v="8384240"/>
  </r>
  <r>
    <x v="11"/>
    <x v="24"/>
    <s v="Electric Generators, Electric Utilities"/>
    <x v="12"/>
    <n v="51592"/>
  </r>
  <r>
    <x v="11"/>
    <x v="24"/>
    <s v="Electric Generators, Electric Utilities"/>
    <x v="8"/>
    <n v="0"/>
  </r>
  <r>
    <x v="11"/>
    <x v="24"/>
    <s v="Electric Generators, Electric Utilities"/>
    <x v="4"/>
    <n v="637504"/>
  </r>
  <r>
    <x v="11"/>
    <x v="24"/>
    <s v="Electric Generators, Electric Utilities"/>
    <x v="10"/>
    <n v="-265860"/>
  </r>
  <r>
    <x v="11"/>
    <x v="24"/>
    <s v="Combined Heat and Power, Industrial Power"/>
    <x v="0"/>
    <n v="190445"/>
  </r>
  <r>
    <x v="11"/>
    <x v="24"/>
    <s v="Combined Heat and Power, Industrial Power"/>
    <x v="1"/>
    <n v="175199"/>
  </r>
  <r>
    <x v="11"/>
    <x v="24"/>
    <s v="Combined Heat and Power, Industrial Power"/>
    <x v="3"/>
    <n v="6361"/>
  </r>
  <r>
    <x v="11"/>
    <x v="24"/>
    <s v="Combined Heat and Power, Industrial Power"/>
    <x v="8"/>
    <n v="8797"/>
  </r>
  <r>
    <x v="11"/>
    <x v="24"/>
    <s v="Combined Heat and Power, Industrial Power"/>
    <x v="4"/>
    <n v="88"/>
  </r>
  <r>
    <x v="11"/>
    <x v="24"/>
    <s v="Combined Heat and Power, Commercial Power"/>
    <x v="0"/>
    <n v="137460"/>
  </r>
  <r>
    <x v="11"/>
    <x v="24"/>
    <s v="Combined Heat and Power, Commercial Power"/>
    <x v="1"/>
    <n v="128323"/>
  </r>
  <r>
    <x v="11"/>
    <x v="24"/>
    <s v="Combined Heat and Power, Commercial Power"/>
    <x v="3"/>
    <n v="7005"/>
  </r>
  <r>
    <x v="11"/>
    <x v="24"/>
    <s v="Combined Heat and Power, Commercial Power"/>
    <x v="12"/>
    <n v="2038"/>
  </r>
  <r>
    <x v="11"/>
    <x v="24"/>
    <s v="Combined Heat and Power, Commercial Power"/>
    <x v="8"/>
    <n v="1"/>
  </r>
  <r>
    <x v="11"/>
    <x v="24"/>
    <s v="Combined Heat and Power, Commercial Power"/>
    <x v="4"/>
    <n v="93"/>
  </r>
  <r>
    <x v="11"/>
    <x v="25"/>
    <s v="Total Electric Power Industry"/>
    <x v="0"/>
    <n v="53446452"/>
  </r>
  <r>
    <x v="11"/>
    <x v="25"/>
    <s v="Total Electric Power Industry"/>
    <x v="1"/>
    <n v="19196065"/>
  </r>
  <r>
    <x v="11"/>
    <x v="25"/>
    <s v="Total Electric Power Industry"/>
    <x v="3"/>
    <n v="17750552"/>
  </r>
  <r>
    <x v="11"/>
    <x v="25"/>
    <s v="Total Electric Power Industry"/>
    <x v="7"/>
    <n v="9923882"/>
  </r>
  <r>
    <x v="11"/>
    <x v="25"/>
    <s v="Total Electric Power Industry"/>
    <x v="12"/>
    <n v="146"/>
  </r>
  <r>
    <x v="11"/>
    <x v="25"/>
    <s v="Total Electric Power Industry"/>
    <x v="8"/>
    <n v="1"/>
  </r>
  <r>
    <x v="11"/>
    <x v="25"/>
    <s v="Total Electric Power Industry"/>
    <x v="9"/>
    <n v="0"/>
  </r>
  <r>
    <x v="11"/>
    <x v="25"/>
    <s v="Total Electric Power Industry"/>
    <x v="4"/>
    <n v="5143690"/>
  </r>
  <r>
    <x v="11"/>
    <x v="25"/>
    <s v="Total Electric Power Industry"/>
    <x v="6"/>
    <n v="1432116"/>
  </r>
  <r>
    <x v="11"/>
    <x v="25"/>
    <s v="Electric Generators, Independent Power Producers"/>
    <x v="0"/>
    <n v="2277372"/>
  </r>
  <r>
    <x v="11"/>
    <x v="25"/>
    <s v="Electric Generators, Independent Power Producers"/>
    <x v="3"/>
    <n v="2277372"/>
  </r>
  <r>
    <x v="11"/>
    <x v="25"/>
    <s v="Electric Generators, Electric Utilities"/>
    <x v="0"/>
    <n v="47550273"/>
  </r>
  <r>
    <x v="11"/>
    <x v="25"/>
    <s v="Electric Generators, Electric Utilities"/>
    <x v="1"/>
    <n v="19196065"/>
  </r>
  <r>
    <x v="11"/>
    <x v="25"/>
    <s v="Electric Generators, Electric Utilities"/>
    <x v="3"/>
    <n v="13309724"/>
  </r>
  <r>
    <x v="11"/>
    <x v="25"/>
    <s v="Electric Generators, Electric Utilities"/>
    <x v="7"/>
    <n v="9923882"/>
  </r>
  <r>
    <x v="11"/>
    <x v="25"/>
    <s v="Electric Generators, Electric Utilities"/>
    <x v="4"/>
    <n v="5120602"/>
  </r>
  <r>
    <x v="11"/>
    <x v="25"/>
    <s v="Combined Heat and Power, Industrial Power"/>
    <x v="0"/>
    <n v="2156465"/>
  </r>
  <r>
    <x v="11"/>
    <x v="25"/>
    <s v="Combined Heat and Power, Industrial Power"/>
    <x v="3"/>
    <n v="702700"/>
  </r>
  <r>
    <x v="11"/>
    <x v="25"/>
    <s v="Combined Heat and Power, Industrial Power"/>
    <x v="12"/>
    <n v="146"/>
  </r>
  <r>
    <x v="11"/>
    <x v="25"/>
    <s v="Combined Heat and Power, Industrial Power"/>
    <x v="8"/>
    <n v="1"/>
  </r>
  <r>
    <x v="11"/>
    <x v="25"/>
    <s v="Combined Heat and Power, Industrial Power"/>
    <x v="9"/>
    <n v="0"/>
  </r>
  <r>
    <x v="11"/>
    <x v="25"/>
    <s v="Combined Heat and Power, Industrial Power"/>
    <x v="4"/>
    <n v="21502"/>
  </r>
  <r>
    <x v="11"/>
    <x v="25"/>
    <s v="Combined Heat and Power, Industrial Power"/>
    <x v="6"/>
    <n v="1432116"/>
  </r>
  <r>
    <x v="11"/>
    <x v="25"/>
    <s v="Combined Heat and Power, Electric Power"/>
    <x v="0"/>
    <n v="1439577"/>
  </r>
  <r>
    <x v="11"/>
    <x v="25"/>
    <s v="Combined Heat and Power, Electric Power"/>
    <x v="3"/>
    <n v="1439577"/>
  </r>
  <r>
    <x v="11"/>
    <x v="25"/>
    <s v="Combined Heat and Power, Commercial Power"/>
    <x v="0"/>
    <n v="22765"/>
  </r>
  <r>
    <x v="11"/>
    <x v="25"/>
    <s v="Combined Heat and Power, Commercial Power"/>
    <x v="3"/>
    <n v="21179"/>
  </r>
  <r>
    <x v="11"/>
    <x v="25"/>
    <s v="Combined Heat and Power, Commercial Power"/>
    <x v="4"/>
    <n v="1586"/>
  </r>
  <r>
    <x v="11"/>
    <x v="26"/>
    <s v="Total Electric Power Industry"/>
    <x v="0"/>
    <n v="24232485"/>
  </r>
  <r>
    <x v="11"/>
    <x v="26"/>
    <s v="Total Electric Power Industry"/>
    <x v="1"/>
    <n v="17035883"/>
  </r>
  <r>
    <x v="11"/>
    <x v="26"/>
    <s v="Total Electric Power Industry"/>
    <x v="2"/>
    <n v="6613474"/>
  </r>
  <r>
    <x v="11"/>
    <x v="26"/>
    <s v="Total Electric Power Industry"/>
    <x v="3"/>
    <n v="20089"/>
  </r>
  <r>
    <x v="11"/>
    <x v="26"/>
    <s v="Total Electric Power Industry"/>
    <x v="4"/>
    <n v="497614"/>
  </r>
  <r>
    <x v="11"/>
    <x v="26"/>
    <s v="Total Electric Power Industry"/>
    <x v="6"/>
    <n v="65425"/>
  </r>
  <r>
    <x v="11"/>
    <x v="26"/>
    <s v="Electric Generators, Independent Power Producers"/>
    <x v="0"/>
    <n v="19315868"/>
  </r>
  <r>
    <x v="11"/>
    <x v="26"/>
    <s v="Electric Generators, Independent Power Producers"/>
    <x v="1"/>
    <n v="16724676"/>
  </r>
  <r>
    <x v="11"/>
    <x v="26"/>
    <s v="Electric Generators, Independent Power Producers"/>
    <x v="2"/>
    <n v="2519571"/>
  </r>
  <r>
    <x v="11"/>
    <x v="26"/>
    <s v="Electric Generators, Independent Power Producers"/>
    <x v="4"/>
    <n v="71621"/>
  </r>
  <r>
    <x v="11"/>
    <x v="26"/>
    <s v="Electric Generators, Electric Utilities"/>
    <x v="0"/>
    <n v="4415943"/>
  </r>
  <r>
    <x v="11"/>
    <x v="26"/>
    <s v="Electric Generators, Electric Utilities"/>
    <x v="1"/>
    <n v="311207"/>
  </r>
  <r>
    <x v="11"/>
    <x v="26"/>
    <s v="Electric Generators, Electric Utilities"/>
    <x v="2"/>
    <n v="4093903"/>
  </r>
  <r>
    <x v="11"/>
    <x v="26"/>
    <s v="Electric Generators, Electric Utilities"/>
    <x v="3"/>
    <n v="9979"/>
  </r>
  <r>
    <x v="11"/>
    <x v="26"/>
    <s v="Electric Generators, Electric Utilities"/>
    <x v="4"/>
    <n v="854"/>
  </r>
  <r>
    <x v="11"/>
    <x v="26"/>
    <s v="Combined Heat and Power, Industrial Power"/>
    <x v="0"/>
    <n v="74715"/>
  </r>
  <r>
    <x v="11"/>
    <x v="26"/>
    <s v="Combined Heat and Power, Industrial Power"/>
    <x v="3"/>
    <n v="9290"/>
  </r>
  <r>
    <x v="11"/>
    <x v="26"/>
    <s v="Combined Heat and Power, Industrial Power"/>
    <x v="6"/>
    <n v="65425"/>
  </r>
  <r>
    <x v="11"/>
    <x v="26"/>
    <s v="Combined Heat and Power, Electric Power"/>
    <x v="0"/>
    <n v="425959"/>
  </r>
  <r>
    <x v="11"/>
    <x v="26"/>
    <s v="Combined Heat and Power, Electric Power"/>
    <x v="3"/>
    <n v="820"/>
  </r>
  <r>
    <x v="11"/>
    <x v="26"/>
    <s v="Combined Heat and Power, Electric Power"/>
    <x v="4"/>
    <n v="425139"/>
  </r>
  <r>
    <x v="11"/>
    <x v="27"/>
    <s v="Total Electric Power Industry"/>
    <x v="0"/>
    <n v="117495850"/>
  </r>
  <r>
    <x v="11"/>
    <x v="27"/>
    <s v="Total Electric Power Industry"/>
    <x v="1"/>
    <n v="72957767"/>
  </r>
  <r>
    <x v="11"/>
    <x v="27"/>
    <s v="Total Electric Power Industry"/>
    <x v="2"/>
    <n v="2595705"/>
  </r>
  <r>
    <x v="11"/>
    <x v="27"/>
    <s v="Total Electric Power Industry"/>
    <x v="3"/>
    <n v="1534355"/>
  </r>
  <r>
    <x v="11"/>
    <x v="27"/>
    <s v="Total Electric Power Industry"/>
    <x v="7"/>
    <n v="37775025"/>
  </r>
  <r>
    <x v="11"/>
    <x v="27"/>
    <s v="Total Electric Power Industry"/>
    <x v="12"/>
    <n v="224973"/>
  </r>
  <r>
    <x v="11"/>
    <x v="27"/>
    <s v="Total Electric Power Industry"/>
    <x v="8"/>
    <n v="108961"/>
  </r>
  <r>
    <x v="11"/>
    <x v="27"/>
    <s v="Total Electric Power Industry"/>
    <x v="9"/>
    <n v="991"/>
  </r>
  <r>
    <x v="11"/>
    <x v="27"/>
    <s v="Total Electric Power Industry"/>
    <x v="4"/>
    <n v="655744"/>
  </r>
  <r>
    <x v="11"/>
    <x v="27"/>
    <s v="Total Electric Power Industry"/>
    <x v="10"/>
    <n v="0"/>
  </r>
  <r>
    <x v="11"/>
    <x v="27"/>
    <s v="Total Electric Power Industry"/>
    <x v="6"/>
    <n v="1642329"/>
  </r>
  <r>
    <x v="11"/>
    <x v="27"/>
    <s v="Electric Generators, Independent Power Producers"/>
    <x v="0"/>
    <n v="810179"/>
  </r>
  <r>
    <x v="11"/>
    <x v="27"/>
    <s v="Electric Generators, Independent Power Producers"/>
    <x v="2"/>
    <n v="16326"/>
  </r>
  <r>
    <x v="11"/>
    <x v="27"/>
    <s v="Electric Generators, Independent Power Producers"/>
    <x v="3"/>
    <n v="367616"/>
  </r>
  <r>
    <x v="11"/>
    <x v="27"/>
    <s v="Electric Generators, Independent Power Producers"/>
    <x v="12"/>
    <n v="16470"/>
  </r>
  <r>
    <x v="11"/>
    <x v="27"/>
    <s v="Electric Generators, Independent Power Producers"/>
    <x v="8"/>
    <n v="48914"/>
  </r>
  <r>
    <x v="11"/>
    <x v="27"/>
    <s v="Electric Generators, Independent Power Producers"/>
    <x v="9"/>
    <n v="991"/>
  </r>
  <r>
    <x v="11"/>
    <x v="27"/>
    <s v="Electric Generators, Independent Power Producers"/>
    <x v="4"/>
    <n v="151"/>
  </r>
  <r>
    <x v="11"/>
    <x v="27"/>
    <s v="Electric Generators, Independent Power Producers"/>
    <x v="6"/>
    <n v="359711"/>
  </r>
  <r>
    <x v="11"/>
    <x v="27"/>
    <s v="Electric Generators, Electric Utilities"/>
    <x v="0"/>
    <n v="109807278"/>
  </r>
  <r>
    <x v="11"/>
    <x v="27"/>
    <s v="Electric Generators, Electric Utilities"/>
    <x v="1"/>
    <n v="68775284"/>
  </r>
  <r>
    <x v="11"/>
    <x v="27"/>
    <s v="Electric Generators, Electric Utilities"/>
    <x v="2"/>
    <n v="1844689"/>
  </r>
  <r>
    <x v="11"/>
    <x v="27"/>
    <s v="Electric Generators, Electric Utilities"/>
    <x v="3"/>
    <n v="999515"/>
  </r>
  <r>
    <x v="11"/>
    <x v="27"/>
    <s v="Electric Generators, Electric Utilities"/>
    <x v="7"/>
    <n v="37775025"/>
  </r>
  <r>
    <x v="11"/>
    <x v="27"/>
    <s v="Electric Generators, Electric Utilities"/>
    <x v="4"/>
    <n v="412765"/>
  </r>
  <r>
    <x v="11"/>
    <x v="27"/>
    <s v="Electric Generators, Electric Utilities"/>
    <x v="10"/>
    <n v="0"/>
  </r>
  <r>
    <x v="11"/>
    <x v="27"/>
    <s v="Combined Heat and Power, Industrial Power"/>
    <x v="0"/>
    <n v="3439642"/>
  </r>
  <r>
    <x v="11"/>
    <x v="27"/>
    <s v="Combined Heat and Power, Industrial Power"/>
    <x v="1"/>
    <n v="928745"/>
  </r>
  <r>
    <x v="11"/>
    <x v="27"/>
    <s v="Combined Heat and Power, Industrial Power"/>
    <x v="2"/>
    <n v="733043"/>
  </r>
  <r>
    <x v="11"/>
    <x v="27"/>
    <s v="Combined Heat and Power, Industrial Power"/>
    <x v="3"/>
    <n v="30733"/>
  </r>
  <r>
    <x v="11"/>
    <x v="27"/>
    <s v="Combined Heat and Power, Industrial Power"/>
    <x v="12"/>
    <n v="208504"/>
  </r>
  <r>
    <x v="11"/>
    <x v="27"/>
    <s v="Combined Heat and Power, Industrial Power"/>
    <x v="8"/>
    <n v="25924"/>
  </r>
  <r>
    <x v="11"/>
    <x v="27"/>
    <s v="Combined Heat and Power, Industrial Power"/>
    <x v="4"/>
    <n v="230075"/>
  </r>
  <r>
    <x v="11"/>
    <x v="27"/>
    <s v="Combined Heat and Power, Industrial Power"/>
    <x v="6"/>
    <n v="1282618"/>
  </r>
  <r>
    <x v="11"/>
    <x v="27"/>
    <s v="Combined Heat and Power, Electric Power"/>
    <x v="0"/>
    <n v="3343444"/>
  </r>
  <r>
    <x v="11"/>
    <x v="27"/>
    <s v="Combined Heat and Power, Electric Power"/>
    <x v="1"/>
    <n v="3170977"/>
  </r>
  <r>
    <x v="11"/>
    <x v="27"/>
    <s v="Combined Heat and Power, Electric Power"/>
    <x v="3"/>
    <n v="127742"/>
  </r>
  <r>
    <x v="11"/>
    <x v="27"/>
    <s v="Combined Heat and Power, Electric Power"/>
    <x v="8"/>
    <n v="34122"/>
  </r>
  <r>
    <x v="11"/>
    <x v="27"/>
    <s v="Combined Heat and Power, Electric Power"/>
    <x v="4"/>
    <n v="10603"/>
  </r>
  <r>
    <x v="11"/>
    <x v="27"/>
    <s v="Combined Heat and Power, Commercial Power"/>
    <x v="0"/>
    <n v="95307"/>
  </r>
  <r>
    <x v="11"/>
    <x v="27"/>
    <s v="Combined Heat and Power, Commercial Power"/>
    <x v="1"/>
    <n v="82761"/>
  </r>
  <r>
    <x v="11"/>
    <x v="27"/>
    <s v="Combined Heat and Power, Commercial Power"/>
    <x v="2"/>
    <n v="1647"/>
  </r>
  <r>
    <x v="11"/>
    <x v="27"/>
    <s v="Combined Heat and Power, Commercial Power"/>
    <x v="3"/>
    <n v="8749"/>
  </r>
  <r>
    <x v="11"/>
    <x v="27"/>
    <s v="Combined Heat and Power, Commercial Power"/>
    <x v="4"/>
    <n v="2150"/>
  </r>
  <r>
    <x v="11"/>
    <x v="28"/>
    <s v="Total Electric Power Industry"/>
    <x v="0"/>
    <n v="30332072"/>
  </r>
  <r>
    <x v="11"/>
    <x v="28"/>
    <s v="Total Electric Power Industry"/>
    <x v="1"/>
    <n v="28877175"/>
  </r>
  <r>
    <x v="11"/>
    <x v="28"/>
    <s v="Total Electric Power Industry"/>
    <x v="2"/>
    <n v="1332076"/>
  </r>
  <r>
    <x v="11"/>
    <x v="28"/>
    <s v="Total Electric Power Industry"/>
    <x v="3"/>
    <n v="2536"/>
  </r>
  <r>
    <x v="11"/>
    <x v="28"/>
    <s v="Total Electric Power Industry"/>
    <x v="8"/>
    <n v="7665"/>
  </r>
  <r>
    <x v="11"/>
    <x v="28"/>
    <s v="Total Electric Power Industry"/>
    <x v="9"/>
    <n v="64734"/>
  </r>
  <r>
    <x v="11"/>
    <x v="28"/>
    <s v="Total Electric Power Industry"/>
    <x v="4"/>
    <n v="47886"/>
  </r>
  <r>
    <x v="11"/>
    <x v="28"/>
    <s v="Electric Generators, Electric Utilities"/>
    <x v="0"/>
    <n v="30135733"/>
  </r>
  <r>
    <x v="11"/>
    <x v="28"/>
    <s v="Electric Generators, Electric Utilities"/>
    <x v="1"/>
    <n v="28769721"/>
  </r>
  <r>
    <x v="11"/>
    <x v="28"/>
    <s v="Electric Generators, Electric Utilities"/>
    <x v="2"/>
    <n v="1332076"/>
  </r>
  <r>
    <x v="11"/>
    <x v="28"/>
    <s v="Electric Generators, Electric Utilities"/>
    <x v="3"/>
    <n v="86"/>
  </r>
  <r>
    <x v="11"/>
    <x v="28"/>
    <s v="Electric Generators, Electric Utilities"/>
    <x v="4"/>
    <n v="33850"/>
  </r>
  <r>
    <x v="11"/>
    <x v="28"/>
    <s v="Combined Heat and Power, Industrial Power"/>
    <x v="0"/>
    <n v="196339"/>
  </r>
  <r>
    <x v="11"/>
    <x v="28"/>
    <s v="Combined Heat and Power, Industrial Power"/>
    <x v="1"/>
    <n v="107454"/>
  </r>
  <r>
    <x v="11"/>
    <x v="28"/>
    <s v="Combined Heat and Power, Industrial Power"/>
    <x v="3"/>
    <n v="2450"/>
  </r>
  <r>
    <x v="11"/>
    <x v="28"/>
    <s v="Combined Heat and Power, Industrial Power"/>
    <x v="8"/>
    <n v="7665"/>
  </r>
  <r>
    <x v="11"/>
    <x v="28"/>
    <s v="Combined Heat and Power, Industrial Power"/>
    <x v="9"/>
    <n v="64734"/>
  </r>
  <r>
    <x v="11"/>
    <x v="28"/>
    <s v="Combined Heat and Power, Industrial Power"/>
    <x v="4"/>
    <n v="14036"/>
  </r>
  <r>
    <x v="11"/>
    <x v="29"/>
    <s v="Total Electric Power Industry"/>
    <x v="0"/>
    <n v="30485212"/>
  </r>
  <r>
    <x v="11"/>
    <x v="29"/>
    <s v="Total Electric Power Industry"/>
    <x v="1"/>
    <n v="20238706"/>
  </r>
  <r>
    <x v="11"/>
    <x v="29"/>
    <s v="Total Electric Power Industry"/>
    <x v="2"/>
    <n v="1124122"/>
  </r>
  <r>
    <x v="11"/>
    <x v="29"/>
    <s v="Total Electric Power Industry"/>
    <x v="3"/>
    <n v="348731"/>
  </r>
  <r>
    <x v="11"/>
    <x v="29"/>
    <s v="Total Electric Power Industry"/>
    <x v="7"/>
    <n v="8726113"/>
  </r>
  <r>
    <x v="11"/>
    <x v="29"/>
    <s v="Total Electric Power Industry"/>
    <x v="12"/>
    <n v="58"/>
  </r>
  <r>
    <x v="11"/>
    <x v="29"/>
    <s v="Total Electric Power Industry"/>
    <x v="8"/>
    <n v="16663"/>
  </r>
  <r>
    <x v="11"/>
    <x v="29"/>
    <s v="Total Electric Power Industry"/>
    <x v="4"/>
    <n v="28189"/>
  </r>
  <r>
    <x v="11"/>
    <x v="29"/>
    <s v="Total Electric Power Industry"/>
    <x v="5"/>
    <n v="2630"/>
  </r>
  <r>
    <x v="11"/>
    <x v="29"/>
    <s v="Electric Generators, Electric Utilities"/>
    <x v="0"/>
    <n v="30411669"/>
  </r>
  <r>
    <x v="11"/>
    <x v="29"/>
    <s v="Electric Generators, Electric Utilities"/>
    <x v="1"/>
    <n v="20193542"/>
  </r>
  <r>
    <x v="11"/>
    <x v="29"/>
    <s v="Electric Generators, Electric Utilities"/>
    <x v="2"/>
    <n v="1124122"/>
  </r>
  <r>
    <x v="11"/>
    <x v="29"/>
    <s v="Electric Generators, Electric Utilities"/>
    <x v="3"/>
    <n v="340050"/>
  </r>
  <r>
    <x v="11"/>
    <x v="29"/>
    <s v="Electric Generators, Electric Utilities"/>
    <x v="7"/>
    <n v="8726113"/>
  </r>
  <r>
    <x v="11"/>
    <x v="29"/>
    <s v="Electric Generators, Electric Utilities"/>
    <x v="12"/>
    <n v="58"/>
  </r>
  <r>
    <x v="11"/>
    <x v="29"/>
    <s v="Electric Generators, Electric Utilities"/>
    <x v="8"/>
    <n v="0"/>
  </r>
  <r>
    <x v="11"/>
    <x v="29"/>
    <s v="Electric Generators, Electric Utilities"/>
    <x v="4"/>
    <n v="25154"/>
  </r>
  <r>
    <x v="11"/>
    <x v="29"/>
    <s v="Electric Generators, Electric Utilities"/>
    <x v="5"/>
    <n v="2630"/>
  </r>
  <r>
    <x v="11"/>
    <x v="29"/>
    <s v="Combined Heat and Power, Industrial Power"/>
    <x v="0"/>
    <n v="48254"/>
  </r>
  <r>
    <x v="11"/>
    <x v="29"/>
    <s v="Combined Heat and Power, Industrial Power"/>
    <x v="1"/>
    <n v="45164"/>
  </r>
  <r>
    <x v="11"/>
    <x v="29"/>
    <s v="Combined Heat and Power, Industrial Power"/>
    <x v="3"/>
    <n v="3090"/>
  </r>
  <r>
    <x v="11"/>
    <x v="29"/>
    <s v="Combined Heat and Power, Electric Power"/>
    <x v="0"/>
    <n v="8289"/>
  </r>
  <r>
    <x v="11"/>
    <x v="29"/>
    <s v="Combined Heat and Power, Electric Power"/>
    <x v="8"/>
    <n v="8289"/>
  </r>
  <r>
    <x v="11"/>
    <x v="29"/>
    <s v="Combined Heat and Power, Commercial Power"/>
    <x v="0"/>
    <n v="17000"/>
  </r>
  <r>
    <x v="11"/>
    <x v="29"/>
    <s v="Combined Heat and Power, Commercial Power"/>
    <x v="3"/>
    <n v="5591"/>
  </r>
  <r>
    <x v="11"/>
    <x v="29"/>
    <s v="Combined Heat and Power, Commercial Power"/>
    <x v="8"/>
    <n v="8374"/>
  </r>
  <r>
    <x v="11"/>
    <x v="29"/>
    <s v="Combined Heat and Power, Commercial Power"/>
    <x v="4"/>
    <n v="3035"/>
  </r>
  <r>
    <x v="11"/>
    <x v="30"/>
    <s v="Total Electric Power Industry"/>
    <x v="0"/>
    <n v="15074624"/>
  </r>
  <r>
    <x v="11"/>
    <x v="30"/>
    <s v="Total Electric Power Industry"/>
    <x v="1"/>
    <n v="3706399"/>
  </r>
  <r>
    <x v="11"/>
    <x v="30"/>
    <s v="Total Electric Power Industry"/>
    <x v="2"/>
    <n v="990579"/>
  </r>
  <r>
    <x v="11"/>
    <x v="30"/>
    <s v="Total Electric Power Industry"/>
    <x v="3"/>
    <n v="118526"/>
  </r>
  <r>
    <x v="11"/>
    <x v="30"/>
    <s v="Total Electric Power Industry"/>
    <x v="7"/>
    <n v="8692743"/>
  </r>
  <r>
    <x v="11"/>
    <x v="30"/>
    <s v="Total Electric Power Industry"/>
    <x v="12"/>
    <n v="59079"/>
  </r>
  <r>
    <x v="11"/>
    <x v="30"/>
    <s v="Total Electric Power Industry"/>
    <x v="8"/>
    <n v="166854"/>
  </r>
  <r>
    <x v="11"/>
    <x v="30"/>
    <s v="Total Electric Power Industry"/>
    <x v="4"/>
    <n v="481677"/>
  </r>
  <r>
    <x v="11"/>
    <x v="30"/>
    <s v="Total Electric Power Industry"/>
    <x v="6"/>
    <n v="858767"/>
  </r>
  <r>
    <x v="11"/>
    <x v="30"/>
    <s v="Electric Generators, Independent Power Producers"/>
    <x v="0"/>
    <n v="1574031"/>
  </r>
  <r>
    <x v="11"/>
    <x v="30"/>
    <s v="Electric Generators, Independent Power Producers"/>
    <x v="2"/>
    <n v="673071"/>
  </r>
  <r>
    <x v="11"/>
    <x v="30"/>
    <s v="Electric Generators, Independent Power Producers"/>
    <x v="7"/>
    <n v="0"/>
  </r>
  <r>
    <x v="11"/>
    <x v="30"/>
    <s v="Electric Generators, Independent Power Producers"/>
    <x v="12"/>
    <n v="59079"/>
  </r>
  <r>
    <x v="11"/>
    <x v="30"/>
    <s v="Electric Generators, Independent Power Producers"/>
    <x v="8"/>
    <n v="166854"/>
  </r>
  <r>
    <x v="11"/>
    <x v="30"/>
    <s v="Electric Generators, Independent Power Producers"/>
    <x v="4"/>
    <n v="381"/>
  </r>
  <r>
    <x v="11"/>
    <x v="30"/>
    <s v="Electric Generators, Independent Power Producers"/>
    <x v="6"/>
    <n v="674646"/>
  </r>
  <r>
    <x v="11"/>
    <x v="30"/>
    <s v="Electric Generators, Electric Utilities"/>
    <x v="0"/>
    <n v="13095085"/>
  </r>
  <r>
    <x v="11"/>
    <x v="30"/>
    <s v="Electric Generators, Electric Utilities"/>
    <x v="1"/>
    <n v="3706399"/>
  </r>
  <r>
    <x v="11"/>
    <x v="30"/>
    <s v="Electric Generators, Electric Utilities"/>
    <x v="2"/>
    <n v="224810"/>
  </r>
  <r>
    <x v="11"/>
    <x v="30"/>
    <s v="Electric Generators, Electric Utilities"/>
    <x v="3"/>
    <n v="42143"/>
  </r>
  <r>
    <x v="11"/>
    <x v="30"/>
    <s v="Electric Generators, Electric Utilities"/>
    <x v="7"/>
    <n v="8692743"/>
  </r>
  <r>
    <x v="11"/>
    <x v="30"/>
    <s v="Electric Generators, Electric Utilities"/>
    <x v="4"/>
    <n v="428990"/>
  </r>
  <r>
    <x v="11"/>
    <x v="30"/>
    <s v="Combined Heat and Power, Industrial Power"/>
    <x v="0"/>
    <n v="295372"/>
  </r>
  <r>
    <x v="11"/>
    <x v="30"/>
    <s v="Combined Heat and Power, Industrial Power"/>
    <x v="2"/>
    <n v="92698"/>
  </r>
  <r>
    <x v="11"/>
    <x v="30"/>
    <s v="Combined Heat and Power, Industrial Power"/>
    <x v="3"/>
    <n v="76383"/>
  </r>
  <r>
    <x v="11"/>
    <x v="30"/>
    <s v="Combined Heat and Power, Industrial Power"/>
    <x v="4"/>
    <n v="21717"/>
  </r>
  <r>
    <x v="11"/>
    <x v="30"/>
    <s v="Combined Heat and Power, Industrial Power"/>
    <x v="6"/>
    <n v="104574"/>
  </r>
  <r>
    <x v="11"/>
    <x v="30"/>
    <s v="Combined Heat and Power, Electric Power"/>
    <x v="0"/>
    <n v="79606"/>
  </r>
  <r>
    <x v="11"/>
    <x v="30"/>
    <s v="Combined Heat and Power, Electric Power"/>
    <x v="4"/>
    <n v="59"/>
  </r>
  <r>
    <x v="11"/>
    <x v="30"/>
    <s v="Combined Heat and Power, Electric Power"/>
    <x v="6"/>
    <n v="79547"/>
  </r>
  <r>
    <x v="11"/>
    <x v="30"/>
    <s v="Combined Heat and Power, Commercial Power"/>
    <x v="0"/>
    <n v="30530"/>
  </r>
  <r>
    <x v="11"/>
    <x v="30"/>
    <s v="Combined Heat and Power, Commercial Power"/>
    <x v="4"/>
    <n v="30530"/>
  </r>
  <r>
    <x v="11"/>
    <x v="31"/>
    <s v="Total Electric Power Industry"/>
    <x v="0"/>
    <n v="59421260"/>
  </r>
  <r>
    <x v="11"/>
    <x v="31"/>
    <s v="Total Electric Power Industry"/>
    <x v="1"/>
    <n v="9319040"/>
  </r>
  <r>
    <x v="11"/>
    <x v="31"/>
    <s v="Total Electric Power Industry"/>
    <x v="2"/>
    <n v="18002"/>
  </r>
  <r>
    <x v="11"/>
    <x v="31"/>
    <s v="Total Electric Power Industry"/>
    <x v="3"/>
    <n v="16708201"/>
  </r>
  <r>
    <x v="11"/>
    <x v="31"/>
    <s v="Total Electric Power Industry"/>
    <x v="7"/>
    <n v="30469230"/>
  </r>
  <r>
    <x v="11"/>
    <x v="31"/>
    <s v="Total Electric Power Industry"/>
    <x v="12"/>
    <n v="459385"/>
  </r>
  <r>
    <x v="11"/>
    <x v="31"/>
    <s v="Total Electric Power Industry"/>
    <x v="8"/>
    <n v="843632"/>
  </r>
  <r>
    <x v="11"/>
    <x v="31"/>
    <s v="Total Electric Power Industry"/>
    <x v="9"/>
    <n v="448885"/>
  </r>
  <r>
    <x v="11"/>
    <x v="31"/>
    <s v="Total Electric Power Industry"/>
    <x v="4"/>
    <n v="1296625"/>
  </r>
  <r>
    <x v="11"/>
    <x v="31"/>
    <s v="Total Electric Power Industry"/>
    <x v="10"/>
    <n v="-141740"/>
  </r>
  <r>
    <x v="11"/>
    <x v="31"/>
    <s v="Electric Generators, Independent Power Producers"/>
    <x v="0"/>
    <n v="41096664"/>
  </r>
  <r>
    <x v="11"/>
    <x v="31"/>
    <s v="Electric Generators, Independent Power Producers"/>
    <x v="1"/>
    <n v="5023000"/>
  </r>
  <r>
    <x v="11"/>
    <x v="31"/>
    <s v="Electric Generators, Independent Power Producers"/>
    <x v="2"/>
    <n v="18002"/>
  </r>
  <r>
    <x v="11"/>
    <x v="31"/>
    <s v="Electric Generators, Independent Power Producers"/>
    <x v="3"/>
    <n v="3997763"/>
  </r>
  <r>
    <x v="11"/>
    <x v="31"/>
    <s v="Electric Generators, Independent Power Producers"/>
    <x v="7"/>
    <n v="30469230"/>
  </r>
  <r>
    <x v="11"/>
    <x v="31"/>
    <s v="Electric Generators, Independent Power Producers"/>
    <x v="12"/>
    <n v="258077"/>
  </r>
  <r>
    <x v="11"/>
    <x v="31"/>
    <s v="Electric Generators, Independent Power Producers"/>
    <x v="8"/>
    <n v="524545"/>
  </r>
  <r>
    <x v="11"/>
    <x v="31"/>
    <s v="Electric Generators, Independent Power Producers"/>
    <x v="9"/>
    <n v="0"/>
  </r>
  <r>
    <x v="11"/>
    <x v="31"/>
    <s v="Electric Generators, Independent Power Producers"/>
    <x v="4"/>
    <n v="806047"/>
  </r>
  <r>
    <x v="11"/>
    <x v="31"/>
    <s v="Electric Generators, Electric Utilities"/>
    <x v="0"/>
    <n v="1630319"/>
  </r>
  <r>
    <x v="11"/>
    <x v="31"/>
    <s v="Electric Generators, Electric Utilities"/>
    <x v="1"/>
    <n v="1439282"/>
  </r>
  <r>
    <x v="11"/>
    <x v="31"/>
    <s v="Electric Generators, Electric Utilities"/>
    <x v="3"/>
    <n v="102255"/>
  </r>
  <r>
    <x v="11"/>
    <x v="31"/>
    <s v="Electric Generators, Electric Utilities"/>
    <x v="4"/>
    <n v="230522"/>
  </r>
  <r>
    <x v="11"/>
    <x v="31"/>
    <s v="Electric Generators, Electric Utilities"/>
    <x v="10"/>
    <n v="-141740"/>
  </r>
  <r>
    <x v="11"/>
    <x v="31"/>
    <s v="Combined Heat and Power, Industrial Power"/>
    <x v="0"/>
    <n v="3104434"/>
  </r>
  <r>
    <x v="11"/>
    <x v="31"/>
    <s v="Combined Heat and Power, Industrial Power"/>
    <x v="3"/>
    <n v="2550530"/>
  </r>
  <r>
    <x v="11"/>
    <x v="31"/>
    <s v="Combined Heat and Power, Industrial Power"/>
    <x v="8"/>
    <n v="11789"/>
  </r>
  <r>
    <x v="11"/>
    <x v="31"/>
    <s v="Combined Heat and Power, Industrial Power"/>
    <x v="9"/>
    <n v="448885"/>
  </r>
  <r>
    <x v="11"/>
    <x v="31"/>
    <s v="Combined Heat and Power, Industrial Power"/>
    <x v="4"/>
    <n v="93230"/>
  </r>
  <r>
    <x v="11"/>
    <x v="31"/>
    <s v="Combined Heat and Power, Electric Power"/>
    <x v="0"/>
    <n v="13417701"/>
  </r>
  <r>
    <x v="11"/>
    <x v="31"/>
    <s v="Combined Heat and Power, Electric Power"/>
    <x v="1"/>
    <n v="2856758"/>
  </r>
  <r>
    <x v="11"/>
    <x v="31"/>
    <s v="Combined Heat and Power, Electric Power"/>
    <x v="3"/>
    <n v="9889532"/>
  </r>
  <r>
    <x v="11"/>
    <x v="31"/>
    <s v="Combined Heat and Power, Electric Power"/>
    <x v="12"/>
    <n v="201308"/>
  </r>
  <r>
    <x v="11"/>
    <x v="31"/>
    <s v="Combined Heat and Power, Electric Power"/>
    <x v="8"/>
    <n v="306342"/>
  </r>
  <r>
    <x v="11"/>
    <x v="31"/>
    <s v="Combined Heat and Power, Electric Power"/>
    <x v="4"/>
    <n v="163761"/>
  </r>
  <r>
    <x v="11"/>
    <x v="31"/>
    <s v="Combined Heat and Power, Commercial Power"/>
    <x v="0"/>
    <n v="172142"/>
  </r>
  <r>
    <x v="11"/>
    <x v="31"/>
    <s v="Combined Heat and Power, Commercial Power"/>
    <x v="3"/>
    <n v="168121"/>
  </r>
  <r>
    <x v="11"/>
    <x v="31"/>
    <s v="Combined Heat and Power, Commercial Power"/>
    <x v="8"/>
    <n v="956"/>
  </r>
  <r>
    <x v="11"/>
    <x v="31"/>
    <s v="Combined Heat and Power, Commercial Power"/>
    <x v="4"/>
    <n v="3065"/>
  </r>
  <r>
    <x v="11"/>
    <x v="32"/>
    <s v="Total Electric Power Industry"/>
    <x v="0"/>
    <n v="33611643"/>
  </r>
  <r>
    <x v="11"/>
    <x v="32"/>
    <s v="Total Electric Power Industry"/>
    <x v="1"/>
    <n v="28402187"/>
  </r>
  <r>
    <x v="11"/>
    <x v="32"/>
    <s v="Total Electric Power Industry"/>
    <x v="2"/>
    <n v="237320"/>
  </r>
  <r>
    <x v="11"/>
    <x v="32"/>
    <s v="Total Electric Power Industry"/>
    <x v="3"/>
    <n v="4887272"/>
  </r>
  <r>
    <x v="11"/>
    <x v="32"/>
    <s v="Total Electric Power Industry"/>
    <x v="8"/>
    <n v="18652"/>
  </r>
  <r>
    <x v="11"/>
    <x v="32"/>
    <s v="Total Electric Power Industry"/>
    <x v="4"/>
    <n v="66212"/>
  </r>
  <r>
    <x v="11"/>
    <x v="32"/>
    <s v="Electric Generators, Independent Power Producers"/>
    <x v="0"/>
    <n v="370478"/>
  </r>
  <r>
    <x v="11"/>
    <x v="32"/>
    <s v="Electric Generators, Independent Power Producers"/>
    <x v="3"/>
    <n v="365380"/>
  </r>
  <r>
    <x v="11"/>
    <x v="32"/>
    <s v="Electric Generators, Independent Power Producers"/>
    <x v="4"/>
    <n v="5098"/>
  </r>
  <r>
    <x v="11"/>
    <x v="32"/>
    <s v="Electric Generators, Electric Utilities"/>
    <x v="0"/>
    <n v="32210683"/>
  </r>
  <r>
    <x v="11"/>
    <x v="32"/>
    <s v="Electric Generators, Electric Utilities"/>
    <x v="1"/>
    <n v="28402187"/>
  </r>
  <r>
    <x v="11"/>
    <x v="32"/>
    <s v="Electric Generators, Electric Utilities"/>
    <x v="2"/>
    <n v="237320"/>
  </r>
  <r>
    <x v="11"/>
    <x v="32"/>
    <s v="Electric Generators, Electric Utilities"/>
    <x v="3"/>
    <n v="3540966"/>
  </r>
  <r>
    <x v="11"/>
    <x v="32"/>
    <s v="Electric Generators, Electric Utilities"/>
    <x v="4"/>
    <n v="30210"/>
  </r>
  <r>
    <x v="11"/>
    <x v="32"/>
    <s v="Combined Heat and Power, Industrial Power"/>
    <x v="0"/>
    <n v="480619"/>
  </r>
  <r>
    <x v="11"/>
    <x v="32"/>
    <s v="Combined Heat and Power, Industrial Power"/>
    <x v="3"/>
    <n v="449715"/>
  </r>
  <r>
    <x v="11"/>
    <x v="32"/>
    <s v="Combined Heat and Power, Industrial Power"/>
    <x v="4"/>
    <n v="30904"/>
  </r>
  <r>
    <x v="11"/>
    <x v="32"/>
    <s v="Combined Heat and Power, Electric Power"/>
    <x v="0"/>
    <n v="493185"/>
  </r>
  <r>
    <x v="11"/>
    <x v="32"/>
    <s v="Combined Heat and Power, Electric Power"/>
    <x v="3"/>
    <n v="474533"/>
  </r>
  <r>
    <x v="11"/>
    <x v="32"/>
    <s v="Combined Heat and Power, Electric Power"/>
    <x v="8"/>
    <n v="18652"/>
  </r>
  <r>
    <x v="11"/>
    <x v="32"/>
    <s v="Combined Heat and Power, Commercial Power"/>
    <x v="0"/>
    <n v="56678"/>
  </r>
  <r>
    <x v="11"/>
    <x v="32"/>
    <s v="Combined Heat and Power, Commercial Power"/>
    <x v="3"/>
    <n v="56678"/>
  </r>
  <r>
    <x v="11"/>
    <x v="33"/>
    <s v="Total Electric Power Industry"/>
    <x v="0"/>
    <n v="33875966"/>
  </r>
  <r>
    <x v="11"/>
    <x v="33"/>
    <s v="Total Electric Power Industry"/>
    <x v="1"/>
    <n v="17736970"/>
  </r>
  <r>
    <x v="11"/>
    <x v="33"/>
    <s v="Total Electric Power Industry"/>
    <x v="11"/>
    <n v="1199873"/>
  </r>
  <r>
    <x v="11"/>
    <x v="33"/>
    <s v="Total Electric Power Industry"/>
    <x v="2"/>
    <n v="2513722"/>
  </r>
  <r>
    <x v="11"/>
    <x v="33"/>
    <s v="Total Electric Power Industry"/>
    <x v="3"/>
    <n v="11513773"/>
  </r>
  <r>
    <x v="11"/>
    <x v="33"/>
    <s v="Total Electric Power Industry"/>
    <x v="4"/>
    <n v="911628"/>
  </r>
  <r>
    <x v="11"/>
    <x v="33"/>
    <s v="Electric Generators, Independent Power Producers"/>
    <x v="0"/>
    <n v="3534581"/>
  </r>
  <r>
    <x v="11"/>
    <x v="33"/>
    <s v="Electric Generators, Independent Power Producers"/>
    <x v="11"/>
    <n v="1199873"/>
  </r>
  <r>
    <x v="11"/>
    <x v="33"/>
    <s v="Electric Generators, Independent Power Producers"/>
    <x v="2"/>
    <n v="9141"/>
  </r>
  <r>
    <x v="11"/>
    <x v="33"/>
    <s v="Electric Generators, Independent Power Producers"/>
    <x v="3"/>
    <n v="2325550"/>
  </r>
  <r>
    <x v="11"/>
    <x v="33"/>
    <s v="Electric Generators, Independent Power Producers"/>
    <x v="4"/>
    <n v="17"/>
  </r>
  <r>
    <x v="11"/>
    <x v="33"/>
    <s v="Electric Generators, Electric Utilities"/>
    <x v="0"/>
    <n v="27896065"/>
  </r>
  <r>
    <x v="11"/>
    <x v="33"/>
    <s v="Electric Generators, Electric Utilities"/>
    <x v="1"/>
    <n v="17736970"/>
  </r>
  <r>
    <x v="11"/>
    <x v="33"/>
    <s v="Electric Generators, Electric Utilities"/>
    <x v="2"/>
    <n v="2504581"/>
  </r>
  <r>
    <x v="11"/>
    <x v="33"/>
    <s v="Electric Generators, Electric Utilities"/>
    <x v="3"/>
    <n v="6742903"/>
  </r>
  <r>
    <x v="11"/>
    <x v="33"/>
    <s v="Electric Generators, Electric Utilities"/>
    <x v="4"/>
    <n v="911611"/>
  </r>
  <r>
    <x v="11"/>
    <x v="33"/>
    <s v="Combined Heat and Power, Electric Power"/>
    <x v="0"/>
    <n v="2445320"/>
  </r>
  <r>
    <x v="11"/>
    <x v="33"/>
    <s v="Combined Heat and Power, Electric Power"/>
    <x v="3"/>
    <n v="2445320"/>
  </r>
  <r>
    <x v="11"/>
    <x v="34"/>
    <s v="Total Electric Power Industry"/>
    <x v="0"/>
    <n v="143914559"/>
  </r>
  <r>
    <x v="11"/>
    <x v="34"/>
    <s v="Total Electric Power Industry"/>
    <x v="1"/>
    <n v="23431922"/>
  </r>
  <r>
    <x v="11"/>
    <x v="34"/>
    <s v="Total Electric Power Industry"/>
    <x v="2"/>
    <n v="23083955"/>
  </r>
  <r>
    <x v="11"/>
    <x v="34"/>
    <s v="Total Electric Power Industry"/>
    <x v="3"/>
    <n v="38697215"/>
  </r>
  <r>
    <x v="11"/>
    <x v="34"/>
    <s v="Total Electric Power Industry"/>
    <x v="7"/>
    <n v="40394985"/>
  </r>
  <r>
    <x v="11"/>
    <x v="34"/>
    <s v="Total Electric Power Industry"/>
    <x v="12"/>
    <n v="809300"/>
  </r>
  <r>
    <x v="11"/>
    <x v="34"/>
    <s v="Total Electric Power Industry"/>
    <x v="8"/>
    <n v="1277849"/>
  </r>
  <r>
    <x v="11"/>
    <x v="34"/>
    <s v="Total Electric Power Industry"/>
    <x v="9"/>
    <n v="114537"/>
  </r>
  <r>
    <x v="11"/>
    <x v="34"/>
    <s v="Total Electric Power Industry"/>
    <x v="4"/>
    <n v="16512093"/>
  </r>
  <r>
    <x v="11"/>
    <x v="34"/>
    <s v="Total Electric Power Industry"/>
    <x v="10"/>
    <n v="-930520"/>
  </r>
  <r>
    <x v="11"/>
    <x v="34"/>
    <s v="Total Electric Power Industry"/>
    <x v="5"/>
    <n v="20539"/>
  </r>
  <r>
    <x v="11"/>
    <x v="34"/>
    <s v="Total Electric Power Industry"/>
    <x v="6"/>
    <n v="502684"/>
  </r>
  <r>
    <x v="11"/>
    <x v="34"/>
    <s v="Electric Generators, Independent Power Producers"/>
    <x v="0"/>
    <n v="62191225"/>
  </r>
  <r>
    <x v="11"/>
    <x v="34"/>
    <s v="Electric Generators, Independent Power Producers"/>
    <x v="1"/>
    <n v="19479345"/>
  </r>
  <r>
    <x v="11"/>
    <x v="34"/>
    <s v="Electric Generators, Independent Power Producers"/>
    <x v="2"/>
    <n v="4404695"/>
  </r>
  <r>
    <x v="11"/>
    <x v="34"/>
    <s v="Electric Generators, Independent Power Producers"/>
    <x v="3"/>
    <n v="9975547"/>
  </r>
  <r>
    <x v="11"/>
    <x v="34"/>
    <s v="Electric Generators, Independent Power Producers"/>
    <x v="7"/>
    <n v="19641493"/>
  </r>
  <r>
    <x v="11"/>
    <x v="34"/>
    <s v="Electric Generators, Independent Power Producers"/>
    <x v="12"/>
    <n v="532948"/>
  </r>
  <r>
    <x v="11"/>
    <x v="34"/>
    <s v="Electric Generators, Independent Power Producers"/>
    <x v="8"/>
    <n v="821505"/>
  </r>
  <r>
    <x v="11"/>
    <x v="34"/>
    <s v="Electric Generators, Independent Power Producers"/>
    <x v="4"/>
    <n v="7022040"/>
  </r>
  <r>
    <x v="11"/>
    <x v="34"/>
    <s v="Electric Generators, Independent Power Producers"/>
    <x v="5"/>
    <n v="20539"/>
  </r>
  <r>
    <x v="11"/>
    <x v="34"/>
    <s v="Electric Generators, Independent Power Producers"/>
    <x v="6"/>
    <n v="293113"/>
  </r>
  <r>
    <x v="11"/>
    <x v="34"/>
    <s v="Electric Generators, Electric Utilities"/>
    <x v="0"/>
    <n v="58568850"/>
  </r>
  <r>
    <x v="11"/>
    <x v="34"/>
    <s v="Electric Generators, Electric Utilities"/>
    <x v="1"/>
    <n v="2087952"/>
  </r>
  <r>
    <x v="11"/>
    <x v="34"/>
    <s v="Electric Generators, Electric Utilities"/>
    <x v="2"/>
    <n v="18609754"/>
  </r>
  <r>
    <x v="11"/>
    <x v="34"/>
    <s v="Electric Generators, Electric Utilities"/>
    <x v="3"/>
    <n v="8871000"/>
  </r>
  <r>
    <x v="11"/>
    <x v="34"/>
    <s v="Electric Generators, Electric Utilities"/>
    <x v="7"/>
    <n v="20753492"/>
  </r>
  <r>
    <x v="11"/>
    <x v="34"/>
    <s v="Electric Generators, Electric Utilities"/>
    <x v="4"/>
    <n v="9177172"/>
  </r>
  <r>
    <x v="11"/>
    <x v="34"/>
    <s v="Electric Generators, Electric Utilities"/>
    <x v="10"/>
    <n v="-930520"/>
  </r>
  <r>
    <x v="11"/>
    <x v="34"/>
    <s v="Combined Heat and Power, Industrial Power"/>
    <x v="0"/>
    <n v="2132658"/>
  </r>
  <r>
    <x v="11"/>
    <x v="34"/>
    <s v="Combined Heat and Power, Industrial Power"/>
    <x v="1"/>
    <n v="818581"/>
  </r>
  <r>
    <x v="11"/>
    <x v="34"/>
    <s v="Combined Heat and Power, Industrial Power"/>
    <x v="2"/>
    <n v="69506"/>
  </r>
  <r>
    <x v="11"/>
    <x v="34"/>
    <s v="Combined Heat and Power, Industrial Power"/>
    <x v="3"/>
    <n v="814901"/>
  </r>
  <r>
    <x v="11"/>
    <x v="34"/>
    <s v="Combined Heat and Power, Industrial Power"/>
    <x v="9"/>
    <n v="114537"/>
  </r>
  <r>
    <x v="11"/>
    <x v="34"/>
    <s v="Combined Heat and Power, Industrial Power"/>
    <x v="4"/>
    <n v="135351"/>
  </r>
  <r>
    <x v="11"/>
    <x v="34"/>
    <s v="Combined Heat and Power, Industrial Power"/>
    <x v="6"/>
    <n v="179782"/>
  </r>
  <r>
    <x v="11"/>
    <x v="34"/>
    <s v="Combined Heat and Power, Electric Power"/>
    <x v="0"/>
    <n v="20400849"/>
  </r>
  <r>
    <x v="11"/>
    <x v="34"/>
    <s v="Combined Heat and Power, Electric Power"/>
    <x v="1"/>
    <n v="1019728"/>
  </r>
  <r>
    <x v="11"/>
    <x v="34"/>
    <s v="Combined Heat and Power, Electric Power"/>
    <x v="3"/>
    <n v="18754197"/>
  </r>
  <r>
    <x v="11"/>
    <x v="34"/>
    <s v="Combined Heat and Power, Electric Power"/>
    <x v="12"/>
    <n v="177117"/>
  </r>
  <r>
    <x v="11"/>
    <x v="34"/>
    <s v="Combined Heat and Power, Electric Power"/>
    <x v="8"/>
    <n v="324800"/>
  </r>
  <r>
    <x v="11"/>
    <x v="34"/>
    <s v="Combined Heat and Power, Electric Power"/>
    <x v="4"/>
    <n v="95218"/>
  </r>
  <r>
    <x v="11"/>
    <x v="34"/>
    <s v="Combined Heat and Power, Electric Power"/>
    <x v="6"/>
    <n v="29789"/>
  </r>
  <r>
    <x v="11"/>
    <x v="34"/>
    <s v="Combined Heat and Power, Commercial Power"/>
    <x v="0"/>
    <n v="620977"/>
  </r>
  <r>
    <x v="11"/>
    <x v="34"/>
    <s v="Combined Heat and Power, Commercial Power"/>
    <x v="1"/>
    <n v="26316"/>
  </r>
  <r>
    <x v="11"/>
    <x v="34"/>
    <s v="Combined Heat and Power, Commercial Power"/>
    <x v="2"/>
    <n v="0"/>
  </r>
  <r>
    <x v="11"/>
    <x v="34"/>
    <s v="Combined Heat and Power, Commercial Power"/>
    <x v="3"/>
    <n v="281570"/>
  </r>
  <r>
    <x v="11"/>
    <x v="34"/>
    <s v="Combined Heat and Power, Commercial Power"/>
    <x v="12"/>
    <n v="99235"/>
  </r>
  <r>
    <x v="11"/>
    <x v="34"/>
    <s v="Combined Heat and Power, Commercial Power"/>
    <x v="8"/>
    <n v="131544"/>
  </r>
  <r>
    <x v="11"/>
    <x v="34"/>
    <s v="Combined Heat and Power, Commercial Power"/>
    <x v="4"/>
    <n v="82312"/>
  </r>
  <r>
    <x v="11"/>
    <x v="35"/>
    <s v="Total Electric Power Industry"/>
    <x v="0"/>
    <n v="142261807"/>
  </r>
  <r>
    <x v="11"/>
    <x v="35"/>
    <s v="Total Electric Power Industry"/>
    <x v="1"/>
    <n v="124213236"/>
  </r>
  <r>
    <x v="11"/>
    <x v="35"/>
    <s v="Total Electric Power Industry"/>
    <x v="2"/>
    <n v="510785"/>
  </r>
  <r>
    <x v="11"/>
    <x v="35"/>
    <s v="Total Electric Power Industry"/>
    <x v="3"/>
    <n v="924416"/>
  </r>
  <r>
    <x v="11"/>
    <x v="35"/>
    <s v="Total Electric Power Industry"/>
    <x v="7"/>
    <n v="15463762"/>
  </r>
  <r>
    <x v="11"/>
    <x v="35"/>
    <s v="Total Electric Power Industry"/>
    <x v="8"/>
    <n v="27888"/>
  </r>
  <r>
    <x v="11"/>
    <x v="35"/>
    <s v="Total Electric Power Industry"/>
    <x v="9"/>
    <n v="301949"/>
  </r>
  <r>
    <x v="11"/>
    <x v="35"/>
    <s v="Total Electric Power Industry"/>
    <x v="4"/>
    <n v="416698"/>
  </r>
  <r>
    <x v="11"/>
    <x v="35"/>
    <s v="Total Electric Power Industry"/>
    <x v="6"/>
    <n v="403073"/>
  </r>
  <r>
    <x v="11"/>
    <x v="35"/>
    <s v="Electric Generators, Independent Power Producers"/>
    <x v="0"/>
    <n v="5242389"/>
  </r>
  <r>
    <x v="11"/>
    <x v="35"/>
    <s v="Electric Generators, Independent Power Producers"/>
    <x v="1"/>
    <n v="4877672"/>
  </r>
  <r>
    <x v="11"/>
    <x v="35"/>
    <s v="Electric Generators, Independent Power Producers"/>
    <x v="3"/>
    <n v="334041"/>
  </r>
  <r>
    <x v="11"/>
    <x v="35"/>
    <s v="Electric Generators, Independent Power Producers"/>
    <x v="8"/>
    <n v="27888"/>
  </r>
  <r>
    <x v="11"/>
    <x v="35"/>
    <s v="Electric Generators, Independent Power Producers"/>
    <x v="4"/>
    <n v="2788"/>
  </r>
  <r>
    <x v="11"/>
    <x v="35"/>
    <s v="Electric Generators, Electric Utilities"/>
    <x v="0"/>
    <n v="135484174"/>
  </r>
  <r>
    <x v="11"/>
    <x v="35"/>
    <s v="Electric Generators, Electric Utilities"/>
    <x v="1"/>
    <n v="118766821"/>
  </r>
  <r>
    <x v="11"/>
    <x v="35"/>
    <s v="Electric Generators, Electric Utilities"/>
    <x v="2"/>
    <n v="510785"/>
  </r>
  <r>
    <x v="11"/>
    <x v="35"/>
    <s v="Electric Generators, Electric Utilities"/>
    <x v="3"/>
    <n v="336372"/>
  </r>
  <r>
    <x v="11"/>
    <x v="35"/>
    <s v="Electric Generators, Electric Utilities"/>
    <x v="7"/>
    <n v="15463762"/>
  </r>
  <r>
    <x v="11"/>
    <x v="35"/>
    <s v="Electric Generators, Electric Utilities"/>
    <x v="4"/>
    <n v="406434"/>
  </r>
  <r>
    <x v="11"/>
    <x v="35"/>
    <s v="Combined Heat and Power, Industrial Power"/>
    <x v="0"/>
    <n v="1247498"/>
  </r>
  <r>
    <x v="11"/>
    <x v="35"/>
    <s v="Combined Heat and Power, Industrial Power"/>
    <x v="1"/>
    <n v="520694"/>
  </r>
  <r>
    <x v="11"/>
    <x v="35"/>
    <s v="Combined Heat and Power, Industrial Power"/>
    <x v="3"/>
    <n v="175087"/>
  </r>
  <r>
    <x v="11"/>
    <x v="35"/>
    <s v="Combined Heat and Power, Industrial Power"/>
    <x v="9"/>
    <n v="183305"/>
  </r>
  <r>
    <x v="11"/>
    <x v="35"/>
    <s v="Combined Heat and Power, Industrial Power"/>
    <x v="4"/>
    <n v="4526"/>
  </r>
  <r>
    <x v="11"/>
    <x v="35"/>
    <s v="Combined Heat and Power, Industrial Power"/>
    <x v="6"/>
    <n v="363886"/>
  </r>
  <r>
    <x v="11"/>
    <x v="35"/>
    <s v="Combined Heat and Power, Electric Power"/>
    <x v="0"/>
    <n v="267986"/>
  </r>
  <r>
    <x v="11"/>
    <x v="35"/>
    <s v="Combined Heat and Power, Electric Power"/>
    <x v="1"/>
    <n v="42701"/>
  </r>
  <r>
    <x v="11"/>
    <x v="35"/>
    <s v="Combined Heat and Power, Electric Power"/>
    <x v="3"/>
    <n v="66246"/>
  </r>
  <r>
    <x v="11"/>
    <x v="35"/>
    <s v="Combined Heat and Power, Electric Power"/>
    <x v="9"/>
    <n v="118644"/>
  </r>
  <r>
    <x v="11"/>
    <x v="35"/>
    <s v="Combined Heat and Power, Electric Power"/>
    <x v="4"/>
    <n v="1423"/>
  </r>
  <r>
    <x v="11"/>
    <x v="35"/>
    <s v="Combined Heat and Power, Electric Power"/>
    <x v="6"/>
    <n v="38972"/>
  </r>
  <r>
    <x v="11"/>
    <x v="35"/>
    <s v="Combined Heat and Power, Commercial Power"/>
    <x v="0"/>
    <n v="19760"/>
  </r>
  <r>
    <x v="11"/>
    <x v="35"/>
    <s v="Combined Heat and Power, Commercial Power"/>
    <x v="1"/>
    <n v="5348"/>
  </r>
  <r>
    <x v="11"/>
    <x v="35"/>
    <s v="Combined Heat and Power, Commercial Power"/>
    <x v="3"/>
    <n v="12670"/>
  </r>
  <r>
    <x v="11"/>
    <x v="35"/>
    <s v="Combined Heat and Power, Commercial Power"/>
    <x v="4"/>
    <n v="1527"/>
  </r>
  <r>
    <x v="11"/>
    <x v="35"/>
    <s v="Combined Heat and Power, Commercial Power"/>
    <x v="6"/>
    <n v="215"/>
  </r>
  <r>
    <x v="11"/>
    <x v="36"/>
    <s v="Total Electric Power Industry"/>
    <x v="0"/>
    <n v="55249450"/>
  </r>
  <r>
    <x v="11"/>
    <x v="36"/>
    <s v="Total Electric Power Industry"/>
    <x v="1"/>
    <n v="34615768"/>
  </r>
  <r>
    <x v="11"/>
    <x v="36"/>
    <s v="Total Electric Power Industry"/>
    <x v="2"/>
    <n v="2344690"/>
  </r>
  <r>
    <x v="11"/>
    <x v="36"/>
    <s v="Total Electric Power Industry"/>
    <x v="3"/>
    <n v="17943808"/>
  </r>
  <r>
    <x v="11"/>
    <x v="36"/>
    <s v="Total Electric Power Industry"/>
    <x v="9"/>
    <n v="67792"/>
  </r>
  <r>
    <x v="11"/>
    <x v="36"/>
    <s v="Total Electric Power Industry"/>
    <x v="4"/>
    <n v="175175"/>
  </r>
  <r>
    <x v="11"/>
    <x v="36"/>
    <s v="Total Electric Power Industry"/>
    <x v="10"/>
    <n v="-128479"/>
  </r>
  <r>
    <x v="11"/>
    <x v="36"/>
    <s v="Total Electric Power Industry"/>
    <x v="6"/>
    <n v="230696"/>
  </r>
  <r>
    <x v="11"/>
    <x v="36"/>
    <s v="Electric Generators, Independent Power Producers"/>
    <x v="0"/>
    <n v="843693"/>
  </r>
  <r>
    <x v="11"/>
    <x v="36"/>
    <s v="Electric Generators, Independent Power Producers"/>
    <x v="3"/>
    <n v="843693"/>
  </r>
  <r>
    <x v="11"/>
    <x v="36"/>
    <s v="Electric Generators, Electric Utilities"/>
    <x v="0"/>
    <n v="50413729"/>
  </r>
  <r>
    <x v="11"/>
    <x v="36"/>
    <s v="Electric Generators, Electric Utilities"/>
    <x v="1"/>
    <n v="32164601"/>
  </r>
  <r>
    <x v="11"/>
    <x v="36"/>
    <s v="Electric Generators, Electric Utilities"/>
    <x v="2"/>
    <n v="2344690"/>
  </r>
  <r>
    <x v="11"/>
    <x v="36"/>
    <s v="Electric Generators, Electric Utilities"/>
    <x v="3"/>
    <n v="15886542"/>
  </r>
  <r>
    <x v="11"/>
    <x v="36"/>
    <s v="Electric Generators, Electric Utilities"/>
    <x v="4"/>
    <n v="146375"/>
  </r>
  <r>
    <x v="11"/>
    <x v="36"/>
    <s v="Electric Generators, Electric Utilities"/>
    <x v="10"/>
    <n v="-128479"/>
  </r>
  <r>
    <x v="11"/>
    <x v="36"/>
    <s v="Combined Heat and Power, Industrial Power"/>
    <x v="0"/>
    <n v="1235635"/>
  </r>
  <r>
    <x v="11"/>
    <x v="36"/>
    <s v="Combined Heat and Power, Industrial Power"/>
    <x v="1"/>
    <n v="461298"/>
  </r>
  <r>
    <x v="11"/>
    <x v="36"/>
    <s v="Combined Heat and Power, Industrial Power"/>
    <x v="3"/>
    <n v="448454"/>
  </r>
  <r>
    <x v="11"/>
    <x v="36"/>
    <s v="Combined Heat and Power, Industrial Power"/>
    <x v="9"/>
    <n v="67792"/>
  </r>
  <r>
    <x v="11"/>
    <x v="36"/>
    <s v="Combined Heat and Power, Industrial Power"/>
    <x v="4"/>
    <n v="27395"/>
  </r>
  <r>
    <x v="11"/>
    <x v="36"/>
    <s v="Combined Heat and Power, Industrial Power"/>
    <x v="6"/>
    <n v="230696"/>
  </r>
  <r>
    <x v="11"/>
    <x v="36"/>
    <s v="Combined Heat and Power, Electric Power"/>
    <x v="0"/>
    <n v="2730764"/>
  </r>
  <r>
    <x v="11"/>
    <x v="36"/>
    <s v="Combined Heat and Power, Electric Power"/>
    <x v="1"/>
    <n v="1989869"/>
  </r>
  <r>
    <x v="11"/>
    <x v="36"/>
    <s v="Combined Heat and Power, Electric Power"/>
    <x v="3"/>
    <n v="740895"/>
  </r>
  <r>
    <x v="11"/>
    <x v="36"/>
    <s v="Combined Heat and Power, Commercial Power"/>
    <x v="0"/>
    <n v="25629"/>
  </r>
  <r>
    <x v="11"/>
    <x v="36"/>
    <s v="Combined Heat and Power, Commercial Power"/>
    <x v="3"/>
    <n v="24224"/>
  </r>
  <r>
    <x v="11"/>
    <x v="36"/>
    <s v="Combined Heat and Power, Commercial Power"/>
    <x v="4"/>
    <n v="1405"/>
  </r>
  <r>
    <x v="11"/>
    <x v="37"/>
    <s v="Total Electric Power Industry"/>
    <x v="0"/>
    <n v="45051906"/>
  </r>
  <r>
    <x v="11"/>
    <x v="37"/>
    <s v="Total Electric Power Industry"/>
    <x v="1"/>
    <n v="4445053"/>
  </r>
  <r>
    <x v="11"/>
    <x v="37"/>
    <s v="Total Electric Power Industry"/>
    <x v="2"/>
    <n v="28644552"/>
  </r>
  <r>
    <x v="11"/>
    <x v="37"/>
    <s v="Total Electric Power Industry"/>
    <x v="3"/>
    <n v="10982965"/>
  </r>
  <r>
    <x v="11"/>
    <x v="37"/>
    <s v="Total Electric Power Industry"/>
    <x v="12"/>
    <n v="37585"/>
  </r>
  <r>
    <x v="11"/>
    <x v="37"/>
    <s v="Total Electric Power Industry"/>
    <x v="8"/>
    <n v="49823"/>
  </r>
  <r>
    <x v="11"/>
    <x v="37"/>
    <s v="Total Electric Power Industry"/>
    <x v="4"/>
    <n v="102223"/>
  </r>
  <r>
    <x v="11"/>
    <x v="37"/>
    <s v="Total Electric Power Industry"/>
    <x v="5"/>
    <n v="88587"/>
  </r>
  <r>
    <x v="11"/>
    <x v="37"/>
    <s v="Total Electric Power Industry"/>
    <x v="6"/>
    <n v="701118"/>
  </r>
  <r>
    <x v="11"/>
    <x v="37"/>
    <s v="Electric Generators, Independent Power Producers"/>
    <x v="0"/>
    <n v="466982"/>
  </r>
  <r>
    <x v="11"/>
    <x v="37"/>
    <s v="Electric Generators, Independent Power Producers"/>
    <x v="2"/>
    <n v="285034"/>
  </r>
  <r>
    <x v="11"/>
    <x v="37"/>
    <s v="Electric Generators, Independent Power Producers"/>
    <x v="3"/>
    <n v="5953"/>
  </r>
  <r>
    <x v="11"/>
    <x v="37"/>
    <s v="Electric Generators, Independent Power Producers"/>
    <x v="12"/>
    <n v="37585"/>
  </r>
  <r>
    <x v="11"/>
    <x v="37"/>
    <s v="Electric Generators, Independent Power Producers"/>
    <x v="8"/>
    <n v="49823"/>
  </r>
  <r>
    <x v="11"/>
    <x v="37"/>
    <s v="Electric Generators, Independent Power Producers"/>
    <x v="5"/>
    <n v="88587"/>
  </r>
  <r>
    <x v="11"/>
    <x v="37"/>
    <s v="Electric Generators, Electric Utilities"/>
    <x v="0"/>
    <n v="38059649"/>
  </r>
  <r>
    <x v="11"/>
    <x v="37"/>
    <s v="Electric Generators, Electric Utilities"/>
    <x v="1"/>
    <n v="4423843"/>
  </r>
  <r>
    <x v="11"/>
    <x v="37"/>
    <s v="Electric Generators, Electric Utilities"/>
    <x v="2"/>
    <n v="28359518"/>
  </r>
  <r>
    <x v="11"/>
    <x v="37"/>
    <s v="Electric Generators, Electric Utilities"/>
    <x v="3"/>
    <n v="5183521"/>
  </r>
  <r>
    <x v="11"/>
    <x v="37"/>
    <s v="Electric Generators, Electric Utilities"/>
    <x v="4"/>
    <n v="92767"/>
  </r>
  <r>
    <x v="11"/>
    <x v="37"/>
    <s v="Electric Generators, Electric Utilities"/>
    <x v="6"/>
    <n v="0"/>
  </r>
  <r>
    <x v="11"/>
    <x v="37"/>
    <s v="Combined Heat and Power, Industrial Power"/>
    <x v="0"/>
    <n v="837303"/>
  </r>
  <r>
    <x v="11"/>
    <x v="37"/>
    <s v="Combined Heat and Power, Industrial Power"/>
    <x v="1"/>
    <n v="21210"/>
  </r>
  <r>
    <x v="11"/>
    <x v="37"/>
    <s v="Combined Heat and Power, Industrial Power"/>
    <x v="3"/>
    <n v="432762"/>
  </r>
  <r>
    <x v="11"/>
    <x v="37"/>
    <s v="Combined Heat and Power, Industrial Power"/>
    <x v="4"/>
    <n v="9456"/>
  </r>
  <r>
    <x v="11"/>
    <x v="37"/>
    <s v="Combined Heat and Power, Industrial Power"/>
    <x v="6"/>
    <n v="373875"/>
  </r>
  <r>
    <x v="11"/>
    <x v="37"/>
    <s v="Combined Heat and Power, Electric Power"/>
    <x v="0"/>
    <n v="5674672"/>
  </r>
  <r>
    <x v="11"/>
    <x v="37"/>
    <s v="Combined Heat and Power, Electric Power"/>
    <x v="3"/>
    <n v="5347429"/>
  </r>
  <r>
    <x v="11"/>
    <x v="37"/>
    <s v="Combined Heat and Power, Electric Power"/>
    <x v="6"/>
    <n v="327243"/>
  </r>
  <r>
    <x v="11"/>
    <x v="37"/>
    <s v="Combined Heat and Power, Commercial Power"/>
    <x v="0"/>
    <n v="13300"/>
  </r>
  <r>
    <x v="11"/>
    <x v="37"/>
    <s v="Combined Heat and Power, Commercial Power"/>
    <x v="3"/>
    <n v="13300"/>
  </r>
  <r>
    <x v="11"/>
    <x v="37"/>
    <s v="Combined Heat and Power, Commercial Power"/>
    <x v="4"/>
    <n v="0"/>
  </r>
  <r>
    <x v="11"/>
    <x v="38"/>
    <s v="Total Electric Power Industry"/>
    <x v="0"/>
    <n v="196576591"/>
  </r>
  <r>
    <x v="11"/>
    <x v="38"/>
    <s v="Total Electric Power Industry"/>
    <x v="1"/>
    <n v="111900448"/>
  </r>
  <r>
    <x v="11"/>
    <x v="38"/>
    <s v="Total Electric Power Industry"/>
    <x v="2"/>
    <n v="1650004"/>
  </r>
  <r>
    <x v="11"/>
    <x v="38"/>
    <s v="Total Electric Power Industry"/>
    <x v="3"/>
    <n v="3036297"/>
  </r>
  <r>
    <x v="11"/>
    <x v="38"/>
    <s v="Total Electric Power Industry"/>
    <x v="7"/>
    <n v="73730797"/>
  </r>
  <r>
    <x v="11"/>
    <x v="38"/>
    <s v="Total Electric Power Industry"/>
    <x v="12"/>
    <n v="802575"/>
  </r>
  <r>
    <x v="11"/>
    <x v="38"/>
    <s v="Total Electric Power Industry"/>
    <x v="8"/>
    <n v="1288285"/>
  </r>
  <r>
    <x v="11"/>
    <x v="38"/>
    <s v="Total Electric Power Industry"/>
    <x v="9"/>
    <n v="613137"/>
  </r>
  <r>
    <x v="11"/>
    <x v="38"/>
    <s v="Total Electric Power Industry"/>
    <x v="4"/>
    <n v="3562587"/>
  </r>
  <r>
    <x v="11"/>
    <x v="38"/>
    <s v="Total Electric Power Industry"/>
    <x v="10"/>
    <n v="-615450"/>
  </r>
  <r>
    <x v="11"/>
    <x v="38"/>
    <s v="Total Electric Power Industry"/>
    <x v="5"/>
    <n v="11175"/>
  </r>
  <r>
    <x v="11"/>
    <x v="38"/>
    <s v="Total Electric Power Industry"/>
    <x v="6"/>
    <n v="596736"/>
  </r>
  <r>
    <x v="11"/>
    <x v="38"/>
    <s v="Electric Generators, Independent Power Producers"/>
    <x v="0"/>
    <n v="158605313"/>
  </r>
  <r>
    <x v="11"/>
    <x v="38"/>
    <s v="Electric Generators, Independent Power Producers"/>
    <x v="1"/>
    <n v="91526786"/>
  </r>
  <r>
    <x v="11"/>
    <x v="38"/>
    <s v="Electric Generators, Independent Power Producers"/>
    <x v="2"/>
    <n v="873277"/>
  </r>
  <r>
    <x v="11"/>
    <x v="38"/>
    <s v="Electric Generators, Independent Power Producers"/>
    <x v="3"/>
    <n v="1051428"/>
  </r>
  <r>
    <x v="11"/>
    <x v="38"/>
    <s v="Electric Generators, Independent Power Producers"/>
    <x v="7"/>
    <n v="60551561"/>
  </r>
  <r>
    <x v="11"/>
    <x v="38"/>
    <s v="Electric Generators, Independent Power Producers"/>
    <x v="12"/>
    <n v="634395"/>
  </r>
  <r>
    <x v="11"/>
    <x v="38"/>
    <s v="Electric Generators, Independent Power Producers"/>
    <x v="8"/>
    <n v="1124610"/>
  </r>
  <r>
    <x v="11"/>
    <x v="38"/>
    <s v="Electric Generators, Independent Power Producers"/>
    <x v="9"/>
    <n v="1398"/>
  </r>
  <r>
    <x v="11"/>
    <x v="38"/>
    <s v="Electric Generators, Independent Power Producers"/>
    <x v="4"/>
    <n v="3238297"/>
  </r>
  <r>
    <x v="11"/>
    <x v="38"/>
    <s v="Electric Generators, Independent Power Producers"/>
    <x v="10"/>
    <n v="-407614"/>
  </r>
  <r>
    <x v="11"/>
    <x v="38"/>
    <s v="Electric Generators, Independent Power Producers"/>
    <x v="5"/>
    <n v="11175"/>
  </r>
  <r>
    <x v="11"/>
    <x v="38"/>
    <s v="Electric Generators, Electric Utilities"/>
    <x v="0"/>
    <n v="27633966"/>
  </r>
  <r>
    <x v="11"/>
    <x v="38"/>
    <s v="Electric Generators, Electric Utilities"/>
    <x v="1"/>
    <n v="13863092"/>
  </r>
  <r>
    <x v="11"/>
    <x v="38"/>
    <s v="Electric Generators, Electric Utilities"/>
    <x v="2"/>
    <n v="776727"/>
  </r>
  <r>
    <x v="11"/>
    <x v="38"/>
    <s v="Electric Generators, Electric Utilities"/>
    <x v="3"/>
    <n v="1138"/>
  </r>
  <r>
    <x v="11"/>
    <x v="38"/>
    <s v="Electric Generators, Electric Utilities"/>
    <x v="7"/>
    <n v="13179236"/>
  </r>
  <r>
    <x v="11"/>
    <x v="38"/>
    <s v="Electric Generators, Electric Utilities"/>
    <x v="4"/>
    <n v="21609"/>
  </r>
  <r>
    <x v="11"/>
    <x v="38"/>
    <s v="Electric Generators, Electric Utilities"/>
    <x v="10"/>
    <n v="-207836"/>
  </r>
  <r>
    <x v="11"/>
    <x v="38"/>
    <s v="Combined Heat and Power, Industrial Power"/>
    <x v="0"/>
    <n v="3761869"/>
  </r>
  <r>
    <x v="11"/>
    <x v="38"/>
    <s v="Combined Heat and Power, Industrial Power"/>
    <x v="1"/>
    <n v="1686373"/>
  </r>
  <r>
    <x v="11"/>
    <x v="38"/>
    <s v="Combined Heat and Power, Industrial Power"/>
    <x v="3"/>
    <n v="740057"/>
  </r>
  <r>
    <x v="11"/>
    <x v="38"/>
    <s v="Combined Heat and Power, Industrial Power"/>
    <x v="12"/>
    <n v="69338"/>
  </r>
  <r>
    <x v="11"/>
    <x v="38"/>
    <s v="Combined Heat and Power, Industrial Power"/>
    <x v="8"/>
    <n v="0"/>
  </r>
  <r>
    <x v="11"/>
    <x v="38"/>
    <s v="Combined Heat and Power, Industrial Power"/>
    <x v="9"/>
    <n v="611739"/>
  </r>
  <r>
    <x v="11"/>
    <x v="38"/>
    <s v="Combined Heat and Power, Industrial Power"/>
    <x v="4"/>
    <n v="255626"/>
  </r>
  <r>
    <x v="11"/>
    <x v="38"/>
    <s v="Combined Heat and Power, Industrial Power"/>
    <x v="6"/>
    <n v="398736"/>
  </r>
  <r>
    <x v="11"/>
    <x v="38"/>
    <s v="Combined Heat and Power, Electric Power"/>
    <x v="0"/>
    <n v="6170753"/>
  </r>
  <r>
    <x v="11"/>
    <x v="38"/>
    <s v="Combined Heat and Power, Electric Power"/>
    <x v="1"/>
    <n v="4819451"/>
  </r>
  <r>
    <x v="11"/>
    <x v="38"/>
    <s v="Combined Heat and Power, Electric Power"/>
    <x v="3"/>
    <n v="1047696"/>
  </r>
  <r>
    <x v="11"/>
    <x v="38"/>
    <s v="Combined Heat and Power, Electric Power"/>
    <x v="12"/>
    <n v="13700"/>
  </r>
  <r>
    <x v="11"/>
    <x v="38"/>
    <s v="Combined Heat and Power, Electric Power"/>
    <x v="8"/>
    <n v="50812"/>
  </r>
  <r>
    <x v="11"/>
    <x v="38"/>
    <s v="Combined Heat and Power, Electric Power"/>
    <x v="4"/>
    <n v="41094"/>
  </r>
  <r>
    <x v="11"/>
    <x v="38"/>
    <s v="Combined Heat and Power, Electric Power"/>
    <x v="6"/>
    <n v="198000"/>
  </r>
  <r>
    <x v="11"/>
    <x v="38"/>
    <s v="Combined Heat and Power, Commercial Power"/>
    <x v="0"/>
    <n v="404690"/>
  </r>
  <r>
    <x v="11"/>
    <x v="38"/>
    <s v="Combined Heat and Power, Commercial Power"/>
    <x v="1"/>
    <n v="4746"/>
  </r>
  <r>
    <x v="11"/>
    <x v="38"/>
    <s v="Combined Heat and Power, Commercial Power"/>
    <x v="3"/>
    <n v="195978"/>
  </r>
  <r>
    <x v="11"/>
    <x v="38"/>
    <s v="Combined Heat and Power, Commercial Power"/>
    <x v="12"/>
    <n v="85142"/>
  </r>
  <r>
    <x v="11"/>
    <x v="38"/>
    <s v="Combined Heat and Power, Commercial Power"/>
    <x v="8"/>
    <n v="112863"/>
  </r>
  <r>
    <x v="11"/>
    <x v="38"/>
    <s v="Combined Heat and Power, Commercial Power"/>
    <x v="4"/>
    <n v="5961"/>
  </r>
  <r>
    <x v="11"/>
    <x v="39"/>
    <s v="Total Electric Power Industry"/>
    <x v="0"/>
    <n v="7501892"/>
  </r>
  <r>
    <x v="11"/>
    <x v="39"/>
    <s v="Total Electric Power Industry"/>
    <x v="2"/>
    <n v="3143"/>
  </r>
  <r>
    <x v="11"/>
    <x v="39"/>
    <s v="Total Electric Power Industry"/>
    <x v="3"/>
    <n v="7325130"/>
  </r>
  <r>
    <x v="11"/>
    <x v="39"/>
    <s v="Total Electric Power Industry"/>
    <x v="8"/>
    <n v="103616"/>
  </r>
  <r>
    <x v="11"/>
    <x v="39"/>
    <s v="Total Electric Power Industry"/>
    <x v="4"/>
    <n v="70003"/>
  </r>
  <r>
    <x v="11"/>
    <x v="39"/>
    <s v="Electric Generators, Independent Power Producers"/>
    <x v="0"/>
    <n v="6990150"/>
  </r>
  <r>
    <x v="11"/>
    <x v="39"/>
    <s v="Electric Generators, Independent Power Producers"/>
    <x v="2"/>
    <n v="3143"/>
  </r>
  <r>
    <x v="11"/>
    <x v="39"/>
    <s v="Electric Generators, Independent Power Producers"/>
    <x v="3"/>
    <n v="6883391"/>
  </r>
  <r>
    <x v="11"/>
    <x v="39"/>
    <s v="Electric Generators, Independent Power Producers"/>
    <x v="8"/>
    <n v="103616"/>
  </r>
  <r>
    <x v="11"/>
    <x v="39"/>
    <s v="Electric Generators, Independent Power Producers"/>
    <x v="4"/>
    <n v="0"/>
  </r>
  <r>
    <x v="11"/>
    <x v="39"/>
    <s v="Combined Heat and Power, Industrial Power"/>
    <x v="0"/>
    <n v="2402"/>
  </r>
  <r>
    <x v="11"/>
    <x v="39"/>
    <s v="Combined Heat and Power, Industrial Power"/>
    <x v="4"/>
    <n v="2402"/>
  </r>
  <r>
    <x v="11"/>
    <x v="39"/>
    <s v="Combined Heat and Power, Electric Power"/>
    <x v="0"/>
    <n v="459334"/>
  </r>
  <r>
    <x v="11"/>
    <x v="39"/>
    <s v="Combined Heat and Power, Electric Power"/>
    <x v="3"/>
    <n v="439024"/>
  </r>
  <r>
    <x v="11"/>
    <x v="39"/>
    <s v="Combined Heat and Power, Electric Power"/>
    <x v="4"/>
    <n v="20310"/>
  </r>
  <r>
    <x v="11"/>
    <x v="39"/>
    <s v="Combined Heat and Power, Commercial Power"/>
    <x v="0"/>
    <n v="50006"/>
  </r>
  <r>
    <x v="11"/>
    <x v="39"/>
    <s v="Combined Heat and Power, Commercial Power"/>
    <x v="3"/>
    <n v="2715"/>
  </r>
  <r>
    <x v="11"/>
    <x v="39"/>
    <s v="Combined Heat and Power, Commercial Power"/>
    <x v="4"/>
    <n v="47291"/>
  </r>
  <r>
    <x v="11"/>
    <x v="40"/>
    <s v="Total Electric Power Industry"/>
    <x v="0"/>
    <n v="89158987"/>
  </r>
  <r>
    <x v="11"/>
    <x v="40"/>
    <s v="Total Electric Power Industry"/>
    <x v="1"/>
    <n v="36699004"/>
  </r>
  <r>
    <x v="11"/>
    <x v="40"/>
    <s v="Total Electric Power Industry"/>
    <x v="2"/>
    <n v="1225443"/>
  </r>
  <r>
    <x v="11"/>
    <x v="40"/>
    <s v="Total Electric Power Industry"/>
    <x v="3"/>
    <n v="1176114"/>
  </r>
  <r>
    <x v="11"/>
    <x v="40"/>
    <s v="Total Electric Power Industry"/>
    <x v="7"/>
    <n v="49869998"/>
  </r>
  <r>
    <x v="11"/>
    <x v="40"/>
    <s v="Total Electric Power Industry"/>
    <x v="12"/>
    <n v="21693"/>
  </r>
  <r>
    <x v="11"/>
    <x v="40"/>
    <s v="Total Electric Power Industry"/>
    <x v="8"/>
    <n v="28045"/>
  </r>
  <r>
    <x v="11"/>
    <x v="40"/>
    <s v="Total Electric Power Industry"/>
    <x v="9"/>
    <n v="198"/>
  </r>
  <r>
    <x v="11"/>
    <x v="40"/>
    <s v="Total Electric Power Industry"/>
    <x v="4"/>
    <n v="308105"/>
  </r>
  <r>
    <x v="11"/>
    <x v="40"/>
    <s v="Total Electric Power Industry"/>
    <x v="10"/>
    <n v="-1035722"/>
  </r>
  <r>
    <x v="11"/>
    <x v="40"/>
    <s v="Total Electric Power Industry"/>
    <x v="6"/>
    <n v="866109"/>
  </r>
  <r>
    <x v="11"/>
    <x v="40"/>
    <s v="Electric Generators, Independent Power Producers"/>
    <x v="0"/>
    <n v="497170"/>
  </r>
  <r>
    <x v="11"/>
    <x v="40"/>
    <s v="Electric Generators, Independent Power Producers"/>
    <x v="2"/>
    <n v="45731"/>
  </r>
  <r>
    <x v="11"/>
    <x v="40"/>
    <s v="Electric Generators, Independent Power Producers"/>
    <x v="3"/>
    <n v="445976"/>
  </r>
  <r>
    <x v="11"/>
    <x v="40"/>
    <s v="Electric Generators, Independent Power Producers"/>
    <x v="4"/>
    <n v="5463"/>
  </r>
  <r>
    <x v="11"/>
    <x v="40"/>
    <s v="Electric Generators, Electric Utilities"/>
    <x v="0"/>
    <n v="86734778"/>
  </r>
  <r>
    <x v="11"/>
    <x v="40"/>
    <s v="Electric Generators, Electric Utilities"/>
    <x v="1"/>
    <n v="36302690"/>
  </r>
  <r>
    <x v="11"/>
    <x v="40"/>
    <s v="Electric Generators, Electric Utilities"/>
    <x v="2"/>
    <n v="1179192"/>
  </r>
  <r>
    <x v="11"/>
    <x v="40"/>
    <s v="Electric Generators, Electric Utilities"/>
    <x v="3"/>
    <n v="193612"/>
  </r>
  <r>
    <x v="11"/>
    <x v="40"/>
    <s v="Electric Generators, Electric Utilities"/>
    <x v="7"/>
    <n v="49869998"/>
  </r>
  <r>
    <x v="11"/>
    <x v="40"/>
    <s v="Electric Generators, Electric Utilities"/>
    <x v="4"/>
    <n v="225008"/>
  </r>
  <r>
    <x v="11"/>
    <x v="40"/>
    <s v="Electric Generators, Electric Utilities"/>
    <x v="10"/>
    <n v="-1035722"/>
  </r>
  <r>
    <x v="11"/>
    <x v="40"/>
    <s v="Combined Heat and Power, Industrial Power"/>
    <x v="0"/>
    <n v="1364081"/>
  </r>
  <r>
    <x v="11"/>
    <x v="40"/>
    <s v="Combined Heat and Power, Industrial Power"/>
    <x v="1"/>
    <n v="396314"/>
  </r>
  <r>
    <x v="11"/>
    <x v="40"/>
    <s v="Combined Heat and Power, Industrial Power"/>
    <x v="3"/>
    <n v="25129"/>
  </r>
  <r>
    <x v="11"/>
    <x v="40"/>
    <s v="Combined Heat and Power, Industrial Power"/>
    <x v="12"/>
    <n v="537"/>
  </r>
  <r>
    <x v="11"/>
    <x v="40"/>
    <s v="Combined Heat and Power, Industrial Power"/>
    <x v="8"/>
    <n v="-1"/>
  </r>
  <r>
    <x v="11"/>
    <x v="40"/>
    <s v="Combined Heat and Power, Industrial Power"/>
    <x v="9"/>
    <n v="198"/>
  </r>
  <r>
    <x v="11"/>
    <x v="40"/>
    <s v="Combined Heat and Power, Industrial Power"/>
    <x v="4"/>
    <n v="75795"/>
  </r>
  <r>
    <x v="11"/>
    <x v="40"/>
    <s v="Combined Heat and Power, Industrial Power"/>
    <x v="6"/>
    <n v="866109"/>
  </r>
  <r>
    <x v="11"/>
    <x v="40"/>
    <s v="Combined Heat and Power, Electric Power"/>
    <x v="0"/>
    <n v="508632"/>
  </r>
  <r>
    <x v="11"/>
    <x v="40"/>
    <s v="Combined Heat and Power, Electric Power"/>
    <x v="3"/>
    <n v="508632"/>
  </r>
  <r>
    <x v="11"/>
    <x v="40"/>
    <s v="Combined Heat and Power, Commercial Power"/>
    <x v="0"/>
    <n v="54326"/>
  </r>
  <r>
    <x v="11"/>
    <x v="40"/>
    <s v="Combined Heat and Power, Commercial Power"/>
    <x v="2"/>
    <n v="520"/>
  </r>
  <r>
    <x v="11"/>
    <x v="40"/>
    <s v="Combined Heat and Power, Commercial Power"/>
    <x v="3"/>
    <n v="2765"/>
  </r>
  <r>
    <x v="11"/>
    <x v="40"/>
    <s v="Combined Heat and Power, Commercial Power"/>
    <x v="12"/>
    <n v="21157"/>
  </r>
  <r>
    <x v="11"/>
    <x v="40"/>
    <s v="Combined Heat and Power, Commercial Power"/>
    <x v="8"/>
    <n v="28045"/>
  </r>
  <r>
    <x v="11"/>
    <x v="40"/>
    <s v="Combined Heat and Power, Commercial Power"/>
    <x v="4"/>
    <n v="1839"/>
  </r>
  <r>
    <x v="11"/>
    <x v="41"/>
    <s v="Total Electric Power Industry"/>
    <x v="0"/>
    <n v="7400743"/>
  </r>
  <r>
    <x v="11"/>
    <x v="41"/>
    <s v="Total Electric Power Industry"/>
    <x v="1"/>
    <n v="3611680"/>
  </r>
  <r>
    <x v="11"/>
    <x v="41"/>
    <s v="Total Electric Power Industry"/>
    <x v="2"/>
    <n v="3431865"/>
  </r>
  <r>
    <x v="11"/>
    <x v="41"/>
    <s v="Total Electric Power Industry"/>
    <x v="3"/>
    <n v="304803"/>
  </r>
  <r>
    <x v="11"/>
    <x v="41"/>
    <s v="Total Electric Power Industry"/>
    <x v="4"/>
    <n v="51524"/>
  </r>
  <r>
    <x v="11"/>
    <x v="41"/>
    <s v="Total Electric Power Industry"/>
    <x v="5"/>
    <n v="871"/>
  </r>
  <r>
    <x v="11"/>
    <x v="41"/>
    <s v="Electric Generators, Electric Utilities"/>
    <x v="0"/>
    <n v="7400743"/>
  </r>
  <r>
    <x v="11"/>
    <x v="41"/>
    <s v="Electric Generators, Electric Utilities"/>
    <x v="1"/>
    <n v="3611680"/>
  </r>
  <r>
    <x v="11"/>
    <x v="41"/>
    <s v="Electric Generators, Electric Utilities"/>
    <x v="2"/>
    <n v="3431865"/>
  </r>
  <r>
    <x v="11"/>
    <x v="41"/>
    <s v="Electric Generators, Electric Utilities"/>
    <x v="3"/>
    <n v="304803"/>
  </r>
  <r>
    <x v="11"/>
    <x v="41"/>
    <s v="Electric Generators, Electric Utilities"/>
    <x v="4"/>
    <n v="51524"/>
  </r>
  <r>
    <x v="11"/>
    <x v="41"/>
    <s v="Electric Generators, Electric Utilities"/>
    <x v="5"/>
    <n v="871"/>
  </r>
  <r>
    <x v="11"/>
    <x v="42"/>
    <s v="Total Electric Power Industry"/>
    <x v="0"/>
    <n v="96221976"/>
  </r>
  <r>
    <x v="11"/>
    <x v="42"/>
    <s v="Total Electric Power Industry"/>
    <x v="1"/>
    <n v="59730032"/>
  </r>
  <r>
    <x v="11"/>
    <x v="42"/>
    <s v="Total Electric Power Industry"/>
    <x v="2"/>
    <n v="6946529"/>
  </r>
  <r>
    <x v="11"/>
    <x v="42"/>
    <s v="Total Electric Power Industry"/>
    <x v="3"/>
    <n v="455503"/>
  </r>
  <r>
    <x v="11"/>
    <x v="42"/>
    <s v="Total Electric Power Industry"/>
    <x v="7"/>
    <n v="28576431"/>
  </r>
  <r>
    <x v="11"/>
    <x v="42"/>
    <s v="Total Electric Power Industry"/>
    <x v="12"/>
    <n v="6620"/>
  </r>
  <r>
    <x v="11"/>
    <x v="42"/>
    <s v="Total Electric Power Industry"/>
    <x v="8"/>
    <n v="42598"/>
  </r>
  <r>
    <x v="11"/>
    <x v="42"/>
    <s v="Total Electric Power Industry"/>
    <x v="9"/>
    <n v="18496"/>
  </r>
  <r>
    <x v="11"/>
    <x v="42"/>
    <s v="Total Electric Power Industry"/>
    <x v="4"/>
    <n v="400064"/>
  </r>
  <r>
    <x v="11"/>
    <x v="42"/>
    <s v="Total Electric Power Industry"/>
    <x v="10"/>
    <n v="-733724"/>
  </r>
  <r>
    <x v="11"/>
    <x v="42"/>
    <s v="Total Electric Power Industry"/>
    <x v="6"/>
    <n v="779427"/>
  </r>
  <r>
    <x v="11"/>
    <x v="42"/>
    <s v="Electric Generators, Independent Power Producers"/>
    <x v="0"/>
    <n v="247196"/>
  </r>
  <r>
    <x v="11"/>
    <x v="42"/>
    <s v="Electric Generators, Independent Power Producers"/>
    <x v="3"/>
    <n v="213373"/>
  </r>
  <r>
    <x v="11"/>
    <x v="42"/>
    <s v="Electric Generators, Independent Power Producers"/>
    <x v="8"/>
    <n v="33823"/>
  </r>
  <r>
    <x v="11"/>
    <x v="42"/>
    <s v="Electric Generators, Electric Utilities"/>
    <x v="0"/>
    <n v="92937315"/>
  </r>
  <r>
    <x v="11"/>
    <x v="42"/>
    <s v="Electric Generators, Electric Utilities"/>
    <x v="1"/>
    <n v="58166973"/>
  </r>
  <r>
    <x v="11"/>
    <x v="42"/>
    <s v="Electric Generators, Electric Utilities"/>
    <x v="2"/>
    <n v="6542616"/>
  </r>
  <r>
    <x v="11"/>
    <x v="42"/>
    <s v="Electric Generators, Electric Utilities"/>
    <x v="3"/>
    <n v="5316"/>
  </r>
  <r>
    <x v="11"/>
    <x v="42"/>
    <s v="Electric Generators, Electric Utilities"/>
    <x v="7"/>
    <n v="28576431"/>
  </r>
  <r>
    <x v="11"/>
    <x v="42"/>
    <s v="Electric Generators, Electric Utilities"/>
    <x v="4"/>
    <n v="379703"/>
  </r>
  <r>
    <x v="11"/>
    <x v="42"/>
    <s v="Electric Generators, Electric Utilities"/>
    <x v="10"/>
    <n v="-733724"/>
  </r>
  <r>
    <x v="11"/>
    <x v="42"/>
    <s v="Combined Heat and Power, Industrial Power"/>
    <x v="0"/>
    <n v="2930739"/>
  </r>
  <r>
    <x v="11"/>
    <x v="42"/>
    <s v="Combined Heat and Power, Industrial Power"/>
    <x v="1"/>
    <n v="1513291"/>
  </r>
  <r>
    <x v="11"/>
    <x v="42"/>
    <s v="Combined Heat and Power, Industrial Power"/>
    <x v="2"/>
    <n v="403913"/>
  </r>
  <r>
    <x v="11"/>
    <x v="42"/>
    <s v="Combined Heat and Power, Industrial Power"/>
    <x v="3"/>
    <n v="195418"/>
  </r>
  <r>
    <x v="11"/>
    <x v="42"/>
    <s v="Combined Heat and Power, Industrial Power"/>
    <x v="12"/>
    <n v="0"/>
  </r>
  <r>
    <x v="11"/>
    <x v="42"/>
    <s v="Combined Heat and Power, Industrial Power"/>
    <x v="9"/>
    <n v="18496"/>
  </r>
  <r>
    <x v="11"/>
    <x v="42"/>
    <s v="Combined Heat and Power, Industrial Power"/>
    <x v="4"/>
    <n v="20361"/>
  </r>
  <r>
    <x v="11"/>
    <x v="42"/>
    <s v="Combined Heat and Power, Industrial Power"/>
    <x v="6"/>
    <n v="779260"/>
  </r>
  <r>
    <x v="11"/>
    <x v="42"/>
    <s v="Combined Heat and Power, Electric Power"/>
    <x v="0"/>
    <n v="167"/>
  </r>
  <r>
    <x v="11"/>
    <x v="42"/>
    <s v="Combined Heat and Power, Electric Power"/>
    <x v="12"/>
    <n v="0"/>
  </r>
  <r>
    <x v="11"/>
    <x v="42"/>
    <s v="Combined Heat and Power, Electric Power"/>
    <x v="6"/>
    <n v="167"/>
  </r>
  <r>
    <x v="11"/>
    <x v="42"/>
    <s v="Combined Heat and Power, Commercial Power"/>
    <x v="0"/>
    <n v="106559"/>
  </r>
  <r>
    <x v="11"/>
    <x v="42"/>
    <s v="Combined Heat and Power, Commercial Power"/>
    <x v="1"/>
    <n v="49768"/>
  </r>
  <r>
    <x v="11"/>
    <x v="42"/>
    <s v="Combined Heat and Power, Commercial Power"/>
    <x v="3"/>
    <n v="41396"/>
  </r>
  <r>
    <x v="11"/>
    <x v="42"/>
    <s v="Combined Heat and Power, Commercial Power"/>
    <x v="12"/>
    <n v="6620"/>
  </r>
  <r>
    <x v="11"/>
    <x v="42"/>
    <s v="Combined Heat and Power, Commercial Power"/>
    <x v="8"/>
    <n v="8775"/>
  </r>
  <r>
    <x v="11"/>
    <x v="43"/>
    <s v="Total Electric Power Industry"/>
    <x v="0"/>
    <n v="372580002"/>
  </r>
  <r>
    <x v="11"/>
    <x v="43"/>
    <s v="Total Electric Power Industry"/>
    <x v="1"/>
    <n v="135099921"/>
  </r>
  <r>
    <x v="11"/>
    <x v="43"/>
    <s v="Total Electric Power Industry"/>
    <x v="2"/>
    <n v="1200332"/>
  </r>
  <r>
    <x v="11"/>
    <x v="43"/>
    <s v="Total Electric Power Industry"/>
    <x v="3"/>
    <n v="190110981"/>
  </r>
  <r>
    <x v="11"/>
    <x v="43"/>
    <s v="Total Electric Power Industry"/>
    <x v="7"/>
    <n v="38162863"/>
  </r>
  <r>
    <x v="11"/>
    <x v="43"/>
    <s v="Total Electric Power Industry"/>
    <x v="12"/>
    <n v="1447232"/>
  </r>
  <r>
    <x v="11"/>
    <x v="43"/>
    <s v="Total Electric Power Industry"/>
    <x v="8"/>
    <n v="95829"/>
  </r>
  <r>
    <x v="11"/>
    <x v="43"/>
    <s v="Total Electric Power Industry"/>
    <x v="9"/>
    <n v="1574325"/>
  </r>
  <r>
    <x v="11"/>
    <x v="43"/>
    <s v="Total Electric Power Industry"/>
    <x v="4"/>
    <n v="2803403"/>
  </r>
  <r>
    <x v="11"/>
    <x v="43"/>
    <s v="Total Electric Power Industry"/>
    <x v="13"/>
    <n v="-5"/>
  </r>
  <r>
    <x v="11"/>
    <x v="43"/>
    <s v="Total Electric Power Industry"/>
    <x v="5"/>
    <n v="1187510"/>
  </r>
  <r>
    <x v="11"/>
    <x v="43"/>
    <s v="Total Electric Power Industry"/>
    <x v="6"/>
    <n v="897611"/>
  </r>
  <r>
    <x v="11"/>
    <x v="43"/>
    <s v="Electric Generators, Independent Power Producers"/>
    <x v="0"/>
    <n v="30778669"/>
  </r>
  <r>
    <x v="11"/>
    <x v="43"/>
    <s v="Electric Generators, Independent Power Producers"/>
    <x v="1"/>
    <n v="0"/>
  </r>
  <r>
    <x v="11"/>
    <x v="43"/>
    <s v="Electric Generators, Independent Power Producers"/>
    <x v="2"/>
    <n v="5806"/>
  </r>
  <r>
    <x v="11"/>
    <x v="43"/>
    <s v="Electric Generators, Independent Power Producers"/>
    <x v="3"/>
    <n v="29505782"/>
  </r>
  <r>
    <x v="11"/>
    <x v="43"/>
    <s v="Electric Generators, Independent Power Producers"/>
    <x v="7"/>
    <n v="0"/>
  </r>
  <r>
    <x v="11"/>
    <x v="43"/>
    <s v="Electric Generators, Independent Power Producers"/>
    <x v="8"/>
    <n v="34246"/>
  </r>
  <r>
    <x v="11"/>
    <x v="43"/>
    <s v="Electric Generators, Independent Power Producers"/>
    <x v="4"/>
    <n v="45325"/>
  </r>
  <r>
    <x v="11"/>
    <x v="43"/>
    <s v="Electric Generators, Independent Power Producers"/>
    <x v="5"/>
    <n v="1187510"/>
  </r>
  <r>
    <x v="11"/>
    <x v="43"/>
    <s v="Electric Generators, Electric Utilities"/>
    <x v="0"/>
    <n v="265012955"/>
  </r>
  <r>
    <x v="11"/>
    <x v="43"/>
    <s v="Electric Generators, Electric Utilities"/>
    <x v="1"/>
    <n v="132296611"/>
  </r>
  <r>
    <x v="11"/>
    <x v="43"/>
    <s v="Electric Generators, Electric Utilities"/>
    <x v="2"/>
    <n v="1194526"/>
  </r>
  <r>
    <x v="11"/>
    <x v="43"/>
    <s v="Electric Generators, Electric Utilities"/>
    <x v="3"/>
    <n v="91617908"/>
  </r>
  <r>
    <x v="11"/>
    <x v="43"/>
    <s v="Electric Generators, Electric Utilities"/>
    <x v="7"/>
    <n v="38162863"/>
  </r>
  <r>
    <x v="11"/>
    <x v="43"/>
    <s v="Electric Generators, Electric Utilities"/>
    <x v="4"/>
    <n v="1741052"/>
  </r>
  <r>
    <x v="11"/>
    <x v="43"/>
    <s v="Electric Generators, Electric Utilities"/>
    <x v="13"/>
    <n v="-5"/>
  </r>
  <r>
    <x v="11"/>
    <x v="43"/>
    <s v="Combined Heat and Power, Industrial Power"/>
    <x v="0"/>
    <n v="40687607"/>
  </r>
  <r>
    <x v="11"/>
    <x v="43"/>
    <s v="Combined Heat and Power, Industrial Power"/>
    <x v="1"/>
    <n v="2803310"/>
  </r>
  <r>
    <x v="11"/>
    <x v="43"/>
    <s v="Combined Heat and Power, Industrial Power"/>
    <x v="3"/>
    <n v="33862860"/>
  </r>
  <r>
    <x v="11"/>
    <x v="43"/>
    <s v="Combined Heat and Power, Industrial Power"/>
    <x v="12"/>
    <n v="1447232"/>
  </r>
  <r>
    <x v="11"/>
    <x v="43"/>
    <s v="Combined Heat and Power, Industrial Power"/>
    <x v="8"/>
    <n v="34762"/>
  </r>
  <r>
    <x v="11"/>
    <x v="43"/>
    <s v="Combined Heat and Power, Industrial Power"/>
    <x v="9"/>
    <n v="1562907"/>
  </r>
  <r>
    <x v="11"/>
    <x v="43"/>
    <s v="Combined Heat and Power, Industrial Power"/>
    <x v="4"/>
    <n v="78925"/>
  </r>
  <r>
    <x v="11"/>
    <x v="43"/>
    <s v="Combined Heat and Power, Industrial Power"/>
    <x v="6"/>
    <n v="897611"/>
  </r>
  <r>
    <x v="11"/>
    <x v="43"/>
    <s v="Combined Heat and Power, Electric Power"/>
    <x v="0"/>
    <n v="35617943"/>
  </r>
  <r>
    <x v="11"/>
    <x v="43"/>
    <s v="Combined Heat and Power, Electric Power"/>
    <x v="3"/>
    <n v="34655856"/>
  </r>
  <r>
    <x v="11"/>
    <x v="43"/>
    <s v="Combined Heat and Power, Electric Power"/>
    <x v="8"/>
    <n v="16904"/>
  </r>
  <r>
    <x v="11"/>
    <x v="43"/>
    <s v="Combined Heat and Power, Electric Power"/>
    <x v="9"/>
    <n v="11418"/>
  </r>
  <r>
    <x v="11"/>
    <x v="43"/>
    <s v="Combined Heat and Power, Electric Power"/>
    <x v="4"/>
    <n v="933765"/>
  </r>
  <r>
    <x v="11"/>
    <x v="43"/>
    <s v="Combined Heat and Power, Commercial Power"/>
    <x v="0"/>
    <n v="482828"/>
  </r>
  <r>
    <x v="11"/>
    <x v="43"/>
    <s v="Combined Heat and Power, Commercial Power"/>
    <x v="3"/>
    <n v="468575"/>
  </r>
  <r>
    <x v="11"/>
    <x v="43"/>
    <s v="Combined Heat and Power, Commercial Power"/>
    <x v="8"/>
    <n v="9917"/>
  </r>
  <r>
    <x v="11"/>
    <x v="43"/>
    <s v="Combined Heat and Power, Commercial Power"/>
    <x v="4"/>
    <n v="4336"/>
  </r>
  <r>
    <x v="11"/>
    <x v="44"/>
    <s v="Total Electric Power Industry"/>
    <x v="0"/>
    <n v="3736643653"/>
  </r>
  <r>
    <x v="11"/>
    <x v="44"/>
    <s v="Total Electric Power Industry"/>
    <x v="1"/>
    <n v="1903955943"/>
  </r>
  <r>
    <x v="11"/>
    <x v="44"/>
    <s v="Total Electric Power Industry"/>
    <x v="11"/>
    <n v="13740501"/>
  </r>
  <r>
    <x v="11"/>
    <x v="44"/>
    <s v="Total Electric Power Industry"/>
    <x v="2"/>
    <n v="216961044"/>
  </r>
  <r>
    <x v="11"/>
    <x v="44"/>
    <s v="Total Electric Power Industry"/>
    <x v="3"/>
    <n v="639129120"/>
  </r>
  <r>
    <x v="11"/>
    <x v="44"/>
    <s v="Total Electric Power Industry"/>
    <x v="7"/>
    <n v="768826308"/>
  </r>
  <r>
    <x v="11"/>
    <x v="44"/>
    <s v="Total Electric Power Industry"/>
    <x v="12"/>
    <n v="11906342"/>
  </r>
  <r>
    <x v="11"/>
    <x v="44"/>
    <s v="Total Electric Power Industry"/>
    <x v="8"/>
    <n v="14548153"/>
  </r>
  <r>
    <x v="11"/>
    <x v="44"/>
    <s v="Total Electric Power Industry"/>
    <x v="9"/>
    <n v="9039473"/>
  </r>
  <r>
    <x v="11"/>
    <x v="44"/>
    <s v="Total Electric Power Industry"/>
    <x v="4"/>
    <n v="124880222"/>
  </r>
  <r>
    <x v="11"/>
    <x v="44"/>
    <s v="Total Electric Power Industry"/>
    <x v="10"/>
    <n v="-8823445"/>
  </r>
  <r>
    <x v="11"/>
    <x v="44"/>
    <s v="Total Electric Power Industry"/>
    <x v="13"/>
    <n v="542755"/>
  </r>
  <r>
    <x v="11"/>
    <x v="44"/>
    <s v="Total Electric Power Industry"/>
    <x v="5"/>
    <n v="6737332"/>
  </r>
  <r>
    <x v="11"/>
    <x v="44"/>
    <s v="Total Electric Power Industry"/>
    <x v="6"/>
    <n v="35199905"/>
  </r>
  <r>
    <x v="11"/>
    <x v="44"/>
    <s v="Electric Generators, Independent Power Producers"/>
    <x v="0"/>
    <n v="780591908"/>
  </r>
  <r>
    <x v="11"/>
    <x v="44"/>
    <s v="Electric Generators, Independent Power Producers"/>
    <x v="1"/>
    <n v="291677827"/>
  </r>
  <r>
    <x v="11"/>
    <x v="44"/>
    <s v="Electric Generators, Independent Power Producers"/>
    <x v="11"/>
    <n v="13588048"/>
  </r>
  <r>
    <x v="11"/>
    <x v="44"/>
    <s v="Electric Generators, Independent Power Producers"/>
    <x v="2"/>
    <n v="15945306"/>
  </r>
  <r>
    <x v="11"/>
    <x v="44"/>
    <s v="Electric Generators, Independent Power Producers"/>
    <x v="3"/>
    <n v="162540399"/>
  </r>
  <r>
    <x v="11"/>
    <x v="44"/>
    <s v="Electric Generators, Independent Power Producers"/>
    <x v="7"/>
    <n v="234619087"/>
  </r>
  <r>
    <x v="11"/>
    <x v="44"/>
    <s v="Electric Generators, Independent Power Producers"/>
    <x v="12"/>
    <n v="5460234"/>
  </r>
  <r>
    <x v="11"/>
    <x v="44"/>
    <s v="Electric Generators, Independent Power Producers"/>
    <x v="8"/>
    <n v="10459976"/>
  </r>
  <r>
    <x v="11"/>
    <x v="44"/>
    <s v="Electric Generators, Independent Power Producers"/>
    <x v="9"/>
    <n v="10135"/>
  </r>
  <r>
    <x v="11"/>
    <x v="44"/>
    <s v="Electric Generators, Independent Power Producers"/>
    <x v="4"/>
    <n v="34257482"/>
  </r>
  <r>
    <x v="11"/>
    <x v="44"/>
    <s v="Electric Generators, Independent Power Producers"/>
    <x v="10"/>
    <n v="-1118963"/>
  </r>
  <r>
    <x v="11"/>
    <x v="44"/>
    <s v="Electric Generators, Independent Power Producers"/>
    <x v="13"/>
    <n v="539429"/>
  </r>
  <r>
    <x v="11"/>
    <x v="44"/>
    <s v="Electric Generators, Independent Power Producers"/>
    <x v="5"/>
    <n v="6602362"/>
  </r>
  <r>
    <x v="11"/>
    <x v="44"/>
    <s v="Electric Generators, Independent Power Producers"/>
    <x v="6"/>
    <n v="6010586"/>
  </r>
  <r>
    <x v="11"/>
    <x v="44"/>
    <s v="Electric Generators, Electric Utilities"/>
    <x v="0"/>
    <n v="2629945673"/>
  </r>
  <r>
    <x v="11"/>
    <x v="44"/>
    <s v="Electric Generators, Electric Utilities"/>
    <x v="1"/>
    <n v="1560145542"/>
  </r>
  <r>
    <x v="11"/>
    <x v="44"/>
    <s v="Electric Generators, Electric Utilities"/>
    <x v="11"/>
    <n v="152453"/>
  </r>
  <r>
    <x v="11"/>
    <x v="44"/>
    <s v="Electric Generators, Electric Utilities"/>
    <x v="2"/>
    <n v="197803985"/>
  </r>
  <r>
    <x v="11"/>
    <x v="44"/>
    <s v="Electric Generators, Electric Utilities"/>
    <x v="3"/>
    <n v="264433673"/>
  </r>
  <r>
    <x v="11"/>
    <x v="44"/>
    <s v="Electric Generators, Electric Utilities"/>
    <x v="7"/>
    <n v="534207221"/>
  </r>
  <r>
    <x v="11"/>
    <x v="44"/>
    <s v="Electric Generators, Electric Utilities"/>
    <x v="12"/>
    <n v="486149"/>
  </r>
  <r>
    <x v="11"/>
    <x v="44"/>
    <s v="Electric Generators, Electric Utilities"/>
    <x v="8"/>
    <n v="815023"/>
  </r>
  <r>
    <x v="11"/>
    <x v="44"/>
    <s v="Electric Generators, Electric Utilities"/>
    <x v="9"/>
    <n v="0"/>
  </r>
  <r>
    <x v="11"/>
    <x v="44"/>
    <s v="Electric Generators, Electric Utilities"/>
    <x v="4"/>
    <n v="78907846"/>
  </r>
  <r>
    <x v="11"/>
    <x v="44"/>
    <s v="Electric Generators, Electric Utilities"/>
    <x v="10"/>
    <n v="-7704482"/>
  </r>
  <r>
    <x v="11"/>
    <x v="44"/>
    <s v="Electric Generators, Electric Utilities"/>
    <x v="13"/>
    <n v="3326"/>
  </r>
  <r>
    <x v="11"/>
    <x v="44"/>
    <s v="Electric Generators, Electric Utilities"/>
    <x v="5"/>
    <n v="134970"/>
  </r>
  <r>
    <x v="11"/>
    <x v="44"/>
    <s v="Electric Generators, Electric Utilities"/>
    <x v="6"/>
    <n v="559967"/>
  </r>
  <r>
    <x v="11"/>
    <x v="44"/>
    <s v="Combined Heat and Power, Industrial Power"/>
    <x v="0"/>
    <n v="149174674"/>
  </r>
  <r>
    <x v="11"/>
    <x v="44"/>
    <s v="Combined Heat and Power, Industrial Power"/>
    <x v="1"/>
    <n v="20134647"/>
  </r>
  <r>
    <x v="11"/>
    <x v="44"/>
    <s v="Combined Heat and Power, Industrial Power"/>
    <x v="2"/>
    <n v="3145269"/>
  </r>
  <r>
    <x v="11"/>
    <x v="44"/>
    <s v="Combined Heat and Power, Industrial Power"/>
    <x v="3"/>
    <n v="79755122"/>
  </r>
  <r>
    <x v="11"/>
    <x v="44"/>
    <s v="Combined Heat and Power, Industrial Power"/>
    <x v="12"/>
    <n v="4908080"/>
  </r>
  <r>
    <x v="11"/>
    <x v="44"/>
    <s v="Combined Heat and Power, Industrial Power"/>
    <x v="8"/>
    <n v="596396"/>
  </r>
  <r>
    <x v="11"/>
    <x v="44"/>
    <s v="Combined Heat and Power, Industrial Power"/>
    <x v="9"/>
    <n v="8453676"/>
  </r>
  <r>
    <x v="11"/>
    <x v="44"/>
    <s v="Combined Heat and Power, Industrial Power"/>
    <x v="4"/>
    <n v="5293001"/>
  </r>
  <r>
    <x v="11"/>
    <x v="44"/>
    <s v="Combined Heat and Power, Industrial Power"/>
    <x v="6"/>
    <n v="26888483"/>
  </r>
  <r>
    <x v="11"/>
    <x v="44"/>
    <s v="Combined Heat and Power, Electric Power"/>
    <x v="0"/>
    <n v="169515453"/>
  </r>
  <r>
    <x v="11"/>
    <x v="44"/>
    <s v="Combined Heat and Power, Electric Power"/>
    <x v="1"/>
    <n v="31002767"/>
  </r>
  <r>
    <x v="11"/>
    <x v="44"/>
    <s v="Combined Heat and Power, Electric Power"/>
    <x v="3"/>
    <n v="127965611"/>
  </r>
  <r>
    <x v="11"/>
    <x v="44"/>
    <s v="Combined Heat and Power, Electric Power"/>
    <x v="12"/>
    <n v="595181"/>
  </r>
  <r>
    <x v="11"/>
    <x v="44"/>
    <s v="Combined Heat and Power, Electric Power"/>
    <x v="8"/>
    <n v="1669432"/>
  </r>
  <r>
    <x v="11"/>
    <x v="44"/>
    <s v="Combined Heat and Power, Electric Power"/>
    <x v="9"/>
    <n v="575656"/>
  </r>
  <r>
    <x v="11"/>
    <x v="44"/>
    <s v="Combined Heat and Power, Electric Power"/>
    <x v="4"/>
    <n v="5983563"/>
  </r>
  <r>
    <x v="11"/>
    <x v="44"/>
    <s v="Combined Heat and Power, Electric Power"/>
    <x v="6"/>
    <n v="1723243"/>
  </r>
  <r>
    <x v="11"/>
    <x v="44"/>
    <s v="Combined Heat and Power, Commercial Power"/>
    <x v="0"/>
    <n v="7415945"/>
  </r>
  <r>
    <x v="11"/>
    <x v="44"/>
    <s v="Combined Heat and Power, Commercial Power"/>
    <x v="1"/>
    <n v="995160"/>
  </r>
  <r>
    <x v="11"/>
    <x v="44"/>
    <s v="Combined Heat and Power, Commercial Power"/>
    <x v="2"/>
    <n v="66484"/>
  </r>
  <r>
    <x v="11"/>
    <x v="44"/>
    <s v="Combined Heat and Power, Commercial Power"/>
    <x v="3"/>
    <n v="4434315"/>
  </r>
  <r>
    <x v="11"/>
    <x v="44"/>
    <s v="Combined Heat and Power, Commercial Power"/>
    <x v="12"/>
    <n v="456698"/>
  </r>
  <r>
    <x v="11"/>
    <x v="44"/>
    <s v="Combined Heat and Power, Commercial Power"/>
    <x v="8"/>
    <n v="1007326"/>
  </r>
  <r>
    <x v="11"/>
    <x v="44"/>
    <s v="Combined Heat and Power, Commercial Power"/>
    <x v="9"/>
    <n v="6"/>
  </r>
  <r>
    <x v="11"/>
    <x v="44"/>
    <s v="Combined Heat and Power, Commercial Power"/>
    <x v="4"/>
    <n v="438330"/>
  </r>
  <r>
    <x v="11"/>
    <x v="44"/>
    <s v="Combined Heat and Power, Commercial Power"/>
    <x v="6"/>
    <n v="17626"/>
  </r>
  <r>
    <x v="11"/>
    <x v="45"/>
    <s v="Total Electric Power Industry"/>
    <x v="0"/>
    <n v="35853750"/>
  </r>
  <r>
    <x v="11"/>
    <x v="45"/>
    <s v="Total Electric Power Industry"/>
    <x v="1"/>
    <n v="33679308"/>
  </r>
  <r>
    <x v="11"/>
    <x v="45"/>
    <s v="Total Electric Power Industry"/>
    <x v="11"/>
    <n v="152742"/>
  </r>
  <r>
    <x v="11"/>
    <x v="45"/>
    <s v="Total Electric Power Industry"/>
    <x v="2"/>
    <n v="508405"/>
  </r>
  <r>
    <x v="11"/>
    <x v="45"/>
    <s v="Total Electric Power Industry"/>
    <x v="3"/>
    <n v="1446077"/>
  </r>
  <r>
    <x v="11"/>
    <x v="45"/>
    <s v="Total Electric Power Industry"/>
    <x v="12"/>
    <n v="4146"/>
  </r>
  <r>
    <x v="11"/>
    <x v="45"/>
    <s v="Total Electric Power Industry"/>
    <x v="8"/>
    <n v="5496"/>
  </r>
  <r>
    <x v="11"/>
    <x v="45"/>
    <s v="Total Electric Power Industry"/>
    <x v="4"/>
    <n v="57576"/>
  </r>
  <r>
    <x v="11"/>
    <x v="45"/>
    <s v="Electric Generators, Independent Power Producers"/>
    <x v="0"/>
    <n v="395584"/>
  </r>
  <r>
    <x v="11"/>
    <x v="45"/>
    <s v="Electric Generators, Independent Power Producers"/>
    <x v="1"/>
    <n v="387382"/>
  </r>
  <r>
    <x v="11"/>
    <x v="45"/>
    <s v="Electric Generators, Independent Power Producers"/>
    <x v="2"/>
    <n v="8202"/>
  </r>
  <r>
    <x v="11"/>
    <x v="45"/>
    <s v="Electric Generators, Electric Utilities"/>
    <x v="0"/>
    <n v="35138801"/>
  </r>
  <r>
    <x v="11"/>
    <x v="45"/>
    <s v="Electric Generators, Electric Utilities"/>
    <x v="1"/>
    <n v="33204340"/>
  </r>
  <r>
    <x v="11"/>
    <x v="45"/>
    <s v="Electric Generators, Electric Utilities"/>
    <x v="11"/>
    <n v="152742"/>
  </r>
  <r>
    <x v="11"/>
    <x v="45"/>
    <s v="Electric Generators, Electric Utilities"/>
    <x v="2"/>
    <n v="500203"/>
  </r>
  <r>
    <x v="11"/>
    <x v="45"/>
    <s v="Electric Generators, Electric Utilities"/>
    <x v="3"/>
    <n v="1223978"/>
  </r>
  <r>
    <x v="11"/>
    <x v="45"/>
    <s v="Electric Generators, Electric Utilities"/>
    <x v="4"/>
    <n v="57538"/>
  </r>
  <r>
    <x v="11"/>
    <x v="45"/>
    <s v="Combined Heat and Power, Industrial Power"/>
    <x v="0"/>
    <n v="288721"/>
  </r>
  <r>
    <x v="11"/>
    <x v="45"/>
    <s v="Combined Heat and Power, Industrial Power"/>
    <x v="1"/>
    <n v="87586"/>
  </r>
  <r>
    <x v="11"/>
    <x v="45"/>
    <s v="Combined Heat and Power, Industrial Power"/>
    <x v="3"/>
    <n v="201135"/>
  </r>
  <r>
    <x v="11"/>
    <x v="45"/>
    <s v="Combined Heat and Power, Electric Power"/>
    <x v="0"/>
    <n v="9680"/>
  </r>
  <r>
    <x v="11"/>
    <x v="45"/>
    <s v="Combined Heat and Power, Electric Power"/>
    <x v="12"/>
    <n v="4146"/>
  </r>
  <r>
    <x v="11"/>
    <x v="45"/>
    <s v="Combined Heat and Power, Electric Power"/>
    <x v="8"/>
    <n v="5496"/>
  </r>
  <r>
    <x v="11"/>
    <x v="45"/>
    <s v="Combined Heat and Power, Electric Power"/>
    <x v="4"/>
    <n v="38"/>
  </r>
  <r>
    <x v="11"/>
    <x v="45"/>
    <s v="Combined Heat and Power, Commercial Power"/>
    <x v="0"/>
    <n v="20964"/>
  </r>
  <r>
    <x v="11"/>
    <x v="45"/>
    <s v="Combined Heat and Power, Commercial Power"/>
    <x v="3"/>
    <n v="20964"/>
  </r>
  <r>
    <x v="11"/>
    <x v="46"/>
    <s v="Total Electric Power Industry"/>
    <x v="0"/>
    <n v="74104750"/>
  </r>
  <r>
    <x v="11"/>
    <x v="46"/>
    <s v="Total Electric Power Industry"/>
    <x v="1"/>
    <n v="37769911"/>
  </r>
  <r>
    <x v="11"/>
    <x v="46"/>
    <s v="Total Electric Power Industry"/>
    <x v="2"/>
    <n v="1014224"/>
  </r>
  <r>
    <x v="11"/>
    <x v="46"/>
    <s v="Total Electric Power Industry"/>
    <x v="3"/>
    <n v="4196071"/>
  </r>
  <r>
    <x v="11"/>
    <x v="46"/>
    <s v="Total Electric Power Industry"/>
    <x v="7"/>
    <n v="25759130"/>
  </r>
  <r>
    <x v="11"/>
    <x v="46"/>
    <s v="Total Electric Power Industry"/>
    <x v="12"/>
    <n v="396806"/>
  </r>
  <r>
    <x v="11"/>
    <x v="46"/>
    <s v="Total Electric Power Industry"/>
    <x v="8"/>
    <n v="598969"/>
  </r>
  <r>
    <x v="11"/>
    <x v="46"/>
    <s v="Total Electric Power Industry"/>
    <x v="9"/>
    <n v="0"/>
  </r>
  <r>
    <x v="11"/>
    <x v="46"/>
    <s v="Total Electric Power Industry"/>
    <x v="4"/>
    <n v="5461613"/>
  </r>
  <r>
    <x v="11"/>
    <x v="46"/>
    <s v="Total Electric Power Industry"/>
    <x v="10"/>
    <n v="-2240077"/>
  </r>
  <r>
    <x v="11"/>
    <x v="46"/>
    <s v="Total Electric Power Industry"/>
    <x v="13"/>
    <n v="0"/>
  </r>
  <r>
    <x v="11"/>
    <x v="46"/>
    <s v="Total Electric Power Industry"/>
    <x v="6"/>
    <n v="1148103"/>
  </r>
  <r>
    <x v="11"/>
    <x v="46"/>
    <s v="Electric Generators, Independent Power Producers"/>
    <x v="0"/>
    <n v="4696904"/>
  </r>
  <r>
    <x v="11"/>
    <x v="46"/>
    <s v="Electric Generators, Independent Power Producers"/>
    <x v="1"/>
    <n v="2176225"/>
  </r>
  <r>
    <x v="11"/>
    <x v="46"/>
    <s v="Electric Generators, Independent Power Producers"/>
    <x v="2"/>
    <n v="39330"/>
  </r>
  <r>
    <x v="11"/>
    <x v="46"/>
    <s v="Electric Generators, Independent Power Producers"/>
    <x v="3"/>
    <n v="1458765"/>
  </r>
  <r>
    <x v="11"/>
    <x v="46"/>
    <s v="Electric Generators, Independent Power Producers"/>
    <x v="12"/>
    <n v="256562"/>
  </r>
  <r>
    <x v="11"/>
    <x v="46"/>
    <s v="Electric Generators, Independent Power Producers"/>
    <x v="8"/>
    <n v="402654"/>
  </r>
  <r>
    <x v="11"/>
    <x v="46"/>
    <s v="Electric Generators, Independent Power Producers"/>
    <x v="4"/>
    <n v="361113"/>
  </r>
  <r>
    <x v="11"/>
    <x v="46"/>
    <s v="Electric Generators, Independent Power Producers"/>
    <x v="6"/>
    <n v="2255"/>
  </r>
  <r>
    <x v="11"/>
    <x v="46"/>
    <s v="Electric Generators, Electric Utilities"/>
    <x v="0"/>
    <n v="62135492"/>
  </r>
  <r>
    <x v="11"/>
    <x v="46"/>
    <s v="Electric Generators, Electric Utilities"/>
    <x v="1"/>
    <n v="30657436"/>
  </r>
  <r>
    <x v="11"/>
    <x v="46"/>
    <s v="Electric Generators, Electric Utilities"/>
    <x v="2"/>
    <n v="973563"/>
  </r>
  <r>
    <x v="11"/>
    <x v="46"/>
    <s v="Electric Generators, Electric Utilities"/>
    <x v="3"/>
    <n v="2130640"/>
  </r>
  <r>
    <x v="11"/>
    <x v="46"/>
    <s v="Electric Generators, Electric Utilities"/>
    <x v="7"/>
    <n v="25759130"/>
  </r>
  <r>
    <x v="11"/>
    <x v="46"/>
    <s v="Electric Generators, Electric Utilities"/>
    <x v="9"/>
    <n v="0"/>
  </r>
  <r>
    <x v="11"/>
    <x v="46"/>
    <s v="Electric Generators, Electric Utilities"/>
    <x v="4"/>
    <n v="4854800"/>
  </r>
  <r>
    <x v="11"/>
    <x v="46"/>
    <s v="Electric Generators, Electric Utilities"/>
    <x v="10"/>
    <n v="-2240077"/>
  </r>
  <r>
    <x v="11"/>
    <x v="46"/>
    <s v="Electric Generators, Electric Utilities"/>
    <x v="13"/>
    <n v="0"/>
  </r>
  <r>
    <x v="11"/>
    <x v="46"/>
    <s v="Electric Generators, Electric Utilities"/>
    <x v="6"/>
    <n v="0"/>
  </r>
  <r>
    <x v="11"/>
    <x v="46"/>
    <s v="Combined Heat and Power, Industrial Power"/>
    <x v="0"/>
    <n v="2164303"/>
  </r>
  <r>
    <x v="11"/>
    <x v="46"/>
    <s v="Combined Heat and Power, Industrial Power"/>
    <x v="1"/>
    <n v="736144"/>
  </r>
  <r>
    <x v="11"/>
    <x v="46"/>
    <s v="Combined Heat and Power, Industrial Power"/>
    <x v="2"/>
    <n v="1331"/>
  </r>
  <r>
    <x v="11"/>
    <x v="46"/>
    <s v="Combined Heat and Power, Industrial Power"/>
    <x v="3"/>
    <n v="138085"/>
  </r>
  <r>
    <x v="11"/>
    <x v="46"/>
    <s v="Combined Heat and Power, Industrial Power"/>
    <x v="12"/>
    <n v="2960"/>
  </r>
  <r>
    <x v="11"/>
    <x v="46"/>
    <s v="Combined Heat and Power, Industrial Power"/>
    <x v="8"/>
    <n v="1938"/>
  </r>
  <r>
    <x v="11"/>
    <x v="46"/>
    <s v="Combined Heat and Power, Industrial Power"/>
    <x v="4"/>
    <n v="140759"/>
  </r>
  <r>
    <x v="11"/>
    <x v="46"/>
    <s v="Combined Heat and Power, Industrial Power"/>
    <x v="6"/>
    <n v="1143086"/>
  </r>
  <r>
    <x v="11"/>
    <x v="46"/>
    <s v="Combined Heat and Power, Electric Power"/>
    <x v="0"/>
    <n v="4593146"/>
  </r>
  <r>
    <x v="11"/>
    <x v="46"/>
    <s v="Combined Heat and Power, Electric Power"/>
    <x v="1"/>
    <n v="4194375"/>
  </r>
  <r>
    <x v="11"/>
    <x v="46"/>
    <s v="Combined Heat and Power, Electric Power"/>
    <x v="3"/>
    <n v="341834"/>
  </r>
  <r>
    <x v="11"/>
    <x v="46"/>
    <s v="Combined Heat and Power, Electric Power"/>
    <x v="8"/>
    <n v="12395"/>
  </r>
  <r>
    <x v="11"/>
    <x v="46"/>
    <s v="Combined Heat and Power, Electric Power"/>
    <x v="4"/>
    <n v="41780"/>
  </r>
  <r>
    <x v="11"/>
    <x v="46"/>
    <s v="Combined Heat and Power, Electric Power"/>
    <x v="6"/>
    <n v="2762"/>
  </r>
  <r>
    <x v="11"/>
    <x v="46"/>
    <s v="Combined Heat and Power, Commercial Power"/>
    <x v="0"/>
    <n v="514905"/>
  </r>
  <r>
    <x v="11"/>
    <x v="46"/>
    <s v="Combined Heat and Power, Commercial Power"/>
    <x v="1"/>
    <n v="5731"/>
  </r>
  <r>
    <x v="11"/>
    <x v="46"/>
    <s v="Combined Heat and Power, Commercial Power"/>
    <x v="3"/>
    <n v="126747"/>
  </r>
  <r>
    <x v="11"/>
    <x v="46"/>
    <s v="Combined Heat and Power, Commercial Power"/>
    <x v="12"/>
    <n v="137284"/>
  </r>
  <r>
    <x v="11"/>
    <x v="46"/>
    <s v="Combined Heat and Power, Commercial Power"/>
    <x v="8"/>
    <n v="181982"/>
  </r>
  <r>
    <x v="11"/>
    <x v="46"/>
    <s v="Combined Heat and Power, Commercial Power"/>
    <x v="4"/>
    <n v="63161"/>
  </r>
  <r>
    <x v="11"/>
    <x v="47"/>
    <s v="Total Electric Power Industry"/>
    <x v="0"/>
    <n v="5480614"/>
  </r>
  <r>
    <x v="11"/>
    <x v="47"/>
    <s v="Total Electric Power Industry"/>
    <x v="2"/>
    <n v="884213"/>
  </r>
  <r>
    <x v="11"/>
    <x v="47"/>
    <s v="Total Electric Power Industry"/>
    <x v="3"/>
    <n v="11000"/>
  </r>
  <r>
    <x v="11"/>
    <x v="47"/>
    <s v="Total Electric Power Industry"/>
    <x v="7"/>
    <n v="4171120"/>
  </r>
  <r>
    <x v="11"/>
    <x v="47"/>
    <s v="Total Electric Power Industry"/>
    <x v="4"/>
    <n v="31740"/>
  </r>
  <r>
    <x v="11"/>
    <x v="47"/>
    <s v="Total Electric Power Industry"/>
    <x v="5"/>
    <n v="12133"/>
  </r>
  <r>
    <x v="11"/>
    <x v="47"/>
    <s v="Total Electric Power Industry"/>
    <x v="6"/>
    <n v="370408"/>
  </r>
  <r>
    <x v="11"/>
    <x v="47"/>
    <s v="Electric Generators, Independent Power Producers"/>
    <x v="0"/>
    <n v="711347"/>
  </r>
  <r>
    <x v="11"/>
    <x v="47"/>
    <s v="Electric Generators, Independent Power Producers"/>
    <x v="2"/>
    <n v="537609"/>
  </r>
  <r>
    <x v="11"/>
    <x v="47"/>
    <s v="Electric Generators, Independent Power Producers"/>
    <x v="7"/>
    <n v="0"/>
  </r>
  <r>
    <x v="11"/>
    <x v="47"/>
    <s v="Electric Generators, Independent Power Producers"/>
    <x v="6"/>
    <n v="173738"/>
  </r>
  <r>
    <x v="11"/>
    <x v="47"/>
    <s v="Electric Generators, Electric Utilities"/>
    <x v="0"/>
    <n v="4734002"/>
  </r>
  <r>
    <x v="11"/>
    <x v="47"/>
    <s v="Electric Generators, Electric Utilities"/>
    <x v="2"/>
    <n v="330674"/>
  </r>
  <r>
    <x v="11"/>
    <x v="47"/>
    <s v="Electric Generators, Electric Utilities"/>
    <x v="3"/>
    <n v="11000"/>
  </r>
  <r>
    <x v="11"/>
    <x v="47"/>
    <s v="Electric Generators, Electric Utilities"/>
    <x v="7"/>
    <n v="4171120"/>
  </r>
  <r>
    <x v="11"/>
    <x v="47"/>
    <s v="Electric Generators, Electric Utilities"/>
    <x v="4"/>
    <n v="31740"/>
  </r>
  <r>
    <x v="11"/>
    <x v="47"/>
    <s v="Electric Generators, Electric Utilities"/>
    <x v="5"/>
    <n v="12133"/>
  </r>
  <r>
    <x v="11"/>
    <x v="47"/>
    <s v="Electric Generators, Electric Utilities"/>
    <x v="6"/>
    <n v="177335"/>
  </r>
  <r>
    <x v="11"/>
    <x v="47"/>
    <s v="Combined Heat and Power, Industrial Power"/>
    <x v="0"/>
    <n v="35265"/>
  </r>
  <r>
    <x v="11"/>
    <x v="47"/>
    <s v="Combined Heat and Power, Industrial Power"/>
    <x v="2"/>
    <n v="15930"/>
  </r>
  <r>
    <x v="11"/>
    <x v="47"/>
    <s v="Combined Heat and Power, Industrial Power"/>
    <x v="6"/>
    <n v="19335"/>
  </r>
  <r>
    <x v="11"/>
    <x v="48"/>
    <s v="Total Electric Power Industry"/>
    <x v="0"/>
    <n v="83048669"/>
  </r>
  <r>
    <x v="11"/>
    <x v="48"/>
    <s v="Total Electric Power Industry"/>
    <x v="1"/>
    <n v="9082358"/>
  </r>
  <r>
    <x v="11"/>
    <x v="48"/>
    <s v="Total Electric Power Industry"/>
    <x v="2"/>
    <n v="54733895"/>
  </r>
  <r>
    <x v="11"/>
    <x v="48"/>
    <s v="Total Electric Power Industry"/>
    <x v="3"/>
    <n v="9374245"/>
  </r>
  <r>
    <x v="11"/>
    <x v="48"/>
    <s v="Total Electric Power Industry"/>
    <x v="7"/>
    <n v="8250429"/>
  </r>
  <r>
    <x v="11"/>
    <x v="48"/>
    <s v="Total Electric Power Industry"/>
    <x v="12"/>
    <n v="66052"/>
  </r>
  <r>
    <x v="11"/>
    <x v="48"/>
    <s v="Total Electric Power Industry"/>
    <x v="8"/>
    <n v="156236"/>
  </r>
  <r>
    <x v="11"/>
    <x v="48"/>
    <s v="Total Electric Power Industry"/>
    <x v="4"/>
    <n v="320359"/>
  </r>
  <r>
    <x v="11"/>
    <x v="48"/>
    <s v="Total Electric Power Industry"/>
    <x v="6"/>
    <n v="1065095"/>
  </r>
  <r>
    <x v="11"/>
    <x v="48"/>
    <s v="Electric Generators, Independent Power Producers"/>
    <x v="0"/>
    <n v="9453576"/>
  </r>
  <r>
    <x v="11"/>
    <x v="48"/>
    <s v="Electric Generators, Independent Power Producers"/>
    <x v="1"/>
    <n v="9042666"/>
  </r>
  <r>
    <x v="11"/>
    <x v="48"/>
    <s v="Electric Generators, Independent Power Producers"/>
    <x v="2"/>
    <n v="156854"/>
  </r>
  <r>
    <x v="11"/>
    <x v="48"/>
    <s v="Electric Generators, Independent Power Producers"/>
    <x v="3"/>
    <n v="354"/>
  </r>
  <r>
    <x v="11"/>
    <x v="48"/>
    <s v="Electric Generators, Independent Power Producers"/>
    <x v="12"/>
    <n v="66052"/>
  </r>
  <r>
    <x v="11"/>
    <x v="48"/>
    <s v="Electric Generators, Independent Power Producers"/>
    <x v="8"/>
    <n v="127149"/>
  </r>
  <r>
    <x v="11"/>
    <x v="48"/>
    <s v="Electric Generators, Independent Power Producers"/>
    <x v="4"/>
    <n v="18020"/>
  </r>
  <r>
    <x v="11"/>
    <x v="48"/>
    <s v="Electric Generators, Independent Power Producers"/>
    <x v="6"/>
    <n v="42481"/>
  </r>
  <r>
    <x v="11"/>
    <x v="48"/>
    <s v="Electric Generators, Electric Utilities"/>
    <x v="0"/>
    <n v="67683216"/>
  </r>
  <r>
    <x v="11"/>
    <x v="48"/>
    <s v="Electric Generators, Electric Utilities"/>
    <x v="2"/>
    <n v="54517234"/>
  </r>
  <r>
    <x v="11"/>
    <x v="48"/>
    <s v="Electric Generators, Electric Utilities"/>
    <x v="3"/>
    <n v="4378072"/>
  </r>
  <r>
    <x v="11"/>
    <x v="48"/>
    <s v="Electric Generators, Electric Utilities"/>
    <x v="7"/>
    <n v="8250429"/>
  </r>
  <r>
    <x v="11"/>
    <x v="48"/>
    <s v="Electric Generators, Electric Utilities"/>
    <x v="4"/>
    <n v="179120"/>
  </r>
  <r>
    <x v="11"/>
    <x v="48"/>
    <s v="Electric Generators, Electric Utilities"/>
    <x v="6"/>
    <n v="358361"/>
  </r>
  <r>
    <x v="11"/>
    <x v="48"/>
    <s v="Combined Heat and Power, Industrial Power"/>
    <x v="0"/>
    <n v="1346770"/>
  </r>
  <r>
    <x v="11"/>
    <x v="48"/>
    <s v="Combined Heat and Power, Industrial Power"/>
    <x v="1"/>
    <n v="33136"/>
  </r>
  <r>
    <x v="11"/>
    <x v="48"/>
    <s v="Combined Heat and Power, Industrial Power"/>
    <x v="2"/>
    <n v="2513"/>
  </r>
  <r>
    <x v="11"/>
    <x v="48"/>
    <s v="Combined Heat and Power, Industrial Power"/>
    <x v="3"/>
    <n v="585060"/>
  </r>
  <r>
    <x v="11"/>
    <x v="48"/>
    <s v="Combined Heat and Power, Industrial Power"/>
    <x v="8"/>
    <n v="17171"/>
  </r>
  <r>
    <x v="11"/>
    <x v="48"/>
    <s v="Combined Heat and Power, Industrial Power"/>
    <x v="4"/>
    <n v="44637"/>
  </r>
  <r>
    <x v="11"/>
    <x v="48"/>
    <s v="Combined Heat and Power, Industrial Power"/>
    <x v="6"/>
    <n v="664253"/>
  </r>
  <r>
    <x v="11"/>
    <x v="48"/>
    <s v="Combined Heat and Power, Electric Power"/>
    <x v="0"/>
    <n v="4427127"/>
  </r>
  <r>
    <x v="11"/>
    <x v="48"/>
    <s v="Combined Heat and Power, Electric Power"/>
    <x v="3"/>
    <n v="4336688"/>
  </r>
  <r>
    <x v="11"/>
    <x v="48"/>
    <s v="Combined Heat and Power, Electric Power"/>
    <x v="8"/>
    <n v="11916"/>
  </r>
  <r>
    <x v="11"/>
    <x v="48"/>
    <s v="Combined Heat and Power, Electric Power"/>
    <x v="4"/>
    <n v="78523"/>
  </r>
  <r>
    <x v="11"/>
    <x v="48"/>
    <s v="Combined Heat and Power, Commercial Power"/>
    <x v="0"/>
    <n v="137980"/>
  </r>
  <r>
    <x v="11"/>
    <x v="48"/>
    <s v="Combined Heat and Power, Commercial Power"/>
    <x v="1"/>
    <n v="6556"/>
  </r>
  <r>
    <x v="11"/>
    <x v="48"/>
    <s v="Combined Heat and Power, Commercial Power"/>
    <x v="2"/>
    <n v="57294"/>
  </r>
  <r>
    <x v="11"/>
    <x v="48"/>
    <s v="Combined Heat and Power, Commercial Power"/>
    <x v="3"/>
    <n v="74071"/>
  </r>
  <r>
    <x v="11"/>
    <x v="48"/>
    <s v="Combined Heat and Power, Commercial Power"/>
    <x v="4"/>
    <n v="59"/>
  </r>
  <r>
    <x v="11"/>
    <x v="49"/>
    <s v="Total Electric Power Industry"/>
    <x v="0"/>
    <n v="58763431"/>
  </r>
  <r>
    <x v="11"/>
    <x v="49"/>
    <s v="Total Electric Power Industry"/>
    <x v="1"/>
    <n v="41253456"/>
  </r>
  <r>
    <x v="11"/>
    <x v="49"/>
    <s v="Total Electric Power Industry"/>
    <x v="2"/>
    <n v="2056244"/>
  </r>
  <r>
    <x v="11"/>
    <x v="49"/>
    <s v="Total Electric Power Industry"/>
    <x v="3"/>
    <n v="2233965"/>
  </r>
  <r>
    <x v="11"/>
    <x v="49"/>
    <s v="Total Electric Power Industry"/>
    <x v="7"/>
    <n v="11507078"/>
  </r>
  <r>
    <x v="11"/>
    <x v="49"/>
    <s v="Total Electric Power Industry"/>
    <x v="12"/>
    <n v="162695"/>
  </r>
  <r>
    <x v="11"/>
    <x v="49"/>
    <s v="Total Electric Power Industry"/>
    <x v="8"/>
    <n v="324576"/>
  </r>
  <r>
    <x v="11"/>
    <x v="49"/>
    <s v="Total Electric Power Industry"/>
    <x v="4"/>
    <n v="447783"/>
  </r>
  <r>
    <x v="11"/>
    <x v="49"/>
    <s v="Total Electric Power Industry"/>
    <x v="5"/>
    <n v="72284"/>
  </r>
  <r>
    <x v="11"/>
    <x v="49"/>
    <s v="Total Electric Power Industry"/>
    <x v="6"/>
    <n v="705350"/>
  </r>
  <r>
    <x v="11"/>
    <x v="49"/>
    <s v="Electric Generators, Independent Power Producers"/>
    <x v="0"/>
    <n v="774837"/>
  </r>
  <r>
    <x v="11"/>
    <x v="49"/>
    <s v="Electric Generators, Independent Power Producers"/>
    <x v="1"/>
    <n v="33308"/>
  </r>
  <r>
    <x v="11"/>
    <x v="49"/>
    <s v="Electric Generators, Independent Power Producers"/>
    <x v="2"/>
    <n v="12408"/>
  </r>
  <r>
    <x v="11"/>
    <x v="49"/>
    <s v="Electric Generators, Independent Power Producers"/>
    <x v="3"/>
    <n v="518827"/>
  </r>
  <r>
    <x v="11"/>
    <x v="49"/>
    <s v="Electric Generators, Independent Power Producers"/>
    <x v="8"/>
    <n v="175613"/>
  </r>
  <r>
    <x v="11"/>
    <x v="49"/>
    <s v="Electric Generators, Independent Power Producers"/>
    <x v="4"/>
    <n v="6161"/>
  </r>
  <r>
    <x v="11"/>
    <x v="49"/>
    <s v="Electric Generators, Independent Power Producers"/>
    <x v="5"/>
    <n v="28520"/>
  </r>
  <r>
    <x v="11"/>
    <x v="49"/>
    <s v="Electric Generators, Electric Utilities"/>
    <x v="0"/>
    <n v="54959426"/>
  </r>
  <r>
    <x v="11"/>
    <x v="49"/>
    <s v="Electric Generators, Electric Utilities"/>
    <x v="1"/>
    <n v="40185649"/>
  </r>
  <r>
    <x v="11"/>
    <x v="49"/>
    <s v="Electric Generators, Electric Utilities"/>
    <x v="2"/>
    <n v="1887555"/>
  </r>
  <r>
    <x v="11"/>
    <x v="49"/>
    <s v="Electric Generators, Electric Utilities"/>
    <x v="3"/>
    <n v="868225"/>
  </r>
  <r>
    <x v="11"/>
    <x v="49"/>
    <s v="Electric Generators, Electric Utilities"/>
    <x v="7"/>
    <n v="11507078"/>
  </r>
  <r>
    <x v="11"/>
    <x v="49"/>
    <s v="Electric Generators, Electric Utilities"/>
    <x v="12"/>
    <n v="159963"/>
  </r>
  <r>
    <x v="11"/>
    <x v="49"/>
    <s v="Electric Generators, Electric Utilities"/>
    <x v="8"/>
    <n v="113676"/>
  </r>
  <r>
    <x v="11"/>
    <x v="49"/>
    <s v="Electric Generators, Electric Utilities"/>
    <x v="4"/>
    <n v="170443"/>
  </r>
  <r>
    <x v="11"/>
    <x v="49"/>
    <s v="Electric Generators, Electric Utilities"/>
    <x v="5"/>
    <n v="43764"/>
  </r>
  <r>
    <x v="11"/>
    <x v="49"/>
    <s v="Electric Generators, Electric Utilities"/>
    <x v="6"/>
    <n v="23073"/>
  </r>
  <r>
    <x v="11"/>
    <x v="49"/>
    <s v="Combined Heat and Power, Industrial Power"/>
    <x v="0"/>
    <n v="2312972"/>
  </r>
  <r>
    <x v="11"/>
    <x v="49"/>
    <s v="Combined Heat and Power, Industrial Power"/>
    <x v="1"/>
    <n v="990675"/>
  </r>
  <r>
    <x v="11"/>
    <x v="49"/>
    <s v="Combined Heat and Power, Industrial Power"/>
    <x v="2"/>
    <n v="152270"/>
  </r>
  <r>
    <x v="11"/>
    <x v="49"/>
    <s v="Combined Heat and Power, Industrial Power"/>
    <x v="3"/>
    <n v="221771"/>
  </r>
  <r>
    <x v="11"/>
    <x v="49"/>
    <s v="Combined Heat and Power, Industrial Power"/>
    <x v="12"/>
    <n v="0"/>
  </r>
  <r>
    <x v="11"/>
    <x v="49"/>
    <s v="Combined Heat and Power, Industrial Power"/>
    <x v="8"/>
    <n v="4482"/>
  </r>
  <r>
    <x v="11"/>
    <x v="49"/>
    <s v="Combined Heat and Power, Industrial Power"/>
    <x v="4"/>
    <n v="262093"/>
  </r>
  <r>
    <x v="11"/>
    <x v="49"/>
    <s v="Combined Heat and Power, Industrial Power"/>
    <x v="6"/>
    <n v="681681"/>
  </r>
  <r>
    <x v="11"/>
    <x v="49"/>
    <s v="Combined Heat and Power, Electric Power"/>
    <x v="0"/>
    <n v="568481"/>
  </r>
  <r>
    <x v="11"/>
    <x v="49"/>
    <s v="Combined Heat and Power, Electric Power"/>
    <x v="3"/>
    <n v="556995"/>
  </r>
  <r>
    <x v="11"/>
    <x v="49"/>
    <s v="Combined Heat and Power, Electric Power"/>
    <x v="8"/>
    <n v="11486"/>
  </r>
  <r>
    <x v="11"/>
    <x v="49"/>
    <s v="Combined Heat and Power, Electric Power"/>
    <x v="4"/>
    <n v="0"/>
  </r>
  <r>
    <x v="11"/>
    <x v="49"/>
    <s v="Combined Heat and Power, Commercial Power"/>
    <x v="0"/>
    <n v="147715"/>
  </r>
  <r>
    <x v="11"/>
    <x v="49"/>
    <s v="Combined Heat and Power, Commercial Power"/>
    <x v="1"/>
    <n v="43824"/>
  </r>
  <r>
    <x v="11"/>
    <x v="49"/>
    <s v="Combined Heat and Power, Commercial Power"/>
    <x v="2"/>
    <n v="4011"/>
  </r>
  <r>
    <x v="11"/>
    <x v="49"/>
    <s v="Combined Heat and Power, Commercial Power"/>
    <x v="3"/>
    <n v="68147"/>
  </r>
  <r>
    <x v="11"/>
    <x v="49"/>
    <s v="Combined Heat and Power, Commercial Power"/>
    <x v="12"/>
    <n v="2732"/>
  </r>
  <r>
    <x v="11"/>
    <x v="49"/>
    <s v="Combined Heat and Power, Commercial Power"/>
    <x v="8"/>
    <n v="19319"/>
  </r>
  <r>
    <x v="11"/>
    <x v="49"/>
    <s v="Combined Heat and Power, Commercial Power"/>
    <x v="4"/>
    <n v="9086"/>
  </r>
  <r>
    <x v="11"/>
    <x v="49"/>
    <s v="Combined Heat and Power, Commercial Power"/>
    <x v="6"/>
    <n v="596"/>
  </r>
  <r>
    <x v="11"/>
    <x v="50"/>
    <s v="Total Electric Power Industry"/>
    <x v="0"/>
    <n v="81836725"/>
  </r>
  <r>
    <x v="11"/>
    <x v="50"/>
    <s v="Total Electric Power Industry"/>
    <x v="1"/>
    <n v="80214404"/>
  </r>
  <r>
    <x v="11"/>
    <x v="50"/>
    <s v="Total Electric Power Industry"/>
    <x v="2"/>
    <n v="951943"/>
  </r>
  <r>
    <x v="11"/>
    <x v="50"/>
    <s v="Total Electric Power Industry"/>
    <x v="3"/>
    <n v="275865"/>
  </r>
  <r>
    <x v="11"/>
    <x v="50"/>
    <s v="Total Electric Power Industry"/>
    <x v="12"/>
    <n v="10810"/>
  </r>
  <r>
    <x v="11"/>
    <x v="50"/>
    <s v="Total Electric Power Industry"/>
    <x v="8"/>
    <n v="14329"/>
  </r>
  <r>
    <x v="11"/>
    <x v="50"/>
    <s v="Total Electric Power Industry"/>
    <x v="9"/>
    <n v="89500"/>
  </r>
  <r>
    <x v="11"/>
    <x v="50"/>
    <s v="Total Electric Power Industry"/>
    <x v="4"/>
    <n v="278676"/>
  </r>
  <r>
    <x v="11"/>
    <x v="50"/>
    <s v="Total Electric Power Industry"/>
    <x v="6"/>
    <n v="1198"/>
  </r>
  <r>
    <x v="11"/>
    <x v="50"/>
    <s v="Electric Generators, Independent Power Producers"/>
    <x v="0"/>
    <n v="28457588"/>
  </r>
  <r>
    <x v="11"/>
    <x v="50"/>
    <s v="Electric Generators, Independent Power Producers"/>
    <x v="1"/>
    <n v="27937685"/>
  </r>
  <r>
    <x v="11"/>
    <x v="50"/>
    <s v="Electric Generators, Independent Power Producers"/>
    <x v="2"/>
    <n v="302348"/>
  </r>
  <r>
    <x v="11"/>
    <x v="50"/>
    <s v="Electric Generators, Independent Power Producers"/>
    <x v="3"/>
    <n v="196121"/>
  </r>
  <r>
    <x v="11"/>
    <x v="50"/>
    <s v="Electric Generators, Independent Power Producers"/>
    <x v="4"/>
    <n v="21434"/>
  </r>
  <r>
    <x v="11"/>
    <x v="50"/>
    <s v="Electric Generators, Electric Utilities"/>
    <x v="0"/>
    <n v="51608803"/>
  </r>
  <r>
    <x v="11"/>
    <x v="50"/>
    <s v="Electric Generators, Electric Utilities"/>
    <x v="1"/>
    <n v="51110900"/>
  </r>
  <r>
    <x v="11"/>
    <x v="50"/>
    <s v="Electric Generators, Electric Utilities"/>
    <x v="2"/>
    <n v="210961"/>
  </r>
  <r>
    <x v="11"/>
    <x v="50"/>
    <s v="Electric Generators, Electric Utilities"/>
    <x v="3"/>
    <n v="3654"/>
  </r>
  <r>
    <x v="11"/>
    <x v="50"/>
    <s v="Electric Generators, Electric Utilities"/>
    <x v="12"/>
    <n v="10810"/>
  </r>
  <r>
    <x v="11"/>
    <x v="50"/>
    <s v="Electric Generators, Electric Utilities"/>
    <x v="8"/>
    <n v="14329"/>
  </r>
  <r>
    <x v="11"/>
    <x v="50"/>
    <s v="Electric Generators, Electric Utilities"/>
    <x v="4"/>
    <n v="256951"/>
  </r>
  <r>
    <x v="11"/>
    <x v="50"/>
    <s v="Electric Generators, Electric Utilities"/>
    <x v="6"/>
    <n v="1198"/>
  </r>
  <r>
    <x v="11"/>
    <x v="50"/>
    <s v="Combined Heat and Power, Industrial Power"/>
    <x v="0"/>
    <n v="1464105"/>
  </r>
  <r>
    <x v="11"/>
    <x v="50"/>
    <s v="Combined Heat and Power, Industrial Power"/>
    <x v="1"/>
    <n v="859731"/>
  </r>
  <r>
    <x v="11"/>
    <x v="50"/>
    <s v="Combined Heat and Power, Industrial Power"/>
    <x v="2"/>
    <n v="438634"/>
  </r>
  <r>
    <x v="11"/>
    <x v="50"/>
    <s v="Combined Heat and Power, Industrial Power"/>
    <x v="3"/>
    <n v="75949"/>
  </r>
  <r>
    <x v="11"/>
    <x v="50"/>
    <s v="Combined Heat and Power, Industrial Power"/>
    <x v="9"/>
    <n v="89500"/>
  </r>
  <r>
    <x v="11"/>
    <x v="50"/>
    <s v="Combined Heat and Power, Industrial Power"/>
    <x v="4"/>
    <n v="291"/>
  </r>
  <r>
    <x v="11"/>
    <x v="50"/>
    <s v="Combined Heat and Power, Electric Power"/>
    <x v="0"/>
    <n v="306229"/>
  </r>
  <r>
    <x v="11"/>
    <x v="50"/>
    <s v="Combined Heat and Power, Electric Power"/>
    <x v="1"/>
    <n v="306088"/>
  </r>
  <r>
    <x v="11"/>
    <x v="50"/>
    <s v="Combined Heat and Power, Electric Power"/>
    <x v="3"/>
    <n v="141"/>
  </r>
  <r>
    <x v="11"/>
    <x v="51"/>
    <s v="Total Electric Power Industry"/>
    <x v="0"/>
    <n v="44776938"/>
  </r>
  <r>
    <x v="11"/>
    <x v="51"/>
    <s v="Total Electric Power Industry"/>
    <x v="1"/>
    <n v="42789310"/>
  </r>
  <r>
    <x v="11"/>
    <x v="51"/>
    <s v="Total Electric Power Industry"/>
    <x v="2"/>
    <n v="879111"/>
  </r>
  <r>
    <x v="11"/>
    <x v="51"/>
    <s v="Total Electric Power Industry"/>
    <x v="3"/>
    <n v="591842"/>
  </r>
  <r>
    <x v="11"/>
    <x v="51"/>
    <s v="Total Electric Power Industry"/>
    <x v="12"/>
    <n v="107909"/>
  </r>
  <r>
    <x v="11"/>
    <x v="51"/>
    <s v="Total Electric Power Industry"/>
    <x v="9"/>
    <n v="7511"/>
  </r>
  <r>
    <x v="11"/>
    <x v="51"/>
    <s v="Total Electric Power Industry"/>
    <x v="4"/>
    <n v="36096"/>
  </r>
  <r>
    <x v="11"/>
    <x v="51"/>
    <s v="Total Electric Power Industry"/>
    <x v="5"/>
    <n v="365159"/>
  </r>
  <r>
    <x v="11"/>
    <x v="51"/>
    <s v="Electric Generators, Independent Power Producers"/>
    <x v="0"/>
    <n v="348960"/>
  </r>
  <r>
    <x v="11"/>
    <x v="51"/>
    <s v="Electric Generators, Independent Power Producers"/>
    <x v="5"/>
    <n v="348960"/>
  </r>
  <r>
    <x v="11"/>
    <x v="51"/>
    <s v="Electric Generators, Electric Utilities"/>
    <x v="0"/>
    <n v="43764015"/>
  </r>
  <r>
    <x v="11"/>
    <x v="51"/>
    <s v="Electric Generators, Electric Utilities"/>
    <x v="1"/>
    <n v="42560578"/>
  </r>
  <r>
    <x v="11"/>
    <x v="51"/>
    <s v="Electric Generators, Electric Utilities"/>
    <x v="2"/>
    <n v="879111"/>
  </r>
  <r>
    <x v="11"/>
    <x v="51"/>
    <s v="Electric Generators, Electric Utilities"/>
    <x v="3"/>
    <n v="274383"/>
  </r>
  <r>
    <x v="11"/>
    <x v="51"/>
    <s v="Electric Generators, Electric Utilities"/>
    <x v="4"/>
    <n v="33744"/>
  </r>
  <r>
    <x v="11"/>
    <x v="51"/>
    <s v="Electric Generators, Electric Utilities"/>
    <x v="5"/>
    <n v="16199"/>
  </r>
  <r>
    <x v="11"/>
    <x v="51"/>
    <s v="Combined Heat and Power, Industrial Power"/>
    <x v="0"/>
    <n v="663963"/>
  </r>
  <r>
    <x v="11"/>
    <x v="51"/>
    <s v="Combined Heat and Power, Industrial Power"/>
    <x v="1"/>
    <n v="228732"/>
  </r>
  <r>
    <x v="11"/>
    <x v="51"/>
    <s v="Combined Heat and Power, Industrial Power"/>
    <x v="3"/>
    <n v="317459"/>
  </r>
  <r>
    <x v="11"/>
    <x v="51"/>
    <s v="Combined Heat and Power, Industrial Power"/>
    <x v="12"/>
    <n v="107909"/>
  </r>
  <r>
    <x v="11"/>
    <x v="51"/>
    <s v="Combined Heat and Power, Industrial Power"/>
    <x v="9"/>
    <n v="7511"/>
  </r>
  <r>
    <x v="11"/>
    <x v="51"/>
    <s v="Combined Heat and Power, Industrial Power"/>
    <x v="4"/>
    <n v="2352"/>
  </r>
  <r>
    <x v="12"/>
    <x v="0"/>
    <s v="Total Electric Power Industry"/>
    <x v="0"/>
    <n v="6767325"/>
  </r>
  <r>
    <x v="12"/>
    <x v="0"/>
    <s v="Total Electric Power Industry"/>
    <x v="1"/>
    <n v="575288"/>
  </r>
  <r>
    <x v="12"/>
    <x v="0"/>
    <s v="Total Electric Power Industry"/>
    <x v="2"/>
    <n v="1439351"/>
  </r>
  <r>
    <x v="12"/>
    <x v="0"/>
    <s v="Total Electric Power Industry"/>
    <x v="3"/>
    <n v="3778162"/>
  </r>
  <r>
    <x v="12"/>
    <x v="0"/>
    <s v="Total Electric Power Industry"/>
    <x v="8"/>
    <n v="11124"/>
  </r>
  <r>
    <x v="12"/>
    <x v="0"/>
    <s v="Total Electric Power Industry"/>
    <x v="4"/>
    <n v="962369"/>
  </r>
  <r>
    <x v="12"/>
    <x v="0"/>
    <s v="Total Electric Power Industry"/>
    <x v="6"/>
    <n v="1031"/>
  </r>
  <r>
    <x v="12"/>
    <x v="0"/>
    <s v="Electric Generators, Independent Power Producers"/>
    <x v="0"/>
    <n v="0"/>
  </r>
  <r>
    <x v="12"/>
    <x v="0"/>
    <s v="Electric Generators, Independent Power Producers"/>
    <x v="3"/>
    <n v="0"/>
  </r>
  <r>
    <x v="12"/>
    <x v="0"/>
    <s v="Electric Generators, Electric Utilities"/>
    <x v="0"/>
    <n v="5471990"/>
  </r>
  <r>
    <x v="12"/>
    <x v="0"/>
    <s v="Electric Generators, Electric Utilities"/>
    <x v="1"/>
    <n v="204490"/>
  </r>
  <r>
    <x v="12"/>
    <x v="0"/>
    <s v="Electric Generators, Electric Utilities"/>
    <x v="2"/>
    <n v="1439351"/>
  </r>
  <r>
    <x v="12"/>
    <x v="0"/>
    <s v="Electric Generators, Electric Utilities"/>
    <x v="3"/>
    <n v="2952996"/>
  </r>
  <r>
    <x v="12"/>
    <x v="0"/>
    <s v="Electric Generators, Electric Utilities"/>
    <x v="4"/>
    <n v="875153"/>
  </r>
  <r>
    <x v="12"/>
    <x v="0"/>
    <s v="Combined Heat and Power, Industrial Power"/>
    <x v="0"/>
    <n v="895356"/>
  </r>
  <r>
    <x v="12"/>
    <x v="0"/>
    <s v="Combined Heat and Power, Industrial Power"/>
    <x v="3"/>
    <n v="825166"/>
  </r>
  <r>
    <x v="12"/>
    <x v="0"/>
    <s v="Combined Heat and Power, Industrial Power"/>
    <x v="8"/>
    <n v="11124"/>
  </r>
  <r>
    <x v="12"/>
    <x v="0"/>
    <s v="Combined Heat and Power, Industrial Power"/>
    <x v="4"/>
    <n v="59066"/>
  </r>
  <r>
    <x v="12"/>
    <x v="0"/>
    <s v="Combined Heat and Power, Electric Power"/>
    <x v="0"/>
    <n v="243668"/>
  </r>
  <r>
    <x v="12"/>
    <x v="0"/>
    <s v="Combined Heat and Power, Electric Power"/>
    <x v="1"/>
    <n v="240932"/>
  </r>
  <r>
    <x v="12"/>
    <x v="0"/>
    <s v="Combined Heat and Power, Electric Power"/>
    <x v="4"/>
    <n v="1705"/>
  </r>
  <r>
    <x v="12"/>
    <x v="0"/>
    <s v="Combined Heat and Power, Electric Power"/>
    <x v="6"/>
    <n v="1031"/>
  </r>
  <r>
    <x v="12"/>
    <x v="0"/>
    <s v="Combined Heat and Power, Commercial Power"/>
    <x v="0"/>
    <n v="156311"/>
  </r>
  <r>
    <x v="12"/>
    <x v="0"/>
    <s v="Combined Heat and Power, Commercial Power"/>
    <x v="1"/>
    <n v="129866"/>
  </r>
  <r>
    <x v="12"/>
    <x v="0"/>
    <s v="Combined Heat and Power, Commercial Power"/>
    <x v="4"/>
    <n v="26445"/>
  </r>
  <r>
    <x v="12"/>
    <x v="1"/>
    <s v="Total Electric Power Industry"/>
    <x v="0"/>
    <n v="132920670"/>
  </r>
  <r>
    <x v="12"/>
    <x v="1"/>
    <s v="Total Electric Power Industry"/>
    <x v="1"/>
    <n v="72041664"/>
  </r>
  <r>
    <x v="12"/>
    <x v="1"/>
    <s v="Total Electric Power Industry"/>
    <x v="2"/>
    <n v="8824787"/>
  </r>
  <r>
    <x v="12"/>
    <x v="1"/>
    <s v="Total Electric Power Industry"/>
    <x v="3"/>
    <n v="15904065"/>
  </r>
  <r>
    <x v="12"/>
    <x v="1"/>
    <s v="Total Electric Power Industry"/>
    <x v="7"/>
    <n v="31856926"/>
  </r>
  <r>
    <x v="12"/>
    <x v="1"/>
    <s v="Total Electric Power Industry"/>
    <x v="12"/>
    <n v="122745"/>
  </r>
  <r>
    <x v="12"/>
    <x v="1"/>
    <s v="Total Electric Power Industry"/>
    <x v="8"/>
    <n v="18401"/>
  </r>
  <r>
    <x v="12"/>
    <x v="1"/>
    <s v="Total Electric Power Industry"/>
    <x v="9"/>
    <n v="112541"/>
  </r>
  <r>
    <x v="12"/>
    <x v="1"/>
    <s v="Total Electric Power Industry"/>
    <x v="4"/>
    <n v="312048"/>
  </r>
  <r>
    <x v="12"/>
    <x v="1"/>
    <s v="Total Electric Power Industry"/>
    <x v="6"/>
    <n v="3727493"/>
  </r>
  <r>
    <x v="12"/>
    <x v="1"/>
    <s v="Electric Generators, Independent Power Producers"/>
    <x v="0"/>
    <n v="2357413"/>
  </r>
  <r>
    <x v="12"/>
    <x v="1"/>
    <s v="Electric Generators, Independent Power Producers"/>
    <x v="3"/>
    <n v="2335265"/>
  </r>
  <r>
    <x v="12"/>
    <x v="1"/>
    <s v="Electric Generators, Independent Power Producers"/>
    <x v="4"/>
    <n v="22148"/>
  </r>
  <r>
    <x v="12"/>
    <x v="1"/>
    <s v="Electric Generators, Electric Utilities"/>
    <x v="0"/>
    <n v="123739223"/>
  </r>
  <r>
    <x v="12"/>
    <x v="1"/>
    <s v="Electric Generators, Electric Utilities"/>
    <x v="1"/>
    <n v="71630811"/>
  </r>
  <r>
    <x v="12"/>
    <x v="1"/>
    <s v="Electric Generators, Electric Utilities"/>
    <x v="2"/>
    <n v="8824787"/>
  </r>
  <r>
    <x v="12"/>
    <x v="1"/>
    <s v="Electric Generators, Electric Utilities"/>
    <x v="3"/>
    <n v="11242320"/>
  </r>
  <r>
    <x v="12"/>
    <x v="1"/>
    <s v="Electric Generators, Electric Utilities"/>
    <x v="7"/>
    <n v="31856926"/>
  </r>
  <r>
    <x v="12"/>
    <x v="1"/>
    <s v="Electric Generators, Electric Utilities"/>
    <x v="4"/>
    <n v="184379"/>
  </r>
  <r>
    <x v="12"/>
    <x v="1"/>
    <s v="Combined Heat and Power, Industrial Power"/>
    <x v="0"/>
    <n v="5365176"/>
  </r>
  <r>
    <x v="12"/>
    <x v="1"/>
    <s v="Combined Heat and Power, Industrial Power"/>
    <x v="1"/>
    <n v="192434"/>
  </r>
  <r>
    <x v="12"/>
    <x v="1"/>
    <s v="Combined Heat and Power, Industrial Power"/>
    <x v="3"/>
    <n v="1414055"/>
  </r>
  <r>
    <x v="12"/>
    <x v="1"/>
    <s v="Combined Heat and Power, Industrial Power"/>
    <x v="12"/>
    <n v="4456"/>
  </r>
  <r>
    <x v="12"/>
    <x v="1"/>
    <s v="Combined Heat and Power, Industrial Power"/>
    <x v="8"/>
    <n v="18401"/>
  </r>
  <r>
    <x v="12"/>
    <x v="1"/>
    <s v="Combined Heat and Power, Industrial Power"/>
    <x v="9"/>
    <n v="112541"/>
  </r>
  <r>
    <x v="12"/>
    <x v="1"/>
    <s v="Combined Heat and Power, Industrial Power"/>
    <x v="4"/>
    <n v="105086"/>
  </r>
  <r>
    <x v="12"/>
    <x v="1"/>
    <s v="Combined Heat and Power, Industrial Power"/>
    <x v="6"/>
    <n v="3518203"/>
  </r>
  <r>
    <x v="12"/>
    <x v="1"/>
    <s v="Combined Heat and Power, Electric Power"/>
    <x v="0"/>
    <n v="1458858"/>
  </r>
  <r>
    <x v="12"/>
    <x v="1"/>
    <s v="Combined Heat and Power, Electric Power"/>
    <x v="1"/>
    <n v="218419"/>
  </r>
  <r>
    <x v="12"/>
    <x v="1"/>
    <s v="Combined Heat and Power, Electric Power"/>
    <x v="3"/>
    <n v="912425"/>
  </r>
  <r>
    <x v="12"/>
    <x v="1"/>
    <s v="Combined Heat and Power, Electric Power"/>
    <x v="12"/>
    <n v="118289"/>
  </r>
  <r>
    <x v="12"/>
    <x v="1"/>
    <s v="Combined Heat and Power, Electric Power"/>
    <x v="4"/>
    <n v="435"/>
  </r>
  <r>
    <x v="12"/>
    <x v="1"/>
    <s v="Combined Heat and Power, Electric Power"/>
    <x v="6"/>
    <n v="209290"/>
  </r>
  <r>
    <x v="12"/>
    <x v="2"/>
    <s v="Total Electric Power Industry"/>
    <x v="0"/>
    <n v="47611645"/>
  </r>
  <r>
    <x v="12"/>
    <x v="2"/>
    <s v="Total Electric Power Industry"/>
    <x v="1"/>
    <n v="23098370"/>
  </r>
  <r>
    <x v="12"/>
    <x v="2"/>
    <s v="Total Electric Power Industry"/>
    <x v="2"/>
    <n v="3435829"/>
  </r>
  <r>
    <x v="12"/>
    <x v="2"/>
    <s v="Total Electric Power Industry"/>
    <x v="3"/>
    <n v="4602958"/>
  </r>
  <r>
    <x v="12"/>
    <x v="2"/>
    <s v="Total Electric Power Industry"/>
    <x v="7"/>
    <n v="14558884"/>
  </r>
  <r>
    <x v="12"/>
    <x v="2"/>
    <s v="Total Electric Power Industry"/>
    <x v="12"/>
    <n v="170631"/>
  </r>
  <r>
    <x v="12"/>
    <x v="2"/>
    <s v="Total Electric Power Industry"/>
    <x v="8"/>
    <n v="4658"/>
  </r>
  <r>
    <x v="12"/>
    <x v="2"/>
    <s v="Total Electric Power Industry"/>
    <x v="4"/>
    <n v="159706"/>
  </r>
  <r>
    <x v="12"/>
    <x v="2"/>
    <s v="Total Electric Power Industry"/>
    <x v="6"/>
    <n v="1580608"/>
  </r>
  <r>
    <x v="12"/>
    <x v="2"/>
    <s v="Electric Generators, Independent Power Producers"/>
    <x v="0"/>
    <n v="1247325"/>
  </r>
  <r>
    <x v="12"/>
    <x v="2"/>
    <s v="Electric Generators, Independent Power Producers"/>
    <x v="2"/>
    <n v="0"/>
  </r>
  <r>
    <x v="12"/>
    <x v="2"/>
    <s v="Electric Generators, Independent Power Producers"/>
    <x v="3"/>
    <n v="1203439"/>
  </r>
  <r>
    <x v="12"/>
    <x v="2"/>
    <s v="Electric Generators, Independent Power Producers"/>
    <x v="12"/>
    <n v="43886"/>
  </r>
  <r>
    <x v="12"/>
    <x v="2"/>
    <s v="Electric Generators, Electric Utilities"/>
    <x v="0"/>
    <n v="42873364"/>
  </r>
  <r>
    <x v="12"/>
    <x v="2"/>
    <s v="Electric Generators, Electric Utilities"/>
    <x v="1"/>
    <n v="22986650"/>
  </r>
  <r>
    <x v="12"/>
    <x v="2"/>
    <s v="Electric Generators, Electric Utilities"/>
    <x v="2"/>
    <n v="3435829"/>
  </r>
  <r>
    <x v="12"/>
    <x v="2"/>
    <s v="Electric Generators, Electric Utilities"/>
    <x v="3"/>
    <n v="1755867"/>
  </r>
  <r>
    <x v="12"/>
    <x v="2"/>
    <s v="Electric Generators, Electric Utilities"/>
    <x v="7"/>
    <n v="14558884"/>
  </r>
  <r>
    <x v="12"/>
    <x v="2"/>
    <s v="Electric Generators, Electric Utilities"/>
    <x v="4"/>
    <n v="136134"/>
  </r>
  <r>
    <x v="12"/>
    <x v="2"/>
    <s v="Combined Heat and Power, Industrial Power"/>
    <x v="0"/>
    <n v="2178948"/>
  </r>
  <r>
    <x v="12"/>
    <x v="2"/>
    <s v="Combined Heat and Power, Industrial Power"/>
    <x v="1"/>
    <n v="111720"/>
  </r>
  <r>
    <x v="12"/>
    <x v="2"/>
    <s v="Combined Heat and Power, Industrial Power"/>
    <x v="3"/>
    <n v="336302"/>
  </r>
  <r>
    <x v="12"/>
    <x v="2"/>
    <s v="Combined Heat and Power, Industrial Power"/>
    <x v="12"/>
    <n v="126745"/>
  </r>
  <r>
    <x v="12"/>
    <x v="2"/>
    <s v="Combined Heat and Power, Industrial Power"/>
    <x v="4"/>
    <n v="23572"/>
  </r>
  <r>
    <x v="12"/>
    <x v="2"/>
    <s v="Combined Heat and Power, Industrial Power"/>
    <x v="6"/>
    <n v="1580608"/>
  </r>
  <r>
    <x v="12"/>
    <x v="2"/>
    <s v="Combined Heat and Power, Electric Power"/>
    <x v="0"/>
    <n v="1304071"/>
  </r>
  <r>
    <x v="12"/>
    <x v="2"/>
    <s v="Combined Heat and Power, Electric Power"/>
    <x v="3"/>
    <n v="1304071"/>
  </r>
  <r>
    <x v="12"/>
    <x v="2"/>
    <s v="Combined Heat and Power, Electric Power"/>
    <x v="4"/>
    <n v="0"/>
  </r>
  <r>
    <x v="12"/>
    <x v="2"/>
    <s v="Combined Heat and Power, Commercial Power"/>
    <x v="0"/>
    <n v="7937"/>
  </r>
  <r>
    <x v="12"/>
    <x v="2"/>
    <s v="Combined Heat and Power, Commercial Power"/>
    <x v="3"/>
    <n v="3279"/>
  </r>
  <r>
    <x v="12"/>
    <x v="2"/>
    <s v="Combined Heat and Power, Commercial Power"/>
    <x v="8"/>
    <n v="4658"/>
  </r>
  <r>
    <x v="12"/>
    <x v="3"/>
    <s v="Total Electric Power Industry"/>
    <x v="0"/>
    <n v="94131666"/>
  </r>
  <r>
    <x v="12"/>
    <x v="3"/>
    <s v="Total Electric Power Industry"/>
    <x v="1"/>
    <n v="38226631"/>
  </r>
  <r>
    <x v="12"/>
    <x v="3"/>
    <s v="Total Electric Power Industry"/>
    <x v="2"/>
    <n v="7427180"/>
  </r>
  <r>
    <x v="12"/>
    <x v="3"/>
    <s v="Total Electric Power Industry"/>
    <x v="3"/>
    <n v="17293015"/>
  </r>
  <r>
    <x v="12"/>
    <x v="3"/>
    <s v="Total Electric Power Industry"/>
    <x v="7"/>
    <n v="30861911"/>
  </r>
  <r>
    <x v="12"/>
    <x v="3"/>
    <s v="Total Electric Power Industry"/>
    <x v="12"/>
    <n v="87714"/>
  </r>
  <r>
    <x v="12"/>
    <x v="3"/>
    <s v="Total Electric Power Industry"/>
    <x v="8"/>
    <n v="53346"/>
  </r>
  <r>
    <x v="12"/>
    <x v="3"/>
    <s v="Total Electric Power Industry"/>
    <x v="4"/>
    <n v="57446"/>
  </r>
  <r>
    <x v="12"/>
    <x v="3"/>
    <s v="Total Electric Power Industry"/>
    <x v="10"/>
    <n v="123964"/>
  </r>
  <r>
    <x v="12"/>
    <x v="3"/>
    <s v="Total Electric Power Industry"/>
    <x v="13"/>
    <n v="459"/>
  </r>
  <r>
    <x v="12"/>
    <x v="3"/>
    <s v="Electric Generators, Independent Power Producers"/>
    <x v="0"/>
    <n v="10954286"/>
  </r>
  <r>
    <x v="12"/>
    <x v="3"/>
    <s v="Electric Generators, Independent Power Producers"/>
    <x v="3"/>
    <n v="10866572"/>
  </r>
  <r>
    <x v="12"/>
    <x v="3"/>
    <s v="Electric Generators, Independent Power Producers"/>
    <x v="12"/>
    <n v="87714"/>
  </r>
  <r>
    <x v="12"/>
    <x v="3"/>
    <s v="Electric Generators, Independent Power Producers"/>
    <x v="8"/>
    <n v="0"/>
  </r>
  <r>
    <x v="12"/>
    <x v="3"/>
    <s v="Electric Generators, Electric Utilities"/>
    <x v="0"/>
    <n v="81710063"/>
  </r>
  <r>
    <x v="12"/>
    <x v="3"/>
    <s v="Electric Generators, Electric Utilities"/>
    <x v="1"/>
    <n v="37957468"/>
  </r>
  <r>
    <x v="12"/>
    <x v="3"/>
    <s v="Electric Generators, Electric Utilities"/>
    <x v="2"/>
    <n v="7427180"/>
  </r>
  <r>
    <x v="12"/>
    <x v="3"/>
    <s v="Electric Generators, Electric Utilities"/>
    <x v="3"/>
    <n v="5238416"/>
  </r>
  <r>
    <x v="12"/>
    <x v="3"/>
    <s v="Electric Generators, Electric Utilities"/>
    <x v="7"/>
    <n v="30861911"/>
  </r>
  <r>
    <x v="12"/>
    <x v="3"/>
    <s v="Electric Generators, Electric Utilities"/>
    <x v="8"/>
    <n v="49604"/>
  </r>
  <r>
    <x v="12"/>
    <x v="3"/>
    <s v="Electric Generators, Electric Utilities"/>
    <x v="4"/>
    <n v="51061"/>
  </r>
  <r>
    <x v="12"/>
    <x v="3"/>
    <s v="Electric Generators, Electric Utilities"/>
    <x v="10"/>
    <n v="123964"/>
  </r>
  <r>
    <x v="12"/>
    <x v="3"/>
    <s v="Electric Generators, Electric Utilities"/>
    <x v="13"/>
    <n v="459"/>
  </r>
  <r>
    <x v="12"/>
    <x v="3"/>
    <s v="Combined Heat and Power, Industrial Power"/>
    <x v="0"/>
    <n v="295841"/>
  </r>
  <r>
    <x v="12"/>
    <x v="3"/>
    <s v="Combined Heat and Power, Industrial Power"/>
    <x v="1"/>
    <n v="269163"/>
  </r>
  <r>
    <x v="12"/>
    <x v="3"/>
    <s v="Combined Heat and Power, Industrial Power"/>
    <x v="3"/>
    <n v="20427"/>
  </r>
  <r>
    <x v="12"/>
    <x v="3"/>
    <s v="Combined Heat and Power, Industrial Power"/>
    <x v="4"/>
    <n v="6251"/>
  </r>
  <r>
    <x v="12"/>
    <x v="3"/>
    <s v="Combined Heat and Power, Electric Power"/>
    <x v="0"/>
    <n v="1153078"/>
  </r>
  <r>
    <x v="12"/>
    <x v="3"/>
    <s v="Combined Heat and Power, Electric Power"/>
    <x v="3"/>
    <n v="1153078"/>
  </r>
  <r>
    <x v="12"/>
    <x v="3"/>
    <s v="Combined Heat and Power, Commercial Power"/>
    <x v="0"/>
    <n v="18398"/>
  </r>
  <r>
    <x v="12"/>
    <x v="3"/>
    <s v="Combined Heat and Power, Commercial Power"/>
    <x v="3"/>
    <n v="14522"/>
  </r>
  <r>
    <x v="12"/>
    <x v="3"/>
    <s v="Combined Heat and Power, Commercial Power"/>
    <x v="8"/>
    <n v="3742"/>
  </r>
  <r>
    <x v="12"/>
    <x v="3"/>
    <s v="Combined Heat and Power, Commercial Power"/>
    <x v="4"/>
    <n v="134"/>
  </r>
  <r>
    <x v="12"/>
    <x v="4"/>
    <s v="Total Electric Power Industry"/>
    <x v="0"/>
    <n v="184210031"/>
  </r>
  <r>
    <x v="12"/>
    <x v="4"/>
    <s v="Total Electric Power Industry"/>
    <x v="1"/>
    <n v="2327809"/>
  </r>
  <r>
    <x v="12"/>
    <x v="4"/>
    <s v="Total Electric Power Industry"/>
    <x v="11"/>
    <n v="13073615"/>
  </r>
  <r>
    <x v="12"/>
    <x v="4"/>
    <s v="Total Electric Power Industry"/>
    <x v="2"/>
    <n v="31140628"/>
  </r>
  <r>
    <x v="12"/>
    <x v="4"/>
    <s v="Total Electric Power Industry"/>
    <x v="3"/>
    <n v="89624044"/>
  </r>
  <r>
    <x v="12"/>
    <x v="4"/>
    <s v="Total Electric Power Industry"/>
    <x v="7"/>
    <n v="34352340"/>
  </r>
  <r>
    <x v="12"/>
    <x v="4"/>
    <s v="Total Electric Power Industry"/>
    <x v="12"/>
    <n v="398108"/>
  </r>
  <r>
    <x v="12"/>
    <x v="4"/>
    <s v="Total Electric Power Industry"/>
    <x v="8"/>
    <n v="2018759"/>
  </r>
  <r>
    <x v="12"/>
    <x v="4"/>
    <s v="Total Electric Power Industry"/>
    <x v="9"/>
    <n v="1240053"/>
  </r>
  <r>
    <x v="12"/>
    <x v="4"/>
    <s v="Total Electric Power Industry"/>
    <x v="4"/>
    <n v="1961066"/>
  </r>
  <r>
    <x v="12"/>
    <x v="4"/>
    <s v="Total Electric Power Industry"/>
    <x v="10"/>
    <n v="-240997"/>
  </r>
  <r>
    <x v="12"/>
    <x v="4"/>
    <s v="Total Electric Power Industry"/>
    <x v="13"/>
    <n v="554372"/>
  </r>
  <r>
    <x v="12"/>
    <x v="4"/>
    <s v="Total Electric Power Industry"/>
    <x v="5"/>
    <n v="3802645"/>
  </r>
  <r>
    <x v="12"/>
    <x v="4"/>
    <s v="Total Electric Power Industry"/>
    <x v="6"/>
    <n v="3957589"/>
  </r>
  <r>
    <x v="12"/>
    <x v="4"/>
    <s v="Electric Generators, Independent Power Producers"/>
    <x v="0"/>
    <n v="63545451"/>
  </r>
  <r>
    <x v="12"/>
    <x v="4"/>
    <s v="Electric Generators, Independent Power Producers"/>
    <x v="11"/>
    <n v="11889276"/>
  </r>
  <r>
    <x v="12"/>
    <x v="4"/>
    <s v="Electric Generators, Independent Power Producers"/>
    <x v="2"/>
    <n v="903984"/>
  </r>
  <r>
    <x v="12"/>
    <x v="4"/>
    <s v="Electric Generators, Independent Power Producers"/>
    <x v="3"/>
    <n v="41272582"/>
  </r>
  <r>
    <x v="12"/>
    <x v="4"/>
    <s v="Electric Generators, Independent Power Producers"/>
    <x v="12"/>
    <n v="194459"/>
  </r>
  <r>
    <x v="12"/>
    <x v="4"/>
    <s v="Electric Generators, Independent Power Producers"/>
    <x v="8"/>
    <n v="1475282"/>
  </r>
  <r>
    <x v="12"/>
    <x v="4"/>
    <s v="Electric Generators, Independent Power Producers"/>
    <x v="9"/>
    <n v="0"/>
  </r>
  <r>
    <x v="12"/>
    <x v="4"/>
    <s v="Electric Generators, Independent Power Producers"/>
    <x v="4"/>
    <n v="874623"/>
  </r>
  <r>
    <x v="12"/>
    <x v="4"/>
    <s v="Electric Generators, Independent Power Producers"/>
    <x v="13"/>
    <n v="551566"/>
  </r>
  <r>
    <x v="12"/>
    <x v="4"/>
    <s v="Electric Generators, Independent Power Producers"/>
    <x v="5"/>
    <n v="3798335"/>
  </r>
  <r>
    <x v="12"/>
    <x v="4"/>
    <s v="Electric Generators, Independent Power Producers"/>
    <x v="6"/>
    <n v="2585344"/>
  </r>
  <r>
    <x v="12"/>
    <x v="4"/>
    <s v="Electric Generators, Electric Utilities"/>
    <x v="0"/>
    <n v="74588271"/>
  </r>
  <r>
    <x v="12"/>
    <x v="4"/>
    <s v="Electric Generators, Electric Utilities"/>
    <x v="11"/>
    <n v="1184339"/>
  </r>
  <r>
    <x v="12"/>
    <x v="4"/>
    <s v="Electric Generators, Electric Utilities"/>
    <x v="2"/>
    <n v="30236644"/>
  </r>
  <r>
    <x v="12"/>
    <x v="4"/>
    <s v="Electric Generators, Electric Utilities"/>
    <x v="3"/>
    <n v="8808012"/>
  </r>
  <r>
    <x v="12"/>
    <x v="4"/>
    <s v="Electric Generators, Electric Utilities"/>
    <x v="7"/>
    <n v="34352340"/>
  </r>
  <r>
    <x v="12"/>
    <x v="4"/>
    <s v="Electric Generators, Electric Utilities"/>
    <x v="12"/>
    <n v="54476"/>
  </r>
  <r>
    <x v="12"/>
    <x v="4"/>
    <s v="Electric Generators, Electric Utilities"/>
    <x v="8"/>
    <n v="142408"/>
  </r>
  <r>
    <x v="12"/>
    <x v="4"/>
    <s v="Electric Generators, Electric Utilities"/>
    <x v="4"/>
    <n v="43933"/>
  </r>
  <r>
    <x v="12"/>
    <x v="4"/>
    <s v="Electric Generators, Electric Utilities"/>
    <x v="10"/>
    <n v="-240997"/>
  </r>
  <r>
    <x v="12"/>
    <x v="4"/>
    <s v="Electric Generators, Electric Utilities"/>
    <x v="13"/>
    <n v="2806"/>
  </r>
  <r>
    <x v="12"/>
    <x v="4"/>
    <s v="Electric Generators, Electric Utilities"/>
    <x v="5"/>
    <n v="4310"/>
  </r>
  <r>
    <x v="12"/>
    <x v="4"/>
    <s v="Combined Heat and Power, Industrial Power"/>
    <x v="0"/>
    <n v="17142184"/>
  </r>
  <r>
    <x v="12"/>
    <x v="4"/>
    <s v="Combined Heat and Power, Industrial Power"/>
    <x v="1"/>
    <n v="495695"/>
  </r>
  <r>
    <x v="12"/>
    <x v="4"/>
    <s v="Combined Heat and Power, Industrial Power"/>
    <x v="3"/>
    <n v="14037372"/>
  </r>
  <r>
    <x v="12"/>
    <x v="4"/>
    <s v="Combined Heat and Power, Industrial Power"/>
    <x v="12"/>
    <n v="39643"/>
  </r>
  <r>
    <x v="12"/>
    <x v="4"/>
    <s v="Combined Heat and Power, Industrial Power"/>
    <x v="8"/>
    <n v="44402"/>
  </r>
  <r>
    <x v="12"/>
    <x v="4"/>
    <s v="Combined Heat and Power, Industrial Power"/>
    <x v="9"/>
    <n v="1240040"/>
  </r>
  <r>
    <x v="12"/>
    <x v="4"/>
    <s v="Combined Heat and Power, Industrial Power"/>
    <x v="4"/>
    <n v="169181"/>
  </r>
  <r>
    <x v="12"/>
    <x v="4"/>
    <s v="Combined Heat and Power, Industrial Power"/>
    <x v="6"/>
    <n v="1115850"/>
  </r>
  <r>
    <x v="12"/>
    <x v="4"/>
    <s v="Combined Heat and Power, Electric Power"/>
    <x v="0"/>
    <n v="26975628"/>
  </r>
  <r>
    <x v="12"/>
    <x v="4"/>
    <s v="Combined Heat and Power, Electric Power"/>
    <x v="1"/>
    <n v="1832114"/>
  </r>
  <r>
    <x v="12"/>
    <x v="4"/>
    <s v="Combined Heat and Power, Electric Power"/>
    <x v="3"/>
    <n v="23912974"/>
  </r>
  <r>
    <x v="12"/>
    <x v="4"/>
    <s v="Combined Heat and Power, Electric Power"/>
    <x v="12"/>
    <n v="25624"/>
  </r>
  <r>
    <x v="12"/>
    <x v="4"/>
    <s v="Combined Heat and Power, Electric Power"/>
    <x v="8"/>
    <n v="84710"/>
  </r>
  <r>
    <x v="12"/>
    <x v="4"/>
    <s v="Combined Heat and Power, Electric Power"/>
    <x v="9"/>
    <n v="0"/>
  </r>
  <r>
    <x v="12"/>
    <x v="4"/>
    <s v="Combined Heat and Power, Electric Power"/>
    <x v="4"/>
    <n v="863811"/>
  </r>
  <r>
    <x v="12"/>
    <x v="4"/>
    <s v="Combined Heat and Power, Electric Power"/>
    <x v="6"/>
    <n v="256395"/>
  </r>
  <r>
    <x v="12"/>
    <x v="4"/>
    <s v="Combined Heat and Power, Commercial Power"/>
    <x v="0"/>
    <n v="1958498"/>
  </r>
  <r>
    <x v="12"/>
    <x v="4"/>
    <s v="Combined Heat and Power, Commercial Power"/>
    <x v="3"/>
    <n v="1593104"/>
  </r>
  <r>
    <x v="12"/>
    <x v="4"/>
    <s v="Combined Heat and Power, Commercial Power"/>
    <x v="12"/>
    <n v="83906"/>
  </r>
  <r>
    <x v="12"/>
    <x v="4"/>
    <s v="Combined Heat and Power, Commercial Power"/>
    <x v="8"/>
    <n v="271957"/>
  </r>
  <r>
    <x v="12"/>
    <x v="4"/>
    <s v="Combined Heat and Power, Commercial Power"/>
    <x v="9"/>
    <n v="13"/>
  </r>
  <r>
    <x v="12"/>
    <x v="4"/>
    <s v="Combined Heat and Power, Commercial Power"/>
    <x v="4"/>
    <n v="9517"/>
  </r>
  <r>
    <x v="12"/>
    <x v="5"/>
    <s v="Total Electric Power Industry"/>
    <x v="0"/>
    <n v="45600388"/>
  </r>
  <r>
    <x v="12"/>
    <x v="5"/>
    <s v="Total Electric Power Industry"/>
    <x v="1"/>
    <n v="35388251"/>
  </r>
  <r>
    <x v="12"/>
    <x v="5"/>
    <s v="Total Electric Power Industry"/>
    <x v="2"/>
    <n v="1209007"/>
  </r>
  <r>
    <x v="12"/>
    <x v="5"/>
    <s v="Total Electric Power Industry"/>
    <x v="3"/>
    <n v="9028490"/>
  </r>
  <r>
    <x v="12"/>
    <x v="5"/>
    <s v="Total Electric Power Industry"/>
    <x v="12"/>
    <n v="0"/>
  </r>
  <r>
    <x v="12"/>
    <x v="5"/>
    <s v="Total Electric Power Industry"/>
    <x v="8"/>
    <n v="29834"/>
  </r>
  <r>
    <x v="12"/>
    <x v="5"/>
    <s v="Total Electric Power Industry"/>
    <x v="9"/>
    <n v="2884"/>
  </r>
  <r>
    <x v="12"/>
    <x v="5"/>
    <s v="Total Electric Power Industry"/>
    <x v="4"/>
    <n v="23180"/>
  </r>
  <r>
    <x v="12"/>
    <x v="5"/>
    <s v="Total Electric Power Industry"/>
    <x v="10"/>
    <n v="-220264"/>
  </r>
  <r>
    <x v="12"/>
    <x v="5"/>
    <s v="Total Electric Power Industry"/>
    <x v="5"/>
    <n v="139006"/>
  </r>
  <r>
    <x v="12"/>
    <x v="5"/>
    <s v="Electric Generators, Independent Power Producers"/>
    <x v="0"/>
    <n v="961016"/>
  </r>
  <r>
    <x v="12"/>
    <x v="5"/>
    <s v="Electric Generators, Independent Power Producers"/>
    <x v="2"/>
    <n v="21168"/>
  </r>
  <r>
    <x v="12"/>
    <x v="5"/>
    <s v="Electric Generators, Independent Power Producers"/>
    <x v="3"/>
    <n v="860829"/>
  </r>
  <r>
    <x v="12"/>
    <x v="5"/>
    <s v="Electric Generators, Independent Power Producers"/>
    <x v="5"/>
    <n v="79019"/>
  </r>
  <r>
    <x v="12"/>
    <x v="5"/>
    <s v="Electric Generators, Electric Utilities"/>
    <x v="0"/>
    <n v="41509933"/>
  </r>
  <r>
    <x v="12"/>
    <x v="5"/>
    <s v="Electric Generators, Electric Utilities"/>
    <x v="1"/>
    <n v="35135198"/>
  </r>
  <r>
    <x v="12"/>
    <x v="5"/>
    <s v="Electric Generators, Electric Utilities"/>
    <x v="2"/>
    <n v="1187839"/>
  </r>
  <r>
    <x v="12"/>
    <x v="5"/>
    <s v="Electric Generators, Electric Utilities"/>
    <x v="3"/>
    <n v="5321770"/>
  </r>
  <r>
    <x v="12"/>
    <x v="5"/>
    <s v="Electric Generators, Electric Utilities"/>
    <x v="12"/>
    <n v="0"/>
  </r>
  <r>
    <x v="12"/>
    <x v="5"/>
    <s v="Electric Generators, Electric Utilities"/>
    <x v="8"/>
    <n v="0"/>
  </r>
  <r>
    <x v="12"/>
    <x v="5"/>
    <s v="Electric Generators, Electric Utilities"/>
    <x v="9"/>
    <n v="2884"/>
  </r>
  <r>
    <x v="12"/>
    <x v="5"/>
    <s v="Electric Generators, Electric Utilities"/>
    <x v="4"/>
    <n v="22519"/>
  </r>
  <r>
    <x v="12"/>
    <x v="5"/>
    <s v="Electric Generators, Electric Utilities"/>
    <x v="10"/>
    <n v="-220264"/>
  </r>
  <r>
    <x v="12"/>
    <x v="5"/>
    <s v="Electric Generators, Electric Utilities"/>
    <x v="5"/>
    <n v="59987"/>
  </r>
  <r>
    <x v="12"/>
    <x v="5"/>
    <s v="Combined Heat and Power, Industrial Power"/>
    <x v="0"/>
    <n v="120558"/>
  </r>
  <r>
    <x v="12"/>
    <x v="5"/>
    <s v="Combined Heat and Power, Industrial Power"/>
    <x v="3"/>
    <n v="120529"/>
  </r>
  <r>
    <x v="12"/>
    <x v="5"/>
    <s v="Combined Heat and Power, Industrial Power"/>
    <x v="4"/>
    <n v="29"/>
  </r>
  <r>
    <x v="12"/>
    <x v="5"/>
    <s v="Combined Heat and Power, Electric Power"/>
    <x v="0"/>
    <n v="2865726"/>
  </r>
  <r>
    <x v="12"/>
    <x v="5"/>
    <s v="Combined Heat and Power, Electric Power"/>
    <x v="1"/>
    <n v="253053"/>
  </r>
  <r>
    <x v="12"/>
    <x v="5"/>
    <s v="Combined Heat and Power, Electric Power"/>
    <x v="3"/>
    <n v="2582207"/>
  </r>
  <r>
    <x v="12"/>
    <x v="5"/>
    <s v="Combined Heat and Power, Electric Power"/>
    <x v="8"/>
    <n v="29834"/>
  </r>
  <r>
    <x v="12"/>
    <x v="5"/>
    <s v="Combined Heat and Power, Electric Power"/>
    <x v="4"/>
    <n v="632"/>
  </r>
  <r>
    <x v="12"/>
    <x v="5"/>
    <s v="Combined Heat and Power, Commercial Power"/>
    <x v="0"/>
    <n v="143155"/>
  </r>
  <r>
    <x v="12"/>
    <x v="5"/>
    <s v="Combined Heat and Power, Commercial Power"/>
    <x v="3"/>
    <n v="143155"/>
  </r>
  <r>
    <x v="12"/>
    <x v="6"/>
    <s v="Total Electric Power Industry"/>
    <x v="0"/>
    <n v="31311219"/>
  </r>
  <r>
    <x v="12"/>
    <x v="6"/>
    <s v="Total Electric Power Industry"/>
    <x v="1"/>
    <n v="3227202"/>
  </r>
  <r>
    <x v="12"/>
    <x v="6"/>
    <s v="Total Electric Power Industry"/>
    <x v="2"/>
    <n v="335088"/>
  </r>
  <r>
    <x v="12"/>
    <x v="6"/>
    <s v="Total Electric Power Industry"/>
    <x v="3"/>
    <n v="8868470"/>
  </r>
  <r>
    <x v="12"/>
    <x v="6"/>
    <s v="Total Electric Power Industry"/>
    <x v="7"/>
    <n v="14918272"/>
  </r>
  <r>
    <x v="12"/>
    <x v="6"/>
    <s v="Total Electric Power Industry"/>
    <x v="12"/>
    <n v="804322"/>
  </r>
  <r>
    <x v="12"/>
    <x v="6"/>
    <s v="Total Electric Power Industry"/>
    <x v="8"/>
    <n v="821346"/>
  </r>
  <r>
    <x v="12"/>
    <x v="6"/>
    <s v="Total Electric Power Industry"/>
    <x v="9"/>
    <n v="8834"/>
  </r>
  <r>
    <x v="12"/>
    <x v="6"/>
    <s v="Total Electric Power Industry"/>
    <x v="4"/>
    <n v="2337885"/>
  </r>
  <r>
    <x v="12"/>
    <x v="6"/>
    <s v="Total Electric Power Industry"/>
    <x v="10"/>
    <n v="-10201"/>
  </r>
  <r>
    <x v="12"/>
    <x v="6"/>
    <s v="Electric Generators, Independent Power Producers"/>
    <x v="0"/>
    <n v="28878257"/>
  </r>
  <r>
    <x v="12"/>
    <x v="6"/>
    <s v="Electric Generators, Independent Power Producers"/>
    <x v="1"/>
    <n v="1698593"/>
  </r>
  <r>
    <x v="12"/>
    <x v="6"/>
    <s v="Electric Generators, Independent Power Producers"/>
    <x v="2"/>
    <n v="314553"/>
  </r>
  <r>
    <x v="12"/>
    <x v="6"/>
    <s v="Electric Generators, Independent Power Producers"/>
    <x v="3"/>
    <n v="8017863"/>
  </r>
  <r>
    <x v="12"/>
    <x v="6"/>
    <s v="Electric Generators, Independent Power Producers"/>
    <x v="7"/>
    <n v="14918272"/>
  </r>
  <r>
    <x v="12"/>
    <x v="6"/>
    <s v="Electric Generators, Independent Power Producers"/>
    <x v="12"/>
    <n v="804322"/>
  </r>
  <r>
    <x v="12"/>
    <x v="6"/>
    <s v="Electric Generators, Independent Power Producers"/>
    <x v="8"/>
    <n v="821346"/>
  </r>
  <r>
    <x v="12"/>
    <x v="6"/>
    <s v="Electric Generators, Independent Power Producers"/>
    <x v="9"/>
    <n v="8834"/>
  </r>
  <r>
    <x v="12"/>
    <x v="6"/>
    <s v="Electric Generators, Independent Power Producers"/>
    <x v="4"/>
    <n v="2304674"/>
  </r>
  <r>
    <x v="12"/>
    <x v="6"/>
    <s v="Electric Generators, Independent Power Producers"/>
    <x v="10"/>
    <n v="-10201"/>
  </r>
  <r>
    <x v="12"/>
    <x v="6"/>
    <s v="Electric Generators, Electric Utilities"/>
    <x v="0"/>
    <n v="21463"/>
  </r>
  <r>
    <x v="12"/>
    <x v="6"/>
    <s v="Electric Generators, Electric Utilities"/>
    <x v="2"/>
    <n v="20535"/>
  </r>
  <r>
    <x v="12"/>
    <x v="6"/>
    <s v="Electric Generators, Electric Utilities"/>
    <x v="4"/>
    <n v="928"/>
  </r>
  <r>
    <x v="12"/>
    <x v="6"/>
    <s v="Combined Heat and Power, Industrial Power"/>
    <x v="0"/>
    <n v="311304"/>
  </r>
  <r>
    <x v="12"/>
    <x v="6"/>
    <s v="Combined Heat and Power, Industrial Power"/>
    <x v="3"/>
    <n v="281729"/>
  </r>
  <r>
    <x v="12"/>
    <x v="6"/>
    <s v="Combined Heat and Power, Industrial Power"/>
    <x v="4"/>
    <n v="29575"/>
  </r>
  <r>
    <x v="12"/>
    <x v="6"/>
    <s v="Combined Heat and Power, Electric Power"/>
    <x v="0"/>
    <n v="2052655"/>
  </r>
  <r>
    <x v="12"/>
    <x v="6"/>
    <s v="Combined Heat and Power, Electric Power"/>
    <x v="1"/>
    <n v="1528609"/>
  </r>
  <r>
    <x v="12"/>
    <x v="6"/>
    <s v="Combined Heat and Power, Electric Power"/>
    <x v="3"/>
    <n v="521338"/>
  </r>
  <r>
    <x v="12"/>
    <x v="6"/>
    <s v="Combined Heat and Power, Electric Power"/>
    <x v="4"/>
    <n v="2708"/>
  </r>
  <r>
    <x v="12"/>
    <x v="6"/>
    <s v="Combined Heat and Power, Commercial Power"/>
    <x v="0"/>
    <n v="47541"/>
  </r>
  <r>
    <x v="12"/>
    <x v="6"/>
    <s v="Combined Heat and Power, Commercial Power"/>
    <x v="3"/>
    <n v="47541"/>
  </r>
  <r>
    <x v="12"/>
    <x v="6"/>
    <s v="Combined Heat and Power, Commercial Power"/>
    <x v="4"/>
    <n v="0"/>
  </r>
  <r>
    <x v="12"/>
    <x v="7"/>
    <s v="Total Electric Power Industry"/>
    <x v="0"/>
    <n v="261980"/>
  </r>
  <r>
    <x v="12"/>
    <x v="7"/>
    <s v="Total Electric Power Industry"/>
    <x v="4"/>
    <n v="261980"/>
  </r>
  <r>
    <x v="12"/>
    <x v="7"/>
    <s v="Electric Generators, Independent Power Producers"/>
    <x v="0"/>
    <n v="261980"/>
  </r>
  <r>
    <x v="12"/>
    <x v="7"/>
    <s v="Electric Generators, Independent Power Producers"/>
    <x v="4"/>
    <n v="261980"/>
  </r>
  <r>
    <x v="12"/>
    <x v="8"/>
    <s v="Total Electric Power Industry"/>
    <x v="0"/>
    <n v="6002489"/>
  </r>
  <r>
    <x v="12"/>
    <x v="8"/>
    <s v="Total Electric Power Industry"/>
    <x v="1"/>
    <n v="3463565"/>
  </r>
  <r>
    <x v="12"/>
    <x v="8"/>
    <s v="Total Electric Power Industry"/>
    <x v="3"/>
    <n v="1442883"/>
  </r>
  <r>
    <x v="12"/>
    <x v="8"/>
    <s v="Total Electric Power Industry"/>
    <x v="9"/>
    <n v="146346"/>
  </r>
  <r>
    <x v="12"/>
    <x v="8"/>
    <s v="Total Electric Power Industry"/>
    <x v="4"/>
    <n v="949695"/>
  </r>
  <r>
    <x v="12"/>
    <x v="8"/>
    <s v="Electric Generators, Independent Power Producers"/>
    <x v="0"/>
    <n v="5271458"/>
  </r>
  <r>
    <x v="12"/>
    <x v="8"/>
    <s v="Electric Generators, Independent Power Producers"/>
    <x v="1"/>
    <n v="3382142"/>
  </r>
  <r>
    <x v="12"/>
    <x v="8"/>
    <s v="Electric Generators, Independent Power Producers"/>
    <x v="3"/>
    <n v="1339369"/>
  </r>
  <r>
    <x v="12"/>
    <x v="8"/>
    <s v="Electric Generators, Independent Power Producers"/>
    <x v="4"/>
    <n v="549947"/>
  </r>
  <r>
    <x v="12"/>
    <x v="8"/>
    <s v="Electric Generators, Electric Utilities"/>
    <x v="0"/>
    <n v="170994"/>
  </r>
  <r>
    <x v="12"/>
    <x v="8"/>
    <s v="Electric Generators, Electric Utilities"/>
    <x v="3"/>
    <n v="16876"/>
  </r>
  <r>
    <x v="12"/>
    <x v="8"/>
    <s v="Electric Generators, Electric Utilities"/>
    <x v="4"/>
    <n v="154118"/>
  </r>
  <r>
    <x v="12"/>
    <x v="8"/>
    <s v="Combined Heat and Power, Industrial Power"/>
    <x v="0"/>
    <n v="560037"/>
  </r>
  <r>
    <x v="12"/>
    <x v="8"/>
    <s v="Combined Heat and Power, Industrial Power"/>
    <x v="1"/>
    <n v="81423"/>
  </r>
  <r>
    <x v="12"/>
    <x v="8"/>
    <s v="Combined Heat and Power, Industrial Power"/>
    <x v="3"/>
    <n v="86638"/>
  </r>
  <r>
    <x v="12"/>
    <x v="8"/>
    <s v="Combined Heat and Power, Industrial Power"/>
    <x v="9"/>
    <n v="146346"/>
  </r>
  <r>
    <x v="12"/>
    <x v="8"/>
    <s v="Combined Heat and Power, Industrial Power"/>
    <x v="4"/>
    <n v="245630"/>
  </r>
  <r>
    <x v="12"/>
    <x v="9"/>
    <s v="Total Electric Power Industry"/>
    <x v="0"/>
    <n v="203352775"/>
  </r>
  <r>
    <x v="12"/>
    <x v="9"/>
    <s v="Total Electric Power Industry"/>
    <x v="1"/>
    <n v="65926393"/>
  </r>
  <r>
    <x v="12"/>
    <x v="9"/>
    <s v="Total Electric Power Industry"/>
    <x v="2"/>
    <n v="184114"/>
  </r>
  <r>
    <x v="12"/>
    <x v="9"/>
    <s v="Total Electric Power Industry"/>
    <x v="3"/>
    <n v="63164035"/>
  </r>
  <r>
    <x v="12"/>
    <x v="9"/>
    <s v="Total Electric Power Industry"/>
    <x v="7"/>
    <n v="33704230"/>
  </r>
  <r>
    <x v="12"/>
    <x v="9"/>
    <s v="Total Electric Power Industry"/>
    <x v="12"/>
    <n v="2939793"/>
  </r>
  <r>
    <x v="12"/>
    <x v="9"/>
    <s v="Total Electric Power Industry"/>
    <x v="8"/>
    <n v="2186889"/>
  </r>
  <r>
    <x v="12"/>
    <x v="9"/>
    <s v="Total Electric Power Industry"/>
    <x v="9"/>
    <n v="13079"/>
  </r>
  <r>
    <x v="12"/>
    <x v="9"/>
    <s v="Total Electric Power Industry"/>
    <x v="4"/>
    <n v="33681351"/>
  </r>
  <r>
    <x v="12"/>
    <x v="9"/>
    <s v="Total Electric Power Industry"/>
    <x v="6"/>
    <n v="1552891"/>
  </r>
  <r>
    <x v="12"/>
    <x v="9"/>
    <s v="Electric Generators, Independent Power Producers"/>
    <x v="0"/>
    <n v="7247050"/>
  </r>
  <r>
    <x v="12"/>
    <x v="9"/>
    <s v="Electric Generators, Independent Power Producers"/>
    <x v="3"/>
    <n v="3013455"/>
  </r>
  <r>
    <x v="12"/>
    <x v="9"/>
    <s v="Electric Generators, Independent Power Producers"/>
    <x v="12"/>
    <n v="1267811"/>
  </r>
  <r>
    <x v="12"/>
    <x v="9"/>
    <s v="Electric Generators, Independent Power Producers"/>
    <x v="8"/>
    <n v="1648547"/>
  </r>
  <r>
    <x v="12"/>
    <x v="9"/>
    <s v="Electric Generators, Independent Power Producers"/>
    <x v="9"/>
    <n v="645"/>
  </r>
  <r>
    <x v="12"/>
    <x v="9"/>
    <s v="Electric Generators, Independent Power Producers"/>
    <x v="4"/>
    <n v="1088188"/>
  </r>
  <r>
    <x v="12"/>
    <x v="9"/>
    <s v="Electric Generators, Independent Power Producers"/>
    <x v="6"/>
    <n v="228404"/>
  </r>
  <r>
    <x v="12"/>
    <x v="9"/>
    <s v="Electric Generators, Electric Utilities"/>
    <x v="0"/>
    <n v="182346629"/>
  </r>
  <r>
    <x v="12"/>
    <x v="9"/>
    <s v="Electric Generators, Electric Utilities"/>
    <x v="1"/>
    <n v="60997142"/>
  </r>
  <r>
    <x v="12"/>
    <x v="9"/>
    <s v="Electric Generators, Electric Utilities"/>
    <x v="2"/>
    <n v="184114"/>
  </r>
  <r>
    <x v="12"/>
    <x v="9"/>
    <s v="Electric Generators, Electric Utilities"/>
    <x v="3"/>
    <n v="54883087"/>
  </r>
  <r>
    <x v="12"/>
    <x v="9"/>
    <s v="Electric Generators, Electric Utilities"/>
    <x v="7"/>
    <n v="33704230"/>
  </r>
  <r>
    <x v="12"/>
    <x v="9"/>
    <s v="Electric Generators, Electric Utilities"/>
    <x v="12"/>
    <n v="5485"/>
  </r>
  <r>
    <x v="12"/>
    <x v="9"/>
    <s v="Electric Generators, Electric Utilities"/>
    <x v="8"/>
    <n v="123335"/>
  </r>
  <r>
    <x v="12"/>
    <x v="9"/>
    <s v="Electric Generators, Electric Utilities"/>
    <x v="4"/>
    <n v="32449236"/>
  </r>
  <r>
    <x v="12"/>
    <x v="9"/>
    <s v="Combined Heat and Power, Industrial Power"/>
    <x v="0"/>
    <n v="4406594"/>
  </r>
  <r>
    <x v="12"/>
    <x v="9"/>
    <s v="Combined Heat and Power, Industrial Power"/>
    <x v="1"/>
    <n v="162856"/>
  </r>
  <r>
    <x v="12"/>
    <x v="9"/>
    <s v="Combined Heat and Power, Industrial Power"/>
    <x v="3"/>
    <n v="1145598"/>
  </r>
  <r>
    <x v="12"/>
    <x v="9"/>
    <s v="Combined Heat and Power, Industrial Power"/>
    <x v="12"/>
    <n v="1534019"/>
  </r>
  <r>
    <x v="12"/>
    <x v="9"/>
    <s v="Combined Heat and Power, Industrial Power"/>
    <x v="8"/>
    <n v="149321"/>
  </r>
  <r>
    <x v="12"/>
    <x v="9"/>
    <s v="Combined Heat and Power, Industrial Power"/>
    <x v="9"/>
    <n v="12434"/>
  </r>
  <r>
    <x v="12"/>
    <x v="9"/>
    <s v="Combined Heat and Power, Industrial Power"/>
    <x v="4"/>
    <n v="135662"/>
  </r>
  <r>
    <x v="12"/>
    <x v="9"/>
    <s v="Combined Heat and Power, Industrial Power"/>
    <x v="6"/>
    <n v="1266704"/>
  </r>
  <r>
    <x v="12"/>
    <x v="9"/>
    <s v="Combined Heat and Power, Electric Power"/>
    <x v="0"/>
    <n v="9241656"/>
  </r>
  <r>
    <x v="12"/>
    <x v="9"/>
    <s v="Combined Heat and Power, Electric Power"/>
    <x v="1"/>
    <n v="4766395"/>
  </r>
  <r>
    <x v="12"/>
    <x v="9"/>
    <s v="Combined Heat and Power, Electric Power"/>
    <x v="3"/>
    <n v="4051443"/>
  </r>
  <r>
    <x v="12"/>
    <x v="9"/>
    <s v="Combined Heat and Power, Electric Power"/>
    <x v="12"/>
    <n v="132477"/>
  </r>
  <r>
    <x v="12"/>
    <x v="9"/>
    <s v="Combined Heat and Power, Electric Power"/>
    <x v="8"/>
    <n v="225293"/>
  </r>
  <r>
    <x v="12"/>
    <x v="9"/>
    <s v="Combined Heat and Power, Electric Power"/>
    <x v="4"/>
    <n v="8265"/>
  </r>
  <r>
    <x v="12"/>
    <x v="9"/>
    <s v="Combined Heat and Power, Electric Power"/>
    <x v="6"/>
    <n v="57783"/>
  </r>
  <r>
    <x v="12"/>
    <x v="9"/>
    <s v="Combined Heat and Power, Commercial Power"/>
    <x v="0"/>
    <n v="110845"/>
  </r>
  <r>
    <x v="12"/>
    <x v="9"/>
    <s v="Combined Heat and Power, Commercial Power"/>
    <x v="3"/>
    <n v="70452"/>
  </r>
  <r>
    <x v="12"/>
    <x v="9"/>
    <s v="Combined Heat and Power, Commercial Power"/>
    <x v="8"/>
    <n v="40393"/>
  </r>
  <r>
    <x v="12"/>
    <x v="10"/>
    <s v="Total Electric Power Industry"/>
    <x v="0"/>
    <n v="126512215"/>
  </r>
  <r>
    <x v="12"/>
    <x v="10"/>
    <s v="Total Electric Power Industry"/>
    <x v="1"/>
    <n v="78828124"/>
  </r>
  <r>
    <x v="12"/>
    <x v="10"/>
    <s v="Total Electric Power Industry"/>
    <x v="2"/>
    <n v="2715722"/>
  </r>
  <r>
    <x v="12"/>
    <x v="10"/>
    <s v="Total Electric Power Industry"/>
    <x v="3"/>
    <n v="6889150"/>
  </r>
  <r>
    <x v="12"/>
    <x v="10"/>
    <s v="Total Electric Power Industry"/>
    <x v="7"/>
    <n v="31107735"/>
  </r>
  <r>
    <x v="12"/>
    <x v="10"/>
    <s v="Total Electric Power Industry"/>
    <x v="12"/>
    <n v="33652"/>
  </r>
  <r>
    <x v="12"/>
    <x v="10"/>
    <s v="Total Electric Power Industry"/>
    <x v="8"/>
    <n v="162457"/>
  </r>
  <r>
    <x v="12"/>
    <x v="10"/>
    <s v="Total Electric Power Industry"/>
    <x v="4"/>
    <n v="1204565"/>
  </r>
  <r>
    <x v="12"/>
    <x v="10"/>
    <s v="Total Electric Power Industry"/>
    <x v="10"/>
    <n v="-648168"/>
  </r>
  <r>
    <x v="12"/>
    <x v="10"/>
    <s v="Total Electric Power Industry"/>
    <x v="6"/>
    <n v="6218978"/>
  </r>
  <r>
    <x v="12"/>
    <x v="10"/>
    <s v="Electric Generators, Independent Power Producers"/>
    <x v="0"/>
    <n v="4893512"/>
  </r>
  <r>
    <x v="12"/>
    <x v="10"/>
    <s v="Electric Generators, Independent Power Producers"/>
    <x v="2"/>
    <n v="1952"/>
  </r>
  <r>
    <x v="12"/>
    <x v="10"/>
    <s v="Electric Generators, Independent Power Producers"/>
    <x v="3"/>
    <n v="4852152"/>
  </r>
  <r>
    <x v="12"/>
    <x v="10"/>
    <s v="Electric Generators, Independent Power Producers"/>
    <x v="12"/>
    <n v="0"/>
  </r>
  <r>
    <x v="12"/>
    <x v="10"/>
    <s v="Electric Generators, Independent Power Producers"/>
    <x v="8"/>
    <n v="18754"/>
  </r>
  <r>
    <x v="12"/>
    <x v="10"/>
    <s v="Electric Generators, Independent Power Producers"/>
    <x v="4"/>
    <n v="20654"/>
  </r>
  <r>
    <x v="12"/>
    <x v="10"/>
    <s v="Electric Generators, Electric Utilities"/>
    <x v="0"/>
    <n v="111855967"/>
  </r>
  <r>
    <x v="12"/>
    <x v="10"/>
    <s v="Electric Generators, Electric Utilities"/>
    <x v="1"/>
    <n v="77288328"/>
  </r>
  <r>
    <x v="12"/>
    <x v="10"/>
    <s v="Electric Generators, Electric Utilities"/>
    <x v="2"/>
    <n v="2684740"/>
  </r>
  <r>
    <x v="12"/>
    <x v="10"/>
    <s v="Electric Generators, Electric Utilities"/>
    <x v="3"/>
    <n v="1189392"/>
  </r>
  <r>
    <x v="12"/>
    <x v="10"/>
    <s v="Electric Generators, Electric Utilities"/>
    <x v="7"/>
    <n v="31107735"/>
  </r>
  <r>
    <x v="12"/>
    <x v="10"/>
    <s v="Electric Generators, Electric Utilities"/>
    <x v="4"/>
    <n v="233940"/>
  </r>
  <r>
    <x v="12"/>
    <x v="10"/>
    <s v="Electric Generators, Electric Utilities"/>
    <x v="10"/>
    <n v="-648168"/>
  </r>
  <r>
    <x v="12"/>
    <x v="10"/>
    <s v="Combined Heat and Power, Industrial Power"/>
    <x v="0"/>
    <n v="9371559"/>
  </r>
  <r>
    <x v="12"/>
    <x v="10"/>
    <s v="Combined Heat and Power, Industrial Power"/>
    <x v="1"/>
    <n v="1539796"/>
  </r>
  <r>
    <x v="12"/>
    <x v="10"/>
    <s v="Combined Heat and Power, Industrial Power"/>
    <x v="2"/>
    <n v="29030"/>
  </r>
  <r>
    <x v="12"/>
    <x v="10"/>
    <s v="Combined Heat and Power, Industrial Power"/>
    <x v="3"/>
    <n v="460730"/>
  </r>
  <r>
    <x v="12"/>
    <x v="10"/>
    <s v="Combined Heat and Power, Industrial Power"/>
    <x v="12"/>
    <n v="33652"/>
  </r>
  <r>
    <x v="12"/>
    <x v="10"/>
    <s v="Combined Heat and Power, Industrial Power"/>
    <x v="8"/>
    <n v="143703"/>
  </r>
  <r>
    <x v="12"/>
    <x v="10"/>
    <s v="Combined Heat and Power, Industrial Power"/>
    <x v="4"/>
    <n v="945670"/>
  </r>
  <r>
    <x v="12"/>
    <x v="10"/>
    <s v="Combined Heat and Power, Industrial Power"/>
    <x v="6"/>
    <n v="6218978"/>
  </r>
  <r>
    <x v="12"/>
    <x v="10"/>
    <s v="Combined Heat and Power, Electric Power"/>
    <x v="0"/>
    <n v="388372"/>
  </r>
  <r>
    <x v="12"/>
    <x v="10"/>
    <s v="Combined Heat and Power, Electric Power"/>
    <x v="3"/>
    <n v="386876"/>
  </r>
  <r>
    <x v="12"/>
    <x v="10"/>
    <s v="Combined Heat and Power, Electric Power"/>
    <x v="4"/>
    <n v="1496"/>
  </r>
  <r>
    <x v="12"/>
    <x v="10"/>
    <s v="Combined Heat and Power, Commercial Power"/>
    <x v="0"/>
    <n v="2805"/>
  </r>
  <r>
    <x v="12"/>
    <x v="10"/>
    <s v="Combined Heat and Power, Commercial Power"/>
    <x v="3"/>
    <n v="0"/>
  </r>
  <r>
    <x v="12"/>
    <x v="10"/>
    <s v="Combined Heat and Power, Commercial Power"/>
    <x v="12"/>
    <n v="0"/>
  </r>
  <r>
    <x v="12"/>
    <x v="10"/>
    <s v="Combined Heat and Power, Commercial Power"/>
    <x v="4"/>
    <n v="2805"/>
  </r>
  <r>
    <x v="12"/>
    <x v="11"/>
    <s v="Total Electric Power Industry"/>
    <x v="0"/>
    <n v="11663070"/>
  </r>
  <r>
    <x v="12"/>
    <x v="11"/>
    <s v="Total Electric Power Industry"/>
    <x v="1"/>
    <n v="1545797"/>
  </r>
  <r>
    <x v="12"/>
    <x v="11"/>
    <s v="Total Electric Power Industry"/>
    <x v="11"/>
    <n v="72761"/>
  </r>
  <r>
    <x v="12"/>
    <x v="11"/>
    <s v="Total Electric Power Industry"/>
    <x v="2"/>
    <n v="95068"/>
  </r>
  <r>
    <x v="12"/>
    <x v="11"/>
    <s v="Total Electric Power Industry"/>
    <x v="12"/>
    <n v="143481"/>
  </r>
  <r>
    <x v="12"/>
    <x v="11"/>
    <s v="Total Electric Power Industry"/>
    <x v="8"/>
    <n v="296543"/>
  </r>
  <r>
    <x v="12"/>
    <x v="11"/>
    <s v="Total Electric Power Industry"/>
    <x v="9"/>
    <n v="40816"/>
  </r>
  <r>
    <x v="12"/>
    <x v="11"/>
    <s v="Total Electric Power Industry"/>
    <x v="4"/>
    <n v="9466990"/>
  </r>
  <r>
    <x v="12"/>
    <x v="11"/>
    <s v="Total Electric Power Industry"/>
    <x v="5"/>
    <n v="1614"/>
  </r>
  <r>
    <x v="12"/>
    <x v="11"/>
    <s v="Electric Generators, Independent Power Producers"/>
    <x v="0"/>
    <n v="400254"/>
  </r>
  <r>
    <x v="12"/>
    <x v="11"/>
    <s v="Electric Generators, Independent Power Producers"/>
    <x v="11"/>
    <n v="72761"/>
  </r>
  <r>
    <x v="12"/>
    <x v="11"/>
    <s v="Electric Generators, Independent Power Producers"/>
    <x v="2"/>
    <n v="26307"/>
  </r>
  <r>
    <x v="12"/>
    <x v="11"/>
    <s v="Electric Generators, Independent Power Producers"/>
    <x v="12"/>
    <n v="131857"/>
  </r>
  <r>
    <x v="12"/>
    <x v="11"/>
    <s v="Electric Generators, Independent Power Producers"/>
    <x v="8"/>
    <n v="169320"/>
  </r>
  <r>
    <x v="12"/>
    <x v="11"/>
    <s v="Electric Generators, Independent Power Producers"/>
    <x v="5"/>
    <n v="9"/>
  </r>
  <r>
    <x v="12"/>
    <x v="11"/>
    <s v="Electric Generators, Electric Utilities"/>
    <x v="0"/>
    <n v="7513051"/>
  </r>
  <r>
    <x v="12"/>
    <x v="11"/>
    <s v="Electric Generators, Electric Utilities"/>
    <x v="2"/>
    <n v="8533"/>
  </r>
  <r>
    <x v="12"/>
    <x v="11"/>
    <s v="Electric Generators, Electric Utilities"/>
    <x v="4"/>
    <n v="7502913"/>
  </r>
  <r>
    <x v="12"/>
    <x v="11"/>
    <s v="Electric Generators, Electric Utilities"/>
    <x v="5"/>
    <n v="1605"/>
  </r>
  <r>
    <x v="12"/>
    <x v="11"/>
    <s v="Combined Heat and Power, Industrial Power"/>
    <x v="0"/>
    <n v="461082"/>
  </r>
  <r>
    <x v="12"/>
    <x v="11"/>
    <s v="Combined Heat and Power, Industrial Power"/>
    <x v="1"/>
    <n v="27074"/>
  </r>
  <r>
    <x v="12"/>
    <x v="11"/>
    <s v="Combined Heat and Power, Industrial Power"/>
    <x v="2"/>
    <n v="60228"/>
  </r>
  <r>
    <x v="12"/>
    <x v="11"/>
    <s v="Combined Heat and Power, Industrial Power"/>
    <x v="8"/>
    <n v="127223"/>
  </r>
  <r>
    <x v="12"/>
    <x v="11"/>
    <s v="Combined Heat and Power, Industrial Power"/>
    <x v="9"/>
    <n v="40816"/>
  </r>
  <r>
    <x v="12"/>
    <x v="11"/>
    <s v="Combined Heat and Power, Industrial Power"/>
    <x v="4"/>
    <n v="205741"/>
  </r>
  <r>
    <x v="12"/>
    <x v="11"/>
    <s v="Combined Heat and Power, Electric Power"/>
    <x v="0"/>
    <n v="3288683"/>
  </r>
  <r>
    <x v="12"/>
    <x v="11"/>
    <s v="Combined Heat and Power, Electric Power"/>
    <x v="1"/>
    <n v="1518723"/>
  </r>
  <r>
    <x v="12"/>
    <x v="11"/>
    <s v="Combined Heat and Power, Electric Power"/>
    <x v="12"/>
    <n v="11624"/>
  </r>
  <r>
    <x v="12"/>
    <x v="11"/>
    <s v="Combined Heat and Power, Electric Power"/>
    <x v="8"/>
    <n v="0"/>
  </r>
  <r>
    <x v="12"/>
    <x v="11"/>
    <s v="Combined Heat and Power, Electric Power"/>
    <x v="4"/>
    <n v="1758336"/>
  </r>
  <r>
    <x v="12"/>
    <x v="12"/>
    <s v="Total Electric Power Industry"/>
    <x v="0"/>
    <n v="42528384"/>
  </r>
  <r>
    <x v="12"/>
    <x v="12"/>
    <s v="Total Electric Power Industry"/>
    <x v="1"/>
    <n v="35372058"/>
  </r>
  <r>
    <x v="12"/>
    <x v="12"/>
    <s v="Total Electric Power Industry"/>
    <x v="2"/>
    <n v="946383"/>
  </r>
  <r>
    <x v="12"/>
    <x v="12"/>
    <s v="Total Electric Power Industry"/>
    <x v="3"/>
    <n v="554719"/>
  </r>
  <r>
    <x v="12"/>
    <x v="12"/>
    <s v="Total Electric Power Industry"/>
    <x v="7"/>
    <n v="4573958"/>
  </r>
  <r>
    <x v="12"/>
    <x v="12"/>
    <s v="Total Electric Power Industry"/>
    <x v="12"/>
    <n v="234"/>
  </r>
  <r>
    <x v="12"/>
    <x v="12"/>
    <s v="Total Electric Power Industry"/>
    <x v="8"/>
    <n v="98242"/>
  </r>
  <r>
    <x v="12"/>
    <x v="12"/>
    <s v="Total Electric Power Industry"/>
    <x v="4"/>
    <n v="63864"/>
  </r>
  <r>
    <x v="12"/>
    <x v="12"/>
    <s v="Total Electric Power Industry"/>
    <x v="5"/>
    <n v="918835"/>
  </r>
  <r>
    <x v="12"/>
    <x v="12"/>
    <s v="Total Electric Power Industry"/>
    <x v="6"/>
    <n v="91"/>
  </r>
  <r>
    <x v="12"/>
    <x v="12"/>
    <s v="Electric Generators, Independent Power Producers"/>
    <x v="0"/>
    <n v="917339"/>
  </r>
  <r>
    <x v="12"/>
    <x v="12"/>
    <s v="Electric Generators, Independent Power Producers"/>
    <x v="2"/>
    <n v="9695"/>
  </r>
  <r>
    <x v="12"/>
    <x v="12"/>
    <s v="Electric Generators, Independent Power Producers"/>
    <x v="4"/>
    <n v="2225"/>
  </r>
  <r>
    <x v="12"/>
    <x v="12"/>
    <s v="Electric Generators, Independent Power Producers"/>
    <x v="5"/>
    <n v="905419"/>
  </r>
  <r>
    <x v="12"/>
    <x v="12"/>
    <s v="Electric Generators, Electric Utilities"/>
    <x v="0"/>
    <n v="40051665"/>
  </r>
  <r>
    <x v="12"/>
    <x v="12"/>
    <s v="Electric Generators, Electric Utilities"/>
    <x v="1"/>
    <n v="34033119"/>
  </r>
  <r>
    <x v="12"/>
    <x v="12"/>
    <s v="Electric Generators, Electric Utilities"/>
    <x v="2"/>
    <n v="936688"/>
  </r>
  <r>
    <x v="12"/>
    <x v="12"/>
    <s v="Electric Generators, Electric Utilities"/>
    <x v="3"/>
    <n v="406796"/>
  </r>
  <r>
    <x v="12"/>
    <x v="12"/>
    <s v="Electric Generators, Electric Utilities"/>
    <x v="7"/>
    <n v="4573958"/>
  </r>
  <r>
    <x v="12"/>
    <x v="12"/>
    <s v="Electric Generators, Electric Utilities"/>
    <x v="8"/>
    <n v="32136"/>
  </r>
  <r>
    <x v="12"/>
    <x v="12"/>
    <s v="Electric Generators, Electric Utilities"/>
    <x v="4"/>
    <n v="55552"/>
  </r>
  <r>
    <x v="12"/>
    <x v="12"/>
    <s v="Electric Generators, Electric Utilities"/>
    <x v="5"/>
    <n v="13416"/>
  </r>
  <r>
    <x v="12"/>
    <x v="12"/>
    <s v="Combined Heat and Power, Industrial Power"/>
    <x v="0"/>
    <n v="1262791"/>
  </r>
  <r>
    <x v="12"/>
    <x v="12"/>
    <s v="Combined Heat and Power, Industrial Power"/>
    <x v="1"/>
    <n v="1131797"/>
  </r>
  <r>
    <x v="12"/>
    <x v="12"/>
    <s v="Combined Heat and Power, Industrial Power"/>
    <x v="3"/>
    <n v="130764"/>
  </r>
  <r>
    <x v="12"/>
    <x v="12"/>
    <s v="Combined Heat and Power, Industrial Power"/>
    <x v="4"/>
    <n v="139"/>
  </r>
  <r>
    <x v="12"/>
    <x v="12"/>
    <s v="Combined Heat and Power, Industrial Power"/>
    <x v="6"/>
    <n v="91"/>
  </r>
  <r>
    <x v="12"/>
    <x v="12"/>
    <s v="Combined Heat and Power, Electric Power"/>
    <x v="0"/>
    <n v="167288"/>
  </r>
  <r>
    <x v="12"/>
    <x v="12"/>
    <s v="Combined Heat and Power, Electric Power"/>
    <x v="1"/>
    <n v="111913"/>
  </r>
  <r>
    <x v="12"/>
    <x v="12"/>
    <s v="Combined Heat and Power, Electric Power"/>
    <x v="3"/>
    <n v="0"/>
  </r>
  <r>
    <x v="12"/>
    <x v="12"/>
    <s v="Combined Heat and Power, Electric Power"/>
    <x v="8"/>
    <n v="55375"/>
  </r>
  <r>
    <x v="12"/>
    <x v="12"/>
    <s v="Combined Heat and Power, Commercial Power"/>
    <x v="0"/>
    <n v="129302"/>
  </r>
  <r>
    <x v="12"/>
    <x v="12"/>
    <s v="Combined Heat and Power, Commercial Power"/>
    <x v="1"/>
    <n v="95230"/>
  </r>
  <r>
    <x v="12"/>
    <x v="12"/>
    <s v="Combined Heat and Power, Commercial Power"/>
    <x v="3"/>
    <n v="17159"/>
  </r>
  <r>
    <x v="12"/>
    <x v="12"/>
    <s v="Combined Heat and Power, Commercial Power"/>
    <x v="12"/>
    <n v="234"/>
  </r>
  <r>
    <x v="12"/>
    <x v="12"/>
    <s v="Combined Heat and Power, Commercial Power"/>
    <x v="8"/>
    <n v="10731"/>
  </r>
  <r>
    <x v="12"/>
    <x v="12"/>
    <s v="Combined Heat and Power, Commercial Power"/>
    <x v="4"/>
    <n v="5948"/>
  </r>
  <r>
    <x v="12"/>
    <x v="13"/>
    <s v="Total Electric Power Industry"/>
    <x v="0"/>
    <n v="9786933"/>
  </r>
  <r>
    <x v="12"/>
    <x v="13"/>
    <s v="Total Electric Power Industry"/>
    <x v="1"/>
    <n v="90673"/>
  </r>
  <r>
    <x v="12"/>
    <x v="13"/>
    <s v="Total Electric Power Industry"/>
    <x v="2"/>
    <n v="8769321"/>
  </r>
  <r>
    <x v="12"/>
    <x v="13"/>
    <s v="Total Electric Power Industry"/>
    <x v="3"/>
    <n v="328988"/>
  </r>
  <r>
    <x v="12"/>
    <x v="13"/>
    <s v="Total Electric Power Industry"/>
    <x v="12"/>
    <n v="89583"/>
  </r>
  <r>
    <x v="12"/>
    <x v="13"/>
    <s v="Total Electric Power Industry"/>
    <x v="4"/>
    <n v="65"/>
  </r>
  <r>
    <x v="12"/>
    <x v="13"/>
    <s v="Total Electric Power Industry"/>
    <x v="6"/>
    <n v="508303"/>
  </r>
  <r>
    <x v="12"/>
    <x v="13"/>
    <s v="Electric Generators, Independent Power Producers"/>
    <x v="0"/>
    <n v="681414"/>
  </r>
  <r>
    <x v="12"/>
    <x v="13"/>
    <s v="Electric Generators, Independent Power Producers"/>
    <x v="2"/>
    <n v="681414"/>
  </r>
  <r>
    <x v="12"/>
    <x v="13"/>
    <s v="Electric Generators, Independent Power Producers"/>
    <x v="3"/>
    <n v="0"/>
  </r>
  <r>
    <x v="12"/>
    <x v="13"/>
    <s v="Electric Generators, Electric Utilities"/>
    <x v="0"/>
    <n v="8164140"/>
  </r>
  <r>
    <x v="12"/>
    <x v="13"/>
    <s v="Electric Generators, Electric Utilities"/>
    <x v="2"/>
    <n v="8087907"/>
  </r>
  <r>
    <x v="12"/>
    <x v="13"/>
    <s v="Electric Generators, Electric Utilities"/>
    <x v="3"/>
    <n v="76168"/>
  </r>
  <r>
    <x v="12"/>
    <x v="13"/>
    <s v="Electric Generators, Electric Utilities"/>
    <x v="4"/>
    <n v="65"/>
  </r>
  <r>
    <x v="12"/>
    <x v="13"/>
    <s v="Combined Heat and Power, Industrial Power"/>
    <x v="0"/>
    <n v="696814"/>
  </r>
  <r>
    <x v="12"/>
    <x v="13"/>
    <s v="Combined Heat and Power, Industrial Power"/>
    <x v="1"/>
    <n v="90673"/>
  </r>
  <r>
    <x v="12"/>
    <x v="13"/>
    <s v="Combined Heat and Power, Industrial Power"/>
    <x v="3"/>
    <n v="81539"/>
  </r>
  <r>
    <x v="12"/>
    <x v="13"/>
    <s v="Combined Heat and Power, Industrial Power"/>
    <x v="12"/>
    <n v="89583"/>
  </r>
  <r>
    <x v="12"/>
    <x v="13"/>
    <s v="Combined Heat and Power, Industrial Power"/>
    <x v="4"/>
    <n v="0"/>
  </r>
  <r>
    <x v="12"/>
    <x v="13"/>
    <s v="Combined Heat and Power, Industrial Power"/>
    <x v="6"/>
    <n v="435019"/>
  </r>
  <r>
    <x v="12"/>
    <x v="13"/>
    <s v="Combined Heat and Power, Electric Power"/>
    <x v="0"/>
    <n v="244565"/>
  </r>
  <r>
    <x v="12"/>
    <x v="13"/>
    <s v="Combined Heat and Power, Electric Power"/>
    <x v="3"/>
    <n v="171281"/>
  </r>
  <r>
    <x v="12"/>
    <x v="13"/>
    <s v="Combined Heat and Power, Electric Power"/>
    <x v="6"/>
    <n v="73284"/>
  </r>
  <r>
    <x v="12"/>
    <x v="14"/>
    <s v="Total Electric Power Industry"/>
    <x v="0"/>
    <n v="188054449"/>
  </r>
  <r>
    <x v="12"/>
    <x v="14"/>
    <s v="Total Electric Power Industry"/>
    <x v="1"/>
    <n v="86685347"/>
  </r>
  <r>
    <x v="12"/>
    <x v="14"/>
    <s v="Total Electric Power Industry"/>
    <x v="2"/>
    <n v="128822"/>
  </r>
  <r>
    <x v="12"/>
    <x v="14"/>
    <s v="Total Electric Power Industry"/>
    <x v="3"/>
    <n v="9078735"/>
  </r>
  <r>
    <x v="12"/>
    <x v="14"/>
    <s v="Total Electric Power Industry"/>
    <x v="7"/>
    <n v="90860108"/>
  </r>
  <r>
    <x v="12"/>
    <x v="14"/>
    <s v="Total Electric Power Industry"/>
    <x v="12"/>
    <n v="122396"/>
  </r>
  <r>
    <x v="12"/>
    <x v="14"/>
    <s v="Total Electric Power Industry"/>
    <x v="8"/>
    <n v="723508"/>
  </r>
  <r>
    <x v="12"/>
    <x v="14"/>
    <s v="Total Electric Power Industry"/>
    <x v="9"/>
    <n v="232850"/>
  </r>
  <r>
    <x v="12"/>
    <x v="14"/>
    <s v="Total Electric Power Industry"/>
    <x v="4"/>
    <n v="222683"/>
  </r>
  <r>
    <x v="12"/>
    <x v="14"/>
    <s v="Electric Generators, Independent Power Producers"/>
    <x v="0"/>
    <n v="166769362"/>
  </r>
  <r>
    <x v="12"/>
    <x v="14"/>
    <s v="Electric Generators, Independent Power Producers"/>
    <x v="1"/>
    <n v="67732942"/>
  </r>
  <r>
    <x v="12"/>
    <x v="14"/>
    <s v="Electric Generators, Independent Power Producers"/>
    <x v="2"/>
    <n v="71719"/>
  </r>
  <r>
    <x v="12"/>
    <x v="14"/>
    <s v="Electric Generators, Independent Power Producers"/>
    <x v="3"/>
    <n v="7301539"/>
  </r>
  <r>
    <x v="12"/>
    <x v="14"/>
    <s v="Electric Generators, Independent Power Producers"/>
    <x v="7"/>
    <n v="90860108"/>
  </r>
  <r>
    <x v="12"/>
    <x v="14"/>
    <s v="Electric Generators, Independent Power Producers"/>
    <x v="12"/>
    <n v="113998"/>
  </r>
  <r>
    <x v="12"/>
    <x v="14"/>
    <s v="Electric Generators, Independent Power Producers"/>
    <x v="8"/>
    <n v="501763"/>
  </r>
  <r>
    <x v="12"/>
    <x v="14"/>
    <s v="Electric Generators, Independent Power Producers"/>
    <x v="4"/>
    <n v="187293"/>
  </r>
  <r>
    <x v="12"/>
    <x v="14"/>
    <s v="Electric Generators, Electric Utilities"/>
    <x v="0"/>
    <n v="17149913"/>
  </r>
  <r>
    <x v="12"/>
    <x v="14"/>
    <s v="Electric Generators, Electric Utilities"/>
    <x v="1"/>
    <n v="16897445"/>
  </r>
  <r>
    <x v="12"/>
    <x v="14"/>
    <s v="Electric Generators, Electric Utilities"/>
    <x v="2"/>
    <n v="56870"/>
  </r>
  <r>
    <x v="12"/>
    <x v="14"/>
    <s v="Electric Generators, Electric Utilities"/>
    <x v="3"/>
    <n v="161134"/>
  </r>
  <r>
    <x v="12"/>
    <x v="14"/>
    <s v="Electric Generators, Electric Utilities"/>
    <x v="4"/>
    <n v="34464"/>
  </r>
  <r>
    <x v="12"/>
    <x v="14"/>
    <s v="Combined Heat and Power, Industrial Power"/>
    <x v="0"/>
    <n v="2882420"/>
  </r>
  <r>
    <x v="12"/>
    <x v="14"/>
    <s v="Combined Heat and Power, Industrial Power"/>
    <x v="1"/>
    <n v="1959528"/>
  </r>
  <r>
    <x v="12"/>
    <x v="14"/>
    <s v="Combined Heat and Power, Industrial Power"/>
    <x v="3"/>
    <n v="615511"/>
  </r>
  <r>
    <x v="12"/>
    <x v="14"/>
    <s v="Combined Heat and Power, Industrial Power"/>
    <x v="12"/>
    <n v="8398"/>
  </r>
  <r>
    <x v="12"/>
    <x v="14"/>
    <s v="Combined Heat and Power, Industrial Power"/>
    <x v="8"/>
    <n v="66085"/>
  </r>
  <r>
    <x v="12"/>
    <x v="14"/>
    <s v="Combined Heat and Power, Industrial Power"/>
    <x v="9"/>
    <n v="232850"/>
  </r>
  <r>
    <x v="12"/>
    <x v="14"/>
    <s v="Combined Heat and Power, Industrial Power"/>
    <x v="4"/>
    <n v="48"/>
  </r>
  <r>
    <x v="12"/>
    <x v="14"/>
    <s v="Combined Heat and Power, Electric Power"/>
    <x v="0"/>
    <n v="863157"/>
  </r>
  <r>
    <x v="12"/>
    <x v="14"/>
    <s v="Combined Heat and Power, Electric Power"/>
    <x v="1"/>
    <n v="85618"/>
  </r>
  <r>
    <x v="12"/>
    <x v="14"/>
    <s v="Combined Heat and Power, Electric Power"/>
    <x v="3"/>
    <n v="626055"/>
  </r>
  <r>
    <x v="12"/>
    <x v="14"/>
    <s v="Combined Heat and Power, Electric Power"/>
    <x v="8"/>
    <n v="150847"/>
  </r>
  <r>
    <x v="12"/>
    <x v="14"/>
    <s v="Combined Heat and Power, Electric Power"/>
    <x v="9"/>
    <n v="0"/>
  </r>
  <r>
    <x v="12"/>
    <x v="14"/>
    <s v="Combined Heat and Power, Electric Power"/>
    <x v="4"/>
    <n v="637"/>
  </r>
  <r>
    <x v="12"/>
    <x v="14"/>
    <s v="Combined Heat and Power, Commercial Power"/>
    <x v="0"/>
    <n v="389597"/>
  </r>
  <r>
    <x v="12"/>
    <x v="14"/>
    <s v="Combined Heat and Power, Commercial Power"/>
    <x v="1"/>
    <n v="9814"/>
  </r>
  <r>
    <x v="12"/>
    <x v="14"/>
    <s v="Combined Heat and Power, Commercial Power"/>
    <x v="2"/>
    <n v="233"/>
  </r>
  <r>
    <x v="12"/>
    <x v="14"/>
    <s v="Combined Heat and Power, Commercial Power"/>
    <x v="3"/>
    <n v="374496"/>
  </r>
  <r>
    <x v="12"/>
    <x v="14"/>
    <s v="Combined Heat and Power, Commercial Power"/>
    <x v="12"/>
    <n v="0"/>
  </r>
  <r>
    <x v="12"/>
    <x v="14"/>
    <s v="Combined Heat and Power, Commercial Power"/>
    <x v="8"/>
    <n v="4813"/>
  </r>
  <r>
    <x v="12"/>
    <x v="14"/>
    <s v="Combined Heat and Power, Commercial Power"/>
    <x v="4"/>
    <n v="241"/>
  </r>
  <r>
    <x v="12"/>
    <x v="15"/>
    <s v="Total Electric Power Industry"/>
    <x v="0"/>
    <n v="125608140"/>
  </r>
  <r>
    <x v="12"/>
    <x v="15"/>
    <s v="Total Electric Power Industry"/>
    <x v="1"/>
    <n v="117659700"/>
  </r>
  <r>
    <x v="12"/>
    <x v="15"/>
    <s v="Total Electric Power Industry"/>
    <x v="2"/>
    <n v="411270"/>
  </r>
  <r>
    <x v="12"/>
    <x v="15"/>
    <s v="Total Electric Power Industry"/>
    <x v="3"/>
    <n v="3782451"/>
  </r>
  <r>
    <x v="12"/>
    <x v="15"/>
    <s v="Total Electric Power Industry"/>
    <x v="12"/>
    <n v="15642"/>
  </r>
  <r>
    <x v="12"/>
    <x v="15"/>
    <s v="Total Electric Power Industry"/>
    <x v="8"/>
    <n v="115946"/>
  </r>
  <r>
    <x v="12"/>
    <x v="15"/>
    <s v="Total Electric Power Industry"/>
    <x v="9"/>
    <n v="3005998"/>
  </r>
  <r>
    <x v="12"/>
    <x v="15"/>
    <s v="Total Electric Power Industry"/>
    <x v="4"/>
    <n v="617132"/>
  </r>
  <r>
    <x v="12"/>
    <x v="15"/>
    <s v="Electric Generators, Independent Power Producers"/>
    <x v="0"/>
    <n v="9878933"/>
  </r>
  <r>
    <x v="12"/>
    <x v="15"/>
    <s v="Electric Generators, Independent Power Producers"/>
    <x v="1"/>
    <n v="7972028"/>
  </r>
  <r>
    <x v="12"/>
    <x v="15"/>
    <s v="Electric Generators, Independent Power Producers"/>
    <x v="3"/>
    <n v="1817996"/>
  </r>
  <r>
    <x v="12"/>
    <x v="15"/>
    <s v="Electric Generators, Independent Power Producers"/>
    <x v="8"/>
    <n v="88589"/>
  </r>
  <r>
    <x v="12"/>
    <x v="15"/>
    <s v="Electric Generators, Independent Power Producers"/>
    <x v="4"/>
    <n v="320"/>
  </r>
  <r>
    <x v="12"/>
    <x v="15"/>
    <s v="Electric Generators, Electric Utilities"/>
    <x v="0"/>
    <n v="112029989"/>
  </r>
  <r>
    <x v="12"/>
    <x v="15"/>
    <s v="Electric Generators, Electric Utilities"/>
    <x v="1"/>
    <n v="109441044"/>
  </r>
  <r>
    <x v="12"/>
    <x v="15"/>
    <s v="Electric Generators, Electric Utilities"/>
    <x v="2"/>
    <n v="411270"/>
  </r>
  <r>
    <x v="12"/>
    <x v="15"/>
    <s v="Electric Generators, Electric Utilities"/>
    <x v="3"/>
    <n v="1706699"/>
  </r>
  <r>
    <x v="12"/>
    <x v="15"/>
    <s v="Electric Generators, Electric Utilities"/>
    <x v="4"/>
    <n v="470976"/>
  </r>
  <r>
    <x v="12"/>
    <x v="15"/>
    <s v="Combined Heat and Power, Industrial Power"/>
    <x v="0"/>
    <n v="3435036"/>
  </r>
  <r>
    <x v="12"/>
    <x v="15"/>
    <s v="Combined Heat and Power, Industrial Power"/>
    <x v="1"/>
    <n v="36918"/>
  </r>
  <r>
    <x v="12"/>
    <x v="15"/>
    <s v="Combined Heat and Power, Industrial Power"/>
    <x v="3"/>
    <n v="248351"/>
  </r>
  <r>
    <x v="12"/>
    <x v="15"/>
    <s v="Combined Heat and Power, Industrial Power"/>
    <x v="12"/>
    <n v="0"/>
  </r>
  <r>
    <x v="12"/>
    <x v="15"/>
    <s v="Combined Heat and Power, Industrial Power"/>
    <x v="8"/>
    <n v="7450"/>
  </r>
  <r>
    <x v="12"/>
    <x v="15"/>
    <s v="Combined Heat and Power, Industrial Power"/>
    <x v="9"/>
    <n v="3000750"/>
  </r>
  <r>
    <x v="12"/>
    <x v="15"/>
    <s v="Combined Heat and Power, Industrial Power"/>
    <x v="4"/>
    <n v="141567"/>
  </r>
  <r>
    <x v="12"/>
    <x v="15"/>
    <s v="Combined Heat and Power, Electric Power"/>
    <x v="0"/>
    <n v="21899"/>
  </r>
  <r>
    <x v="12"/>
    <x v="15"/>
    <s v="Combined Heat and Power, Electric Power"/>
    <x v="1"/>
    <n v="13873"/>
  </r>
  <r>
    <x v="12"/>
    <x v="15"/>
    <s v="Combined Heat and Power, Electric Power"/>
    <x v="3"/>
    <n v="2710"/>
  </r>
  <r>
    <x v="12"/>
    <x v="15"/>
    <s v="Combined Heat and Power, Electric Power"/>
    <x v="9"/>
    <n v="5248"/>
  </r>
  <r>
    <x v="12"/>
    <x v="15"/>
    <s v="Combined Heat and Power, Electric Power"/>
    <x v="4"/>
    <n v="68"/>
  </r>
  <r>
    <x v="12"/>
    <x v="15"/>
    <s v="Combined Heat and Power, Commercial Power"/>
    <x v="0"/>
    <n v="242282"/>
  </r>
  <r>
    <x v="12"/>
    <x v="15"/>
    <s v="Combined Heat and Power, Commercial Power"/>
    <x v="1"/>
    <n v="195837"/>
  </r>
  <r>
    <x v="12"/>
    <x v="15"/>
    <s v="Combined Heat and Power, Commercial Power"/>
    <x v="3"/>
    <n v="6695"/>
  </r>
  <r>
    <x v="12"/>
    <x v="15"/>
    <s v="Combined Heat and Power, Commercial Power"/>
    <x v="12"/>
    <n v="15642"/>
  </r>
  <r>
    <x v="12"/>
    <x v="15"/>
    <s v="Combined Heat and Power, Commercial Power"/>
    <x v="8"/>
    <n v="19907"/>
  </r>
  <r>
    <x v="12"/>
    <x v="15"/>
    <s v="Combined Heat and Power, Commercial Power"/>
    <x v="4"/>
    <n v="4201"/>
  </r>
  <r>
    <x v="12"/>
    <x v="16"/>
    <s v="Total Electric Power Industry"/>
    <x v="0"/>
    <n v="47188446"/>
  </r>
  <r>
    <x v="12"/>
    <x v="16"/>
    <s v="Total Electric Power Industry"/>
    <x v="1"/>
    <n v="35369189"/>
  </r>
  <r>
    <x v="12"/>
    <x v="16"/>
    <s v="Total Electric Power Industry"/>
    <x v="2"/>
    <n v="12746"/>
  </r>
  <r>
    <x v="12"/>
    <x v="16"/>
    <s v="Total Electric Power Industry"/>
    <x v="3"/>
    <n v="1789052"/>
  </r>
  <r>
    <x v="12"/>
    <x v="16"/>
    <s v="Total Electric Power Industry"/>
    <x v="7"/>
    <n v="9041702"/>
  </r>
  <r>
    <x v="12"/>
    <x v="16"/>
    <s v="Total Electric Power Industry"/>
    <x v="4"/>
    <n v="509078"/>
  </r>
  <r>
    <x v="12"/>
    <x v="16"/>
    <s v="Total Electric Power Industry"/>
    <x v="5"/>
    <n v="466679"/>
  </r>
  <r>
    <x v="12"/>
    <x v="16"/>
    <s v="Electric Generators, Independent Power Producers"/>
    <x v="0"/>
    <n v="479425"/>
  </r>
  <r>
    <x v="12"/>
    <x v="16"/>
    <s v="Electric Generators, Independent Power Producers"/>
    <x v="2"/>
    <n v="12746"/>
  </r>
  <r>
    <x v="12"/>
    <x v="16"/>
    <s v="Electric Generators, Independent Power Producers"/>
    <x v="5"/>
    <n v="466679"/>
  </r>
  <r>
    <x v="12"/>
    <x v="16"/>
    <s v="Electric Generators, Electric Utilities"/>
    <x v="0"/>
    <n v="46691936"/>
  </r>
  <r>
    <x v="12"/>
    <x v="16"/>
    <s v="Electric Generators, Electric Utilities"/>
    <x v="1"/>
    <n v="35369189"/>
  </r>
  <r>
    <x v="12"/>
    <x v="16"/>
    <s v="Electric Generators, Electric Utilities"/>
    <x v="3"/>
    <n v="1772188"/>
  </r>
  <r>
    <x v="12"/>
    <x v="16"/>
    <s v="Electric Generators, Electric Utilities"/>
    <x v="7"/>
    <n v="9041702"/>
  </r>
  <r>
    <x v="12"/>
    <x v="16"/>
    <s v="Electric Generators, Electric Utilities"/>
    <x v="4"/>
    <n v="508857"/>
  </r>
  <r>
    <x v="12"/>
    <x v="16"/>
    <s v="Combined Heat and Power, Industrial Power"/>
    <x v="0"/>
    <n v="16237"/>
  </r>
  <r>
    <x v="12"/>
    <x v="16"/>
    <s v="Combined Heat and Power, Industrial Power"/>
    <x v="3"/>
    <n v="16016"/>
  </r>
  <r>
    <x v="12"/>
    <x v="16"/>
    <s v="Combined Heat and Power, Industrial Power"/>
    <x v="4"/>
    <n v="221"/>
  </r>
  <r>
    <x v="12"/>
    <x v="16"/>
    <s v="Combined Heat and Power, Commercial Power"/>
    <x v="0"/>
    <n v="848"/>
  </r>
  <r>
    <x v="12"/>
    <x v="16"/>
    <s v="Combined Heat and Power, Commercial Power"/>
    <x v="3"/>
    <n v="848"/>
  </r>
  <r>
    <x v="12"/>
    <x v="16"/>
    <s v="Combined Heat and Power, Commercial Power"/>
    <x v="4"/>
    <n v="0"/>
  </r>
  <r>
    <x v="12"/>
    <x v="17"/>
    <s v="Total Electric Power Industry"/>
    <x v="0"/>
    <n v="92106668"/>
  </r>
  <r>
    <x v="12"/>
    <x v="17"/>
    <s v="Total Electric Power Industry"/>
    <x v="1"/>
    <n v="83274246"/>
  </r>
  <r>
    <x v="12"/>
    <x v="17"/>
    <s v="Total Electric Power Industry"/>
    <x v="2"/>
    <n v="4024749"/>
  </r>
  <r>
    <x v="12"/>
    <x v="17"/>
    <s v="Total Electric Power Industry"/>
    <x v="3"/>
    <n v="1373710"/>
  </r>
  <r>
    <x v="12"/>
    <x v="17"/>
    <s v="Total Electric Power Industry"/>
    <x v="4"/>
    <n v="3068498"/>
  </r>
  <r>
    <x v="12"/>
    <x v="17"/>
    <s v="Total Electric Power Industry"/>
    <x v="6"/>
    <n v="365465"/>
  </r>
  <r>
    <x v="12"/>
    <x v="17"/>
    <s v="Electric Generators, Independent Power Producers"/>
    <x v="0"/>
    <n v="11368886"/>
  </r>
  <r>
    <x v="12"/>
    <x v="17"/>
    <s v="Electric Generators, Independent Power Producers"/>
    <x v="1"/>
    <n v="7966084"/>
  </r>
  <r>
    <x v="12"/>
    <x v="17"/>
    <s v="Electric Generators, Independent Power Producers"/>
    <x v="3"/>
    <n v="469716"/>
  </r>
  <r>
    <x v="12"/>
    <x v="17"/>
    <s v="Electric Generators, Independent Power Producers"/>
    <x v="4"/>
    <n v="2933086"/>
  </r>
  <r>
    <x v="12"/>
    <x v="17"/>
    <s v="Electric Generators, Electric Utilities"/>
    <x v="0"/>
    <n v="80161524"/>
  </r>
  <r>
    <x v="12"/>
    <x v="17"/>
    <s v="Electric Generators, Electric Utilities"/>
    <x v="1"/>
    <n v="75308162"/>
  </r>
  <r>
    <x v="12"/>
    <x v="17"/>
    <s v="Electric Generators, Electric Utilities"/>
    <x v="2"/>
    <n v="4024749"/>
  </r>
  <r>
    <x v="12"/>
    <x v="17"/>
    <s v="Electric Generators, Electric Utilities"/>
    <x v="3"/>
    <n v="693201"/>
  </r>
  <r>
    <x v="12"/>
    <x v="17"/>
    <s v="Electric Generators, Electric Utilities"/>
    <x v="4"/>
    <n v="135412"/>
  </r>
  <r>
    <x v="12"/>
    <x v="17"/>
    <s v="Combined Heat and Power, Industrial Power"/>
    <x v="0"/>
    <n v="576258"/>
  </r>
  <r>
    <x v="12"/>
    <x v="17"/>
    <s v="Combined Heat and Power, Industrial Power"/>
    <x v="3"/>
    <n v="210793"/>
  </r>
  <r>
    <x v="12"/>
    <x v="17"/>
    <s v="Combined Heat and Power, Industrial Power"/>
    <x v="6"/>
    <n v="365465"/>
  </r>
  <r>
    <x v="12"/>
    <x v="17"/>
    <s v="Combined Heat and Power, Commercial Power"/>
    <x v="0"/>
    <n v="0"/>
  </r>
  <r>
    <x v="12"/>
    <x v="17"/>
    <s v="Combined Heat and Power, Commercial Power"/>
    <x v="3"/>
    <n v="0"/>
  </r>
  <r>
    <x v="12"/>
    <x v="18"/>
    <s v="Total Electric Power Industry"/>
    <x v="0"/>
    <n v="94970964"/>
  </r>
  <r>
    <x v="12"/>
    <x v="18"/>
    <s v="Total Electric Power Industry"/>
    <x v="1"/>
    <n v="22050906"/>
  </r>
  <r>
    <x v="12"/>
    <x v="18"/>
    <s v="Total Electric Power Industry"/>
    <x v="2"/>
    <n v="891441"/>
  </r>
  <r>
    <x v="12"/>
    <x v="18"/>
    <s v="Total Electric Power Industry"/>
    <x v="3"/>
    <n v="47900848"/>
  </r>
  <r>
    <x v="12"/>
    <x v="18"/>
    <s v="Total Electric Power Industry"/>
    <x v="7"/>
    <n v="17305328"/>
  </r>
  <r>
    <x v="12"/>
    <x v="18"/>
    <s v="Total Electric Power Industry"/>
    <x v="12"/>
    <n v="649801"/>
  </r>
  <r>
    <x v="12"/>
    <x v="18"/>
    <s v="Total Electric Power Industry"/>
    <x v="8"/>
    <n v="61580"/>
  </r>
  <r>
    <x v="12"/>
    <x v="18"/>
    <s v="Total Electric Power Industry"/>
    <x v="9"/>
    <n v="1497624"/>
  </r>
  <r>
    <x v="12"/>
    <x v="18"/>
    <s v="Total Electric Power Industry"/>
    <x v="4"/>
    <n v="1864536"/>
  </r>
  <r>
    <x v="12"/>
    <x v="18"/>
    <s v="Total Electric Power Industry"/>
    <x v="6"/>
    <n v="2748900"/>
  </r>
  <r>
    <x v="12"/>
    <x v="18"/>
    <s v="Electric Generators, Independent Power Producers"/>
    <x v="0"/>
    <n v="16941134"/>
  </r>
  <r>
    <x v="12"/>
    <x v="18"/>
    <s v="Electric Generators, Independent Power Producers"/>
    <x v="1"/>
    <n v="9766681"/>
  </r>
  <r>
    <x v="12"/>
    <x v="18"/>
    <s v="Electric Generators, Independent Power Producers"/>
    <x v="2"/>
    <n v="891441"/>
  </r>
  <r>
    <x v="12"/>
    <x v="18"/>
    <s v="Electric Generators, Independent Power Producers"/>
    <x v="3"/>
    <n v="6105344"/>
  </r>
  <r>
    <x v="12"/>
    <x v="18"/>
    <s v="Electric Generators, Independent Power Producers"/>
    <x v="8"/>
    <n v="59087"/>
  </r>
  <r>
    <x v="12"/>
    <x v="18"/>
    <s v="Electric Generators, Independent Power Producers"/>
    <x v="4"/>
    <n v="118581"/>
  </r>
  <r>
    <x v="12"/>
    <x v="18"/>
    <s v="Electric Generators, Electric Utilities"/>
    <x v="0"/>
    <n v="54921960"/>
  </r>
  <r>
    <x v="12"/>
    <x v="18"/>
    <s v="Electric Generators, Electric Utilities"/>
    <x v="1"/>
    <n v="12258694"/>
  </r>
  <r>
    <x v="12"/>
    <x v="18"/>
    <s v="Electric Generators, Electric Utilities"/>
    <x v="3"/>
    <n v="25085994"/>
  </r>
  <r>
    <x v="12"/>
    <x v="18"/>
    <s v="Electric Generators, Electric Utilities"/>
    <x v="7"/>
    <n v="17305328"/>
  </r>
  <r>
    <x v="12"/>
    <x v="18"/>
    <s v="Electric Generators, Electric Utilities"/>
    <x v="9"/>
    <n v="203484"/>
  </r>
  <r>
    <x v="12"/>
    <x v="18"/>
    <s v="Electric Generators, Electric Utilities"/>
    <x v="4"/>
    <n v="68460"/>
  </r>
  <r>
    <x v="12"/>
    <x v="18"/>
    <s v="Combined Heat and Power, Industrial Power"/>
    <x v="0"/>
    <n v="21425957"/>
  </r>
  <r>
    <x v="12"/>
    <x v="18"/>
    <s v="Combined Heat and Power, Industrial Power"/>
    <x v="1"/>
    <n v="25531"/>
  </r>
  <r>
    <x v="12"/>
    <x v="18"/>
    <s v="Combined Heat and Power, Industrial Power"/>
    <x v="3"/>
    <n v="16673826"/>
  </r>
  <r>
    <x v="12"/>
    <x v="18"/>
    <s v="Combined Heat and Power, Industrial Power"/>
    <x v="12"/>
    <n v="649801"/>
  </r>
  <r>
    <x v="12"/>
    <x v="18"/>
    <s v="Combined Heat and Power, Industrial Power"/>
    <x v="8"/>
    <n v="2493"/>
  </r>
  <r>
    <x v="12"/>
    <x v="18"/>
    <s v="Combined Heat and Power, Industrial Power"/>
    <x v="9"/>
    <n v="1294140"/>
  </r>
  <r>
    <x v="12"/>
    <x v="18"/>
    <s v="Combined Heat and Power, Industrial Power"/>
    <x v="4"/>
    <n v="31266"/>
  </r>
  <r>
    <x v="12"/>
    <x v="18"/>
    <s v="Combined Heat and Power, Industrial Power"/>
    <x v="6"/>
    <n v="2748900"/>
  </r>
  <r>
    <x v="12"/>
    <x v="18"/>
    <s v="Combined Heat and Power, Electric Power"/>
    <x v="0"/>
    <n v="1649912"/>
  </r>
  <r>
    <x v="12"/>
    <x v="18"/>
    <s v="Combined Heat and Power, Electric Power"/>
    <x v="3"/>
    <n v="3683"/>
  </r>
  <r>
    <x v="12"/>
    <x v="18"/>
    <s v="Combined Heat and Power, Electric Power"/>
    <x v="4"/>
    <n v="1646229"/>
  </r>
  <r>
    <x v="12"/>
    <x v="18"/>
    <s v="Combined Heat and Power, Commercial Power"/>
    <x v="0"/>
    <n v="32000"/>
  </r>
  <r>
    <x v="12"/>
    <x v="18"/>
    <s v="Combined Heat and Power, Commercial Power"/>
    <x v="3"/>
    <n v="32000"/>
  </r>
  <r>
    <x v="12"/>
    <x v="19"/>
    <s v="Total Electric Power Industry"/>
    <x v="0"/>
    <n v="42027818"/>
  </r>
  <r>
    <x v="12"/>
    <x v="19"/>
    <s v="Total Electric Power Industry"/>
    <x v="1"/>
    <n v="11502861"/>
  </r>
  <r>
    <x v="12"/>
    <x v="19"/>
    <s v="Total Electric Power Industry"/>
    <x v="2"/>
    <n v="875076"/>
  </r>
  <r>
    <x v="12"/>
    <x v="19"/>
    <s v="Total Electric Power Industry"/>
    <x v="3"/>
    <n v="15868975"/>
  </r>
  <r>
    <x v="12"/>
    <x v="19"/>
    <s v="Total Electric Power Industry"/>
    <x v="7"/>
    <n v="5768766"/>
  </r>
  <r>
    <x v="12"/>
    <x v="19"/>
    <s v="Total Electric Power Industry"/>
    <x v="12"/>
    <n v="782504"/>
  </r>
  <r>
    <x v="12"/>
    <x v="19"/>
    <s v="Total Electric Power Industry"/>
    <x v="8"/>
    <n v="1165455"/>
  </r>
  <r>
    <x v="12"/>
    <x v="19"/>
    <s v="Total Electric Power Industry"/>
    <x v="4"/>
    <n v="6800295"/>
  </r>
  <r>
    <x v="12"/>
    <x v="19"/>
    <s v="Total Electric Power Industry"/>
    <x v="10"/>
    <n v="-842801"/>
  </r>
  <r>
    <x v="12"/>
    <x v="19"/>
    <s v="Total Electric Power Industry"/>
    <x v="5"/>
    <n v="0"/>
  </r>
  <r>
    <x v="12"/>
    <x v="19"/>
    <s v="Total Electric Power Industry"/>
    <x v="6"/>
    <n v="106687"/>
  </r>
  <r>
    <x v="12"/>
    <x v="19"/>
    <s v="Electric Generators, Independent Power Producers"/>
    <x v="0"/>
    <n v="34031265"/>
  </r>
  <r>
    <x v="12"/>
    <x v="19"/>
    <s v="Electric Generators, Independent Power Producers"/>
    <x v="1"/>
    <n v="11470817"/>
  </r>
  <r>
    <x v="12"/>
    <x v="19"/>
    <s v="Electric Generators, Independent Power Producers"/>
    <x v="2"/>
    <n v="657642"/>
  </r>
  <r>
    <x v="12"/>
    <x v="19"/>
    <s v="Electric Generators, Independent Power Producers"/>
    <x v="3"/>
    <n v="8892923"/>
  </r>
  <r>
    <x v="12"/>
    <x v="19"/>
    <s v="Electric Generators, Independent Power Producers"/>
    <x v="7"/>
    <n v="5768766"/>
  </r>
  <r>
    <x v="12"/>
    <x v="19"/>
    <s v="Electric Generators, Independent Power Producers"/>
    <x v="12"/>
    <n v="755214"/>
  </r>
  <r>
    <x v="12"/>
    <x v="19"/>
    <s v="Electric Generators, Independent Power Producers"/>
    <x v="8"/>
    <n v="1007577"/>
  </r>
  <r>
    <x v="12"/>
    <x v="19"/>
    <s v="Electric Generators, Independent Power Producers"/>
    <x v="4"/>
    <n v="6216041"/>
  </r>
  <r>
    <x v="12"/>
    <x v="19"/>
    <s v="Electric Generators, Independent Power Producers"/>
    <x v="10"/>
    <n v="-842801"/>
  </r>
  <r>
    <x v="12"/>
    <x v="19"/>
    <s v="Electric Generators, Independent Power Producers"/>
    <x v="6"/>
    <n v="105086"/>
  </r>
  <r>
    <x v="12"/>
    <x v="19"/>
    <s v="Electric Generators, Electric Utilities"/>
    <x v="0"/>
    <n v="1156651"/>
  </r>
  <r>
    <x v="12"/>
    <x v="19"/>
    <s v="Electric Generators, Electric Utilities"/>
    <x v="1"/>
    <n v="0"/>
  </r>
  <r>
    <x v="12"/>
    <x v="19"/>
    <s v="Electric Generators, Electric Utilities"/>
    <x v="2"/>
    <n v="207646"/>
  </r>
  <r>
    <x v="12"/>
    <x v="19"/>
    <s v="Electric Generators, Electric Utilities"/>
    <x v="3"/>
    <n v="728570"/>
  </r>
  <r>
    <x v="12"/>
    <x v="19"/>
    <s v="Electric Generators, Electric Utilities"/>
    <x v="4"/>
    <n v="220435"/>
  </r>
  <r>
    <x v="12"/>
    <x v="19"/>
    <s v="Electric Generators, Electric Utilities"/>
    <x v="5"/>
    <n v="0"/>
  </r>
  <r>
    <x v="12"/>
    <x v="19"/>
    <s v="Combined Heat and Power, Industrial Power"/>
    <x v="0"/>
    <n v="412545"/>
  </r>
  <r>
    <x v="12"/>
    <x v="19"/>
    <s v="Combined Heat and Power, Industrial Power"/>
    <x v="1"/>
    <n v="32044"/>
  </r>
  <r>
    <x v="12"/>
    <x v="19"/>
    <s v="Combined Heat and Power, Industrial Power"/>
    <x v="2"/>
    <n v="5957"/>
  </r>
  <r>
    <x v="12"/>
    <x v="19"/>
    <s v="Combined Heat and Power, Industrial Power"/>
    <x v="3"/>
    <n v="226364"/>
  </r>
  <r>
    <x v="12"/>
    <x v="19"/>
    <s v="Combined Heat and Power, Industrial Power"/>
    <x v="12"/>
    <n v="3869"/>
  </r>
  <r>
    <x v="12"/>
    <x v="19"/>
    <s v="Combined Heat and Power, Industrial Power"/>
    <x v="4"/>
    <n v="144311"/>
  </r>
  <r>
    <x v="12"/>
    <x v="19"/>
    <s v="Combined Heat and Power, Electric Power"/>
    <x v="0"/>
    <n v="5852457"/>
  </r>
  <r>
    <x v="12"/>
    <x v="19"/>
    <s v="Combined Heat and Power, Electric Power"/>
    <x v="3"/>
    <n v="5664790"/>
  </r>
  <r>
    <x v="12"/>
    <x v="19"/>
    <s v="Combined Heat and Power, Electric Power"/>
    <x v="12"/>
    <n v="23421"/>
  </r>
  <r>
    <x v="12"/>
    <x v="19"/>
    <s v="Combined Heat and Power, Electric Power"/>
    <x v="8"/>
    <n v="132226"/>
  </r>
  <r>
    <x v="12"/>
    <x v="19"/>
    <s v="Combined Heat and Power, Electric Power"/>
    <x v="4"/>
    <n v="30419"/>
  </r>
  <r>
    <x v="12"/>
    <x v="19"/>
    <s v="Combined Heat and Power, Electric Power"/>
    <x v="6"/>
    <n v="1601"/>
  </r>
  <r>
    <x v="12"/>
    <x v="19"/>
    <s v="Combined Heat and Power, Commercial Power"/>
    <x v="0"/>
    <n v="574899"/>
  </r>
  <r>
    <x v="12"/>
    <x v="19"/>
    <s v="Combined Heat and Power, Commercial Power"/>
    <x v="2"/>
    <n v="3831"/>
  </r>
  <r>
    <x v="12"/>
    <x v="19"/>
    <s v="Combined Heat and Power, Commercial Power"/>
    <x v="3"/>
    <n v="356327"/>
  </r>
  <r>
    <x v="12"/>
    <x v="19"/>
    <s v="Combined Heat and Power, Commercial Power"/>
    <x v="8"/>
    <n v="25652"/>
  </r>
  <r>
    <x v="12"/>
    <x v="19"/>
    <s v="Combined Heat and Power, Commercial Power"/>
    <x v="4"/>
    <n v="189088"/>
  </r>
  <r>
    <x v="12"/>
    <x v="20"/>
    <s v="Total Electric Power Industry"/>
    <x v="0"/>
    <n v="48279088"/>
  </r>
  <r>
    <x v="12"/>
    <x v="20"/>
    <s v="Total Electric Power Industry"/>
    <x v="1"/>
    <n v="28712053"/>
  </r>
  <r>
    <x v="12"/>
    <x v="20"/>
    <s v="Total Electric Power Industry"/>
    <x v="2"/>
    <n v="1660989"/>
  </r>
  <r>
    <x v="12"/>
    <x v="20"/>
    <s v="Total Electric Power Industry"/>
    <x v="3"/>
    <n v="2214431"/>
  </r>
  <r>
    <x v="12"/>
    <x v="20"/>
    <s v="Total Electric Power Industry"/>
    <x v="7"/>
    <n v="12128005"/>
  </r>
  <r>
    <x v="12"/>
    <x v="20"/>
    <s v="Total Electric Power Industry"/>
    <x v="12"/>
    <n v="255034"/>
  </r>
  <r>
    <x v="12"/>
    <x v="20"/>
    <s v="Total Electric Power Industry"/>
    <x v="8"/>
    <n v="338727"/>
  </r>
  <r>
    <x v="12"/>
    <x v="20"/>
    <s v="Total Electric Power Industry"/>
    <x v="9"/>
    <n v="504513"/>
  </r>
  <r>
    <x v="12"/>
    <x v="20"/>
    <s v="Total Electric Power Industry"/>
    <x v="4"/>
    <n v="2282432"/>
  </r>
  <r>
    <x v="12"/>
    <x v="20"/>
    <s v="Total Electric Power Industry"/>
    <x v="6"/>
    <n v="182904"/>
  </r>
  <r>
    <x v="12"/>
    <x v="20"/>
    <s v="Electric Generators, Independent Power Producers"/>
    <x v="0"/>
    <n v="44828480"/>
  </r>
  <r>
    <x v="12"/>
    <x v="20"/>
    <s v="Electric Generators, Independent Power Producers"/>
    <x v="1"/>
    <n v="26929513"/>
  </r>
  <r>
    <x v="12"/>
    <x v="20"/>
    <s v="Electric Generators, Independent Power Producers"/>
    <x v="2"/>
    <n v="1660989"/>
  </r>
  <r>
    <x v="12"/>
    <x v="20"/>
    <s v="Electric Generators, Independent Power Producers"/>
    <x v="3"/>
    <n v="1505265"/>
  </r>
  <r>
    <x v="12"/>
    <x v="20"/>
    <s v="Electric Generators, Independent Power Producers"/>
    <x v="7"/>
    <n v="12128005"/>
  </r>
  <r>
    <x v="12"/>
    <x v="20"/>
    <s v="Electric Generators, Independent Power Producers"/>
    <x v="12"/>
    <n v="160371"/>
  </r>
  <r>
    <x v="12"/>
    <x v="20"/>
    <s v="Electric Generators, Independent Power Producers"/>
    <x v="8"/>
    <n v="218283"/>
  </r>
  <r>
    <x v="12"/>
    <x v="20"/>
    <s v="Electric Generators, Independent Power Producers"/>
    <x v="4"/>
    <n v="2226054"/>
  </r>
  <r>
    <x v="12"/>
    <x v="20"/>
    <s v="Electric Generators, Electric Utilities"/>
    <x v="0"/>
    <n v="30734"/>
  </r>
  <r>
    <x v="12"/>
    <x v="20"/>
    <s v="Electric Generators, Electric Utilities"/>
    <x v="3"/>
    <n v="0"/>
  </r>
  <r>
    <x v="12"/>
    <x v="20"/>
    <s v="Electric Generators, Electric Utilities"/>
    <x v="4"/>
    <n v="30734"/>
  </r>
  <r>
    <x v="12"/>
    <x v="20"/>
    <s v="Combined Heat and Power, Industrial Power"/>
    <x v="0"/>
    <n v="574977"/>
  </r>
  <r>
    <x v="12"/>
    <x v="20"/>
    <s v="Combined Heat and Power, Industrial Power"/>
    <x v="1"/>
    <n v="346492"/>
  </r>
  <r>
    <x v="12"/>
    <x v="20"/>
    <s v="Combined Heat and Power, Industrial Power"/>
    <x v="3"/>
    <n v="51939"/>
  </r>
  <r>
    <x v="12"/>
    <x v="20"/>
    <s v="Combined Heat and Power, Industrial Power"/>
    <x v="4"/>
    <n v="2375"/>
  </r>
  <r>
    <x v="12"/>
    <x v="20"/>
    <s v="Combined Heat and Power, Industrial Power"/>
    <x v="6"/>
    <n v="174171"/>
  </r>
  <r>
    <x v="12"/>
    <x v="20"/>
    <s v="Combined Heat and Power, Electric Power"/>
    <x v="0"/>
    <n v="2835393"/>
  </r>
  <r>
    <x v="12"/>
    <x v="20"/>
    <s v="Combined Heat and Power, Electric Power"/>
    <x v="1"/>
    <n v="1436048"/>
  </r>
  <r>
    <x v="12"/>
    <x v="20"/>
    <s v="Combined Heat and Power, Electric Power"/>
    <x v="3"/>
    <n v="657227"/>
  </r>
  <r>
    <x v="12"/>
    <x v="20"/>
    <s v="Combined Heat and Power, Electric Power"/>
    <x v="12"/>
    <n v="94495"/>
  </r>
  <r>
    <x v="12"/>
    <x v="20"/>
    <s v="Combined Heat and Power, Electric Power"/>
    <x v="8"/>
    <n v="120267"/>
  </r>
  <r>
    <x v="12"/>
    <x v="20"/>
    <s v="Combined Heat and Power, Electric Power"/>
    <x v="9"/>
    <n v="504513"/>
  </r>
  <r>
    <x v="12"/>
    <x v="20"/>
    <s v="Combined Heat and Power, Electric Power"/>
    <x v="4"/>
    <n v="22843"/>
  </r>
  <r>
    <x v="12"/>
    <x v="20"/>
    <s v="Combined Heat and Power, Commercial Power"/>
    <x v="0"/>
    <n v="9504"/>
  </r>
  <r>
    <x v="12"/>
    <x v="20"/>
    <s v="Combined Heat and Power, Commercial Power"/>
    <x v="12"/>
    <n v="168"/>
  </r>
  <r>
    <x v="12"/>
    <x v="20"/>
    <s v="Combined Heat and Power, Commercial Power"/>
    <x v="8"/>
    <n v="177"/>
  </r>
  <r>
    <x v="12"/>
    <x v="20"/>
    <s v="Combined Heat and Power, Commercial Power"/>
    <x v="4"/>
    <n v="426"/>
  </r>
  <r>
    <x v="12"/>
    <x v="20"/>
    <s v="Combined Heat and Power, Commercial Power"/>
    <x v="6"/>
    <n v="8733"/>
  </r>
  <r>
    <x v="12"/>
    <x v="21"/>
    <s v="Total Electric Power Industry"/>
    <x v="0"/>
    <n v="22535033"/>
  </r>
  <r>
    <x v="12"/>
    <x v="21"/>
    <s v="Total Electric Power Industry"/>
    <x v="1"/>
    <n v="603938"/>
  </r>
  <r>
    <x v="12"/>
    <x v="21"/>
    <s v="Total Electric Power Industry"/>
    <x v="2"/>
    <n v="2767848"/>
  </r>
  <r>
    <x v="12"/>
    <x v="21"/>
    <s v="Total Electric Power Industry"/>
    <x v="3"/>
    <n v="13503963"/>
  </r>
  <r>
    <x v="12"/>
    <x v="21"/>
    <s v="Total Electric Power Industry"/>
    <x v="12"/>
    <n v="386219"/>
  </r>
  <r>
    <x v="12"/>
    <x v="21"/>
    <s v="Total Electric Power Industry"/>
    <x v="8"/>
    <n v="319773"/>
  </r>
  <r>
    <x v="12"/>
    <x v="21"/>
    <s v="Total Electric Power Industry"/>
    <x v="9"/>
    <n v="48"/>
  </r>
  <r>
    <x v="12"/>
    <x v="21"/>
    <s v="Total Electric Power Industry"/>
    <x v="4"/>
    <n v="1229485"/>
  </r>
  <r>
    <x v="12"/>
    <x v="21"/>
    <s v="Total Electric Power Industry"/>
    <x v="6"/>
    <n v="3723759"/>
  </r>
  <r>
    <x v="12"/>
    <x v="21"/>
    <s v="Electric Generators, Independent Power Producers"/>
    <x v="0"/>
    <n v="13006058"/>
  </r>
  <r>
    <x v="12"/>
    <x v="21"/>
    <s v="Electric Generators, Independent Power Producers"/>
    <x v="2"/>
    <n v="1831118"/>
  </r>
  <r>
    <x v="12"/>
    <x v="21"/>
    <s v="Electric Generators, Independent Power Producers"/>
    <x v="3"/>
    <n v="9533422"/>
  </r>
  <r>
    <x v="12"/>
    <x v="21"/>
    <s v="Electric Generators, Independent Power Producers"/>
    <x v="12"/>
    <n v="103704"/>
  </r>
  <r>
    <x v="12"/>
    <x v="21"/>
    <s v="Electric Generators, Independent Power Producers"/>
    <x v="8"/>
    <n v="131988"/>
  </r>
  <r>
    <x v="12"/>
    <x v="21"/>
    <s v="Electric Generators, Independent Power Producers"/>
    <x v="9"/>
    <n v="48"/>
  </r>
  <r>
    <x v="12"/>
    <x v="21"/>
    <s v="Electric Generators, Independent Power Producers"/>
    <x v="4"/>
    <n v="411509"/>
  </r>
  <r>
    <x v="12"/>
    <x v="21"/>
    <s v="Electric Generators, Independent Power Producers"/>
    <x v="6"/>
    <n v="994269"/>
  </r>
  <r>
    <x v="12"/>
    <x v="21"/>
    <s v="Electric Generators, Electric Utilities"/>
    <x v="0"/>
    <n v="865"/>
  </r>
  <r>
    <x v="12"/>
    <x v="21"/>
    <s v="Electric Generators, Electric Utilities"/>
    <x v="4"/>
    <n v="865"/>
  </r>
  <r>
    <x v="12"/>
    <x v="21"/>
    <s v="Combined Heat and Power, Industrial Power"/>
    <x v="0"/>
    <n v="6136499"/>
  </r>
  <r>
    <x v="12"/>
    <x v="21"/>
    <s v="Combined Heat and Power, Industrial Power"/>
    <x v="1"/>
    <n v="362157"/>
  </r>
  <r>
    <x v="12"/>
    <x v="21"/>
    <s v="Combined Heat and Power, Industrial Power"/>
    <x v="2"/>
    <n v="936729"/>
  </r>
  <r>
    <x v="12"/>
    <x v="21"/>
    <s v="Combined Heat and Power, Industrial Power"/>
    <x v="3"/>
    <n v="1686779"/>
  </r>
  <r>
    <x v="12"/>
    <x v="21"/>
    <s v="Combined Heat and Power, Industrial Power"/>
    <x v="12"/>
    <n v="81003"/>
  </r>
  <r>
    <x v="12"/>
    <x v="21"/>
    <s v="Combined Heat and Power, Industrial Power"/>
    <x v="8"/>
    <n v="91085"/>
  </r>
  <r>
    <x v="12"/>
    <x v="21"/>
    <s v="Combined Heat and Power, Industrial Power"/>
    <x v="4"/>
    <n v="791458"/>
  </r>
  <r>
    <x v="12"/>
    <x v="21"/>
    <s v="Combined Heat and Power, Industrial Power"/>
    <x v="6"/>
    <n v="2187288"/>
  </r>
  <r>
    <x v="12"/>
    <x v="21"/>
    <s v="Combined Heat and Power, Electric Power"/>
    <x v="0"/>
    <n v="3211973"/>
  </r>
  <r>
    <x v="12"/>
    <x v="21"/>
    <s v="Combined Heat and Power, Electric Power"/>
    <x v="1"/>
    <n v="241781"/>
  </r>
  <r>
    <x v="12"/>
    <x v="21"/>
    <s v="Combined Heat and Power, Electric Power"/>
    <x v="3"/>
    <n v="2283157"/>
  </r>
  <r>
    <x v="12"/>
    <x v="21"/>
    <s v="Combined Heat and Power, Electric Power"/>
    <x v="12"/>
    <n v="125533"/>
  </r>
  <r>
    <x v="12"/>
    <x v="21"/>
    <s v="Combined Heat and Power, Electric Power"/>
    <x v="8"/>
    <n v="0"/>
  </r>
  <r>
    <x v="12"/>
    <x v="21"/>
    <s v="Combined Heat and Power, Electric Power"/>
    <x v="4"/>
    <n v="21530"/>
  </r>
  <r>
    <x v="12"/>
    <x v="21"/>
    <s v="Combined Heat and Power, Electric Power"/>
    <x v="6"/>
    <n v="539972"/>
  </r>
  <r>
    <x v="12"/>
    <x v="21"/>
    <s v="Combined Heat and Power, Commercial Power"/>
    <x v="0"/>
    <n v="179639"/>
  </r>
  <r>
    <x v="12"/>
    <x v="21"/>
    <s v="Combined Heat and Power, Commercial Power"/>
    <x v="3"/>
    <n v="605"/>
  </r>
  <r>
    <x v="12"/>
    <x v="21"/>
    <s v="Combined Heat and Power, Commercial Power"/>
    <x v="12"/>
    <n v="75979"/>
  </r>
  <r>
    <x v="12"/>
    <x v="21"/>
    <s v="Combined Heat and Power, Commercial Power"/>
    <x v="8"/>
    <n v="96701"/>
  </r>
  <r>
    <x v="12"/>
    <x v="21"/>
    <s v="Combined Heat and Power, Commercial Power"/>
    <x v="4"/>
    <n v="4124"/>
  </r>
  <r>
    <x v="12"/>
    <x v="21"/>
    <s v="Combined Heat and Power, Commercial Power"/>
    <x v="6"/>
    <n v="2230"/>
  </r>
  <r>
    <x v="12"/>
    <x v="22"/>
    <s v="Total Electric Power Industry"/>
    <x v="0"/>
    <n v="117889087"/>
  </r>
  <r>
    <x v="12"/>
    <x v="22"/>
    <s v="Total Electric Power Industry"/>
    <x v="1"/>
    <n v="66699508"/>
  </r>
  <r>
    <x v="12"/>
    <x v="22"/>
    <s v="Total Electric Power Industry"/>
    <x v="2"/>
    <n v="1669252"/>
  </r>
  <r>
    <x v="12"/>
    <x v="22"/>
    <s v="Total Electric Power Industry"/>
    <x v="3"/>
    <n v="15853418"/>
  </r>
  <r>
    <x v="12"/>
    <x v="22"/>
    <s v="Total Electric Power Industry"/>
    <x v="7"/>
    <n v="31087454"/>
  </r>
  <r>
    <x v="12"/>
    <x v="22"/>
    <s v="Total Electric Power Industry"/>
    <x v="12"/>
    <n v="281417"/>
  </r>
  <r>
    <x v="12"/>
    <x v="22"/>
    <s v="Total Electric Power Industry"/>
    <x v="8"/>
    <n v="745124"/>
  </r>
  <r>
    <x v="12"/>
    <x v="22"/>
    <s v="Total Electric Power Industry"/>
    <x v="9"/>
    <n v="10108"/>
  </r>
  <r>
    <x v="12"/>
    <x v="22"/>
    <s v="Total Electric Power Industry"/>
    <x v="4"/>
    <n v="1103485"/>
  </r>
  <r>
    <x v="12"/>
    <x v="22"/>
    <s v="Total Electric Power Industry"/>
    <x v="10"/>
    <n v="-1035560"/>
  </r>
  <r>
    <x v="12"/>
    <x v="22"/>
    <s v="Total Electric Power Industry"/>
    <x v="5"/>
    <n v="329"/>
  </r>
  <r>
    <x v="12"/>
    <x v="22"/>
    <s v="Total Electric Power Industry"/>
    <x v="6"/>
    <n v="1474552"/>
  </r>
  <r>
    <x v="12"/>
    <x v="22"/>
    <s v="Electric Generators, Independent Power Producers"/>
    <x v="0"/>
    <n v="5030864"/>
  </r>
  <r>
    <x v="12"/>
    <x v="22"/>
    <s v="Electric Generators, Independent Power Producers"/>
    <x v="2"/>
    <n v="82461"/>
  </r>
  <r>
    <x v="12"/>
    <x v="22"/>
    <s v="Electric Generators, Independent Power Producers"/>
    <x v="3"/>
    <n v="3345511"/>
  </r>
  <r>
    <x v="12"/>
    <x v="22"/>
    <s v="Electric Generators, Independent Power Producers"/>
    <x v="12"/>
    <n v="155479"/>
  </r>
  <r>
    <x v="12"/>
    <x v="22"/>
    <s v="Electric Generators, Independent Power Producers"/>
    <x v="8"/>
    <n v="454329"/>
  </r>
  <r>
    <x v="12"/>
    <x v="22"/>
    <s v="Electric Generators, Independent Power Producers"/>
    <x v="9"/>
    <n v="10108"/>
  </r>
  <r>
    <x v="12"/>
    <x v="22"/>
    <s v="Electric Generators, Independent Power Producers"/>
    <x v="5"/>
    <n v="329"/>
  </r>
  <r>
    <x v="12"/>
    <x v="22"/>
    <s v="Electric Generators, Independent Power Producers"/>
    <x v="6"/>
    <n v="982647"/>
  </r>
  <r>
    <x v="12"/>
    <x v="22"/>
    <s v="Electric Generators, Electric Utilities"/>
    <x v="0"/>
    <n v="100451718"/>
  </r>
  <r>
    <x v="12"/>
    <x v="22"/>
    <s v="Electric Generators, Electric Utilities"/>
    <x v="1"/>
    <n v="65389899"/>
  </r>
  <r>
    <x v="12"/>
    <x v="22"/>
    <s v="Electric Generators, Electric Utilities"/>
    <x v="2"/>
    <n v="1557942"/>
  </r>
  <r>
    <x v="12"/>
    <x v="22"/>
    <s v="Electric Generators, Electric Utilities"/>
    <x v="3"/>
    <n v="2336031"/>
  </r>
  <r>
    <x v="12"/>
    <x v="22"/>
    <s v="Electric Generators, Electric Utilities"/>
    <x v="7"/>
    <n v="31087454"/>
  </r>
  <r>
    <x v="12"/>
    <x v="22"/>
    <s v="Electric Generators, Electric Utilities"/>
    <x v="12"/>
    <n v="25185"/>
  </r>
  <r>
    <x v="12"/>
    <x v="22"/>
    <s v="Electric Generators, Electric Utilities"/>
    <x v="8"/>
    <n v="0"/>
  </r>
  <r>
    <x v="12"/>
    <x v="22"/>
    <s v="Electric Generators, Electric Utilities"/>
    <x v="9"/>
    <n v="0"/>
  </r>
  <r>
    <x v="12"/>
    <x v="22"/>
    <s v="Electric Generators, Electric Utilities"/>
    <x v="4"/>
    <n v="1090767"/>
  </r>
  <r>
    <x v="12"/>
    <x v="22"/>
    <s v="Electric Generators, Electric Utilities"/>
    <x v="10"/>
    <n v="-1035560"/>
  </r>
  <r>
    <x v="12"/>
    <x v="22"/>
    <s v="Combined Heat and Power, Industrial Power"/>
    <x v="0"/>
    <n v="1791980"/>
  </r>
  <r>
    <x v="12"/>
    <x v="22"/>
    <s v="Combined Heat and Power, Industrial Power"/>
    <x v="1"/>
    <n v="821208"/>
  </r>
  <r>
    <x v="12"/>
    <x v="22"/>
    <s v="Combined Heat and Power, Industrial Power"/>
    <x v="2"/>
    <n v="28849"/>
  </r>
  <r>
    <x v="12"/>
    <x v="22"/>
    <s v="Combined Heat and Power, Industrial Power"/>
    <x v="3"/>
    <n v="446997"/>
  </r>
  <r>
    <x v="12"/>
    <x v="22"/>
    <s v="Combined Heat and Power, Industrial Power"/>
    <x v="8"/>
    <n v="13"/>
  </r>
  <r>
    <x v="12"/>
    <x v="22"/>
    <s v="Combined Heat and Power, Industrial Power"/>
    <x v="4"/>
    <n v="12560"/>
  </r>
  <r>
    <x v="12"/>
    <x v="22"/>
    <s v="Combined Heat and Power, Industrial Power"/>
    <x v="6"/>
    <n v="482353"/>
  </r>
  <r>
    <x v="12"/>
    <x v="22"/>
    <s v="Combined Heat and Power, Electric Power"/>
    <x v="0"/>
    <n v="10137521"/>
  </r>
  <r>
    <x v="12"/>
    <x v="22"/>
    <s v="Combined Heat and Power, Electric Power"/>
    <x v="1"/>
    <n v="258603"/>
  </r>
  <r>
    <x v="12"/>
    <x v="22"/>
    <s v="Combined Heat and Power, Electric Power"/>
    <x v="3"/>
    <n v="9704999"/>
  </r>
  <r>
    <x v="12"/>
    <x v="22"/>
    <s v="Combined Heat and Power, Electric Power"/>
    <x v="12"/>
    <n v="747"/>
  </r>
  <r>
    <x v="12"/>
    <x v="22"/>
    <s v="Combined Heat and Power, Electric Power"/>
    <x v="8"/>
    <n v="163523"/>
  </r>
  <r>
    <x v="12"/>
    <x v="22"/>
    <s v="Combined Heat and Power, Electric Power"/>
    <x v="4"/>
    <n v="97"/>
  </r>
  <r>
    <x v="12"/>
    <x v="22"/>
    <s v="Combined Heat and Power, Electric Power"/>
    <x v="6"/>
    <n v="9552"/>
  </r>
  <r>
    <x v="12"/>
    <x v="22"/>
    <s v="Combined Heat and Power, Commercial Power"/>
    <x v="0"/>
    <n v="477004"/>
  </r>
  <r>
    <x v="12"/>
    <x v="22"/>
    <s v="Combined Heat and Power, Commercial Power"/>
    <x v="1"/>
    <n v="229798"/>
  </r>
  <r>
    <x v="12"/>
    <x v="22"/>
    <s v="Combined Heat and Power, Commercial Power"/>
    <x v="3"/>
    <n v="19880"/>
  </r>
  <r>
    <x v="12"/>
    <x v="22"/>
    <s v="Combined Heat and Power, Commercial Power"/>
    <x v="12"/>
    <n v="100006"/>
  </r>
  <r>
    <x v="12"/>
    <x v="22"/>
    <s v="Combined Heat and Power, Commercial Power"/>
    <x v="8"/>
    <n v="127259"/>
  </r>
  <r>
    <x v="12"/>
    <x v="22"/>
    <s v="Combined Heat and Power, Commercial Power"/>
    <x v="4"/>
    <n v="61"/>
  </r>
  <r>
    <x v="12"/>
    <x v="23"/>
    <s v="Total Electric Power Industry"/>
    <x v="0"/>
    <n v="52777965"/>
  </r>
  <r>
    <x v="12"/>
    <x v="23"/>
    <s v="Total Electric Power Industry"/>
    <x v="1"/>
    <n v="33920209"/>
  </r>
  <r>
    <x v="12"/>
    <x v="23"/>
    <s v="Total Electric Power Industry"/>
    <x v="2"/>
    <n v="809084"/>
  </r>
  <r>
    <x v="12"/>
    <x v="23"/>
    <s v="Total Electric Power Industry"/>
    <x v="3"/>
    <n v="1591953"/>
  </r>
  <r>
    <x v="12"/>
    <x v="23"/>
    <s v="Total Electric Power Industry"/>
    <x v="7"/>
    <n v="13684824"/>
  </r>
  <r>
    <x v="12"/>
    <x v="23"/>
    <s v="Total Electric Power Industry"/>
    <x v="12"/>
    <n v="332418"/>
  </r>
  <r>
    <x v="12"/>
    <x v="23"/>
    <s v="Total Electric Power Industry"/>
    <x v="8"/>
    <n v="503456"/>
  </r>
  <r>
    <x v="12"/>
    <x v="23"/>
    <s v="Total Electric Power Industry"/>
    <x v="4"/>
    <n v="652790"/>
  </r>
  <r>
    <x v="12"/>
    <x v="23"/>
    <s v="Total Electric Power Industry"/>
    <x v="5"/>
    <n v="905839"/>
  </r>
  <r>
    <x v="12"/>
    <x v="23"/>
    <s v="Total Electric Power Industry"/>
    <x v="6"/>
    <n v="377392"/>
  </r>
  <r>
    <x v="12"/>
    <x v="23"/>
    <s v="Electric Generators, Independent Power Producers"/>
    <x v="0"/>
    <n v="1205777"/>
  </r>
  <r>
    <x v="12"/>
    <x v="23"/>
    <s v="Electric Generators, Independent Power Producers"/>
    <x v="2"/>
    <n v="27056"/>
  </r>
  <r>
    <x v="12"/>
    <x v="23"/>
    <s v="Electric Generators, Independent Power Producers"/>
    <x v="12"/>
    <n v="102287"/>
  </r>
  <r>
    <x v="12"/>
    <x v="23"/>
    <s v="Electric Generators, Independent Power Producers"/>
    <x v="8"/>
    <n v="170598"/>
  </r>
  <r>
    <x v="12"/>
    <x v="23"/>
    <s v="Electric Generators, Independent Power Producers"/>
    <x v="5"/>
    <n v="905836"/>
  </r>
  <r>
    <x v="12"/>
    <x v="23"/>
    <s v="Electric Generators, Electric Utilities"/>
    <x v="0"/>
    <n v="48568719"/>
  </r>
  <r>
    <x v="12"/>
    <x v="23"/>
    <s v="Electric Generators, Electric Utilities"/>
    <x v="1"/>
    <n v="32200713"/>
  </r>
  <r>
    <x v="12"/>
    <x v="23"/>
    <s v="Electric Generators, Electric Utilities"/>
    <x v="2"/>
    <n v="736795"/>
  </r>
  <r>
    <x v="12"/>
    <x v="23"/>
    <s v="Electric Generators, Electric Utilities"/>
    <x v="3"/>
    <n v="897018"/>
  </r>
  <r>
    <x v="12"/>
    <x v="23"/>
    <s v="Electric Generators, Electric Utilities"/>
    <x v="7"/>
    <n v="13684824"/>
  </r>
  <r>
    <x v="12"/>
    <x v="23"/>
    <s v="Electric Generators, Electric Utilities"/>
    <x v="12"/>
    <n v="180064"/>
  </r>
  <r>
    <x v="12"/>
    <x v="23"/>
    <s v="Electric Generators, Electric Utilities"/>
    <x v="8"/>
    <n v="229172"/>
  </r>
  <r>
    <x v="12"/>
    <x v="23"/>
    <s v="Electric Generators, Electric Utilities"/>
    <x v="4"/>
    <n v="640129"/>
  </r>
  <r>
    <x v="12"/>
    <x v="23"/>
    <s v="Electric Generators, Electric Utilities"/>
    <x v="5"/>
    <n v="3"/>
  </r>
  <r>
    <x v="12"/>
    <x v="23"/>
    <s v="Electric Generators, Electric Utilities"/>
    <x v="6"/>
    <n v="1"/>
  </r>
  <r>
    <x v="12"/>
    <x v="23"/>
    <s v="Combined Heat and Power, Industrial Power"/>
    <x v="0"/>
    <n v="2327434"/>
  </r>
  <r>
    <x v="12"/>
    <x v="23"/>
    <s v="Combined Heat and Power, Industrial Power"/>
    <x v="1"/>
    <n v="1719496"/>
  </r>
  <r>
    <x v="12"/>
    <x v="23"/>
    <s v="Combined Heat and Power, Industrial Power"/>
    <x v="2"/>
    <n v="45233"/>
  </r>
  <r>
    <x v="12"/>
    <x v="23"/>
    <s v="Combined Heat and Power, Industrial Power"/>
    <x v="3"/>
    <n v="133855"/>
  </r>
  <r>
    <x v="12"/>
    <x v="23"/>
    <s v="Combined Heat and Power, Industrial Power"/>
    <x v="12"/>
    <n v="42010"/>
  </r>
  <r>
    <x v="12"/>
    <x v="23"/>
    <s v="Combined Heat and Power, Industrial Power"/>
    <x v="8"/>
    <n v="2886"/>
  </r>
  <r>
    <x v="12"/>
    <x v="23"/>
    <s v="Combined Heat and Power, Industrial Power"/>
    <x v="4"/>
    <n v="6563"/>
  </r>
  <r>
    <x v="12"/>
    <x v="23"/>
    <s v="Combined Heat and Power, Industrial Power"/>
    <x v="6"/>
    <n v="377391"/>
  </r>
  <r>
    <x v="12"/>
    <x v="23"/>
    <s v="Combined Heat and Power, Electric Power"/>
    <x v="0"/>
    <n v="552382"/>
  </r>
  <r>
    <x v="12"/>
    <x v="23"/>
    <s v="Combined Heat and Power, Electric Power"/>
    <x v="3"/>
    <n v="457203"/>
  </r>
  <r>
    <x v="12"/>
    <x v="23"/>
    <s v="Combined Heat and Power, Electric Power"/>
    <x v="8"/>
    <n v="90545"/>
  </r>
  <r>
    <x v="12"/>
    <x v="23"/>
    <s v="Combined Heat and Power, Electric Power"/>
    <x v="4"/>
    <n v="4634"/>
  </r>
  <r>
    <x v="12"/>
    <x v="23"/>
    <s v="Combined Heat and Power, Commercial Power"/>
    <x v="0"/>
    <n v="123655"/>
  </r>
  <r>
    <x v="12"/>
    <x v="23"/>
    <s v="Combined Heat and Power, Commercial Power"/>
    <x v="3"/>
    <n v="103878"/>
  </r>
  <r>
    <x v="12"/>
    <x v="23"/>
    <s v="Combined Heat and Power, Commercial Power"/>
    <x v="12"/>
    <n v="8057"/>
  </r>
  <r>
    <x v="12"/>
    <x v="23"/>
    <s v="Combined Heat and Power, Commercial Power"/>
    <x v="8"/>
    <n v="10255"/>
  </r>
  <r>
    <x v="12"/>
    <x v="23"/>
    <s v="Combined Heat and Power, Commercial Power"/>
    <x v="4"/>
    <n v="1465"/>
  </r>
  <r>
    <x v="12"/>
    <x v="24"/>
    <s v="Total Electric Power Industry"/>
    <x v="0"/>
    <n v="81162198"/>
  </r>
  <r>
    <x v="12"/>
    <x v="24"/>
    <s v="Total Electric Power Industry"/>
    <x v="1"/>
    <n v="67434967"/>
  </r>
  <r>
    <x v="12"/>
    <x v="24"/>
    <s v="Total Electric Power Industry"/>
    <x v="2"/>
    <n v="1356928"/>
  </r>
  <r>
    <x v="12"/>
    <x v="24"/>
    <s v="Total Electric Power Industry"/>
    <x v="3"/>
    <n v="3543938"/>
  </r>
  <r>
    <x v="12"/>
    <x v="24"/>
    <s v="Total Electric Power Industry"/>
    <x v="7"/>
    <n v="8389629"/>
  </r>
  <r>
    <x v="12"/>
    <x v="24"/>
    <s v="Total Electric Power Industry"/>
    <x v="12"/>
    <n v="57642"/>
  </r>
  <r>
    <x v="12"/>
    <x v="24"/>
    <s v="Total Electric Power Industry"/>
    <x v="8"/>
    <n v="8560"/>
  </r>
  <r>
    <x v="12"/>
    <x v="24"/>
    <s v="Total Electric Power Industry"/>
    <x v="4"/>
    <n v="529395"/>
  </r>
  <r>
    <x v="12"/>
    <x v="24"/>
    <s v="Total Electric Power Industry"/>
    <x v="10"/>
    <n v="-159004"/>
  </r>
  <r>
    <x v="12"/>
    <x v="24"/>
    <s v="Total Electric Power Industry"/>
    <x v="6"/>
    <n v="143"/>
  </r>
  <r>
    <x v="12"/>
    <x v="24"/>
    <s v="Electric Generators, Independent Power Producers"/>
    <x v="0"/>
    <n v="1038781"/>
  </r>
  <r>
    <x v="12"/>
    <x v="24"/>
    <s v="Electric Generators, Independent Power Producers"/>
    <x v="3"/>
    <n v="1038781"/>
  </r>
  <r>
    <x v="12"/>
    <x v="24"/>
    <s v="Electric Generators, Electric Utilities"/>
    <x v="0"/>
    <n v="79796801"/>
  </r>
  <r>
    <x v="12"/>
    <x v="24"/>
    <s v="Electric Generators, Electric Utilities"/>
    <x v="1"/>
    <n v="67147996"/>
  </r>
  <r>
    <x v="12"/>
    <x v="24"/>
    <s v="Electric Generators, Electric Utilities"/>
    <x v="2"/>
    <n v="1356928"/>
  </r>
  <r>
    <x v="12"/>
    <x v="24"/>
    <s v="Electric Generators, Electric Utilities"/>
    <x v="3"/>
    <n v="2477701"/>
  </r>
  <r>
    <x v="12"/>
    <x v="24"/>
    <s v="Electric Generators, Electric Utilities"/>
    <x v="7"/>
    <n v="8389629"/>
  </r>
  <r>
    <x v="12"/>
    <x v="24"/>
    <s v="Electric Generators, Electric Utilities"/>
    <x v="12"/>
    <n v="55055"/>
  </r>
  <r>
    <x v="12"/>
    <x v="24"/>
    <s v="Electric Generators, Electric Utilities"/>
    <x v="8"/>
    <n v="0"/>
  </r>
  <r>
    <x v="12"/>
    <x v="24"/>
    <s v="Electric Generators, Electric Utilities"/>
    <x v="4"/>
    <n v="528353"/>
  </r>
  <r>
    <x v="12"/>
    <x v="24"/>
    <s v="Electric Generators, Electric Utilities"/>
    <x v="10"/>
    <n v="-159004"/>
  </r>
  <r>
    <x v="12"/>
    <x v="24"/>
    <s v="Electric Generators, Electric Utilities"/>
    <x v="6"/>
    <n v="143"/>
  </r>
  <r>
    <x v="12"/>
    <x v="24"/>
    <s v="Combined Heat and Power, Industrial Power"/>
    <x v="0"/>
    <n v="186248"/>
  </r>
  <r>
    <x v="12"/>
    <x v="24"/>
    <s v="Combined Heat and Power, Industrial Power"/>
    <x v="1"/>
    <n v="168521"/>
  </r>
  <r>
    <x v="12"/>
    <x v="24"/>
    <s v="Combined Heat and Power, Industrial Power"/>
    <x v="3"/>
    <n v="9015"/>
  </r>
  <r>
    <x v="12"/>
    <x v="24"/>
    <s v="Combined Heat and Power, Industrial Power"/>
    <x v="8"/>
    <n v="8560"/>
  </r>
  <r>
    <x v="12"/>
    <x v="24"/>
    <s v="Combined Heat and Power, Industrial Power"/>
    <x v="4"/>
    <n v="152"/>
  </r>
  <r>
    <x v="12"/>
    <x v="24"/>
    <s v="Combined Heat and Power, Commercial Power"/>
    <x v="0"/>
    <n v="140367"/>
  </r>
  <r>
    <x v="12"/>
    <x v="24"/>
    <s v="Combined Heat and Power, Commercial Power"/>
    <x v="1"/>
    <n v="118450"/>
  </r>
  <r>
    <x v="12"/>
    <x v="24"/>
    <s v="Combined Heat and Power, Commercial Power"/>
    <x v="3"/>
    <n v="18440"/>
  </r>
  <r>
    <x v="12"/>
    <x v="24"/>
    <s v="Combined Heat and Power, Commercial Power"/>
    <x v="12"/>
    <n v="2587"/>
  </r>
  <r>
    <x v="12"/>
    <x v="24"/>
    <s v="Combined Heat and Power, Commercial Power"/>
    <x v="8"/>
    <n v="0"/>
  </r>
  <r>
    <x v="12"/>
    <x v="24"/>
    <s v="Combined Heat and Power, Commercial Power"/>
    <x v="4"/>
    <n v="890"/>
  </r>
  <r>
    <x v="12"/>
    <x v="25"/>
    <s v="Total Electric Power Industry"/>
    <x v="0"/>
    <n v="42888812"/>
  </r>
  <r>
    <x v="12"/>
    <x v="25"/>
    <s v="Total Electric Power Industry"/>
    <x v="1"/>
    <n v="14853143"/>
  </r>
  <r>
    <x v="12"/>
    <x v="25"/>
    <s v="Total Electric Power Industry"/>
    <x v="3"/>
    <n v="16971397"/>
  </r>
  <r>
    <x v="12"/>
    <x v="25"/>
    <s v="Total Electric Power Industry"/>
    <x v="7"/>
    <n v="10059459"/>
  </r>
  <r>
    <x v="12"/>
    <x v="25"/>
    <s v="Total Electric Power Industry"/>
    <x v="12"/>
    <n v="0"/>
  </r>
  <r>
    <x v="12"/>
    <x v="25"/>
    <s v="Total Electric Power Industry"/>
    <x v="8"/>
    <n v="2"/>
  </r>
  <r>
    <x v="12"/>
    <x v="25"/>
    <s v="Total Electric Power Industry"/>
    <x v="9"/>
    <n v="37916"/>
  </r>
  <r>
    <x v="12"/>
    <x v="25"/>
    <s v="Total Electric Power Industry"/>
    <x v="4"/>
    <n v="30302"/>
  </r>
  <r>
    <x v="12"/>
    <x v="25"/>
    <s v="Total Electric Power Industry"/>
    <x v="6"/>
    <n v="936593"/>
  </r>
  <r>
    <x v="12"/>
    <x v="25"/>
    <s v="Electric Generators, Independent Power Producers"/>
    <x v="0"/>
    <n v="5027769"/>
  </r>
  <r>
    <x v="12"/>
    <x v="25"/>
    <s v="Electric Generators, Independent Power Producers"/>
    <x v="1"/>
    <n v="2369485"/>
  </r>
  <r>
    <x v="12"/>
    <x v="25"/>
    <s v="Electric Generators, Independent Power Producers"/>
    <x v="3"/>
    <n v="2658284"/>
  </r>
  <r>
    <x v="12"/>
    <x v="25"/>
    <s v="Electric Generators, Electric Utilities"/>
    <x v="0"/>
    <n v="35099283"/>
  </r>
  <r>
    <x v="12"/>
    <x v="25"/>
    <s v="Electric Generators, Electric Utilities"/>
    <x v="1"/>
    <n v="12483658"/>
  </r>
  <r>
    <x v="12"/>
    <x v="25"/>
    <s v="Electric Generators, Electric Utilities"/>
    <x v="3"/>
    <n v="12529809"/>
  </r>
  <r>
    <x v="12"/>
    <x v="25"/>
    <s v="Electric Generators, Electric Utilities"/>
    <x v="7"/>
    <n v="10059459"/>
  </r>
  <r>
    <x v="12"/>
    <x v="25"/>
    <s v="Electric Generators, Electric Utilities"/>
    <x v="4"/>
    <n v="26357"/>
  </r>
  <r>
    <x v="12"/>
    <x v="25"/>
    <s v="Combined Heat and Power, Industrial Power"/>
    <x v="0"/>
    <n v="1370226"/>
  </r>
  <r>
    <x v="12"/>
    <x v="25"/>
    <s v="Combined Heat and Power, Industrial Power"/>
    <x v="3"/>
    <n v="392289"/>
  </r>
  <r>
    <x v="12"/>
    <x v="25"/>
    <s v="Combined Heat and Power, Industrial Power"/>
    <x v="12"/>
    <n v="0"/>
  </r>
  <r>
    <x v="12"/>
    <x v="25"/>
    <s v="Combined Heat and Power, Industrial Power"/>
    <x v="8"/>
    <n v="2"/>
  </r>
  <r>
    <x v="12"/>
    <x v="25"/>
    <s v="Combined Heat and Power, Industrial Power"/>
    <x v="9"/>
    <n v="37916"/>
  </r>
  <r>
    <x v="12"/>
    <x v="25"/>
    <s v="Combined Heat and Power, Industrial Power"/>
    <x v="4"/>
    <n v="3426"/>
  </r>
  <r>
    <x v="12"/>
    <x v="25"/>
    <s v="Combined Heat and Power, Industrial Power"/>
    <x v="6"/>
    <n v="936593"/>
  </r>
  <r>
    <x v="12"/>
    <x v="25"/>
    <s v="Combined Heat and Power, Electric Power"/>
    <x v="0"/>
    <n v="1365736"/>
  </r>
  <r>
    <x v="12"/>
    <x v="25"/>
    <s v="Combined Heat and Power, Electric Power"/>
    <x v="3"/>
    <n v="1365736"/>
  </r>
  <r>
    <x v="12"/>
    <x v="25"/>
    <s v="Combined Heat and Power, Commercial Power"/>
    <x v="0"/>
    <n v="25798"/>
  </r>
  <r>
    <x v="12"/>
    <x v="25"/>
    <s v="Combined Heat and Power, Commercial Power"/>
    <x v="3"/>
    <n v="25279"/>
  </r>
  <r>
    <x v="12"/>
    <x v="25"/>
    <s v="Combined Heat and Power, Commercial Power"/>
    <x v="4"/>
    <n v="519"/>
  </r>
  <r>
    <x v="12"/>
    <x v="26"/>
    <s v="Total Electric Power Industry"/>
    <x v="0"/>
    <n v="25473705"/>
  </r>
  <r>
    <x v="12"/>
    <x v="26"/>
    <s v="Total Electric Power Industry"/>
    <x v="1"/>
    <n v="15337829"/>
  </r>
  <r>
    <x v="12"/>
    <x v="26"/>
    <s v="Total Electric Power Industry"/>
    <x v="2"/>
    <n v="9566909"/>
  </r>
  <r>
    <x v="12"/>
    <x v="26"/>
    <s v="Total Electric Power Industry"/>
    <x v="3"/>
    <n v="16678"/>
  </r>
  <r>
    <x v="12"/>
    <x v="26"/>
    <s v="Total Electric Power Industry"/>
    <x v="9"/>
    <n v="19160"/>
  </r>
  <r>
    <x v="12"/>
    <x v="26"/>
    <s v="Total Electric Power Industry"/>
    <x v="4"/>
    <n v="469659"/>
  </r>
  <r>
    <x v="12"/>
    <x v="26"/>
    <s v="Total Electric Power Industry"/>
    <x v="6"/>
    <n v="63470"/>
  </r>
  <r>
    <x v="12"/>
    <x v="26"/>
    <s v="Electric Generators, Independent Power Producers"/>
    <x v="0"/>
    <n v="18327237"/>
  </r>
  <r>
    <x v="12"/>
    <x v="26"/>
    <s v="Electric Generators, Independent Power Producers"/>
    <x v="1"/>
    <n v="15052082"/>
  </r>
  <r>
    <x v="12"/>
    <x v="26"/>
    <s v="Electric Generators, Independent Power Producers"/>
    <x v="2"/>
    <n v="3133884"/>
  </r>
  <r>
    <x v="12"/>
    <x v="26"/>
    <s v="Electric Generators, Independent Power Producers"/>
    <x v="3"/>
    <n v="1295"/>
  </r>
  <r>
    <x v="12"/>
    <x v="26"/>
    <s v="Electric Generators, Independent Power Producers"/>
    <x v="9"/>
    <n v="5762"/>
  </r>
  <r>
    <x v="12"/>
    <x v="26"/>
    <s v="Electric Generators, Independent Power Producers"/>
    <x v="4"/>
    <n v="134214"/>
  </r>
  <r>
    <x v="12"/>
    <x v="26"/>
    <s v="Electric Generators, Electric Utilities"/>
    <x v="0"/>
    <n v="6726239"/>
  </r>
  <r>
    <x v="12"/>
    <x v="26"/>
    <s v="Electric Generators, Electric Utilities"/>
    <x v="1"/>
    <n v="285747"/>
  </r>
  <r>
    <x v="12"/>
    <x v="26"/>
    <s v="Electric Generators, Electric Utilities"/>
    <x v="2"/>
    <n v="6433025"/>
  </r>
  <r>
    <x v="12"/>
    <x v="26"/>
    <s v="Electric Generators, Electric Utilities"/>
    <x v="3"/>
    <n v="6747"/>
  </r>
  <r>
    <x v="12"/>
    <x v="26"/>
    <s v="Electric Generators, Electric Utilities"/>
    <x v="4"/>
    <n v="720"/>
  </r>
  <r>
    <x v="12"/>
    <x v="26"/>
    <s v="Combined Heat and Power, Industrial Power"/>
    <x v="0"/>
    <n v="72106"/>
  </r>
  <r>
    <x v="12"/>
    <x v="26"/>
    <s v="Combined Heat and Power, Industrial Power"/>
    <x v="3"/>
    <n v="8636"/>
  </r>
  <r>
    <x v="12"/>
    <x v="26"/>
    <s v="Combined Heat and Power, Industrial Power"/>
    <x v="6"/>
    <n v="63470"/>
  </r>
  <r>
    <x v="12"/>
    <x v="26"/>
    <s v="Combined Heat and Power, Electric Power"/>
    <x v="0"/>
    <n v="348123"/>
  </r>
  <r>
    <x v="12"/>
    <x v="26"/>
    <s v="Combined Heat and Power, Electric Power"/>
    <x v="9"/>
    <n v="13398"/>
  </r>
  <r>
    <x v="12"/>
    <x v="26"/>
    <s v="Combined Heat and Power, Electric Power"/>
    <x v="4"/>
    <n v="334725"/>
  </r>
  <r>
    <x v="12"/>
    <x v="27"/>
    <s v="Total Electric Power Industry"/>
    <x v="0"/>
    <n v="124468030"/>
  </r>
  <r>
    <x v="12"/>
    <x v="27"/>
    <s v="Total Electric Power Industry"/>
    <x v="1"/>
    <n v="75187741"/>
  </r>
  <r>
    <x v="12"/>
    <x v="27"/>
    <s v="Total Electric Power Industry"/>
    <x v="2"/>
    <n v="3492048"/>
  </r>
  <r>
    <x v="12"/>
    <x v="27"/>
    <s v="Total Electric Power Industry"/>
    <x v="3"/>
    <n v="3560871"/>
  </r>
  <r>
    <x v="12"/>
    <x v="27"/>
    <s v="Total Electric Power Industry"/>
    <x v="7"/>
    <n v="39626849"/>
  </r>
  <r>
    <x v="12"/>
    <x v="27"/>
    <s v="Total Electric Power Industry"/>
    <x v="12"/>
    <n v="196202"/>
  </r>
  <r>
    <x v="12"/>
    <x v="27"/>
    <s v="Total Electric Power Industry"/>
    <x v="8"/>
    <n v="103451"/>
  </r>
  <r>
    <x v="12"/>
    <x v="27"/>
    <s v="Total Electric Power Industry"/>
    <x v="9"/>
    <n v="863"/>
  </r>
  <r>
    <x v="12"/>
    <x v="27"/>
    <s v="Total Electric Power Industry"/>
    <x v="4"/>
    <n v="592026"/>
  </r>
  <r>
    <x v="12"/>
    <x v="27"/>
    <s v="Total Electric Power Industry"/>
    <x v="10"/>
    <n v="25175"/>
  </r>
  <r>
    <x v="12"/>
    <x v="27"/>
    <s v="Total Electric Power Industry"/>
    <x v="6"/>
    <n v="1682804"/>
  </r>
  <r>
    <x v="12"/>
    <x v="27"/>
    <s v="Electric Generators, Independent Power Producers"/>
    <x v="0"/>
    <n v="1914161"/>
  </r>
  <r>
    <x v="12"/>
    <x v="27"/>
    <s v="Electric Generators, Independent Power Producers"/>
    <x v="2"/>
    <n v="10695"/>
  </r>
  <r>
    <x v="12"/>
    <x v="27"/>
    <s v="Electric Generators, Independent Power Producers"/>
    <x v="3"/>
    <n v="1480030"/>
  </r>
  <r>
    <x v="12"/>
    <x v="27"/>
    <s v="Electric Generators, Independent Power Producers"/>
    <x v="12"/>
    <n v="17659"/>
  </r>
  <r>
    <x v="12"/>
    <x v="27"/>
    <s v="Electric Generators, Independent Power Producers"/>
    <x v="8"/>
    <n v="47372"/>
  </r>
  <r>
    <x v="12"/>
    <x v="27"/>
    <s v="Electric Generators, Independent Power Producers"/>
    <x v="9"/>
    <n v="863"/>
  </r>
  <r>
    <x v="12"/>
    <x v="27"/>
    <s v="Electric Generators, Independent Power Producers"/>
    <x v="4"/>
    <n v="3391"/>
  </r>
  <r>
    <x v="12"/>
    <x v="27"/>
    <s v="Electric Generators, Independent Power Producers"/>
    <x v="6"/>
    <n v="354151"/>
  </r>
  <r>
    <x v="12"/>
    <x v="27"/>
    <s v="Electric Generators, Electric Utilities"/>
    <x v="0"/>
    <n v="115597653"/>
  </r>
  <r>
    <x v="12"/>
    <x v="27"/>
    <s v="Electric Generators, Electric Utilities"/>
    <x v="1"/>
    <n v="71223313"/>
  </r>
  <r>
    <x v="12"/>
    <x v="27"/>
    <s v="Electric Generators, Electric Utilities"/>
    <x v="2"/>
    <n v="2410462"/>
  </r>
  <r>
    <x v="12"/>
    <x v="27"/>
    <s v="Electric Generators, Electric Utilities"/>
    <x v="3"/>
    <n v="1935684"/>
  </r>
  <r>
    <x v="12"/>
    <x v="27"/>
    <s v="Electric Generators, Electric Utilities"/>
    <x v="7"/>
    <n v="39626849"/>
  </r>
  <r>
    <x v="12"/>
    <x v="27"/>
    <s v="Electric Generators, Electric Utilities"/>
    <x v="4"/>
    <n v="376170"/>
  </r>
  <r>
    <x v="12"/>
    <x v="27"/>
    <s v="Electric Generators, Electric Utilities"/>
    <x v="10"/>
    <n v="25175"/>
  </r>
  <r>
    <x v="12"/>
    <x v="27"/>
    <s v="Combined Heat and Power, Industrial Power"/>
    <x v="0"/>
    <n v="3577901"/>
  </r>
  <r>
    <x v="12"/>
    <x v="27"/>
    <s v="Combined Heat and Power, Industrial Power"/>
    <x v="1"/>
    <n v="787991"/>
  </r>
  <r>
    <x v="12"/>
    <x v="27"/>
    <s v="Combined Heat and Power, Industrial Power"/>
    <x v="2"/>
    <n v="1062485"/>
  </r>
  <r>
    <x v="12"/>
    <x v="27"/>
    <s v="Combined Heat and Power, Industrial Power"/>
    <x v="3"/>
    <n v="20380"/>
  </r>
  <r>
    <x v="12"/>
    <x v="27"/>
    <s v="Combined Heat and Power, Industrial Power"/>
    <x v="12"/>
    <n v="164178"/>
  </r>
  <r>
    <x v="12"/>
    <x v="27"/>
    <s v="Combined Heat and Power, Industrial Power"/>
    <x v="8"/>
    <n v="15501"/>
  </r>
  <r>
    <x v="12"/>
    <x v="27"/>
    <s v="Combined Heat and Power, Industrial Power"/>
    <x v="4"/>
    <n v="198713"/>
  </r>
  <r>
    <x v="12"/>
    <x v="27"/>
    <s v="Combined Heat and Power, Industrial Power"/>
    <x v="6"/>
    <n v="1328653"/>
  </r>
  <r>
    <x v="12"/>
    <x v="27"/>
    <s v="Combined Heat and Power, Electric Power"/>
    <x v="0"/>
    <n v="3271884"/>
  </r>
  <r>
    <x v="12"/>
    <x v="27"/>
    <s v="Combined Heat and Power, Electric Power"/>
    <x v="1"/>
    <n v="3084892"/>
  </r>
  <r>
    <x v="12"/>
    <x v="27"/>
    <s v="Combined Heat and Power, Electric Power"/>
    <x v="3"/>
    <n v="119949"/>
  </r>
  <r>
    <x v="12"/>
    <x v="27"/>
    <s v="Combined Heat and Power, Electric Power"/>
    <x v="12"/>
    <n v="14365"/>
  </r>
  <r>
    <x v="12"/>
    <x v="27"/>
    <s v="Combined Heat and Power, Electric Power"/>
    <x v="8"/>
    <n v="40578"/>
  </r>
  <r>
    <x v="12"/>
    <x v="27"/>
    <s v="Combined Heat and Power, Electric Power"/>
    <x v="9"/>
    <n v="0"/>
  </r>
  <r>
    <x v="12"/>
    <x v="27"/>
    <s v="Combined Heat and Power, Electric Power"/>
    <x v="4"/>
    <n v="12100"/>
  </r>
  <r>
    <x v="12"/>
    <x v="27"/>
    <s v="Combined Heat and Power, Commercial Power"/>
    <x v="0"/>
    <n v="106430"/>
  </r>
  <r>
    <x v="12"/>
    <x v="27"/>
    <s v="Combined Heat and Power, Commercial Power"/>
    <x v="1"/>
    <n v="91545"/>
  </r>
  <r>
    <x v="12"/>
    <x v="27"/>
    <s v="Combined Heat and Power, Commercial Power"/>
    <x v="2"/>
    <n v="8406"/>
  </r>
  <r>
    <x v="12"/>
    <x v="27"/>
    <s v="Combined Heat and Power, Commercial Power"/>
    <x v="3"/>
    <n v="4827"/>
  </r>
  <r>
    <x v="12"/>
    <x v="27"/>
    <s v="Combined Heat and Power, Commercial Power"/>
    <x v="4"/>
    <n v="1652"/>
  </r>
  <r>
    <x v="12"/>
    <x v="28"/>
    <s v="Total Electric Power Industry"/>
    <x v="0"/>
    <n v="31306312"/>
  </r>
  <r>
    <x v="12"/>
    <x v="28"/>
    <s v="Total Electric Power Industry"/>
    <x v="1"/>
    <n v="29611524"/>
  </r>
  <r>
    <x v="12"/>
    <x v="28"/>
    <s v="Total Electric Power Industry"/>
    <x v="2"/>
    <n v="1592616"/>
  </r>
  <r>
    <x v="12"/>
    <x v="28"/>
    <s v="Total Electric Power Industry"/>
    <x v="3"/>
    <n v="8042"/>
  </r>
  <r>
    <x v="12"/>
    <x v="28"/>
    <s v="Total Electric Power Industry"/>
    <x v="8"/>
    <n v="410"/>
  </r>
  <r>
    <x v="12"/>
    <x v="28"/>
    <s v="Total Electric Power Industry"/>
    <x v="9"/>
    <n v="55144"/>
  </r>
  <r>
    <x v="12"/>
    <x v="28"/>
    <s v="Total Electric Power Industry"/>
    <x v="4"/>
    <n v="38576"/>
  </r>
  <r>
    <x v="12"/>
    <x v="28"/>
    <s v="Electric Generators, Electric Utilities"/>
    <x v="0"/>
    <n v="31147221"/>
  </r>
  <r>
    <x v="12"/>
    <x v="28"/>
    <s v="Electric Generators, Electric Utilities"/>
    <x v="1"/>
    <n v="29518865"/>
  </r>
  <r>
    <x v="12"/>
    <x v="28"/>
    <s v="Electric Generators, Electric Utilities"/>
    <x v="2"/>
    <n v="1592616"/>
  </r>
  <r>
    <x v="12"/>
    <x v="28"/>
    <s v="Electric Generators, Electric Utilities"/>
    <x v="3"/>
    <n v="12"/>
  </r>
  <r>
    <x v="12"/>
    <x v="28"/>
    <s v="Electric Generators, Electric Utilities"/>
    <x v="4"/>
    <n v="35728"/>
  </r>
  <r>
    <x v="12"/>
    <x v="28"/>
    <s v="Combined Heat and Power, Industrial Power"/>
    <x v="0"/>
    <n v="159091"/>
  </r>
  <r>
    <x v="12"/>
    <x v="28"/>
    <s v="Combined Heat and Power, Industrial Power"/>
    <x v="1"/>
    <n v="92659"/>
  </r>
  <r>
    <x v="12"/>
    <x v="28"/>
    <s v="Combined Heat and Power, Industrial Power"/>
    <x v="3"/>
    <n v="8030"/>
  </r>
  <r>
    <x v="12"/>
    <x v="28"/>
    <s v="Combined Heat and Power, Industrial Power"/>
    <x v="8"/>
    <n v="410"/>
  </r>
  <r>
    <x v="12"/>
    <x v="28"/>
    <s v="Combined Heat and Power, Industrial Power"/>
    <x v="9"/>
    <n v="55144"/>
  </r>
  <r>
    <x v="12"/>
    <x v="28"/>
    <s v="Combined Heat and Power, Industrial Power"/>
    <x v="4"/>
    <n v="2848"/>
  </r>
  <r>
    <x v="12"/>
    <x v="29"/>
    <s v="Total Electric Power Industry"/>
    <x v="0"/>
    <n v="31618494"/>
  </r>
  <r>
    <x v="12"/>
    <x v="29"/>
    <s v="Total Electric Power Industry"/>
    <x v="1"/>
    <n v="19943907"/>
  </r>
  <r>
    <x v="12"/>
    <x v="29"/>
    <s v="Total Electric Power Industry"/>
    <x v="2"/>
    <n v="1097486"/>
  </r>
  <r>
    <x v="12"/>
    <x v="29"/>
    <s v="Total Electric Power Industry"/>
    <x v="3"/>
    <n v="413138"/>
  </r>
  <r>
    <x v="12"/>
    <x v="29"/>
    <s v="Total Electric Power Industry"/>
    <x v="7"/>
    <n v="10122242"/>
  </r>
  <r>
    <x v="12"/>
    <x v="29"/>
    <s v="Total Electric Power Industry"/>
    <x v="12"/>
    <n v="0"/>
  </r>
  <r>
    <x v="12"/>
    <x v="29"/>
    <s v="Total Electric Power Industry"/>
    <x v="8"/>
    <n v="12993"/>
  </r>
  <r>
    <x v="12"/>
    <x v="29"/>
    <s v="Total Electric Power Industry"/>
    <x v="9"/>
    <n v="101"/>
  </r>
  <r>
    <x v="12"/>
    <x v="29"/>
    <s v="Total Electric Power Industry"/>
    <x v="4"/>
    <n v="20549"/>
  </r>
  <r>
    <x v="12"/>
    <x v="29"/>
    <s v="Total Electric Power Industry"/>
    <x v="5"/>
    <n v="8078"/>
  </r>
  <r>
    <x v="12"/>
    <x v="29"/>
    <s v="Electric Generators, Electric Utilities"/>
    <x v="0"/>
    <n v="31550226"/>
  </r>
  <r>
    <x v="12"/>
    <x v="29"/>
    <s v="Electric Generators, Electric Utilities"/>
    <x v="1"/>
    <n v="19899803"/>
  </r>
  <r>
    <x v="12"/>
    <x v="29"/>
    <s v="Electric Generators, Electric Utilities"/>
    <x v="2"/>
    <n v="1097486"/>
  </r>
  <r>
    <x v="12"/>
    <x v="29"/>
    <s v="Electric Generators, Electric Utilities"/>
    <x v="3"/>
    <n v="404106"/>
  </r>
  <r>
    <x v="12"/>
    <x v="29"/>
    <s v="Electric Generators, Electric Utilities"/>
    <x v="7"/>
    <n v="10122242"/>
  </r>
  <r>
    <x v="12"/>
    <x v="29"/>
    <s v="Electric Generators, Electric Utilities"/>
    <x v="12"/>
    <n v="0"/>
  </r>
  <r>
    <x v="12"/>
    <x v="29"/>
    <s v="Electric Generators, Electric Utilities"/>
    <x v="8"/>
    <n v="0"/>
  </r>
  <r>
    <x v="12"/>
    <x v="29"/>
    <s v="Electric Generators, Electric Utilities"/>
    <x v="9"/>
    <n v="101"/>
  </r>
  <r>
    <x v="12"/>
    <x v="29"/>
    <s v="Electric Generators, Electric Utilities"/>
    <x v="4"/>
    <n v="18410"/>
  </r>
  <r>
    <x v="12"/>
    <x v="29"/>
    <s v="Electric Generators, Electric Utilities"/>
    <x v="5"/>
    <n v="8078"/>
  </r>
  <r>
    <x v="12"/>
    <x v="29"/>
    <s v="Combined Heat and Power, Industrial Power"/>
    <x v="0"/>
    <n v="44104"/>
  </r>
  <r>
    <x v="12"/>
    <x v="29"/>
    <s v="Combined Heat and Power, Industrial Power"/>
    <x v="1"/>
    <n v="44104"/>
  </r>
  <r>
    <x v="12"/>
    <x v="29"/>
    <s v="Combined Heat and Power, Industrial Power"/>
    <x v="3"/>
    <n v="0"/>
  </r>
  <r>
    <x v="12"/>
    <x v="29"/>
    <s v="Combined Heat and Power, Electric Power"/>
    <x v="0"/>
    <n v="7500"/>
  </r>
  <r>
    <x v="12"/>
    <x v="29"/>
    <s v="Combined Heat and Power, Electric Power"/>
    <x v="3"/>
    <n v="1045"/>
  </r>
  <r>
    <x v="12"/>
    <x v="29"/>
    <s v="Combined Heat and Power, Electric Power"/>
    <x v="8"/>
    <n v="6455"/>
  </r>
  <r>
    <x v="12"/>
    <x v="29"/>
    <s v="Combined Heat and Power, Commercial Power"/>
    <x v="0"/>
    <n v="16664"/>
  </r>
  <r>
    <x v="12"/>
    <x v="29"/>
    <s v="Combined Heat and Power, Commercial Power"/>
    <x v="3"/>
    <n v="7987"/>
  </r>
  <r>
    <x v="12"/>
    <x v="29"/>
    <s v="Combined Heat and Power, Commercial Power"/>
    <x v="8"/>
    <n v="6538"/>
  </r>
  <r>
    <x v="12"/>
    <x v="29"/>
    <s v="Combined Heat and Power, Commercial Power"/>
    <x v="4"/>
    <n v="2139"/>
  </r>
  <r>
    <x v="12"/>
    <x v="30"/>
    <s v="Total Electric Power Industry"/>
    <x v="0"/>
    <n v="15953078"/>
  </r>
  <r>
    <x v="12"/>
    <x v="30"/>
    <s v="Total Electric Power Industry"/>
    <x v="1"/>
    <n v="3722386"/>
  </r>
  <r>
    <x v="12"/>
    <x v="30"/>
    <s v="Total Electric Power Industry"/>
    <x v="2"/>
    <n v="1140940"/>
  </r>
  <r>
    <x v="12"/>
    <x v="30"/>
    <s v="Total Electric Power Industry"/>
    <x v="3"/>
    <n v="220369"/>
  </r>
  <r>
    <x v="12"/>
    <x v="30"/>
    <s v="Total Electric Power Industry"/>
    <x v="7"/>
    <n v="9294617"/>
  </r>
  <r>
    <x v="12"/>
    <x v="30"/>
    <s v="Total Electric Power Industry"/>
    <x v="12"/>
    <n v="60103"/>
  </r>
  <r>
    <x v="12"/>
    <x v="30"/>
    <s v="Total Electric Power Industry"/>
    <x v="8"/>
    <n v="165187"/>
  </r>
  <r>
    <x v="12"/>
    <x v="30"/>
    <s v="Total Electric Power Industry"/>
    <x v="4"/>
    <n v="649709"/>
  </r>
  <r>
    <x v="12"/>
    <x v="30"/>
    <s v="Total Electric Power Industry"/>
    <x v="6"/>
    <n v="699767"/>
  </r>
  <r>
    <x v="12"/>
    <x v="30"/>
    <s v="Electric Generators, Independent Power Producers"/>
    <x v="0"/>
    <n v="3385159"/>
  </r>
  <r>
    <x v="12"/>
    <x v="30"/>
    <s v="Electric Generators, Independent Power Producers"/>
    <x v="2"/>
    <n v="824892"/>
  </r>
  <r>
    <x v="12"/>
    <x v="30"/>
    <s v="Electric Generators, Independent Power Producers"/>
    <x v="7"/>
    <n v="1694756"/>
  </r>
  <r>
    <x v="12"/>
    <x v="30"/>
    <s v="Electric Generators, Independent Power Producers"/>
    <x v="12"/>
    <n v="60103"/>
  </r>
  <r>
    <x v="12"/>
    <x v="30"/>
    <s v="Electric Generators, Independent Power Producers"/>
    <x v="8"/>
    <n v="165187"/>
  </r>
  <r>
    <x v="12"/>
    <x v="30"/>
    <s v="Electric Generators, Independent Power Producers"/>
    <x v="4"/>
    <n v="427"/>
  </r>
  <r>
    <x v="12"/>
    <x v="30"/>
    <s v="Electric Generators, Independent Power Producers"/>
    <x v="6"/>
    <n v="639794"/>
  </r>
  <r>
    <x v="12"/>
    <x v="30"/>
    <s v="Electric Generators, Electric Utilities"/>
    <x v="0"/>
    <n v="12276456"/>
  </r>
  <r>
    <x v="12"/>
    <x v="30"/>
    <s v="Electric Generators, Electric Utilities"/>
    <x v="1"/>
    <n v="3722386"/>
  </r>
  <r>
    <x v="12"/>
    <x v="30"/>
    <s v="Electric Generators, Electric Utilities"/>
    <x v="2"/>
    <n v="263087"/>
  </r>
  <r>
    <x v="12"/>
    <x v="30"/>
    <s v="Electric Generators, Electric Utilities"/>
    <x v="3"/>
    <n v="95547"/>
  </r>
  <r>
    <x v="12"/>
    <x v="30"/>
    <s v="Electric Generators, Electric Utilities"/>
    <x v="7"/>
    <n v="7599861"/>
  </r>
  <r>
    <x v="12"/>
    <x v="30"/>
    <s v="Electric Generators, Electric Utilities"/>
    <x v="4"/>
    <n v="595575"/>
  </r>
  <r>
    <x v="12"/>
    <x v="30"/>
    <s v="Combined Heat and Power, Industrial Power"/>
    <x v="0"/>
    <n v="241827"/>
  </r>
  <r>
    <x v="12"/>
    <x v="30"/>
    <s v="Combined Heat and Power, Industrial Power"/>
    <x v="2"/>
    <n v="52961"/>
  </r>
  <r>
    <x v="12"/>
    <x v="30"/>
    <s v="Combined Heat and Power, Industrial Power"/>
    <x v="3"/>
    <n v="124822"/>
  </r>
  <r>
    <x v="12"/>
    <x v="30"/>
    <s v="Combined Heat and Power, Industrial Power"/>
    <x v="4"/>
    <n v="23635"/>
  </r>
  <r>
    <x v="12"/>
    <x v="30"/>
    <s v="Combined Heat and Power, Industrial Power"/>
    <x v="6"/>
    <n v="40409"/>
  </r>
  <r>
    <x v="12"/>
    <x v="30"/>
    <s v="Combined Heat and Power, Electric Power"/>
    <x v="0"/>
    <n v="19609"/>
  </r>
  <r>
    <x v="12"/>
    <x v="30"/>
    <s v="Combined Heat and Power, Electric Power"/>
    <x v="4"/>
    <n v="45"/>
  </r>
  <r>
    <x v="12"/>
    <x v="30"/>
    <s v="Combined Heat and Power, Electric Power"/>
    <x v="6"/>
    <n v="19564"/>
  </r>
  <r>
    <x v="12"/>
    <x v="30"/>
    <s v="Combined Heat and Power, Commercial Power"/>
    <x v="0"/>
    <n v="30027"/>
  </r>
  <r>
    <x v="12"/>
    <x v="30"/>
    <s v="Combined Heat and Power, Commercial Power"/>
    <x v="4"/>
    <n v="30027"/>
  </r>
  <r>
    <x v="12"/>
    <x v="31"/>
    <s v="Total Electric Power Industry"/>
    <x v="0"/>
    <n v="61569387"/>
  </r>
  <r>
    <x v="12"/>
    <x v="31"/>
    <s v="Total Electric Power Industry"/>
    <x v="1"/>
    <n v="9605054"/>
  </r>
  <r>
    <x v="12"/>
    <x v="31"/>
    <s v="Total Electric Power Industry"/>
    <x v="2"/>
    <n v="12030"/>
  </r>
  <r>
    <x v="12"/>
    <x v="31"/>
    <s v="Total Electric Power Industry"/>
    <x v="3"/>
    <n v="19069358"/>
  </r>
  <r>
    <x v="12"/>
    <x v="31"/>
    <s v="Total Electric Power Industry"/>
    <x v="7"/>
    <n v="30865675"/>
  </r>
  <r>
    <x v="12"/>
    <x v="31"/>
    <s v="Total Electric Power Industry"/>
    <x v="12"/>
    <n v="494755"/>
  </r>
  <r>
    <x v="12"/>
    <x v="31"/>
    <s v="Total Electric Power Industry"/>
    <x v="8"/>
    <n v="847199"/>
  </r>
  <r>
    <x v="12"/>
    <x v="31"/>
    <s v="Total Electric Power Industry"/>
    <x v="9"/>
    <n v="90483"/>
  </r>
  <r>
    <x v="12"/>
    <x v="31"/>
    <s v="Total Electric Power Industry"/>
    <x v="4"/>
    <n v="730633"/>
  </r>
  <r>
    <x v="12"/>
    <x v="31"/>
    <s v="Total Electric Power Industry"/>
    <x v="10"/>
    <n v="-145800"/>
  </r>
  <r>
    <x v="12"/>
    <x v="31"/>
    <s v="Electric Generators, Independent Power Producers"/>
    <x v="0"/>
    <n v="43923506"/>
  </r>
  <r>
    <x v="12"/>
    <x v="31"/>
    <s v="Electric Generators, Independent Power Producers"/>
    <x v="1"/>
    <n v="5294525"/>
  </r>
  <r>
    <x v="12"/>
    <x v="31"/>
    <s v="Electric Generators, Independent Power Producers"/>
    <x v="2"/>
    <n v="12030"/>
  </r>
  <r>
    <x v="12"/>
    <x v="31"/>
    <s v="Electric Generators, Independent Power Producers"/>
    <x v="3"/>
    <n v="6518195"/>
  </r>
  <r>
    <x v="12"/>
    <x v="31"/>
    <s v="Electric Generators, Independent Power Producers"/>
    <x v="7"/>
    <n v="30865675"/>
  </r>
  <r>
    <x v="12"/>
    <x v="31"/>
    <s v="Electric Generators, Independent Power Producers"/>
    <x v="12"/>
    <n v="278645"/>
  </r>
  <r>
    <x v="12"/>
    <x v="31"/>
    <s v="Electric Generators, Independent Power Producers"/>
    <x v="8"/>
    <n v="531165"/>
  </r>
  <r>
    <x v="12"/>
    <x v="31"/>
    <s v="Electric Generators, Independent Power Producers"/>
    <x v="9"/>
    <n v="1745"/>
  </r>
  <r>
    <x v="12"/>
    <x v="31"/>
    <s v="Electric Generators, Independent Power Producers"/>
    <x v="4"/>
    <n v="421526"/>
  </r>
  <r>
    <x v="12"/>
    <x v="31"/>
    <s v="Electric Generators, Electric Utilities"/>
    <x v="0"/>
    <n v="1569056"/>
  </r>
  <r>
    <x v="12"/>
    <x v="31"/>
    <s v="Electric Generators, Electric Utilities"/>
    <x v="1"/>
    <n v="1416711"/>
  </r>
  <r>
    <x v="12"/>
    <x v="31"/>
    <s v="Electric Generators, Electric Utilities"/>
    <x v="3"/>
    <n v="95631"/>
  </r>
  <r>
    <x v="12"/>
    <x v="31"/>
    <s v="Electric Generators, Electric Utilities"/>
    <x v="4"/>
    <n v="202514"/>
  </r>
  <r>
    <x v="12"/>
    <x v="31"/>
    <s v="Electric Generators, Electric Utilities"/>
    <x v="10"/>
    <n v="-145800"/>
  </r>
  <r>
    <x v="12"/>
    <x v="31"/>
    <s v="Combined Heat and Power, Industrial Power"/>
    <x v="0"/>
    <n v="2264706"/>
  </r>
  <r>
    <x v="12"/>
    <x v="31"/>
    <s v="Combined Heat and Power, Industrial Power"/>
    <x v="3"/>
    <n v="2088454"/>
  </r>
  <r>
    <x v="12"/>
    <x v="31"/>
    <s v="Combined Heat and Power, Industrial Power"/>
    <x v="12"/>
    <n v="11538"/>
  </r>
  <r>
    <x v="12"/>
    <x v="31"/>
    <s v="Combined Heat and Power, Industrial Power"/>
    <x v="8"/>
    <n v="12896"/>
  </r>
  <r>
    <x v="12"/>
    <x v="31"/>
    <s v="Combined Heat and Power, Industrial Power"/>
    <x v="9"/>
    <n v="88738"/>
  </r>
  <r>
    <x v="12"/>
    <x v="31"/>
    <s v="Combined Heat and Power, Industrial Power"/>
    <x v="4"/>
    <n v="63081"/>
  </r>
  <r>
    <x v="12"/>
    <x v="31"/>
    <s v="Combined Heat and Power, Electric Power"/>
    <x v="0"/>
    <n v="13693151"/>
  </r>
  <r>
    <x v="12"/>
    <x v="31"/>
    <s v="Combined Heat and Power, Electric Power"/>
    <x v="1"/>
    <n v="2893818"/>
  </r>
  <r>
    <x v="12"/>
    <x v="31"/>
    <s v="Combined Heat and Power, Electric Power"/>
    <x v="3"/>
    <n v="10252417"/>
  </r>
  <r>
    <x v="12"/>
    <x v="31"/>
    <s v="Combined Heat and Power, Electric Power"/>
    <x v="12"/>
    <n v="204572"/>
  </r>
  <r>
    <x v="12"/>
    <x v="31"/>
    <s v="Combined Heat and Power, Electric Power"/>
    <x v="8"/>
    <n v="300205"/>
  </r>
  <r>
    <x v="12"/>
    <x v="31"/>
    <s v="Combined Heat and Power, Electric Power"/>
    <x v="4"/>
    <n v="42139"/>
  </r>
  <r>
    <x v="12"/>
    <x v="31"/>
    <s v="Combined Heat and Power, Commercial Power"/>
    <x v="0"/>
    <n v="118967"/>
  </r>
  <r>
    <x v="12"/>
    <x v="31"/>
    <s v="Combined Heat and Power, Commercial Power"/>
    <x v="3"/>
    <n v="114661"/>
  </r>
  <r>
    <x v="12"/>
    <x v="31"/>
    <s v="Combined Heat and Power, Commercial Power"/>
    <x v="8"/>
    <n v="2933"/>
  </r>
  <r>
    <x v="12"/>
    <x v="31"/>
    <s v="Combined Heat and Power, Commercial Power"/>
    <x v="4"/>
    <n v="1373"/>
  </r>
  <r>
    <x v="12"/>
    <x v="32"/>
    <s v="Total Electric Power Industry"/>
    <x v="0"/>
    <n v="30661707"/>
  </r>
  <r>
    <x v="12"/>
    <x v="32"/>
    <s v="Total Electric Power Industry"/>
    <x v="1"/>
    <n v="26902880"/>
  </r>
  <r>
    <x v="12"/>
    <x v="32"/>
    <s v="Total Electric Power Industry"/>
    <x v="2"/>
    <n v="264591"/>
  </r>
  <r>
    <x v="12"/>
    <x v="32"/>
    <s v="Total Electric Power Industry"/>
    <x v="3"/>
    <n v="3441739"/>
  </r>
  <r>
    <x v="12"/>
    <x v="32"/>
    <s v="Total Electric Power Industry"/>
    <x v="8"/>
    <n v="19408"/>
  </r>
  <r>
    <x v="12"/>
    <x v="32"/>
    <s v="Total Electric Power Industry"/>
    <x v="4"/>
    <n v="33089"/>
  </r>
  <r>
    <x v="12"/>
    <x v="32"/>
    <s v="Electric Generators, Independent Power Producers"/>
    <x v="0"/>
    <n v="40243"/>
  </r>
  <r>
    <x v="12"/>
    <x v="32"/>
    <s v="Electric Generators, Independent Power Producers"/>
    <x v="3"/>
    <n v="39496"/>
  </r>
  <r>
    <x v="12"/>
    <x v="32"/>
    <s v="Electric Generators, Independent Power Producers"/>
    <x v="4"/>
    <n v="747"/>
  </r>
  <r>
    <x v="12"/>
    <x v="32"/>
    <s v="Electric Generators, Electric Utilities"/>
    <x v="0"/>
    <n v="29926241"/>
  </r>
  <r>
    <x v="12"/>
    <x v="32"/>
    <s v="Electric Generators, Electric Utilities"/>
    <x v="1"/>
    <n v="26902880"/>
  </r>
  <r>
    <x v="12"/>
    <x v="32"/>
    <s v="Electric Generators, Electric Utilities"/>
    <x v="2"/>
    <n v="264591"/>
  </r>
  <r>
    <x v="12"/>
    <x v="32"/>
    <s v="Electric Generators, Electric Utilities"/>
    <x v="3"/>
    <n v="2728060"/>
  </r>
  <r>
    <x v="12"/>
    <x v="32"/>
    <s v="Electric Generators, Electric Utilities"/>
    <x v="4"/>
    <n v="30710"/>
  </r>
  <r>
    <x v="12"/>
    <x v="32"/>
    <s v="Combined Heat and Power, Industrial Power"/>
    <x v="0"/>
    <n v="143353"/>
  </r>
  <r>
    <x v="12"/>
    <x v="32"/>
    <s v="Combined Heat and Power, Industrial Power"/>
    <x v="3"/>
    <n v="141721"/>
  </r>
  <r>
    <x v="12"/>
    <x v="32"/>
    <s v="Combined Heat and Power, Industrial Power"/>
    <x v="4"/>
    <n v="1632"/>
  </r>
  <r>
    <x v="12"/>
    <x v="32"/>
    <s v="Combined Heat and Power, Electric Power"/>
    <x v="0"/>
    <n v="495910"/>
  </r>
  <r>
    <x v="12"/>
    <x v="32"/>
    <s v="Combined Heat and Power, Electric Power"/>
    <x v="3"/>
    <n v="476502"/>
  </r>
  <r>
    <x v="12"/>
    <x v="32"/>
    <s v="Combined Heat and Power, Electric Power"/>
    <x v="8"/>
    <n v="19408"/>
  </r>
  <r>
    <x v="12"/>
    <x v="32"/>
    <s v="Combined Heat and Power, Commercial Power"/>
    <x v="0"/>
    <n v="55960"/>
  </r>
  <r>
    <x v="12"/>
    <x v="32"/>
    <s v="Combined Heat and Power, Commercial Power"/>
    <x v="3"/>
    <n v="55960"/>
  </r>
  <r>
    <x v="12"/>
    <x v="33"/>
    <s v="Total Electric Power Industry"/>
    <x v="0"/>
    <n v="32088935"/>
  </r>
  <r>
    <x v="12"/>
    <x v="33"/>
    <s v="Total Electric Power Industry"/>
    <x v="1"/>
    <n v="16413025"/>
  </r>
  <r>
    <x v="12"/>
    <x v="33"/>
    <s v="Total Electric Power Industry"/>
    <x v="11"/>
    <n v="1127283"/>
  </r>
  <r>
    <x v="12"/>
    <x v="33"/>
    <s v="Total Electric Power Industry"/>
    <x v="2"/>
    <n v="2267586"/>
  </r>
  <r>
    <x v="12"/>
    <x v="33"/>
    <s v="Total Electric Power Industry"/>
    <x v="3"/>
    <n v="12210660"/>
  </r>
  <r>
    <x v="12"/>
    <x v="33"/>
    <s v="Total Electric Power Industry"/>
    <x v="9"/>
    <n v="44909"/>
  </r>
  <r>
    <x v="12"/>
    <x v="33"/>
    <s v="Total Electric Power Industry"/>
    <x v="4"/>
    <n v="25472"/>
  </r>
  <r>
    <x v="12"/>
    <x v="33"/>
    <s v="Electric Generators, Independent Power Producers"/>
    <x v="0"/>
    <n v="4652670"/>
  </r>
  <r>
    <x v="12"/>
    <x v="33"/>
    <s v="Electric Generators, Independent Power Producers"/>
    <x v="11"/>
    <n v="1127283"/>
  </r>
  <r>
    <x v="12"/>
    <x v="33"/>
    <s v="Electric Generators, Independent Power Producers"/>
    <x v="2"/>
    <n v="8202"/>
  </r>
  <r>
    <x v="12"/>
    <x v="33"/>
    <s v="Electric Generators, Independent Power Producers"/>
    <x v="3"/>
    <n v="3517185"/>
  </r>
  <r>
    <x v="12"/>
    <x v="33"/>
    <s v="Electric Generators, Independent Power Producers"/>
    <x v="4"/>
    <n v="0"/>
  </r>
  <r>
    <x v="12"/>
    <x v="33"/>
    <s v="Electric Generators, Electric Utilities"/>
    <x v="0"/>
    <n v="25008568"/>
  </r>
  <r>
    <x v="12"/>
    <x v="33"/>
    <s v="Electric Generators, Electric Utilities"/>
    <x v="1"/>
    <n v="16413025"/>
  </r>
  <r>
    <x v="12"/>
    <x v="33"/>
    <s v="Electric Generators, Electric Utilities"/>
    <x v="2"/>
    <n v="2259384"/>
  </r>
  <r>
    <x v="12"/>
    <x v="33"/>
    <s v="Electric Generators, Electric Utilities"/>
    <x v="3"/>
    <n v="6310687"/>
  </r>
  <r>
    <x v="12"/>
    <x v="33"/>
    <s v="Electric Generators, Electric Utilities"/>
    <x v="4"/>
    <n v="25472"/>
  </r>
  <r>
    <x v="12"/>
    <x v="33"/>
    <s v="Combined Heat and Power, Electric Power"/>
    <x v="0"/>
    <n v="2427697"/>
  </r>
  <r>
    <x v="12"/>
    <x v="33"/>
    <s v="Combined Heat and Power, Electric Power"/>
    <x v="3"/>
    <n v="2382788"/>
  </r>
  <r>
    <x v="12"/>
    <x v="33"/>
    <s v="Combined Heat and Power, Electric Power"/>
    <x v="9"/>
    <n v="44909"/>
  </r>
  <r>
    <x v="12"/>
    <x v="34"/>
    <s v="Total Electric Power Industry"/>
    <x v="0"/>
    <n v="139591688"/>
  </r>
  <r>
    <x v="12"/>
    <x v="34"/>
    <s v="Total Electric Power Industry"/>
    <x v="1"/>
    <n v="23239112"/>
  </r>
  <r>
    <x v="12"/>
    <x v="34"/>
    <s v="Total Electric Power Industry"/>
    <x v="2"/>
    <n v="25047895"/>
  </r>
  <r>
    <x v="12"/>
    <x v="34"/>
    <s v="Total Electric Power Industry"/>
    <x v="3"/>
    <n v="38451192"/>
  </r>
  <r>
    <x v="12"/>
    <x v="34"/>
    <s v="Total Electric Power Industry"/>
    <x v="7"/>
    <n v="39617491"/>
  </r>
  <r>
    <x v="12"/>
    <x v="34"/>
    <s v="Total Electric Power Industry"/>
    <x v="12"/>
    <n v="815443"/>
  </r>
  <r>
    <x v="12"/>
    <x v="34"/>
    <s v="Total Electric Power Industry"/>
    <x v="8"/>
    <n v="1313824"/>
  </r>
  <r>
    <x v="12"/>
    <x v="34"/>
    <s v="Total Electric Power Industry"/>
    <x v="4"/>
    <n v="11534110"/>
  </r>
  <r>
    <x v="12"/>
    <x v="34"/>
    <s v="Total Electric Power Industry"/>
    <x v="10"/>
    <n v="-921224"/>
  </r>
  <r>
    <x v="12"/>
    <x v="34"/>
    <s v="Total Electric Power Industry"/>
    <x v="5"/>
    <n v="81626"/>
  </r>
  <r>
    <x v="12"/>
    <x v="34"/>
    <s v="Total Electric Power Industry"/>
    <x v="6"/>
    <n v="412218"/>
  </r>
  <r>
    <x v="12"/>
    <x v="34"/>
    <s v="Electric Generators, Independent Power Producers"/>
    <x v="0"/>
    <n v="76296971"/>
  </r>
  <r>
    <x v="12"/>
    <x v="34"/>
    <s v="Electric Generators, Independent Power Producers"/>
    <x v="1"/>
    <n v="19971989"/>
  </r>
  <r>
    <x v="12"/>
    <x v="34"/>
    <s v="Electric Generators, Independent Power Producers"/>
    <x v="2"/>
    <n v="4335038"/>
  </r>
  <r>
    <x v="12"/>
    <x v="34"/>
    <s v="Electric Generators, Independent Power Producers"/>
    <x v="3"/>
    <n v="10724151"/>
  </r>
  <r>
    <x v="12"/>
    <x v="34"/>
    <s v="Electric Generators, Independent Power Producers"/>
    <x v="7"/>
    <n v="35790643"/>
  </r>
  <r>
    <x v="12"/>
    <x v="34"/>
    <s v="Electric Generators, Independent Power Producers"/>
    <x v="12"/>
    <n v="533944"/>
  </r>
  <r>
    <x v="12"/>
    <x v="34"/>
    <s v="Electric Generators, Independent Power Producers"/>
    <x v="8"/>
    <n v="868978"/>
  </r>
  <r>
    <x v="12"/>
    <x v="34"/>
    <s v="Electric Generators, Independent Power Producers"/>
    <x v="4"/>
    <n v="3778510"/>
  </r>
  <r>
    <x v="12"/>
    <x v="34"/>
    <s v="Electric Generators, Independent Power Producers"/>
    <x v="5"/>
    <n v="81626"/>
  </r>
  <r>
    <x v="12"/>
    <x v="34"/>
    <s v="Electric Generators, Independent Power Producers"/>
    <x v="6"/>
    <n v="212091"/>
  </r>
  <r>
    <x v="12"/>
    <x v="34"/>
    <s v="Electric Generators, Electric Utilities"/>
    <x v="0"/>
    <n v="43466278"/>
  </r>
  <r>
    <x v="12"/>
    <x v="34"/>
    <s v="Electric Generators, Electric Utilities"/>
    <x v="1"/>
    <n v="1682022"/>
  </r>
  <r>
    <x v="12"/>
    <x v="34"/>
    <s v="Electric Generators, Electric Utilities"/>
    <x v="2"/>
    <n v="20645746"/>
  </r>
  <r>
    <x v="12"/>
    <x v="34"/>
    <s v="Electric Generators, Electric Utilities"/>
    <x v="3"/>
    <n v="10798275"/>
  </r>
  <r>
    <x v="12"/>
    <x v="34"/>
    <s v="Electric Generators, Electric Utilities"/>
    <x v="7"/>
    <n v="3826848"/>
  </r>
  <r>
    <x v="12"/>
    <x v="34"/>
    <s v="Electric Generators, Electric Utilities"/>
    <x v="4"/>
    <n v="7434611"/>
  </r>
  <r>
    <x v="12"/>
    <x v="34"/>
    <s v="Electric Generators, Electric Utilities"/>
    <x v="10"/>
    <n v="-921224"/>
  </r>
  <r>
    <x v="12"/>
    <x v="34"/>
    <s v="Combined Heat and Power, Industrial Power"/>
    <x v="0"/>
    <n v="2072701"/>
  </r>
  <r>
    <x v="12"/>
    <x v="34"/>
    <s v="Combined Heat and Power, Industrial Power"/>
    <x v="1"/>
    <n v="712813"/>
  </r>
  <r>
    <x v="12"/>
    <x v="34"/>
    <s v="Combined Heat and Power, Industrial Power"/>
    <x v="2"/>
    <n v="67106"/>
  </r>
  <r>
    <x v="12"/>
    <x v="34"/>
    <s v="Combined Heat and Power, Industrial Power"/>
    <x v="3"/>
    <n v="967804"/>
  </r>
  <r>
    <x v="12"/>
    <x v="34"/>
    <s v="Combined Heat and Power, Industrial Power"/>
    <x v="4"/>
    <n v="140969"/>
  </r>
  <r>
    <x v="12"/>
    <x v="34"/>
    <s v="Combined Heat and Power, Industrial Power"/>
    <x v="6"/>
    <n v="184009"/>
  </r>
  <r>
    <x v="12"/>
    <x v="34"/>
    <s v="Combined Heat and Power, Electric Power"/>
    <x v="0"/>
    <n v="17189103"/>
  </r>
  <r>
    <x v="12"/>
    <x v="34"/>
    <s v="Combined Heat and Power, Electric Power"/>
    <x v="1"/>
    <n v="843487"/>
  </r>
  <r>
    <x v="12"/>
    <x v="34"/>
    <s v="Combined Heat and Power, Electric Power"/>
    <x v="3"/>
    <n v="15706974"/>
  </r>
  <r>
    <x v="12"/>
    <x v="34"/>
    <s v="Combined Heat and Power, Electric Power"/>
    <x v="12"/>
    <n v="180295"/>
  </r>
  <r>
    <x v="12"/>
    <x v="34"/>
    <s v="Combined Heat and Power, Electric Power"/>
    <x v="8"/>
    <n v="316041"/>
  </r>
  <r>
    <x v="12"/>
    <x v="34"/>
    <s v="Combined Heat and Power, Electric Power"/>
    <x v="4"/>
    <n v="126187"/>
  </r>
  <r>
    <x v="12"/>
    <x v="34"/>
    <s v="Combined Heat and Power, Electric Power"/>
    <x v="6"/>
    <n v="16118"/>
  </r>
  <r>
    <x v="12"/>
    <x v="34"/>
    <s v="Combined Heat and Power, Commercial Power"/>
    <x v="0"/>
    <n v="566636"/>
  </r>
  <r>
    <x v="12"/>
    <x v="34"/>
    <s v="Combined Heat and Power, Commercial Power"/>
    <x v="1"/>
    <n v="28802"/>
  </r>
  <r>
    <x v="12"/>
    <x v="34"/>
    <s v="Combined Heat and Power, Commercial Power"/>
    <x v="2"/>
    <n v="5"/>
  </r>
  <r>
    <x v="12"/>
    <x v="34"/>
    <s v="Combined Heat and Power, Commercial Power"/>
    <x v="3"/>
    <n v="253988"/>
  </r>
  <r>
    <x v="12"/>
    <x v="34"/>
    <s v="Combined Heat and Power, Commercial Power"/>
    <x v="12"/>
    <n v="101204"/>
  </r>
  <r>
    <x v="12"/>
    <x v="34"/>
    <s v="Combined Heat and Power, Commercial Power"/>
    <x v="8"/>
    <n v="128805"/>
  </r>
  <r>
    <x v="12"/>
    <x v="34"/>
    <s v="Combined Heat and Power, Commercial Power"/>
    <x v="4"/>
    <n v="53832"/>
  </r>
  <r>
    <x v="12"/>
    <x v="35"/>
    <s v="Total Electric Power Industry"/>
    <x v="0"/>
    <n v="147068850"/>
  </r>
  <r>
    <x v="12"/>
    <x v="35"/>
    <s v="Total Electric Power Industry"/>
    <x v="1"/>
    <n v="132953066"/>
  </r>
  <r>
    <x v="12"/>
    <x v="35"/>
    <s v="Total Electric Power Industry"/>
    <x v="2"/>
    <n v="488329"/>
  </r>
  <r>
    <x v="12"/>
    <x v="35"/>
    <s v="Total Electric Power Industry"/>
    <x v="3"/>
    <n v="1766654"/>
  </r>
  <r>
    <x v="12"/>
    <x v="35"/>
    <s v="Total Electric Power Industry"/>
    <x v="7"/>
    <n v="10864902"/>
  </r>
  <r>
    <x v="12"/>
    <x v="35"/>
    <s v="Total Electric Power Industry"/>
    <x v="12"/>
    <n v="248904"/>
  </r>
  <r>
    <x v="12"/>
    <x v="35"/>
    <s v="Total Electric Power Industry"/>
    <x v="8"/>
    <n v="25244"/>
  </r>
  <r>
    <x v="12"/>
    <x v="35"/>
    <s v="Total Electric Power Industry"/>
    <x v="9"/>
    <n v="206565"/>
  </r>
  <r>
    <x v="12"/>
    <x v="35"/>
    <s v="Total Electric Power Industry"/>
    <x v="4"/>
    <n v="389119"/>
  </r>
  <r>
    <x v="12"/>
    <x v="35"/>
    <s v="Total Electric Power Industry"/>
    <x v="6"/>
    <n v="126067"/>
  </r>
  <r>
    <x v="12"/>
    <x v="35"/>
    <s v="Electric Generators, Independent Power Producers"/>
    <x v="0"/>
    <n v="6421090"/>
  </r>
  <r>
    <x v="12"/>
    <x v="35"/>
    <s v="Electric Generators, Independent Power Producers"/>
    <x v="1"/>
    <n v="5289185"/>
  </r>
  <r>
    <x v="12"/>
    <x v="35"/>
    <s v="Electric Generators, Independent Power Producers"/>
    <x v="3"/>
    <n v="880482"/>
  </r>
  <r>
    <x v="12"/>
    <x v="35"/>
    <s v="Electric Generators, Independent Power Producers"/>
    <x v="12"/>
    <n v="221672"/>
  </r>
  <r>
    <x v="12"/>
    <x v="35"/>
    <s v="Electric Generators, Independent Power Producers"/>
    <x v="8"/>
    <n v="23041"/>
  </r>
  <r>
    <x v="12"/>
    <x v="35"/>
    <s v="Electric Generators, Independent Power Producers"/>
    <x v="4"/>
    <n v="6710"/>
  </r>
  <r>
    <x v="12"/>
    <x v="35"/>
    <s v="Electric Generators, Electric Utilities"/>
    <x v="0"/>
    <n v="139904106"/>
  </r>
  <r>
    <x v="12"/>
    <x v="35"/>
    <s v="Electric Generators, Electric Utilities"/>
    <x v="1"/>
    <n v="127373404"/>
  </r>
  <r>
    <x v="12"/>
    <x v="35"/>
    <s v="Electric Generators, Electric Utilities"/>
    <x v="2"/>
    <n v="488329"/>
  </r>
  <r>
    <x v="12"/>
    <x v="35"/>
    <s v="Electric Generators, Electric Utilities"/>
    <x v="3"/>
    <n v="796761"/>
  </r>
  <r>
    <x v="12"/>
    <x v="35"/>
    <s v="Electric Generators, Electric Utilities"/>
    <x v="7"/>
    <n v="10864902"/>
  </r>
  <r>
    <x v="12"/>
    <x v="35"/>
    <s v="Electric Generators, Electric Utilities"/>
    <x v="4"/>
    <n v="380710"/>
  </r>
  <r>
    <x v="12"/>
    <x v="35"/>
    <s v="Combined Heat and Power, Industrial Power"/>
    <x v="0"/>
    <n v="434145"/>
  </r>
  <r>
    <x v="12"/>
    <x v="35"/>
    <s v="Combined Heat and Power, Industrial Power"/>
    <x v="1"/>
    <n v="246625"/>
  </r>
  <r>
    <x v="12"/>
    <x v="35"/>
    <s v="Combined Heat and Power, Industrial Power"/>
    <x v="3"/>
    <n v="24094"/>
  </r>
  <r>
    <x v="12"/>
    <x v="35"/>
    <s v="Combined Heat and Power, Industrial Power"/>
    <x v="12"/>
    <n v="27232"/>
  </r>
  <r>
    <x v="12"/>
    <x v="35"/>
    <s v="Combined Heat and Power, Industrial Power"/>
    <x v="8"/>
    <n v="2203"/>
  </r>
  <r>
    <x v="12"/>
    <x v="35"/>
    <s v="Combined Heat and Power, Industrial Power"/>
    <x v="9"/>
    <n v="51250"/>
  </r>
  <r>
    <x v="12"/>
    <x v="35"/>
    <s v="Combined Heat and Power, Industrial Power"/>
    <x v="4"/>
    <n v="529"/>
  </r>
  <r>
    <x v="12"/>
    <x v="35"/>
    <s v="Combined Heat and Power, Industrial Power"/>
    <x v="6"/>
    <n v="82212"/>
  </r>
  <r>
    <x v="12"/>
    <x v="35"/>
    <s v="Combined Heat and Power, Electric Power"/>
    <x v="0"/>
    <n v="302029"/>
  </r>
  <r>
    <x v="12"/>
    <x v="35"/>
    <s v="Combined Heat and Power, Electric Power"/>
    <x v="1"/>
    <n v="43128"/>
  </r>
  <r>
    <x v="12"/>
    <x v="35"/>
    <s v="Combined Heat and Power, Electric Power"/>
    <x v="3"/>
    <n v="60074"/>
  </r>
  <r>
    <x v="12"/>
    <x v="35"/>
    <s v="Combined Heat and Power, Electric Power"/>
    <x v="9"/>
    <n v="155315"/>
  </r>
  <r>
    <x v="12"/>
    <x v="35"/>
    <s v="Combined Heat and Power, Electric Power"/>
    <x v="4"/>
    <n v="833"/>
  </r>
  <r>
    <x v="12"/>
    <x v="35"/>
    <s v="Combined Heat and Power, Electric Power"/>
    <x v="6"/>
    <n v="42679"/>
  </r>
  <r>
    <x v="12"/>
    <x v="35"/>
    <s v="Combined Heat and Power, Commercial Power"/>
    <x v="0"/>
    <n v="7479"/>
  </r>
  <r>
    <x v="12"/>
    <x v="35"/>
    <s v="Combined Heat and Power, Commercial Power"/>
    <x v="1"/>
    <n v="723"/>
  </r>
  <r>
    <x v="12"/>
    <x v="35"/>
    <s v="Combined Heat and Power, Commercial Power"/>
    <x v="3"/>
    <n v="5243"/>
  </r>
  <r>
    <x v="12"/>
    <x v="35"/>
    <s v="Combined Heat and Power, Commercial Power"/>
    <x v="4"/>
    <n v="337"/>
  </r>
  <r>
    <x v="12"/>
    <x v="35"/>
    <s v="Combined Heat and Power, Commercial Power"/>
    <x v="6"/>
    <n v="1176"/>
  </r>
  <r>
    <x v="12"/>
    <x v="36"/>
    <s v="Total Electric Power Industry"/>
    <x v="0"/>
    <n v="59183419"/>
  </r>
  <r>
    <x v="12"/>
    <x v="36"/>
    <s v="Total Electric Power Industry"/>
    <x v="1"/>
    <n v="35964778"/>
  </r>
  <r>
    <x v="12"/>
    <x v="36"/>
    <s v="Total Electric Power Industry"/>
    <x v="2"/>
    <n v="1987844"/>
  </r>
  <r>
    <x v="12"/>
    <x v="36"/>
    <s v="Total Electric Power Industry"/>
    <x v="3"/>
    <n v="21049039"/>
  </r>
  <r>
    <x v="12"/>
    <x v="36"/>
    <s v="Total Electric Power Industry"/>
    <x v="9"/>
    <n v="70710"/>
  </r>
  <r>
    <x v="12"/>
    <x v="36"/>
    <s v="Total Electric Power Industry"/>
    <x v="4"/>
    <n v="49871"/>
  </r>
  <r>
    <x v="12"/>
    <x v="36"/>
    <s v="Total Electric Power Industry"/>
    <x v="10"/>
    <n v="-177868"/>
  </r>
  <r>
    <x v="12"/>
    <x v="36"/>
    <s v="Total Electric Power Industry"/>
    <x v="6"/>
    <n v="239045"/>
  </r>
  <r>
    <x v="12"/>
    <x v="36"/>
    <s v="Electric Generators, Independent Power Producers"/>
    <x v="0"/>
    <n v="3970101"/>
  </r>
  <r>
    <x v="12"/>
    <x v="36"/>
    <s v="Electric Generators, Independent Power Producers"/>
    <x v="3"/>
    <n v="3970101"/>
  </r>
  <r>
    <x v="12"/>
    <x v="36"/>
    <s v="Electric Generators, Electric Utilities"/>
    <x v="0"/>
    <n v="51218320"/>
  </r>
  <r>
    <x v="12"/>
    <x v="36"/>
    <s v="Electric Generators, Electric Utilities"/>
    <x v="1"/>
    <n v="33444114"/>
  </r>
  <r>
    <x v="12"/>
    <x v="36"/>
    <s v="Electric Generators, Electric Utilities"/>
    <x v="2"/>
    <n v="1987844"/>
  </r>
  <r>
    <x v="12"/>
    <x v="36"/>
    <s v="Electric Generators, Electric Utilities"/>
    <x v="3"/>
    <n v="15953919"/>
  </r>
  <r>
    <x v="12"/>
    <x v="36"/>
    <s v="Electric Generators, Electric Utilities"/>
    <x v="4"/>
    <n v="10311"/>
  </r>
  <r>
    <x v="12"/>
    <x v="36"/>
    <s v="Electric Generators, Electric Utilities"/>
    <x v="10"/>
    <n v="-177868"/>
  </r>
  <r>
    <x v="12"/>
    <x v="36"/>
    <s v="Combined Heat and Power, Industrial Power"/>
    <x v="0"/>
    <n v="1346108"/>
  </r>
  <r>
    <x v="12"/>
    <x v="36"/>
    <s v="Combined Heat and Power, Industrial Power"/>
    <x v="1"/>
    <n v="524241"/>
  </r>
  <r>
    <x v="12"/>
    <x v="36"/>
    <s v="Combined Heat and Power, Industrial Power"/>
    <x v="3"/>
    <n v="473449"/>
  </r>
  <r>
    <x v="12"/>
    <x v="36"/>
    <s v="Combined Heat and Power, Industrial Power"/>
    <x v="9"/>
    <n v="70710"/>
  </r>
  <r>
    <x v="12"/>
    <x v="36"/>
    <s v="Combined Heat and Power, Industrial Power"/>
    <x v="4"/>
    <n v="38663"/>
  </r>
  <r>
    <x v="12"/>
    <x v="36"/>
    <s v="Combined Heat and Power, Industrial Power"/>
    <x v="6"/>
    <n v="239045"/>
  </r>
  <r>
    <x v="12"/>
    <x v="36"/>
    <s v="Combined Heat and Power, Electric Power"/>
    <x v="0"/>
    <n v="2621718"/>
  </r>
  <r>
    <x v="12"/>
    <x v="36"/>
    <s v="Combined Heat and Power, Electric Power"/>
    <x v="1"/>
    <n v="1996423"/>
  </r>
  <r>
    <x v="12"/>
    <x v="36"/>
    <s v="Combined Heat and Power, Electric Power"/>
    <x v="3"/>
    <n v="625295"/>
  </r>
  <r>
    <x v="12"/>
    <x v="36"/>
    <s v="Combined Heat and Power, Commercial Power"/>
    <x v="0"/>
    <n v="27172"/>
  </r>
  <r>
    <x v="12"/>
    <x v="36"/>
    <s v="Combined Heat and Power, Commercial Power"/>
    <x v="3"/>
    <n v="26275"/>
  </r>
  <r>
    <x v="12"/>
    <x v="36"/>
    <s v="Combined Heat and Power, Commercial Power"/>
    <x v="4"/>
    <n v="897"/>
  </r>
  <r>
    <x v="12"/>
    <x v="37"/>
    <s v="Total Electric Power Industry"/>
    <x v="0"/>
    <n v="47099369"/>
  </r>
  <r>
    <x v="12"/>
    <x v="37"/>
    <s v="Total Electric Power Industry"/>
    <x v="1"/>
    <n v="3779684"/>
  </r>
  <r>
    <x v="12"/>
    <x v="37"/>
    <s v="Total Electric Power Industry"/>
    <x v="2"/>
    <n v="34413167"/>
  </r>
  <r>
    <x v="12"/>
    <x v="37"/>
    <s v="Total Electric Power Industry"/>
    <x v="3"/>
    <n v="7812894"/>
  </r>
  <r>
    <x v="12"/>
    <x v="37"/>
    <s v="Total Electric Power Industry"/>
    <x v="12"/>
    <n v="38129"/>
  </r>
  <r>
    <x v="12"/>
    <x v="37"/>
    <s v="Total Electric Power Industry"/>
    <x v="8"/>
    <n v="48546"/>
  </r>
  <r>
    <x v="12"/>
    <x v="37"/>
    <s v="Total Electric Power Industry"/>
    <x v="4"/>
    <n v="6704"/>
  </r>
  <r>
    <x v="12"/>
    <x v="37"/>
    <s v="Total Electric Power Industry"/>
    <x v="5"/>
    <n v="376159"/>
  </r>
  <r>
    <x v="12"/>
    <x v="37"/>
    <s v="Total Electric Power Industry"/>
    <x v="6"/>
    <n v="624086"/>
  </r>
  <r>
    <x v="12"/>
    <x v="37"/>
    <s v="Electric Generators, Independent Power Producers"/>
    <x v="0"/>
    <n v="717656"/>
  </r>
  <r>
    <x v="12"/>
    <x v="37"/>
    <s v="Electric Generators, Independent Power Producers"/>
    <x v="2"/>
    <n v="254840"/>
  </r>
  <r>
    <x v="12"/>
    <x v="37"/>
    <s v="Electric Generators, Independent Power Producers"/>
    <x v="3"/>
    <n v="0"/>
  </r>
  <r>
    <x v="12"/>
    <x v="37"/>
    <s v="Electric Generators, Independent Power Producers"/>
    <x v="12"/>
    <n v="38129"/>
  </r>
  <r>
    <x v="12"/>
    <x v="37"/>
    <s v="Electric Generators, Independent Power Producers"/>
    <x v="8"/>
    <n v="48528"/>
  </r>
  <r>
    <x v="12"/>
    <x v="37"/>
    <s v="Electric Generators, Independent Power Producers"/>
    <x v="5"/>
    <n v="376159"/>
  </r>
  <r>
    <x v="12"/>
    <x v="37"/>
    <s v="Electric Generators, Electric Utilities"/>
    <x v="0"/>
    <n v="39731986"/>
  </r>
  <r>
    <x v="12"/>
    <x v="37"/>
    <s v="Electric Generators, Electric Utilities"/>
    <x v="1"/>
    <n v="3768531"/>
  </r>
  <r>
    <x v="12"/>
    <x v="37"/>
    <s v="Electric Generators, Electric Utilities"/>
    <x v="2"/>
    <n v="34158327"/>
  </r>
  <r>
    <x v="12"/>
    <x v="37"/>
    <s v="Electric Generators, Electric Utilities"/>
    <x v="3"/>
    <n v="1799217"/>
  </r>
  <r>
    <x v="12"/>
    <x v="37"/>
    <s v="Electric Generators, Electric Utilities"/>
    <x v="8"/>
    <n v="18"/>
  </r>
  <r>
    <x v="12"/>
    <x v="37"/>
    <s v="Electric Generators, Electric Utilities"/>
    <x v="4"/>
    <n v="5893"/>
  </r>
  <r>
    <x v="12"/>
    <x v="37"/>
    <s v="Electric Generators, Electric Utilities"/>
    <x v="6"/>
    <n v="0"/>
  </r>
  <r>
    <x v="12"/>
    <x v="37"/>
    <s v="Combined Heat and Power, Industrial Power"/>
    <x v="0"/>
    <n v="801810"/>
  </r>
  <r>
    <x v="12"/>
    <x v="37"/>
    <s v="Combined Heat and Power, Industrial Power"/>
    <x v="1"/>
    <n v="11153"/>
  </r>
  <r>
    <x v="12"/>
    <x v="37"/>
    <s v="Combined Heat and Power, Industrial Power"/>
    <x v="3"/>
    <n v="396841"/>
  </r>
  <r>
    <x v="12"/>
    <x v="37"/>
    <s v="Combined Heat and Power, Industrial Power"/>
    <x v="12"/>
    <n v="0"/>
  </r>
  <r>
    <x v="12"/>
    <x v="37"/>
    <s v="Combined Heat and Power, Industrial Power"/>
    <x v="4"/>
    <n v="727"/>
  </r>
  <r>
    <x v="12"/>
    <x v="37"/>
    <s v="Combined Heat and Power, Industrial Power"/>
    <x v="6"/>
    <n v="393089"/>
  </r>
  <r>
    <x v="12"/>
    <x v="37"/>
    <s v="Combined Heat and Power, Electric Power"/>
    <x v="0"/>
    <n v="5842112"/>
  </r>
  <r>
    <x v="12"/>
    <x v="37"/>
    <s v="Combined Heat and Power, Electric Power"/>
    <x v="3"/>
    <n v="5611115"/>
  </r>
  <r>
    <x v="12"/>
    <x v="37"/>
    <s v="Combined Heat and Power, Electric Power"/>
    <x v="6"/>
    <n v="230997"/>
  </r>
  <r>
    <x v="12"/>
    <x v="37"/>
    <s v="Combined Heat and Power, Commercial Power"/>
    <x v="0"/>
    <n v="5804"/>
  </r>
  <r>
    <x v="12"/>
    <x v="37"/>
    <s v="Combined Heat and Power, Commercial Power"/>
    <x v="3"/>
    <n v="5720"/>
  </r>
  <r>
    <x v="12"/>
    <x v="37"/>
    <s v="Combined Heat and Power, Commercial Power"/>
    <x v="4"/>
    <n v="84"/>
  </r>
  <r>
    <x v="12"/>
    <x v="38"/>
    <s v="Total Electric Power Industry"/>
    <x v="0"/>
    <n v="204322878"/>
  </r>
  <r>
    <x v="12"/>
    <x v="38"/>
    <s v="Total Electric Power Industry"/>
    <x v="1"/>
    <n v="113906440"/>
  </r>
  <r>
    <x v="12"/>
    <x v="38"/>
    <s v="Total Electric Power Industry"/>
    <x v="2"/>
    <n v="2210563"/>
  </r>
  <r>
    <x v="12"/>
    <x v="38"/>
    <s v="Total Electric Power Industry"/>
    <x v="3"/>
    <n v="6715537"/>
  </r>
  <r>
    <x v="12"/>
    <x v="38"/>
    <s v="Total Electric Power Industry"/>
    <x v="7"/>
    <n v="76088930"/>
  </r>
  <r>
    <x v="12"/>
    <x v="38"/>
    <s v="Total Electric Power Industry"/>
    <x v="12"/>
    <n v="694998"/>
  </r>
  <r>
    <x v="12"/>
    <x v="38"/>
    <s v="Total Electric Power Industry"/>
    <x v="8"/>
    <n v="1238437"/>
  </r>
  <r>
    <x v="12"/>
    <x v="38"/>
    <s v="Total Electric Power Industry"/>
    <x v="9"/>
    <n v="568725"/>
  </r>
  <r>
    <x v="12"/>
    <x v="38"/>
    <s v="Total Electric Power Industry"/>
    <x v="4"/>
    <n v="2732945"/>
  </r>
  <r>
    <x v="12"/>
    <x v="38"/>
    <s v="Total Electric Power Industry"/>
    <x v="10"/>
    <n v="-657754"/>
  </r>
  <r>
    <x v="12"/>
    <x v="38"/>
    <s v="Total Electric Power Industry"/>
    <x v="5"/>
    <n v="57768"/>
  </r>
  <r>
    <x v="12"/>
    <x v="38"/>
    <s v="Total Electric Power Industry"/>
    <x v="6"/>
    <n v="766289"/>
  </r>
  <r>
    <x v="12"/>
    <x v="38"/>
    <s v="Electric Generators, Independent Power Producers"/>
    <x v="0"/>
    <n v="164018319"/>
  </r>
  <r>
    <x v="12"/>
    <x v="38"/>
    <s v="Electric Generators, Independent Power Producers"/>
    <x v="1"/>
    <n v="92456185"/>
  </r>
  <r>
    <x v="12"/>
    <x v="38"/>
    <s v="Electric Generators, Independent Power Producers"/>
    <x v="2"/>
    <n v="1043604"/>
  </r>
  <r>
    <x v="12"/>
    <x v="38"/>
    <s v="Electric Generators, Independent Power Producers"/>
    <x v="3"/>
    <n v="4629314"/>
  </r>
  <r>
    <x v="12"/>
    <x v="38"/>
    <s v="Electric Generators, Independent Power Producers"/>
    <x v="7"/>
    <n v="62494225"/>
  </r>
  <r>
    <x v="12"/>
    <x v="38"/>
    <s v="Electric Generators, Independent Power Producers"/>
    <x v="12"/>
    <n v="586233"/>
  </r>
  <r>
    <x v="12"/>
    <x v="38"/>
    <s v="Electric Generators, Independent Power Producers"/>
    <x v="8"/>
    <n v="1060984"/>
  </r>
  <r>
    <x v="12"/>
    <x v="38"/>
    <s v="Electric Generators, Independent Power Producers"/>
    <x v="9"/>
    <n v="1481"/>
  </r>
  <r>
    <x v="12"/>
    <x v="38"/>
    <s v="Electric Generators, Independent Power Producers"/>
    <x v="4"/>
    <n v="2144644"/>
  </r>
  <r>
    <x v="12"/>
    <x v="38"/>
    <s v="Electric Generators, Independent Power Producers"/>
    <x v="10"/>
    <n v="-456119"/>
  </r>
  <r>
    <x v="12"/>
    <x v="38"/>
    <s v="Electric Generators, Independent Power Producers"/>
    <x v="5"/>
    <n v="57768"/>
  </r>
  <r>
    <x v="12"/>
    <x v="38"/>
    <s v="Electric Generators, Electric Utilities"/>
    <x v="0"/>
    <n v="30537243"/>
  </r>
  <r>
    <x v="12"/>
    <x v="38"/>
    <s v="Electric Generators, Electric Utilities"/>
    <x v="1"/>
    <n v="15935860"/>
  </r>
  <r>
    <x v="12"/>
    <x v="38"/>
    <s v="Electric Generators, Electric Utilities"/>
    <x v="2"/>
    <n v="1166959"/>
  </r>
  <r>
    <x v="12"/>
    <x v="38"/>
    <s v="Electric Generators, Electric Utilities"/>
    <x v="3"/>
    <n v="1934"/>
  </r>
  <r>
    <x v="12"/>
    <x v="38"/>
    <s v="Electric Generators, Electric Utilities"/>
    <x v="7"/>
    <n v="13594705"/>
  </r>
  <r>
    <x v="12"/>
    <x v="38"/>
    <s v="Electric Generators, Electric Utilities"/>
    <x v="4"/>
    <n v="39420"/>
  </r>
  <r>
    <x v="12"/>
    <x v="38"/>
    <s v="Electric Generators, Electric Utilities"/>
    <x v="10"/>
    <n v="-201635"/>
  </r>
  <r>
    <x v="12"/>
    <x v="38"/>
    <s v="Combined Heat and Power, Industrial Power"/>
    <x v="0"/>
    <n v="3605967"/>
  </r>
  <r>
    <x v="12"/>
    <x v="38"/>
    <s v="Combined Heat and Power, Industrial Power"/>
    <x v="1"/>
    <n v="1477911"/>
  </r>
  <r>
    <x v="12"/>
    <x v="38"/>
    <s v="Combined Heat and Power, Industrial Power"/>
    <x v="3"/>
    <n v="844725"/>
  </r>
  <r>
    <x v="12"/>
    <x v="38"/>
    <s v="Combined Heat and Power, Industrial Power"/>
    <x v="12"/>
    <n v="3410"/>
  </r>
  <r>
    <x v="12"/>
    <x v="38"/>
    <s v="Combined Heat and Power, Industrial Power"/>
    <x v="8"/>
    <n v="4726"/>
  </r>
  <r>
    <x v="12"/>
    <x v="38"/>
    <s v="Combined Heat and Power, Industrial Power"/>
    <x v="9"/>
    <n v="566732"/>
  </r>
  <r>
    <x v="12"/>
    <x v="38"/>
    <s v="Combined Heat and Power, Industrial Power"/>
    <x v="4"/>
    <n v="226470"/>
  </r>
  <r>
    <x v="12"/>
    <x v="38"/>
    <s v="Combined Heat and Power, Industrial Power"/>
    <x v="6"/>
    <n v="481993"/>
  </r>
  <r>
    <x v="12"/>
    <x v="38"/>
    <s v="Combined Heat and Power, Electric Power"/>
    <x v="0"/>
    <n v="5718126"/>
  </r>
  <r>
    <x v="12"/>
    <x v="38"/>
    <s v="Combined Heat and Power, Electric Power"/>
    <x v="1"/>
    <n v="4031486"/>
  </r>
  <r>
    <x v="12"/>
    <x v="38"/>
    <s v="Combined Heat and Power, Electric Power"/>
    <x v="3"/>
    <n v="1020865"/>
  </r>
  <r>
    <x v="12"/>
    <x v="38"/>
    <s v="Combined Heat and Power, Electric Power"/>
    <x v="12"/>
    <n v="10542"/>
  </r>
  <r>
    <x v="12"/>
    <x v="38"/>
    <s v="Combined Heat and Power, Electric Power"/>
    <x v="8"/>
    <n v="52055"/>
  </r>
  <r>
    <x v="12"/>
    <x v="38"/>
    <s v="Combined Heat and Power, Electric Power"/>
    <x v="9"/>
    <n v="512"/>
  </r>
  <r>
    <x v="12"/>
    <x v="38"/>
    <s v="Combined Heat and Power, Electric Power"/>
    <x v="4"/>
    <n v="318370"/>
  </r>
  <r>
    <x v="12"/>
    <x v="38"/>
    <s v="Combined Heat and Power, Electric Power"/>
    <x v="6"/>
    <n v="284296"/>
  </r>
  <r>
    <x v="12"/>
    <x v="38"/>
    <s v="Combined Heat and Power, Commercial Power"/>
    <x v="0"/>
    <n v="443223"/>
  </r>
  <r>
    <x v="12"/>
    <x v="38"/>
    <s v="Combined Heat and Power, Commercial Power"/>
    <x v="1"/>
    <n v="4998"/>
  </r>
  <r>
    <x v="12"/>
    <x v="38"/>
    <s v="Combined Heat and Power, Commercial Power"/>
    <x v="3"/>
    <n v="218699"/>
  </r>
  <r>
    <x v="12"/>
    <x v="38"/>
    <s v="Combined Heat and Power, Commercial Power"/>
    <x v="12"/>
    <n v="94813"/>
  </r>
  <r>
    <x v="12"/>
    <x v="38"/>
    <s v="Combined Heat and Power, Commercial Power"/>
    <x v="8"/>
    <n v="120672"/>
  </r>
  <r>
    <x v="12"/>
    <x v="38"/>
    <s v="Combined Heat and Power, Commercial Power"/>
    <x v="4"/>
    <n v="4041"/>
  </r>
  <r>
    <x v="12"/>
    <x v="39"/>
    <s v="Total Electric Power Industry"/>
    <x v="0"/>
    <n v="7056765"/>
  </r>
  <r>
    <x v="12"/>
    <x v="39"/>
    <s v="Total Electric Power Industry"/>
    <x v="2"/>
    <n v="3685"/>
  </r>
  <r>
    <x v="12"/>
    <x v="39"/>
    <s v="Total Electric Power Industry"/>
    <x v="3"/>
    <n v="6310417"/>
  </r>
  <r>
    <x v="12"/>
    <x v="39"/>
    <s v="Total Electric Power Industry"/>
    <x v="12"/>
    <n v="587378"/>
  </r>
  <r>
    <x v="12"/>
    <x v="39"/>
    <s v="Total Electric Power Industry"/>
    <x v="8"/>
    <n v="97752"/>
  </r>
  <r>
    <x v="12"/>
    <x v="39"/>
    <s v="Total Electric Power Industry"/>
    <x v="4"/>
    <n v="57533"/>
  </r>
  <r>
    <x v="12"/>
    <x v="39"/>
    <s v="Electric Generators, Independent Power Producers"/>
    <x v="0"/>
    <n v="6927232"/>
  </r>
  <r>
    <x v="12"/>
    <x v="39"/>
    <s v="Electric Generators, Independent Power Producers"/>
    <x v="2"/>
    <n v="3685"/>
  </r>
  <r>
    <x v="12"/>
    <x v="39"/>
    <s v="Electric Generators, Independent Power Producers"/>
    <x v="3"/>
    <n v="6237709"/>
  </r>
  <r>
    <x v="12"/>
    <x v="39"/>
    <s v="Electric Generators, Independent Power Producers"/>
    <x v="12"/>
    <n v="587378"/>
  </r>
  <r>
    <x v="12"/>
    <x v="39"/>
    <s v="Electric Generators, Independent Power Producers"/>
    <x v="8"/>
    <n v="97752"/>
  </r>
  <r>
    <x v="12"/>
    <x v="39"/>
    <s v="Electric Generators, Independent Power Producers"/>
    <x v="4"/>
    <n v="708"/>
  </r>
  <r>
    <x v="12"/>
    <x v="39"/>
    <s v="Electric Generators, Electric Utilities"/>
    <x v="0"/>
    <n v="11836"/>
  </r>
  <r>
    <x v="12"/>
    <x v="39"/>
    <s v="Electric Generators, Electric Utilities"/>
    <x v="2"/>
    <n v="0"/>
  </r>
  <r>
    <x v="12"/>
    <x v="39"/>
    <s v="Electric Generators, Electric Utilities"/>
    <x v="4"/>
    <n v="11836"/>
  </r>
  <r>
    <x v="12"/>
    <x v="39"/>
    <s v="Combined Heat and Power, Industrial Power"/>
    <x v="0"/>
    <n v="3"/>
  </r>
  <r>
    <x v="12"/>
    <x v="39"/>
    <s v="Combined Heat and Power, Industrial Power"/>
    <x v="4"/>
    <n v="3"/>
  </r>
  <r>
    <x v="12"/>
    <x v="39"/>
    <s v="Combined Heat and Power, Electric Power"/>
    <x v="0"/>
    <n v="71000"/>
  </r>
  <r>
    <x v="12"/>
    <x v="39"/>
    <s v="Combined Heat and Power, Electric Power"/>
    <x v="3"/>
    <n v="65895"/>
  </r>
  <r>
    <x v="12"/>
    <x v="39"/>
    <s v="Combined Heat and Power, Electric Power"/>
    <x v="4"/>
    <n v="5105"/>
  </r>
  <r>
    <x v="12"/>
    <x v="39"/>
    <s v="Combined Heat and Power, Commercial Power"/>
    <x v="0"/>
    <n v="46694"/>
  </r>
  <r>
    <x v="12"/>
    <x v="39"/>
    <s v="Combined Heat and Power, Commercial Power"/>
    <x v="3"/>
    <n v="6813"/>
  </r>
  <r>
    <x v="12"/>
    <x v="39"/>
    <s v="Combined Heat and Power, Commercial Power"/>
    <x v="4"/>
    <n v="39881"/>
  </r>
  <r>
    <x v="12"/>
    <x v="40"/>
    <s v="Total Electric Power Industry"/>
    <x v="0"/>
    <n v="96563498"/>
  </r>
  <r>
    <x v="12"/>
    <x v="40"/>
    <s v="Total Electric Power Industry"/>
    <x v="1"/>
    <n v="36947722"/>
  </r>
  <r>
    <x v="12"/>
    <x v="40"/>
    <s v="Total Electric Power Industry"/>
    <x v="2"/>
    <n v="1389751"/>
  </r>
  <r>
    <x v="12"/>
    <x v="40"/>
    <s v="Total Electric Power Industry"/>
    <x v="3"/>
    <n v="4498319"/>
  </r>
  <r>
    <x v="12"/>
    <x v="40"/>
    <s v="Total Electric Power Industry"/>
    <x v="7"/>
    <n v="53325854"/>
  </r>
  <r>
    <x v="12"/>
    <x v="40"/>
    <s v="Total Electric Power Industry"/>
    <x v="12"/>
    <n v="0"/>
  </r>
  <r>
    <x v="12"/>
    <x v="40"/>
    <s v="Total Electric Power Industry"/>
    <x v="8"/>
    <n v="15522"/>
  </r>
  <r>
    <x v="12"/>
    <x v="40"/>
    <s v="Total Electric Power Industry"/>
    <x v="9"/>
    <n v="314"/>
  </r>
  <r>
    <x v="12"/>
    <x v="40"/>
    <s v="Total Electric Power Industry"/>
    <x v="4"/>
    <n v="300337"/>
  </r>
  <r>
    <x v="12"/>
    <x v="40"/>
    <s v="Total Electric Power Industry"/>
    <x v="10"/>
    <n v="-1143216"/>
  </r>
  <r>
    <x v="12"/>
    <x v="40"/>
    <s v="Total Electric Power Industry"/>
    <x v="6"/>
    <n v="1228895"/>
  </r>
  <r>
    <x v="12"/>
    <x v="40"/>
    <s v="Electric Generators, Independent Power Producers"/>
    <x v="0"/>
    <n v="632868"/>
  </r>
  <r>
    <x v="12"/>
    <x v="40"/>
    <s v="Electric Generators, Independent Power Producers"/>
    <x v="2"/>
    <n v="60905"/>
  </r>
  <r>
    <x v="12"/>
    <x v="40"/>
    <s v="Electric Generators, Independent Power Producers"/>
    <x v="3"/>
    <n v="571963"/>
  </r>
  <r>
    <x v="12"/>
    <x v="40"/>
    <s v="Electric Generators, Independent Power Producers"/>
    <x v="4"/>
    <n v="0"/>
  </r>
  <r>
    <x v="12"/>
    <x v="40"/>
    <s v="Electric Generators, Electric Utilities"/>
    <x v="0"/>
    <n v="93689257"/>
  </r>
  <r>
    <x v="12"/>
    <x v="40"/>
    <s v="Electric Generators, Electric Utilities"/>
    <x v="1"/>
    <n v="36490769"/>
  </r>
  <r>
    <x v="12"/>
    <x v="40"/>
    <s v="Electric Generators, Electric Utilities"/>
    <x v="2"/>
    <n v="1328524"/>
  </r>
  <r>
    <x v="12"/>
    <x v="40"/>
    <s v="Electric Generators, Electric Utilities"/>
    <x v="3"/>
    <n v="3466140"/>
  </r>
  <r>
    <x v="12"/>
    <x v="40"/>
    <s v="Electric Generators, Electric Utilities"/>
    <x v="7"/>
    <n v="53325854"/>
  </r>
  <r>
    <x v="12"/>
    <x v="40"/>
    <s v="Electric Generators, Electric Utilities"/>
    <x v="8"/>
    <n v="15522"/>
  </r>
  <r>
    <x v="12"/>
    <x v="40"/>
    <s v="Electric Generators, Electric Utilities"/>
    <x v="4"/>
    <n v="205664"/>
  </r>
  <r>
    <x v="12"/>
    <x v="40"/>
    <s v="Electric Generators, Electric Utilities"/>
    <x v="10"/>
    <n v="-1143216"/>
  </r>
  <r>
    <x v="12"/>
    <x v="40"/>
    <s v="Combined Heat and Power, Industrial Power"/>
    <x v="0"/>
    <n v="1823463"/>
  </r>
  <r>
    <x v="12"/>
    <x v="40"/>
    <s v="Combined Heat and Power, Industrial Power"/>
    <x v="1"/>
    <n v="456953"/>
  </r>
  <r>
    <x v="12"/>
    <x v="40"/>
    <s v="Combined Heat and Power, Industrial Power"/>
    <x v="3"/>
    <n v="43198"/>
  </r>
  <r>
    <x v="12"/>
    <x v="40"/>
    <s v="Combined Heat and Power, Industrial Power"/>
    <x v="12"/>
    <n v="0"/>
  </r>
  <r>
    <x v="12"/>
    <x v="40"/>
    <s v="Combined Heat and Power, Industrial Power"/>
    <x v="8"/>
    <n v="0"/>
  </r>
  <r>
    <x v="12"/>
    <x v="40"/>
    <s v="Combined Heat and Power, Industrial Power"/>
    <x v="9"/>
    <n v="314"/>
  </r>
  <r>
    <x v="12"/>
    <x v="40"/>
    <s v="Combined Heat and Power, Industrial Power"/>
    <x v="4"/>
    <n v="94103"/>
  </r>
  <r>
    <x v="12"/>
    <x v="40"/>
    <s v="Combined Heat and Power, Industrial Power"/>
    <x v="6"/>
    <n v="1228895"/>
  </r>
  <r>
    <x v="12"/>
    <x v="40"/>
    <s v="Combined Heat and Power, Electric Power"/>
    <x v="0"/>
    <n v="415688"/>
  </r>
  <r>
    <x v="12"/>
    <x v="40"/>
    <s v="Combined Heat and Power, Electric Power"/>
    <x v="3"/>
    <n v="415688"/>
  </r>
  <r>
    <x v="12"/>
    <x v="40"/>
    <s v="Combined Heat and Power, Commercial Power"/>
    <x v="0"/>
    <n v="2222"/>
  </r>
  <r>
    <x v="12"/>
    <x v="40"/>
    <s v="Combined Heat and Power, Commercial Power"/>
    <x v="2"/>
    <n v="322"/>
  </r>
  <r>
    <x v="12"/>
    <x v="40"/>
    <s v="Combined Heat and Power, Commercial Power"/>
    <x v="3"/>
    <n v="1330"/>
  </r>
  <r>
    <x v="12"/>
    <x v="40"/>
    <s v="Combined Heat and Power, Commercial Power"/>
    <x v="4"/>
    <n v="570"/>
  </r>
  <r>
    <x v="12"/>
    <x v="41"/>
    <s v="Total Electric Power Industry"/>
    <x v="0"/>
    <n v="7721958"/>
  </r>
  <r>
    <x v="12"/>
    <x v="41"/>
    <s v="Total Electric Power Industry"/>
    <x v="1"/>
    <n v="3271523"/>
  </r>
  <r>
    <x v="12"/>
    <x v="41"/>
    <s v="Total Electric Power Industry"/>
    <x v="2"/>
    <n v="4353653"/>
  </r>
  <r>
    <x v="12"/>
    <x v="41"/>
    <s v="Total Electric Power Industry"/>
    <x v="3"/>
    <n v="85778"/>
  </r>
  <r>
    <x v="12"/>
    <x v="41"/>
    <s v="Total Electric Power Industry"/>
    <x v="4"/>
    <n v="4961"/>
  </r>
  <r>
    <x v="12"/>
    <x v="41"/>
    <s v="Total Electric Power Industry"/>
    <x v="5"/>
    <n v="6043"/>
  </r>
  <r>
    <x v="12"/>
    <x v="41"/>
    <s v="Electric Generators, Electric Utilities"/>
    <x v="0"/>
    <n v="7721958"/>
  </r>
  <r>
    <x v="12"/>
    <x v="41"/>
    <s v="Electric Generators, Electric Utilities"/>
    <x v="1"/>
    <n v="3271523"/>
  </r>
  <r>
    <x v="12"/>
    <x v="41"/>
    <s v="Electric Generators, Electric Utilities"/>
    <x v="2"/>
    <n v="4353653"/>
  </r>
  <r>
    <x v="12"/>
    <x v="41"/>
    <s v="Electric Generators, Electric Utilities"/>
    <x v="3"/>
    <n v="85778"/>
  </r>
  <r>
    <x v="12"/>
    <x v="41"/>
    <s v="Electric Generators, Electric Utilities"/>
    <x v="4"/>
    <n v="4961"/>
  </r>
  <r>
    <x v="12"/>
    <x v="41"/>
    <s v="Electric Generators, Electric Utilities"/>
    <x v="5"/>
    <n v="6043"/>
  </r>
  <r>
    <x v="12"/>
    <x v="42"/>
    <s v="Total Electric Power Industry"/>
    <x v="0"/>
    <n v="96114262"/>
  </r>
  <r>
    <x v="12"/>
    <x v="42"/>
    <s v="Total Electric Power Industry"/>
    <x v="1"/>
    <n v="59705681"/>
  </r>
  <r>
    <x v="12"/>
    <x v="42"/>
    <s v="Total Electric Power Industry"/>
    <x v="2"/>
    <n v="7973662"/>
  </r>
  <r>
    <x v="12"/>
    <x v="42"/>
    <s v="Total Electric Power Industry"/>
    <x v="3"/>
    <n v="469573"/>
  </r>
  <r>
    <x v="12"/>
    <x v="42"/>
    <s v="Total Electric Power Industry"/>
    <x v="7"/>
    <n v="27573925"/>
  </r>
  <r>
    <x v="12"/>
    <x v="42"/>
    <s v="Total Electric Power Industry"/>
    <x v="12"/>
    <n v="5550"/>
  </r>
  <r>
    <x v="12"/>
    <x v="42"/>
    <s v="Total Electric Power Industry"/>
    <x v="8"/>
    <n v="45268"/>
  </r>
  <r>
    <x v="12"/>
    <x v="42"/>
    <s v="Total Electric Power Industry"/>
    <x v="9"/>
    <n v="11873"/>
  </r>
  <r>
    <x v="12"/>
    <x v="42"/>
    <s v="Total Electric Power Industry"/>
    <x v="4"/>
    <n v="269613"/>
  </r>
  <r>
    <x v="12"/>
    <x v="42"/>
    <s v="Total Electric Power Industry"/>
    <x v="10"/>
    <n v="-695843"/>
  </r>
  <r>
    <x v="12"/>
    <x v="42"/>
    <s v="Total Electric Power Industry"/>
    <x v="5"/>
    <n v="4068"/>
  </r>
  <r>
    <x v="12"/>
    <x v="42"/>
    <s v="Total Electric Power Industry"/>
    <x v="6"/>
    <n v="750892"/>
  </r>
  <r>
    <x v="12"/>
    <x v="42"/>
    <s v="Electric Generators, Independent Power Producers"/>
    <x v="0"/>
    <n v="207517"/>
  </r>
  <r>
    <x v="12"/>
    <x v="42"/>
    <s v="Electric Generators, Independent Power Producers"/>
    <x v="3"/>
    <n v="174327"/>
  </r>
  <r>
    <x v="12"/>
    <x v="42"/>
    <s v="Electric Generators, Independent Power Producers"/>
    <x v="8"/>
    <n v="33190"/>
  </r>
  <r>
    <x v="12"/>
    <x v="42"/>
    <s v="Electric Generators, Electric Utilities"/>
    <x v="0"/>
    <n v="92570929"/>
  </r>
  <r>
    <x v="12"/>
    <x v="42"/>
    <s v="Electric Generators, Electric Utilities"/>
    <x v="1"/>
    <n v="58080553"/>
  </r>
  <r>
    <x v="12"/>
    <x v="42"/>
    <s v="Electric Generators, Electric Utilities"/>
    <x v="2"/>
    <n v="7317487"/>
  </r>
  <r>
    <x v="12"/>
    <x v="42"/>
    <s v="Electric Generators, Electric Utilities"/>
    <x v="3"/>
    <n v="40414"/>
  </r>
  <r>
    <x v="12"/>
    <x v="42"/>
    <s v="Electric Generators, Electric Utilities"/>
    <x v="7"/>
    <n v="27573925"/>
  </r>
  <r>
    <x v="12"/>
    <x v="42"/>
    <s v="Electric Generators, Electric Utilities"/>
    <x v="4"/>
    <n v="250325"/>
  </r>
  <r>
    <x v="12"/>
    <x v="42"/>
    <s v="Electric Generators, Electric Utilities"/>
    <x v="10"/>
    <n v="-695843"/>
  </r>
  <r>
    <x v="12"/>
    <x v="42"/>
    <s v="Electric Generators, Electric Utilities"/>
    <x v="5"/>
    <n v="4068"/>
  </r>
  <r>
    <x v="12"/>
    <x v="42"/>
    <s v="Combined Heat and Power, Industrial Power"/>
    <x v="0"/>
    <n v="3249258"/>
  </r>
  <r>
    <x v="12"/>
    <x v="42"/>
    <s v="Combined Heat and Power, Industrial Power"/>
    <x v="1"/>
    <n v="1586336"/>
  </r>
  <r>
    <x v="12"/>
    <x v="42"/>
    <s v="Combined Heat and Power, Industrial Power"/>
    <x v="2"/>
    <n v="656175"/>
  </r>
  <r>
    <x v="12"/>
    <x v="42"/>
    <s v="Combined Heat and Power, Industrial Power"/>
    <x v="3"/>
    <n v="211982"/>
  </r>
  <r>
    <x v="12"/>
    <x v="42"/>
    <s v="Combined Heat and Power, Industrial Power"/>
    <x v="12"/>
    <n v="3453"/>
  </r>
  <r>
    <x v="12"/>
    <x v="42"/>
    <s v="Combined Heat and Power, Industrial Power"/>
    <x v="8"/>
    <n v="9409"/>
  </r>
  <r>
    <x v="12"/>
    <x v="42"/>
    <s v="Combined Heat and Power, Industrial Power"/>
    <x v="9"/>
    <n v="11873"/>
  </r>
  <r>
    <x v="12"/>
    <x v="42"/>
    <s v="Combined Heat and Power, Industrial Power"/>
    <x v="4"/>
    <n v="19288"/>
  </r>
  <r>
    <x v="12"/>
    <x v="42"/>
    <s v="Combined Heat and Power, Industrial Power"/>
    <x v="6"/>
    <n v="750742"/>
  </r>
  <r>
    <x v="12"/>
    <x v="42"/>
    <s v="Combined Heat and Power, Electric Power"/>
    <x v="0"/>
    <n v="150"/>
  </r>
  <r>
    <x v="12"/>
    <x v="42"/>
    <s v="Combined Heat and Power, Electric Power"/>
    <x v="12"/>
    <n v="0"/>
  </r>
  <r>
    <x v="12"/>
    <x v="42"/>
    <s v="Combined Heat and Power, Electric Power"/>
    <x v="6"/>
    <n v="150"/>
  </r>
  <r>
    <x v="12"/>
    <x v="42"/>
    <s v="Combined Heat and Power, Commercial Power"/>
    <x v="0"/>
    <n v="86408"/>
  </r>
  <r>
    <x v="12"/>
    <x v="42"/>
    <s v="Combined Heat and Power, Commercial Power"/>
    <x v="1"/>
    <n v="38792"/>
  </r>
  <r>
    <x v="12"/>
    <x v="42"/>
    <s v="Combined Heat and Power, Commercial Power"/>
    <x v="3"/>
    <n v="42850"/>
  </r>
  <r>
    <x v="12"/>
    <x v="42"/>
    <s v="Combined Heat and Power, Commercial Power"/>
    <x v="12"/>
    <n v="2097"/>
  </r>
  <r>
    <x v="12"/>
    <x v="42"/>
    <s v="Combined Heat and Power, Commercial Power"/>
    <x v="8"/>
    <n v="2669"/>
  </r>
  <r>
    <x v="12"/>
    <x v="43"/>
    <s v="Total Electric Power Industry"/>
    <x v="0"/>
    <n v="385628542"/>
  </r>
  <r>
    <x v="12"/>
    <x v="43"/>
    <s v="Total Electric Power Industry"/>
    <x v="1"/>
    <n v="141847240"/>
  </r>
  <r>
    <x v="12"/>
    <x v="43"/>
    <s v="Total Electric Power Industry"/>
    <x v="2"/>
    <n v="1123492"/>
  </r>
  <r>
    <x v="12"/>
    <x v="43"/>
    <s v="Total Electric Power Industry"/>
    <x v="3"/>
    <n v="196433410"/>
  </r>
  <r>
    <x v="12"/>
    <x v="43"/>
    <s v="Total Electric Power Industry"/>
    <x v="7"/>
    <n v="35618004"/>
  </r>
  <r>
    <x v="12"/>
    <x v="43"/>
    <s v="Total Electric Power Industry"/>
    <x v="12"/>
    <n v="1957186"/>
  </r>
  <r>
    <x v="12"/>
    <x v="43"/>
    <s v="Total Electric Power Industry"/>
    <x v="8"/>
    <n v="245687"/>
  </r>
  <r>
    <x v="12"/>
    <x v="43"/>
    <s v="Total Electric Power Industry"/>
    <x v="9"/>
    <n v="3052992"/>
  </r>
  <r>
    <x v="12"/>
    <x v="43"/>
    <s v="Total Electric Power Industry"/>
    <x v="4"/>
    <n v="1620965"/>
  </r>
  <r>
    <x v="12"/>
    <x v="43"/>
    <s v="Total Electric Power Industry"/>
    <x v="5"/>
    <n v="2656104"/>
  </r>
  <r>
    <x v="12"/>
    <x v="43"/>
    <s v="Total Electric Power Industry"/>
    <x v="6"/>
    <n v="1073462"/>
  </r>
  <r>
    <x v="12"/>
    <x v="43"/>
    <s v="Electric Generators, Independent Power Producers"/>
    <x v="0"/>
    <n v="138776884"/>
  </r>
  <r>
    <x v="12"/>
    <x v="43"/>
    <s v="Electric Generators, Independent Power Producers"/>
    <x v="1"/>
    <n v="49023441"/>
  </r>
  <r>
    <x v="12"/>
    <x v="43"/>
    <s v="Electric Generators, Independent Power Producers"/>
    <x v="2"/>
    <n v="47154"/>
  </r>
  <r>
    <x v="12"/>
    <x v="43"/>
    <s v="Electric Generators, Independent Power Producers"/>
    <x v="3"/>
    <n v="69606562"/>
  </r>
  <r>
    <x v="12"/>
    <x v="43"/>
    <s v="Electric Generators, Independent Power Producers"/>
    <x v="7"/>
    <n v="16568402"/>
  </r>
  <r>
    <x v="12"/>
    <x v="43"/>
    <s v="Electric Generators, Independent Power Producers"/>
    <x v="12"/>
    <n v="584473"/>
  </r>
  <r>
    <x v="12"/>
    <x v="43"/>
    <s v="Electric Generators, Independent Power Producers"/>
    <x v="8"/>
    <n v="32360"/>
  </r>
  <r>
    <x v="12"/>
    <x v="43"/>
    <s v="Electric Generators, Independent Power Producers"/>
    <x v="4"/>
    <n v="260673"/>
  </r>
  <r>
    <x v="12"/>
    <x v="43"/>
    <s v="Electric Generators, Independent Power Producers"/>
    <x v="5"/>
    <n v="2653819"/>
  </r>
  <r>
    <x v="12"/>
    <x v="43"/>
    <s v="Electric Generators, Electric Utilities"/>
    <x v="0"/>
    <n v="149587269"/>
  </r>
  <r>
    <x v="12"/>
    <x v="43"/>
    <s v="Electric Generators, Electric Utilities"/>
    <x v="1"/>
    <n v="90259574"/>
  </r>
  <r>
    <x v="12"/>
    <x v="43"/>
    <s v="Electric Generators, Electric Utilities"/>
    <x v="2"/>
    <n v="1076338"/>
  </r>
  <r>
    <x v="12"/>
    <x v="43"/>
    <s v="Electric Generators, Electric Utilities"/>
    <x v="3"/>
    <n v="39173483"/>
  </r>
  <r>
    <x v="12"/>
    <x v="43"/>
    <s v="Electric Generators, Electric Utilities"/>
    <x v="7"/>
    <n v="19049602"/>
  </r>
  <r>
    <x v="12"/>
    <x v="43"/>
    <s v="Electric Generators, Electric Utilities"/>
    <x v="4"/>
    <n v="25987"/>
  </r>
  <r>
    <x v="12"/>
    <x v="43"/>
    <s v="Electric Generators, Electric Utilities"/>
    <x v="5"/>
    <n v="2285"/>
  </r>
  <r>
    <x v="12"/>
    <x v="43"/>
    <s v="Combined Heat and Power, Industrial Power"/>
    <x v="0"/>
    <n v="39931745"/>
  </r>
  <r>
    <x v="12"/>
    <x v="43"/>
    <s v="Combined Heat and Power, Industrial Power"/>
    <x v="1"/>
    <n v="2564225"/>
  </r>
  <r>
    <x v="12"/>
    <x v="43"/>
    <s v="Combined Heat and Power, Industrial Power"/>
    <x v="3"/>
    <n v="32883355"/>
  </r>
  <r>
    <x v="12"/>
    <x v="43"/>
    <s v="Combined Heat and Power, Industrial Power"/>
    <x v="12"/>
    <n v="875897"/>
  </r>
  <r>
    <x v="12"/>
    <x v="43"/>
    <s v="Combined Heat and Power, Industrial Power"/>
    <x v="8"/>
    <n v="48542"/>
  </r>
  <r>
    <x v="12"/>
    <x v="43"/>
    <s v="Combined Heat and Power, Industrial Power"/>
    <x v="9"/>
    <n v="2355629"/>
  </r>
  <r>
    <x v="12"/>
    <x v="43"/>
    <s v="Combined Heat and Power, Industrial Power"/>
    <x v="4"/>
    <n v="130635"/>
  </r>
  <r>
    <x v="12"/>
    <x v="43"/>
    <s v="Combined Heat and Power, Industrial Power"/>
    <x v="6"/>
    <n v="1073462"/>
  </r>
  <r>
    <x v="12"/>
    <x v="43"/>
    <s v="Combined Heat and Power, Electric Power"/>
    <x v="0"/>
    <n v="56862125"/>
  </r>
  <r>
    <x v="12"/>
    <x v="43"/>
    <s v="Combined Heat and Power, Electric Power"/>
    <x v="3"/>
    <n v="54315775"/>
  </r>
  <r>
    <x v="12"/>
    <x v="43"/>
    <s v="Combined Heat and Power, Electric Power"/>
    <x v="12"/>
    <n v="496816"/>
  </r>
  <r>
    <x v="12"/>
    <x v="43"/>
    <s v="Combined Heat and Power, Electric Power"/>
    <x v="8"/>
    <n v="152376"/>
  </r>
  <r>
    <x v="12"/>
    <x v="43"/>
    <s v="Combined Heat and Power, Electric Power"/>
    <x v="9"/>
    <n v="697363"/>
  </r>
  <r>
    <x v="12"/>
    <x v="43"/>
    <s v="Combined Heat and Power, Electric Power"/>
    <x v="4"/>
    <n v="1199795"/>
  </r>
  <r>
    <x v="12"/>
    <x v="43"/>
    <s v="Combined Heat and Power, Commercial Power"/>
    <x v="0"/>
    <n v="470519"/>
  </r>
  <r>
    <x v="12"/>
    <x v="43"/>
    <s v="Combined Heat and Power, Commercial Power"/>
    <x v="3"/>
    <n v="454235"/>
  </r>
  <r>
    <x v="12"/>
    <x v="43"/>
    <s v="Combined Heat and Power, Commercial Power"/>
    <x v="8"/>
    <n v="12410"/>
  </r>
  <r>
    <x v="12"/>
    <x v="43"/>
    <s v="Combined Heat and Power, Commercial Power"/>
    <x v="4"/>
    <n v="3874"/>
  </r>
  <r>
    <x v="12"/>
    <x v="44"/>
    <s v="Total Electric Power Industry"/>
    <x v="0"/>
    <n v="3858452254"/>
  </r>
  <r>
    <x v="12"/>
    <x v="44"/>
    <s v="Total Electric Power Industry"/>
    <x v="1"/>
    <n v="1933130354"/>
  </r>
  <r>
    <x v="12"/>
    <x v="44"/>
    <s v="Total Electric Power Industry"/>
    <x v="11"/>
    <n v="14491310"/>
  </r>
  <r>
    <x v="12"/>
    <x v="44"/>
    <s v="Total Electric Power Industry"/>
    <x v="2"/>
    <n v="264328833"/>
  </r>
  <r>
    <x v="12"/>
    <x v="44"/>
    <s v="Total Electric Power Industry"/>
    <x v="3"/>
    <n v="691005745"/>
  </r>
  <r>
    <x v="12"/>
    <x v="44"/>
    <s v="Total Electric Power Industry"/>
    <x v="7"/>
    <n v="780064087"/>
  </r>
  <r>
    <x v="12"/>
    <x v="44"/>
    <s v="Total Electric Power Industry"/>
    <x v="12"/>
    <n v="13526910"/>
  </r>
  <r>
    <x v="12"/>
    <x v="44"/>
    <s v="Total Electric Power Industry"/>
    <x v="8"/>
    <n v="15043712"/>
  </r>
  <r>
    <x v="12"/>
    <x v="44"/>
    <s v="Total Electric Power Industry"/>
    <x v="9"/>
    <n v="11462686"/>
  </r>
  <r>
    <x v="12"/>
    <x v="44"/>
    <s v="Total Electric Power Industry"/>
    <x v="4"/>
    <n v="94567394"/>
  </r>
  <r>
    <x v="12"/>
    <x v="44"/>
    <s v="Total Electric Power Industry"/>
    <x v="10"/>
    <n v="-8742928"/>
  </r>
  <r>
    <x v="12"/>
    <x v="44"/>
    <s v="Total Electric Power Industry"/>
    <x v="13"/>
    <n v="554831"/>
  </r>
  <r>
    <x v="12"/>
    <x v="44"/>
    <s v="Total Electric Power Industry"/>
    <x v="5"/>
    <n v="10354279"/>
  </r>
  <r>
    <x v="12"/>
    <x v="44"/>
    <s v="Total Electric Power Industry"/>
    <x v="6"/>
    <n v="38665040"/>
  </r>
  <r>
    <x v="12"/>
    <x v="44"/>
    <s v="Electric Generators, Independent Power Producers"/>
    <x v="0"/>
    <n v="955331145"/>
  </r>
  <r>
    <x v="12"/>
    <x v="44"/>
    <s v="Electric Generators, Independent Power Producers"/>
    <x v="1"/>
    <n v="366534847"/>
  </r>
  <r>
    <x v="12"/>
    <x v="44"/>
    <s v="Electric Generators, Independent Power Producers"/>
    <x v="11"/>
    <n v="13089320"/>
  </r>
  <r>
    <x v="12"/>
    <x v="44"/>
    <s v="Electric Generators, Independent Power Producers"/>
    <x v="2"/>
    <n v="18189318"/>
  </r>
  <r>
    <x v="12"/>
    <x v="44"/>
    <s v="Electric Generators, Independent Power Producers"/>
    <x v="3"/>
    <n v="227154931"/>
  </r>
  <r>
    <x v="12"/>
    <x v="44"/>
    <s v="Electric Generators, Independent Power Producers"/>
    <x v="7"/>
    <n v="272684259"/>
  </r>
  <r>
    <x v="12"/>
    <x v="44"/>
    <s v="Electric Generators, Independent Power Producers"/>
    <x v="12"/>
    <n v="7167912"/>
  </r>
  <r>
    <x v="12"/>
    <x v="44"/>
    <s v="Electric Generators, Independent Power Producers"/>
    <x v="8"/>
    <n v="10391257"/>
  </r>
  <r>
    <x v="12"/>
    <x v="44"/>
    <s v="Electric Generators, Independent Power Producers"/>
    <x v="9"/>
    <n v="29486"/>
  </r>
  <r>
    <x v="12"/>
    <x v="44"/>
    <s v="Electric Generators, Independent Power Producers"/>
    <x v="4"/>
    <n v="24150126"/>
  </r>
  <r>
    <x v="12"/>
    <x v="44"/>
    <s v="Electric Generators, Independent Power Producers"/>
    <x v="10"/>
    <n v="-1309121"/>
  </r>
  <r>
    <x v="12"/>
    <x v="44"/>
    <s v="Electric Generators, Independent Power Producers"/>
    <x v="13"/>
    <n v="551566"/>
  </r>
  <r>
    <x v="12"/>
    <x v="44"/>
    <s v="Electric Generators, Independent Power Producers"/>
    <x v="5"/>
    <n v="10141128"/>
  </r>
  <r>
    <x v="12"/>
    <x v="44"/>
    <s v="Electric Generators, Independent Power Producers"/>
    <x v="6"/>
    <n v="6556116"/>
  </r>
  <r>
    <x v="12"/>
    <x v="44"/>
    <s v="Electric Generators, Electric Utilities"/>
    <x v="0"/>
    <n v="2549457170"/>
  </r>
  <r>
    <x v="12"/>
    <x v="44"/>
    <s v="Electric Generators, Electric Utilities"/>
    <x v="1"/>
    <n v="1514669950"/>
  </r>
  <r>
    <x v="12"/>
    <x v="44"/>
    <s v="Electric Generators, Electric Utilities"/>
    <x v="11"/>
    <n v="1401990"/>
  </r>
  <r>
    <x v="12"/>
    <x v="44"/>
    <s v="Electric Generators, Electric Utilities"/>
    <x v="2"/>
    <n v="242302069"/>
  </r>
  <r>
    <x v="12"/>
    <x v="44"/>
    <s v="Electric Generators, Electric Utilities"/>
    <x v="3"/>
    <n v="229639287"/>
  </r>
  <r>
    <x v="12"/>
    <x v="44"/>
    <s v="Electric Generators, Electric Utilities"/>
    <x v="7"/>
    <n v="507379828"/>
  </r>
  <r>
    <x v="12"/>
    <x v="44"/>
    <s v="Electric Generators, Electric Utilities"/>
    <x v="12"/>
    <n v="479826"/>
  </r>
  <r>
    <x v="12"/>
    <x v="44"/>
    <s v="Electric Generators, Electric Utilities"/>
    <x v="8"/>
    <n v="760969"/>
  </r>
  <r>
    <x v="12"/>
    <x v="44"/>
    <s v="Electric Generators, Electric Utilities"/>
    <x v="9"/>
    <n v="206469"/>
  </r>
  <r>
    <x v="12"/>
    <x v="44"/>
    <s v="Electric Generators, Electric Utilities"/>
    <x v="4"/>
    <n v="59124871"/>
  </r>
  <r>
    <x v="12"/>
    <x v="44"/>
    <s v="Electric Generators, Electric Utilities"/>
    <x v="10"/>
    <n v="-7433807"/>
  </r>
  <r>
    <x v="12"/>
    <x v="44"/>
    <s v="Electric Generators, Electric Utilities"/>
    <x v="13"/>
    <n v="3265"/>
  </r>
  <r>
    <x v="12"/>
    <x v="44"/>
    <s v="Electric Generators, Electric Utilities"/>
    <x v="5"/>
    <n v="213151"/>
  </r>
  <r>
    <x v="12"/>
    <x v="44"/>
    <s v="Electric Generators, Electric Utilities"/>
    <x v="6"/>
    <n v="709302"/>
  </r>
  <r>
    <x v="12"/>
    <x v="44"/>
    <s v="Combined Heat and Power, Industrial Power"/>
    <x v="0"/>
    <n v="152579785"/>
  </r>
  <r>
    <x v="12"/>
    <x v="44"/>
    <s v="Combined Heat and Power, Industrial Power"/>
    <x v="1"/>
    <n v="21525308"/>
  </r>
  <r>
    <x v="12"/>
    <x v="44"/>
    <s v="Combined Heat and Power, Industrial Power"/>
    <x v="2"/>
    <n v="3824648"/>
  </r>
  <r>
    <x v="12"/>
    <x v="44"/>
    <s v="Combined Heat and Power, Industrial Power"/>
    <x v="3"/>
    <n v="79012939"/>
  </r>
  <r>
    <x v="12"/>
    <x v="44"/>
    <s v="Combined Heat and Power, Industrial Power"/>
    <x v="12"/>
    <n v="3832069"/>
  </r>
  <r>
    <x v="12"/>
    <x v="44"/>
    <s v="Combined Heat and Power, Industrial Power"/>
    <x v="8"/>
    <n v="845977"/>
  </r>
  <r>
    <x v="12"/>
    <x v="44"/>
    <s v="Combined Heat and Power, Industrial Power"/>
    <x v="9"/>
    <n v="9492821"/>
  </r>
  <r>
    <x v="12"/>
    <x v="44"/>
    <s v="Combined Heat and Power, Industrial Power"/>
    <x v="4"/>
    <n v="4402817"/>
  </r>
  <r>
    <x v="12"/>
    <x v="44"/>
    <s v="Combined Heat and Power, Industrial Power"/>
    <x v="6"/>
    <n v="29643207"/>
  </r>
  <r>
    <x v="12"/>
    <x v="44"/>
    <s v="Combined Heat and Power, Electric Power"/>
    <x v="0"/>
    <n v="193669640"/>
  </r>
  <r>
    <x v="12"/>
    <x v="44"/>
    <s v="Combined Heat and Power, Electric Power"/>
    <x v="1"/>
    <n v="29408016"/>
  </r>
  <r>
    <x v="12"/>
    <x v="44"/>
    <s v="Combined Heat and Power, Electric Power"/>
    <x v="3"/>
    <n v="150889028"/>
  </r>
  <r>
    <x v="12"/>
    <x v="44"/>
    <s v="Combined Heat and Power, Electric Power"/>
    <x v="12"/>
    <n v="1443728"/>
  </r>
  <r>
    <x v="12"/>
    <x v="44"/>
    <s v="Combined Heat and Power, Electric Power"/>
    <x v="8"/>
    <n v="1992793"/>
  </r>
  <r>
    <x v="12"/>
    <x v="44"/>
    <s v="Combined Heat and Power, Electric Power"/>
    <x v="9"/>
    <n v="1733896"/>
  </r>
  <r>
    <x v="12"/>
    <x v="44"/>
    <s v="Combined Heat and Power, Electric Power"/>
    <x v="4"/>
    <n v="6458269"/>
  </r>
  <r>
    <x v="12"/>
    <x v="44"/>
    <s v="Combined Heat and Power, Electric Power"/>
    <x v="6"/>
    <n v="1743910"/>
  </r>
  <r>
    <x v="12"/>
    <x v="44"/>
    <s v="Combined Heat and Power, Commercial Power"/>
    <x v="0"/>
    <n v="7414511"/>
  </r>
  <r>
    <x v="12"/>
    <x v="44"/>
    <s v="Combined Heat and Power, Commercial Power"/>
    <x v="1"/>
    <n v="992232"/>
  </r>
  <r>
    <x v="12"/>
    <x v="44"/>
    <s v="Combined Heat and Power, Commercial Power"/>
    <x v="2"/>
    <n v="12797"/>
  </r>
  <r>
    <x v="12"/>
    <x v="44"/>
    <s v="Combined Heat and Power, Commercial Power"/>
    <x v="3"/>
    <n v="4309561"/>
  </r>
  <r>
    <x v="12"/>
    <x v="44"/>
    <s v="Combined Heat and Power, Commercial Power"/>
    <x v="12"/>
    <n v="603377"/>
  </r>
  <r>
    <x v="12"/>
    <x v="44"/>
    <s v="Combined Heat and Power, Commercial Power"/>
    <x v="8"/>
    <n v="1052715"/>
  </r>
  <r>
    <x v="12"/>
    <x v="44"/>
    <s v="Combined Heat and Power, Commercial Power"/>
    <x v="9"/>
    <n v="13"/>
  </r>
  <r>
    <x v="12"/>
    <x v="44"/>
    <s v="Combined Heat and Power, Commercial Power"/>
    <x v="4"/>
    <n v="431311"/>
  </r>
  <r>
    <x v="12"/>
    <x v="44"/>
    <s v="Combined Heat and Power, Commercial Power"/>
    <x v="6"/>
    <n v="12505"/>
  </r>
  <r>
    <x v="12"/>
    <x v="45"/>
    <s v="Total Electric Power Industry"/>
    <x v="0"/>
    <n v="36608003"/>
  </r>
  <r>
    <x v="12"/>
    <x v="45"/>
    <s v="Total Electric Power Industry"/>
    <x v="1"/>
    <n v="34487723"/>
  </r>
  <r>
    <x v="12"/>
    <x v="45"/>
    <s v="Total Electric Power Industry"/>
    <x v="11"/>
    <n v="217651"/>
  </r>
  <r>
    <x v="12"/>
    <x v="45"/>
    <s v="Total Electric Power Industry"/>
    <x v="2"/>
    <n v="457732"/>
  </r>
  <r>
    <x v="12"/>
    <x v="45"/>
    <s v="Total Electric Power Industry"/>
    <x v="3"/>
    <n v="1380181"/>
  </r>
  <r>
    <x v="12"/>
    <x v="45"/>
    <s v="Total Electric Power Industry"/>
    <x v="12"/>
    <n v="4927"/>
  </r>
  <r>
    <x v="12"/>
    <x v="45"/>
    <s v="Total Electric Power Industry"/>
    <x v="8"/>
    <n v="6270"/>
  </r>
  <r>
    <x v="12"/>
    <x v="45"/>
    <s v="Total Electric Power Industry"/>
    <x v="9"/>
    <n v="0"/>
  </r>
  <r>
    <x v="12"/>
    <x v="45"/>
    <s v="Total Electric Power Industry"/>
    <x v="4"/>
    <n v="53519"/>
  </r>
  <r>
    <x v="12"/>
    <x v="45"/>
    <s v="Electric Generators, Independent Power Producers"/>
    <x v="0"/>
    <n v="485116"/>
  </r>
  <r>
    <x v="12"/>
    <x v="45"/>
    <s v="Electric Generators, Independent Power Producers"/>
    <x v="1"/>
    <n v="390985"/>
  </r>
  <r>
    <x v="12"/>
    <x v="45"/>
    <s v="Electric Generators, Independent Power Producers"/>
    <x v="2"/>
    <n v="6211"/>
  </r>
  <r>
    <x v="12"/>
    <x v="45"/>
    <s v="Electric Generators, Independent Power Producers"/>
    <x v="3"/>
    <n v="87920"/>
  </r>
  <r>
    <x v="12"/>
    <x v="45"/>
    <s v="Electric Generators, Electric Utilities"/>
    <x v="0"/>
    <n v="36071946"/>
  </r>
  <r>
    <x v="12"/>
    <x v="45"/>
    <s v="Electric Generators, Electric Utilities"/>
    <x v="1"/>
    <n v="34080979"/>
  </r>
  <r>
    <x v="12"/>
    <x v="45"/>
    <s v="Electric Generators, Electric Utilities"/>
    <x v="11"/>
    <n v="217651"/>
  </r>
  <r>
    <x v="12"/>
    <x v="45"/>
    <s v="Electric Generators, Electric Utilities"/>
    <x v="2"/>
    <n v="451521"/>
  </r>
  <r>
    <x v="12"/>
    <x v="45"/>
    <s v="Electric Generators, Electric Utilities"/>
    <x v="3"/>
    <n v="1268326"/>
  </r>
  <r>
    <x v="12"/>
    <x v="45"/>
    <s v="Electric Generators, Electric Utilities"/>
    <x v="4"/>
    <n v="53469"/>
  </r>
  <r>
    <x v="12"/>
    <x v="45"/>
    <s v="Combined Heat and Power, Industrial Power"/>
    <x v="0"/>
    <n v="15759"/>
  </r>
  <r>
    <x v="12"/>
    <x v="45"/>
    <s v="Combined Heat and Power, Industrial Power"/>
    <x v="1"/>
    <n v="15759"/>
  </r>
  <r>
    <x v="12"/>
    <x v="45"/>
    <s v="Combined Heat and Power, Industrial Power"/>
    <x v="3"/>
    <n v="0"/>
  </r>
  <r>
    <x v="12"/>
    <x v="45"/>
    <s v="Combined Heat and Power, Electric Power"/>
    <x v="0"/>
    <n v="11247"/>
  </r>
  <r>
    <x v="12"/>
    <x v="45"/>
    <s v="Combined Heat and Power, Electric Power"/>
    <x v="12"/>
    <n v="4927"/>
  </r>
  <r>
    <x v="12"/>
    <x v="45"/>
    <s v="Combined Heat and Power, Electric Power"/>
    <x v="8"/>
    <n v="6270"/>
  </r>
  <r>
    <x v="12"/>
    <x v="45"/>
    <s v="Combined Heat and Power, Electric Power"/>
    <x v="4"/>
    <n v="50"/>
  </r>
  <r>
    <x v="12"/>
    <x v="45"/>
    <s v="Combined Heat and Power, Commercial Power"/>
    <x v="0"/>
    <n v="23935"/>
  </r>
  <r>
    <x v="12"/>
    <x v="45"/>
    <s v="Combined Heat and Power, Commercial Power"/>
    <x v="3"/>
    <n v="23935"/>
  </r>
  <r>
    <x v="12"/>
    <x v="45"/>
    <s v="Combined Heat and Power, Commercial Power"/>
    <x v="9"/>
    <n v="0"/>
  </r>
  <r>
    <x v="12"/>
    <x v="45"/>
    <s v="Combined Heat and Power, Commercial Power"/>
    <x v="4"/>
    <n v="0"/>
  </r>
  <r>
    <x v="12"/>
    <x v="46"/>
    <s v="Total Electric Power Industry"/>
    <x v="0"/>
    <n v="75005651"/>
  </r>
  <r>
    <x v="12"/>
    <x v="46"/>
    <s v="Total Electric Power Industry"/>
    <x v="1"/>
    <n v="38082381"/>
  </r>
  <r>
    <x v="12"/>
    <x v="46"/>
    <s v="Total Electric Power Industry"/>
    <x v="2"/>
    <n v="868216"/>
  </r>
  <r>
    <x v="12"/>
    <x v="46"/>
    <s v="Total Electric Power Industry"/>
    <x v="3"/>
    <n v="4386927"/>
  </r>
  <r>
    <x v="12"/>
    <x v="46"/>
    <s v="Total Electric Power Industry"/>
    <x v="7"/>
    <n v="27346163"/>
  </r>
  <r>
    <x v="12"/>
    <x v="46"/>
    <s v="Total Electric Power Industry"/>
    <x v="12"/>
    <n v="446923"/>
  </r>
  <r>
    <x v="12"/>
    <x v="46"/>
    <s v="Total Electric Power Industry"/>
    <x v="8"/>
    <n v="663350"/>
  </r>
  <r>
    <x v="12"/>
    <x v="46"/>
    <s v="Total Electric Power Industry"/>
    <x v="9"/>
    <n v="0"/>
  </r>
  <r>
    <x v="12"/>
    <x v="46"/>
    <s v="Total Electric Power Industry"/>
    <x v="4"/>
    <n v="3792604"/>
  </r>
  <r>
    <x v="12"/>
    <x v="46"/>
    <s v="Total Electric Power Industry"/>
    <x v="10"/>
    <n v="-1988835"/>
  </r>
  <r>
    <x v="12"/>
    <x v="46"/>
    <s v="Total Electric Power Industry"/>
    <x v="13"/>
    <n v="0"/>
  </r>
  <r>
    <x v="12"/>
    <x v="46"/>
    <s v="Total Electric Power Industry"/>
    <x v="6"/>
    <n v="1407922"/>
  </r>
  <r>
    <x v="12"/>
    <x v="46"/>
    <s v="Electric Generators, Independent Power Producers"/>
    <x v="0"/>
    <n v="4828127"/>
  </r>
  <r>
    <x v="12"/>
    <x v="46"/>
    <s v="Electric Generators, Independent Power Producers"/>
    <x v="1"/>
    <n v="2315560"/>
  </r>
  <r>
    <x v="12"/>
    <x v="46"/>
    <s v="Electric Generators, Independent Power Producers"/>
    <x v="2"/>
    <n v="26312"/>
  </r>
  <r>
    <x v="12"/>
    <x v="46"/>
    <s v="Electric Generators, Independent Power Producers"/>
    <x v="3"/>
    <n v="1345648"/>
  </r>
  <r>
    <x v="12"/>
    <x v="46"/>
    <s v="Electric Generators, Independent Power Producers"/>
    <x v="12"/>
    <n v="274354"/>
  </r>
  <r>
    <x v="12"/>
    <x v="46"/>
    <s v="Electric Generators, Independent Power Producers"/>
    <x v="8"/>
    <n v="433842"/>
  </r>
  <r>
    <x v="12"/>
    <x v="46"/>
    <s v="Electric Generators, Independent Power Producers"/>
    <x v="4"/>
    <n v="153399"/>
  </r>
  <r>
    <x v="12"/>
    <x v="46"/>
    <s v="Electric Generators, Independent Power Producers"/>
    <x v="6"/>
    <n v="279012"/>
  </r>
  <r>
    <x v="12"/>
    <x v="46"/>
    <s v="Electric Generators, Electric Utilities"/>
    <x v="0"/>
    <n v="62880125"/>
  </r>
  <r>
    <x v="12"/>
    <x v="46"/>
    <s v="Electric Generators, Electric Utilities"/>
    <x v="1"/>
    <n v="31099307"/>
  </r>
  <r>
    <x v="12"/>
    <x v="46"/>
    <s v="Electric Generators, Electric Utilities"/>
    <x v="2"/>
    <n v="840374"/>
  </r>
  <r>
    <x v="12"/>
    <x v="46"/>
    <s v="Electric Generators, Electric Utilities"/>
    <x v="3"/>
    <n v="2128402"/>
  </r>
  <r>
    <x v="12"/>
    <x v="46"/>
    <s v="Electric Generators, Electric Utilities"/>
    <x v="7"/>
    <n v="27346163"/>
  </r>
  <r>
    <x v="12"/>
    <x v="46"/>
    <s v="Electric Generators, Electric Utilities"/>
    <x v="9"/>
    <n v="0"/>
  </r>
  <r>
    <x v="12"/>
    <x v="46"/>
    <s v="Electric Generators, Electric Utilities"/>
    <x v="4"/>
    <n v="3454714"/>
  </r>
  <r>
    <x v="12"/>
    <x v="46"/>
    <s v="Electric Generators, Electric Utilities"/>
    <x v="10"/>
    <n v="-1988835"/>
  </r>
  <r>
    <x v="12"/>
    <x v="46"/>
    <s v="Electric Generators, Electric Utilities"/>
    <x v="13"/>
    <n v="0"/>
  </r>
  <r>
    <x v="12"/>
    <x v="46"/>
    <s v="Electric Generators, Electric Utilities"/>
    <x v="6"/>
    <n v="0"/>
  </r>
  <r>
    <x v="12"/>
    <x v="46"/>
    <s v="Combined Heat and Power, Industrial Power"/>
    <x v="0"/>
    <n v="2766922"/>
  </r>
  <r>
    <x v="12"/>
    <x v="46"/>
    <s v="Combined Heat and Power, Industrial Power"/>
    <x v="1"/>
    <n v="1067334"/>
  </r>
  <r>
    <x v="12"/>
    <x v="46"/>
    <s v="Combined Heat and Power, Industrial Power"/>
    <x v="2"/>
    <n v="1530"/>
  </r>
  <r>
    <x v="12"/>
    <x v="46"/>
    <s v="Combined Heat and Power, Industrial Power"/>
    <x v="3"/>
    <n v="353322"/>
  </r>
  <r>
    <x v="12"/>
    <x v="46"/>
    <s v="Combined Heat and Power, Industrial Power"/>
    <x v="12"/>
    <n v="56633"/>
  </r>
  <r>
    <x v="12"/>
    <x v="46"/>
    <s v="Combined Heat and Power, Industrial Power"/>
    <x v="8"/>
    <n v="69504"/>
  </r>
  <r>
    <x v="12"/>
    <x v="46"/>
    <s v="Combined Heat and Power, Industrial Power"/>
    <x v="4"/>
    <n v="90887"/>
  </r>
  <r>
    <x v="12"/>
    <x v="46"/>
    <s v="Combined Heat and Power, Industrial Power"/>
    <x v="6"/>
    <n v="1127712"/>
  </r>
  <r>
    <x v="12"/>
    <x v="46"/>
    <s v="Combined Heat and Power, Electric Power"/>
    <x v="0"/>
    <n v="4074282"/>
  </r>
  <r>
    <x v="12"/>
    <x v="46"/>
    <s v="Combined Heat and Power, Electric Power"/>
    <x v="1"/>
    <n v="3600180"/>
  </r>
  <r>
    <x v="12"/>
    <x v="46"/>
    <s v="Combined Heat and Power, Electric Power"/>
    <x v="3"/>
    <n v="408124"/>
  </r>
  <r>
    <x v="12"/>
    <x v="46"/>
    <s v="Combined Heat and Power, Electric Power"/>
    <x v="8"/>
    <n v="12450"/>
  </r>
  <r>
    <x v="12"/>
    <x v="46"/>
    <s v="Combined Heat and Power, Electric Power"/>
    <x v="4"/>
    <n v="52330"/>
  </r>
  <r>
    <x v="12"/>
    <x v="46"/>
    <s v="Combined Heat and Power, Electric Power"/>
    <x v="6"/>
    <n v="1198"/>
  </r>
  <r>
    <x v="12"/>
    <x v="46"/>
    <s v="Combined Heat and Power, Commercial Power"/>
    <x v="0"/>
    <n v="456196"/>
  </r>
  <r>
    <x v="12"/>
    <x v="46"/>
    <s v="Combined Heat and Power, Commercial Power"/>
    <x v="1"/>
    <n v="0"/>
  </r>
  <r>
    <x v="12"/>
    <x v="46"/>
    <s v="Combined Heat and Power, Commercial Power"/>
    <x v="3"/>
    <n v="151431"/>
  </r>
  <r>
    <x v="12"/>
    <x v="46"/>
    <s v="Combined Heat and Power, Commercial Power"/>
    <x v="12"/>
    <n v="115935"/>
  </r>
  <r>
    <x v="12"/>
    <x v="46"/>
    <s v="Combined Heat and Power, Commercial Power"/>
    <x v="8"/>
    <n v="147555"/>
  </r>
  <r>
    <x v="12"/>
    <x v="46"/>
    <s v="Combined Heat and Power, Commercial Power"/>
    <x v="4"/>
    <n v="41275"/>
  </r>
  <r>
    <x v="12"/>
    <x v="47"/>
    <s v="Total Electric Power Industry"/>
    <x v="0"/>
    <n v="5456190"/>
  </r>
  <r>
    <x v="12"/>
    <x v="47"/>
    <s v="Total Electric Power Industry"/>
    <x v="2"/>
    <n v="1114922"/>
  </r>
  <r>
    <x v="12"/>
    <x v="47"/>
    <s v="Total Electric Power Industry"/>
    <x v="3"/>
    <n v="3275"/>
  </r>
  <r>
    <x v="12"/>
    <x v="47"/>
    <s v="Total Electric Power Industry"/>
    <x v="7"/>
    <n v="3962616"/>
  </r>
  <r>
    <x v="12"/>
    <x v="47"/>
    <s v="Total Electric Power Industry"/>
    <x v="4"/>
    <n v="9406"/>
  </r>
  <r>
    <x v="12"/>
    <x v="47"/>
    <s v="Total Electric Power Industry"/>
    <x v="5"/>
    <n v="10372"/>
  </r>
  <r>
    <x v="12"/>
    <x v="47"/>
    <s v="Total Electric Power Industry"/>
    <x v="6"/>
    <n v="355599"/>
  </r>
  <r>
    <x v="12"/>
    <x v="47"/>
    <s v="Electric Generators, Independent Power Producers"/>
    <x v="0"/>
    <n v="2465423"/>
  </r>
  <r>
    <x v="12"/>
    <x v="47"/>
    <s v="Electric Generators, Independent Power Producers"/>
    <x v="2"/>
    <n v="694698"/>
  </r>
  <r>
    <x v="12"/>
    <x v="47"/>
    <s v="Electric Generators, Independent Power Producers"/>
    <x v="7"/>
    <n v="1595407"/>
  </r>
  <r>
    <x v="12"/>
    <x v="47"/>
    <s v="Electric Generators, Independent Power Producers"/>
    <x v="6"/>
    <n v="175318"/>
  </r>
  <r>
    <x v="12"/>
    <x v="47"/>
    <s v="Electric Generators, Electric Utilities"/>
    <x v="0"/>
    <n v="2971224"/>
  </r>
  <r>
    <x v="12"/>
    <x v="47"/>
    <s v="Electric Generators, Electric Utilities"/>
    <x v="2"/>
    <n v="404227"/>
  </r>
  <r>
    <x v="12"/>
    <x v="47"/>
    <s v="Electric Generators, Electric Utilities"/>
    <x v="3"/>
    <n v="3275"/>
  </r>
  <r>
    <x v="12"/>
    <x v="47"/>
    <s v="Electric Generators, Electric Utilities"/>
    <x v="7"/>
    <n v="2367209"/>
  </r>
  <r>
    <x v="12"/>
    <x v="47"/>
    <s v="Electric Generators, Electric Utilities"/>
    <x v="4"/>
    <n v="9406"/>
  </r>
  <r>
    <x v="12"/>
    <x v="47"/>
    <s v="Electric Generators, Electric Utilities"/>
    <x v="5"/>
    <n v="10372"/>
  </r>
  <r>
    <x v="12"/>
    <x v="47"/>
    <s v="Electric Generators, Electric Utilities"/>
    <x v="6"/>
    <n v="176735"/>
  </r>
  <r>
    <x v="12"/>
    <x v="47"/>
    <s v="Combined Heat and Power, Industrial Power"/>
    <x v="0"/>
    <n v="19543"/>
  </r>
  <r>
    <x v="12"/>
    <x v="47"/>
    <s v="Combined Heat and Power, Industrial Power"/>
    <x v="2"/>
    <n v="15997"/>
  </r>
  <r>
    <x v="12"/>
    <x v="47"/>
    <s v="Combined Heat and Power, Industrial Power"/>
    <x v="6"/>
    <n v="3546"/>
  </r>
  <r>
    <x v="12"/>
    <x v="48"/>
    <s v="Total Electric Power Industry"/>
    <x v="0"/>
    <n v="102765048"/>
  </r>
  <r>
    <x v="12"/>
    <x v="48"/>
    <s v="Total Electric Power Industry"/>
    <x v="1"/>
    <n v="8660805"/>
  </r>
  <r>
    <x v="12"/>
    <x v="48"/>
    <s v="Total Electric Power Industry"/>
    <x v="2"/>
    <n v="78166664"/>
  </r>
  <r>
    <x v="12"/>
    <x v="48"/>
    <s v="Total Electric Power Industry"/>
    <x v="3"/>
    <n v="4719311"/>
  </r>
  <r>
    <x v="12"/>
    <x v="48"/>
    <s v="Total Electric Power Industry"/>
    <x v="7"/>
    <n v="9048475"/>
  </r>
  <r>
    <x v="12"/>
    <x v="48"/>
    <s v="Total Electric Power Industry"/>
    <x v="12"/>
    <n v="64219"/>
  </r>
  <r>
    <x v="12"/>
    <x v="48"/>
    <s v="Total Electric Power Industry"/>
    <x v="8"/>
    <n v="181440"/>
  </r>
  <r>
    <x v="12"/>
    <x v="48"/>
    <s v="Total Electric Power Industry"/>
    <x v="9"/>
    <n v="312638"/>
  </r>
  <r>
    <x v="12"/>
    <x v="48"/>
    <s v="Total Electric Power Industry"/>
    <x v="4"/>
    <n v="73302"/>
  </r>
  <r>
    <x v="12"/>
    <x v="48"/>
    <s v="Total Electric Power Industry"/>
    <x v="10"/>
    <n v="-4532"/>
  </r>
  <r>
    <x v="12"/>
    <x v="48"/>
    <s v="Total Electric Power Industry"/>
    <x v="5"/>
    <n v="416581"/>
  </r>
  <r>
    <x v="12"/>
    <x v="48"/>
    <s v="Total Electric Power Industry"/>
    <x v="6"/>
    <n v="1126145"/>
  </r>
  <r>
    <x v="12"/>
    <x v="48"/>
    <s v="Electric Generators, Independent Power Producers"/>
    <x v="0"/>
    <n v="9817231"/>
  </r>
  <r>
    <x v="12"/>
    <x v="48"/>
    <s v="Electric Generators, Independent Power Producers"/>
    <x v="1"/>
    <n v="8626101"/>
  </r>
  <r>
    <x v="12"/>
    <x v="48"/>
    <s v="Electric Generators, Independent Power Producers"/>
    <x v="2"/>
    <n v="155583"/>
  </r>
  <r>
    <x v="12"/>
    <x v="48"/>
    <s v="Electric Generators, Independent Power Producers"/>
    <x v="3"/>
    <n v="478688"/>
  </r>
  <r>
    <x v="12"/>
    <x v="48"/>
    <s v="Electric Generators, Independent Power Producers"/>
    <x v="12"/>
    <n v="64219"/>
  </r>
  <r>
    <x v="12"/>
    <x v="48"/>
    <s v="Electric Generators, Independent Power Producers"/>
    <x v="8"/>
    <n v="100794"/>
  </r>
  <r>
    <x v="12"/>
    <x v="48"/>
    <s v="Electric Generators, Independent Power Producers"/>
    <x v="4"/>
    <n v="13019"/>
  </r>
  <r>
    <x v="12"/>
    <x v="48"/>
    <s v="Electric Generators, Independent Power Producers"/>
    <x v="5"/>
    <n v="378827"/>
  </r>
  <r>
    <x v="12"/>
    <x v="48"/>
    <s v="Electric Generators, Electric Utilities"/>
    <x v="0"/>
    <n v="88568483"/>
  </r>
  <r>
    <x v="12"/>
    <x v="48"/>
    <s v="Electric Generators, Electric Utilities"/>
    <x v="2"/>
    <n v="77833286"/>
  </r>
  <r>
    <x v="12"/>
    <x v="48"/>
    <s v="Electric Generators, Electric Utilities"/>
    <x v="3"/>
    <n v="1084370"/>
  </r>
  <r>
    <x v="12"/>
    <x v="48"/>
    <s v="Electric Generators, Electric Utilities"/>
    <x v="7"/>
    <n v="9048475"/>
  </r>
  <r>
    <x v="12"/>
    <x v="48"/>
    <s v="Electric Generators, Electric Utilities"/>
    <x v="8"/>
    <n v="60104"/>
  </r>
  <r>
    <x v="12"/>
    <x v="48"/>
    <s v="Electric Generators, Electric Utilities"/>
    <x v="4"/>
    <n v="6172"/>
  </r>
  <r>
    <x v="12"/>
    <x v="48"/>
    <s v="Electric Generators, Electric Utilities"/>
    <x v="10"/>
    <n v="-4532"/>
  </r>
  <r>
    <x v="12"/>
    <x v="48"/>
    <s v="Electric Generators, Electric Utilities"/>
    <x v="5"/>
    <n v="37754"/>
  </r>
  <r>
    <x v="12"/>
    <x v="48"/>
    <s v="Electric Generators, Electric Utilities"/>
    <x v="6"/>
    <n v="502854"/>
  </r>
  <r>
    <x v="12"/>
    <x v="48"/>
    <s v="Combined Heat and Power, Industrial Power"/>
    <x v="0"/>
    <n v="1078048"/>
  </r>
  <r>
    <x v="12"/>
    <x v="48"/>
    <s v="Combined Heat and Power, Industrial Power"/>
    <x v="1"/>
    <n v="28311"/>
  </r>
  <r>
    <x v="12"/>
    <x v="48"/>
    <s v="Combined Heat and Power, Industrial Power"/>
    <x v="2"/>
    <n v="177795"/>
  </r>
  <r>
    <x v="12"/>
    <x v="48"/>
    <s v="Combined Heat and Power, Industrial Power"/>
    <x v="3"/>
    <n v="189753"/>
  </r>
  <r>
    <x v="12"/>
    <x v="48"/>
    <s v="Combined Heat and Power, Industrial Power"/>
    <x v="8"/>
    <n v="6004"/>
  </r>
  <r>
    <x v="12"/>
    <x v="48"/>
    <s v="Combined Heat and Power, Industrial Power"/>
    <x v="4"/>
    <n v="52894"/>
  </r>
  <r>
    <x v="12"/>
    <x v="48"/>
    <s v="Combined Heat and Power, Industrial Power"/>
    <x v="6"/>
    <n v="623291"/>
  </r>
  <r>
    <x v="12"/>
    <x v="48"/>
    <s v="Combined Heat and Power, Electric Power"/>
    <x v="0"/>
    <n v="3268354"/>
  </r>
  <r>
    <x v="12"/>
    <x v="48"/>
    <s v="Combined Heat and Power, Electric Power"/>
    <x v="3"/>
    <n v="2939961"/>
  </r>
  <r>
    <x v="12"/>
    <x v="48"/>
    <s v="Combined Heat and Power, Electric Power"/>
    <x v="8"/>
    <n v="14538"/>
  </r>
  <r>
    <x v="12"/>
    <x v="48"/>
    <s v="Combined Heat and Power, Electric Power"/>
    <x v="9"/>
    <n v="312638"/>
  </r>
  <r>
    <x v="12"/>
    <x v="48"/>
    <s v="Combined Heat and Power, Electric Power"/>
    <x v="4"/>
    <n v="1217"/>
  </r>
  <r>
    <x v="12"/>
    <x v="48"/>
    <s v="Combined Heat and Power, Commercial Power"/>
    <x v="0"/>
    <n v="32931"/>
  </r>
  <r>
    <x v="12"/>
    <x v="48"/>
    <s v="Combined Heat and Power, Commercial Power"/>
    <x v="1"/>
    <n v="6392"/>
  </r>
  <r>
    <x v="12"/>
    <x v="48"/>
    <s v="Combined Heat and Power, Commercial Power"/>
    <x v="2"/>
    <n v="0"/>
  </r>
  <r>
    <x v="12"/>
    <x v="48"/>
    <s v="Combined Heat and Power, Commercial Power"/>
    <x v="3"/>
    <n v="26539"/>
  </r>
  <r>
    <x v="12"/>
    <x v="49"/>
    <s v="Total Electric Power Industry"/>
    <x v="0"/>
    <n v="58431438"/>
  </r>
  <r>
    <x v="12"/>
    <x v="49"/>
    <s v="Total Electric Power Industry"/>
    <x v="1"/>
    <n v="39807484"/>
  </r>
  <r>
    <x v="12"/>
    <x v="49"/>
    <s v="Total Electric Power Industry"/>
    <x v="2"/>
    <n v="2515017"/>
  </r>
  <r>
    <x v="12"/>
    <x v="49"/>
    <s v="Total Electric Power Industry"/>
    <x v="3"/>
    <n v="2076314"/>
  </r>
  <r>
    <x v="12"/>
    <x v="49"/>
    <s v="Total Electric Power Industry"/>
    <x v="7"/>
    <n v="12448813"/>
  </r>
  <r>
    <x v="12"/>
    <x v="49"/>
    <s v="Total Electric Power Industry"/>
    <x v="12"/>
    <n v="145540"/>
  </r>
  <r>
    <x v="12"/>
    <x v="49"/>
    <s v="Total Electric Power Industry"/>
    <x v="8"/>
    <n v="324466"/>
  </r>
  <r>
    <x v="12"/>
    <x v="49"/>
    <s v="Total Electric Power Industry"/>
    <x v="4"/>
    <n v="422677"/>
  </r>
  <r>
    <x v="12"/>
    <x v="49"/>
    <s v="Total Electric Power Industry"/>
    <x v="5"/>
    <n v="46180"/>
  </r>
  <r>
    <x v="12"/>
    <x v="49"/>
    <s v="Total Electric Power Industry"/>
    <x v="6"/>
    <n v="644947"/>
  </r>
  <r>
    <x v="12"/>
    <x v="49"/>
    <s v="Electric Generators, Independent Power Producers"/>
    <x v="0"/>
    <n v="351481"/>
  </r>
  <r>
    <x v="12"/>
    <x v="49"/>
    <s v="Electric Generators, Independent Power Producers"/>
    <x v="1"/>
    <n v="14666"/>
  </r>
  <r>
    <x v="12"/>
    <x v="49"/>
    <s v="Electric Generators, Independent Power Producers"/>
    <x v="2"/>
    <n v="14335"/>
  </r>
  <r>
    <x v="12"/>
    <x v="49"/>
    <s v="Electric Generators, Independent Power Producers"/>
    <x v="3"/>
    <n v="139870"/>
  </r>
  <r>
    <x v="12"/>
    <x v="49"/>
    <s v="Electric Generators, Independent Power Producers"/>
    <x v="8"/>
    <n v="182602"/>
  </r>
  <r>
    <x v="12"/>
    <x v="49"/>
    <s v="Electric Generators, Independent Power Producers"/>
    <x v="4"/>
    <n v="8"/>
  </r>
  <r>
    <x v="12"/>
    <x v="49"/>
    <s v="Electric Generators, Electric Utilities"/>
    <x v="0"/>
    <n v="54773666"/>
  </r>
  <r>
    <x v="12"/>
    <x v="49"/>
    <s v="Electric Generators, Electric Utilities"/>
    <x v="1"/>
    <n v="38583501"/>
  </r>
  <r>
    <x v="12"/>
    <x v="49"/>
    <s v="Electric Generators, Electric Utilities"/>
    <x v="2"/>
    <n v="2282883"/>
  </r>
  <r>
    <x v="12"/>
    <x v="49"/>
    <s v="Electric Generators, Electric Utilities"/>
    <x v="3"/>
    <n v="973287"/>
  </r>
  <r>
    <x v="12"/>
    <x v="49"/>
    <s v="Electric Generators, Electric Utilities"/>
    <x v="7"/>
    <n v="12448813"/>
  </r>
  <r>
    <x v="12"/>
    <x v="49"/>
    <s v="Electric Generators, Electric Utilities"/>
    <x v="12"/>
    <n v="142793"/>
  </r>
  <r>
    <x v="12"/>
    <x v="49"/>
    <s v="Electric Generators, Electric Utilities"/>
    <x v="8"/>
    <n v="103701"/>
  </r>
  <r>
    <x v="12"/>
    <x v="49"/>
    <s v="Electric Generators, Electric Utilities"/>
    <x v="4"/>
    <n v="162990"/>
  </r>
  <r>
    <x v="12"/>
    <x v="49"/>
    <s v="Electric Generators, Electric Utilities"/>
    <x v="5"/>
    <n v="46180"/>
  </r>
  <r>
    <x v="12"/>
    <x v="49"/>
    <s v="Electric Generators, Electric Utilities"/>
    <x v="6"/>
    <n v="29518"/>
  </r>
  <r>
    <x v="12"/>
    <x v="49"/>
    <s v="Combined Heat and Power, Industrial Power"/>
    <x v="0"/>
    <n v="2413017"/>
  </r>
  <r>
    <x v="12"/>
    <x v="49"/>
    <s v="Combined Heat and Power, Industrial Power"/>
    <x v="1"/>
    <n v="1167332"/>
  </r>
  <r>
    <x v="12"/>
    <x v="49"/>
    <s v="Combined Heat and Power, Industrial Power"/>
    <x v="2"/>
    <n v="217799"/>
  </r>
  <r>
    <x v="12"/>
    <x v="49"/>
    <s v="Combined Heat and Power, Industrial Power"/>
    <x v="3"/>
    <n v="156662"/>
  </r>
  <r>
    <x v="12"/>
    <x v="49"/>
    <s v="Combined Heat and Power, Industrial Power"/>
    <x v="8"/>
    <n v="3473"/>
  </r>
  <r>
    <x v="12"/>
    <x v="49"/>
    <s v="Combined Heat and Power, Industrial Power"/>
    <x v="4"/>
    <n v="252688"/>
  </r>
  <r>
    <x v="12"/>
    <x v="49"/>
    <s v="Combined Heat and Power, Industrial Power"/>
    <x v="6"/>
    <n v="615063"/>
  </r>
  <r>
    <x v="12"/>
    <x v="49"/>
    <s v="Combined Heat and Power, Electric Power"/>
    <x v="0"/>
    <n v="746414"/>
  </r>
  <r>
    <x v="12"/>
    <x v="49"/>
    <s v="Combined Heat and Power, Electric Power"/>
    <x v="3"/>
    <n v="725087"/>
  </r>
  <r>
    <x v="12"/>
    <x v="49"/>
    <s v="Combined Heat and Power, Electric Power"/>
    <x v="8"/>
    <n v="19798"/>
  </r>
  <r>
    <x v="12"/>
    <x v="49"/>
    <s v="Combined Heat and Power, Electric Power"/>
    <x v="4"/>
    <n v="1529"/>
  </r>
  <r>
    <x v="12"/>
    <x v="49"/>
    <s v="Combined Heat and Power, Commercial Power"/>
    <x v="0"/>
    <n v="146860"/>
  </r>
  <r>
    <x v="12"/>
    <x v="49"/>
    <s v="Combined Heat and Power, Commercial Power"/>
    <x v="1"/>
    <n v="41985"/>
  </r>
  <r>
    <x v="12"/>
    <x v="49"/>
    <s v="Combined Heat and Power, Commercial Power"/>
    <x v="2"/>
    <n v="0"/>
  </r>
  <r>
    <x v="12"/>
    <x v="49"/>
    <s v="Combined Heat and Power, Commercial Power"/>
    <x v="3"/>
    <n v="81407"/>
  </r>
  <r>
    <x v="12"/>
    <x v="49"/>
    <s v="Combined Heat and Power, Commercial Power"/>
    <x v="12"/>
    <n v="2748"/>
  </r>
  <r>
    <x v="12"/>
    <x v="49"/>
    <s v="Combined Heat and Power, Commercial Power"/>
    <x v="8"/>
    <n v="14891"/>
  </r>
  <r>
    <x v="12"/>
    <x v="49"/>
    <s v="Combined Heat and Power, Commercial Power"/>
    <x v="4"/>
    <n v="5463"/>
  </r>
  <r>
    <x v="12"/>
    <x v="49"/>
    <s v="Combined Heat and Power, Commercial Power"/>
    <x v="6"/>
    <n v="366"/>
  </r>
  <r>
    <x v="12"/>
    <x v="50"/>
    <s v="Total Electric Power Industry"/>
    <x v="0"/>
    <n v="94761751"/>
  </r>
  <r>
    <x v="12"/>
    <x v="50"/>
    <s v="Total Electric Power Industry"/>
    <x v="1"/>
    <n v="92951316"/>
  </r>
  <r>
    <x v="12"/>
    <x v="50"/>
    <s v="Total Electric Power Industry"/>
    <x v="2"/>
    <n v="1065736"/>
  </r>
  <r>
    <x v="12"/>
    <x v="50"/>
    <s v="Total Electric Power Industry"/>
    <x v="3"/>
    <n v="241140"/>
  </r>
  <r>
    <x v="12"/>
    <x v="50"/>
    <s v="Total Electric Power Industry"/>
    <x v="12"/>
    <n v="16769"/>
  </r>
  <r>
    <x v="12"/>
    <x v="50"/>
    <s v="Total Electric Power Industry"/>
    <x v="8"/>
    <n v="5531"/>
  </r>
  <r>
    <x v="12"/>
    <x v="50"/>
    <s v="Total Electric Power Industry"/>
    <x v="9"/>
    <n v="174598"/>
  </r>
  <r>
    <x v="12"/>
    <x v="50"/>
    <s v="Total Electric Power Industry"/>
    <x v="4"/>
    <n v="297587"/>
  </r>
  <r>
    <x v="12"/>
    <x v="50"/>
    <s v="Total Electric Power Industry"/>
    <x v="5"/>
    <n v="9023"/>
  </r>
  <r>
    <x v="12"/>
    <x v="50"/>
    <s v="Total Electric Power Industry"/>
    <x v="6"/>
    <n v="51"/>
  </r>
  <r>
    <x v="12"/>
    <x v="50"/>
    <s v="Electric Generators, Independent Power Producers"/>
    <x v="0"/>
    <n v="29372856"/>
  </r>
  <r>
    <x v="12"/>
    <x v="50"/>
    <s v="Electric Generators, Independent Power Producers"/>
    <x v="1"/>
    <n v="28811843"/>
  </r>
  <r>
    <x v="12"/>
    <x v="50"/>
    <s v="Electric Generators, Independent Power Producers"/>
    <x v="2"/>
    <n v="363005"/>
  </r>
  <r>
    <x v="12"/>
    <x v="50"/>
    <s v="Electric Generators, Independent Power Producers"/>
    <x v="3"/>
    <n v="174159"/>
  </r>
  <r>
    <x v="12"/>
    <x v="50"/>
    <s v="Electric Generators, Independent Power Producers"/>
    <x v="4"/>
    <n v="14826"/>
  </r>
  <r>
    <x v="12"/>
    <x v="50"/>
    <s v="Electric Generators, Independent Power Producers"/>
    <x v="5"/>
    <n v="9023"/>
  </r>
  <r>
    <x v="12"/>
    <x v="50"/>
    <s v="Electric Generators, Electric Utilities"/>
    <x v="0"/>
    <n v="63341620"/>
  </r>
  <r>
    <x v="12"/>
    <x v="50"/>
    <s v="Electric Generators, Electric Utilities"/>
    <x v="1"/>
    <n v="62801799"/>
  </r>
  <r>
    <x v="12"/>
    <x v="50"/>
    <s v="Electric Generators, Electric Utilities"/>
    <x v="2"/>
    <n v="235958"/>
  </r>
  <r>
    <x v="12"/>
    <x v="50"/>
    <s v="Electric Generators, Electric Utilities"/>
    <x v="3"/>
    <n v="3396"/>
  </r>
  <r>
    <x v="12"/>
    <x v="50"/>
    <s v="Electric Generators, Electric Utilities"/>
    <x v="12"/>
    <n v="16769"/>
  </r>
  <r>
    <x v="12"/>
    <x v="50"/>
    <s v="Electric Generators, Electric Utilities"/>
    <x v="8"/>
    <n v="4968"/>
  </r>
  <r>
    <x v="12"/>
    <x v="50"/>
    <s v="Electric Generators, Electric Utilities"/>
    <x v="4"/>
    <n v="278679"/>
  </r>
  <r>
    <x v="12"/>
    <x v="50"/>
    <s v="Electric Generators, Electric Utilities"/>
    <x v="6"/>
    <n v="51"/>
  </r>
  <r>
    <x v="12"/>
    <x v="50"/>
    <s v="Combined Heat and Power, Industrial Power"/>
    <x v="0"/>
    <n v="1638535"/>
  </r>
  <r>
    <x v="12"/>
    <x v="50"/>
    <s v="Combined Heat and Power, Industrial Power"/>
    <x v="1"/>
    <n v="929152"/>
  </r>
  <r>
    <x v="12"/>
    <x v="50"/>
    <s v="Combined Heat and Power, Industrial Power"/>
    <x v="2"/>
    <n v="466773"/>
  </r>
  <r>
    <x v="12"/>
    <x v="50"/>
    <s v="Combined Heat and Power, Industrial Power"/>
    <x v="3"/>
    <n v="63367"/>
  </r>
  <r>
    <x v="12"/>
    <x v="50"/>
    <s v="Combined Heat and Power, Industrial Power"/>
    <x v="8"/>
    <n v="563"/>
  </r>
  <r>
    <x v="12"/>
    <x v="50"/>
    <s v="Combined Heat and Power, Industrial Power"/>
    <x v="9"/>
    <n v="174598"/>
  </r>
  <r>
    <x v="12"/>
    <x v="50"/>
    <s v="Combined Heat and Power, Industrial Power"/>
    <x v="4"/>
    <n v="4082"/>
  </r>
  <r>
    <x v="12"/>
    <x v="50"/>
    <s v="Combined Heat and Power, Electric Power"/>
    <x v="0"/>
    <n v="408741"/>
  </r>
  <r>
    <x v="12"/>
    <x v="50"/>
    <s v="Combined Heat and Power, Electric Power"/>
    <x v="1"/>
    <n v="408522"/>
  </r>
  <r>
    <x v="12"/>
    <x v="50"/>
    <s v="Combined Heat and Power, Electric Power"/>
    <x v="3"/>
    <n v="219"/>
  </r>
  <r>
    <x v="12"/>
    <x v="51"/>
    <s v="Total Electric Power Industry"/>
    <x v="0"/>
    <n v="43783839"/>
  </r>
  <r>
    <x v="12"/>
    <x v="51"/>
    <s v="Total Electric Power Industry"/>
    <x v="1"/>
    <n v="41923161"/>
  </r>
  <r>
    <x v="12"/>
    <x v="51"/>
    <s v="Total Electric Power Industry"/>
    <x v="2"/>
    <n v="583615"/>
  </r>
  <r>
    <x v="12"/>
    <x v="51"/>
    <s v="Total Electric Power Industry"/>
    <x v="3"/>
    <n v="713080"/>
  </r>
  <r>
    <x v="12"/>
    <x v="51"/>
    <s v="Total Electric Power Industry"/>
    <x v="12"/>
    <n v="76549"/>
  </r>
  <r>
    <x v="12"/>
    <x v="51"/>
    <s v="Total Electric Power Industry"/>
    <x v="4"/>
    <n v="40104"/>
  </r>
  <r>
    <x v="12"/>
    <x v="51"/>
    <s v="Total Electric Power Industry"/>
    <x v="5"/>
    <n v="447330"/>
  </r>
  <r>
    <x v="12"/>
    <x v="51"/>
    <s v="Electric Generators, Independent Power Producers"/>
    <x v="0"/>
    <n v="575810"/>
  </r>
  <r>
    <x v="12"/>
    <x v="51"/>
    <s v="Electric Generators, Independent Power Producers"/>
    <x v="3"/>
    <n v="147530"/>
  </r>
  <r>
    <x v="12"/>
    <x v="51"/>
    <s v="Electric Generators, Independent Power Producers"/>
    <x v="5"/>
    <n v="428280"/>
  </r>
  <r>
    <x v="12"/>
    <x v="51"/>
    <s v="Electric Generators, Electric Utilities"/>
    <x v="0"/>
    <n v="42532420"/>
  </r>
  <r>
    <x v="12"/>
    <x v="51"/>
    <s v="Electric Generators, Electric Utilities"/>
    <x v="1"/>
    <n v="41685278"/>
  </r>
  <r>
    <x v="12"/>
    <x v="51"/>
    <s v="Electric Generators, Electric Utilities"/>
    <x v="2"/>
    <n v="583615"/>
  </r>
  <r>
    <x v="12"/>
    <x v="51"/>
    <s v="Electric Generators, Electric Utilities"/>
    <x v="3"/>
    <n v="205791"/>
  </r>
  <r>
    <x v="12"/>
    <x v="51"/>
    <s v="Electric Generators, Electric Utilities"/>
    <x v="4"/>
    <n v="38686"/>
  </r>
  <r>
    <x v="12"/>
    <x v="51"/>
    <s v="Electric Generators, Electric Utilities"/>
    <x v="5"/>
    <n v="19050"/>
  </r>
  <r>
    <x v="12"/>
    <x v="51"/>
    <s v="Combined Heat and Power, Industrial Power"/>
    <x v="0"/>
    <n v="675609"/>
  </r>
  <r>
    <x v="12"/>
    <x v="51"/>
    <s v="Combined Heat and Power, Industrial Power"/>
    <x v="1"/>
    <n v="237883"/>
  </r>
  <r>
    <x v="12"/>
    <x v="51"/>
    <s v="Combined Heat and Power, Industrial Power"/>
    <x v="3"/>
    <n v="359759"/>
  </r>
  <r>
    <x v="12"/>
    <x v="51"/>
    <s v="Combined Heat and Power, Industrial Power"/>
    <x v="12"/>
    <n v="76549"/>
  </r>
  <r>
    <x v="12"/>
    <x v="51"/>
    <s v="Combined Heat and Power, Industrial Power"/>
    <x v="4"/>
    <n v="1418"/>
  </r>
  <r>
    <x v="13"/>
    <x v="52"/>
    <s v="Total Electric Power Industry"/>
    <x v="1"/>
    <n v="0"/>
  </r>
  <r>
    <x v="13"/>
    <x v="52"/>
    <s v="Total Electric Power Industry"/>
    <x v="3"/>
    <n v="0"/>
  </r>
  <r>
    <x v="13"/>
    <x v="52"/>
    <s v="Total Electric Power Industry"/>
    <x v="4"/>
    <n v="0"/>
  </r>
  <r>
    <x v="13"/>
    <x v="0"/>
    <s v="Total Electric Power Industry"/>
    <x v="0"/>
    <n v="6338732"/>
  </r>
  <r>
    <x v="13"/>
    <x v="0"/>
    <s v="Total Electric Power Industry"/>
    <x v="1"/>
    <n v="549664"/>
  </r>
  <r>
    <x v="13"/>
    <x v="0"/>
    <s v="Total Electric Power Industry"/>
    <x v="2"/>
    <n v="1582536"/>
  </r>
  <r>
    <x v="13"/>
    <x v="0"/>
    <s v="Total Electric Power Industry"/>
    <x v="3"/>
    <n v="3354482"/>
  </r>
  <r>
    <x v="13"/>
    <x v="0"/>
    <s v="Total Electric Power Industry"/>
    <x v="8"/>
    <n v="5019"/>
  </r>
  <r>
    <x v="13"/>
    <x v="0"/>
    <s v="Total Electric Power Industry"/>
    <x v="4"/>
    <n v="846274"/>
  </r>
  <r>
    <x v="13"/>
    <x v="0"/>
    <s v="Total Electric Power Industry"/>
    <x v="6"/>
    <n v="758"/>
  </r>
  <r>
    <x v="13"/>
    <x v="0"/>
    <s v="Electric Generators, Electric Utilities"/>
    <x v="0"/>
    <n v="5673462"/>
  </r>
  <r>
    <x v="13"/>
    <x v="0"/>
    <s v="Electric Generators, Electric Utilities"/>
    <x v="1"/>
    <n v="167555"/>
  </r>
  <r>
    <x v="13"/>
    <x v="0"/>
    <s v="Electric Generators, Electric Utilities"/>
    <x v="2"/>
    <n v="1582536"/>
  </r>
  <r>
    <x v="13"/>
    <x v="0"/>
    <s v="Electric Generators, Electric Utilities"/>
    <x v="3"/>
    <n v="3147997"/>
  </r>
  <r>
    <x v="13"/>
    <x v="0"/>
    <s v="Electric Generators, Electric Utilities"/>
    <x v="4"/>
    <n v="775374"/>
  </r>
  <r>
    <x v="13"/>
    <x v="0"/>
    <s v="Combined Heat and Power, Industrial Power"/>
    <x v="0"/>
    <n v="272934"/>
  </r>
  <r>
    <x v="13"/>
    <x v="0"/>
    <s v="Combined Heat and Power, Industrial Power"/>
    <x v="3"/>
    <n v="206485"/>
  </r>
  <r>
    <x v="13"/>
    <x v="0"/>
    <s v="Combined Heat and Power, Industrial Power"/>
    <x v="8"/>
    <n v="5019"/>
  </r>
  <r>
    <x v="13"/>
    <x v="0"/>
    <s v="Combined Heat and Power, Industrial Power"/>
    <x v="4"/>
    <n v="61430"/>
  </r>
  <r>
    <x v="13"/>
    <x v="0"/>
    <s v="Combined Heat and Power, Electric Power"/>
    <x v="0"/>
    <n v="162478"/>
  </r>
  <r>
    <x v="13"/>
    <x v="0"/>
    <s v="Combined Heat and Power, Electric Power"/>
    <x v="1"/>
    <n v="162478"/>
  </r>
  <r>
    <x v="13"/>
    <x v="0"/>
    <s v="Combined Heat and Power, Commercial Power"/>
    <x v="0"/>
    <n v="229859"/>
  </r>
  <r>
    <x v="13"/>
    <x v="0"/>
    <s v="Combined Heat and Power, Commercial Power"/>
    <x v="1"/>
    <n v="219631"/>
  </r>
  <r>
    <x v="13"/>
    <x v="0"/>
    <s v="Combined Heat and Power, Commercial Power"/>
    <x v="4"/>
    <n v="9470"/>
  </r>
  <r>
    <x v="13"/>
    <x v="0"/>
    <s v="Combined Heat and Power, Commercial Power"/>
    <x v="6"/>
    <n v="758"/>
  </r>
  <r>
    <x v="13"/>
    <x v="1"/>
    <s v="Total Electric Power Industry"/>
    <x v="0"/>
    <n v="137487222"/>
  </r>
  <r>
    <x v="13"/>
    <x v="1"/>
    <s v="Total Electric Power Industry"/>
    <x v="1"/>
    <n v="76696391"/>
  </r>
  <r>
    <x v="13"/>
    <x v="1"/>
    <s v="Total Electric Power Industry"/>
    <x v="2"/>
    <n v="12664867"/>
  </r>
  <r>
    <x v="13"/>
    <x v="1"/>
    <s v="Total Electric Power Industry"/>
    <x v="3"/>
    <n v="12243598"/>
  </r>
  <r>
    <x v="13"/>
    <x v="1"/>
    <s v="Total Electric Power Industry"/>
    <x v="7"/>
    <n v="31676953"/>
  </r>
  <r>
    <x v="13"/>
    <x v="1"/>
    <s v="Total Electric Power Industry"/>
    <x v="12"/>
    <n v="25543"/>
  </r>
  <r>
    <x v="13"/>
    <x v="1"/>
    <s v="Total Electric Power Industry"/>
    <x v="8"/>
    <n v="23975"/>
  </r>
  <r>
    <x v="13"/>
    <x v="1"/>
    <s v="Total Electric Power Industry"/>
    <x v="9"/>
    <n v="170368"/>
  </r>
  <r>
    <x v="13"/>
    <x v="1"/>
    <s v="Total Electric Power Industry"/>
    <x v="4"/>
    <n v="336644"/>
  </r>
  <r>
    <x v="13"/>
    <x v="1"/>
    <s v="Total Electric Power Industry"/>
    <x v="6"/>
    <n v="3648883"/>
  </r>
  <r>
    <x v="13"/>
    <x v="1"/>
    <s v="Electric Generators, Independent Power Producers"/>
    <x v="0"/>
    <n v="4064709"/>
  </r>
  <r>
    <x v="13"/>
    <x v="1"/>
    <s v="Electric Generators, Independent Power Producers"/>
    <x v="3"/>
    <n v="4050166"/>
  </r>
  <r>
    <x v="13"/>
    <x v="1"/>
    <s v="Electric Generators, Independent Power Producers"/>
    <x v="4"/>
    <n v="14543"/>
  </r>
  <r>
    <x v="13"/>
    <x v="1"/>
    <s v="Electric Generators, Electric Utilities"/>
    <x v="0"/>
    <n v="126845720"/>
  </r>
  <r>
    <x v="13"/>
    <x v="1"/>
    <s v="Electric Generators, Electric Utilities"/>
    <x v="1"/>
    <n v="76238978"/>
  </r>
  <r>
    <x v="13"/>
    <x v="1"/>
    <s v="Electric Generators, Electric Utilities"/>
    <x v="2"/>
    <n v="12664867"/>
  </r>
  <r>
    <x v="13"/>
    <x v="1"/>
    <s v="Electric Generators, Electric Utilities"/>
    <x v="3"/>
    <n v="6069559"/>
  </r>
  <r>
    <x v="13"/>
    <x v="1"/>
    <s v="Electric Generators, Electric Utilities"/>
    <x v="7"/>
    <n v="31676953"/>
  </r>
  <r>
    <x v="13"/>
    <x v="1"/>
    <s v="Electric Generators, Electric Utilities"/>
    <x v="4"/>
    <n v="195363"/>
  </r>
  <r>
    <x v="13"/>
    <x v="1"/>
    <s v="Combined Heat and Power, Industrial Power"/>
    <x v="0"/>
    <n v="5266043"/>
  </r>
  <r>
    <x v="13"/>
    <x v="1"/>
    <s v="Combined Heat and Power, Industrial Power"/>
    <x v="1"/>
    <n v="238299"/>
  </r>
  <r>
    <x v="13"/>
    <x v="1"/>
    <s v="Combined Heat and Power, Industrial Power"/>
    <x v="3"/>
    <n v="1233025"/>
  </r>
  <r>
    <x v="13"/>
    <x v="1"/>
    <s v="Combined Heat and Power, Industrial Power"/>
    <x v="12"/>
    <n v="25543"/>
  </r>
  <r>
    <x v="13"/>
    <x v="1"/>
    <s v="Combined Heat and Power, Industrial Power"/>
    <x v="8"/>
    <n v="23975"/>
  </r>
  <r>
    <x v="13"/>
    <x v="1"/>
    <s v="Combined Heat and Power, Industrial Power"/>
    <x v="9"/>
    <n v="170368"/>
  </r>
  <r>
    <x v="13"/>
    <x v="1"/>
    <s v="Combined Heat and Power, Industrial Power"/>
    <x v="4"/>
    <n v="107695"/>
  </r>
  <r>
    <x v="13"/>
    <x v="1"/>
    <s v="Combined Heat and Power, Industrial Power"/>
    <x v="6"/>
    <n v="3467138"/>
  </r>
  <r>
    <x v="13"/>
    <x v="1"/>
    <s v="Combined Heat and Power, Electric Power"/>
    <x v="0"/>
    <n v="1310750"/>
  </r>
  <r>
    <x v="13"/>
    <x v="1"/>
    <s v="Combined Heat and Power, Electric Power"/>
    <x v="1"/>
    <n v="219114"/>
  </r>
  <r>
    <x v="13"/>
    <x v="1"/>
    <s v="Combined Heat and Power, Electric Power"/>
    <x v="3"/>
    <n v="890848"/>
  </r>
  <r>
    <x v="13"/>
    <x v="1"/>
    <s v="Combined Heat and Power, Electric Power"/>
    <x v="4"/>
    <n v="19043"/>
  </r>
  <r>
    <x v="13"/>
    <x v="1"/>
    <s v="Combined Heat and Power, Electric Power"/>
    <x v="6"/>
    <n v="181745"/>
  </r>
  <r>
    <x v="13"/>
    <x v="2"/>
    <s v="Total Electric Power Industry"/>
    <x v="0"/>
    <n v="50401101"/>
  </r>
  <r>
    <x v="13"/>
    <x v="2"/>
    <s v="Total Electric Power Industry"/>
    <x v="1"/>
    <n v="23504166"/>
  </r>
  <r>
    <x v="13"/>
    <x v="2"/>
    <s v="Total Electric Power Industry"/>
    <x v="2"/>
    <n v="2654618"/>
  </r>
  <r>
    <x v="13"/>
    <x v="2"/>
    <s v="Total Electric Power Industry"/>
    <x v="3"/>
    <n v="7300861"/>
  </r>
  <r>
    <x v="13"/>
    <x v="2"/>
    <s v="Total Electric Power Industry"/>
    <x v="7"/>
    <n v="14689416"/>
  </r>
  <r>
    <x v="13"/>
    <x v="2"/>
    <s v="Total Electric Power Industry"/>
    <x v="12"/>
    <n v="109161"/>
  </r>
  <r>
    <x v="13"/>
    <x v="2"/>
    <s v="Total Electric Power Industry"/>
    <x v="8"/>
    <n v="94771"/>
  </r>
  <r>
    <x v="13"/>
    <x v="2"/>
    <s v="Total Electric Power Industry"/>
    <x v="4"/>
    <n v="288906"/>
  </r>
  <r>
    <x v="13"/>
    <x v="2"/>
    <s v="Total Electric Power Industry"/>
    <x v="10"/>
    <n v="10085"/>
  </r>
  <r>
    <x v="13"/>
    <x v="2"/>
    <s v="Total Electric Power Industry"/>
    <x v="6"/>
    <n v="1749117"/>
  </r>
  <r>
    <x v="13"/>
    <x v="2"/>
    <s v="Electric Generators, Independent Power Producers"/>
    <x v="0"/>
    <n v="5030391"/>
  </r>
  <r>
    <x v="13"/>
    <x v="2"/>
    <s v="Electric Generators, Independent Power Producers"/>
    <x v="2"/>
    <n v="1271"/>
  </r>
  <r>
    <x v="13"/>
    <x v="2"/>
    <s v="Electric Generators, Independent Power Producers"/>
    <x v="3"/>
    <n v="5029119"/>
  </r>
  <r>
    <x v="13"/>
    <x v="2"/>
    <s v="Electric Generators, Electric Utilities"/>
    <x v="0"/>
    <n v="41636514"/>
  </r>
  <r>
    <x v="13"/>
    <x v="2"/>
    <s v="Electric Generators, Electric Utilities"/>
    <x v="1"/>
    <n v="23422401"/>
  </r>
  <r>
    <x v="13"/>
    <x v="2"/>
    <s v="Electric Generators, Electric Utilities"/>
    <x v="2"/>
    <n v="2653347"/>
  </r>
  <r>
    <x v="13"/>
    <x v="2"/>
    <s v="Electric Generators, Electric Utilities"/>
    <x v="3"/>
    <n v="597283"/>
  </r>
  <r>
    <x v="13"/>
    <x v="2"/>
    <s v="Electric Generators, Electric Utilities"/>
    <x v="7"/>
    <n v="14689416"/>
  </r>
  <r>
    <x v="13"/>
    <x v="2"/>
    <s v="Electric Generators, Electric Utilities"/>
    <x v="4"/>
    <n v="263982"/>
  </r>
  <r>
    <x v="13"/>
    <x v="2"/>
    <s v="Electric Generators, Electric Utilities"/>
    <x v="10"/>
    <n v="10085"/>
  </r>
  <r>
    <x v="13"/>
    <x v="2"/>
    <s v="Combined Heat and Power, Industrial Power"/>
    <x v="0"/>
    <n v="2177322"/>
  </r>
  <r>
    <x v="13"/>
    <x v="2"/>
    <s v="Combined Heat and Power, Industrial Power"/>
    <x v="1"/>
    <n v="81765"/>
  </r>
  <r>
    <x v="13"/>
    <x v="2"/>
    <s v="Combined Heat and Power, Industrial Power"/>
    <x v="3"/>
    <n v="212465"/>
  </r>
  <r>
    <x v="13"/>
    <x v="2"/>
    <s v="Combined Heat and Power, Industrial Power"/>
    <x v="12"/>
    <n v="109161"/>
  </r>
  <r>
    <x v="13"/>
    <x v="2"/>
    <s v="Combined Heat and Power, Industrial Power"/>
    <x v="4"/>
    <n v="24814"/>
  </r>
  <r>
    <x v="13"/>
    <x v="2"/>
    <s v="Combined Heat and Power, Industrial Power"/>
    <x v="6"/>
    <n v="1749117"/>
  </r>
  <r>
    <x v="13"/>
    <x v="2"/>
    <s v="Combined Heat and Power, Electric Power"/>
    <x v="0"/>
    <n v="1549514"/>
  </r>
  <r>
    <x v="13"/>
    <x v="2"/>
    <s v="Combined Heat and Power, Electric Power"/>
    <x v="3"/>
    <n v="1459554"/>
  </r>
  <r>
    <x v="13"/>
    <x v="2"/>
    <s v="Combined Heat and Power, Electric Power"/>
    <x v="8"/>
    <n v="89960"/>
  </r>
  <r>
    <x v="13"/>
    <x v="2"/>
    <s v="Combined Heat and Power, Electric Power"/>
    <x v="4"/>
    <n v="0"/>
  </r>
  <r>
    <x v="13"/>
    <x v="2"/>
    <s v="Combined Heat and Power, Commercial Power"/>
    <x v="0"/>
    <n v="7361"/>
  </r>
  <r>
    <x v="13"/>
    <x v="2"/>
    <s v="Combined Heat and Power, Commercial Power"/>
    <x v="3"/>
    <n v="2439"/>
  </r>
  <r>
    <x v="13"/>
    <x v="2"/>
    <s v="Combined Heat and Power, Commercial Power"/>
    <x v="8"/>
    <n v="4812"/>
  </r>
  <r>
    <x v="13"/>
    <x v="2"/>
    <s v="Combined Heat and Power, Commercial Power"/>
    <x v="4"/>
    <n v="110"/>
  </r>
  <r>
    <x v="13"/>
    <x v="3"/>
    <s v="Total Electric Power Industry"/>
    <x v="0"/>
    <n v="94396218"/>
  </r>
  <r>
    <x v="13"/>
    <x v="3"/>
    <s v="Total Electric Power Industry"/>
    <x v="1"/>
    <n v="38091409"/>
  </r>
  <r>
    <x v="13"/>
    <x v="3"/>
    <s v="Total Electric Power Industry"/>
    <x v="2"/>
    <n v="7074984"/>
  </r>
  <r>
    <x v="13"/>
    <x v="3"/>
    <s v="Total Electric Power Industry"/>
    <x v="3"/>
    <n v="18932641"/>
  </r>
  <r>
    <x v="13"/>
    <x v="3"/>
    <s v="Total Electric Power Industry"/>
    <x v="7"/>
    <n v="28581053"/>
  </r>
  <r>
    <x v="13"/>
    <x v="3"/>
    <s v="Total Electric Power Industry"/>
    <x v="12"/>
    <n v="1338595"/>
  </r>
  <r>
    <x v="13"/>
    <x v="3"/>
    <s v="Total Electric Power Industry"/>
    <x v="8"/>
    <n v="44874"/>
  </r>
  <r>
    <x v="13"/>
    <x v="3"/>
    <s v="Total Electric Power Industry"/>
    <x v="4"/>
    <n v="48677"/>
  </r>
  <r>
    <x v="13"/>
    <x v="3"/>
    <s v="Total Electric Power Industry"/>
    <x v="10"/>
    <n v="283590"/>
  </r>
  <r>
    <x v="13"/>
    <x v="3"/>
    <s v="Total Electric Power Industry"/>
    <x v="13"/>
    <n v="395"/>
  </r>
  <r>
    <x v="13"/>
    <x v="3"/>
    <s v="Electric Generators, Independent Power Producers"/>
    <x v="0"/>
    <n v="11851148"/>
  </r>
  <r>
    <x v="13"/>
    <x v="3"/>
    <s v="Electric Generators, Independent Power Producers"/>
    <x v="3"/>
    <n v="10512553"/>
  </r>
  <r>
    <x v="13"/>
    <x v="3"/>
    <s v="Electric Generators, Independent Power Producers"/>
    <x v="12"/>
    <n v="1338595"/>
  </r>
  <r>
    <x v="13"/>
    <x v="3"/>
    <s v="Electric Generators, Independent Power Producers"/>
    <x v="4"/>
    <n v="0"/>
  </r>
  <r>
    <x v="13"/>
    <x v="3"/>
    <s v="Electric Generators, Electric Utilities"/>
    <x v="0"/>
    <n v="80348246"/>
  </r>
  <r>
    <x v="13"/>
    <x v="3"/>
    <s v="Electric Generators, Electric Utilities"/>
    <x v="1"/>
    <n v="37739559"/>
  </r>
  <r>
    <x v="13"/>
    <x v="3"/>
    <s v="Electric Generators, Electric Utilities"/>
    <x v="2"/>
    <n v="7074984"/>
  </r>
  <r>
    <x v="13"/>
    <x v="3"/>
    <s v="Electric Generators, Electric Utilities"/>
    <x v="3"/>
    <n v="6580927"/>
  </r>
  <r>
    <x v="13"/>
    <x v="3"/>
    <s v="Electric Generators, Electric Utilities"/>
    <x v="7"/>
    <n v="28581053"/>
  </r>
  <r>
    <x v="13"/>
    <x v="3"/>
    <s v="Electric Generators, Electric Utilities"/>
    <x v="8"/>
    <n v="41031"/>
  </r>
  <r>
    <x v="13"/>
    <x v="3"/>
    <s v="Electric Generators, Electric Utilities"/>
    <x v="4"/>
    <n v="46706"/>
  </r>
  <r>
    <x v="13"/>
    <x v="3"/>
    <s v="Electric Generators, Electric Utilities"/>
    <x v="10"/>
    <n v="283590"/>
  </r>
  <r>
    <x v="13"/>
    <x v="3"/>
    <s v="Electric Generators, Electric Utilities"/>
    <x v="13"/>
    <n v="395"/>
  </r>
  <r>
    <x v="13"/>
    <x v="3"/>
    <s v="Combined Heat and Power, Industrial Power"/>
    <x v="0"/>
    <n v="356186"/>
  </r>
  <r>
    <x v="13"/>
    <x v="3"/>
    <s v="Combined Heat and Power, Industrial Power"/>
    <x v="1"/>
    <n v="351850"/>
  </r>
  <r>
    <x v="13"/>
    <x v="3"/>
    <s v="Combined Heat and Power, Industrial Power"/>
    <x v="3"/>
    <n v="2538"/>
  </r>
  <r>
    <x v="13"/>
    <x v="3"/>
    <s v="Combined Heat and Power, Industrial Power"/>
    <x v="4"/>
    <n v="1798"/>
  </r>
  <r>
    <x v="13"/>
    <x v="3"/>
    <s v="Combined Heat and Power, Electric Power"/>
    <x v="0"/>
    <n v="1823205"/>
  </r>
  <r>
    <x v="13"/>
    <x v="3"/>
    <s v="Combined Heat and Power, Electric Power"/>
    <x v="3"/>
    <n v="1823205"/>
  </r>
  <r>
    <x v="13"/>
    <x v="3"/>
    <s v="Combined Heat and Power, Commercial Power"/>
    <x v="0"/>
    <n v="17433"/>
  </r>
  <r>
    <x v="13"/>
    <x v="3"/>
    <s v="Combined Heat and Power, Commercial Power"/>
    <x v="3"/>
    <n v="13418"/>
  </r>
  <r>
    <x v="13"/>
    <x v="3"/>
    <s v="Combined Heat and Power, Commercial Power"/>
    <x v="8"/>
    <n v="3843"/>
  </r>
  <r>
    <x v="13"/>
    <x v="3"/>
    <s v="Combined Heat and Power, Commercial Power"/>
    <x v="4"/>
    <n v="172"/>
  </r>
  <r>
    <x v="13"/>
    <x v="4"/>
    <s v="Total Electric Power Industry"/>
    <x v="0"/>
    <n v="192788542"/>
  </r>
  <r>
    <x v="13"/>
    <x v="4"/>
    <s v="Total Electric Power Industry"/>
    <x v="1"/>
    <n v="2326305"/>
  </r>
  <r>
    <x v="13"/>
    <x v="4"/>
    <s v="Total Electric Power Industry"/>
    <x v="11"/>
    <n v="12981763"/>
  </r>
  <r>
    <x v="13"/>
    <x v="4"/>
    <s v="Total Electric Power Industry"/>
    <x v="2"/>
    <n v="36370704"/>
  </r>
  <r>
    <x v="13"/>
    <x v="4"/>
    <s v="Total Electric Power Industry"/>
    <x v="3"/>
    <n v="91432181"/>
  </r>
  <r>
    <x v="13"/>
    <x v="4"/>
    <s v="Total Electric Power Industry"/>
    <x v="7"/>
    <n v="35593789"/>
  </r>
  <r>
    <x v="13"/>
    <x v="4"/>
    <s v="Total Electric Power Industry"/>
    <x v="12"/>
    <n v="281495"/>
  </r>
  <r>
    <x v="13"/>
    <x v="4"/>
    <s v="Total Electric Power Industry"/>
    <x v="8"/>
    <n v="2254281"/>
  </r>
  <r>
    <x v="13"/>
    <x v="4"/>
    <s v="Total Electric Power Industry"/>
    <x v="9"/>
    <n v="1759015"/>
  </r>
  <r>
    <x v="13"/>
    <x v="4"/>
    <s v="Total Electric Power Industry"/>
    <x v="4"/>
    <n v="2392249"/>
  </r>
  <r>
    <x v="13"/>
    <x v="4"/>
    <s v="Total Electric Power Industry"/>
    <x v="10"/>
    <n v="-912313"/>
  </r>
  <r>
    <x v="13"/>
    <x v="4"/>
    <s v="Total Electric Power Industry"/>
    <x v="13"/>
    <n v="533606"/>
  </r>
  <r>
    <x v="13"/>
    <x v="4"/>
    <s v="Total Electric Power Industry"/>
    <x v="5"/>
    <n v="3895431"/>
  </r>
  <r>
    <x v="13"/>
    <x v="4"/>
    <s v="Total Electric Power Industry"/>
    <x v="6"/>
    <n v="3880037"/>
  </r>
  <r>
    <x v="13"/>
    <x v="4"/>
    <s v="Electric Generators, Independent Power Producers"/>
    <x v="0"/>
    <n v="65429324"/>
  </r>
  <r>
    <x v="13"/>
    <x v="4"/>
    <s v="Electric Generators, Independent Power Producers"/>
    <x v="11"/>
    <n v="11931251"/>
  </r>
  <r>
    <x v="13"/>
    <x v="4"/>
    <s v="Electric Generators, Independent Power Producers"/>
    <x v="2"/>
    <n v="587051"/>
  </r>
  <r>
    <x v="13"/>
    <x v="4"/>
    <s v="Electric Generators, Independent Power Producers"/>
    <x v="3"/>
    <n v="43350013"/>
  </r>
  <r>
    <x v="13"/>
    <x v="4"/>
    <s v="Electric Generators, Independent Power Producers"/>
    <x v="12"/>
    <n v="89138"/>
  </r>
  <r>
    <x v="13"/>
    <x v="4"/>
    <s v="Electric Generators, Independent Power Producers"/>
    <x v="8"/>
    <n v="1379459"/>
  </r>
  <r>
    <x v="13"/>
    <x v="4"/>
    <s v="Electric Generators, Independent Power Producers"/>
    <x v="9"/>
    <n v="0"/>
  </r>
  <r>
    <x v="13"/>
    <x v="4"/>
    <s v="Electric Generators, Independent Power Producers"/>
    <x v="4"/>
    <n v="1084159"/>
  </r>
  <r>
    <x v="13"/>
    <x v="4"/>
    <s v="Electric Generators, Independent Power Producers"/>
    <x v="13"/>
    <n v="531658"/>
  </r>
  <r>
    <x v="13"/>
    <x v="4"/>
    <s v="Electric Generators, Independent Power Producers"/>
    <x v="5"/>
    <n v="3868512"/>
  </r>
  <r>
    <x v="13"/>
    <x v="4"/>
    <s v="Electric Generators, Independent Power Producers"/>
    <x v="6"/>
    <n v="2608083"/>
  </r>
  <r>
    <x v="13"/>
    <x v="4"/>
    <s v="Electric Generators, Electric Utilities"/>
    <x v="0"/>
    <n v="81728209"/>
  </r>
  <r>
    <x v="13"/>
    <x v="4"/>
    <s v="Electric Generators, Electric Utilities"/>
    <x v="11"/>
    <n v="1050512"/>
  </r>
  <r>
    <x v="13"/>
    <x v="4"/>
    <s v="Electric Generators, Electric Utilities"/>
    <x v="2"/>
    <n v="35782738"/>
  </r>
  <r>
    <x v="13"/>
    <x v="4"/>
    <s v="Electric Generators, Electric Utilities"/>
    <x v="3"/>
    <n v="9873371"/>
  </r>
  <r>
    <x v="13"/>
    <x v="4"/>
    <s v="Electric Generators, Electric Utilities"/>
    <x v="7"/>
    <n v="35593789"/>
  </r>
  <r>
    <x v="13"/>
    <x v="4"/>
    <s v="Electric Generators, Electric Utilities"/>
    <x v="8"/>
    <n v="260248"/>
  </r>
  <r>
    <x v="13"/>
    <x v="4"/>
    <s v="Electric Generators, Electric Utilities"/>
    <x v="4"/>
    <n v="50996"/>
  </r>
  <r>
    <x v="13"/>
    <x v="4"/>
    <s v="Electric Generators, Electric Utilities"/>
    <x v="10"/>
    <n v="-912313"/>
  </r>
  <r>
    <x v="13"/>
    <x v="4"/>
    <s v="Electric Generators, Electric Utilities"/>
    <x v="13"/>
    <n v="1948"/>
  </r>
  <r>
    <x v="13"/>
    <x v="4"/>
    <s v="Electric Generators, Electric Utilities"/>
    <x v="5"/>
    <n v="26919"/>
  </r>
  <r>
    <x v="13"/>
    <x v="4"/>
    <s v="Combined Heat and Power, Industrial Power"/>
    <x v="0"/>
    <n v="18102025"/>
  </r>
  <r>
    <x v="13"/>
    <x v="4"/>
    <s v="Combined Heat and Power, Industrial Power"/>
    <x v="1"/>
    <n v="487321"/>
  </r>
  <r>
    <x v="13"/>
    <x v="4"/>
    <s v="Combined Heat and Power, Industrial Power"/>
    <x v="3"/>
    <n v="14317515"/>
  </r>
  <r>
    <x v="13"/>
    <x v="4"/>
    <s v="Combined Heat and Power, Industrial Power"/>
    <x v="12"/>
    <n v="42174"/>
  </r>
  <r>
    <x v="13"/>
    <x v="4"/>
    <s v="Combined Heat and Power, Industrial Power"/>
    <x v="8"/>
    <n v="23734"/>
  </r>
  <r>
    <x v="13"/>
    <x v="4"/>
    <s v="Combined Heat and Power, Industrial Power"/>
    <x v="9"/>
    <n v="1671604"/>
  </r>
  <r>
    <x v="13"/>
    <x v="4"/>
    <s v="Combined Heat and Power, Industrial Power"/>
    <x v="4"/>
    <n v="447058"/>
  </r>
  <r>
    <x v="13"/>
    <x v="4"/>
    <s v="Combined Heat and Power, Industrial Power"/>
    <x v="6"/>
    <n v="1112619"/>
  </r>
  <r>
    <x v="13"/>
    <x v="4"/>
    <s v="Combined Heat and Power, Electric Power"/>
    <x v="0"/>
    <n v="25458401"/>
  </r>
  <r>
    <x v="13"/>
    <x v="4"/>
    <s v="Combined Heat and Power, Electric Power"/>
    <x v="1"/>
    <n v="1838984"/>
  </r>
  <r>
    <x v="13"/>
    <x v="4"/>
    <s v="Combined Heat and Power, Electric Power"/>
    <x v="3"/>
    <n v="22243552"/>
  </r>
  <r>
    <x v="13"/>
    <x v="4"/>
    <s v="Combined Heat and Power, Electric Power"/>
    <x v="12"/>
    <n v="148159"/>
  </r>
  <r>
    <x v="13"/>
    <x v="4"/>
    <s v="Combined Heat and Power, Electric Power"/>
    <x v="8"/>
    <n v="171337"/>
  </r>
  <r>
    <x v="13"/>
    <x v="4"/>
    <s v="Combined Heat and Power, Electric Power"/>
    <x v="9"/>
    <n v="87411"/>
  </r>
  <r>
    <x v="13"/>
    <x v="4"/>
    <s v="Combined Heat and Power, Electric Power"/>
    <x v="4"/>
    <n v="809623"/>
  </r>
  <r>
    <x v="13"/>
    <x v="4"/>
    <s v="Combined Heat and Power, Electric Power"/>
    <x v="6"/>
    <n v="159335"/>
  </r>
  <r>
    <x v="13"/>
    <x v="4"/>
    <s v="Combined Heat and Power, Commercial Power"/>
    <x v="0"/>
    <n v="2070584"/>
  </r>
  <r>
    <x v="13"/>
    <x v="4"/>
    <s v="Combined Heat and Power, Commercial Power"/>
    <x v="2"/>
    <n v="914"/>
  </r>
  <r>
    <x v="13"/>
    <x v="4"/>
    <s v="Combined Heat and Power, Commercial Power"/>
    <x v="3"/>
    <n v="1647730"/>
  </r>
  <r>
    <x v="13"/>
    <x v="4"/>
    <s v="Combined Heat and Power, Commercial Power"/>
    <x v="12"/>
    <n v="2024"/>
  </r>
  <r>
    <x v="13"/>
    <x v="4"/>
    <s v="Combined Heat and Power, Commercial Power"/>
    <x v="8"/>
    <n v="419503"/>
  </r>
  <r>
    <x v="13"/>
    <x v="4"/>
    <s v="Combined Heat and Power, Commercial Power"/>
    <x v="9"/>
    <n v="0"/>
  </r>
  <r>
    <x v="13"/>
    <x v="4"/>
    <s v="Combined Heat and Power, Commercial Power"/>
    <x v="4"/>
    <n v="412"/>
  </r>
  <r>
    <x v="13"/>
    <x v="5"/>
    <s v="Total Electric Power Industry"/>
    <x v="0"/>
    <n v="46616787"/>
  </r>
  <r>
    <x v="13"/>
    <x v="5"/>
    <s v="Total Electric Power Industry"/>
    <x v="1"/>
    <n v="36115623"/>
  </r>
  <r>
    <x v="13"/>
    <x v="5"/>
    <s v="Total Electric Power Industry"/>
    <x v="2"/>
    <n v="1262197"/>
  </r>
  <r>
    <x v="13"/>
    <x v="5"/>
    <s v="Total Electric Power Industry"/>
    <x v="3"/>
    <n v="9226033"/>
  </r>
  <r>
    <x v="13"/>
    <x v="5"/>
    <s v="Total Electric Power Industry"/>
    <x v="8"/>
    <n v="31470"/>
  </r>
  <r>
    <x v="13"/>
    <x v="5"/>
    <s v="Total Electric Power Industry"/>
    <x v="9"/>
    <n v="4001"/>
  </r>
  <r>
    <x v="13"/>
    <x v="5"/>
    <s v="Total Electric Power Industry"/>
    <x v="4"/>
    <n v="33994"/>
  </r>
  <r>
    <x v="13"/>
    <x v="5"/>
    <s v="Total Electric Power Industry"/>
    <x v="10"/>
    <n v="-203640"/>
  </r>
  <r>
    <x v="13"/>
    <x v="5"/>
    <s v="Total Electric Power Industry"/>
    <x v="5"/>
    <n v="147109"/>
  </r>
  <r>
    <x v="13"/>
    <x v="5"/>
    <s v="Total Electric Power Industry"/>
    <x v="6"/>
    <n v="0"/>
  </r>
  <r>
    <x v="13"/>
    <x v="5"/>
    <s v="Electric Generators, Independent Power Producers"/>
    <x v="0"/>
    <n v="2876856"/>
  </r>
  <r>
    <x v="13"/>
    <x v="5"/>
    <s v="Electric Generators, Independent Power Producers"/>
    <x v="2"/>
    <n v="105980"/>
  </r>
  <r>
    <x v="13"/>
    <x v="5"/>
    <s v="Electric Generators, Independent Power Producers"/>
    <x v="3"/>
    <n v="2682244"/>
  </r>
  <r>
    <x v="13"/>
    <x v="5"/>
    <s v="Electric Generators, Independent Power Producers"/>
    <x v="4"/>
    <n v="0"/>
  </r>
  <r>
    <x v="13"/>
    <x v="5"/>
    <s v="Electric Generators, Independent Power Producers"/>
    <x v="5"/>
    <n v="88632"/>
  </r>
  <r>
    <x v="13"/>
    <x v="5"/>
    <s v="Electric Generators, Electric Utilities"/>
    <x v="0"/>
    <n v="41226252"/>
  </r>
  <r>
    <x v="13"/>
    <x v="5"/>
    <s v="Electric Generators, Electric Utilities"/>
    <x v="1"/>
    <n v="35807527"/>
  </r>
  <r>
    <x v="13"/>
    <x v="5"/>
    <s v="Electric Generators, Electric Utilities"/>
    <x v="2"/>
    <n v="1156217"/>
  </r>
  <r>
    <x v="13"/>
    <x v="5"/>
    <s v="Electric Generators, Electric Utilities"/>
    <x v="3"/>
    <n v="4369743"/>
  </r>
  <r>
    <x v="13"/>
    <x v="5"/>
    <s v="Electric Generators, Electric Utilities"/>
    <x v="9"/>
    <n v="4001"/>
  </r>
  <r>
    <x v="13"/>
    <x v="5"/>
    <s v="Electric Generators, Electric Utilities"/>
    <x v="4"/>
    <n v="33927"/>
  </r>
  <r>
    <x v="13"/>
    <x v="5"/>
    <s v="Electric Generators, Electric Utilities"/>
    <x v="10"/>
    <n v="-203640"/>
  </r>
  <r>
    <x v="13"/>
    <x v="5"/>
    <s v="Electric Generators, Electric Utilities"/>
    <x v="5"/>
    <n v="58477"/>
  </r>
  <r>
    <x v="13"/>
    <x v="5"/>
    <s v="Electric Generators, Electric Utilities"/>
    <x v="6"/>
    <n v="0"/>
  </r>
  <r>
    <x v="13"/>
    <x v="5"/>
    <s v="Combined Heat and Power, Industrial Power"/>
    <x v="0"/>
    <n v="80967"/>
  </r>
  <r>
    <x v="13"/>
    <x v="5"/>
    <s v="Combined Heat and Power, Industrial Power"/>
    <x v="3"/>
    <n v="80900"/>
  </r>
  <r>
    <x v="13"/>
    <x v="5"/>
    <s v="Combined Heat and Power, Industrial Power"/>
    <x v="4"/>
    <n v="67"/>
  </r>
  <r>
    <x v="13"/>
    <x v="5"/>
    <s v="Combined Heat and Power, Electric Power"/>
    <x v="0"/>
    <n v="2313574"/>
  </r>
  <r>
    <x v="13"/>
    <x v="5"/>
    <s v="Combined Heat and Power, Electric Power"/>
    <x v="1"/>
    <n v="308096"/>
  </r>
  <r>
    <x v="13"/>
    <x v="5"/>
    <s v="Combined Heat and Power, Electric Power"/>
    <x v="3"/>
    <n v="1974009"/>
  </r>
  <r>
    <x v="13"/>
    <x v="5"/>
    <s v="Combined Heat and Power, Electric Power"/>
    <x v="8"/>
    <n v="31470"/>
  </r>
  <r>
    <x v="13"/>
    <x v="5"/>
    <s v="Combined Heat and Power, Commercial Power"/>
    <x v="0"/>
    <n v="119137"/>
  </r>
  <r>
    <x v="13"/>
    <x v="5"/>
    <s v="Combined Heat and Power, Commercial Power"/>
    <x v="3"/>
    <n v="119137"/>
  </r>
  <r>
    <x v="13"/>
    <x v="6"/>
    <s v="Total Electric Power Industry"/>
    <x v="0"/>
    <n v="29545050"/>
  </r>
  <r>
    <x v="13"/>
    <x v="6"/>
    <s v="Total Electric Power Industry"/>
    <x v="1"/>
    <n v="4200297"/>
  </r>
  <r>
    <x v="13"/>
    <x v="6"/>
    <s v="Total Electric Power Industry"/>
    <x v="2"/>
    <n v="564416"/>
  </r>
  <r>
    <x v="13"/>
    <x v="6"/>
    <s v="Total Electric Power Industry"/>
    <x v="3"/>
    <n v="5061613"/>
  </r>
  <r>
    <x v="13"/>
    <x v="6"/>
    <s v="Total Electric Power Industry"/>
    <x v="7"/>
    <n v="16078095"/>
  </r>
  <r>
    <x v="13"/>
    <x v="6"/>
    <s v="Total Electric Power Industry"/>
    <x v="12"/>
    <n v="792118"/>
  </r>
  <r>
    <x v="13"/>
    <x v="6"/>
    <s v="Total Electric Power Industry"/>
    <x v="8"/>
    <n v="785861"/>
  </r>
  <r>
    <x v="13"/>
    <x v="6"/>
    <s v="Total Electric Power Industry"/>
    <x v="9"/>
    <n v="0"/>
  </r>
  <r>
    <x v="13"/>
    <x v="6"/>
    <s v="Total Electric Power Industry"/>
    <x v="4"/>
    <n v="2062669"/>
  </r>
  <r>
    <x v="13"/>
    <x v="6"/>
    <s v="Total Electric Power Industry"/>
    <x v="10"/>
    <n v="-18"/>
  </r>
  <r>
    <x v="13"/>
    <x v="6"/>
    <s v="Total Electric Power Industry"/>
    <x v="6"/>
    <n v="0"/>
  </r>
  <r>
    <x v="13"/>
    <x v="6"/>
    <s v="Electric Generators, Independent Power Producers"/>
    <x v="0"/>
    <n v="27166517"/>
  </r>
  <r>
    <x v="13"/>
    <x v="6"/>
    <s v="Electric Generators, Independent Power Producers"/>
    <x v="1"/>
    <n v="2619464"/>
  </r>
  <r>
    <x v="13"/>
    <x v="6"/>
    <s v="Electric Generators, Independent Power Producers"/>
    <x v="2"/>
    <n v="518559"/>
  </r>
  <r>
    <x v="13"/>
    <x v="6"/>
    <s v="Electric Generators, Independent Power Producers"/>
    <x v="3"/>
    <n v="4422360"/>
  </r>
  <r>
    <x v="13"/>
    <x v="6"/>
    <s v="Electric Generators, Independent Power Producers"/>
    <x v="7"/>
    <n v="16078095"/>
  </r>
  <r>
    <x v="13"/>
    <x v="6"/>
    <s v="Electric Generators, Independent Power Producers"/>
    <x v="12"/>
    <n v="780081"/>
  </r>
  <r>
    <x v="13"/>
    <x v="6"/>
    <s v="Electric Generators, Independent Power Producers"/>
    <x v="8"/>
    <n v="785861"/>
  </r>
  <r>
    <x v="13"/>
    <x v="6"/>
    <s v="Electric Generators, Independent Power Producers"/>
    <x v="9"/>
    <n v="0"/>
  </r>
  <r>
    <x v="13"/>
    <x v="6"/>
    <s v="Electric Generators, Independent Power Producers"/>
    <x v="4"/>
    <n v="1962115"/>
  </r>
  <r>
    <x v="13"/>
    <x v="6"/>
    <s v="Electric Generators, Independent Power Producers"/>
    <x v="10"/>
    <n v="-18"/>
  </r>
  <r>
    <x v="13"/>
    <x v="6"/>
    <s v="Electric Generators, Independent Power Producers"/>
    <x v="6"/>
    <n v="0"/>
  </r>
  <r>
    <x v="13"/>
    <x v="6"/>
    <s v="Electric Generators, Electric Utilities"/>
    <x v="0"/>
    <n v="59812"/>
  </r>
  <r>
    <x v="13"/>
    <x v="6"/>
    <s v="Electric Generators, Electric Utilities"/>
    <x v="2"/>
    <n v="45857"/>
  </r>
  <r>
    <x v="13"/>
    <x v="6"/>
    <s v="Electric Generators, Electric Utilities"/>
    <x v="4"/>
    <n v="13955"/>
  </r>
  <r>
    <x v="13"/>
    <x v="6"/>
    <s v="Combined Heat and Power, Industrial Power"/>
    <x v="0"/>
    <n v="287609"/>
  </r>
  <r>
    <x v="13"/>
    <x v="6"/>
    <s v="Combined Heat and Power, Industrial Power"/>
    <x v="3"/>
    <n v="202098"/>
  </r>
  <r>
    <x v="13"/>
    <x v="6"/>
    <s v="Combined Heat and Power, Industrial Power"/>
    <x v="12"/>
    <n v="12037"/>
  </r>
  <r>
    <x v="13"/>
    <x v="6"/>
    <s v="Combined Heat and Power, Industrial Power"/>
    <x v="4"/>
    <n v="73474"/>
  </r>
  <r>
    <x v="13"/>
    <x v="6"/>
    <s v="Combined Heat and Power, Electric Power"/>
    <x v="0"/>
    <n v="1985668"/>
  </r>
  <r>
    <x v="13"/>
    <x v="6"/>
    <s v="Combined Heat and Power, Electric Power"/>
    <x v="1"/>
    <n v="1580833"/>
  </r>
  <r>
    <x v="13"/>
    <x v="6"/>
    <s v="Combined Heat and Power, Electric Power"/>
    <x v="3"/>
    <n v="392787"/>
  </r>
  <r>
    <x v="13"/>
    <x v="6"/>
    <s v="Combined Heat and Power, Electric Power"/>
    <x v="4"/>
    <n v="12048"/>
  </r>
  <r>
    <x v="13"/>
    <x v="6"/>
    <s v="Combined Heat and Power, Commercial Power"/>
    <x v="0"/>
    <n v="45444"/>
  </r>
  <r>
    <x v="13"/>
    <x v="6"/>
    <s v="Combined Heat and Power, Commercial Power"/>
    <x v="3"/>
    <n v="44368"/>
  </r>
  <r>
    <x v="13"/>
    <x v="6"/>
    <s v="Combined Heat and Power, Commercial Power"/>
    <x v="4"/>
    <n v="1076"/>
  </r>
  <r>
    <x v="13"/>
    <x v="7"/>
    <s v="Total Electric Power Industry"/>
    <x v="0"/>
    <n v="74144"/>
  </r>
  <r>
    <x v="13"/>
    <x v="7"/>
    <s v="Total Electric Power Industry"/>
    <x v="4"/>
    <n v="74144"/>
  </r>
  <r>
    <x v="13"/>
    <x v="7"/>
    <s v="Electric Generators, Independent Power Producers"/>
    <x v="0"/>
    <n v="74144"/>
  </r>
  <r>
    <x v="13"/>
    <x v="7"/>
    <s v="Electric Generators, Independent Power Producers"/>
    <x v="4"/>
    <n v="74144"/>
  </r>
  <r>
    <x v="13"/>
    <x v="8"/>
    <s v="Total Electric Power Industry"/>
    <x v="0"/>
    <n v="7392287"/>
  </r>
  <r>
    <x v="13"/>
    <x v="8"/>
    <s v="Total Electric Power Industry"/>
    <x v="1"/>
    <n v="4026496"/>
  </r>
  <r>
    <x v="13"/>
    <x v="8"/>
    <s v="Total Electric Power Industry"/>
    <x v="3"/>
    <n v="1463780"/>
  </r>
  <r>
    <x v="13"/>
    <x v="8"/>
    <s v="Total Electric Power Industry"/>
    <x v="9"/>
    <n v="185147"/>
  </r>
  <r>
    <x v="13"/>
    <x v="8"/>
    <s v="Total Electric Power Industry"/>
    <x v="4"/>
    <n v="1716864"/>
  </r>
  <r>
    <x v="13"/>
    <x v="8"/>
    <s v="Electric Generators, Independent Power Producers"/>
    <x v="0"/>
    <n v="6652748"/>
  </r>
  <r>
    <x v="13"/>
    <x v="8"/>
    <s v="Electric Generators, Independent Power Producers"/>
    <x v="1"/>
    <n v="3898182"/>
  </r>
  <r>
    <x v="13"/>
    <x v="8"/>
    <s v="Electric Generators, Independent Power Producers"/>
    <x v="3"/>
    <n v="1429381"/>
  </r>
  <r>
    <x v="13"/>
    <x v="8"/>
    <s v="Electric Generators, Independent Power Producers"/>
    <x v="4"/>
    <n v="1325185"/>
  </r>
  <r>
    <x v="13"/>
    <x v="8"/>
    <s v="Electric Generators, Electric Utilities"/>
    <x v="0"/>
    <n v="31107"/>
  </r>
  <r>
    <x v="13"/>
    <x v="8"/>
    <s v="Electric Generators, Electric Utilities"/>
    <x v="3"/>
    <n v="21244"/>
  </r>
  <r>
    <x v="13"/>
    <x v="8"/>
    <s v="Electric Generators, Electric Utilities"/>
    <x v="4"/>
    <n v="9863"/>
  </r>
  <r>
    <x v="13"/>
    <x v="8"/>
    <s v="Combined Heat and Power, Industrial Power"/>
    <x v="0"/>
    <n v="599012"/>
  </r>
  <r>
    <x v="13"/>
    <x v="8"/>
    <s v="Combined Heat and Power, Industrial Power"/>
    <x v="1"/>
    <n v="32884"/>
  </r>
  <r>
    <x v="13"/>
    <x v="8"/>
    <s v="Combined Heat and Power, Industrial Power"/>
    <x v="3"/>
    <n v="824"/>
  </r>
  <r>
    <x v="13"/>
    <x v="8"/>
    <s v="Combined Heat and Power, Industrial Power"/>
    <x v="9"/>
    <n v="185147"/>
  </r>
  <r>
    <x v="13"/>
    <x v="8"/>
    <s v="Combined Heat and Power, Industrial Power"/>
    <x v="4"/>
    <n v="380157"/>
  </r>
  <r>
    <x v="13"/>
    <x v="8"/>
    <s v="Combined Heat and Power, Electric Power"/>
    <x v="0"/>
    <n v="109420"/>
  </r>
  <r>
    <x v="13"/>
    <x v="8"/>
    <s v="Combined Heat and Power, Electric Power"/>
    <x v="1"/>
    <n v="95430"/>
  </r>
  <r>
    <x v="13"/>
    <x v="8"/>
    <s v="Combined Heat and Power, Electric Power"/>
    <x v="3"/>
    <n v="12331"/>
  </r>
  <r>
    <x v="13"/>
    <x v="8"/>
    <s v="Combined Heat and Power, Electric Power"/>
    <x v="4"/>
    <n v="1659"/>
  </r>
  <r>
    <x v="13"/>
    <x v="9"/>
    <s v="Total Electric Power Industry"/>
    <x v="0"/>
    <n v="212610011"/>
  </r>
  <r>
    <x v="13"/>
    <x v="9"/>
    <s v="Total Electric Power Industry"/>
    <x v="1"/>
    <n v="67674580"/>
  </r>
  <r>
    <x v="13"/>
    <x v="9"/>
    <s v="Total Electric Power Industry"/>
    <x v="2"/>
    <n v="262667"/>
  </r>
  <r>
    <x v="13"/>
    <x v="9"/>
    <s v="Total Electric Power Industry"/>
    <x v="3"/>
    <n v="68293419"/>
  </r>
  <r>
    <x v="13"/>
    <x v="9"/>
    <s v="Total Electric Power Industry"/>
    <x v="7"/>
    <n v="30979481"/>
  </r>
  <r>
    <x v="13"/>
    <x v="9"/>
    <s v="Total Electric Power Industry"/>
    <x v="12"/>
    <n v="3710700"/>
  </r>
  <r>
    <x v="13"/>
    <x v="9"/>
    <s v="Total Electric Power Industry"/>
    <x v="8"/>
    <n v="2263695"/>
  </r>
  <r>
    <x v="13"/>
    <x v="9"/>
    <s v="Total Electric Power Industry"/>
    <x v="9"/>
    <n v="10505"/>
  </r>
  <r>
    <x v="13"/>
    <x v="9"/>
    <s v="Total Electric Power Industry"/>
    <x v="4"/>
    <n v="37204570"/>
  </r>
  <r>
    <x v="13"/>
    <x v="9"/>
    <s v="Total Electric Power Industry"/>
    <x v="6"/>
    <n v="2210394"/>
  </r>
  <r>
    <x v="13"/>
    <x v="9"/>
    <s v="Electric Generators, Independent Power Producers"/>
    <x v="0"/>
    <n v="8275589"/>
  </r>
  <r>
    <x v="13"/>
    <x v="9"/>
    <s v="Electric Generators, Independent Power Producers"/>
    <x v="3"/>
    <n v="4065657"/>
  </r>
  <r>
    <x v="13"/>
    <x v="9"/>
    <s v="Electric Generators, Independent Power Producers"/>
    <x v="12"/>
    <n v="1139349"/>
  </r>
  <r>
    <x v="13"/>
    <x v="9"/>
    <s v="Electric Generators, Independent Power Producers"/>
    <x v="8"/>
    <n v="1462562"/>
  </r>
  <r>
    <x v="13"/>
    <x v="9"/>
    <s v="Electric Generators, Independent Power Producers"/>
    <x v="9"/>
    <n v="75"/>
  </r>
  <r>
    <x v="13"/>
    <x v="9"/>
    <s v="Electric Generators, Independent Power Producers"/>
    <x v="4"/>
    <n v="1381286"/>
  </r>
  <r>
    <x v="13"/>
    <x v="9"/>
    <s v="Electric Generators, Independent Power Producers"/>
    <x v="6"/>
    <n v="226660"/>
  </r>
  <r>
    <x v="13"/>
    <x v="9"/>
    <s v="Electric Generators, Electric Utilities"/>
    <x v="0"/>
    <n v="188034719"/>
  </r>
  <r>
    <x v="13"/>
    <x v="9"/>
    <s v="Electric Generators, Electric Utilities"/>
    <x v="1"/>
    <n v="62094661"/>
  </r>
  <r>
    <x v="13"/>
    <x v="9"/>
    <s v="Electric Generators, Electric Utilities"/>
    <x v="2"/>
    <n v="262667"/>
  </r>
  <r>
    <x v="13"/>
    <x v="9"/>
    <s v="Electric Generators, Electric Utilities"/>
    <x v="3"/>
    <n v="59013591"/>
  </r>
  <r>
    <x v="13"/>
    <x v="9"/>
    <s v="Electric Generators, Electric Utilities"/>
    <x v="7"/>
    <n v="30979481"/>
  </r>
  <r>
    <x v="13"/>
    <x v="9"/>
    <s v="Electric Generators, Electric Utilities"/>
    <x v="12"/>
    <n v="7782"/>
  </r>
  <r>
    <x v="13"/>
    <x v="9"/>
    <s v="Electric Generators, Electric Utilities"/>
    <x v="8"/>
    <n v="130399"/>
  </r>
  <r>
    <x v="13"/>
    <x v="9"/>
    <s v="Electric Generators, Electric Utilities"/>
    <x v="4"/>
    <n v="35545897"/>
  </r>
  <r>
    <x v="13"/>
    <x v="9"/>
    <s v="Electric Generators, Electric Utilities"/>
    <x v="6"/>
    <n v="240"/>
  </r>
  <r>
    <x v="13"/>
    <x v="9"/>
    <s v="Combined Heat and Power, Industrial Power"/>
    <x v="0"/>
    <n v="5891365"/>
  </r>
  <r>
    <x v="13"/>
    <x v="9"/>
    <s v="Combined Heat and Power, Industrial Power"/>
    <x v="1"/>
    <n v="265383"/>
  </r>
  <r>
    <x v="13"/>
    <x v="9"/>
    <s v="Combined Heat and Power, Industrial Power"/>
    <x v="3"/>
    <n v="1091499"/>
  </r>
  <r>
    <x v="13"/>
    <x v="9"/>
    <s v="Combined Heat and Power, Industrial Power"/>
    <x v="12"/>
    <n v="2379097"/>
  </r>
  <r>
    <x v="13"/>
    <x v="9"/>
    <s v="Combined Heat and Power, Industrial Power"/>
    <x v="8"/>
    <n v="152968"/>
  </r>
  <r>
    <x v="13"/>
    <x v="9"/>
    <s v="Combined Heat and Power, Industrial Power"/>
    <x v="9"/>
    <n v="10430"/>
  </r>
  <r>
    <x v="13"/>
    <x v="9"/>
    <s v="Combined Heat and Power, Industrial Power"/>
    <x v="4"/>
    <n v="268010"/>
  </r>
  <r>
    <x v="13"/>
    <x v="9"/>
    <s v="Combined Heat and Power, Industrial Power"/>
    <x v="6"/>
    <n v="1723978"/>
  </r>
  <r>
    <x v="13"/>
    <x v="9"/>
    <s v="Combined Heat and Power, Electric Power"/>
    <x v="0"/>
    <n v="10335088"/>
  </r>
  <r>
    <x v="13"/>
    <x v="9"/>
    <s v="Combined Heat and Power, Electric Power"/>
    <x v="1"/>
    <n v="5314536"/>
  </r>
  <r>
    <x v="13"/>
    <x v="9"/>
    <s v="Combined Heat and Power, Electric Power"/>
    <x v="3"/>
    <n v="4062661"/>
  </r>
  <r>
    <x v="13"/>
    <x v="9"/>
    <s v="Combined Heat and Power, Electric Power"/>
    <x v="12"/>
    <n v="184472"/>
  </r>
  <r>
    <x v="13"/>
    <x v="9"/>
    <s v="Combined Heat and Power, Electric Power"/>
    <x v="8"/>
    <n v="504526"/>
  </r>
  <r>
    <x v="13"/>
    <x v="9"/>
    <s v="Combined Heat and Power, Electric Power"/>
    <x v="4"/>
    <n v="9376"/>
  </r>
  <r>
    <x v="13"/>
    <x v="9"/>
    <s v="Combined Heat and Power, Electric Power"/>
    <x v="6"/>
    <n v="259517"/>
  </r>
  <r>
    <x v="13"/>
    <x v="9"/>
    <s v="Combined Heat and Power, Commercial Power"/>
    <x v="0"/>
    <n v="73251"/>
  </r>
  <r>
    <x v="13"/>
    <x v="9"/>
    <s v="Combined Heat and Power, Commercial Power"/>
    <x v="3"/>
    <n v="60012"/>
  </r>
  <r>
    <x v="13"/>
    <x v="9"/>
    <s v="Combined Heat and Power, Commercial Power"/>
    <x v="8"/>
    <n v="13239"/>
  </r>
  <r>
    <x v="13"/>
    <x v="10"/>
    <s v="Total Electric Power Industry"/>
    <x v="0"/>
    <n v="124076834"/>
  </r>
  <r>
    <x v="13"/>
    <x v="10"/>
    <s v="Total Electric Power Industry"/>
    <x v="1"/>
    <n v="78638489"/>
  </r>
  <r>
    <x v="13"/>
    <x v="10"/>
    <s v="Total Electric Power Industry"/>
    <x v="2"/>
    <n v="4140270"/>
  </r>
  <r>
    <x v="13"/>
    <x v="10"/>
    <s v="Total Electric Power Industry"/>
    <x v="3"/>
    <n v="4276991"/>
  </r>
  <r>
    <x v="13"/>
    <x v="10"/>
    <s v="Total Electric Power Industry"/>
    <x v="7"/>
    <n v="33256649"/>
  </r>
  <r>
    <x v="13"/>
    <x v="10"/>
    <s v="Total Electric Power Industry"/>
    <x v="12"/>
    <n v="33196"/>
  </r>
  <r>
    <x v="13"/>
    <x v="10"/>
    <s v="Total Electric Power Industry"/>
    <x v="8"/>
    <n v="133921"/>
  </r>
  <r>
    <x v="13"/>
    <x v="10"/>
    <s v="Total Electric Power Industry"/>
    <x v="4"/>
    <n v="1194059"/>
  </r>
  <r>
    <x v="13"/>
    <x v="10"/>
    <s v="Total Electric Power Industry"/>
    <x v="10"/>
    <n v="-636093"/>
  </r>
  <r>
    <x v="13"/>
    <x v="10"/>
    <s v="Total Electric Power Industry"/>
    <x v="6"/>
    <n v="3039353"/>
  </r>
  <r>
    <x v="13"/>
    <x v="10"/>
    <s v="Electric Generators, Independent Power Producers"/>
    <x v="0"/>
    <n v="3030843"/>
  </r>
  <r>
    <x v="13"/>
    <x v="10"/>
    <s v="Electric Generators, Independent Power Producers"/>
    <x v="2"/>
    <n v="5472"/>
  </r>
  <r>
    <x v="13"/>
    <x v="10"/>
    <s v="Electric Generators, Independent Power Producers"/>
    <x v="3"/>
    <n v="2933741"/>
  </r>
  <r>
    <x v="13"/>
    <x v="10"/>
    <s v="Electric Generators, Independent Power Producers"/>
    <x v="8"/>
    <n v="16798"/>
  </r>
  <r>
    <x v="13"/>
    <x v="10"/>
    <s v="Electric Generators, Independent Power Producers"/>
    <x v="4"/>
    <n v="74833"/>
  </r>
  <r>
    <x v="13"/>
    <x v="10"/>
    <s v="Electric Generators, Electric Utilities"/>
    <x v="0"/>
    <n v="115755114"/>
  </r>
  <r>
    <x v="13"/>
    <x v="10"/>
    <s v="Electric Generators, Electric Utilities"/>
    <x v="1"/>
    <n v="77858022"/>
  </r>
  <r>
    <x v="13"/>
    <x v="10"/>
    <s v="Electric Generators, Electric Utilities"/>
    <x v="2"/>
    <n v="4107318"/>
  </r>
  <r>
    <x v="13"/>
    <x v="10"/>
    <s v="Electric Generators, Electric Utilities"/>
    <x v="3"/>
    <n v="890600"/>
  </r>
  <r>
    <x v="13"/>
    <x v="10"/>
    <s v="Electric Generators, Electric Utilities"/>
    <x v="7"/>
    <n v="33256649"/>
  </r>
  <r>
    <x v="13"/>
    <x v="10"/>
    <s v="Electric Generators, Electric Utilities"/>
    <x v="4"/>
    <n v="278618"/>
  </r>
  <r>
    <x v="13"/>
    <x v="10"/>
    <s v="Electric Generators, Electric Utilities"/>
    <x v="10"/>
    <n v="-636093"/>
  </r>
  <r>
    <x v="13"/>
    <x v="10"/>
    <s v="Combined Heat and Power, Industrial Power"/>
    <x v="0"/>
    <n v="5080653"/>
  </r>
  <r>
    <x v="13"/>
    <x v="10"/>
    <s v="Combined Heat and Power, Industrial Power"/>
    <x v="1"/>
    <n v="780467"/>
  </r>
  <r>
    <x v="13"/>
    <x v="10"/>
    <s v="Combined Heat and Power, Industrial Power"/>
    <x v="2"/>
    <n v="27480"/>
  </r>
  <r>
    <x v="13"/>
    <x v="10"/>
    <s v="Combined Heat and Power, Industrial Power"/>
    <x v="3"/>
    <n v="253106"/>
  </r>
  <r>
    <x v="13"/>
    <x v="10"/>
    <s v="Combined Heat and Power, Industrial Power"/>
    <x v="12"/>
    <n v="33196"/>
  </r>
  <r>
    <x v="13"/>
    <x v="10"/>
    <s v="Combined Heat and Power, Industrial Power"/>
    <x v="8"/>
    <n v="117123"/>
  </r>
  <r>
    <x v="13"/>
    <x v="10"/>
    <s v="Combined Heat and Power, Industrial Power"/>
    <x v="4"/>
    <n v="829928"/>
  </r>
  <r>
    <x v="13"/>
    <x v="10"/>
    <s v="Combined Heat and Power, Industrial Power"/>
    <x v="6"/>
    <n v="3039353"/>
  </r>
  <r>
    <x v="13"/>
    <x v="10"/>
    <s v="Combined Heat and Power, Electric Power"/>
    <x v="0"/>
    <n v="207241"/>
  </r>
  <r>
    <x v="13"/>
    <x v="10"/>
    <s v="Combined Heat and Power, Electric Power"/>
    <x v="3"/>
    <n v="199544"/>
  </r>
  <r>
    <x v="13"/>
    <x v="10"/>
    <s v="Combined Heat and Power, Electric Power"/>
    <x v="4"/>
    <n v="7697"/>
  </r>
  <r>
    <x v="13"/>
    <x v="10"/>
    <s v="Combined Heat and Power, Commercial Power"/>
    <x v="0"/>
    <n v="2983"/>
  </r>
  <r>
    <x v="13"/>
    <x v="10"/>
    <s v="Combined Heat and Power, Commercial Power"/>
    <x v="4"/>
    <n v="2983"/>
  </r>
  <r>
    <x v="13"/>
    <x v="11"/>
    <s v="Total Electric Power Industry"/>
    <x v="0"/>
    <n v="10976371"/>
  </r>
  <r>
    <x v="13"/>
    <x v="11"/>
    <s v="Total Electric Power Industry"/>
    <x v="1"/>
    <n v="1644137"/>
  </r>
  <r>
    <x v="13"/>
    <x v="11"/>
    <s v="Total Electric Power Industry"/>
    <x v="11"/>
    <n v="178292"/>
  </r>
  <r>
    <x v="13"/>
    <x v="11"/>
    <s v="Total Electric Power Industry"/>
    <x v="2"/>
    <n v="90505"/>
  </r>
  <r>
    <x v="13"/>
    <x v="11"/>
    <s v="Total Electric Power Industry"/>
    <x v="12"/>
    <n v="171897"/>
  </r>
  <r>
    <x v="13"/>
    <x v="11"/>
    <s v="Total Electric Power Industry"/>
    <x v="8"/>
    <n v="347167"/>
  </r>
  <r>
    <x v="13"/>
    <x v="11"/>
    <s v="Total Electric Power Industry"/>
    <x v="9"/>
    <n v="40251"/>
  </r>
  <r>
    <x v="13"/>
    <x v="11"/>
    <s v="Total Electric Power Industry"/>
    <x v="4"/>
    <n v="8502550"/>
  </r>
  <r>
    <x v="13"/>
    <x v="11"/>
    <s v="Total Electric Power Industry"/>
    <x v="5"/>
    <n v="1572"/>
  </r>
  <r>
    <x v="13"/>
    <x v="11"/>
    <s v="Electric Generators, Independent Power Producers"/>
    <x v="0"/>
    <n v="551293"/>
  </r>
  <r>
    <x v="13"/>
    <x v="11"/>
    <s v="Electric Generators, Independent Power Producers"/>
    <x v="11"/>
    <n v="178292"/>
  </r>
  <r>
    <x v="13"/>
    <x v="11"/>
    <s v="Electric Generators, Independent Power Producers"/>
    <x v="2"/>
    <n v="38386"/>
  </r>
  <r>
    <x v="13"/>
    <x v="11"/>
    <s v="Electric Generators, Independent Power Producers"/>
    <x v="12"/>
    <n v="150219"/>
  </r>
  <r>
    <x v="13"/>
    <x v="11"/>
    <s v="Electric Generators, Independent Power Producers"/>
    <x v="8"/>
    <n v="183602"/>
  </r>
  <r>
    <x v="13"/>
    <x v="11"/>
    <s v="Electric Generators, Independent Power Producers"/>
    <x v="4"/>
    <n v="784"/>
  </r>
  <r>
    <x v="13"/>
    <x v="11"/>
    <s v="Electric Generators, Independent Power Producers"/>
    <x v="5"/>
    <n v="10"/>
  </r>
  <r>
    <x v="13"/>
    <x v="11"/>
    <s v="Electric Generators, Electric Utilities"/>
    <x v="0"/>
    <n v="6493205"/>
  </r>
  <r>
    <x v="13"/>
    <x v="11"/>
    <s v="Electric Generators, Electric Utilities"/>
    <x v="2"/>
    <n v="2078"/>
  </r>
  <r>
    <x v="13"/>
    <x v="11"/>
    <s v="Electric Generators, Electric Utilities"/>
    <x v="4"/>
    <n v="6489565"/>
  </r>
  <r>
    <x v="13"/>
    <x v="11"/>
    <s v="Electric Generators, Electric Utilities"/>
    <x v="5"/>
    <n v="1562"/>
  </r>
  <r>
    <x v="13"/>
    <x v="11"/>
    <s v="Combined Heat and Power, Industrial Power"/>
    <x v="0"/>
    <n v="291822"/>
  </r>
  <r>
    <x v="13"/>
    <x v="11"/>
    <s v="Combined Heat and Power, Industrial Power"/>
    <x v="2"/>
    <n v="50041"/>
  </r>
  <r>
    <x v="13"/>
    <x v="11"/>
    <s v="Combined Heat and Power, Industrial Power"/>
    <x v="8"/>
    <n v="8626"/>
  </r>
  <r>
    <x v="13"/>
    <x v="11"/>
    <s v="Combined Heat and Power, Industrial Power"/>
    <x v="9"/>
    <n v="40251"/>
  </r>
  <r>
    <x v="13"/>
    <x v="11"/>
    <s v="Combined Heat and Power, Industrial Power"/>
    <x v="4"/>
    <n v="192903"/>
  </r>
  <r>
    <x v="13"/>
    <x v="11"/>
    <s v="Combined Heat and Power, Electric Power"/>
    <x v="0"/>
    <n v="3640052"/>
  </r>
  <r>
    <x v="13"/>
    <x v="11"/>
    <s v="Combined Heat and Power, Electric Power"/>
    <x v="1"/>
    <n v="1644137"/>
  </r>
  <r>
    <x v="13"/>
    <x v="11"/>
    <s v="Combined Heat and Power, Electric Power"/>
    <x v="12"/>
    <n v="21678"/>
  </r>
  <r>
    <x v="13"/>
    <x v="11"/>
    <s v="Combined Heat and Power, Electric Power"/>
    <x v="8"/>
    <n v="154939"/>
  </r>
  <r>
    <x v="13"/>
    <x v="11"/>
    <s v="Combined Heat and Power, Electric Power"/>
    <x v="4"/>
    <n v="1819298"/>
  </r>
  <r>
    <x v="13"/>
    <x v="12"/>
    <s v="Total Electric Power Industry"/>
    <x v="0"/>
    <n v="42116192"/>
  </r>
  <r>
    <x v="13"/>
    <x v="12"/>
    <s v="Total Electric Power Industry"/>
    <x v="1"/>
    <n v="35819945"/>
  </r>
  <r>
    <x v="13"/>
    <x v="12"/>
    <s v="Total Electric Power Industry"/>
    <x v="2"/>
    <n v="788593"/>
  </r>
  <r>
    <x v="13"/>
    <x v="12"/>
    <s v="Total Electric Power Industry"/>
    <x v="3"/>
    <n v="312896"/>
  </r>
  <r>
    <x v="13"/>
    <x v="12"/>
    <s v="Total Electric Power Industry"/>
    <x v="7"/>
    <n v="3987657"/>
  </r>
  <r>
    <x v="13"/>
    <x v="12"/>
    <s v="Total Electric Power Industry"/>
    <x v="12"/>
    <n v="9625"/>
  </r>
  <r>
    <x v="13"/>
    <x v="12"/>
    <s v="Total Electric Power Industry"/>
    <x v="8"/>
    <n v="114170"/>
  </r>
  <r>
    <x v="13"/>
    <x v="12"/>
    <s v="Total Electric Power Industry"/>
    <x v="4"/>
    <n v="101336"/>
  </r>
  <r>
    <x v="13"/>
    <x v="12"/>
    <s v="Total Electric Power Industry"/>
    <x v="5"/>
    <n v="981970"/>
  </r>
  <r>
    <x v="13"/>
    <x v="12"/>
    <s v="Electric Generators, Independent Power Producers"/>
    <x v="0"/>
    <n v="1032993"/>
  </r>
  <r>
    <x v="13"/>
    <x v="12"/>
    <s v="Electric Generators, Independent Power Producers"/>
    <x v="2"/>
    <n v="8271"/>
  </r>
  <r>
    <x v="13"/>
    <x v="12"/>
    <s v="Electric Generators, Independent Power Producers"/>
    <x v="3"/>
    <n v="85"/>
  </r>
  <r>
    <x v="13"/>
    <x v="12"/>
    <s v="Electric Generators, Independent Power Producers"/>
    <x v="8"/>
    <n v="54833"/>
  </r>
  <r>
    <x v="13"/>
    <x v="12"/>
    <s v="Electric Generators, Independent Power Producers"/>
    <x v="4"/>
    <n v="2059"/>
  </r>
  <r>
    <x v="13"/>
    <x v="12"/>
    <s v="Electric Generators, Independent Power Producers"/>
    <x v="5"/>
    <n v="967745"/>
  </r>
  <r>
    <x v="13"/>
    <x v="12"/>
    <s v="Electric Generators, Electric Utilities"/>
    <x v="0"/>
    <n v="39485141"/>
  </r>
  <r>
    <x v="13"/>
    <x v="12"/>
    <s v="Electric Generators, Electric Utilities"/>
    <x v="1"/>
    <n v="34288694"/>
  </r>
  <r>
    <x v="13"/>
    <x v="12"/>
    <s v="Electric Generators, Electric Utilities"/>
    <x v="2"/>
    <n v="780322"/>
  </r>
  <r>
    <x v="13"/>
    <x v="12"/>
    <s v="Electric Generators, Electric Utilities"/>
    <x v="3"/>
    <n v="279206"/>
  </r>
  <r>
    <x v="13"/>
    <x v="12"/>
    <s v="Electric Generators, Electric Utilities"/>
    <x v="7"/>
    <n v="3987657"/>
  </r>
  <r>
    <x v="13"/>
    <x v="12"/>
    <s v="Electric Generators, Electric Utilities"/>
    <x v="12"/>
    <n v="9625"/>
  </r>
  <r>
    <x v="13"/>
    <x v="12"/>
    <s v="Electric Generators, Electric Utilities"/>
    <x v="8"/>
    <n v="34239"/>
  </r>
  <r>
    <x v="13"/>
    <x v="12"/>
    <s v="Electric Generators, Electric Utilities"/>
    <x v="4"/>
    <n v="91173"/>
  </r>
  <r>
    <x v="13"/>
    <x v="12"/>
    <s v="Electric Generators, Electric Utilities"/>
    <x v="5"/>
    <n v="14225"/>
  </r>
  <r>
    <x v="13"/>
    <x v="12"/>
    <s v="Combined Heat and Power, Industrial Power"/>
    <x v="0"/>
    <n v="1337453"/>
  </r>
  <r>
    <x v="13"/>
    <x v="12"/>
    <s v="Combined Heat and Power, Industrial Power"/>
    <x v="1"/>
    <n v="1318975"/>
  </r>
  <r>
    <x v="13"/>
    <x v="12"/>
    <s v="Combined Heat and Power, Industrial Power"/>
    <x v="3"/>
    <n v="18399"/>
  </r>
  <r>
    <x v="13"/>
    <x v="12"/>
    <s v="Combined Heat and Power, Industrial Power"/>
    <x v="4"/>
    <n v="79"/>
  </r>
  <r>
    <x v="13"/>
    <x v="12"/>
    <s v="Combined Heat and Power, Commercial Power"/>
    <x v="0"/>
    <n v="260605"/>
  </r>
  <r>
    <x v="13"/>
    <x v="12"/>
    <s v="Combined Heat and Power, Commercial Power"/>
    <x v="1"/>
    <n v="212276"/>
  </r>
  <r>
    <x v="13"/>
    <x v="12"/>
    <s v="Combined Heat and Power, Commercial Power"/>
    <x v="3"/>
    <n v="15206"/>
  </r>
  <r>
    <x v="13"/>
    <x v="12"/>
    <s v="Combined Heat and Power, Commercial Power"/>
    <x v="12"/>
    <n v="0"/>
  </r>
  <r>
    <x v="13"/>
    <x v="12"/>
    <s v="Combined Heat and Power, Commercial Power"/>
    <x v="8"/>
    <n v="25098"/>
  </r>
  <r>
    <x v="13"/>
    <x v="12"/>
    <s v="Combined Heat and Power, Commercial Power"/>
    <x v="4"/>
    <n v="8024"/>
  </r>
  <r>
    <x v="13"/>
    <x v="13"/>
    <s v="Total Electric Power Industry"/>
    <x v="0"/>
    <n v="10422935"/>
  </r>
  <r>
    <x v="13"/>
    <x v="13"/>
    <s v="Total Electric Power Industry"/>
    <x v="1"/>
    <n v="90290"/>
  </r>
  <r>
    <x v="13"/>
    <x v="13"/>
    <s v="Total Electric Power Industry"/>
    <x v="2"/>
    <n v="8354034"/>
  </r>
  <r>
    <x v="13"/>
    <x v="13"/>
    <s v="Total Electric Power Industry"/>
    <x v="3"/>
    <n v="1374820"/>
  </r>
  <r>
    <x v="13"/>
    <x v="13"/>
    <s v="Total Electric Power Industry"/>
    <x v="12"/>
    <n v="62722"/>
  </r>
  <r>
    <x v="13"/>
    <x v="13"/>
    <s v="Total Electric Power Industry"/>
    <x v="4"/>
    <n v="116"/>
  </r>
  <r>
    <x v="13"/>
    <x v="13"/>
    <s v="Total Electric Power Industry"/>
    <x v="6"/>
    <n v="540953"/>
  </r>
  <r>
    <x v="13"/>
    <x v="13"/>
    <s v="Electric Generators, Independent Power Producers"/>
    <x v="0"/>
    <n v="1787788"/>
  </r>
  <r>
    <x v="13"/>
    <x v="13"/>
    <s v="Electric Generators, Independent Power Producers"/>
    <x v="2"/>
    <n v="682567"/>
  </r>
  <r>
    <x v="13"/>
    <x v="13"/>
    <s v="Electric Generators, Independent Power Producers"/>
    <x v="3"/>
    <n v="1105221"/>
  </r>
  <r>
    <x v="13"/>
    <x v="13"/>
    <s v="Electric Generators, Electric Utilities"/>
    <x v="0"/>
    <n v="7732812"/>
  </r>
  <r>
    <x v="13"/>
    <x v="13"/>
    <s v="Electric Generators, Electric Utilities"/>
    <x v="2"/>
    <n v="7671467"/>
  </r>
  <r>
    <x v="13"/>
    <x v="13"/>
    <s v="Electric Generators, Electric Utilities"/>
    <x v="3"/>
    <n v="61229"/>
  </r>
  <r>
    <x v="13"/>
    <x v="13"/>
    <s v="Electric Generators, Electric Utilities"/>
    <x v="4"/>
    <n v="116"/>
  </r>
  <r>
    <x v="13"/>
    <x v="13"/>
    <s v="Combined Heat and Power, Industrial Power"/>
    <x v="0"/>
    <n v="657761"/>
  </r>
  <r>
    <x v="13"/>
    <x v="13"/>
    <s v="Combined Heat and Power, Industrial Power"/>
    <x v="1"/>
    <n v="90290"/>
  </r>
  <r>
    <x v="13"/>
    <x v="13"/>
    <s v="Combined Heat and Power, Industrial Power"/>
    <x v="3"/>
    <n v="50554"/>
  </r>
  <r>
    <x v="13"/>
    <x v="13"/>
    <s v="Combined Heat and Power, Industrial Power"/>
    <x v="12"/>
    <n v="62722"/>
  </r>
  <r>
    <x v="13"/>
    <x v="13"/>
    <s v="Combined Heat and Power, Industrial Power"/>
    <x v="4"/>
    <n v="0"/>
  </r>
  <r>
    <x v="13"/>
    <x v="13"/>
    <s v="Combined Heat and Power, Industrial Power"/>
    <x v="6"/>
    <n v="454194"/>
  </r>
  <r>
    <x v="13"/>
    <x v="13"/>
    <s v="Combined Heat and Power, Electric Power"/>
    <x v="0"/>
    <n v="244575"/>
  </r>
  <r>
    <x v="13"/>
    <x v="13"/>
    <s v="Combined Heat and Power, Electric Power"/>
    <x v="3"/>
    <n v="157816"/>
  </r>
  <r>
    <x v="13"/>
    <x v="13"/>
    <s v="Combined Heat and Power, Electric Power"/>
    <x v="6"/>
    <n v="86759"/>
  </r>
  <r>
    <x v="13"/>
    <x v="14"/>
    <s v="Total Electric Power Industry"/>
    <x v="0"/>
    <n v="189055260"/>
  </r>
  <r>
    <x v="13"/>
    <x v="14"/>
    <s v="Total Electric Power Industry"/>
    <x v="1"/>
    <n v="87981349"/>
  </r>
  <r>
    <x v="13"/>
    <x v="14"/>
    <s v="Total Electric Power Industry"/>
    <x v="2"/>
    <n v="138500"/>
  </r>
  <r>
    <x v="13"/>
    <x v="14"/>
    <s v="Total Electric Power Industry"/>
    <x v="3"/>
    <n v="3902463"/>
  </r>
  <r>
    <x v="13"/>
    <x v="14"/>
    <s v="Total Electric Power Industry"/>
    <x v="7"/>
    <n v="94733036"/>
  </r>
  <r>
    <x v="13"/>
    <x v="14"/>
    <s v="Total Electric Power Industry"/>
    <x v="12"/>
    <n v="156418"/>
  </r>
  <r>
    <x v="13"/>
    <x v="14"/>
    <s v="Total Electric Power Industry"/>
    <x v="8"/>
    <n v="800927"/>
  </r>
  <r>
    <x v="13"/>
    <x v="14"/>
    <s v="Total Electric Power Industry"/>
    <x v="9"/>
    <n v="203627"/>
  </r>
  <r>
    <x v="13"/>
    <x v="14"/>
    <s v="Total Electric Power Industry"/>
    <x v="4"/>
    <n v="1120917"/>
  </r>
  <r>
    <x v="13"/>
    <x v="14"/>
    <s v="Total Electric Power Industry"/>
    <x v="5"/>
    <n v="18024"/>
  </r>
  <r>
    <x v="13"/>
    <x v="14"/>
    <s v="Electric Generators, Independent Power Producers"/>
    <x v="0"/>
    <n v="175639752"/>
  </r>
  <r>
    <x v="13"/>
    <x v="14"/>
    <s v="Electric Generators, Independent Power Producers"/>
    <x v="1"/>
    <n v="76418475"/>
  </r>
  <r>
    <x v="13"/>
    <x v="14"/>
    <s v="Electric Generators, Independent Power Producers"/>
    <x v="2"/>
    <n v="67419"/>
  </r>
  <r>
    <x v="13"/>
    <x v="14"/>
    <s v="Electric Generators, Independent Power Producers"/>
    <x v="3"/>
    <n v="2464534"/>
  </r>
  <r>
    <x v="13"/>
    <x v="14"/>
    <s v="Electric Generators, Independent Power Producers"/>
    <x v="7"/>
    <n v="94733036"/>
  </r>
  <r>
    <x v="13"/>
    <x v="14"/>
    <s v="Electric Generators, Independent Power Producers"/>
    <x v="12"/>
    <n v="142255"/>
  </r>
  <r>
    <x v="13"/>
    <x v="14"/>
    <s v="Electric Generators, Independent Power Producers"/>
    <x v="8"/>
    <n v="726718"/>
  </r>
  <r>
    <x v="13"/>
    <x v="14"/>
    <s v="Electric Generators, Independent Power Producers"/>
    <x v="4"/>
    <n v="1069291"/>
  </r>
  <r>
    <x v="13"/>
    <x v="14"/>
    <s v="Electric Generators, Independent Power Producers"/>
    <x v="5"/>
    <n v="18024"/>
  </r>
  <r>
    <x v="13"/>
    <x v="14"/>
    <s v="Electric Generators, Electric Utilities"/>
    <x v="0"/>
    <n v="9563746"/>
  </r>
  <r>
    <x v="13"/>
    <x v="14"/>
    <s v="Electric Generators, Electric Utilities"/>
    <x v="1"/>
    <n v="9390702"/>
  </r>
  <r>
    <x v="13"/>
    <x v="14"/>
    <s v="Electric Generators, Electric Utilities"/>
    <x v="2"/>
    <n v="71078"/>
  </r>
  <r>
    <x v="13"/>
    <x v="14"/>
    <s v="Electric Generators, Electric Utilities"/>
    <x v="3"/>
    <n v="53174"/>
  </r>
  <r>
    <x v="13"/>
    <x v="14"/>
    <s v="Electric Generators, Electric Utilities"/>
    <x v="4"/>
    <n v="48792"/>
  </r>
  <r>
    <x v="13"/>
    <x v="14"/>
    <s v="Combined Heat and Power, Industrial Power"/>
    <x v="0"/>
    <n v="2968497"/>
  </r>
  <r>
    <x v="13"/>
    <x v="14"/>
    <s v="Combined Heat and Power, Industrial Power"/>
    <x v="1"/>
    <n v="2053463"/>
  </r>
  <r>
    <x v="13"/>
    <x v="14"/>
    <s v="Combined Heat and Power, Industrial Power"/>
    <x v="3"/>
    <n v="623057"/>
  </r>
  <r>
    <x v="13"/>
    <x v="14"/>
    <s v="Combined Heat and Power, Industrial Power"/>
    <x v="12"/>
    <n v="14163"/>
  </r>
  <r>
    <x v="13"/>
    <x v="14"/>
    <s v="Combined Heat and Power, Industrial Power"/>
    <x v="8"/>
    <n v="74115"/>
  </r>
  <r>
    <x v="13"/>
    <x v="14"/>
    <s v="Combined Heat and Power, Industrial Power"/>
    <x v="9"/>
    <n v="203627"/>
  </r>
  <r>
    <x v="13"/>
    <x v="14"/>
    <s v="Combined Heat and Power, Industrial Power"/>
    <x v="4"/>
    <n v="72"/>
  </r>
  <r>
    <x v="13"/>
    <x v="14"/>
    <s v="Combined Heat and Power, Electric Power"/>
    <x v="0"/>
    <n v="582077"/>
  </r>
  <r>
    <x v="13"/>
    <x v="14"/>
    <s v="Combined Heat and Power, Electric Power"/>
    <x v="1"/>
    <n v="89693"/>
  </r>
  <r>
    <x v="13"/>
    <x v="14"/>
    <s v="Combined Heat and Power, Electric Power"/>
    <x v="3"/>
    <n v="492290"/>
  </r>
  <r>
    <x v="13"/>
    <x v="14"/>
    <s v="Combined Heat and Power, Electric Power"/>
    <x v="8"/>
    <n v="94"/>
  </r>
  <r>
    <x v="13"/>
    <x v="14"/>
    <s v="Combined Heat and Power, Electric Power"/>
    <x v="9"/>
    <n v="0"/>
  </r>
  <r>
    <x v="13"/>
    <x v="14"/>
    <s v="Combined Heat and Power, Commercial Power"/>
    <x v="0"/>
    <n v="301188"/>
  </r>
  <r>
    <x v="13"/>
    <x v="14"/>
    <s v="Combined Heat and Power, Commercial Power"/>
    <x v="1"/>
    <n v="29016"/>
  </r>
  <r>
    <x v="13"/>
    <x v="14"/>
    <s v="Combined Heat and Power, Commercial Power"/>
    <x v="2"/>
    <n v="3"/>
  </r>
  <r>
    <x v="13"/>
    <x v="14"/>
    <s v="Combined Heat and Power, Commercial Power"/>
    <x v="3"/>
    <n v="269407"/>
  </r>
  <r>
    <x v="13"/>
    <x v="14"/>
    <s v="Combined Heat and Power, Commercial Power"/>
    <x v="8"/>
    <n v="0"/>
  </r>
  <r>
    <x v="13"/>
    <x v="14"/>
    <s v="Combined Heat and Power, Commercial Power"/>
    <x v="4"/>
    <n v="2762"/>
  </r>
  <r>
    <x v="13"/>
    <x v="15"/>
    <s v="Total Electric Power Industry"/>
    <x v="0"/>
    <n v="124888217"/>
  </r>
  <r>
    <x v="13"/>
    <x v="15"/>
    <s v="Total Electric Power Industry"/>
    <x v="1"/>
    <n v="117756284"/>
  </r>
  <r>
    <x v="13"/>
    <x v="15"/>
    <s v="Total Electric Power Industry"/>
    <x v="2"/>
    <n v="423953"/>
  </r>
  <r>
    <x v="13"/>
    <x v="15"/>
    <s v="Total Electric Power Industry"/>
    <x v="3"/>
    <n v="3049435"/>
  </r>
  <r>
    <x v="13"/>
    <x v="15"/>
    <s v="Total Electric Power Industry"/>
    <x v="12"/>
    <n v="491864"/>
  </r>
  <r>
    <x v="13"/>
    <x v="15"/>
    <s v="Total Electric Power Industry"/>
    <x v="8"/>
    <n v="119138"/>
  </r>
  <r>
    <x v="13"/>
    <x v="15"/>
    <s v="Total Electric Power Industry"/>
    <x v="9"/>
    <n v="2592257"/>
  </r>
  <r>
    <x v="13"/>
    <x v="15"/>
    <s v="Total Electric Power Industry"/>
    <x v="4"/>
    <n v="455287"/>
  </r>
  <r>
    <x v="13"/>
    <x v="15"/>
    <s v="Electric Generators, Independent Power Producers"/>
    <x v="0"/>
    <n v="3417214"/>
  </r>
  <r>
    <x v="13"/>
    <x v="15"/>
    <s v="Electric Generators, Independent Power Producers"/>
    <x v="1"/>
    <n v="2982533"/>
  </r>
  <r>
    <x v="13"/>
    <x v="15"/>
    <s v="Electric Generators, Independent Power Producers"/>
    <x v="3"/>
    <n v="349403"/>
  </r>
  <r>
    <x v="13"/>
    <x v="15"/>
    <s v="Electric Generators, Independent Power Producers"/>
    <x v="8"/>
    <n v="85278"/>
  </r>
  <r>
    <x v="13"/>
    <x v="15"/>
    <s v="Electric Generators, Electric Utilities"/>
    <x v="0"/>
    <n v="112395725"/>
  </r>
  <r>
    <x v="13"/>
    <x v="15"/>
    <s v="Electric Generators, Electric Utilities"/>
    <x v="1"/>
    <n v="109839659"/>
  </r>
  <r>
    <x v="13"/>
    <x v="15"/>
    <s v="Electric Generators, Electric Utilities"/>
    <x v="2"/>
    <n v="423953"/>
  </r>
  <r>
    <x v="13"/>
    <x v="15"/>
    <s v="Electric Generators, Electric Utilities"/>
    <x v="3"/>
    <n v="1724465"/>
  </r>
  <r>
    <x v="13"/>
    <x v="15"/>
    <s v="Electric Generators, Electric Utilities"/>
    <x v="4"/>
    <n v="407648"/>
  </r>
  <r>
    <x v="13"/>
    <x v="15"/>
    <s v="Combined Heat and Power, Industrial Power"/>
    <x v="0"/>
    <n v="3371715"/>
  </r>
  <r>
    <x v="13"/>
    <x v="15"/>
    <s v="Combined Heat and Power, Industrial Power"/>
    <x v="1"/>
    <n v="37244"/>
  </r>
  <r>
    <x v="13"/>
    <x v="15"/>
    <s v="Combined Heat and Power, Industrial Power"/>
    <x v="3"/>
    <n v="216653"/>
  </r>
  <r>
    <x v="13"/>
    <x v="15"/>
    <s v="Combined Heat and Power, Industrial Power"/>
    <x v="12"/>
    <n v="476972"/>
  </r>
  <r>
    <x v="13"/>
    <x v="15"/>
    <s v="Combined Heat and Power, Industrial Power"/>
    <x v="8"/>
    <n v="15659"/>
  </r>
  <r>
    <x v="13"/>
    <x v="15"/>
    <s v="Combined Heat and Power, Industrial Power"/>
    <x v="9"/>
    <n v="2582135"/>
  </r>
  <r>
    <x v="13"/>
    <x v="15"/>
    <s v="Combined Heat and Power, Industrial Power"/>
    <x v="4"/>
    <n v="43052"/>
  </r>
  <r>
    <x v="13"/>
    <x v="15"/>
    <s v="Combined Heat and Power, Electric Power"/>
    <x v="0"/>
    <n v="5474441"/>
  </r>
  <r>
    <x v="13"/>
    <x v="15"/>
    <s v="Combined Heat and Power, Electric Power"/>
    <x v="1"/>
    <n v="4714691"/>
  </r>
  <r>
    <x v="13"/>
    <x v="15"/>
    <s v="Combined Heat and Power, Electric Power"/>
    <x v="3"/>
    <n v="749603"/>
  </r>
  <r>
    <x v="13"/>
    <x v="15"/>
    <s v="Combined Heat and Power, Electric Power"/>
    <x v="9"/>
    <n v="10122"/>
  </r>
  <r>
    <x v="13"/>
    <x v="15"/>
    <s v="Combined Heat and Power, Electric Power"/>
    <x v="4"/>
    <n v="25"/>
  </r>
  <r>
    <x v="13"/>
    <x v="15"/>
    <s v="Combined Heat and Power, Commercial Power"/>
    <x v="0"/>
    <n v="229123"/>
  </r>
  <r>
    <x v="13"/>
    <x v="15"/>
    <s v="Combined Heat and Power, Commercial Power"/>
    <x v="1"/>
    <n v="182157"/>
  </r>
  <r>
    <x v="13"/>
    <x v="15"/>
    <s v="Combined Heat and Power, Commercial Power"/>
    <x v="3"/>
    <n v="9311"/>
  </r>
  <r>
    <x v="13"/>
    <x v="15"/>
    <s v="Combined Heat and Power, Commercial Power"/>
    <x v="12"/>
    <n v="14892"/>
  </r>
  <r>
    <x v="13"/>
    <x v="15"/>
    <s v="Combined Heat and Power, Commercial Power"/>
    <x v="8"/>
    <n v="18201"/>
  </r>
  <r>
    <x v="13"/>
    <x v="15"/>
    <s v="Combined Heat and Power, Commercial Power"/>
    <x v="4"/>
    <n v="4562"/>
  </r>
  <r>
    <x v="13"/>
    <x v="16"/>
    <s v="Total Electric Power Industry"/>
    <x v="0"/>
    <n v="46567560"/>
  </r>
  <r>
    <x v="13"/>
    <x v="16"/>
    <s v="Total Electric Power Industry"/>
    <x v="1"/>
    <n v="35109616"/>
  </r>
  <r>
    <x v="13"/>
    <x v="16"/>
    <s v="Total Electric Power Industry"/>
    <x v="2"/>
    <n v="12435"/>
  </r>
  <r>
    <x v="13"/>
    <x v="16"/>
    <s v="Total Electric Power Industry"/>
    <x v="3"/>
    <n v="1225770"/>
  </r>
  <r>
    <x v="13"/>
    <x v="16"/>
    <s v="Total Electric Power Industry"/>
    <x v="7"/>
    <n v="8889667"/>
  </r>
  <r>
    <x v="13"/>
    <x v="16"/>
    <s v="Total Electric Power Industry"/>
    <x v="4"/>
    <n v="964132"/>
  </r>
  <r>
    <x v="13"/>
    <x v="16"/>
    <s v="Total Electric Power Industry"/>
    <x v="5"/>
    <n v="365939"/>
  </r>
  <r>
    <x v="13"/>
    <x v="16"/>
    <s v="Electric Generators, Independent Power Producers"/>
    <x v="0"/>
    <n v="376724"/>
  </r>
  <r>
    <x v="13"/>
    <x v="16"/>
    <s v="Electric Generators, Independent Power Producers"/>
    <x v="2"/>
    <n v="12435"/>
  </r>
  <r>
    <x v="13"/>
    <x v="16"/>
    <s v="Electric Generators, Independent Power Producers"/>
    <x v="5"/>
    <n v="364288"/>
  </r>
  <r>
    <x v="13"/>
    <x v="16"/>
    <s v="Electric Generators, Electric Utilities"/>
    <x v="0"/>
    <n v="46155505"/>
  </r>
  <r>
    <x v="13"/>
    <x v="16"/>
    <s v="Electric Generators, Electric Utilities"/>
    <x v="1"/>
    <n v="35109616"/>
  </r>
  <r>
    <x v="13"/>
    <x v="16"/>
    <s v="Electric Generators, Electric Utilities"/>
    <x v="3"/>
    <n v="1190819"/>
  </r>
  <r>
    <x v="13"/>
    <x v="16"/>
    <s v="Electric Generators, Electric Utilities"/>
    <x v="7"/>
    <n v="8889667"/>
  </r>
  <r>
    <x v="13"/>
    <x v="16"/>
    <s v="Electric Generators, Electric Utilities"/>
    <x v="4"/>
    <n v="963751"/>
  </r>
  <r>
    <x v="13"/>
    <x v="16"/>
    <s v="Electric Generators, Electric Utilities"/>
    <x v="5"/>
    <n v="1651"/>
  </r>
  <r>
    <x v="13"/>
    <x v="16"/>
    <s v="Combined Heat and Power, Industrial Power"/>
    <x v="0"/>
    <n v="34342"/>
  </r>
  <r>
    <x v="13"/>
    <x v="16"/>
    <s v="Combined Heat and Power, Industrial Power"/>
    <x v="3"/>
    <n v="33961"/>
  </r>
  <r>
    <x v="13"/>
    <x v="16"/>
    <s v="Combined Heat and Power, Industrial Power"/>
    <x v="4"/>
    <n v="381"/>
  </r>
  <r>
    <x v="13"/>
    <x v="16"/>
    <s v="Combined Heat and Power, Commercial Power"/>
    <x v="0"/>
    <n v="990"/>
  </r>
  <r>
    <x v="13"/>
    <x v="16"/>
    <s v="Combined Heat and Power, Commercial Power"/>
    <x v="3"/>
    <n v="990"/>
  </r>
  <r>
    <x v="13"/>
    <x v="16"/>
    <s v="Combined Heat and Power, Commercial Power"/>
    <x v="4"/>
    <n v="0"/>
  </r>
  <r>
    <x v="13"/>
    <x v="17"/>
    <s v="Total Electric Power Industry"/>
    <x v="0"/>
    <n v="91718820"/>
  </r>
  <r>
    <x v="13"/>
    <x v="17"/>
    <s v="Total Electric Power Industry"/>
    <x v="1"/>
    <n v="84060540"/>
  </r>
  <r>
    <x v="13"/>
    <x v="17"/>
    <s v="Total Electric Power Industry"/>
    <x v="2"/>
    <n v="3948052"/>
  </r>
  <r>
    <x v="13"/>
    <x v="17"/>
    <s v="Total Electric Power Industry"/>
    <x v="3"/>
    <n v="444405"/>
  </r>
  <r>
    <x v="13"/>
    <x v="17"/>
    <s v="Total Electric Power Industry"/>
    <x v="12"/>
    <n v="21672"/>
  </r>
  <r>
    <x v="13"/>
    <x v="17"/>
    <s v="Total Electric Power Industry"/>
    <x v="8"/>
    <n v="764"/>
  </r>
  <r>
    <x v="13"/>
    <x v="17"/>
    <s v="Total Electric Power Industry"/>
    <x v="9"/>
    <n v="0"/>
  </r>
  <r>
    <x v="13"/>
    <x v="17"/>
    <s v="Total Electric Power Industry"/>
    <x v="4"/>
    <n v="2944911"/>
  </r>
  <r>
    <x v="13"/>
    <x v="17"/>
    <s v="Total Electric Power Industry"/>
    <x v="6"/>
    <n v="298476"/>
  </r>
  <r>
    <x v="13"/>
    <x v="17"/>
    <s v="Electric Generators, Independent Power Producers"/>
    <x v="0"/>
    <n v="10565864"/>
  </r>
  <r>
    <x v="13"/>
    <x v="17"/>
    <s v="Electric Generators, Independent Power Producers"/>
    <x v="1"/>
    <n v="7693492"/>
  </r>
  <r>
    <x v="13"/>
    <x v="17"/>
    <s v="Electric Generators, Independent Power Producers"/>
    <x v="3"/>
    <n v="57741"/>
  </r>
  <r>
    <x v="13"/>
    <x v="17"/>
    <s v="Electric Generators, Independent Power Producers"/>
    <x v="4"/>
    <n v="2814631"/>
  </r>
  <r>
    <x v="13"/>
    <x v="17"/>
    <s v="Electric Generators, Electric Utilities"/>
    <x v="0"/>
    <n v="80696982"/>
  </r>
  <r>
    <x v="13"/>
    <x v="17"/>
    <s v="Electric Generators, Electric Utilities"/>
    <x v="1"/>
    <n v="76367048"/>
  </r>
  <r>
    <x v="13"/>
    <x v="17"/>
    <s v="Electric Generators, Electric Utilities"/>
    <x v="2"/>
    <n v="3948052"/>
  </r>
  <r>
    <x v="13"/>
    <x v="17"/>
    <s v="Electric Generators, Electric Utilities"/>
    <x v="3"/>
    <n v="229930"/>
  </r>
  <r>
    <x v="13"/>
    <x v="17"/>
    <s v="Electric Generators, Electric Utilities"/>
    <x v="12"/>
    <n v="21672"/>
  </r>
  <r>
    <x v="13"/>
    <x v="17"/>
    <s v="Electric Generators, Electric Utilities"/>
    <x v="8"/>
    <n v="0"/>
  </r>
  <r>
    <x v="13"/>
    <x v="17"/>
    <s v="Electric Generators, Electric Utilities"/>
    <x v="9"/>
    <n v="0"/>
  </r>
  <r>
    <x v="13"/>
    <x v="17"/>
    <s v="Electric Generators, Electric Utilities"/>
    <x v="4"/>
    <n v="130280"/>
  </r>
  <r>
    <x v="13"/>
    <x v="17"/>
    <s v="Combined Heat and Power, Industrial Power"/>
    <x v="0"/>
    <n v="455974"/>
  </r>
  <r>
    <x v="13"/>
    <x v="17"/>
    <s v="Combined Heat and Power, Industrial Power"/>
    <x v="3"/>
    <n v="156734"/>
  </r>
  <r>
    <x v="13"/>
    <x v="17"/>
    <s v="Combined Heat and Power, Industrial Power"/>
    <x v="8"/>
    <n v="764"/>
  </r>
  <r>
    <x v="13"/>
    <x v="17"/>
    <s v="Combined Heat and Power, Industrial Power"/>
    <x v="6"/>
    <n v="298476"/>
  </r>
  <r>
    <x v="13"/>
    <x v="18"/>
    <s v="Total Electric Power Industry"/>
    <x v="0"/>
    <n v="94885040"/>
  </r>
  <r>
    <x v="13"/>
    <x v="18"/>
    <s v="Total Electric Power Industry"/>
    <x v="1"/>
    <n v="22888930"/>
  </r>
  <r>
    <x v="13"/>
    <x v="18"/>
    <s v="Total Electric Power Industry"/>
    <x v="2"/>
    <n v="891991"/>
  </r>
  <r>
    <x v="13"/>
    <x v="18"/>
    <s v="Total Electric Power Industry"/>
    <x v="3"/>
    <n v="45434198"/>
  </r>
  <r>
    <x v="13"/>
    <x v="18"/>
    <s v="Total Electric Power Industry"/>
    <x v="7"/>
    <n v="16126322"/>
  </r>
  <r>
    <x v="13"/>
    <x v="18"/>
    <s v="Total Electric Power Industry"/>
    <x v="12"/>
    <n v="840117"/>
  </r>
  <r>
    <x v="13"/>
    <x v="18"/>
    <s v="Total Electric Power Industry"/>
    <x v="8"/>
    <n v="64661"/>
  </r>
  <r>
    <x v="13"/>
    <x v="18"/>
    <s v="Total Electric Power Industry"/>
    <x v="9"/>
    <n v="2687230"/>
  </r>
  <r>
    <x v="13"/>
    <x v="18"/>
    <s v="Total Electric Power Industry"/>
    <x v="4"/>
    <n v="2937948"/>
  </r>
  <r>
    <x v="13"/>
    <x v="18"/>
    <s v="Total Electric Power Industry"/>
    <x v="6"/>
    <n v="3013642"/>
  </r>
  <r>
    <x v="13"/>
    <x v="18"/>
    <s v="Electric Generators, Independent Power Producers"/>
    <x v="0"/>
    <n v="21183675"/>
  </r>
  <r>
    <x v="13"/>
    <x v="18"/>
    <s v="Electric Generators, Independent Power Producers"/>
    <x v="1"/>
    <n v="11818751"/>
  </r>
  <r>
    <x v="13"/>
    <x v="18"/>
    <s v="Electric Generators, Independent Power Producers"/>
    <x v="2"/>
    <n v="891991"/>
  </r>
  <r>
    <x v="13"/>
    <x v="18"/>
    <s v="Electric Generators, Independent Power Producers"/>
    <x v="3"/>
    <n v="6615325"/>
  </r>
  <r>
    <x v="13"/>
    <x v="18"/>
    <s v="Electric Generators, Independent Power Producers"/>
    <x v="8"/>
    <n v="60663"/>
  </r>
  <r>
    <x v="13"/>
    <x v="18"/>
    <s v="Electric Generators, Independent Power Producers"/>
    <x v="4"/>
    <n v="1796945"/>
  </r>
  <r>
    <x v="13"/>
    <x v="18"/>
    <s v="Electric Generators, Electric Utilities"/>
    <x v="0"/>
    <n v="43485059"/>
  </r>
  <r>
    <x v="13"/>
    <x v="18"/>
    <s v="Electric Generators, Electric Utilities"/>
    <x v="1"/>
    <n v="11020325"/>
  </r>
  <r>
    <x v="13"/>
    <x v="18"/>
    <s v="Electric Generators, Electric Utilities"/>
    <x v="3"/>
    <n v="15093742"/>
  </r>
  <r>
    <x v="13"/>
    <x v="18"/>
    <s v="Electric Generators, Electric Utilities"/>
    <x v="7"/>
    <n v="16126322"/>
  </r>
  <r>
    <x v="13"/>
    <x v="18"/>
    <s v="Electric Generators, Electric Utilities"/>
    <x v="9"/>
    <n v="236796"/>
  </r>
  <r>
    <x v="13"/>
    <x v="18"/>
    <s v="Electric Generators, Electric Utilities"/>
    <x v="4"/>
    <n v="1007874"/>
  </r>
  <r>
    <x v="13"/>
    <x v="18"/>
    <s v="Combined Heat and Power, Industrial Power"/>
    <x v="0"/>
    <n v="28348392"/>
  </r>
  <r>
    <x v="13"/>
    <x v="18"/>
    <s v="Combined Heat and Power, Industrial Power"/>
    <x v="1"/>
    <n v="49854"/>
  </r>
  <r>
    <x v="13"/>
    <x v="18"/>
    <s v="Combined Heat and Power, Industrial Power"/>
    <x v="3"/>
    <n v="21942002"/>
  </r>
  <r>
    <x v="13"/>
    <x v="18"/>
    <s v="Combined Heat and Power, Industrial Power"/>
    <x v="12"/>
    <n v="840117"/>
  </r>
  <r>
    <x v="13"/>
    <x v="18"/>
    <s v="Combined Heat and Power, Industrial Power"/>
    <x v="8"/>
    <n v="3998"/>
  </r>
  <r>
    <x v="13"/>
    <x v="18"/>
    <s v="Combined Heat and Power, Industrial Power"/>
    <x v="9"/>
    <n v="2450434"/>
  </r>
  <r>
    <x v="13"/>
    <x v="18"/>
    <s v="Combined Heat and Power, Industrial Power"/>
    <x v="4"/>
    <n v="48344"/>
  </r>
  <r>
    <x v="13"/>
    <x v="18"/>
    <s v="Combined Heat and Power, Industrial Power"/>
    <x v="6"/>
    <n v="3013642"/>
  </r>
  <r>
    <x v="13"/>
    <x v="18"/>
    <s v="Combined Heat and Power, Electric Power"/>
    <x v="0"/>
    <n v="1844593"/>
  </r>
  <r>
    <x v="13"/>
    <x v="18"/>
    <s v="Combined Heat and Power, Electric Power"/>
    <x v="3"/>
    <n v="1759808"/>
  </r>
  <r>
    <x v="13"/>
    <x v="18"/>
    <s v="Combined Heat and Power, Electric Power"/>
    <x v="4"/>
    <n v="84785"/>
  </r>
  <r>
    <x v="13"/>
    <x v="18"/>
    <s v="Combined Heat and Power, Commercial Power"/>
    <x v="0"/>
    <n v="23321"/>
  </r>
  <r>
    <x v="13"/>
    <x v="18"/>
    <s v="Combined Heat and Power, Commercial Power"/>
    <x v="3"/>
    <n v="23321"/>
  </r>
  <r>
    <x v="13"/>
    <x v="19"/>
    <s v="Total Electric Power Industry"/>
    <x v="0"/>
    <n v="48385024"/>
  </r>
  <r>
    <x v="13"/>
    <x v="19"/>
    <s v="Total Electric Power Industry"/>
    <x v="1"/>
    <n v="10896490"/>
  </r>
  <r>
    <x v="13"/>
    <x v="19"/>
    <s v="Total Electric Power Industry"/>
    <x v="2"/>
    <n v="1075182"/>
  </r>
  <r>
    <x v="13"/>
    <x v="19"/>
    <s v="Total Electric Power Industry"/>
    <x v="3"/>
    <n v="22423931"/>
  </r>
  <r>
    <x v="13"/>
    <x v="19"/>
    <s v="Total Electric Power Industry"/>
    <x v="7"/>
    <n v="4977955"/>
  </r>
  <r>
    <x v="13"/>
    <x v="19"/>
    <s v="Total Electric Power Industry"/>
    <x v="12"/>
    <n v="810234"/>
  </r>
  <r>
    <x v="13"/>
    <x v="19"/>
    <s v="Total Electric Power Industry"/>
    <x v="8"/>
    <n v="1133589"/>
  </r>
  <r>
    <x v="13"/>
    <x v="19"/>
    <s v="Total Electric Power Industry"/>
    <x v="4"/>
    <n v="7459038"/>
  </r>
  <r>
    <x v="13"/>
    <x v="19"/>
    <s v="Total Electric Power Industry"/>
    <x v="10"/>
    <n v="-510929"/>
  </r>
  <r>
    <x v="13"/>
    <x v="19"/>
    <s v="Total Electric Power Industry"/>
    <x v="6"/>
    <n v="119534"/>
  </r>
  <r>
    <x v="13"/>
    <x v="19"/>
    <s v="Electric Generators, Independent Power Producers"/>
    <x v="0"/>
    <n v="40101716"/>
  </r>
  <r>
    <x v="13"/>
    <x v="19"/>
    <s v="Electric Generators, Independent Power Producers"/>
    <x v="1"/>
    <n v="9780227"/>
  </r>
  <r>
    <x v="13"/>
    <x v="19"/>
    <s v="Electric Generators, Independent Power Producers"/>
    <x v="2"/>
    <n v="836027"/>
  </r>
  <r>
    <x v="13"/>
    <x v="19"/>
    <s v="Electric Generators, Independent Power Producers"/>
    <x v="3"/>
    <n v="16507005"/>
  </r>
  <r>
    <x v="13"/>
    <x v="19"/>
    <s v="Electric Generators, Independent Power Producers"/>
    <x v="7"/>
    <n v="4977955"/>
  </r>
  <r>
    <x v="13"/>
    <x v="19"/>
    <s v="Electric Generators, Independent Power Producers"/>
    <x v="12"/>
    <n v="797961"/>
  </r>
  <r>
    <x v="13"/>
    <x v="19"/>
    <s v="Electric Generators, Independent Power Producers"/>
    <x v="8"/>
    <n v="1108988"/>
  </r>
  <r>
    <x v="13"/>
    <x v="19"/>
    <s v="Electric Generators, Independent Power Producers"/>
    <x v="4"/>
    <n v="6484948"/>
  </r>
  <r>
    <x v="13"/>
    <x v="19"/>
    <s v="Electric Generators, Independent Power Producers"/>
    <x v="10"/>
    <n v="-510929"/>
  </r>
  <r>
    <x v="13"/>
    <x v="19"/>
    <s v="Electric Generators, Independent Power Producers"/>
    <x v="6"/>
    <n v="119534"/>
  </r>
  <r>
    <x v="13"/>
    <x v="19"/>
    <s v="Electric Generators, Electric Utilities"/>
    <x v="0"/>
    <n v="2055622"/>
  </r>
  <r>
    <x v="13"/>
    <x v="19"/>
    <s v="Electric Generators, Electric Utilities"/>
    <x v="1"/>
    <n v="1074514"/>
  </r>
  <r>
    <x v="13"/>
    <x v="19"/>
    <s v="Electric Generators, Electric Utilities"/>
    <x v="2"/>
    <n v="228399"/>
  </r>
  <r>
    <x v="13"/>
    <x v="19"/>
    <s v="Electric Generators, Electric Utilities"/>
    <x v="3"/>
    <n v="234942"/>
  </r>
  <r>
    <x v="13"/>
    <x v="19"/>
    <s v="Electric Generators, Electric Utilities"/>
    <x v="4"/>
    <n v="517767"/>
  </r>
  <r>
    <x v="13"/>
    <x v="19"/>
    <s v="Combined Heat and Power, Industrial Power"/>
    <x v="0"/>
    <n v="335124"/>
  </r>
  <r>
    <x v="13"/>
    <x v="19"/>
    <s v="Combined Heat and Power, Industrial Power"/>
    <x v="1"/>
    <n v="41749"/>
  </r>
  <r>
    <x v="13"/>
    <x v="19"/>
    <s v="Combined Heat and Power, Industrial Power"/>
    <x v="2"/>
    <n v="4995"/>
  </r>
  <r>
    <x v="13"/>
    <x v="19"/>
    <s v="Combined Heat and Power, Industrial Power"/>
    <x v="3"/>
    <n v="121968"/>
  </r>
  <r>
    <x v="13"/>
    <x v="19"/>
    <s v="Combined Heat and Power, Industrial Power"/>
    <x v="12"/>
    <n v="12273"/>
  </r>
  <r>
    <x v="13"/>
    <x v="19"/>
    <s v="Combined Heat and Power, Industrial Power"/>
    <x v="4"/>
    <n v="154138"/>
  </r>
  <r>
    <x v="13"/>
    <x v="19"/>
    <s v="Combined Heat and Power, Electric Power"/>
    <x v="0"/>
    <n v="5378236"/>
  </r>
  <r>
    <x v="13"/>
    <x v="19"/>
    <s v="Combined Heat and Power, Electric Power"/>
    <x v="3"/>
    <n v="5256128"/>
  </r>
  <r>
    <x v="13"/>
    <x v="19"/>
    <s v="Combined Heat and Power, Electric Power"/>
    <x v="4"/>
    <n v="122108"/>
  </r>
  <r>
    <x v="13"/>
    <x v="19"/>
    <s v="Combined Heat and Power, Commercial Power"/>
    <x v="0"/>
    <n v="514326"/>
  </r>
  <r>
    <x v="13"/>
    <x v="19"/>
    <s v="Combined Heat and Power, Commercial Power"/>
    <x v="2"/>
    <n v="5761"/>
  </r>
  <r>
    <x v="13"/>
    <x v="19"/>
    <s v="Combined Heat and Power, Commercial Power"/>
    <x v="3"/>
    <n v="303888"/>
  </r>
  <r>
    <x v="13"/>
    <x v="19"/>
    <s v="Combined Heat and Power, Commercial Power"/>
    <x v="8"/>
    <n v="24601"/>
  </r>
  <r>
    <x v="13"/>
    <x v="19"/>
    <s v="Combined Heat and Power, Commercial Power"/>
    <x v="4"/>
    <n v="180077"/>
  </r>
  <r>
    <x v="13"/>
    <x v="20"/>
    <s v="Total Electric Power Industry"/>
    <x v="0"/>
    <n v="52244237"/>
  </r>
  <r>
    <x v="13"/>
    <x v="20"/>
    <s v="Total Electric Power Industry"/>
    <x v="1"/>
    <n v="29939086"/>
  </r>
  <r>
    <x v="13"/>
    <x v="20"/>
    <s v="Total Electric Power Industry"/>
    <x v="2"/>
    <n v="2646984"/>
  </r>
  <r>
    <x v="13"/>
    <x v="20"/>
    <s v="Total Electric Power Industry"/>
    <x v="3"/>
    <n v="1195642"/>
  </r>
  <r>
    <x v="13"/>
    <x v="20"/>
    <s v="Total Electric Power Industry"/>
    <x v="7"/>
    <n v="13690713"/>
  </r>
  <r>
    <x v="13"/>
    <x v="20"/>
    <s v="Total Electric Power Industry"/>
    <x v="12"/>
    <n v="278224"/>
  </r>
  <r>
    <x v="13"/>
    <x v="20"/>
    <s v="Total Electric Power Industry"/>
    <x v="8"/>
    <n v="370811"/>
  </r>
  <r>
    <x v="13"/>
    <x v="20"/>
    <s v="Total Electric Power Industry"/>
    <x v="9"/>
    <n v="325355"/>
  </r>
  <r>
    <x v="13"/>
    <x v="20"/>
    <s v="Total Electric Power Industry"/>
    <x v="4"/>
    <n v="3572183"/>
  </r>
  <r>
    <x v="13"/>
    <x v="20"/>
    <s v="Total Electric Power Industry"/>
    <x v="6"/>
    <n v="225240"/>
  </r>
  <r>
    <x v="13"/>
    <x v="20"/>
    <s v="Electric Generators, Independent Power Producers"/>
    <x v="0"/>
    <n v="48824270"/>
  </r>
  <r>
    <x v="13"/>
    <x v="20"/>
    <s v="Electric Generators, Independent Power Producers"/>
    <x v="1"/>
    <n v="28178989"/>
  </r>
  <r>
    <x v="13"/>
    <x v="20"/>
    <s v="Electric Generators, Independent Power Producers"/>
    <x v="2"/>
    <n v="2646984"/>
  </r>
  <r>
    <x v="13"/>
    <x v="20"/>
    <s v="Electric Generators, Independent Power Producers"/>
    <x v="3"/>
    <n v="453458"/>
  </r>
  <r>
    <x v="13"/>
    <x v="20"/>
    <s v="Electric Generators, Independent Power Producers"/>
    <x v="7"/>
    <n v="13690713"/>
  </r>
  <r>
    <x v="13"/>
    <x v="20"/>
    <s v="Electric Generators, Independent Power Producers"/>
    <x v="12"/>
    <n v="167887"/>
  </r>
  <r>
    <x v="13"/>
    <x v="20"/>
    <s v="Electric Generators, Independent Power Producers"/>
    <x v="8"/>
    <n v="216348"/>
  </r>
  <r>
    <x v="13"/>
    <x v="20"/>
    <s v="Electric Generators, Independent Power Producers"/>
    <x v="4"/>
    <n v="3469891"/>
  </r>
  <r>
    <x v="13"/>
    <x v="20"/>
    <s v="Electric Generators, Electric Utilities"/>
    <x v="0"/>
    <n v="51722"/>
  </r>
  <r>
    <x v="13"/>
    <x v="20"/>
    <s v="Electric Generators, Electric Utilities"/>
    <x v="3"/>
    <n v="0"/>
  </r>
  <r>
    <x v="13"/>
    <x v="20"/>
    <s v="Electric Generators, Electric Utilities"/>
    <x v="4"/>
    <n v="51722"/>
  </r>
  <r>
    <x v="13"/>
    <x v="20"/>
    <s v="Combined Heat and Power, Industrial Power"/>
    <x v="0"/>
    <n v="524397"/>
  </r>
  <r>
    <x v="13"/>
    <x v="20"/>
    <s v="Combined Heat and Power, Industrial Power"/>
    <x v="1"/>
    <n v="264818"/>
  </r>
  <r>
    <x v="13"/>
    <x v="20"/>
    <s v="Combined Heat and Power, Industrial Power"/>
    <x v="3"/>
    <n v="41580"/>
  </r>
  <r>
    <x v="13"/>
    <x v="20"/>
    <s v="Combined Heat and Power, Industrial Power"/>
    <x v="4"/>
    <n v="3724"/>
  </r>
  <r>
    <x v="13"/>
    <x v="20"/>
    <s v="Combined Heat and Power, Industrial Power"/>
    <x v="6"/>
    <n v="214276"/>
  </r>
  <r>
    <x v="13"/>
    <x v="20"/>
    <s v="Combined Heat and Power, Electric Power"/>
    <x v="0"/>
    <n v="2812949"/>
  </r>
  <r>
    <x v="13"/>
    <x v="20"/>
    <s v="Combined Heat and Power, Electric Power"/>
    <x v="1"/>
    <n v="1495279"/>
  </r>
  <r>
    <x v="13"/>
    <x v="20"/>
    <s v="Combined Heat and Power, Electric Power"/>
    <x v="3"/>
    <n v="700605"/>
  </r>
  <r>
    <x v="13"/>
    <x v="20"/>
    <s v="Combined Heat and Power, Electric Power"/>
    <x v="12"/>
    <n v="110259"/>
  </r>
  <r>
    <x v="13"/>
    <x v="20"/>
    <s v="Combined Heat and Power, Electric Power"/>
    <x v="8"/>
    <n v="134760"/>
  </r>
  <r>
    <x v="13"/>
    <x v="20"/>
    <s v="Combined Heat and Power, Electric Power"/>
    <x v="9"/>
    <n v="325355"/>
  </r>
  <r>
    <x v="13"/>
    <x v="20"/>
    <s v="Combined Heat and Power, Electric Power"/>
    <x v="4"/>
    <n v="46691"/>
  </r>
  <r>
    <x v="13"/>
    <x v="20"/>
    <s v="Combined Heat and Power, Commercial Power"/>
    <x v="0"/>
    <n v="30899"/>
  </r>
  <r>
    <x v="13"/>
    <x v="20"/>
    <s v="Combined Heat and Power, Commercial Power"/>
    <x v="12"/>
    <n v="78"/>
  </r>
  <r>
    <x v="13"/>
    <x v="20"/>
    <s v="Combined Heat and Power, Commercial Power"/>
    <x v="8"/>
    <n v="19702"/>
  </r>
  <r>
    <x v="13"/>
    <x v="20"/>
    <s v="Combined Heat and Power, Commercial Power"/>
    <x v="4"/>
    <n v="155"/>
  </r>
  <r>
    <x v="13"/>
    <x v="20"/>
    <s v="Combined Heat and Power, Commercial Power"/>
    <x v="6"/>
    <n v="10964"/>
  </r>
  <r>
    <x v="13"/>
    <x v="21"/>
    <s v="Total Electric Power Industry"/>
    <x v="0"/>
    <n v="18971635"/>
  </r>
  <r>
    <x v="13"/>
    <x v="21"/>
    <s v="Total Electric Power Industry"/>
    <x v="1"/>
    <n v="376532"/>
  </r>
  <r>
    <x v="13"/>
    <x v="21"/>
    <s v="Total Electric Power Industry"/>
    <x v="2"/>
    <n v="3172622"/>
  </r>
  <r>
    <x v="13"/>
    <x v="21"/>
    <s v="Total Electric Power Industry"/>
    <x v="3"/>
    <n v="9438704"/>
  </r>
  <r>
    <x v="13"/>
    <x v="21"/>
    <s v="Total Electric Power Industry"/>
    <x v="12"/>
    <n v="478184"/>
  </r>
  <r>
    <x v="13"/>
    <x v="21"/>
    <s v="Total Electric Power Industry"/>
    <x v="8"/>
    <n v="298105"/>
  </r>
  <r>
    <x v="13"/>
    <x v="21"/>
    <s v="Total Electric Power Industry"/>
    <x v="9"/>
    <n v="34"/>
  </r>
  <r>
    <x v="13"/>
    <x v="21"/>
    <s v="Total Electric Power Industry"/>
    <x v="4"/>
    <n v="1919549"/>
  </r>
  <r>
    <x v="13"/>
    <x v="21"/>
    <s v="Total Electric Power Industry"/>
    <x v="6"/>
    <n v="3287905"/>
  </r>
  <r>
    <x v="13"/>
    <x v="21"/>
    <s v="Electric Generators, Independent Power Producers"/>
    <x v="0"/>
    <n v="11668137"/>
  </r>
  <r>
    <x v="13"/>
    <x v="21"/>
    <s v="Electric Generators, Independent Power Producers"/>
    <x v="2"/>
    <n v="2150143"/>
  </r>
  <r>
    <x v="13"/>
    <x v="21"/>
    <s v="Electric Generators, Independent Power Producers"/>
    <x v="3"/>
    <n v="7133918"/>
  </r>
  <r>
    <x v="13"/>
    <x v="21"/>
    <s v="Electric Generators, Independent Power Producers"/>
    <x v="12"/>
    <n v="103535"/>
  </r>
  <r>
    <x v="13"/>
    <x v="21"/>
    <s v="Electric Generators, Independent Power Producers"/>
    <x v="8"/>
    <n v="126543"/>
  </r>
  <r>
    <x v="13"/>
    <x v="21"/>
    <s v="Electric Generators, Independent Power Producers"/>
    <x v="9"/>
    <n v="34"/>
  </r>
  <r>
    <x v="13"/>
    <x v="21"/>
    <s v="Electric Generators, Independent Power Producers"/>
    <x v="4"/>
    <n v="1249153"/>
  </r>
  <r>
    <x v="13"/>
    <x v="21"/>
    <s v="Electric Generators, Independent Power Producers"/>
    <x v="6"/>
    <n v="904811"/>
  </r>
  <r>
    <x v="13"/>
    <x v="21"/>
    <s v="Electric Generators, Electric Utilities"/>
    <x v="0"/>
    <n v="1409"/>
  </r>
  <r>
    <x v="13"/>
    <x v="21"/>
    <s v="Electric Generators, Electric Utilities"/>
    <x v="4"/>
    <n v="1409"/>
  </r>
  <r>
    <x v="13"/>
    <x v="21"/>
    <s v="Combined Heat and Power, Industrial Power"/>
    <x v="0"/>
    <n v="5428121"/>
  </r>
  <r>
    <x v="13"/>
    <x v="21"/>
    <s v="Combined Heat and Power, Industrial Power"/>
    <x v="1"/>
    <n v="153558"/>
  </r>
  <r>
    <x v="13"/>
    <x v="21"/>
    <s v="Combined Heat and Power, Industrial Power"/>
    <x v="2"/>
    <n v="1022480"/>
  </r>
  <r>
    <x v="13"/>
    <x v="21"/>
    <s v="Combined Heat and Power, Industrial Power"/>
    <x v="3"/>
    <n v="1516358"/>
  </r>
  <r>
    <x v="13"/>
    <x v="21"/>
    <s v="Combined Heat and Power, Industrial Power"/>
    <x v="12"/>
    <n v="231308"/>
  </r>
  <r>
    <x v="13"/>
    <x v="21"/>
    <s v="Combined Heat and Power, Industrial Power"/>
    <x v="8"/>
    <n v="73482"/>
  </r>
  <r>
    <x v="13"/>
    <x v="21"/>
    <s v="Combined Heat and Power, Industrial Power"/>
    <x v="4"/>
    <n v="662910"/>
  </r>
  <r>
    <x v="13"/>
    <x v="21"/>
    <s v="Combined Heat and Power, Industrial Power"/>
    <x v="6"/>
    <n v="1768025"/>
  </r>
  <r>
    <x v="13"/>
    <x v="21"/>
    <s v="Combined Heat and Power, Electric Power"/>
    <x v="0"/>
    <n v="1691119"/>
  </r>
  <r>
    <x v="13"/>
    <x v="21"/>
    <s v="Combined Heat and Power, Electric Power"/>
    <x v="1"/>
    <n v="222974"/>
  </r>
  <r>
    <x v="13"/>
    <x v="21"/>
    <s v="Combined Heat and Power, Electric Power"/>
    <x v="3"/>
    <n v="787486"/>
  </r>
  <r>
    <x v="13"/>
    <x v="21"/>
    <s v="Combined Heat and Power, Electric Power"/>
    <x v="12"/>
    <n v="63093"/>
  </r>
  <r>
    <x v="13"/>
    <x v="21"/>
    <s v="Combined Heat and Power, Electric Power"/>
    <x v="8"/>
    <n v="0"/>
  </r>
  <r>
    <x v="13"/>
    <x v="21"/>
    <s v="Combined Heat and Power, Electric Power"/>
    <x v="4"/>
    <n v="2589"/>
  </r>
  <r>
    <x v="13"/>
    <x v="21"/>
    <s v="Combined Heat and Power, Electric Power"/>
    <x v="6"/>
    <n v="614977"/>
  </r>
  <r>
    <x v="13"/>
    <x v="21"/>
    <s v="Combined Heat and Power, Commercial Power"/>
    <x v="0"/>
    <n v="182850"/>
  </r>
  <r>
    <x v="13"/>
    <x v="21"/>
    <s v="Combined Heat and Power, Commercial Power"/>
    <x v="3"/>
    <n v="942"/>
  </r>
  <r>
    <x v="13"/>
    <x v="21"/>
    <s v="Combined Heat and Power, Commercial Power"/>
    <x v="12"/>
    <n v="80248"/>
  </r>
  <r>
    <x v="13"/>
    <x v="21"/>
    <s v="Combined Heat and Power, Commercial Power"/>
    <x v="8"/>
    <n v="98081"/>
  </r>
  <r>
    <x v="13"/>
    <x v="21"/>
    <s v="Combined Heat and Power, Commercial Power"/>
    <x v="4"/>
    <n v="3487"/>
  </r>
  <r>
    <x v="13"/>
    <x v="21"/>
    <s v="Combined Heat and Power, Commercial Power"/>
    <x v="6"/>
    <n v="92"/>
  </r>
  <r>
    <x v="13"/>
    <x v="22"/>
    <s v="Total Electric Power Industry"/>
    <x v="0"/>
    <n v="111347060"/>
  </r>
  <r>
    <x v="13"/>
    <x v="22"/>
    <s v="Total Electric Power Industry"/>
    <x v="1"/>
    <n v="67777483"/>
  </r>
  <r>
    <x v="13"/>
    <x v="22"/>
    <s v="Total Electric Power Industry"/>
    <x v="2"/>
    <n v="1385823"/>
  </r>
  <r>
    <x v="13"/>
    <x v="22"/>
    <s v="Total Electric Power Industry"/>
    <x v="3"/>
    <n v="11374544"/>
  </r>
  <r>
    <x v="13"/>
    <x v="22"/>
    <s v="Total Electric Power Industry"/>
    <x v="7"/>
    <n v="27953563"/>
  </r>
  <r>
    <x v="13"/>
    <x v="22"/>
    <s v="Total Electric Power Industry"/>
    <x v="12"/>
    <n v="309112"/>
  </r>
  <r>
    <x v="13"/>
    <x v="22"/>
    <s v="Total Electric Power Industry"/>
    <x v="8"/>
    <n v="727314"/>
  </r>
  <r>
    <x v="13"/>
    <x v="22"/>
    <s v="Total Electric Power Industry"/>
    <x v="9"/>
    <n v="2193"/>
  </r>
  <r>
    <x v="13"/>
    <x v="22"/>
    <s v="Total Electric Power Industry"/>
    <x v="4"/>
    <n v="1063893"/>
  </r>
  <r>
    <x v="13"/>
    <x v="22"/>
    <s v="Total Electric Power Industry"/>
    <x v="10"/>
    <n v="-1017246"/>
  </r>
  <r>
    <x v="13"/>
    <x v="22"/>
    <s v="Total Electric Power Industry"/>
    <x v="5"/>
    <n v="2660"/>
  </r>
  <r>
    <x v="13"/>
    <x v="22"/>
    <s v="Total Electric Power Industry"/>
    <x v="6"/>
    <n v="1767721"/>
  </r>
  <r>
    <x v="13"/>
    <x v="22"/>
    <s v="Electric Generators, Independent Power Producers"/>
    <x v="0"/>
    <n v="2302109"/>
  </r>
  <r>
    <x v="13"/>
    <x v="22"/>
    <s v="Electric Generators, Independent Power Producers"/>
    <x v="2"/>
    <n v="67443"/>
  </r>
  <r>
    <x v="13"/>
    <x v="22"/>
    <s v="Electric Generators, Independent Power Producers"/>
    <x v="3"/>
    <n v="576957"/>
  </r>
  <r>
    <x v="13"/>
    <x v="22"/>
    <s v="Electric Generators, Independent Power Producers"/>
    <x v="12"/>
    <n v="117487"/>
  </r>
  <r>
    <x v="13"/>
    <x v="22"/>
    <s v="Electric Generators, Independent Power Producers"/>
    <x v="8"/>
    <n v="538253"/>
  </r>
  <r>
    <x v="13"/>
    <x v="22"/>
    <s v="Electric Generators, Independent Power Producers"/>
    <x v="9"/>
    <n v="2193"/>
  </r>
  <r>
    <x v="13"/>
    <x v="22"/>
    <s v="Electric Generators, Independent Power Producers"/>
    <x v="4"/>
    <n v="0"/>
  </r>
  <r>
    <x v="13"/>
    <x v="22"/>
    <s v="Electric Generators, Independent Power Producers"/>
    <x v="5"/>
    <n v="2660"/>
  </r>
  <r>
    <x v="13"/>
    <x v="22"/>
    <s v="Electric Generators, Independent Power Producers"/>
    <x v="6"/>
    <n v="997117"/>
  </r>
  <r>
    <x v="13"/>
    <x v="22"/>
    <s v="Electric Generators, Electric Utilities"/>
    <x v="0"/>
    <n v="96634055"/>
  </r>
  <r>
    <x v="13"/>
    <x v="22"/>
    <s v="Electric Generators, Electric Utilities"/>
    <x v="1"/>
    <n v="66448916"/>
  </r>
  <r>
    <x v="13"/>
    <x v="22"/>
    <s v="Electric Generators, Electric Utilities"/>
    <x v="2"/>
    <n v="1242987"/>
  </r>
  <r>
    <x v="13"/>
    <x v="22"/>
    <s v="Electric Generators, Electric Utilities"/>
    <x v="3"/>
    <n v="1098627"/>
  </r>
  <r>
    <x v="13"/>
    <x v="22"/>
    <s v="Electric Generators, Electric Utilities"/>
    <x v="7"/>
    <n v="27953563"/>
  </r>
  <r>
    <x v="13"/>
    <x v="22"/>
    <s v="Electric Generators, Electric Utilities"/>
    <x v="12"/>
    <n v="23361"/>
  </r>
  <r>
    <x v="13"/>
    <x v="22"/>
    <s v="Electric Generators, Electric Utilities"/>
    <x v="8"/>
    <n v="0"/>
  </r>
  <r>
    <x v="13"/>
    <x v="22"/>
    <s v="Electric Generators, Electric Utilities"/>
    <x v="9"/>
    <n v="0"/>
  </r>
  <r>
    <x v="13"/>
    <x v="22"/>
    <s v="Electric Generators, Electric Utilities"/>
    <x v="4"/>
    <n v="883847"/>
  </r>
  <r>
    <x v="13"/>
    <x v="22"/>
    <s v="Electric Generators, Electric Utilities"/>
    <x v="10"/>
    <n v="-1017246"/>
  </r>
  <r>
    <x v="13"/>
    <x v="22"/>
    <s v="Combined Heat and Power, Industrial Power"/>
    <x v="0"/>
    <n v="1989785"/>
  </r>
  <r>
    <x v="13"/>
    <x v="22"/>
    <s v="Combined Heat and Power, Industrial Power"/>
    <x v="1"/>
    <n v="671674"/>
  </r>
  <r>
    <x v="13"/>
    <x v="22"/>
    <s v="Combined Heat and Power, Industrial Power"/>
    <x v="2"/>
    <n v="75394"/>
  </r>
  <r>
    <x v="13"/>
    <x v="22"/>
    <s v="Combined Heat and Power, Industrial Power"/>
    <x v="3"/>
    <n v="313879"/>
  </r>
  <r>
    <x v="13"/>
    <x v="22"/>
    <s v="Combined Heat and Power, Industrial Power"/>
    <x v="12"/>
    <n v="0"/>
  </r>
  <r>
    <x v="13"/>
    <x v="22"/>
    <s v="Combined Heat and Power, Industrial Power"/>
    <x v="8"/>
    <n v="3479"/>
  </r>
  <r>
    <x v="13"/>
    <x v="22"/>
    <s v="Combined Heat and Power, Industrial Power"/>
    <x v="4"/>
    <n v="176134"/>
  </r>
  <r>
    <x v="13"/>
    <x v="22"/>
    <s v="Combined Heat and Power, Industrial Power"/>
    <x v="6"/>
    <n v="749226"/>
  </r>
  <r>
    <x v="13"/>
    <x v="22"/>
    <s v="Combined Heat and Power, Electric Power"/>
    <x v="0"/>
    <n v="9917144"/>
  </r>
  <r>
    <x v="13"/>
    <x v="22"/>
    <s v="Combined Heat and Power, Electric Power"/>
    <x v="1"/>
    <n v="420201"/>
  </r>
  <r>
    <x v="13"/>
    <x v="22"/>
    <s v="Combined Heat and Power, Electric Power"/>
    <x v="3"/>
    <n v="9367317"/>
  </r>
  <r>
    <x v="13"/>
    <x v="22"/>
    <s v="Combined Heat and Power, Electric Power"/>
    <x v="12"/>
    <n v="56063"/>
  </r>
  <r>
    <x v="13"/>
    <x v="22"/>
    <s v="Combined Heat and Power, Electric Power"/>
    <x v="8"/>
    <n v="48448"/>
  </r>
  <r>
    <x v="13"/>
    <x v="22"/>
    <s v="Combined Heat and Power, Electric Power"/>
    <x v="4"/>
    <n v="3737"/>
  </r>
  <r>
    <x v="13"/>
    <x v="22"/>
    <s v="Combined Heat and Power, Electric Power"/>
    <x v="6"/>
    <n v="21378"/>
  </r>
  <r>
    <x v="13"/>
    <x v="22"/>
    <s v="Combined Heat and Power, Commercial Power"/>
    <x v="0"/>
    <n v="503966"/>
  </r>
  <r>
    <x v="13"/>
    <x v="22"/>
    <s v="Combined Heat and Power, Commercial Power"/>
    <x v="1"/>
    <n v="236692"/>
  </r>
  <r>
    <x v="13"/>
    <x v="22"/>
    <s v="Combined Heat and Power, Commercial Power"/>
    <x v="3"/>
    <n v="17764"/>
  </r>
  <r>
    <x v="13"/>
    <x v="22"/>
    <s v="Combined Heat and Power, Commercial Power"/>
    <x v="12"/>
    <n v="112201"/>
  </r>
  <r>
    <x v="13"/>
    <x v="22"/>
    <s v="Combined Heat and Power, Commercial Power"/>
    <x v="8"/>
    <n v="137134"/>
  </r>
  <r>
    <x v="13"/>
    <x v="22"/>
    <s v="Combined Heat and Power, Commercial Power"/>
    <x v="4"/>
    <n v="175"/>
  </r>
  <r>
    <x v="13"/>
    <x v="23"/>
    <s v="Total Electric Power Industry"/>
    <x v="0"/>
    <n v="55050995"/>
  </r>
  <r>
    <x v="13"/>
    <x v="23"/>
    <s v="Total Electric Power Industry"/>
    <x v="1"/>
    <n v="35655529"/>
  </r>
  <r>
    <x v="13"/>
    <x v="23"/>
    <s v="Total Electric Power Industry"/>
    <x v="2"/>
    <n v="814573"/>
  </r>
  <r>
    <x v="13"/>
    <x v="23"/>
    <s v="Total Electric Power Industry"/>
    <x v="3"/>
    <n v="1844436"/>
  </r>
  <r>
    <x v="13"/>
    <x v="23"/>
    <s v="Total Electric Power Industry"/>
    <x v="7"/>
    <n v="13413828"/>
  </r>
  <r>
    <x v="13"/>
    <x v="23"/>
    <s v="Total Electric Power Industry"/>
    <x v="12"/>
    <n v="328935"/>
  </r>
  <r>
    <x v="13"/>
    <x v="23"/>
    <s v="Total Electric Power Industry"/>
    <x v="8"/>
    <n v="486316"/>
  </r>
  <r>
    <x v="13"/>
    <x v="23"/>
    <s v="Total Electric Power Industry"/>
    <x v="4"/>
    <n v="873064"/>
  </r>
  <r>
    <x v="13"/>
    <x v="23"/>
    <s v="Total Electric Power Industry"/>
    <x v="5"/>
    <n v="977760"/>
  </r>
  <r>
    <x v="13"/>
    <x v="23"/>
    <s v="Total Electric Power Industry"/>
    <x v="6"/>
    <n v="656555"/>
  </r>
  <r>
    <x v="13"/>
    <x v="23"/>
    <s v="Electric Generators, Independent Power Producers"/>
    <x v="0"/>
    <n v="2858498"/>
  </r>
  <r>
    <x v="13"/>
    <x v="23"/>
    <s v="Electric Generators, Independent Power Producers"/>
    <x v="1"/>
    <n v="1489877"/>
  </r>
  <r>
    <x v="13"/>
    <x v="23"/>
    <s v="Electric Generators, Independent Power Producers"/>
    <x v="2"/>
    <n v="35060"/>
  </r>
  <r>
    <x v="13"/>
    <x v="23"/>
    <s v="Electric Generators, Independent Power Producers"/>
    <x v="12"/>
    <n v="101905"/>
  </r>
  <r>
    <x v="13"/>
    <x v="23"/>
    <s v="Electric Generators, Independent Power Producers"/>
    <x v="8"/>
    <n v="252159"/>
  </r>
  <r>
    <x v="13"/>
    <x v="23"/>
    <s v="Electric Generators, Independent Power Producers"/>
    <x v="4"/>
    <n v="1740"/>
  </r>
  <r>
    <x v="13"/>
    <x v="23"/>
    <s v="Electric Generators, Independent Power Producers"/>
    <x v="5"/>
    <n v="977757"/>
  </r>
  <r>
    <x v="13"/>
    <x v="23"/>
    <s v="Electric Generators, Electric Utilities"/>
    <x v="0"/>
    <n v="49576276"/>
  </r>
  <r>
    <x v="13"/>
    <x v="23"/>
    <s v="Electric Generators, Electric Utilities"/>
    <x v="1"/>
    <n v="33157032"/>
  </r>
  <r>
    <x v="13"/>
    <x v="23"/>
    <s v="Electric Generators, Electric Utilities"/>
    <x v="2"/>
    <n v="686227"/>
  </r>
  <r>
    <x v="13"/>
    <x v="23"/>
    <s v="Electric Generators, Electric Utilities"/>
    <x v="3"/>
    <n v="1072867"/>
  </r>
  <r>
    <x v="13"/>
    <x v="23"/>
    <s v="Electric Generators, Electric Utilities"/>
    <x v="7"/>
    <n v="13413828"/>
  </r>
  <r>
    <x v="13"/>
    <x v="23"/>
    <s v="Electric Generators, Electric Utilities"/>
    <x v="12"/>
    <n v="180485"/>
  </r>
  <r>
    <x v="13"/>
    <x v="23"/>
    <s v="Electric Generators, Electric Utilities"/>
    <x v="8"/>
    <n v="220593"/>
  </r>
  <r>
    <x v="13"/>
    <x v="23"/>
    <s v="Electric Generators, Electric Utilities"/>
    <x v="4"/>
    <n v="845239"/>
  </r>
  <r>
    <x v="13"/>
    <x v="23"/>
    <s v="Electric Generators, Electric Utilities"/>
    <x v="5"/>
    <n v="3"/>
  </r>
  <r>
    <x v="13"/>
    <x v="23"/>
    <s v="Electric Generators, Electric Utilities"/>
    <x v="6"/>
    <n v="2"/>
  </r>
  <r>
    <x v="13"/>
    <x v="23"/>
    <s v="Combined Heat and Power, Industrial Power"/>
    <x v="0"/>
    <n v="1801984"/>
  </r>
  <r>
    <x v="13"/>
    <x v="23"/>
    <s v="Combined Heat and Power, Industrial Power"/>
    <x v="1"/>
    <n v="987182"/>
  </r>
  <r>
    <x v="13"/>
    <x v="23"/>
    <s v="Combined Heat and Power, Industrial Power"/>
    <x v="2"/>
    <n v="93286"/>
  </r>
  <r>
    <x v="13"/>
    <x v="23"/>
    <s v="Combined Heat and Power, Industrial Power"/>
    <x v="3"/>
    <n v="116975"/>
  </r>
  <r>
    <x v="13"/>
    <x v="23"/>
    <s v="Combined Heat and Power, Industrial Power"/>
    <x v="12"/>
    <n v="38650"/>
  </r>
  <r>
    <x v="13"/>
    <x v="23"/>
    <s v="Combined Heat and Power, Industrial Power"/>
    <x v="8"/>
    <n v="3915"/>
  </r>
  <r>
    <x v="13"/>
    <x v="23"/>
    <s v="Combined Heat and Power, Industrial Power"/>
    <x v="4"/>
    <n v="6037"/>
  </r>
  <r>
    <x v="13"/>
    <x v="23"/>
    <s v="Combined Heat and Power, Industrial Power"/>
    <x v="6"/>
    <n v="555940"/>
  </r>
  <r>
    <x v="13"/>
    <x v="23"/>
    <s v="Combined Heat and Power, Electric Power"/>
    <x v="0"/>
    <n v="697304"/>
  </r>
  <r>
    <x v="13"/>
    <x v="23"/>
    <s v="Combined Heat and Power, Electric Power"/>
    <x v="1"/>
    <n v="21438"/>
  </r>
  <r>
    <x v="13"/>
    <x v="23"/>
    <s v="Combined Heat and Power, Electric Power"/>
    <x v="3"/>
    <n v="563963"/>
  </r>
  <r>
    <x v="13"/>
    <x v="23"/>
    <s v="Combined Heat and Power, Electric Power"/>
    <x v="4"/>
    <n v="11290"/>
  </r>
  <r>
    <x v="13"/>
    <x v="23"/>
    <s v="Combined Heat and Power, Electric Power"/>
    <x v="6"/>
    <n v="100613"/>
  </r>
  <r>
    <x v="13"/>
    <x v="23"/>
    <s v="Combined Heat and Power, Commercial Power"/>
    <x v="0"/>
    <n v="116934"/>
  </r>
  <r>
    <x v="13"/>
    <x v="23"/>
    <s v="Combined Heat and Power, Commercial Power"/>
    <x v="3"/>
    <n v="90631"/>
  </r>
  <r>
    <x v="13"/>
    <x v="23"/>
    <s v="Combined Heat and Power, Commercial Power"/>
    <x v="12"/>
    <n v="7895"/>
  </r>
  <r>
    <x v="13"/>
    <x v="23"/>
    <s v="Combined Heat and Power, Commercial Power"/>
    <x v="8"/>
    <n v="9649"/>
  </r>
  <r>
    <x v="13"/>
    <x v="23"/>
    <s v="Combined Heat and Power, Commercial Power"/>
    <x v="4"/>
    <n v="8759"/>
  </r>
  <r>
    <x v="13"/>
    <x v="24"/>
    <s v="Total Electric Power Industry"/>
    <x v="0"/>
    <n v="87225087"/>
  </r>
  <r>
    <x v="13"/>
    <x v="24"/>
    <s v="Total Electric Power Industry"/>
    <x v="1"/>
    <n v="74211784"/>
  </r>
  <r>
    <x v="13"/>
    <x v="24"/>
    <s v="Total Electric Power Industry"/>
    <x v="2"/>
    <n v="652477"/>
  </r>
  <r>
    <x v="13"/>
    <x v="24"/>
    <s v="Total Electric Power Industry"/>
    <x v="3"/>
    <n v="2624350"/>
  </r>
  <r>
    <x v="13"/>
    <x v="24"/>
    <s v="Total Electric Power Industry"/>
    <x v="7"/>
    <n v="9699589"/>
  </r>
  <r>
    <x v="13"/>
    <x v="24"/>
    <s v="Total Electric Power Industry"/>
    <x v="12"/>
    <n v="123836"/>
  </r>
  <r>
    <x v="13"/>
    <x v="24"/>
    <s v="Total Electric Power Industry"/>
    <x v="8"/>
    <n v="8297"/>
  </r>
  <r>
    <x v="13"/>
    <x v="24"/>
    <s v="Total Electric Power Industry"/>
    <x v="9"/>
    <n v="1652"/>
  </r>
  <r>
    <x v="13"/>
    <x v="24"/>
    <s v="Total Electric Power Industry"/>
    <x v="4"/>
    <n v="156914"/>
  </r>
  <r>
    <x v="13"/>
    <x v="24"/>
    <s v="Total Electric Power Industry"/>
    <x v="10"/>
    <n v="-253991"/>
  </r>
  <r>
    <x v="13"/>
    <x v="24"/>
    <s v="Total Electric Power Industry"/>
    <x v="6"/>
    <n v="179"/>
  </r>
  <r>
    <x v="13"/>
    <x v="24"/>
    <s v="Electric Generators, Independent Power Producers"/>
    <x v="0"/>
    <n v="783437"/>
  </r>
  <r>
    <x v="13"/>
    <x v="24"/>
    <s v="Electric Generators, Independent Power Producers"/>
    <x v="3"/>
    <n v="783437"/>
  </r>
  <r>
    <x v="13"/>
    <x v="24"/>
    <s v="Electric Generators, Electric Utilities"/>
    <x v="0"/>
    <n v="86102107"/>
  </r>
  <r>
    <x v="13"/>
    <x v="24"/>
    <s v="Electric Generators, Electric Utilities"/>
    <x v="1"/>
    <n v="73904272"/>
  </r>
  <r>
    <x v="13"/>
    <x v="24"/>
    <s v="Electric Generators, Electric Utilities"/>
    <x v="2"/>
    <n v="652477"/>
  </r>
  <r>
    <x v="13"/>
    <x v="24"/>
    <s v="Electric Generators, Electric Utilities"/>
    <x v="3"/>
    <n v="1820848"/>
  </r>
  <r>
    <x v="13"/>
    <x v="24"/>
    <s v="Electric Generators, Electric Utilities"/>
    <x v="7"/>
    <n v="9699589"/>
  </r>
  <r>
    <x v="13"/>
    <x v="24"/>
    <s v="Electric Generators, Electric Utilities"/>
    <x v="12"/>
    <n v="121112"/>
  </r>
  <r>
    <x v="13"/>
    <x v="24"/>
    <s v="Electric Generators, Electric Utilities"/>
    <x v="8"/>
    <n v="0"/>
  </r>
  <r>
    <x v="13"/>
    <x v="24"/>
    <s v="Electric Generators, Electric Utilities"/>
    <x v="9"/>
    <n v="1652"/>
  </r>
  <r>
    <x v="13"/>
    <x v="24"/>
    <s v="Electric Generators, Electric Utilities"/>
    <x v="4"/>
    <n v="155968"/>
  </r>
  <r>
    <x v="13"/>
    <x v="24"/>
    <s v="Electric Generators, Electric Utilities"/>
    <x v="10"/>
    <n v="-253991"/>
  </r>
  <r>
    <x v="13"/>
    <x v="24"/>
    <s v="Electric Generators, Electric Utilities"/>
    <x v="6"/>
    <n v="179"/>
  </r>
  <r>
    <x v="13"/>
    <x v="24"/>
    <s v="Combined Heat and Power, Industrial Power"/>
    <x v="0"/>
    <n v="205468"/>
  </r>
  <r>
    <x v="13"/>
    <x v="24"/>
    <s v="Combined Heat and Power, Industrial Power"/>
    <x v="1"/>
    <n v="191124"/>
  </r>
  <r>
    <x v="13"/>
    <x v="24"/>
    <s v="Combined Heat and Power, Industrial Power"/>
    <x v="3"/>
    <n v="5239"/>
  </r>
  <r>
    <x v="13"/>
    <x v="24"/>
    <s v="Combined Heat and Power, Industrial Power"/>
    <x v="8"/>
    <n v="8297"/>
  </r>
  <r>
    <x v="13"/>
    <x v="24"/>
    <s v="Combined Heat and Power, Industrial Power"/>
    <x v="4"/>
    <n v="808"/>
  </r>
  <r>
    <x v="13"/>
    <x v="24"/>
    <s v="Combined Heat and Power, Commercial Power"/>
    <x v="0"/>
    <n v="134075"/>
  </r>
  <r>
    <x v="13"/>
    <x v="24"/>
    <s v="Combined Heat and Power, Commercial Power"/>
    <x v="1"/>
    <n v="116388"/>
  </r>
  <r>
    <x v="13"/>
    <x v="24"/>
    <s v="Combined Heat and Power, Commercial Power"/>
    <x v="3"/>
    <n v="14826"/>
  </r>
  <r>
    <x v="13"/>
    <x v="24"/>
    <s v="Combined Heat and Power, Commercial Power"/>
    <x v="12"/>
    <n v="2724"/>
  </r>
  <r>
    <x v="13"/>
    <x v="24"/>
    <s v="Combined Heat and Power, Commercial Power"/>
    <x v="8"/>
    <n v="0"/>
  </r>
  <r>
    <x v="13"/>
    <x v="24"/>
    <s v="Combined Heat and Power, Commercial Power"/>
    <x v="4"/>
    <n v="138"/>
  </r>
  <r>
    <x v="13"/>
    <x v="25"/>
    <s v="Total Electric Power Industry"/>
    <x v="0"/>
    <n v="40148278"/>
  </r>
  <r>
    <x v="13"/>
    <x v="25"/>
    <s v="Total Electric Power Industry"/>
    <x v="1"/>
    <n v="17082604"/>
  </r>
  <r>
    <x v="13"/>
    <x v="25"/>
    <s v="Total Electric Power Industry"/>
    <x v="3"/>
    <n v="9477233"/>
  </r>
  <r>
    <x v="13"/>
    <x v="25"/>
    <s v="Total Electric Power Industry"/>
    <x v="7"/>
    <n v="10902456"/>
  </r>
  <r>
    <x v="13"/>
    <x v="25"/>
    <s v="Total Electric Power Industry"/>
    <x v="12"/>
    <n v="156"/>
  </r>
  <r>
    <x v="13"/>
    <x v="25"/>
    <s v="Total Electric Power Industry"/>
    <x v="8"/>
    <n v="7079"/>
  </r>
  <r>
    <x v="13"/>
    <x v="25"/>
    <s v="Total Electric Power Industry"/>
    <x v="9"/>
    <n v="31799"/>
  </r>
  <r>
    <x v="13"/>
    <x v="25"/>
    <s v="Total Electric Power Industry"/>
    <x v="4"/>
    <n v="1631855"/>
  </r>
  <r>
    <x v="13"/>
    <x v="25"/>
    <s v="Total Electric Power Industry"/>
    <x v="6"/>
    <n v="1015096"/>
  </r>
  <r>
    <x v="13"/>
    <x v="25"/>
    <s v="Electric Generators, Independent Power Producers"/>
    <x v="0"/>
    <n v="7307774"/>
  </r>
  <r>
    <x v="13"/>
    <x v="25"/>
    <s v="Electric Generators, Independent Power Producers"/>
    <x v="1"/>
    <n v="3315612"/>
  </r>
  <r>
    <x v="13"/>
    <x v="25"/>
    <s v="Electric Generators, Independent Power Producers"/>
    <x v="3"/>
    <n v="3992162"/>
  </r>
  <r>
    <x v="13"/>
    <x v="25"/>
    <s v="Electric Generators, Electric Utilities"/>
    <x v="0"/>
    <n v="31358938"/>
  </r>
  <r>
    <x v="13"/>
    <x v="25"/>
    <s v="Electric Generators, Electric Utilities"/>
    <x v="1"/>
    <n v="13742273"/>
  </r>
  <r>
    <x v="13"/>
    <x v="25"/>
    <s v="Electric Generators, Electric Utilities"/>
    <x v="3"/>
    <n v="5093814"/>
  </r>
  <r>
    <x v="13"/>
    <x v="25"/>
    <s v="Electric Generators, Electric Utilities"/>
    <x v="7"/>
    <n v="10902456"/>
  </r>
  <r>
    <x v="13"/>
    <x v="25"/>
    <s v="Electric Generators, Electric Utilities"/>
    <x v="4"/>
    <n v="1620395"/>
  </r>
  <r>
    <x v="13"/>
    <x v="25"/>
    <s v="Combined Heat and Power, Industrial Power"/>
    <x v="0"/>
    <n v="1455392"/>
  </r>
  <r>
    <x v="13"/>
    <x v="25"/>
    <s v="Combined Heat and Power, Industrial Power"/>
    <x v="1"/>
    <n v="24719"/>
  </r>
  <r>
    <x v="13"/>
    <x v="25"/>
    <s v="Combined Heat and Power, Industrial Power"/>
    <x v="3"/>
    <n v="365083"/>
  </r>
  <r>
    <x v="13"/>
    <x v="25"/>
    <s v="Combined Heat and Power, Industrial Power"/>
    <x v="12"/>
    <n v="156"/>
  </r>
  <r>
    <x v="13"/>
    <x v="25"/>
    <s v="Combined Heat and Power, Industrial Power"/>
    <x v="8"/>
    <n v="7079"/>
  </r>
  <r>
    <x v="13"/>
    <x v="25"/>
    <s v="Combined Heat and Power, Industrial Power"/>
    <x v="9"/>
    <n v="31799"/>
  </r>
  <r>
    <x v="13"/>
    <x v="25"/>
    <s v="Combined Heat and Power, Industrial Power"/>
    <x v="4"/>
    <n v="11461"/>
  </r>
  <r>
    <x v="13"/>
    <x v="25"/>
    <s v="Combined Heat and Power, Industrial Power"/>
    <x v="6"/>
    <n v="1015096"/>
  </r>
  <r>
    <x v="13"/>
    <x v="25"/>
    <s v="Combined Heat and Power, Commercial Power"/>
    <x v="0"/>
    <n v="26174"/>
  </r>
  <r>
    <x v="13"/>
    <x v="25"/>
    <s v="Combined Heat and Power, Commercial Power"/>
    <x v="3"/>
    <n v="26174"/>
  </r>
  <r>
    <x v="13"/>
    <x v="26"/>
    <s v="Total Electric Power Industry"/>
    <x v="0"/>
    <n v="26268726"/>
  </r>
  <r>
    <x v="13"/>
    <x v="26"/>
    <s v="Total Electric Power Industry"/>
    <x v="1"/>
    <n v="17048635"/>
  </r>
  <r>
    <x v="13"/>
    <x v="26"/>
    <s v="Total Electric Power Industry"/>
    <x v="2"/>
    <n v="8701772"/>
  </r>
  <r>
    <x v="13"/>
    <x v="26"/>
    <s v="Total Electric Power Industry"/>
    <x v="3"/>
    <n v="25468"/>
  </r>
  <r>
    <x v="13"/>
    <x v="26"/>
    <s v="Total Electric Power Industry"/>
    <x v="9"/>
    <n v="19520"/>
  </r>
  <r>
    <x v="13"/>
    <x v="26"/>
    <s v="Total Electric Power Industry"/>
    <x v="4"/>
    <n v="402164"/>
  </r>
  <r>
    <x v="13"/>
    <x v="26"/>
    <s v="Total Electric Power Industry"/>
    <x v="6"/>
    <n v="71168"/>
  </r>
  <r>
    <x v="13"/>
    <x v="26"/>
    <s v="Electric Generators, Independent Power Producers"/>
    <x v="0"/>
    <n v="19792034"/>
  </r>
  <r>
    <x v="13"/>
    <x v="26"/>
    <s v="Electric Generators, Independent Power Producers"/>
    <x v="1"/>
    <n v="16726430"/>
  </r>
  <r>
    <x v="13"/>
    <x v="26"/>
    <s v="Electric Generators, Independent Power Producers"/>
    <x v="2"/>
    <n v="3022775"/>
  </r>
  <r>
    <x v="13"/>
    <x v="26"/>
    <s v="Electric Generators, Independent Power Producers"/>
    <x v="3"/>
    <n v="692"/>
  </r>
  <r>
    <x v="13"/>
    <x v="26"/>
    <s v="Electric Generators, Independent Power Producers"/>
    <x v="9"/>
    <n v="5308"/>
  </r>
  <r>
    <x v="13"/>
    <x v="26"/>
    <s v="Electric Generators, Independent Power Producers"/>
    <x v="4"/>
    <n v="36829"/>
  </r>
  <r>
    <x v="13"/>
    <x v="26"/>
    <s v="Electric Generators, Electric Utilities"/>
    <x v="0"/>
    <n v="6020681"/>
  </r>
  <r>
    <x v="13"/>
    <x v="26"/>
    <s v="Electric Generators, Electric Utilities"/>
    <x v="1"/>
    <n v="322205"/>
  </r>
  <r>
    <x v="13"/>
    <x v="26"/>
    <s v="Electric Generators, Electric Utilities"/>
    <x v="2"/>
    <n v="5678997"/>
  </r>
  <r>
    <x v="13"/>
    <x v="26"/>
    <s v="Electric Generators, Electric Utilities"/>
    <x v="3"/>
    <n v="17997"/>
  </r>
  <r>
    <x v="13"/>
    <x v="26"/>
    <s v="Electric Generators, Electric Utilities"/>
    <x v="9"/>
    <n v="0"/>
  </r>
  <r>
    <x v="13"/>
    <x v="26"/>
    <s v="Electric Generators, Electric Utilities"/>
    <x v="4"/>
    <n v="1482"/>
  </r>
  <r>
    <x v="13"/>
    <x v="26"/>
    <s v="Combined Heat and Power, Industrial Power"/>
    <x v="0"/>
    <n v="77947"/>
  </r>
  <r>
    <x v="13"/>
    <x v="26"/>
    <s v="Combined Heat and Power, Industrial Power"/>
    <x v="3"/>
    <n v="6779"/>
  </r>
  <r>
    <x v="13"/>
    <x v="26"/>
    <s v="Combined Heat and Power, Industrial Power"/>
    <x v="6"/>
    <n v="71168"/>
  </r>
  <r>
    <x v="13"/>
    <x v="26"/>
    <s v="Combined Heat and Power, Electric Power"/>
    <x v="0"/>
    <n v="378065"/>
  </r>
  <r>
    <x v="13"/>
    <x v="26"/>
    <s v="Combined Heat and Power, Electric Power"/>
    <x v="9"/>
    <n v="14212"/>
  </r>
  <r>
    <x v="13"/>
    <x v="26"/>
    <s v="Combined Heat and Power, Electric Power"/>
    <x v="4"/>
    <n v="363853"/>
  </r>
  <r>
    <x v="13"/>
    <x v="27"/>
    <s v="Total Electric Power Industry"/>
    <x v="0"/>
    <n v="127582319"/>
  </r>
  <r>
    <x v="13"/>
    <x v="27"/>
    <s v="Total Electric Power Industry"/>
    <x v="1"/>
    <n v="74776231"/>
  </r>
  <r>
    <x v="13"/>
    <x v="27"/>
    <s v="Total Electric Power Industry"/>
    <x v="2"/>
    <n v="7200943"/>
  </r>
  <r>
    <x v="13"/>
    <x v="27"/>
    <s v="Total Electric Power Industry"/>
    <x v="3"/>
    <n v="1580366"/>
  </r>
  <r>
    <x v="13"/>
    <x v="27"/>
    <s v="Total Electric Power Industry"/>
    <x v="7"/>
    <n v="40906900"/>
  </r>
  <r>
    <x v="13"/>
    <x v="27"/>
    <s v="Total Electric Power Industry"/>
    <x v="12"/>
    <n v="239178"/>
  </r>
  <r>
    <x v="13"/>
    <x v="27"/>
    <s v="Total Electric Power Industry"/>
    <x v="8"/>
    <n v="114053"/>
  </r>
  <r>
    <x v="13"/>
    <x v="27"/>
    <s v="Total Electric Power Industry"/>
    <x v="9"/>
    <n v="17"/>
  </r>
  <r>
    <x v="13"/>
    <x v="27"/>
    <s v="Total Electric Power Industry"/>
    <x v="4"/>
    <n v="783695"/>
  </r>
  <r>
    <x v="13"/>
    <x v="27"/>
    <s v="Total Electric Power Industry"/>
    <x v="10"/>
    <n v="119273"/>
  </r>
  <r>
    <x v="13"/>
    <x v="27"/>
    <s v="Total Electric Power Industry"/>
    <x v="6"/>
    <n v="1861663"/>
  </r>
  <r>
    <x v="13"/>
    <x v="27"/>
    <s v="Electric Generators, Independent Power Producers"/>
    <x v="0"/>
    <n v="1942758"/>
  </r>
  <r>
    <x v="13"/>
    <x v="27"/>
    <s v="Electric Generators, Independent Power Producers"/>
    <x v="2"/>
    <n v="1269298"/>
  </r>
  <r>
    <x v="13"/>
    <x v="27"/>
    <s v="Electric Generators, Independent Power Producers"/>
    <x v="3"/>
    <n v="212433"/>
  </r>
  <r>
    <x v="13"/>
    <x v="27"/>
    <s v="Electric Generators, Independent Power Producers"/>
    <x v="8"/>
    <n v="59491"/>
  </r>
  <r>
    <x v="13"/>
    <x v="27"/>
    <s v="Electric Generators, Independent Power Producers"/>
    <x v="9"/>
    <n v="17"/>
  </r>
  <r>
    <x v="13"/>
    <x v="27"/>
    <s v="Electric Generators, Independent Power Producers"/>
    <x v="4"/>
    <n v="33786"/>
  </r>
  <r>
    <x v="13"/>
    <x v="27"/>
    <s v="Electric Generators, Independent Power Producers"/>
    <x v="6"/>
    <n v="367733"/>
  </r>
  <r>
    <x v="13"/>
    <x v="27"/>
    <s v="Electric Generators, Electric Utilities"/>
    <x v="0"/>
    <n v="118433112"/>
  </r>
  <r>
    <x v="13"/>
    <x v="27"/>
    <s v="Electric Generators, Electric Utilities"/>
    <x v="1"/>
    <n v="70630278"/>
  </r>
  <r>
    <x v="13"/>
    <x v="27"/>
    <s v="Electric Generators, Electric Utilities"/>
    <x v="2"/>
    <n v="5059386"/>
  </r>
  <r>
    <x v="13"/>
    <x v="27"/>
    <s v="Electric Generators, Electric Utilities"/>
    <x v="3"/>
    <n v="1257328"/>
  </r>
  <r>
    <x v="13"/>
    <x v="27"/>
    <s v="Electric Generators, Electric Utilities"/>
    <x v="7"/>
    <n v="40906900"/>
  </r>
  <r>
    <x v="13"/>
    <x v="27"/>
    <s v="Electric Generators, Electric Utilities"/>
    <x v="4"/>
    <n v="459947"/>
  </r>
  <r>
    <x v="13"/>
    <x v="27"/>
    <s v="Electric Generators, Electric Utilities"/>
    <x v="10"/>
    <n v="119273"/>
  </r>
  <r>
    <x v="13"/>
    <x v="27"/>
    <s v="Combined Heat and Power, Industrial Power"/>
    <x v="0"/>
    <n v="3529109"/>
  </r>
  <r>
    <x v="13"/>
    <x v="27"/>
    <s v="Combined Heat and Power, Industrial Power"/>
    <x v="1"/>
    <n v="743521"/>
  </r>
  <r>
    <x v="13"/>
    <x v="27"/>
    <s v="Combined Heat and Power, Industrial Power"/>
    <x v="2"/>
    <n v="865957"/>
  </r>
  <r>
    <x v="13"/>
    <x v="27"/>
    <s v="Combined Heat and Power, Industrial Power"/>
    <x v="3"/>
    <n v="7751"/>
  </r>
  <r>
    <x v="13"/>
    <x v="27"/>
    <s v="Combined Heat and Power, Industrial Power"/>
    <x v="12"/>
    <n v="183771"/>
  </r>
  <r>
    <x v="13"/>
    <x v="27"/>
    <s v="Combined Heat and Power, Industrial Power"/>
    <x v="8"/>
    <n v="21891"/>
  </r>
  <r>
    <x v="13"/>
    <x v="27"/>
    <s v="Combined Heat and Power, Industrial Power"/>
    <x v="4"/>
    <n v="212289"/>
  </r>
  <r>
    <x v="13"/>
    <x v="27"/>
    <s v="Combined Heat and Power, Industrial Power"/>
    <x v="6"/>
    <n v="1493930"/>
  </r>
  <r>
    <x v="13"/>
    <x v="27"/>
    <s v="Combined Heat and Power, Electric Power"/>
    <x v="0"/>
    <n v="3575185"/>
  </r>
  <r>
    <x v="13"/>
    <x v="27"/>
    <s v="Combined Heat and Power, Electric Power"/>
    <x v="1"/>
    <n v="3314778"/>
  </r>
  <r>
    <x v="13"/>
    <x v="27"/>
    <s v="Combined Heat and Power, Electric Power"/>
    <x v="3"/>
    <n v="99138"/>
  </r>
  <r>
    <x v="13"/>
    <x v="27"/>
    <s v="Combined Heat and Power, Electric Power"/>
    <x v="12"/>
    <n v="55406"/>
  </r>
  <r>
    <x v="13"/>
    <x v="27"/>
    <s v="Combined Heat and Power, Electric Power"/>
    <x v="8"/>
    <n v="32672"/>
  </r>
  <r>
    <x v="13"/>
    <x v="27"/>
    <s v="Combined Heat and Power, Electric Power"/>
    <x v="9"/>
    <n v="0"/>
  </r>
  <r>
    <x v="13"/>
    <x v="27"/>
    <s v="Combined Heat and Power, Electric Power"/>
    <x v="4"/>
    <n v="73191"/>
  </r>
  <r>
    <x v="13"/>
    <x v="27"/>
    <s v="Combined Heat and Power, Electric Power"/>
    <x v="6"/>
    <n v="0"/>
  </r>
  <r>
    <x v="13"/>
    <x v="27"/>
    <s v="Combined Heat and Power, Commercial Power"/>
    <x v="0"/>
    <n v="102155"/>
  </r>
  <r>
    <x v="13"/>
    <x v="27"/>
    <s v="Combined Heat and Power, Commercial Power"/>
    <x v="1"/>
    <n v="87654"/>
  </r>
  <r>
    <x v="13"/>
    <x v="27"/>
    <s v="Combined Heat and Power, Commercial Power"/>
    <x v="2"/>
    <n v="6303"/>
  </r>
  <r>
    <x v="13"/>
    <x v="27"/>
    <s v="Combined Heat and Power, Commercial Power"/>
    <x v="3"/>
    <n v="3716"/>
  </r>
  <r>
    <x v="13"/>
    <x v="27"/>
    <s v="Combined Heat and Power, Commercial Power"/>
    <x v="4"/>
    <n v="4482"/>
  </r>
  <r>
    <x v="13"/>
    <x v="28"/>
    <s v="Total Electric Power Industry"/>
    <x v="0"/>
    <n v="31322129"/>
  </r>
  <r>
    <x v="13"/>
    <x v="28"/>
    <s v="Total Electric Power Industry"/>
    <x v="1"/>
    <n v="29427311"/>
  </r>
  <r>
    <x v="13"/>
    <x v="28"/>
    <s v="Total Electric Power Industry"/>
    <x v="2"/>
    <n v="1723904"/>
  </r>
  <r>
    <x v="13"/>
    <x v="28"/>
    <s v="Total Electric Power Industry"/>
    <x v="3"/>
    <n v="9446"/>
  </r>
  <r>
    <x v="13"/>
    <x v="28"/>
    <s v="Total Electric Power Industry"/>
    <x v="8"/>
    <n v="602"/>
  </r>
  <r>
    <x v="13"/>
    <x v="28"/>
    <s v="Total Electric Power Industry"/>
    <x v="9"/>
    <n v="50096"/>
  </r>
  <r>
    <x v="13"/>
    <x v="28"/>
    <s v="Total Electric Power Industry"/>
    <x v="4"/>
    <n v="51892"/>
  </r>
  <r>
    <x v="13"/>
    <x v="28"/>
    <s v="Total Electric Power Industry"/>
    <x v="5"/>
    <n v="58878"/>
  </r>
  <r>
    <x v="13"/>
    <x v="28"/>
    <s v="Electric Generators, Independent Power Producers"/>
    <x v="0"/>
    <n v="51718"/>
  </r>
  <r>
    <x v="13"/>
    <x v="28"/>
    <s v="Electric Generators, Independent Power Producers"/>
    <x v="5"/>
    <n v="51718"/>
  </r>
  <r>
    <x v="13"/>
    <x v="28"/>
    <s v="Electric Generators, Electric Utilities"/>
    <x v="0"/>
    <n v="31075012"/>
  </r>
  <r>
    <x v="13"/>
    <x v="28"/>
    <s v="Electric Generators, Electric Utilities"/>
    <x v="1"/>
    <n v="29298347"/>
  </r>
  <r>
    <x v="13"/>
    <x v="28"/>
    <s v="Electric Generators, Electric Utilities"/>
    <x v="2"/>
    <n v="1723904"/>
  </r>
  <r>
    <x v="13"/>
    <x v="28"/>
    <s v="Electric Generators, Electric Utilities"/>
    <x v="3"/>
    <n v="-47"/>
  </r>
  <r>
    <x v="13"/>
    <x v="28"/>
    <s v="Electric Generators, Electric Utilities"/>
    <x v="4"/>
    <n v="45648"/>
  </r>
  <r>
    <x v="13"/>
    <x v="28"/>
    <s v="Electric Generators, Electric Utilities"/>
    <x v="5"/>
    <n v="7160"/>
  </r>
  <r>
    <x v="13"/>
    <x v="28"/>
    <s v="Combined Heat and Power, Industrial Power"/>
    <x v="0"/>
    <n v="195399"/>
  </r>
  <r>
    <x v="13"/>
    <x v="28"/>
    <s v="Combined Heat and Power, Industrial Power"/>
    <x v="1"/>
    <n v="128964"/>
  </r>
  <r>
    <x v="13"/>
    <x v="28"/>
    <s v="Combined Heat and Power, Industrial Power"/>
    <x v="3"/>
    <n v="9493"/>
  </r>
  <r>
    <x v="13"/>
    <x v="28"/>
    <s v="Combined Heat and Power, Industrial Power"/>
    <x v="8"/>
    <n v="602"/>
  </r>
  <r>
    <x v="13"/>
    <x v="28"/>
    <s v="Combined Heat and Power, Industrial Power"/>
    <x v="9"/>
    <n v="50096"/>
  </r>
  <r>
    <x v="13"/>
    <x v="28"/>
    <s v="Combined Heat and Power, Industrial Power"/>
    <x v="4"/>
    <n v="6244"/>
  </r>
  <r>
    <x v="13"/>
    <x v="29"/>
    <s v="Total Electric Power Industry"/>
    <x v="0"/>
    <n v="30455984"/>
  </r>
  <r>
    <x v="13"/>
    <x v="29"/>
    <s v="Total Electric Power Industry"/>
    <x v="1"/>
    <n v="20954173"/>
  </r>
  <r>
    <x v="13"/>
    <x v="29"/>
    <s v="Total Electric Power Industry"/>
    <x v="2"/>
    <n v="980110"/>
  </r>
  <r>
    <x v="13"/>
    <x v="29"/>
    <s v="Total Electric Power Industry"/>
    <x v="3"/>
    <n v="381078"/>
  </r>
  <r>
    <x v="13"/>
    <x v="29"/>
    <s v="Total Electric Power Industry"/>
    <x v="7"/>
    <n v="7996902"/>
  </r>
  <r>
    <x v="13"/>
    <x v="29"/>
    <s v="Total Electric Power Industry"/>
    <x v="12"/>
    <n v="0"/>
  </r>
  <r>
    <x v="13"/>
    <x v="29"/>
    <s v="Total Electric Power Industry"/>
    <x v="8"/>
    <n v="56442"/>
  </r>
  <r>
    <x v="13"/>
    <x v="29"/>
    <s v="Total Electric Power Industry"/>
    <x v="9"/>
    <n v="206"/>
  </r>
  <r>
    <x v="13"/>
    <x v="29"/>
    <s v="Total Electric Power Industry"/>
    <x v="4"/>
    <n v="48852"/>
  </r>
  <r>
    <x v="13"/>
    <x v="29"/>
    <s v="Total Electric Power Industry"/>
    <x v="5"/>
    <n v="38221"/>
  </r>
  <r>
    <x v="13"/>
    <x v="29"/>
    <s v="Electric Generators, Electric Utilities"/>
    <x v="0"/>
    <n v="30367879"/>
  </r>
  <r>
    <x v="13"/>
    <x v="29"/>
    <s v="Electric Generators, Electric Utilities"/>
    <x v="1"/>
    <n v="20907970"/>
  </r>
  <r>
    <x v="13"/>
    <x v="29"/>
    <s v="Electric Generators, Electric Utilities"/>
    <x v="2"/>
    <n v="980110"/>
  </r>
  <r>
    <x v="13"/>
    <x v="29"/>
    <s v="Electric Generators, Electric Utilities"/>
    <x v="3"/>
    <n v="369409"/>
  </r>
  <r>
    <x v="13"/>
    <x v="29"/>
    <s v="Electric Generators, Electric Utilities"/>
    <x v="7"/>
    <n v="7996902"/>
  </r>
  <r>
    <x v="13"/>
    <x v="29"/>
    <s v="Electric Generators, Electric Utilities"/>
    <x v="12"/>
    <n v="0"/>
  </r>
  <r>
    <x v="13"/>
    <x v="29"/>
    <s v="Electric Generators, Electric Utilities"/>
    <x v="8"/>
    <n v="27090"/>
  </r>
  <r>
    <x v="13"/>
    <x v="29"/>
    <s v="Electric Generators, Electric Utilities"/>
    <x v="9"/>
    <n v="206"/>
  </r>
  <r>
    <x v="13"/>
    <x v="29"/>
    <s v="Electric Generators, Electric Utilities"/>
    <x v="4"/>
    <n v="47971"/>
  </r>
  <r>
    <x v="13"/>
    <x v="29"/>
    <s v="Electric Generators, Electric Utilities"/>
    <x v="5"/>
    <n v="38221"/>
  </r>
  <r>
    <x v="13"/>
    <x v="29"/>
    <s v="Combined Heat and Power, Industrial Power"/>
    <x v="0"/>
    <n v="46203"/>
  </r>
  <r>
    <x v="13"/>
    <x v="29"/>
    <s v="Combined Heat and Power, Industrial Power"/>
    <x v="1"/>
    <n v="46203"/>
  </r>
  <r>
    <x v="13"/>
    <x v="29"/>
    <s v="Combined Heat and Power, Industrial Power"/>
    <x v="3"/>
    <n v="0"/>
  </r>
  <r>
    <x v="13"/>
    <x v="29"/>
    <s v="Combined Heat and Power, Electric Power"/>
    <x v="0"/>
    <n v="21444"/>
  </r>
  <r>
    <x v="13"/>
    <x v="29"/>
    <s v="Combined Heat and Power, Electric Power"/>
    <x v="3"/>
    <n v="2538"/>
  </r>
  <r>
    <x v="13"/>
    <x v="29"/>
    <s v="Combined Heat and Power, Electric Power"/>
    <x v="8"/>
    <n v="18906"/>
  </r>
  <r>
    <x v="13"/>
    <x v="29"/>
    <s v="Combined Heat and Power, Commercial Power"/>
    <x v="0"/>
    <n v="20458"/>
  </r>
  <r>
    <x v="13"/>
    <x v="29"/>
    <s v="Combined Heat and Power, Commercial Power"/>
    <x v="3"/>
    <n v="9131"/>
  </r>
  <r>
    <x v="13"/>
    <x v="29"/>
    <s v="Combined Heat and Power, Commercial Power"/>
    <x v="8"/>
    <n v="10446"/>
  </r>
  <r>
    <x v="13"/>
    <x v="29"/>
    <s v="Combined Heat and Power, Commercial Power"/>
    <x v="4"/>
    <n v="881"/>
  </r>
  <r>
    <x v="13"/>
    <x v="30"/>
    <s v="Total Electric Power Industry"/>
    <x v="0"/>
    <n v="21597107"/>
  </r>
  <r>
    <x v="13"/>
    <x v="30"/>
    <s v="Total Electric Power Industry"/>
    <x v="1"/>
    <n v="3923303"/>
  </r>
  <r>
    <x v="13"/>
    <x v="30"/>
    <s v="Total Electric Power Industry"/>
    <x v="2"/>
    <n v="1331269"/>
  </r>
  <r>
    <x v="13"/>
    <x v="30"/>
    <s v="Total Electric Power Industry"/>
    <x v="3"/>
    <n v="4165465"/>
  </r>
  <r>
    <x v="13"/>
    <x v="30"/>
    <s v="Total Electric Power Industry"/>
    <x v="7"/>
    <n v="9276288"/>
  </r>
  <r>
    <x v="13"/>
    <x v="30"/>
    <s v="Total Electric Power Industry"/>
    <x v="12"/>
    <n v="60360"/>
  </r>
  <r>
    <x v="13"/>
    <x v="30"/>
    <s v="Total Electric Power Industry"/>
    <x v="8"/>
    <n v="158520"/>
  </r>
  <r>
    <x v="13"/>
    <x v="30"/>
    <s v="Total Electric Power Industry"/>
    <x v="4"/>
    <n v="2044527"/>
  </r>
  <r>
    <x v="13"/>
    <x v="30"/>
    <s v="Total Electric Power Industry"/>
    <x v="6"/>
    <n v="637376"/>
  </r>
  <r>
    <x v="13"/>
    <x v="30"/>
    <s v="Electric Generators, Independent Power Producers"/>
    <x v="0"/>
    <n v="15013888"/>
  </r>
  <r>
    <x v="13"/>
    <x v="30"/>
    <s v="Electric Generators, Independent Power Producers"/>
    <x v="2"/>
    <n v="838037"/>
  </r>
  <r>
    <x v="13"/>
    <x v="30"/>
    <s v="Electric Generators, Independent Power Producers"/>
    <x v="3"/>
    <n v="4024211"/>
  </r>
  <r>
    <x v="13"/>
    <x v="30"/>
    <s v="Electric Generators, Independent Power Producers"/>
    <x v="7"/>
    <n v="9276288"/>
  </r>
  <r>
    <x v="13"/>
    <x v="30"/>
    <s v="Electric Generators, Independent Power Producers"/>
    <x v="12"/>
    <n v="60360"/>
  </r>
  <r>
    <x v="13"/>
    <x v="30"/>
    <s v="Electric Generators, Independent Power Producers"/>
    <x v="8"/>
    <n v="158520"/>
  </r>
  <r>
    <x v="13"/>
    <x v="30"/>
    <s v="Electric Generators, Independent Power Producers"/>
    <x v="4"/>
    <n v="21285"/>
  </r>
  <r>
    <x v="13"/>
    <x v="30"/>
    <s v="Electric Generators, Independent Power Producers"/>
    <x v="6"/>
    <n v="635187"/>
  </r>
  <r>
    <x v="13"/>
    <x v="30"/>
    <s v="Electric Generators, Electric Utilities"/>
    <x v="0"/>
    <n v="6231573"/>
  </r>
  <r>
    <x v="13"/>
    <x v="30"/>
    <s v="Electric Generators, Electric Utilities"/>
    <x v="1"/>
    <n v="3923303"/>
  </r>
  <r>
    <x v="13"/>
    <x v="30"/>
    <s v="Electric Generators, Electric Utilities"/>
    <x v="2"/>
    <n v="331491"/>
  </r>
  <r>
    <x v="13"/>
    <x v="30"/>
    <s v="Electric Generators, Electric Utilities"/>
    <x v="3"/>
    <n v="87"/>
  </r>
  <r>
    <x v="13"/>
    <x v="30"/>
    <s v="Electric Generators, Electric Utilities"/>
    <x v="4"/>
    <n v="1976692"/>
  </r>
  <r>
    <x v="13"/>
    <x v="30"/>
    <s v="Combined Heat and Power, Industrial Power"/>
    <x v="0"/>
    <n v="318032"/>
  </r>
  <r>
    <x v="13"/>
    <x v="30"/>
    <s v="Combined Heat and Power, Industrial Power"/>
    <x v="2"/>
    <n v="161741"/>
  </r>
  <r>
    <x v="13"/>
    <x v="30"/>
    <s v="Combined Heat and Power, Industrial Power"/>
    <x v="3"/>
    <n v="141167"/>
  </r>
  <r>
    <x v="13"/>
    <x v="30"/>
    <s v="Combined Heat and Power, Industrial Power"/>
    <x v="4"/>
    <n v="12935"/>
  </r>
  <r>
    <x v="13"/>
    <x v="30"/>
    <s v="Combined Heat and Power, Industrial Power"/>
    <x v="6"/>
    <n v="2189"/>
  </r>
  <r>
    <x v="13"/>
    <x v="30"/>
    <s v="Combined Heat and Power, Commercial Power"/>
    <x v="0"/>
    <n v="33614"/>
  </r>
  <r>
    <x v="13"/>
    <x v="30"/>
    <s v="Combined Heat and Power, Commercial Power"/>
    <x v="4"/>
    <n v="33614"/>
  </r>
  <r>
    <x v="13"/>
    <x v="31"/>
    <s v="Total Electric Power Industry"/>
    <x v="0"/>
    <n v="57399351"/>
  </r>
  <r>
    <x v="13"/>
    <x v="31"/>
    <s v="Total Electric Power Industry"/>
    <x v="1"/>
    <n v="9789563"/>
  </r>
  <r>
    <x v="13"/>
    <x v="31"/>
    <s v="Total Electric Power Industry"/>
    <x v="2"/>
    <n v="38891"/>
  </r>
  <r>
    <x v="13"/>
    <x v="31"/>
    <s v="Total Electric Power Industry"/>
    <x v="3"/>
    <n v="14775577"/>
  </r>
  <r>
    <x v="13"/>
    <x v="31"/>
    <s v="Total Electric Power Industry"/>
    <x v="7"/>
    <n v="29709201"/>
  </r>
  <r>
    <x v="13"/>
    <x v="31"/>
    <s v="Total Electric Power Industry"/>
    <x v="12"/>
    <n v="502304"/>
  </r>
  <r>
    <x v="13"/>
    <x v="31"/>
    <s v="Total Electric Power Industry"/>
    <x v="8"/>
    <n v="906771"/>
  </r>
  <r>
    <x v="13"/>
    <x v="31"/>
    <s v="Total Electric Power Industry"/>
    <x v="9"/>
    <n v="255374"/>
  </r>
  <r>
    <x v="13"/>
    <x v="31"/>
    <s v="Total Electric Power Industry"/>
    <x v="4"/>
    <n v="1541553"/>
  </r>
  <r>
    <x v="13"/>
    <x v="31"/>
    <s v="Total Electric Power Industry"/>
    <x v="10"/>
    <n v="-119882"/>
  </r>
  <r>
    <x v="13"/>
    <x v="31"/>
    <s v="Electric Generators, Independent Power Producers"/>
    <x v="0"/>
    <n v="41228304"/>
  </r>
  <r>
    <x v="13"/>
    <x v="31"/>
    <s v="Electric Generators, Independent Power Producers"/>
    <x v="1"/>
    <n v="4992755"/>
  </r>
  <r>
    <x v="13"/>
    <x v="31"/>
    <s v="Electric Generators, Independent Power Producers"/>
    <x v="2"/>
    <n v="38891"/>
  </r>
  <r>
    <x v="13"/>
    <x v="31"/>
    <s v="Electric Generators, Independent Power Producers"/>
    <x v="3"/>
    <n v="4282200"/>
  </r>
  <r>
    <x v="13"/>
    <x v="31"/>
    <s v="Electric Generators, Independent Power Producers"/>
    <x v="7"/>
    <n v="29709201"/>
  </r>
  <r>
    <x v="13"/>
    <x v="31"/>
    <s v="Electric Generators, Independent Power Producers"/>
    <x v="12"/>
    <n v="491761"/>
  </r>
  <r>
    <x v="13"/>
    <x v="31"/>
    <s v="Electric Generators, Independent Power Producers"/>
    <x v="8"/>
    <n v="773501"/>
  </r>
  <r>
    <x v="13"/>
    <x v="31"/>
    <s v="Electric Generators, Independent Power Producers"/>
    <x v="9"/>
    <n v="1256"/>
  </r>
  <r>
    <x v="13"/>
    <x v="31"/>
    <s v="Electric Generators, Independent Power Producers"/>
    <x v="4"/>
    <n v="938739"/>
  </r>
  <r>
    <x v="13"/>
    <x v="31"/>
    <s v="Electric Generators, Electric Utilities"/>
    <x v="0"/>
    <n v="1910115"/>
  </r>
  <r>
    <x v="13"/>
    <x v="31"/>
    <s v="Electric Generators, Electric Utilities"/>
    <x v="1"/>
    <n v="1792734"/>
  </r>
  <r>
    <x v="13"/>
    <x v="31"/>
    <s v="Electric Generators, Electric Utilities"/>
    <x v="3"/>
    <n v="28246"/>
  </r>
  <r>
    <x v="13"/>
    <x v="31"/>
    <s v="Electric Generators, Electric Utilities"/>
    <x v="4"/>
    <n v="209017"/>
  </r>
  <r>
    <x v="13"/>
    <x v="31"/>
    <s v="Electric Generators, Electric Utilities"/>
    <x v="10"/>
    <n v="-119882"/>
  </r>
  <r>
    <x v="13"/>
    <x v="31"/>
    <s v="Combined Heat and Power, Industrial Power"/>
    <x v="0"/>
    <n v="1350960"/>
  </r>
  <r>
    <x v="13"/>
    <x v="31"/>
    <s v="Combined Heat and Power, Industrial Power"/>
    <x v="3"/>
    <n v="979894"/>
  </r>
  <r>
    <x v="13"/>
    <x v="31"/>
    <s v="Combined Heat and Power, Industrial Power"/>
    <x v="12"/>
    <n v="10543"/>
  </r>
  <r>
    <x v="13"/>
    <x v="31"/>
    <s v="Combined Heat and Power, Industrial Power"/>
    <x v="8"/>
    <n v="0"/>
  </r>
  <r>
    <x v="13"/>
    <x v="31"/>
    <s v="Combined Heat and Power, Industrial Power"/>
    <x v="9"/>
    <n v="254118"/>
  </r>
  <r>
    <x v="13"/>
    <x v="31"/>
    <s v="Combined Heat and Power, Industrial Power"/>
    <x v="4"/>
    <n v="106405"/>
  </r>
  <r>
    <x v="13"/>
    <x v="31"/>
    <s v="Combined Heat and Power, Electric Power"/>
    <x v="0"/>
    <n v="12777285"/>
  </r>
  <r>
    <x v="13"/>
    <x v="31"/>
    <s v="Combined Heat and Power, Electric Power"/>
    <x v="1"/>
    <n v="3004074"/>
  </r>
  <r>
    <x v="13"/>
    <x v="31"/>
    <s v="Combined Heat and Power, Electric Power"/>
    <x v="3"/>
    <n v="9355542"/>
  </r>
  <r>
    <x v="13"/>
    <x v="31"/>
    <s v="Combined Heat and Power, Electric Power"/>
    <x v="8"/>
    <n v="133176"/>
  </r>
  <r>
    <x v="13"/>
    <x v="31"/>
    <s v="Combined Heat and Power, Electric Power"/>
    <x v="4"/>
    <n v="284493"/>
  </r>
  <r>
    <x v="13"/>
    <x v="31"/>
    <s v="Combined Heat and Power, Commercial Power"/>
    <x v="0"/>
    <n v="132687"/>
  </r>
  <r>
    <x v="13"/>
    <x v="31"/>
    <s v="Combined Heat and Power, Commercial Power"/>
    <x v="3"/>
    <n v="129695"/>
  </r>
  <r>
    <x v="13"/>
    <x v="31"/>
    <s v="Combined Heat and Power, Commercial Power"/>
    <x v="8"/>
    <n v="94"/>
  </r>
  <r>
    <x v="13"/>
    <x v="31"/>
    <s v="Combined Heat and Power, Commercial Power"/>
    <x v="4"/>
    <n v="2898"/>
  </r>
  <r>
    <x v="13"/>
    <x v="32"/>
    <s v="Total Electric Power Industry"/>
    <x v="0"/>
    <n v="32735653"/>
  </r>
  <r>
    <x v="13"/>
    <x v="32"/>
    <s v="Total Electric Power Industry"/>
    <x v="1"/>
    <n v="28812844"/>
  </r>
  <r>
    <x v="13"/>
    <x v="32"/>
    <s v="Total Electric Power Industry"/>
    <x v="2"/>
    <n v="170699"/>
  </r>
  <r>
    <x v="13"/>
    <x v="32"/>
    <s v="Total Electric Power Industry"/>
    <x v="3"/>
    <n v="3518705"/>
  </r>
  <r>
    <x v="13"/>
    <x v="32"/>
    <s v="Total Electric Power Industry"/>
    <x v="8"/>
    <n v="0"/>
  </r>
  <r>
    <x v="13"/>
    <x v="32"/>
    <s v="Total Electric Power Industry"/>
    <x v="4"/>
    <n v="50669"/>
  </r>
  <r>
    <x v="13"/>
    <x v="32"/>
    <s v="Total Electric Power Industry"/>
    <x v="5"/>
    <n v="182735"/>
  </r>
  <r>
    <x v="13"/>
    <x v="32"/>
    <s v="Electric Generators, Independent Power Producers"/>
    <x v="0"/>
    <n v="273315"/>
  </r>
  <r>
    <x v="13"/>
    <x v="32"/>
    <s v="Electric Generators, Independent Power Producers"/>
    <x v="3"/>
    <n v="89092"/>
  </r>
  <r>
    <x v="13"/>
    <x v="32"/>
    <s v="Electric Generators, Independent Power Producers"/>
    <x v="4"/>
    <n v="1488"/>
  </r>
  <r>
    <x v="13"/>
    <x v="32"/>
    <s v="Electric Generators, Independent Power Producers"/>
    <x v="5"/>
    <n v="182735"/>
  </r>
  <r>
    <x v="13"/>
    <x v="32"/>
    <s v="Electric Generators, Electric Utilities"/>
    <x v="0"/>
    <n v="31770151"/>
  </r>
  <r>
    <x v="13"/>
    <x v="32"/>
    <s v="Electric Generators, Electric Utilities"/>
    <x v="1"/>
    <n v="28812844"/>
  </r>
  <r>
    <x v="13"/>
    <x v="32"/>
    <s v="Electric Generators, Electric Utilities"/>
    <x v="2"/>
    <n v="170699"/>
  </r>
  <r>
    <x v="13"/>
    <x v="32"/>
    <s v="Electric Generators, Electric Utilities"/>
    <x v="3"/>
    <n v="2738748"/>
  </r>
  <r>
    <x v="13"/>
    <x v="32"/>
    <s v="Electric Generators, Electric Utilities"/>
    <x v="4"/>
    <n v="47860"/>
  </r>
  <r>
    <x v="13"/>
    <x v="32"/>
    <s v="Combined Heat and Power, Industrial Power"/>
    <x v="0"/>
    <n v="133423"/>
  </r>
  <r>
    <x v="13"/>
    <x v="32"/>
    <s v="Combined Heat and Power, Industrial Power"/>
    <x v="3"/>
    <n v="132102"/>
  </r>
  <r>
    <x v="13"/>
    <x v="32"/>
    <s v="Combined Heat and Power, Industrial Power"/>
    <x v="4"/>
    <n v="1321"/>
  </r>
  <r>
    <x v="13"/>
    <x v="32"/>
    <s v="Combined Heat and Power, Electric Power"/>
    <x v="0"/>
    <n v="504173"/>
  </r>
  <r>
    <x v="13"/>
    <x v="32"/>
    <s v="Combined Heat and Power, Electric Power"/>
    <x v="3"/>
    <n v="504173"/>
  </r>
  <r>
    <x v="13"/>
    <x v="32"/>
    <s v="Combined Heat and Power, Electric Power"/>
    <x v="8"/>
    <n v="0"/>
  </r>
  <r>
    <x v="13"/>
    <x v="32"/>
    <s v="Combined Heat and Power, Commercial Power"/>
    <x v="0"/>
    <n v="54590"/>
  </r>
  <r>
    <x v="13"/>
    <x v="32"/>
    <s v="Combined Heat and Power, Commercial Power"/>
    <x v="3"/>
    <n v="54590"/>
  </r>
  <r>
    <x v="13"/>
    <x v="33"/>
    <s v="Total Electric Power Industry"/>
    <x v="0"/>
    <n v="33194888"/>
  </r>
  <r>
    <x v="13"/>
    <x v="33"/>
    <s v="Total Electric Power Industry"/>
    <x v="1"/>
    <n v="17085959"/>
  </r>
  <r>
    <x v="13"/>
    <x v="33"/>
    <s v="Total Electric Power Industry"/>
    <x v="11"/>
    <n v="1065711"/>
  </r>
  <r>
    <x v="13"/>
    <x v="33"/>
    <s v="Total Electric Power Industry"/>
    <x v="2"/>
    <n v="1756705"/>
  </r>
  <r>
    <x v="13"/>
    <x v="33"/>
    <s v="Total Electric Power Industry"/>
    <x v="3"/>
    <n v="13252779"/>
  </r>
  <r>
    <x v="13"/>
    <x v="33"/>
    <s v="Total Electric Power Industry"/>
    <x v="9"/>
    <n v="16941"/>
  </r>
  <r>
    <x v="13"/>
    <x v="33"/>
    <s v="Total Electric Power Industry"/>
    <x v="4"/>
    <n v="16793"/>
  </r>
  <r>
    <x v="13"/>
    <x v="33"/>
    <s v="Electric Generators, Independent Power Producers"/>
    <x v="0"/>
    <n v="5324279"/>
  </r>
  <r>
    <x v="13"/>
    <x v="33"/>
    <s v="Electric Generators, Independent Power Producers"/>
    <x v="11"/>
    <n v="1065711"/>
  </r>
  <r>
    <x v="13"/>
    <x v="33"/>
    <s v="Electric Generators, Independent Power Producers"/>
    <x v="2"/>
    <n v="8767"/>
  </r>
  <r>
    <x v="13"/>
    <x v="33"/>
    <s v="Electric Generators, Independent Power Producers"/>
    <x v="3"/>
    <n v="4249801"/>
  </r>
  <r>
    <x v="13"/>
    <x v="33"/>
    <s v="Electric Generators, Independent Power Producers"/>
    <x v="4"/>
    <n v="0"/>
  </r>
  <r>
    <x v="13"/>
    <x v="33"/>
    <s v="Electric Generators, Electric Utilities"/>
    <x v="0"/>
    <n v="24634871"/>
  </r>
  <r>
    <x v="13"/>
    <x v="33"/>
    <s v="Electric Generators, Electric Utilities"/>
    <x v="1"/>
    <n v="17085959"/>
  </r>
  <r>
    <x v="13"/>
    <x v="33"/>
    <s v="Electric Generators, Electric Utilities"/>
    <x v="2"/>
    <n v="1747938"/>
  </r>
  <r>
    <x v="13"/>
    <x v="33"/>
    <s v="Electric Generators, Electric Utilities"/>
    <x v="3"/>
    <n v="5784181"/>
  </r>
  <r>
    <x v="13"/>
    <x v="33"/>
    <s v="Electric Generators, Electric Utilities"/>
    <x v="4"/>
    <n v="16793"/>
  </r>
  <r>
    <x v="13"/>
    <x v="33"/>
    <s v="Combined Heat and Power, Electric Power"/>
    <x v="0"/>
    <n v="3235738"/>
  </r>
  <r>
    <x v="13"/>
    <x v="33"/>
    <s v="Combined Heat and Power, Electric Power"/>
    <x v="3"/>
    <n v="3218797"/>
  </r>
  <r>
    <x v="13"/>
    <x v="33"/>
    <s v="Combined Heat and Power, Electric Power"/>
    <x v="9"/>
    <n v="16941"/>
  </r>
  <r>
    <x v="13"/>
    <x v="34"/>
    <s v="Total Electric Power Industry"/>
    <x v="0"/>
    <n v="137643316"/>
  </r>
  <r>
    <x v="13"/>
    <x v="34"/>
    <s v="Total Electric Power Industry"/>
    <x v="1"/>
    <n v="23581067"/>
  </r>
  <r>
    <x v="13"/>
    <x v="34"/>
    <s v="Total Electric Power Industry"/>
    <x v="2"/>
    <n v="24268660"/>
  </r>
  <r>
    <x v="13"/>
    <x v="34"/>
    <s v="Total Electric Power Industry"/>
    <x v="3"/>
    <n v="28156348"/>
  </r>
  <r>
    <x v="13"/>
    <x v="34"/>
    <s v="Total Electric Power Industry"/>
    <x v="7"/>
    <n v="40679205"/>
  </r>
  <r>
    <x v="13"/>
    <x v="34"/>
    <s v="Total Electric Power Industry"/>
    <x v="12"/>
    <n v="842742"/>
  </r>
  <r>
    <x v="13"/>
    <x v="34"/>
    <s v="Total Electric Power Industry"/>
    <x v="8"/>
    <n v="1282723"/>
  </r>
  <r>
    <x v="13"/>
    <x v="34"/>
    <s v="Total Electric Power Industry"/>
    <x v="4"/>
    <n v="19291600"/>
  </r>
  <r>
    <x v="13"/>
    <x v="34"/>
    <s v="Total Electric Power Industry"/>
    <x v="10"/>
    <n v="-911806"/>
  </r>
  <r>
    <x v="13"/>
    <x v="34"/>
    <s v="Total Electric Power Industry"/>
    <x v="5"/>
    <n v="41201"/>
  </r>
  <r>
    <x v="13"/>
    <x v="34"/>
    <s v="Total Electric Power Industry"/>
    <x v="6"/>
    <n v="411576"/>
  </r>
  <r>
    <x v="13"/>
    <x v="34"/>
    <s v="Electric Generators, Independent Power Producers"/>
    <x v="0"/>
    <n v="77979164"/>
  </r>
  <r>
    <x v="13"/>
    <x v="34"/>
    <s v="Electric Generators, Independent Power Producers"/>
    <x v="1"/>
    <n v="19966125"/>
  </r>
  <r>
    <x v="13"/>
    <x v="34"/>
    <s v="Electric Generators, Independent Power Producers"/>
    <x v="2"/>
    <n v="4674903"/>
  </r>
  <r>
    <x v="13"/>
    <x v="34"/>
    <s v="Electric Generators, Independent Power Producers"/>
    <x v="3"/>
    <n v="5625490"/>
  </r>
  <r>
    <x v="13"/>
    <x v="34"/>
    <s v="Electric Generators, Independent Power Producers"/>
    <x v="7"/>
    <n v="36815186"/>
  </r>
  <r>
    <x v="13"/>
    <x v="34"/>
    <s v="Electric Generators, Independent Power Producers"/>
    <x v="12"/>
    <n v="602505"/>
  </r>
  <r>
    <x v="13"/>
    <x v="34"/>
    <s v="Electric Generators, Independent Power Producers"/>
    <x v="8"/>
    <n v="989098"/>
  </r>
  <r>
    <x v="13"/>
    <x v="34"/>
    <s v="Electric Generators, Independent Power Producers"/>
    <x v="4"/>
    <n v="9145890"/>
  </r>
  <r>
    <x v="13"/>
    <x v="34"/>
    <s v="Electric Generators, Independent Power Producers"/>
    <x v="5"/>
    <n v="41201"/>
  </r>
  <r>
    <x v="13"/>
    <x v="34"/>
    <s v="Electric Generators, Independent Power Producers"/>
    <x v="6"/>
    <n v="118766"/>
  </r>
  <r>
    <x v="13"/>
    <x v="34"/>
    <s v="Electric Generators, Electric Utilities"/>
    <x v="0"/>
    <n v="41578894"/>
  </r>
  <r>
    <x v="13"/>
    <x v="34"/>
    <s v="Electric Generators, Electric Utilities"/>
    <x v="1"/>
    <n v="1693854"/>
  </r>
  <r>
    <x v="13"/>
    <x v="34"/>
    <s v="Electric Generators, Electric Utilities"/>
    <x v="2"/>
    <n v="19513620"/>
  </r>
  <r>
    <x v="13"/>
    <x v="34"/>
    <s v="Electric Generators, Electric Utilities"/>
    <x v="3"/>
    <n v="7737717"/>
  </r>
  <r>
    <x v="13"/>
    <x v="34"/>
    <s v="Electric Generators, Electric Utilities"/>
    <x v="7"/>
    <n v="3864019"/>
  </r>
  <r>
    <x v="13"/>
    <x v="34"/>
    <s v="Electric Generators, Electric Utilities"/>
    <x v="4"/>
    <n v="9681490"/>
  </r>
  <r>
    <x v="13"/>
    <x v="34"/>
    <s v="Electric Generators, Electric Utilities"/>
    <x v="10"/>
    <n v="-911806"/>
  </r>
  <r>
    <x v="13"/>
    <x v="34"/>
    <s v="Combined Heat and Power, Industrial Power"/>
    <x v="0"/>
    <n v="1919689"/>
  </r>
  <r>
    <x v="13"/>
    <x v="34"/>
    <s v="Combined Heat and Power, Industrial Power"/>
    <x v="1"/>
    <n v="636027"/>
  </r>
  <r>
    <x v="13"/>
    <x v="34"/>
    <s v="Combined Heat and Power, Industrial Power"/>
    <x v="2"/>
    <n v="80133"/>
  </r>
  <r>
    <x v="13"/>
    <x v="34"/>
    <s v="Combined Heat and Power, Industrial Power"/>
    <x v="3"/>
    <n v="862239"/>
  </r>
  <r>
    <x v="13"/>
    <x v="34"/>
    <s v="Combined Heat and Power, Industrial Power"/>
    <x v="4"/>
    <n v="165052"/>
  </r>
  <r>
    <x v="13"/>
    <x v="34"/>
    <s v="Combined Heat and Power, Industrial Power"/>
    <x v="6"/>
    <n v="176238"/>
  </r>
  <r>
    <x v="13"/>
    <x v="34"/>
    <s v="Combined Heat and Power, Electric Power"/>
    <x v="0"/>
    <n v="15614581"/>
  </r>
  <r>
    <x v="13"/>
    <x v="34"/>
    <s v="Combined Heat and Power, Electric Power"/>
    <x v="1"/>
    <n v="1258531"/>
  </r>
  <r>
    <x v="13"/>
    <x v="34"/>
    <s v="Combined Heat and Power, Electric Power"/>
    <x v="3"/>
    <n v="13743053"/>
  </r>
  <r>
    <x v="13"/>
    <x v="34"/>
    <s v="Combined Heat and Power, Electric Power"/>
    <x v="12"/>
    <n v="135768"/>
  </r>
  <r>
    <x v="13"/>
    <x v="34"/>
    <s v="Combined Heat and Power, Electric Power"/>
    <x v="8"/>
    <n v="165938"/>
  </r>
  <r>
    <x v="13"/>
    <x v="34"/>
    <s v="Combined Heat and Power, Electric Power"/>
    <x v="4"/>
    <n v="194718"/>
  </r>
  <r>
    <x v="13"/>
    <x v="34"/>
    <s v="Combined Heat and Power, Electric Power"/>
    <x v="6"/>
    <n v="116572"/>
  </r>
  <r>
    <x v="13"/>
    <x v="34"/>
    <s v="Combined Heat and Power, Commercial Power"/>
    <x v="0"/>
    <n v="550988"/>
  </r>
  <r>
    <x v="13"/>
    <x v="34"/>
    <s v="Combined Heat and Power, Commercial Power"/>
    <x v="1"/>
    <n v="26530"/>
  </r>
  <r>
    <x v="13"/>
    <x v="34"/>
    <s v="Combined Heat and Power, Commercial Power"/>
    <x v="2"/>
    <n v="4"/>
  </r>
  <r>
    <x v="13"/>
    <x v="34"/>
    <s v="Combined Heat and Power, Commercial Power"/>
    <x v="3"/>
    <n v="187849"/>
  </r>
  <r>
    <x v="13"/>
    <x v="34"/>
    <s v="Combined Heat and Power, Commercial Power"/>
    <x v="12"/>
    <n v="104470"/>
  </r>
  <r>
    <x v="13"/>
    <x v="34"/>
    <s v="Combined Heat and Power, Commercial Power"/>
    <x v="8"/>
    <n v="127686"/>
  </r>
  <r>
    <x v="13"/>
    <x v="34"/>
    <s v="Combined Heat and Power, Commercial Power"/>
    <x v="4"/>
    <n v="104449"/>
  </r>
  <r>
    <x v="13"/>
    <x v="35"/>
    <s v="Total Electric Power Industry"/>
    <x v="0"/>
    <n v="146638128"/>
  </r>
  <r>
    <x v="13"/>
    <x v="35"/>
    <s v="Total Electric Power Industry"/>
    <x v="1"/>
    <n v="134769137"/>
  </r>
  <r>
    <x v="13"/>
    <x v="35"/>
    <s v="Total Electric Power Industry"/>
    <x v="2"/>
    <n v="510835"/>
  </r>
  <r>
    <x v="13"/>
    <x v="35"/>
    <s v="Total Electric Power Industry"/>
    <x v="3"/>
    <n v="1793584"/>
  </r>
  <r>
    <x v="13"/>
    <x v="35"/>
    <s v="Total Electric Power Industry"/>
    <x v="7"/>
    <n v="8475016"/>
  </r>
  <r>
    <x v="13"/>
    <x v="35"/>
    <s v="Total Electric Power Industry"/>
    <x v="12"/>
    <n v="26163"/>
  </r>
  <r>
    <x v="13"/>
    <x v="35"/>
    <s v="Total Electric Power Industry"/>
    <x v="8"/>
    <n v="33300"/>
  </r>
  <r>
    <x v="13"/>
    <x v="35"/>
    <s v="Total Electric Power Industry"/>
    <x v="9"/>
    <n v="212523"/>
  </r>
  <r>
    <x v="13"/>
    <x v="35"/>
    <s v="Total Electric Power Industry"/>
    <x v="4"/>
    <n v="410153"/>
  </r>
  <r>
    <x v="13"/>
    <x v="35"/>
    <s v="Total Electric Power Industry"/>
    <x v="6"/>
    <n v="407417"/>
  </r>
  <r>
    <x v="13"/>
    <x v="35"/>
    <s v="Electric Generators, Independent Power Producers"/>
    <x v="0"/>
    <n v="6123786"/>
  </r>
  <r>
    <x v="13"/>
    <x v="35"/>
    <s v="Electric Generators, Independent Power Producers"/>
    <x v="1"/>
    <n v="5001335"/>
  </r>
  <r>
    <x v="13"/>
    <x v="35"/>
    <s v="Electric Generators, Independent Power Producers"/>
    <x v="3"/>
    <n v="1080609"/>
  </r>
  <r>
    <x v="13"/>
    <x v="35"/>
    <s v="Electric Generators, Independent Power Producers"/>
    <x v="8"/>
    <n v="27184"/>
  </r>
  <r>
    <x v="13"/>
    <x v="35"/>
    <s v="Electric Generators, Independent Power Producers"/>
    <x v="4"/>
    <n v="14658"/>
  </r>
  <r>
    <x v="13"/>
    <x v="35"/>
    <s v="Electric Generators, Electric Utilities"/>
    <x v="0"/>
    <n v="139086083"/>
  </r>
  <r>
    <x v="13"/>
    <x v="35"/>
    <s v="Electric Generators, Electric Utilities"/>
    <x v="1"/>
    <n v="129255272"/>
  </r>
  <r>
    <x v="13"/>
    <x v="35"/>
    <s v="Electric Generators, Electric Utilities"/>
    <x v="2"/>
    <n v="510835"/>
  </r>
  <r>
    <x v="13"/>
    <x v="35"/>
    <s v="Electric Generators, Electric Utilities"/>
    <x v="3"/>
    <n v="456255"/>
  </r>
  <r>
    <x v="13"/>
    <x v="35"/>
    <s v="Electric Generators, Electric Utilities"/>
    <x v="7"/>
    <n v="8475016"/>
  </r>
  <r>
    <x v="13"/>
    <x v="35"/>
    <s v="Electric Generators, Electric Utilities"/>
    <x v="4"/>
    <n v="387257"/>
  </r>
  <r>
    <x v="13"/>
    <x v="35"/>
    <s v="Electric Generators, Electric Utilities"/>
    <x v="6"/>
    <n v="1448"/>
  </r>
  <r>
    <x v="13"/>
    <x v="35"/>
    <s v="Combined Heat and Power, Industrial Power"/>
    <x v="0"/>
    <n v="1040665"/>
  </r>
  <r>
    <x v="13"/>
    <x v="35"/>
    <s v="Combined Heat and Power, Industrial Power"/>
    <x v="1"/>
    <n v="511726"/>
  </r>
  <r>
    <x v="13"/>
    <x v="35"/>
    <s v="Combined Heat and Power, Industrial Power"/>
    <x v="3"/>
    <n v="43299"/>
  </r>
  <r>
    <x v="13"/>
    <x v="35"/>
    <s v="Combined Heat and Power, Industrial Power"/>
    <x v="12"/>
    <n v="26163"/>
  </r>
  <r>
    <x v="13"/>
    <x v="35"/>
    <s v="Combined Heat and Power, Industrial Power"/>
    <x v="8"/>
    <n v="6116"/>
  </r>
  <r>
    <x v="13"/>
    <x v="35"/>
    <s v="Combined Heat and Power, Industrial Power"/>
    <x v="9"/>
    <n v="88439"/>
  </r>
  <r>
    <x v="13"/>
    <x v="35"/>
    <s v="Combined Heat and Power, Industrial Power"/>
    <x v="4"/>
    <n v="8066"/>
  </r>
  <r>
    <x v="13"/>
    <x v="35"/>
    <s v="Combined Heat and Power, Industrial Power"/>
    <x v="6"/>
    <n v="356856"/>
  </r>
  <r>
    <x v="13"/>
    <x v="35"/>
    <s v="Combined Heat and Power, Electric Power"/>
    <x v="0"/>
    <n v="381549"/>
  </r>
  <r>
    <x v="13"/>
    <x v="35"/>
    <s v="Combined Heat and Power, Electric Power"/>
    <x v="3"/>
    <n v="208352"/>
  </r>
  <r>
    <x v="13"/>
    <x v="35"/>
    <s v="Combined Heat and Power, Electric Power"/>
    <x v="9"/>
    <n v="124084"/>
  </r>
  <r>
    <x v="13"/>
    <x v="35"/>
    <s v="Combined Heat and Power, Electric Power"/>
    <x v="6"/>
    <n v="49113"/>
  </r>
  <r>
    <x v="13"/>
    <x v="35"/>
    <s v="Combined Heat and Power, Commercial Power"/>
    <x v="0"/>
    <n v="6045"/>
  </r>
  <r>
    <x v="13"/>
    <x v="35"/>
    <s v="Combined Heat and Power, Commercial Power"/>
    <x v="1"/>
    <n v="804"/>
  </r>
  <r>
    <x v="13"/>
    <x v="35"/>
    <s v="Combined Heat and Power, Commercial Power"/>
    <x v="3"/>
    <n v="5068"/>
  </r>
  <r>
    <x v="13"/>
    <x v="35"/>
    <s v="Combined Heat and Power, Commercial Power"/>
    <x v="4"/>
    <n v="173"/>
  </r>
  <r>
    <x v="13"/>
    <x v="35"/>
    <s v="Combined Heat and Power, Commercial Power"/>
    <x v="6"/>
    <n v="0"/>
  </r>
  <r>
    <x v="13"/>
    <x v="36"/>
    <s v="Total Electric Power Industry"/>
    <x v="0"/>
    <n v="60626856"/>
  </r>
  <r>
    <x v="13"/>
    <x v="36"/>
    <s v="Total Electric Power Industry"/>
    <x v="1"/>
    <n v="36676326"/>
  </r>
  <r>
    <x v="13"/>
    <x v="36"/>
    <s v="Total Electric Power Industry"/>
    <x v="2"/>
    <n v="1798412"/>
  </r>
  <r>
    <x v="13"/>
    <x v="36"/>
    <s v="Total Electric Power Industry"/>
    <x v="3"/>
    <n v="21822696"/>
  </r>
  <r>
    <x v="13"/>
    <x v="36"/>
    <s v="Total Electric Power Industry"/>
    <x v="12"/>
    <n v="7398"/>
  </r>
  <r>
    <x v="13"/>
    <x v="36"/>
    <s v="Total Electric Power Industry"/>
    <x v="8"/>
    <n v="0"/>
  </r>
  <r>
    <x v="13"/>
    <x v="36"/>
    <s v="Total Electric Power Industry"/>
    <x v="9"/>
    <n v="45408"/>
  </r>
  <r>
    <x v="13"/>
    <x v="36"/>
    <s v="Total Electric Power Industry"/>
    <x v="4"/>
    <n v="161210"/>
  </r>
  <r>
    <x v="13"/>
    <x v="36"/>
    <s v="Total Electric Power Industry"/>
    <x v="10"/>
    <n v="-206187"/>
  </r>
  <r>
    <x v="13"/>
    <x v="36"/>
    <s v="Total Electric Power Industry"/>
    <x v="5"/>
    <n v="54470"/>
  </r>
  <r>
    <x v="13"/>
    <x v="36"/>
    <s v="Total Electric Power Industry"/>
    <x v="6"/>
    <n v="267123"/>
  </r>
  <r>
    <x v="13"/>
    <x v="36"/>
    <s v="Electric Generators, Independent Power Producers"/>
    <x v="0"/>
    <n v="4247198"/>
  </r>
  <r>
    <x v="13"/>
    <x v="36"/>
    <s v="Electric Generators, Independent Power Producers"/>
    <x v="3"/>
    <n v="4192728"/>
  </r>
  <r>
    <x v="13"/>
    <x v="36"/>
    <s v="Electric Generators, Independent Power Producers"/>
    <x v="5"/>
    <n v="54470"/>
  </r>
  <r>
    <x v="13"/>
    <x v="36"/>
    <s v="Electric Generators, Electric Utilities"/>
    <x v="0"/>
    <n v="49776514"/>
  </r>
  <r>
    <x v="13"/>
    <x v="36"/>
    <s v="Electric Generators, Electric Utilities"/>
    <x v="1"/>
    <n v="34200128"/>
  </r>
  <r>
    <x v="13"/>
    <x v="36"/>
    <s v="Electric Generators, Electric Utilities"/>
    <x v="2"/>
    <n v="1798412"/>
  </r>
  <r>
    <x v="13"/>
    <x v="36"/>
    <s v="Electric Generators, Electric Utilities"/>
    <x v="3"/>
    <n v="13872606"/>
  </r>
  <r>
    <x v="13"/>
    <x v="36"/>
    <s v="Electric Generators, Electric Utilities"/>
    <x v="4"/>
    <n v="111555"/>
  </r>
  <r>
    <x v="13"/>
    <x v="36"/>
    <s v="Electric Generators, Electric Utilities"/>
    <x v="10"/>
    <n v="-206187"/>
  </r>
  <r>
    <x v="13"/>
    <x v="36"/>
    <s v="Combined Heat and Power, Industrial Power"/>
    <x v="0"/>
    <n v="1358413"/>
  </r>
  <r>
    <x v="13"/>
    <x v="36"/>
    <s v="Combined Heat and Power, Industrial Power"/>
    <x v="1"/>
    <n v="517677"/>
  </r>
  <r>
    <x v="13"/>
    <x v="36"/>
    <s v="Combined Heat and Power, Industrial Power"/>
    <x v="3"/>
    <n v="474612"/>
  </r>
  <r>
    <x v="13"/>
    <x v="36"/>
    <s v="Combined Heat and Power, Industrial Power"/>
    <x v="12"/>
    <n v="7398"/>
  </r>
  <r>
    <x v="13"/>
    <x v="36"/>
    <s v="Combined Heat and Power, Industrial Power"/>
    <x v="8"/>
    <n v="0"/>
  </r>
  <r>
    <x v="13"/>
    <x v="36"/>
    <s v="Combined Heat and Power, Industrial Power"/>
    <x v="9"/>
    <n v="45408"/>
  </r>
  <r>
    <x v="13"/>
    <x v="36"/>
    <s v="Combined Heat and Power, Industrial Power"/>
    <x v="4"/>
    <n v="46195"/>
  </r>
  <r>
    <x v="13"/>
    <x v="36"/>
    <s v="Combined Heat and Power, Industrial Power"/>
    <x v="6"/>
    <n v="267123"/>
  </r>
  <r>
    <x v="13"/>
    <x v="36"/>
    <s v="Combined Heat and Power, Electric Power"/>
    <x v="0"/>
    <n v="5216555"/>
  </r>
  <r>
    <x v="13"/>
    <x v="36"/>
    <s v="Combined Heat and Power, Electric Power"/>
    <x v="1"/>
    <n v="1958521"/>
  </r>
  <r>
    <x v="13"/>
    <x v="36"/>
    <s v="Combined Heat and Power, Electric Power"/>
    <x v="3"/>
    <n v="3258034"/>
  </r>
  <r>
    <x v="13"/>
    <x v="36"/>
    <s v="Combined Heat and Power, Commercial Power"/>
    <x v="0"/>
    <n v="28176"/>
  </r>
  <r>
    <x v="13"/>
    <x v="36"/>
    <s v="Combined Heat and Power, Commercial Power"/>
    <x v="3"/>
    <n v="24716"/>
  </r>
  <r>
    <x v="13"/>
    <x v="36"/>
    <s v="Combined Heat and Power, Commercial Power"/>
    <x v="4"/>
    <n v="3460"/>
  </r>
  <r>
    <x v="13"/>
    <x v="37"/>
    <s v="Total Electric Power Industry"/>
    <x v="0"/>
    <n v="48966139"/>
  </r>
  <r>
    <x v="13"/>
    <x v="37"/>
    <s v="Total Electric Power Industry"/>
    <x v="1"/>
    <n v="4304848"/>
  </r>
  <r>
    <x v="13"/>
    <x v="37"/>
    <s v="Total Electric Power Industry"/>
    <x v="2"/>
    <n v="33250332"/>
  </r>
  <r>
    <x v="13"/>
    <x v="37"/>
    <s v="Total Electric Power Industry"/>
    <x v="3"/>
    <n v="10243696"/>
  </r>
  <r>
    <x v="13"/>
    <x v="37"/>
    <s v="Total Electric Power Industry"/>
    <x v="12"/>
    <n v="40569"/>
  </r>
  <r>
    <x v="13"/>
    <x v="37"/>
    <s v="Total Electric Power Industry"/>
    <x v="8"/>
    <n v="85066"/>
  </r>
  <r>
    <x v="13"/>
    <x v="37"/>
    <s v="Total Electric Power Industry"/>
    <x v="4"/>
    <n v="44096"/>
  </r>
  <r>
    <x v="13"/>
    <x v="37"/>
    <s v="Total Electric Power Industry"/>
    <x v="5"/>
    <n v="443617"/>
  </r>
  <r>
    <x v="13"/>
    <x v="37"/>
    <s v="Total Electric Power Industry"/>
    <x v="6"/>
    <n v="553914"/>
  </r>
  <r>
    <x v="13"/>
    <x v="37"/>
    <s v="Electric Generators, Independent Power Producers"/>
    <x v="0"/>
    <n v="4002974"/>
  </r>
  <r>
    <x v="13"/>
    <x v="37"/>
    <s v="Electric Generators, Independent Power Producers"/>
    <x v="2"/>
    <n v="270126"/>
  </r>
  <r>
    <x v="13"/>
    <x v="37"/>
    <s v="Electric Generators, Independent Power Producers"/>
    <x v="3"/>
    <n v="3289230"/>
  </r>
  <r>
    <x v="13"/>
    <x v="37"/>
    <s v="Electric Generators, Independent Power Producers"/>
    <x v="5"/>
    <n v="443617"/>
  </r>
  <r>
    <x v="13"/>
    <x v="37"/>
    <s v="Electric Generators, Electric Utilities"/>
    <x v="0"/>
    <n v="38577937"/>
  </r>
  <r>
    <x v="13"/>
    <x v="37"/>
    <s v="Electric Generators, Electric Utilities"/>
    <x v="1"/>
    <n v="4285697"/>
  </r>
  <r>
    <x v="13"/>
    <x v="37"/>
    <s v="Electric Generators, Electric Utilities"/>
    <x v="2"/>
    <n v="32980206"/>
  </r>
  <r>
    <x v="13"/>
    <x v="37"/>
    <s v="Electric Generators, Electric Utilities"/>
    <x v="3"/>
    <n v="1232518"/>
  </r>
  <r>
    <x v="13"/>
    <x v="37"/>
    <s v="Electric Generators, Electric Utilities"/>
    <x v="8"/>
    <n v="35481"/>
  </r>
  <r>
    <x v="13"/>
    <x v="37"/>
    <s v="Electric Generators, Electric Utilities"/>
    <x v="4"/>
    <n v="44035"/>
  </r>
  <r>
    <x v="13"/>
    <x v="37"/>
    <s v="Combined Heat and Power, Industrial Power"/>
    <x v="0"/>
    <n v="1018221"/>
  </r>
  <r>
    <x v="13"/>
    <x v="37"/>
    <s v="Combined Heat and Power, Industrial Power"/>
    <x v="1"/>
    <n v="19151"/>
  </r>
  <r>
    <x v="13"/>
    <x v="37"/>
    <s v="Combined Heat and Power, Industrial Power"/>
    <x v="3"/>
    <n v="739920"/>
  </r>
  <r>
    <x v="13"/>
    <x v="37"/>
    <s v="Combined Heat and Power, Industrial Power"/>
    <x v="6"/>
    <n v="259151"/>
  </r>
  <r>
    <x v="13"/>
    <x v="37"/>
    <s v="Combined Heat and Power, Electric Power"/>
    <x v="0"/>
    <n v="5358132"/>
  </r>
  <r>
    <x v="13"/>
    <x v="37"/>
    <s v="Combined Heat and Power, Electric Power"/>
    <x v="3"/>
    <n v="4973215"/>
  </r>
  <r>
    <x v="13"/>
    <x v="37"/>
    <s v="Combined Heat and Power, Electric Power"/>
    <x v="12"/>
    <n v="40569"/>
  </r>
  <r>
    <x v="13"/>
    <x v="37"/>
    <s v="Combined Heat and Power, Electric Power"/>
    <x v="8"/>
    <n v="49585"/>
  </r>
  <r>
    <x v="13"/>
    <x v="37"/>
    <s v="Combined Heat and Power, Electric Power"/>
    <x v="6"/>
    <n v="294763"/>
  </r>
  <r>
    <x v="13"/>
    <x v="37"/>
    <s v="Combined Heat and Power, Commercial Power"/>
    <x v="0"/>
    <n v="8875"/>
  </r>
  <r>
    <x v="13"/>
    <x v="37"/>
    <s v="Combined Heat and Power, Commercial Power"/>
    <x v="3"/>
    <n v="8813"/>
  </r>
  <r>
    <x v="13"/>
    <x v="37"/>
    <s v="Combined Heat and Power, Commercial Power"/>
    <x v="4"/>
    <n v="61"/>
  </r>
  <r>
    <x v="13"/>
    <x v="38"/>
    <s v="Total Electric Power Industry"/>
    <x v="0"/>
    <n v="206349513"/>
  </r>
  <r>
    <x v="13"/>
    <x v="38"/>
    <s v="Total Electric Power Industry"/>
    <x v="1"/>
    <n v="116009874"/>
  </r>
  <r>
    <x v="13"/>
    <x v="38"/>
    <s v="Total Electric Power Industry"/>
    <x v="2"/>
    <n v="3346267"/>
  </r>
  <r>
    <x v="13"/>
    <x v="38"/>
    <s v="Total Electric Power Industry"/>
    <x v="3"/>
    <n v="5518536"/>
  </r>
  <r>
    <x v="13"/>
    <x v="38"/>
    <s v="Total Electric Power Industry"/>
    <x v="7"/>
    <n v="74360862"/>
  </r>
  <r>
    <x v="13"/>
    <x v="38"/>
    <s v="Total Electric Power Industry"/>
    <x v="12"/>
    <n v="711838"/>
  </r>
  <r>
    <x v="13"/>
    <x v="38"/>
    <s v="Total Electric Power Industry"/>
    <x v="8"/>
    <n v="1250668"/>
  </r>
  <r>
    <x v="13"/>
    <x v="38"/>
    <s v="Total Electric Power Industry"/>
    <x v="9"/>
    <n v="508176"/>
  </r>
  <r>
    <x v="13"/>
    <x v="38"/>
    <s v="Total Electric Power Industry"/>
    <x v="4"/>
    <n v="4535336"/>
  </r>
  <r>
    <x v="13"/>
    <x v="38"/>
    <s v="Total Electric Power Industry"/>
    <x v="10"/>
    <n v="-738994"/>
  </r>
  <r>
    <x v="13"/>
    <x v="38"/>
    <s v="Total Electric Power Industry"/>
    <x v="5"/>
    <n v="111521"/>
  </r>
  <r>
    <x v="13"/>
    <x v="38"/>
    <s v="Total Electric Power Industry"/>
    <x v="6"/>
    <n v="735429"/>
  </r>
  <r>
    <x v="13"/>
    <x v="38"/>
    <s v="Electric Generators, Independent Power Producers"/>
    <x v="0"/>
    <n v="165678345"/>
  </r>
  <r>
    <x v="13"/>
    <x v="38"/>
    <s v="Electric Generators, Independent Power Producers"/>
    <x v="1"/>
    <n v="93694832"/>
  </r>
  <r>
    <x v="13"/>
    <x v="38"/>
    <s v="Electric Generators, Independent Power Producers"/>
    <x v="2"/>
    <n v="1601074"/>
  </r>
  <r>
    <x v="13"/>
    <x v="38"/>
    <s v="Electric Generators, Independent Power Producers"/>
    <x v="3"/>
    <n v="3702156"/>
  </r>
  <r>
    <x v="13"/>
    <x v="38"/>
    <s v="Electric Generators, Independent Power Producers"/>
    <x v="7"/>
    <n v="61741764"/>
  </r>
  <r>
    <x v="13"/>
    <x v="38"/>
    <s v="Electric Generators, Independent Power Producers"/>
    <x v="12"/>
    <n v="615703"/>
  </r>
  <r>
    <x v="13"/>
    <x v="38"/>
    <s v="Electric Generators, Independent Power Producers"/>
    <x v="8"/>
    <n v="937924"/>
  </r>
  <r>
    <x v="13"/>
    <x v="38"/>
    <s v="Electric Generators, Independent Power Producers"/>
    <x v="9"/>
    <n v="660"/>
  </r>
  <r>
    <x v="13"/>
    <x v="38"/>
    <s v="Electric Generators, Independent Power Producers"/>
    <x v="4"/>
    <n v="3764944"/>
  </r>
  <r>
    <x v="13"/>
    <x v="38"/>
    <s v="Electric Generators, Independent Power Producers"/>
    <x v="10"/>
    <n v="-492233"/>
  </r>
  <r>
    <x v="13"/>
    <x v="38"/>
    <s v="Electric Generators, Independent Power Producers"/>
    <x v="5"/>
    <n v="111521"/>
  </r>
  <r>
    <x v="13"/>
    <x v="38"/>
    <s v="Electric Generators, Electric Utilities"/>
    <x v="0"/>
    <n v="30099444"/>
  </r>
  <r>
    <x v="13"/>
    <x v="38"/>
    <s v="Electric Generators, Electric Utilities"/>
    <x v="1"/>
    <n v="15944113"/>
  </r>
  <r>
    <x v="13"/>
    <x v="38"/>
    <s v="Electric Generators, Electric Utilities"/>
    <x v="2"/>
    <n v="1745193"/>
  </r>
  <r>
    <x v="13"/>
    <x v="38"/>
    <s v="Electric Generators, Electric Utilities"/>
    <x v="3"/>
    <n v="2857"/>
  </r>
  <r>
    <x v="13"/>
    <x v="38"/>
    <s v="Electric Generators, Electric Utilities"/>
    <x v="7"/>
    <n v="12619098"/>
  </r>
  <r>
    <x v="13"/>
    <x v="38"/>
    <s v="Electric Generators, Electric Utilities"/>
    <x v="4"/>
    <n v="34944"/>
  </r>
  <r>
    <x v="13"/>
    <x v="38"/>
    <s v="Electric Generators, Electric Utilities"/>
    <x v="10"/>
    <n v="-246761"/>
  </r>
  <r>
    <x v="13"/>
    <x v="38"/>
    <s v="Combined Heat and Power, Industrial Power"/>
    <x v="0"/>
    <n v="3399246"/>
  </r>
  <r>
    <x v="13"/>
    <x v="38"/>
    <s v="Combined Heat and Power, Industrial Power"/>
    <x v="1"/>
    <n v="1357053"/>
  </r>
  <r>
    <x v="13"/>
    <x v="38"/>
    <s v="Combined Heat and Power, Industrial Power"/>
    <x v="3"/>
    <n v="734641"/>
  </r>
  <r>
    <x v="13"/>
    <x v="38"/>
    <s v="Combined Heat and Power, Industrial Power"/>
    <x v="8"/>
    <n v="6915"/>
  </r>
  <r>
    <x v="13"/>
    <x v="38"/>
    <s v="Combined Heat and Power, Industrial Power"/>
    <x v="9"/>
    <n v="504969"/>
  </r>
  <r>
    <x v="13"/>
    <x v="38"/>
    <s v="Combined Heat and Power, Industrial Power"/>
    <x v="4"/>
    <n v="301005"/>
  </r>
  <r>
    <x v="13"/>
    <x v="38"/>
    <s v="Combined Heat and Power, Industrial Power"/>
    <x v="6"/>
    <n v="494664"/>
  </r>
  <r>
    <x v="13"/>
    <x v="38"/>
    <s v="Combined Heat and Power, Electric Power"/>
    <x v="0"/>
    <n v="6773553"/>
  </r>
  <r>
    <x v="13"/>
    <x v="38"/>
    <s v="Combined Heat and Power, Electric Power"/>
    <x v="1"/>
    <n v="5008900"/>
  </r>
  <r>
    <x v="13"/>
    <x v="38"/>
    <s v="Combined Heat and Power, Electric Power"/>
    <x v="3"/>
    <n v="897770"/>
  </r>
  <r>
    <x v="13"/>
    <x v="38"/>
    <s v="Combined Heat and Power, Electric Power"/>
    <x v="12"/>
    <n v="2736"/>
  </r>
  <r>
    <x v="13"/>
    <x v="38"/>
    <s v="Combined Heat and Power, Electric Power"/>
    <x v="8"/>
    <n v="191674"/>
  </r>
  <r>
    <x v="13"/>
    <x v="38"/>
    <s v="Combined Heat and Power, Electric Power"/>
    <x v="9"/>
    <n v="2547"/>
  </r>
  <r>
    <x v="13"/>
    <x v="38"/>
    <s v="Combined Heat and Power, Electric Power"/>
    <x v="4"/>
    <n v="429161"/>
  </r>
  <r>
    <x v="13"/>
    <x v="38"/>
    <s v="Combined Heat and Power, Electric Power"/>
    <x v="6"/>
    <n v="240765"/>
  </r>
  <r>
    <x v="13"/>
    <x v="38"/>
    <s v="Combined Heat and Power, Commercial Power"/>
    <x v="0"/>
    <n v="398926"/>
  </r>
  <r>
    <x v="13"/>
    <x v="38"/>
    <s v="Combined Heat and Power, Commercial Power"/>
    <x v="1"/>
    <n v="4976"/>
  </r>
  <r>
    <x v="13"/>
    <x v="38"/>
    <s v="Combined Heat and Power, Commercial Power"/>
    <x v="3"/>
    <n v="181113"/>
  </r>
  <r>
    <x v="13"/>
    <x v="38"/>
    <s v="Combined Heat and Power, Commercial Power"/>
    <x v="12"/>
    <n v="93399"/>
  </r>
  <r>
    <x v="13"/>
    <x v="38"/>
    <s v="Combined Heat and Power, Commercial Power"/>
    <x v="8"/>
    <n v="114155"/>
  </r>
  <r>
    <x v="13"/>
    <x v="38"/>
    <s v="Combined Heat and Power, Commercial Power"/>
    <x v="4"/>
    <n v="5283"/>
  </r>
  <r>
    <x v="13"/>
    <x v="39"/>
    <s v="Total Electric Power Industry"/>
    <x v="0"/>
    <n v="5621145"/>
  </r>
  <r>
    <x v="13"/>
    <x v="39"/>
    <s v="Total Electric Power Industry"/>
    <x v="2"/>
    <n v="6021"/>
  </r>
  <r>
    <x v="13"/>
    <x v="39"/>
    <s v="Total Electric Power Industry"/>
    <x v="3"/>
    <n v="5454997"/>
  </r>
  <r>
    <x v="13"/>
    <x v="39"/>
    <s v="Total Electric Power Industry"/>
    <x v="8"/>
    <n v="101768"/>
  </r>
  <r>
    <x v="13"/>
    <x v="39"/>
    <s v="Total Electric Power Industry"/>
    <x v="4"/>
    <n v="58359"/>
  </r>
  <r>
    <x v="13"/>
    <x v="39"/>
    <s v="Electric Generators, Independent Power Producers"/>
    <x v="0"/>
    <n v="5557231"/>
  </r>
  <r>
    <x v="13"/>
    <x v="39"/>
    <s v="Electric Generators, Independent Power Producers"/>
    <x v="2"/>
    <n v="6021"/>
  </r>
  <r>
    <x v="13"/>
    <x v="39"/>
    <s v="Electric Generators, Independent Power Producers"/>
    <x v="3"/>
    <n v="5449442"/>
  </r>
  <r>
    <x v="13"/>
    <x v="39"/>
    <s v="Electric Generators, Independent Power Producers"/>
    <x v="8"/>
    <n v="101768"/>
  </r>
  <r>
    <x v="13"/>
    <x v="39"/>
    <s v="Electric Generators, Independent Power Producers"/>
    <x v="4"/>
    <n v="0"/>
  </r>
  <r>
    <x v="13"/>
    <x v="39"/>
    <s v="Electric Generators, Electric Utilities"/>
    <x v="0"/>
    <n v="11771"/>
  </r>
  <r>
    <x v="13"/>
    <x v="39"/>
    <s v="Electric Generators, Electric Utilities"/>
    <x v="2"/>
    <n v="0"/>
  </r>
  <r>
    <x v="13"/>
    <x v="39"/>
    <s v="Electric Generators, Electric Utilities"/>
    <x v="4"/>
    <n v="11771"/>
  </r>
  <r>
    <x v="13"/>
    <x v="39"/>
    <s v="Combined Heat and Power, Industrial Power"/>
    <x v="0"/>
    <n v="2"/>
  </r>
  <r>
    <x v="13"/>
    <x v="39"/>
    <s v="Combined Heat and Power, Industrial Power"/>
    <x v="4"/>
    <n v="2"/>
  </r>
  <r>
    <x v="13"/>
    <x v="39"/>
    <s v="Combined Heat and Power, Electric Power"/>
    <x v="0"/>
    <n v="9295"/>
  </r>
  <r>
    <x v="13"/>
    <x v="39"/>
    <s v="Combined Heat and Power, Electric Power"/>
    <x v="3"/>
    <n v="3741"/>
  </r>
  <r>
    <x v="13"/>
    <x v="39"/>
    <s v="Combined Heat and Power, Electric Power"/>
    <x v="4"/>
    <n v="5554"/>
  </r>
  <r>
    <x v="13"/>
    <x v="39"/>
    <s v="Combined Heat and Power, Commercial Power"/>
    <x v="0"/>
    <n v="42845"/>
  </r>
  <r>
    <x v="13"/>
    <x v="39"/>
    <s v="Combined Heat and Power, Commercial Power"/>
    <x v="3"/>
    <n v="1813"/>
  </r>
  <r>
    <x v="13"/>
    <x v="39"/>
    <s v="Combined Heat and Power, Commercial Power"/>
    <x v="4"/>
    <n v="41032"/>
  </r>
  <r>
    <x v="13"/>
    <x v="40"/>
    <s v="Total Electric Power Industry"/>
    <x v="0"/>
    <n v="93772677"/>
  </r>
  <r>
    <x v="13"/>
    <x v="40"/>
    <s v="Total Electric Power Industry"/>
    <x v="1"/>
    <n v="37432023"/>
  </r>
  <r>
    <x v="13"/>
    <x v="40"/>
    <s v="Total Electric Power Industry"/>
    <x v="2"/>
    <n v="3665426"/>
  </r>
  <r>
    <x v="13"/>
    <x v="40"/>
    <s v="Total Electric Power Industry"/>
    <x v="3"/>
    <n v="1662782"/>
  </r>
  <r>
    <x v="13"/>
    <x v="40"/>
    <s v="Total Electric Power Industry"/>
    <x v="7"/>
    <n v="50417690"/>
  </r>
  <r>
    <x v="13"/>
    <x v="40"/>
    <s v="Total Electric Power Industry"/>
    <x v="12"/>
    <n v="48677"/>
  </r>
  <r>
    <x v="13"/>
    <x v="40"/>
    <s v="Total Electric Power Industry"/>
    <x v="8"/>
    <n v="51687"/>
  </r>
  <r>
    <x v="13"/>
    <x v="40"/>
    <s v="Total Electric Power Industry"/>
    <x v="9"/>
    <n v="73"/>
  </r>
  <r>
    <x v="13"/>
    <x v="40"/>
    <s v="Total Electric Power Industry"/>
    <x v="4"/>
    <n v="456871"/>
  </r>
  <r>
    <x v="13"/>
    <x v="40"/>
    <s v="Total Electric Power Industry"/>
    <x v="10"/>
    <n v="-1206813"/>
  </r>
  <r>
    <x v="13"/>
    <x v="40"/>
    <s v="Total Electric Power Industry"/>
    <x v="6"/>
    <n v="1244262"/>
  </r>
  <r>
    <x v="13"/>
    <x v="40"/>
    <s v="Electric Generators, Independent Power Producers"/>
    <x v="0"/>
    <n v="278367"/>
  </r>
  <r>
    <x v="13"/>
    <x v="40"/>
    <s v="Electric Generators, Independent Power Producers"/>
    <x v="2"/>
    <n v="73693"/>
  </r>
  <r>
    <x v="13"/>
    <x v="40"/>
    <s v="Electric Generators, Independent Power Producers"/>
    <x v="3"/>
    <n v="186076"/>
  </r>
  <r>
    <x v="13"/>
    <x v="40"/>
    <s v="Electric Generators, Independent Power Producers"/>
    <x v="4"/>
    <n v="18598"/>
  </r>
  <r>
    <x v="13"/>
    <x v="40"/>
    <s v="Electric Generators, Electric Utilities"/>
    <x v="0"/>
    <n v="91544429"/>
  </r>
  <r>
    <x v="13"/>
    <x v="40"/>
    <s v="Electric Generators, Electric Utilities"/>
    <x v="1"/>
    <n v="37065509"/>
  </r>
  <r>
    <x v="13"/>
    <x v="40"/>
    <s v="Electric Generators, Electric Utilities"/>
    <x v="2"/>
    <n v="3590944"/>
  </r>
  <r>
    <x v="13"/>
    <x v="40"/>
    <s v="Electric Generators, Electric Utilities"/>
    <x v="3"/>
    <n v="1365534"/>
  </r>
  <r>
    <x v="13"/>
    <x v="40"/>
    <s v="Electric Generators, Electric Utilities"/>
    <x v="7"/>
    <n v="50417690"/>
  </r>
  <r>
    <x v="13"/>
    <x v="40"/>
    <s v="Electric Generators, Electric Utilities"/>
    <x v="8"/>
    <n v="22091"/>
  </r>
  <r>
    <x v="13"/>
    <x v="40"/>
    <s v="Electric Generators, Electric Utilities"/>
    <x v="4"/>
    <n v="289474"/>
  </r>
  <r>
    <x v="13"/>
    <x v="40"/>
    <s v="Electric Generators, Electric Utilities"/>
    <x v="10"/>
    <n v="-1206813"/>
  </r>
  <r>
    <x v="13"/>
    <x v="40"/>
    <s v="Combined Heat and Power, Industrial Power"/>
    <x v="0"/>
    <n v="1794375"/>
  </r>
  <r>
    <x v="13"/>
    <x v="40"/>
    <s v="Combined Heat and Power, Industrial Power"/>
    <x v="1"/>
    <n v="366514"/>
  </r>
  <r>
    <x v="13"/>
    <x v="40"/>
    <s v="Combined Heat and Power, Industrial Power"/>
    <x v="3"/>
    <n v="11170"/>
  </r>
  <r>
    <x v="13"/>
    <x v="40"/>
    <s v="Combined Heat and Power, Industrial Power"/>
    <x v="12"/>
    <n v="24463"/>
  </r>
  <r>
    <x v="13"/>
    <x v="40"/>
    <s v="Combined Heat and Power, Industrial Power"/>
    <x v="8"/>
    <n v="0"/>
  </r>
  <r>
    <x v="13"/>
    <x v="40"/>
    <s v="Combined Heat and Power, Industrial Power"/>
    <x v="9"/>
    <n v="73"/>
  </r>
  <r>
    <x v="13"/>
    <x v="40"/>
    <s v="Combined Heat and Power, Industrial Power"/>
    <x v="4"/>
    <n v="147893"/>
  </r>
  <r>
    <x v="13"/>
    <x v="40"/>
    <s v="Combined Heat and Power, Industrial Power"/>
    <x v="6"/>
    <n v="1244262"/>
  </r>
  <r>
    <x v="13"/>
    <x v="40"/>
    <s v="Combined Heat and Power, Electric Power"/>
    <x v="0"/>
    <n v="99823"/>
  </r>
  <r>
    <x v="13"/>
    <x v="40"/>
    <s v="Combined Heat and Power, Electric Power"/>
    <x v="3"/>
    <n v="99823"/>
  </r>
  <r>
    <x v="13"/>
    <x v="40"/>
    <s v="Combined Heat and Power, Commercial Power"/>
    <x v="0"/>
    <n v="55684"/>
  </r>
  <r>
    <x v="13"/>
    <x v="40"/>
    <s v="Combined Heat and Power, Commercial Power"/>
    <x v="2"/>
    <n v="789"/>
  </r>
  <r>
    <x v="13"/>
    <x v="40"/>
    <s v="Combined Heat and Power, Commercial Power"/>
    <x v="3"/>
    <n v="179"/>
  </r>
  <r>
    <x v="13"/>
    <x v="40"/>
    <s v="Combined Heat and Power, Commercial Power"/>
    <x v="12"/>
    <n v="24214"/>
  </r>
  <r>
    <x v="13"/>
    <x v="40"/>
    <s v="Combined Heat and Power, Commercial Power"/>
    <x v="8"/>
    <n v="29596"/>
  </r>
  <r>
    <x v="13"/>
    <x v="40"/>
    <s v="Combined Heat and Power, Commercial Power"/>
    <x v="4"/>
    <n v="906"/>
  </r>
  <r>
    <x v="13"/>
    <x v="41"/>
    <s v="Total Electric Power Industry"/>
    <x v="0"/>
    <n v="7943837"/>
  </r>
  <r>
    <x v="13"/>
    <x v="41"/>
    <s v="Total Electric Power Industry"/>
    <x v="1"/>
    <n v="3431203"/>
  </r>
  <r>
    <x v="13"/>
    <x v="41"/>
    <s v="Total Electric Power Industry"/>
    <x v="2"/>
    <n v="4276303"/>
  </r>
  <r>
    <x v="13"/>
    <x v="41"/>
    <s v="Total Electric Power Industry"/>
    <x v="3"/>
    <n v="176024"/>
  </r>
  <r>
    <x v="13"/>
    <x v="41"/>
    <s v="Total Electric Power Industry"/>
    <x v="4"/>
    <n v="16058"/>
  </r>
  <r>
    <x v="13"/>
    <x v="41"/>
    <s v="Total Electric Power Industry"/>
    <x v="5"/>
    <n v="44249"/>
  </r>
  <r>
    <x v="13"/>
    <x v="41"/>
    <s v="Electric Generators, Independent Power Producers"/>
    <x v="0"/>
    <n v="39082"/>
  </r>
  <r>
    <x v="13"/>
    <x v="41"/>
    <s v="Electric Generators, Independent Power Producers"/>
    <x v="5"/>
    <n v="39082"/>
  </r>
  <r>
    <x v="13"/>
    <x v="41"/>
    <s v="Electric Generators, Electric Utilities"/>
    <x v="0"/>
    <n v="7904755"/>
  </r>
  <r>
    <x v="13"/>
    <x v="41"/>
    <s v="Electric Generators, Electric Utilities"/>
    <x v="1"/>
    <n v="3431203"/>
  </r>
  <r>
    <x v="13"/>
    <x v="41"/>
    <s v="Electric Generators, Electric Utilities"/>
    <x v="2"/>
    <n v="4276303"/>
  </r>
  <r>
    <x v="13"/>
    <x v="41"/>
    <s v="Electric Generators, Electric Utilities"/>
    <x v="3"/>
    <n v="176024"/>
  </r>
  <r>
    <x v="13"/>
    <x v="41"/>
    <s v="Electric Generators, Electric Utilities"/>
    <x v="4"/>
    <n v="16058"/>
  </r>
  <r>
    <x v="13"/>
    <x v="41"/>
    <s v="Electric Generators, Electric Utilities"/>
    <x v="5"/>
    <n v="5167"/>
  </r>
  <r>
    <x v="13"/>
    <x v="42"/>
    <s v="Total Electric Power Industry"/>
    <x v="0"/>
    <n v="92221791"/>
  </r>
  <r>
    <x v="13"/>
    <x v="42"/>
    <s v="Total Electric Power Industry"/>
    <x v="1"/>
    <n v="54921298"/>
  </r>
  <r>
    <x v="13"/>
    <x v="42"/>
    <s v="Total Electric Power Industry"/>
    <x v="2"/>
    <n v="12003646"/>
  </r>
  <r>
    <x v="13"/>
    <x v="42"/>
    <s v="Total Electric Power Industry"/>
    <x v="3"/>
    <n v="626987"/>
  </r>
  <r>
    <x v="13"/>
    <x v="42"/>
    <s v="Total Electric Power Industry"/>
    <x v="7"/>
    <n v="24152580"/>
  </r>
  <r>
    <x v="13"/>
    <x v="42"/>
    <s v="Total Electric Power Industry"/>
    <x v="12"/>
    <n v="7451"/>
  </r>
  <r>
    <x v="13"/>
    <x v="42"/>
    <s v="Total Electric Power Industry"/>
    <x v="8"/>
    <n v="58921"/>
  </r>
  <r>
    <x v="13"/>
    <x v="42"/>
    <s v="Total Electric Power Industry"/>
    <x v="9"/>
    <n v="2834"/>
  </r>
  <r>
    <x v="13"/>
    <x v="42"/>
    <s v="Total Electric Power Industry"/>
    <x v="4"/>
    <n v="405810"/>
  </r>
  <r>
    <x v="13"/>
    <x v="42"/>
    <s v="Total Electric Power Industry"/>
    <x v="10"/>
    <n v="-728649"/>
  </r>
  <r>
    <x v="13"/>
    <x v="42"/>
    <s v="Total Electric Power Industry"/>
    <x v="5"/>
    <n v="3933"/>
  </r>
  <r>
    <x v="13"/>
    <x v="42"/>
    <s v="Total Electric Power Industry"/>
    <x v="6"/>
    <n v="766982"/>
  </r>
  <r>
    <x v="13"/>
    <x v="42"/>
    <s v="Electric Generators, Independent Power Producers"/>
    <x v="0"/>
    <n v="55447"/>
  </r>
  <r>
    <x v="13"/>
    <x v="42"/>
    <s v="Electric Generators, Independent Power Producers"/>
    <x v="3"/>
    <n v="27359"/>
  </r>
  <r>
    <x v="13"/>
    <x v="42"/>
    <s v="Electric Generators, Independent Power Producers"/>
    <x v="8"/>
    <n v="28088"/>
  </r>
  <r>
    <x v="13"/>
    <x v="42"/>
    <s v="Electric Generators, Electric Utilities"/>
    <x v="0"/>
    <n v="88678127"/>
  </r>
  <r>
    <x v="13"/>
    <x v="42"/>
    <s v="Electric Generators, Electric Utilities"/>
    <x v="1"/>
    <n v="53376149"/>
  </r>
  <r>
    <x v="13"/>
    <x v="42"/>
    <s v="Electric Generators, Electric Utilities"/>
    <x v="2"/>
    <n v="11087048"/>
  </r>
  <r>
    <x v="13"/>
    <x v="42"/>
    <s v="Electric Generators, Electric Utilities"/>
    <x v="3"/>
    <n v="408059"/>
  </r>
  <r>
    <x v="13"/>
    <x v="42"/>
    <s v="Electric Generators, Electric Utilities"/>
    <x v="7"/>
    <n v="24152580"/>
  </r>
  <r>
    <x v="13"/>
    <x v="42"/>
    <s v="Electric Generators, Electric Utilities"/>
    <x v="4"/>
    <n v="379007"/>
  </r>
  <r>
    <x v="13"/>
    <x v="42"/>
    <s v="Electric Generators, Electric Utilities"/>
    <x v="10"/>
    <n v="-728649"/>
  </r>
  <r>
    <x v="13"/>
    <x v="42"/>
    <s v="Electric Generators, Electric Utilities"/>
    <x v="5"/>
    <n v="3933"/>
  </r>
  <r>
    <x v="13"/>
    <x v="42"/>
    <s v="Combined Heat and Power, Industrial Power"/>
    <x v="0"/>
    <n v="3376494"/>
  </r>
  <r>
    <x v="13"/>
    <x v="42"/>
    <s v="Combined Heat and Power, Industrial Power"/>
    <x v="1"/>
    <n v="1505447"/>
  </r>
  <r>
    <x v="13"/>
    <x v="42"/>
    <s v="Combined Heat and Power, Industrial Power"/>
    <x v="2"/>
    <n v="916598"/>
  </r>
  <r>
    <x v="13"/>
    <x v="42"/>
    <s v="Combined Heat and Power, Industrial Power"/>
    <x v="3"/>
    <n v="119547"/>
  </r>
  <r>
    <x v="13"/>
    <x v="42"/>
    <s v="Combined Heat and Power, Industrial Power"/>
    <x v="12"/>
    <n v="7451"/>
  </r>
  <r>
    <x v="13"/>
    <x v="42"/>
    <s v="Combined Heat and Power, Industrial Power"/>
    <x v="8"/>
    <n v="30833"/>
  </r>
  <r>
    <x v="13"/>
    <x v="42"/>
    <s v="Combined Heat and Power, Industrial Power"/>
    <x v="9"/>
    <n v="2834"/>
  </r>
  <r>
    <x v="13"/>
    <x v="42"/>
    <s v="Combined Heat and Power, Industrial Power"/>
    <x v="4"/>
    <n v="26803"/>
  </r>
  <r>
    <x v="13"/>
    <x v="42"/>
    <s v="Combined Heat and Power, Industrial Power"/>
    <x v="6"/>
    <n v="766982"/>
  </r>
  <r>
    <x v="13"/>
    <x v="42"/>
    <s v="Combined Heat and Power, Commercial Power"/>
    <x v="0"/>
    <n v="111722"/>
  </r>
  <r>
    <x v="13"/>
    <x v="42"/>
    <s v="Combined Heat and Power, Commercial Power"/>
    <x v="1"/>
    <n v="39701"/>
  </r>
  <r>
    <x v="13"/>
    <x v="42"/>
    <s v="Combined Heat and Power, Commercial Power"/>
    <x v="3"/>
    <n v="72021"/>
  </r>
  <r>
    <x v="13"/>
    <x v="43"/>
    <s v="Total Electric Power Industry"/>
    <x v="0"/>
    <n v="379199685"/>
  </r>
  <r>
    <x v="13"/>
    <x v="43"/>
    <s v="Total Electric Power Industry"/>
    <x v="1"/>
    <n v="146989510"/>
  </r>
  <r>
    <x v="13"/>
    <x v="43"/>
    <s v="Total Electric Power Industry"/>
    <x v="2"/>
    <n v="896539"/>
  </r>
  <r>
    <x v="13"/>
    <x v="43"/>
    <s v="Total Electric Power Industry"/>
    <x v="3"/>
    <n v="184911350"/>
  </r>
  <r>
    <x v="13"/>
    <x v="43"/>
    <s v="Total Electric Power Industry"/>
    <x v="7"/>
    <n v="33437484"/>
  </r>
  <r>
    <x v="13"/>
    <x v="43"/>
    <s v="Total Electric Power Industry"/>
    <x v="12"/>
    <n v="484320"/>
  </r>
  <r>
    <x v="13"/>
    <x v="43"/>
    <s v="Total Electric Power Industry"/>
    <x v="8"/>
    <n v="359724"/>
  </r>
  <r>
    <x v="13"/>
    <x v="43"/>
    <s v="Total Electric Power Industry"/>
    <x v="9"/>
    <n v="5999490"/>
  </r>
  <r>
    <x v="13"/>
    <x v="43"/>
    <s v="Total Electric Power Industry"/>
    <x v="4"/>
    <n v="2515255"/>
  </r>
  <r>
    <x v="13"/>
    <x v="43"/>
    <s v="Total Electric Power Industry"/>
    <x v="5"/>
    <n v="2569853"/>
  </r>
  <r>
    <x v="13"/>
    <x v="43"/>
    <s v="Total Electric Power Industry"/>
    <x v="6"/>
    <n v="1036160"/>
  </r>
  <r>
    <x v="13"/>
    <x v="43"/>
    <s v="Electric Generators, Independent Power Producers"/>
    <x v="0"/>
    <n v="197113740"/>
  </r>
  <r>
    <x v="13"/>
    <x v="43"/>
    <s v="Electric Generators, Independent Power Producers"/>
    <x v="1"/>
    <n v="83974920"/>
  </r>
  <r>
    <x v="13"/>
    <x v="43"/>
    <s v="Electric Generators, Independent Power Producers"/>
    <x v="2"/>
    <n v="37606"/>
  </r>
  <r>
    <x v="13"/>
    <x v="43"/>
    <s v="Electric Generators, Independent Power Producers"/>
    <x v="3"/>
    <n v="75568443"/>
  </r>
  <r>
    <x v="13"/>
    <x v="43"/>
    <s v="Electric Generators, Independent Power Producers"/>
    <x v="7"/>
    <n v="33437484"/>
  </r>
  <r>
    <x v="13"/>
    <x v="43"/>
    <s v="Electric Generators, Independent Power Producers"/>
    <x v="8"/>
    <n v="177196"/>
  </r>
  <r>
    <x v="13"/>
    <x v="43"/>
    <s v="Electric Generators, Independent Power Producers"/>
    <x v="4"/>
    <n v="1351090"/>
  </r>
  <r>
    <x v="13"/>
    <x v="43"/>
    <s v="Electric Generators, Independent Power Producers"/>
    <x v="5"/>
    <n v="2567001"/>
  </r>
  <r>
    <x v="13"/>
    <x v="43"/>
    <s v="Electric Generators, Electric Utilities"/>
    <x v="0"/>
    <n v="86882044"/>
  </r>
  <r>
    <x v="13"/>
    <x v="43"/>
    <s v="Electric Generators, Electric Utilities"/>
    <x v="1"/>
    <n v="60288940"/>
  </r>
  <r>
    <x v="13"/>
    <x v="43"/>
    <s v="Electric Generators, Electric Utilities"/>
    <x v="2"/>
    <n v="858933"/>
  </r>
  <r>
    <x v="13"/>
    <x v="43"/>
    <s v="Electric Generators, Electric Utilities"/>
    <x v="3"/>
    <n v="25473500"/>
  </r>
  <r>
    <x v="13"/>
    <x v="43"/>
    <s v="Electric Generators, Electric Utilities"/>
    <x v="12"/>
    <n v="0"/>
  </r>
  <r>
    <x v="13"/>
    <x v="43"/>
    <s v="Electric Generators, Electric Utilities"/>
    <x v="4"/>
    <n v="257818"/>
  </r>
  <r>
    <x v="13"/>
    <x v="43"/>
    <s v="Electric Generators, Electric Utilities"/>
    <x v="5"/>
    <n v="2852"/>
  </r>
  <r>
    <x v="13"/>
    <x v="43"/>
    <s v="Combined Heat and Power, Industrial Power"/>
    <x v="0"/>
    <n v="39276991"/>
  </r>
  <r>
    <x v="13"/>
    <x v="43"/>
    <s v="Combined Heat and Power, Industrial Power"/>
    <x v="1"/>
    <n v="2725650"/>
  </r>
  <r>
    <x v="13"/>
    <x v="43"/>
    <s v="Combined Heat and Power, Industrial Power"/>
    <x v="3"/>
    <n v="30435327"/>
  </r>
  <r>
    <x v="13"/>
    <x v="43"/>
    <s v="Combined Heat and Power, Industrial Power"/>
    <x v="12"/>
    <n v="253264"/>
  </r>
  <r>
    <x v="13"/>
    <x v="43"/>
    <s v="Combined Heat and Power, Industrial Power"/>
    <x v="8"/>
    <n v="18306"/>
  </r>
  <r>
    <x v="13"/>
    <x v="43"/>
    <s v="Combined Heat and Power, Industrial Power"/>
    <x v="9"/>
    <n v="4491413"/>
  </r>
  <r>
    <x v="13"/>
    <x v="43"/>
    <s v="Combined Heat and Power, Industrial Power"/>
    <x v="4"/>
    <n v="316871"/>
  </r>
  <r>
    <x v="13"/>
    <x v="43"/>
    <s v="Combined Heat and Power, Industrial Power"/>
    <x v="6"/>
    <n v="1036160"/>
  </r>
  <r>
    <x v="13"/>
    <x v="43"/>
    <s v="Combined Heat and Power, Electric Power"/>
    <x v="0"/>
    <n v="55431762"/>
  </r>
  <r>
    <x v="13"/>
    <x v="43"/>
    <s v="Combined Heat and Power, Electric Power"/>
    <x v="3"/>
    <n v="52978900"/>
  </r>
  <r>
    <x v="13"/>
    <x v="43"/>
    <s v="Combined Heat and Power, Electric Power"/>
    <x v="12"/>
    <n v="231056"/>
  </r>
  <r>
    <x v="13"/>
    <x v="43"/>
    <s v="Combined Heat and Power, Electric Power"/>
    <x v="8"/>
    <n v="126752"/>
  </r>
  <r>
    <x v="13"/>
    <x v="43"/>
    <s v="Combined Heat and Power, Electric Power"/>
    <x v="9"/>
    <n v="1508076"/>
  </r>
  <r>
    <x v="13"/>
    <x v="43"/>
    <s v="Combined Heat and Power, Electric Power"/>
    <x v="4"/>
    <n v="586978"/>
  </r>
  <r>
    <x v="13"/>
    <x v="43"/>
    <s v="Combined Heat and Power, Commercial Power"/>
    <x v="0"/>
    <n v="495148"/>
  </r>
  <r>
    <x v="13"/>
    <x v="43"/>
    <s v="Combined Heat and Power, Commercial Power"/>
    <x v="3"/>
    <n v="455180"/>
  </r>
  <r>
    <x v="13"/>
    <x v="43"/>
    <s v="Combined Heat and Power, Commercial Power"/>
    <x v="8"/>
    <n v="37470"/>
  </r>
  <r>
    <x v="13"/>
    <x v="43"/>
    <s v="Combined Heat and Power, Commercial Power"/>
    <x v="4"/>
    <n v="2498"/>
  </r>
  <r>
    <x v="13"/>
    <x v="44"/>
    <s v="Total Electric Power Industry"/>
    <x v="0"/>
    <n v="3883185205"/>
  </r>
  <r>
    <x v="13"/>
    <x v="44"/>
    <s v="Total Electric Power Industry"/>
    <x v="1"/>
    <n v="1973736750"/>
  </r>
  <r>
    <x v="13"/>
    <x v="44"/>
    <s v="Total Electric Power Industry"/>
    <x v="11"/>
    <n v="14424231"/>
  </r>
  <r>
    <x v="13"/>
    <x v="44"/>
    <s v="Total Electric Power Industry"/>
    <x v="2"/>
    <n v="275806328"/>
  </r>
  <r>
    <x v="13"/>
    <x v="44"/>
    <s v="Total Electric Power Industry"/>
    <x v="3"/>
    <n v="649907541"/>
  </r>
  <r>
    <x v="13"/>
    <x v="44"/>
    <s v="Total Electric Power Industry"/>
    <x v="7"/>
    <n v="763732695"/>
  </r>
  <r>
    <x v="13"/>
    <x v="44"/>
    <s v="Total Electric Power Industry"/>
    <x v="12"/>
    <n v="14044507"/>
  </r>
  <r>
    <x v="13"/>
    <x v="44"/>
    <s v="Total Electric Power Industry"/>
    <x v="8"/>
    <n v="15811992"/>
  </r>
  <r>
    <x v="13"/>
    <x v="44"/>
    <s v="Total Electric Power Industry"/>
    <x v="9"/>
    <n v="15600020"/>
  </r>
  <r>
    <x v="13"/>
    <x v="44"/>
    <s v="Total Electric Power Industry"/>
    <x v="4"/>
    <n v="119405640"/>
  </r>
  <r>
    <x v="13"/>
    <x v="44"/>
    <s v="Total Electric Power Industry"/>
    <x v="10"/>
    <n v="-8535065"/>
  </r>
  <r>
    <x v="13"/>
    <x v="44"/>
    <s v="Total Electric Power Industry"/>
    <x v="13"/>
    <n v="534001"/>
  </r>
  <r>
    <x v="13"/>
    <x v="44"/>
    <s v="Total Electric Power Industry"/>
    <x v="5"/>
    <n v="11187467"/>
  </r>
  <r>
    <x v="13"/>
    <x v="44"/>
    <s v="Total Electric Power Industry"/>
    <x v="6"/>
    <n v="37529097"/>
  </r>
  <r>
    <x v="13"/>
    <x v="44"/>
    <s v="Electric Generators, Independent Power Producers"/>
    <x v="0"/>
    <n v="1063204954"/>
  </r>
  <r>
    <x v="13"/>
    <x v="44"/>
    <s v="Electric Generators, Independent Power Producers"/>
    <x v="1"/>
    <n v="415497685"/>
  </r>
  <r>
    <x v="13"/>
    <x v="44"/>
    <s v="Electric Generators, Independent Power Producers"/>
    <x v="11"/>
    <n v="13175254"/>
  </r>
  <r>
    <x v="13"/>
    <x v="44"/>
    <s v="Electric Generators, Independent Power Producers"/>
    <x v="2"/>
    <n v="21889662"/>
  </r>
  <r>
    <x v="13"/>
    <x v="44"/>
    <s v="Electric Generators, Independent Power Producers"/>
    <x v="3"/>
    <n v="234240040"/>
  </r>
  <r>
    <x v="13"/>
    <x v="44"/>
    <s v="Electric Generators, Independent Power Producers"/>
    <x v="7"/>
    <n v="304903874"/>
  </r>
  <r>
    <x v="13"/>
    <x v="44"/>
    <s v="Electric Generators, Independent Power Producers"/>
    <x v="12"/>
    <n v="7034725"/>
  </r>
  <r>
    <x v="13"/>
    <x v="44"/>
    <s v="Electric Generators, Independent Power Producers"/>
    <x v="8"/>
    <n v="10997736"/>
  </r>
  <r>
    <x v="13"/>
    <x v="44"/>
    <s v="Electric Generators, Independent Power Producers"/>
    <x v="9"/>
    <n v="12502"/>
  </r>
  <r>
    <x v="13"/>
    <x v="44"/>
    <s v="Electric Generators, Independent Power Producers"/>
    <x v="4"/>
    <n v="38571483"/>
  </r>
  <r>
    <x v="13"/>
    <x v="44"/>
    <s v="Electric Generators, Independent Power Producers"/>
    <x v="10"/>
    <n v="-1003180"/>
  </r>
  <r>
    <x v="13"/>
    <x v="44"/>
    <s v="Electric Generators, Independent Power Producers"/>
    <x v="13"/>
    <n v="531658"/>
  </r>
  <r>
    <x v="13"/>
    <x v="44"/>
    <s v="Electric Generators, Independent Power Producers"/>
    <x v="5"/>
    <n v="10833703"/>
  </r>
  <r>
    <x v="13"/>
    <x v="44"/>
    <s v="Electric Generators, Independent Power Producers"/>
    <x v="6"/>
    <n v="6519811"/>
  </r>
  <r>
    <x v="13"/>
    <x v="44"/>
    <s v="Electric Generators, Electric Utilities"/>
    <x v="0"/>
    <n v="2462280615"/>
  </r>
  <r>
    <x v="13"/>
    <x v="44"/>
    <s v="Electric Generators, Electric Utilities"/>
    <x v="1"/>
    <n v="1500281112"/>
  </r>
  <r>
    <x v="13"/>
    <x v="44"/>
    <s v="Electric Generators, Electric Utilities"/>
    <x v="11"/>
    <n v="1248977"/>
  </r>
  <r>
    <x v="13"/>
    <x v="44"/>
    <s v="Electric Generators, Electric Utilities"/>
    <x v="2"/>
    <n v="249621997"/>
  </r>
  <r>
    <x v="13"/>
    <x v="44"/>
    <s v="Electric Generators, Electric Utilities"/>
    <x v="3"/>
    <n v="186966798"/>
  </r>
  <r>
    <x v="13"/>
    <x v="44"/>
    <s v="Electric Generators, Electric Utilities"/>
    <x v="7"/>
    <n v="458828821"/>
  </r>
  <r>
    <x v="13"/>
    <x v="44"/>
    <s v="Electric Generators, Electric Utilities"/>
    <x v="12"/>
    <n v="519327"/>
  </r>
  <r>
    <x v="13"/>
    <x v="44"/>
    <s v="Electric Generators, Electric Utilities"/>
    <x v="8"/>
    <n v="933920"/>
  </r>
  <r>
    <x v="13"/>
    <x v="44"/>
    <s v="Electric Generators, Electric Utilities"/>
    <x v="9"/>
    <n v="242655"/>
  </r>
  <r>
    <x v="13"/>
    <x v="44"/>
    <s v="Electric Generators, Electric Utilities"/>
    <x v="4"/>
    <n v="69930457"/>
  </r>
  <r>
    <x v="13"/>
    <x v="44"/>
    <s v="Electric Generators, Electric Utilities"/>
    <x v="10"/>
    <n v="-7531885"/>
  </r>
  <r>
    <x v="13"/>
    <x v="44"/>
    <s v="Electric Generators, Electric Utilities"/>
    <x v="13"/>
    <n v="2343"/>
  </r>
  <r>
    <x v="13"/>
    <x v="44"/>
    <s v="Electric Generators, Electric Utilities"/>
    <x v="5"/>
    <n v="353764"/>
  </r>
  <r>
    <x v="13"/>
    <x v="44"/>
    <s v="Electric Generators, Electric Utilities"/>
    <x v="6"/>
    <n v="882330"/>
  </r>
  <r>
    <x v="13"/>
    <x v="44"/>
    <s v="Combined Heat and Power, Industrial Power"/>
    <x v="0"/>
    <n v="154529750"/>
  </r>
  <r>
    <x v="13"/>
    <x v="44"/>
    <s v="Combined Heat and Power, Industrial Power"/>
    <x v="1"/>
    <n v="19817123"/>
  </r>
  <r>
    <x v="13"/>
    <x v="44"/>
    <s v="Combined Heat and Power, Industrial Power"/>
    <x v="2"/>
    <n v="4222424"/>
  </r>
  <r>
    <x v="13"/>
    <x v="44"/>
    <s v="Combined Heat and Power, Industrial Power"/>
    <x v="3"/>
    <n v="78705341"/>
  </r>
  <r>
    <x v="13"/>
    <x v="44"/>
    <s v="Combined Heat and Power, Industrial Power"/>
    <x v="12"/>
    <n v="4843169"/>
  </r>
  <r>
    <x v="13"/>
    <x v="44"/>
    <s v="Combined Heat and Power, Industrial Power"/>
    <x v="8"/>
    <n v="715445"/>
  </r>
  <r>
    <x v="13"/>
    <x v="44"/>
    <s v="Combined Heat and Power, Industrial Power"/>
    <x v="9"/>
    <n v="12952927"/>
  </r>
  <r>
    <x v="13"/>
    <x v="44"/>
    <s v="Combined Heat and Power, Industrial Power"/>
    <x v="4"/>
    <n v="5284950"/>
  </r>
  <r>
    <x v="13"/>
    <x v="44"/>
    <s v="Combined Heat and Power, Industrial Power"/>
    <x v="6"/>
    <n v="27988371"/>
  </r>
  <r>
    <x v="13"/>
    <x v="44"/>
    <s v="Combined Heat and Power, Electric Power"/>
    <x v="0"/>
    <n v="195673709"/>
  </r>
  <r>
    <x v="13"/>
    <x v="44"/>
    <s v="Combined Heat and Power, Electric Power"/>
    <x v="1"/>
    <n v="36935029"/>
  </r>
  <r>
    <x v="13"/>
    <x v="44"/>
    <s v="Combined Heat and Power, Electric Power"/>
    <x v="3"/>
    <n v="146096554"/>
  </r>
  <r>
    <x v="13"/>
    <x v="44"/>
    <s v="Combined Heat and Power, Electric Power"/>
    <x v="12"/>
    <n v="1053418"/>
  </r>
  <r>
    <x v="13"/>
    <x v="44"/>
    <s v="Combined Heat and Power, Electric Power"/>
    <x v="8"/>
    <n v="1875977"/>
  </r>
  <r>
    <x v="13"/>
    <x v="44"/>
    <s v="Combined Heat and Power, Electric Power"/>
    <x v="9"/>
    <n v="2391936"/>
  </r>
  <r>
    <x v="13"/>
    <x v="44"/>
    <s v="Combined Heat and Power, Electric Power"/>
    <x v="4"/>
    <n v="5195258"/>
  </r>
  <r>
    <x v="13"/>
    <x v="44"/>
    <s v="Combined Heat and Power, Electric Power"/>
    <x v="6"/>
    <n v="2125537"/>
  </r>
  <r>
    <x v="13"/>
    <x v="44"/>
    <s v="Combined Heat and Power, Commercial Power"/>
    <x v="0"/>
    <n v="7496178"/>
  </r>
  <r>
    <x v="13"/>
    <x v="44"/>
    <s v="Combined Heat and Power, Commercial Power"/>
    <x v="1"/>
    <n v="1205801"/>
  </r>
  <r>
    <x v="13"/>
    <x v="44"/>
    <s v="Combined Heat and Power, Commercial Power"/>
    <x v="2"/>
    <n v="72245"/>
  </r>
  <r>
    <x v="13"/>
    <x v="44"/>
    <s v="Combined Heat and Power, Commercial Power"/>
    <x v="3"/>
    <n v="3898808"/>
  </r>
  <r>
    <x v="13"/>
    <x v="44"/>
    <s v="Combined Heat and Power, Commercial Power"/>
    <x v="12"/>
    <n v="593868"/>
  </r>
  <r>
    <x v="13"/>
    <x v="44"/>
    <s v="Combined Heat and Power, Commercial Power"/>
    <x v="8"/>
    <n v="1288914"/>
  </r>
  <r>
    <x v="13"/>
    <x v="44"/>
    <s v="Combined Heat and Power, Commercial Power"/>
    <x v="9"/>
    <n v="0"/>
  </r>
  <r>
    <x v="13"/>
    <x v="44"/>
    <s v="Combined Heat and Power, Commercial Power"/>
    <x v="4"/>
    <n v="423492"/>
  </r>
  <r>
    <x v="13"/>
    <x v="44"/>
    <s v="Combined Heat and Power, Commercial Power"/>
    <x v="6"/>
    <n v="13049"/>
  </r>
  <r>
    <x v="13"/>
    <x v="45"/>
    <s v="Total Electric Power Industry"/>
    <x v="0"/>
    <n v="38023666"/>
  </r>
  <r>
    <x v="13"/>
    <x v="45"/>
    <s v="Total Electric Power Industry"/>
    <x v="1"/>
    <n v="35978648"/>
  </r>
  <r>
    <x v="13"/>
    <x v="45"/>
    <s v="Total Electric Power Industry"/>
    <x v="11"/>
    <n v="198465"/>
  </r>
  <r>
    <x v="13"/>
    <x v="45"/>
    <s v="Total Electric Power Industry"/>
    <x v="2"/>
    <n v="421339"/>
  </r>
  <r>
    <x v="13"/>
    <x v="45"/>
    <s v="Total Electric Power Industry"/>
    <x v="3"/>
    <n v="1383107"/>
  </r>
  <r>
    <x v="13"/>
    <x v="45"/>
    <s v="Total Electric Power Industry"/>
    <x v="12"/>
    <n v="4158"/>
  </r>
  <r>
    <x v="13"/>
    <x v="45"/>
    <s v="Total Electric Power Industry"/>
    <x v="8"/>
    <n v="5083"/>
  </r>
  <r>
    <x v="13"/>
    <x v="45"/>
    <s v="Total Electric Power Industry"/>
    <x v="9"/>
    <n v="0"/>
  </r>
  <r>
    <x v="13"/>
    <x v="45"/>
    <s v="Total Electric Power Industry"/>
    <x v="4"/>
    <n v="32866"/>
  </r>
  <r>
    <x v="13"/>
    <x v="45"/>
    <s v="Electric Generators, Independent Power Producers"/>
    <x v="0"/>
    <n v="447389"/>
  </r>
  <r>
    <x v="13"/>
    <x v="45"/>
    <s v="Electric Generators, Independent Power Producers"/>
    <x v="1"/>
    <n v="399490"/>
  </r>
  <r>
    <x v="13"/>
    <x v="45"/>
    <s v="Electric Generators, Independent Power Producers"/>
    <x v="2"/>
    <n v="8440"/>
  </r>
  <r>
    <x v="13"/>
    <x v="45"/>
    <s v="Electric Generators, Independent Power Producers"/>
    <x v="3"/>
    <n v="38036"/>
  </r>
  <r>
    <x v="13"/>
    <x v="45"/>
    <s v="Electric Generators, Independent Power Producers"/>
    <x v="4"/>
    <n v="1423"/>
  </r>
  <r>
    <x v="13"/>
    <x v="45"/>
    <s v="Electric Generators, Electric Utilities"/>
    <x v="0"/>
    <n v="37544892"/>
  </r>
  <r>
    <x v="13"/>
    <x v="45"/>
    <s v="Electric Generators, Electric Utilities"/>
    <x v="1"/>
    <n v="35579158"/>
  </r>
  <r>
    <x v="13"/>
    <x v="45"/>
    <s v="Electric Generators, Electric Utilities"/>
    <x v="11"/>
    <n v="198465"/>
  </r>
  <r>
    <x v="13"/>
    <x v="45"/>
    <s v="Electric Generators, Electric Utilities"/>
    <x v="2"/>
    <n v="412899"/>
  </r>
  <r>
    <x v="13"/>
    <x v="45"/>
    <s v="Electric Generators, Electric Utilities"/>
    <x v="3"/>
    <n v="1322984"/>
  </r>
  <r>
    <x v="13"/>
    <x v="45"/>
    <s v="Electric Generators, Electric Utilities"/>
    <x v="4"/>
    <n v="31386"/>
  </r>
  <r>
    <x v="13"/>
    <x v="45"/>
    <s v="Combined Heat and Power, Industrial Power"/>
    <x v="0"/>
    <n v="0"/>
  </r>
  <r>
    <x v="13"/>
    <x v="45"/>
    <s v="Combined Heat and Power, Industrial Power"/>
    <x v="1"/>
    <n v="0"/>
  </r>
  <r>
    <x v="13"/>
    <x v="45"/>
    <s v="Combined Heat and Power, Industrial Power"/>
    <x v="3"/>
    <n v="0"/>
  </r>
  <r>
    <x v="13"/>
    <x v="45"/>
    <s v="Combined Heat and Power, Electric Power"/>
    <x v="0"/>
    <n v="9298"/>
  </r>
  <r>
    <x v="13"/>
    <x v="45"/>
    <s v="Combined Heat and Power, Electric Power"/>
    <x v="12"/>
    <n v="4158"/>
  </r>
  <r>
    <x v="13"/>
    <x v="45"/>
    <s v="Combined Heat and Power, Electric Power"/>
    <x v="8"/>
    <n v="5083"/>
  </r>
  <r>
    <x v="13"/>
    <x v="45"/>
    <s v="Combined Heat and Power, Electric Power"/>
    <x v="4"/>
    <n v="57"/>
  </r>
  <r>
    <x v="13"/>
    <x v="45"/>
    <s v="Combined Heat and Power, Commercial Power"/>
    <x v="0"/>
    <n v="22087"/>
  </r>
  <r>
    <x v="13"/>
    <x v="45"/>
    <s v="Combined Heat and Power, Commercial Power"/>
    <x v="3"/>
    <n v="22087"/>
  </r>
  <r>
    <x v="13"/>
    <x v="45"/>
    <s v="Combined Heat and Power, Commercial Power"/>
    <x v="9"/>
    <n v="0"/>
  </r>
  <r>
    <x v="13"/>
    <x v="45"/>
    <s v="Combined Heat and Power, Commercial Power"/>
    <x v="4"/>
    <n v="0"/>
  </r>
  <r>
    <x v="13"/>
    <x v="46"/>
    <s v="Total Electric Power Industry"/>
    <x v="0"/>
    <n v="75309420"/>
  </r>
  <r>
    <x v="13"/>
    <x v="46"/>
    <s v="Total Electric Power Industry"/>
    <x v="1"/>
    <n v="37093331"/>
  </r>
  <r>
    <x v="13"/>
    <x v="46"/>
    <s v="Total Electric Power Industry"/>
    <x v="2"/>
    <n v="1781569"/>
  </r>
  <r>
    <x v="13"/>
    <x v="46"/>
    <s v="Total Electric Power Industry"/>
    <x v="3"/>
    <n v="4619066"/>
  </r>
  <r>
    <x v="13"/>
    <x v="46"/>
    <s v="Total Electric Power Industry"/>
    <x v="7"/>
    <n v="24816022"/>
  </r>
  <r>
    <x v="13"/>
    <x v="46"/>
    <s v="Total Electric Power Industry"/>
    <x v="12"/>
    <n v="452936"/>
  </r>
  <r>
    <x v="13"/>
    <x v="46"/>
    <s v="Total Electric Power Industry"/>
    <x v="8"/>
    <n v="673814"/>
  </r>
  <r>
    <x v="13"/>
    <x v="46"/>
    <s v="Total Electric Power Industry"/>
    <x v="9"/>
    <n v="2959"/>
  </r>
  <r>
    <x v="13"/>
    <x v="46"/>
    <s v="Total Electric Power Industry"/>
    <x v="4"/>
    <n v="5780336"/>
  </r>
  <r>
    <x v="13"/>
    <x v="46"/>
    <s v="Total Electric Power Industry"/>
    <x v="10"/>
    <n v="-1498159"/>
  </r>
  <r>
    <x v="13"/>
    <x v="46"/>
    <s v="Total Electric Power Industry"/>
    <x v="6"/>
    <n v="1587545"/>
  </r>
  <r>
    <x v="13"/>
    <x v="46"/>
    <s v="Electric Generators, Independent Power Producers"/>
    <x v="0"/>
    <n v="6058005"/>
  </r>
  <r>
    <x v="13"/>
    <x v="46"/>
    <s v="Electric Generators, Independent Power Producers"/>
    <x v="1"/>
    <n v="3159908"/>
  </r>
  <r>
    <x v="13"/>
    <x v="46"/>
    <s v="Electric Generators, Independent Power Producers"/>
    <x v="2"/>
    <n v="105909"/>
  </r>
  <r>
    <x v="13"/>
    <x v="46"/>
    <s v="Electric Generators, Independent Power Producers"/>
    <x v="3"/>
    <n v="1323813"/>
  </r>
  <r>
    <x v="13"/>
    <x v="46"/>
    <s v="Electric Generators, Independent Power Producers"/>
    <x v="12"/>
    <n v="279977"/>
  </r>
  <r>
    <x v="13"/>
    <x v="46"/>
    <s v="Electric Generators, Independent Power Producers"/>
    <x v="8"/>
    <n v="435197"/>
  </r>
  <r>
    <x v="13"/>
    <x v="46"/>
    <s v="Electric Generators, Independent Power Producers"/>
    <x v="9"/>
    <n v="2959"/>
  </r>
  <r>
    <x v="13"/>
    <x v="46"/>
    <s v="Electric Generators, Independent Power Producers"/>
    <x v="4"/>
    <n v="379381"/>
  </r>
  <r>
    <x v="13"/>
    <x v="46"/>
    <s v="Electric Generators, Independent Power Producers"/>
    <x v="6"/>
    <n v="370861"/>
  </r>
  <r>
    <x v="13"/>
    <x v="46"/>
    <s v="Electric Generators, Electric Utilities"/>
    <x v="0"/>
    <n v="61806347"/>
  </r>
  <r>
    <x v="13"/>
    <x v="46"/>
    <s v="Electric Generators, Electric Utilities"/>
    <x v="1"/>
    <n v="29145703"/>
  </r>
  <r>
    <x v="13"/>
    <x v="46"/>
    <s v="Electric Generators, Electric Utilities"/>
    <x v="2"/>
    <n v="1669793"/>
  </r>
  <r>
    <x v="13"/>
    <x v="46"/>
    <s v="Electric Generators, Electric Utilities"/>
    <x v="3"/>
    <n v="2690674"/>
  </r>
  <r>
    <x v="13"/>
    <x v="46"/>
    <s v="Electric Generators, Electric Utilities"/>
    <x v="7"/>
    <n v="24816022"/>
  </r>
  <r>
    <x v="13"/>
    <x v="46"/>
    <s v="Electric Generators, Electric Utilities"/>
    <x v="9"/>
    <n v="0"/>
  </r>
  <r>
    <x v="13"/>
    <x v="46"/>
    <s v="Electric Generators, Electric Utilities"/>
    <x v="4"/>
    <n v="4982314"/>
  </r>
  <r>
    <x v="13"/>
    <x v="46"/>
    <s v="Electric Generators, Electric Utilities"/>
    <x v="10"/>
    <n v="-1498159"/>
  </r>
  <r>
    <x v="13"/>
    <x v="46"/>
    <s v="Electric Generators, Electric Utilities"/>
    <x v="6"/>
    <n v="0"/>
  </r>
  <r>
    <x v="13"/>
    <x v="46"/>
    <s v="Combined Heat and Power, Industrial Power"/>
    <x v="0"/>
    <n v="2744845"/>
  </r>
  <r>
    <x v="13"/>
    <x v="46"/>
    <s v="Combined Heat and Power, Industrial Power"/>
    <x v="1"/>
    <n v="971501"/>
  </r>
  <r>
    <x v="13"/>
    <x v="46"/>
    <s v="Combined Heat and Power, Industrial Power"/>
    <x v="2"/>
    <n v="5867"/>
  </r>
  <r>
    <x v="13"/>
    <x v="46"/>
    <s v="Combined Heat and Power, Industrial Power"/>
    <x v="3"/>
    <n v="356903"/>
  </r>
  <r>
    <x v="13"/>
    <x v="46"/>
    <s v="Combined Heat and Power, Industrial Power"/>
    <x v="12"/>
    <n v="23765"/>
  </r>
  <r>
    <x v="13"/>
    <x v="46"/>
    <s v="Combined Heat and Power, Industrial Power"/>
    <x v="8"/>
    <n v="56269"/>
  </r>
  <r>
    <x v="13"/>
    <x v="46"/>
    <s v="Combined Heat and Power, Industrial Power"/>
    <x v="4"/>
    <n v="113857"/>
  </r>
  <r>
    <x v="13"/>
    <x v="46"/>
    <s v="Combined Heat and Power, Industrial Power"/>
    <x v="6"/>
    <n v="1216684"/>
  </r>
  <r>
    <x v="13"/>
    <x v="46"/>
    <s v="Combined Heat and Power, Electric Power"/>
    <x v="0"/>
    <n v="4367778"/>
  </r>
  <r>
    <x v="13"/>
    <x v="46"/>
    <s v="Combined Heat and Power, Electric Power"/>
    <x v="1"/>
    <n v="3816216"/>
  </r>
  <r>
    <x v="13"/>
    <x v="46"/>
    <s v="Combined Heat and Power, Electric Power"/>
    <x v="3"/>
    <n v="247675"/>
  </r>
  <r>
    <x v="13"/>
    <x v="46"/>
    <s v="Combined Heat and Power, Electric Power"/>
    <x v="4"/>
    <n v="303886"/>
  </r>
  <r>
    <x v="13"/>
    <x v="46"/>
    <s v="Combined Heat and Power, Commercial Power"/>
    <x v="0"/>
    <n v="332445"/>
  </r>
  <r>
    <x v="13"/>
    <x v="46"/>
    <s v="Combined Heat and Power, Commercial Power"/>
    <x v="1"/>
    <n v="3"/>
  </r>
  <r>
    <x v="13"/>
    <x v="46"/>
    <s v="Combined Heat and Power, Commercial Power"/>
    <x v="12"/>
    <n v="149195"/>
  </r>
  <r>
    <x v="13"/>
    <x v="46"/>
    <s v="Combined Heat and Power, Commercial Power"/>
    <x v="8"/>
    <n v="182349"/>
  </r>
  <r>
    <x v="13"/>
    <x v="46"/>
    <s v="Combined Heat and Power, Commercial Power"/>
    <x v="4"/>
    <n v="898"/>
  </r>
  <r>
    <x v="13"/>
    <x v="47"/>
    <s v="Total Electric Power Industry"/>
    <x v="0"/>
    <n v="6027962"/>
  </r>
  <r>
    <x v="13"/>
    <x v="47"/>
    <s v="Total Electric Power Industry"/>
    <x v="2"/>
    <n v="1154038"/>
  </r>
  <r>
    <x v="13"/>
    <x v="47"/>
    <s v="Total Electric Power Industry"/>
    <x v="3"/>
    <n v="2029"/>
  </r>
  <r>
    <x v="13"/>
    <x v="47"/>
    <s v="Total Electric Power Industry"/>
    <x v="7"/>
    <n v="4444152"/>
  </r>
  <r>
    <x v="13"/>
    <x v="47"/>
    <s v="Total Electric Power Industry"/>
    <x v="4"/>
    <n v="22607"/>
  </r>
  <r>
    <x v="13"/>
    <x v="47"/>
    <s v="Total Electric Power Industry"/>
    <x v="5"/>
    <n v="10829"/>
  </r>
  <r>
    <x v="13"/>
    <x v="47"/>
    <s v="Total Electric Power Industry"/>
    <x v="6"/>
    <n v="394307"/>
  </r>
  <r>
    <x v="13"/>
    <x v="47"/>
    <s v="Electric Generators, Independent Power Producers"/>
    <x v="0"/>
    <n v="5395549"/>
  </r>
  <r>
    <x v="13"/>
    <x v="47"/>
    <s v="Electric Generators, Independent Power Producers"/>
    <x v="2"/>
    <n v="780338"/>
  </r>
  <r>
    <x v="13"/>
    <x v="47"/>
    <s v="Electric Generators, Independent Power Producers"/>
    <x v="7"/>
    <n v="4444152"/>
  </r>
  <r>
    <x v="13"/>
    <x v="47"/>
    <s v="Electric Generators, Independent Power Producers"/>
    <x v="6"/>
    <n v="171059"/>
  </r>
  <r>
    <x v="13"/>
    <x v="47"/>
    <s v="Electric Generators, Electric Utilities"/>
    <x v="0"/>
    <n v="626337"/>
  </r>
  <r>
    <x v="13"/>
    <x v="47"/>
    <s v="Electric Generators, Electric Utilities"/>
    <x v="2"/>
    <n v="367624"/>
  </r>
  <r>
    <x v="13"/>
    <x v="47"/>
    <s v="Electric Generators, Electric Utilities"/>
    <x v="3"/>
    <n v="2029"/>
  </r>
  <r>
    <x v="13"/>
    <x v="47"/>
    <s v="Electric Generators, Electric Utilities"/>
    <x v="4"/>
    <n v="22607"/>
  </r>
  <r>
    <x v="13"/>
    <x v="47"/>
    <s v="Electric Generators, Electric Utilities"/>
    <x v="5"/>
    <n v="10829"/>
  </r>
  <r>
    <x v="13"/>
    <x v="47"/>
    <s v="Electric Generators, Electric Utilities"/>
    <x v="6"/>
    <n v="223248"/>
  </r>
  <r>
    <x v="13"/>
    <x v="47"/>
    <s v="Combined Heat and Power, Industrial Power"/>
    <x v="0"/>
    <n v="6076"/>
  </r>
  <r>
    <x v="13"/>
    <x v="47"/>
    <s v="Combined Heat and Power, Industrial Power"/>
    <x v="2"/>
    <n v="6076"/>
  </r>
  <r>
    <x v="13"/>
    <x v="48"/>
    <s v="Total Electric Power Industry"/>
    <x v="0"/>
    <n v="100094691"/>
  </r>
  <r>
    <x v="13"/>
    <x v="48"/>
    <s v="Total Electric Power Industry"/>
    <x v="1"/>
    <n v="11089796"/>
  </r>
  <r>
    <x v="13"/>
    <x v="48"/>
    <s v="Total Electric Power Industry"/>
    <x v="2"/>
    <n v="71756783"/>
  </r>
  <r>
    <x v="13"/>
    <x v="48"/>
    <s v="Total Electric Power Industry"/>
    <x v="3"/>
    <n v="7082605"/>
  </r>
  <r>
    <x v="13"/>
    <x v="48"/>
    <s v="Total Electric Power Industry"/>
    <x v="7"/>
    <n v="7614708"/>
  </r>
  <r>
    <x v="13"/>
    <x v="48"/>
    <s v="Total Electric Power Industry"/>
    <x v="12"/>
    <n v="56007"/>
  </r>
  <r>
    <x v="13"/>
    <x v="48"/>
    <s v="Total Electric Power Industry"/>
    <x v="8"/>
    <n v="181898"/>
  </r>
  <r>
    <x v="13"/>
    <x v="48"/>
    <s v="Total Electric Power Industry"/>
    <x v="9"/>
    <n v="303188"/>
  </r>
  <r>
    <x v="13"/>
    <x v="48"/>
    <s v="Total Electric Power Industry"/>
    <x v="4"/>
    <n v="66591"/>
  </r>
  <r>
    <x v="13"/>
    <x v="48"/>
    <s v="Total Electric Power Industry"/>
    <x v="10"/>
    <n v="-3293"/>
  </r>
  <r>
    <x v="13"/>
    <x v="48"/>
    <s v="Total Electric Power Industry"/>
    <x v="5"/>
    <n v="603674"/>
  </r>
  <r>
    <x v="13"/>
    <x v="48"/>
    <s v="Total Electric Power Industry"/>
    <x v="6"/>
    <n v="1342733"/>
  </r>
  <r>
    <x v="13"/>
    <x v="48"/>
    <s v="Electric Generators, Independent Power Producers"/>
    <x v="0"/>
    <n v="13541083"/>
  </r>
  <r>
    <x v="13"/>
    <x v="48"/>
    <s v="Electric Generators, Independent Power Producers"/>
    <x v="1"/>
    <n v="11055239"/>
  </r>
  <r>
    <x v="13"/>
    <x v="48"/>
    <s v="Electric Generators, Independent Power Producers"/>
    <x v="2"/>
    <n v="161341"/>
  </r>
  <r>
    <x v="13"/>
    <x v="48"/>
    <s v="Electric Generators, Independent Power Producers"/>
    <x v="3"/>
    <n v="1697754"/>
  </r>
  <r>
    <x v="13"/>
    <x v="48"/>
    <s v="Electric Generators, Independent Power Producers"/>
    <x v="12"/>
    <n v="56007"/>
  </r>
  <r>
    <x v="13"/>
    <x v="48"/>
    <s v="Electric Generators, Independent Power Producers"/>
    <x v="8"/>
    <n v="83541"/>
  </r>
  <r>
    <x v="13"/>
    <x v="48"/>
    <s v="Electric Generators, Independent Power Producers"/>
    <x v="4"/>
    <n v="7827"/>
  </r>
  <r>
    <x v="13"/>
    <x v="48"/>
    <s v="Electric Generators, Independent Power Producers"/>
    <x v="5"/>
    <n v="479374"/>
  </r>
  <r>
    <x v="13"/>
    <x v="48"/>
    <s v="Electric Generators, Electric Utilities"/>
    <x v="0"/>
    <n v="82205391"/>
  </r>
  <r>
    <x v="13"/>
    <x v="48"/>
    <s v="Electric Generators, Electric Utilities"/>
    <x v="1"/>
    <n v="0"/>
  </r>
  <r>
    <x v="13"/>
    <x v="48"/>
    <s v="Electric Generators, Electric Utilities"/>
    <x v="2"/>
    <n v="71540502"/>
  </r>
  <r>
    <x v="13"/>
    <x v="48"/>
    <s v="Electric Generators, Electric Utilities"/>
    <x v="3"/>
    <n v="2256386"/>
  </r>
  <r>
    <x v="13"/>
    <x v="48"/>
    <s v="Electric Generators, Electric Utilities"/>
    <x v="7"/>
    <n v="7614708"/>
  </r>
  <r>
    <x v="13"/>
    <x v="48"/>
    <s v="Electric Generators, Electric Utilities"/>
    <x v="8"/>
    <n v="68969"/>
  </r>
  <r>
    <x v="13"/>
    <x v="48"/>
    <s v="Electric Generators, Electric Utilities"/>
    <x v="4"/>
    <n v="7851"/>
  </r>
  <r>
    <x v="13"/>
    <x v="48"/>
    <s v="Electric Generators, Electric Utilities"/>
    <x v="10"/>
    <n v="-3293"/>
  </r>
  <r>
    <x v="13"/>
    <x v="48"/>
    <s v="Electric Generators, Electric Utilities"/>
    <x v="5"/>
    <n v="124300"/>
  </r>
  <r>
    <x v="13"/>
    <x v="48"/>
    <s v="Electric Generators, Electric Utilities"/>
    <x v="6"/>
    <n v="595968"/>
  </r>
  <r>
    <x v="13"/>
    <x v="48"/>
    <s v="Combined Heat and Power, Industrial Power"/>
    <x v="0"/>
    <n v="920371"/>
  </r>
  <r>
    <x v="13"/>
    <x v="48"/>
    <s v="Combined Heat and Power, Industrial Power"/>
    <x v="1"/>
    <n v="26747"/>
  </r>
  <r>
    <x v="13"/>
    <x v="48"/>
    <s v="Combined Heat and Power, Industrial Power"/>
    <x v="2"/>
    <n v="1907"/>
  </r>
  <r>
    <x v="13"/>
    <x v="48"/>
    <s v="Combined Heat and Power, Industrial Power"/>
    <x v="3"/>
    <n v="79622"/>
  </r>
  <r>
    <x v="13"/>
    <x v="48"/>
    <s v="Combined Heat and Power, Industrial Power"/>
    <x v="8"/>
    <n v="15055"/>
  </r>
  <r>
    <x v="13"/>
    <x v="48"/>
    <s v="Combined Heat and Power, Industrial Power"/>
    <x v="4"/>
    <n v="50275"/>
  </r>
  <r>
    <x v="13"/>
    <x v="48"/>
    <s v="Combined Heat and Power, Industrial Power"/>
    <x v="6"/>
    <n v="746765"/>
  </r>
  <r>
    <x v="13"/>
    <x v="48"/>
    <s v="Combined Heat and Power, Electric Power"/>
    <x v="0"/>
    <n v="3350437"/>
  </r>
  <r>
    <x v="13"/>
    <x v="48"/>
    <s v="Combined Heat and Power, Electric Power"/>
    <x v="3"/>
    <n v="3032381"/>
  </r>
  <r>
    <x v="13"/>
    <x v="48"/>
    <s v="Combined Heat and Power, Electric Power"/>
    <x v="8"/>
    <n v="14333"/>
  </r>
  <r>
    <x v="13"/>
    <x v="48"/>
    <s v="Combined Heat and Power, Electric Power"/>
    <x v="9"/>
    <n v="303188"/>
  </r>
  <r>
    <x v="13"/>
    <x v="48"/>
    <s v="Combined Heat and Power, Electric Power"/>
    <x v="4"/>
    <n v="535"/>
  </r>
  <r>
    <x v="13"/>
    <x v="48"/>
    <s v="Combined Heat and Power, Commercial Power"/>
    <x v="0"/>
    <n v="77409"/>
  </r>
  <r>
    <x v="13"/>
    <x v="48"/>
    <s v="Combined Heat and Power, Commercial Power"/>
    <x v="1"/>
    <n v="7810"/>
  </r>
  <r>
    <x v="13"/>
    <x v="48"/>
    <s v="Combined Heat and Power, Commercial Power"/>
    <x v="2"/>
    <n v="53033"/>
  </r>
  <r>
    <x v="13"/>
    <x v="48"/>
    <s v="Combined Heat and Power, Commercial Power"/>
    <x v="3"/>
    <n v="16462"/>
  </r>
  <r>
    <x v="13"/>
    <x v="48"/>
    <s v="Combined Heat and Power, Commercial Power"/>
    <x v="4"/>
    <n v="104"/>
  </r>
  <r>
    <x v="13"/>
    <x v="49"/>
    <s v="Total Electric Power Industry"/>
    <x v="0"/>
    <n v="60122425"/>
  </r>
  <r>
    <x v="13"/>
    <x v="49"/>
    <s v="Total Electric Power Industry"/>
    <x v="1"/>
    <n v="41717216"/>
  </r>
  <r>
    <x v="13"/>
    <x v="49"/>
    <s v="Total Electric Power Industry"/>
    <x v="2"/>
    <n v="1843295"/>
  </r>
  <r>
    <x v="13"/>
    <x v="49"/>
    <s v="Total Electric Power Industry"/>
    <x v="3"/>
    <n v="2478390"/>
  </r>
  <r>
    <x v="13"/>
    <x v="49"/>
    <s v="Total Electric Power Industry"/>
    <x v="7"/>
    <n v="12215463"/>
  </r>
  <r>
    <x v="13"/>
    <x v="49"/>
    <s v="Total Electric Power Industry"/>
    <x v="12"/>
    <n v="169548"/>
  </r>
  <r>
    <x v="13"/>
    <x v="49"/>
    <s v="Total Electric Power Industry"/>
    <x v="8"/>
    <n v="370701"/>
  </r>
  <r>
    <x v="13"/>
    <x v="49"/>
    <s v="Total Electric Power Industry"/>
    <x v="4"/>
    <n v="472788"/>
  </r>
  <r>
    <x v="13"/>
    <x v="49"/>
    <s v="Total Electric Power Industry"/>
    <x v="5"/>
    <n v="97580"/>
  </r>
  <r>
    <x v="13"/>
    <x v="49"/>
    <s v="Total Electric Power Industry"/>
    <x v="6"/>
    <n v="757443"/>
  </r>
  <r>
    <x v="13"/>
    <x v="49"/>
    <s v="Electric Generators, Independent Power Producers"/>
    <x v="0"/>
    <n v="726390"/>
  </r>
  <r>
    <x v="13"/>
    <x v="49"/>
    <s v="Electric Generators, Independent Power Producers"/>
    <x v="1"/>
    <n v="8554"/>
  </r>
  <r>
    <x v="13"/>
    <x v="49"/>
    <s v="Electric Generators, Independent Power Producers"/>
    <x v="2"/>
    <n v="29697"/>
  </r>
  <r>
    <x v="13"/>
    <x v="49"/>
    <s v="Electric Generators, Independent Power Producers"/>
    <x v="3"/>
    <n v="386944"/>
  </r>
  <r>
    <x v="13"/>
    <x v="49"/>
    <s v="Electric Generators, Independent Power Producers"/>
    <x v="8"/>
    <n v="228165"/>
  </r>
  <r>
    <x v="13"/>
    <x v="49"/>
    <s v="Electric Generators, Independent Power Producers"/>
    <x v="4"/>
    <n v="18186"/>
  </r>
  <r>
    <x v="13"/>
    <x v="49"/>
    <s v="Electric Generators, Independent Power Producers"/>
    <x v="5"/>
    <n v="54844"/>
  </r>
  <r>
    <x v="13"/>
    <x v="49"/>
    <s v="Electric Generators, Electric Utilities"/>
    <x v="0"/>
    <n v="56068698"/>
  </r>
  <r>
    <x v="13"/>
    <x v="49"/>
    <s v="Electric Generators, Electric Utilities"/>
    <x v="1"/>
    <n v="40579973"/>
  </r>
  <r>
    <x v="13"/>
    <x v="49"/>
    <s v="Electric Generators, Electric Utilities"/>
    <x v="2"/>
    <n v="1623369"/>
  </r>
  <r>
    <x v="13"/>
    <x v="49"/>
    <s v="Electric Generators, Electric Utilities"/>
    <x v="3"/>
    <n v="1131999"/>
  </r>
  <r>
    <x v="13"/>
    <x v="49"/>
    <s v="Electric Generators, Electric Utilities"/>
    <x v="7"/>
    <n v="12215463"/>
  </r>
  <r>
    <x v="13"/>
    <x v="49"/>
    <s v="Electric Generators, Electric Utilities"/>
    <x v="12"/>
    <n v="138238"/>
  </r>
  <r>
    <x v="13"/>
    <x v="49"/>
    <s v="Electric Generators, Electric Utilities"/>
    <x v="8"/>
    <n v="90207"/>
  </r>
  <r>
    <x v="13"/>
    <x v="49"/>
    <s v="Electric Generators, Electric Utilities"/>
    <x v="4"/>
    <n v="185625"/>
  </r>
  <r>
    <x v="13"/>
    <x v="49"/>
    <s v="Electric Generators, Electric Utilities"/>
    <x v="5"/>
    <n v="42736"/>
  </r>
  <r>
    <x v="13"/>
    <x v="49"/>
    <s v="Electric Generators, Electric Utilities"/>
    <x v="6"/>
    <n v="61088"/>
  </r>
  <r>
    <x v="13"/>
    <x v="49"/>
    <s v="Combined Heat and Power, Industrial Power"/>
    <x v="0"/>
    <n v="2610645"/>
  </r>
  <r>
    <x v="13"/>
    <x v="49"/>
    <s v="Combined Heat and Power, Industrial Power"/>
    <x v="1"/>
    <n v="1086526"/>
  </r>
  <r>
    <x v="13"/>
    <x v="49"/>
    <s v="Combined Heat and Power, Industrial Power"/>
    <x v="2"/>
    <n v="184791"/>
  </r>
  <r>
    <x v="13"/>
    <x v="49"/>
    <s v="Combined Heat and Power, Industrial Power"/>
    <x v="3"/>
    <n v="312955"/>
  </r>
  <r>
    <x v="13"/>
    <x v="49"/>
    <s v="Combined Heat and Power, Industrial Power"/>
    <x v="12"/>
    <n v="28782"/>
  </r>
  <r>
    <x v="13"/>
    <x v="49"/>
    <s v="Combined Heat and Power, Industrial Power"/>
    <x v="8"/>
    <n v="36748"/>
  </r>
  <r>
    <x v="13"/>
    <x v="49"/>
    <s v="Combined Heat and Power, Industrial Power"/>
    <x v="4"/>
    <n v="265723"/>
  </r>
  <r>
    <x v="13"/>
    <x v="49"/>
    <s v="Combined Heat and Power, Industrial Power"/>
    <x v="6"/>
    <n v="695120"/>
  </r>
  <r>
    <x v="13"/>
    <x v="49"/>
    <s v="Combined Heat and Power, Electric Power"/>
    <x v="0"/>
    <n v="584872"/>
  </r>
  <r>
    <x v="13"/>
    <x v="49"/>
    <s v="Combined Heat and Power, Electric Power"/>
    <x v="3"/>
    <n v="579684"/>
  </r>
  <r>
    <x v="13"/>
    <x v="49"/>
    <s v="Combined Heat and Power, Electric Power"/>
    <x v="8"/>
    <n v="2325"/>
  </r>
  <r>
    <x v="13"/>
    <x v="49"/>
    <s v="Combined Heat and Power, Electric Power"/>
    <x v="4"/>
    <n v="2863"/>
  </r>
  <r>
    <x v="13"/>
    <x v="49"/>
    <s v="Combined Heat and Power, Commercial Power"/>
    <x v="0"/>
    <n v="131819"/>
  </r>
  <r>
    <x v="13"/>
    <x v="49"/>
    <s v="Combined Heat and Power, Commercial Power"/>
    <x v="1"/>
    <n v="42163"/>
  </r>
  <r>
    <x v="13"/>
    <x v="49"/>
    <s v="Combined Heat and Power, Commercial Power"/>
    <x v="2"/>
    <n v="5438"/>
  </r>
  <r>
    <x v="13"/>
    <x v="49"/>
    <s v="Combined Heat and Power, Commercial Power"/>
    <x v="3"/>
    <n v="66809"/>
  </r>
  <r>
    <x v="13"/>
    <x v="49"/>
    <s v="Combined Heat and Power, Commercial Power"/>
    <x v="12"/>
    <n v="2528"/>
  </r>
  <r>
    <x v="13"/>
    <x v="49"/>
    <s v="Combined Heat and Power, Commercial Power"/>
    <x v="8"/>
    <n v="13256"/>
  </r>
  <r>
    <x v="13"/>
    <x v="49"/>
    <s v="Combined Heat and Power, Commercial Power"/>
    <x v="4"/>
    <n v="390"/>
  </r>
  <r>
    <x v="13"/>
    <x v="49"/>
    <s v="Combined Heat and Power, Commercial Power"/>
    <x v="6"/>
    <n v="1235"/>
  </r>
  <r>
    <x v="13"/>
    <x v="50"/>
    <s v="Total Electric Power Industry"/>
    <x v="0"/>
    <n v="94711554"/>
  </r>
  <r>
    <x v="13"/>
    <x v="50"/>
    <s v="Total Electric Power Industry"/>
    <x v="1"/>
    <n v="92468983"/>
  </r>
  <r>
    <x v="13"/>
    <x v="50"/>
    <s v="Total Electric Power Industry"/>
    <x v="2"/>
    <n v="1356031"/>
  </r>
  <r>
    <x v="13"/>
    <x v="50"/>
    <s v="Total Electric Power Industry"/>
    <x v="3"/>
    <n v="277837"/>
  </r>
  <r>
    <x v="13"/>
    <x v="50"/>
    <s v="Total Electric Power Industry"/>
    <x v="12"/>
    <n v="17052"/>
  </r>
  <r>
    <x v="13"/>
    <x v="50"/>
    <s v="Total Electric Power Industry"/>
    <x v="8"/>
    <n v="4051"/>
  </r>
  <r>
    <x v="13"/>
    <x v="50"/>
    <s v="Total Electric Power Industry"/>
    <x v="9"/>
    <n v="169782"/>
  </r>
  <r>
    <x v="13"/>
    <x v="50"/>
    <s v="Total Electric Power Industry"/>
    <x v="4"/>
    <n v="247898"/>
  </r>
  <r>
    <x v="13"/>
    <x v="50"/>
    <s v="Total Electric Power Industry"/>
    <x v="5"/>
    <n v="169762"/>
  </r>
  <r>
    <x v="13"/>
    <x v="50"/>
    <s v="Total Electric Power Industry"/>
    <x v="6"/>
    <n v="157"/>
  </r>
  <r>
    <x v="13"/>
    <x v="50"/>
    <s v="Electric Generators, Independent Power Producers"/>
    <x v="0"/>
    <n v="28428954"/>
  </r>
  <r>
    <x v="13"/>
    <x v="50"/>
    <s v="Electric Generators, Independent Power Producers"/>
    <x v="1"/>
    <n v="27713958"/>
  </r>
  <r>
    <x v="13"/>
    <x v="50"/>
    <s v="Electric Generators, Independent Power Producers"/>
    <x v="2"/>
    <n v="307689"/>
  </r>
  <r>
    <x v="13"/>
    <x v="50"/>
    <s v="Electric Generators, Independent Power Producers"/>
    <x v="3"/>
    <n v="205894"/>
  </r>
  <r>
    <x v="13"/>
    <x v="50"/>
    <s v="Electric Generators, Independent Power Producers"/>
    <x v="12"/>
    <n v="0"/>
  </r>
  <r>
    <x v="13"/>
    <x v="50"/>
    <s v="Electric Generators, Independent Power Producers"/>
    <x v="8"/>
    <n v="0"/>
  </r>
  <r>
    <x v="13"/>
    <x v="50"/>
    <s v="Electric Generators, Independent Power Producers"/>
    <x v="4"/>
    <n v="31651"/>
  </r>
  <r>
    <x v="13"/>
    <x v="50"/>
    <s v="Electric Generators, Independent Power Producers"/>
    <x v="5"/>
    <n v="169762"/>
  </r>
  <r>
    <x v="13"/>
    <x v="50"/>
    <s v="Electric Generators, Electric Utilities"/>
    <x v="0"/>
    <n v="64056696"/>
  </r>
  <r>
    <x v="13"/>
    <x v="50"/>
    <s v="Electric Generators, Electric Utilities"/>
    <x v="1"/>
    <n v="63499194"/>
  </r>
  <r>
    <x v="13"/>
    <x v="50"/>
    <s v="Electric Generators, Electric Utilities"/>
    <x v="2"/>
    <n v="322664"/>
  </r>
  <r>
    <x v="13"/>
    <x v="50"/>
    <s v="Electric Generators, Electric Utilities"/>
    <x v="3"/>
    <n v="3998"/>
  </r>
  <r>
    <x v="13"/>
    <x v="50"/>
    <s v="Electric Generators, Electric Utilities"/>
    <x v="12"/>
    <n v="17052"/>
  </r>
  <r>
    <x v="13"/>
    <x v="50"/>
    <s v="Electric Generators, Electric Utilities"/>
    <x v="8"/>
    <n v="3571"/>
  </r>
  <r>
    <x v="13"/>
    <x v="50"/>
    <s v="Electric Generators, Electric Utilities"/>
    <x v="9"/>
    <n v="0"/>
  </r>
  <r>
    <x v="13"/>
    <x v="50"/>
    <s v="Electric Generators, Electric Utilities"/>
    <x v="4"/>
    <n v="210060"/>
  </r>
  <r>
    <x v="13"/>
    <x v="50"/>
    <s v="Electric Generators, Electric Utilities"/>
    <x v="6"/>
    <n v="157"/>
  </r>
  <r>
    <x v="13"/>
    <x v="50"/>
    <s v="Combined Heat and Power, Industrial Power"/>
    <x v="0"/>
    <n v="1779548"/>
  </r>
  <r>
    <x v="13"/>
    <x v="50"/>
    <s v="Combined Heat and Power, Industrial Power"/>
    <x v="1"/>
    <n v="809706"/>
  </r>
  <r>
    <x v="13"/>
    <x v="50"/>
    <s v="Combined Heat and Power, Industrial Power"/>
    <x v="2"/>
    <n v="725678"/>
  </r>
  <r>
    <x v="13"/>
    <x v="50"/>
    <s v="Combined Heat and Power, Industrial Power"/>
    <x v="3"/>
    <n v="67714"/>
  </r>
  <r>
    <x v="13"/>
    <x v="50"/>
    <s v="Combined Heat and Power, Industrial Power"/>
    <x v="8"/>
    <n v="480"/>
  </r>
  <r>
    <x v="13"/>
    <x v="50"/>
    <s v="Combined Heat and Power, Industrial Power"/>
    <x v="9"/>
    <n v="169782"/>
  </r>
  <r>
    <x v="13"/>
    <x v="50"/>
    <s v="Combined Heat and Power, Industrial Power"/>
    <x v="4"/>
    <n v="6186"/>
  </r>
  <r>
    <x v="13"/>
    <x v="50"/>
    <s v="Combined Heat and Power, Electric Power"/>
    <x v="0"/>
    <n v="446356"/>
  </r>
  <r>
    <x v="13"/>
    <x v="50"/>
    <s v="Combined Heat and Power, Electric Power"/>
    <x v="1"/>
    <n v="446125"/>
  </r>
  <r>
    <x v="13"/>
    <x v="50"/>
    <s v="Combined Heat and Power, Electric Power"/>
    <x v="3"/>
    <n v="231"/>
  </r>
  <r>
    <x v="13"/>
    <x v="51"/>
    <s v="Total Electric Power Industry"/>
    <x v="0"/>
    <n v="43626602"/>
  </r>
  <r>
    <x v="13"/>
    <x v="51"/>
    <s v="Total Electric Power Industry"/>
    <x v="1"/>
    <n v="42341452"/>
  </r>
  <r>
    <x v="13"/>
    <x v="51"/>
    <s v="Total Electric Power Industry"/>
    <x v="2"/>
    <n v="593555"/>
  </r>
  <r>
    <x v="13"/>
    <x v="51"/>
    <s v="Total Electric Power Industry"/>
    <x v="3"/>
    <n v="280196"/>
  </r>
  <r>
    <x v="13"/>
    <x v="51"/>
    <s v="Total Electric Power Industry"/>
    <x v="4"/>
    <n v="44921"/>
  </r>
  <r>
    <x v="13"/>
    <x v="51"/>
    <s v="Total Electric Power Industry"/>
    <x v="5"/>
    <n v="366478"/>
  </r>
  <r>
    <x v="13"/>
    <x v="51"/>
    <s v="Electric Generators, Independent Power Producers"/>
    <x v="0"/>
    <n v="1052443"/>
  </r>
  <r>
    <x v="13"/>
    <x v="51"/>
    <s v="Electric Generators, Independent Power Producers"/>
    <x v="1"/>
    <n v="608536"/>
  </r>
  <r>
    <x v="13"/>
    <x v="51"/>
    <s v="Electric Generators, Independent Power Producers"/>
    <x v="3"/>
    <n v="93158"/>
  </r>
  <r>
    <x v="13"/>
    <x v="51"/>
    <s v="Electric Generators, Independent Power Producers"/>
    <x v="5"/>
    <n v="350749"/>
  </r>
  <r>
    <x v="13"/>
    <x v="51"/>
    <s v="Electric Generators, Electric Utilities"/>
    <x v="0"/>
    <n v="42261405"/>
  </r>
  <r>
    <x v="13"/>
    <x v="51"/>
    <s v="Electric Generators, Electric Utilities"/>
    <x v="1"/>
    <n v="41490825"/>
  </r>
  <r>
    <x v="13"/>
    <x v="51"/>
    <s v="Electric Generators, Electric Utilities"/>
    <x v="2"/>
    <n v="593555"/>
  </r>
  <r>
    <x v="13"/>
    <x v="51"/>
    <s v="Electric Generators, Electric Utilities"/>
    <x v="3"/>
    <n v="119729"/>
  </r>
  <r>
    <x v="13"/>
    <x v="51"/>
    <s v="Electric Generators, Electric Utilities"/>
    <x v="4"/>
    <n v="41567"/>
  </r>
  <r>
    <x v="13"/>
    <x v="51"/>
    <s v="Electric Generators, Electric Utilities"/>
    <x v="5"/>
    <n v="15729"/>
  </r>
  <r>
    <x v="13"/>
    <x v="51"/>
    <s v="Combined Heat and Power, Industrial Power"/>
    <x v="0"/>
    <n v="312754"/>
  </r>
  <r>
    <x v="13"/>
    <x v="51"/>
    <s v="Combined Heat and Power, Industrial Power"/>
    <x v="1"/>
    <n v="242091"/>
  </r>
  <r>
    <x v="13"/>
    <x v="51"/>
    <s v="Combined Heat and Power, Industrial Power"/>
    <x v="3"/>
    <n v="67309"/>
  </r>
  <r>
    <x v="13"/>
    <x v="51"/>
    <s v="Combined Heat and Power, Industrial Power"/>
    <x v="4"/>
    <n v="3354"/>
  </r>
  <r>
    <x v="14"/>
    <x v="0"/>
    <s v="Total Electric Power Industry"/>
    <x v="0"/>
    <n v="6526717"/>
  </r>
  <r>
    <x v="14"/>
    <x v="0"/>
    <s v="Total Electric Power Industry"/>
    <x v="1"/>
    <n v="648980"/>
  </r>
  <r>
    <x v="14"/>
    <x v="0"/>
    <s v="Total Electric Power Industry"/>
    <x v="2"/>
    <n v="1498020"/>
  </r>
  <r>
    <x v="14"/>
    <x v="0"/>
    <s v="Total Electric Power Industry"/>
    <x v="3"/>
    <n v="3623433"/>
  </r>
  <r>
    <x v="14"/>
    <x v="0"/>
    <s v="Total Electric Power Industry"/>
    <x v="8"/>
    <n v="8828"/>
  </r>
  <r>
    <x v="14"/>
    <x v="0"/>
    <s v="Total Electric Power Industry"/>
    <x v="4"/>
    <n v="747068"/>
  </r>
  <r>
    <x v="14"/>
    <x v="0"/>
    <s v="Total Electric Power Industry"/>
    <x v="6"/>
    <n v="389"/>
  </r>
  <r>
    <x v="14"/>
    <x v="0"/>
    <s v="Electric Generators, Electric Utilities"/>
    <x v="0"/>
    <n v="5866420"/>
  </r>
  <r>
    <x v="14"/>
    <x v="0"/>
    <s v="Electric Generators, Electric Utilities"/>
    <x v="1"/>
    <n v="211075"/>
  </r>
  <r>
    <x v="14"/>
    <x v="0"/>
    <s v="Electric Generators, Electric Utilities"/>
    <x v="2"/>
    <n v="1498020"/>
  </r>
  <r>
    <x v="14"/>
    <x v="0"/>
    <s v="Electric Generators, Electric Utilities"/>
    <x v="3"/>
    <n v="3475477"/>
  </r>
  <r>
    <x v="14"/>
    <x v="0"/>
    <s v="Electric Generators, Electric Utilities"/>
    <x v="4"/>
    <n v="681848"/>
  </r>
  <r>
    <x v="14"/>
    <x v="0"/>
    <s v="Combined Heat and Power, Industrial Power"/>
    <x v="0"/>
    <n v="209047"/>
  </r>
  <r>
    <x v="14"/>
    <x v="0"/>
    <s v="Combined Heat and Power, Industrial Power"/>
    <x v="3"/>
    <n v="147956"/>
  </r>
  <r>
    <x v="14"/>
    <x v="0"/>
    <s v="Combined Heat and Power, Industrial Power"/>
    <x v="8"/>
    <n v="8828"/>
  </r>
  <r>
    <x v="14"/>
    <x v="0"/>
    <s v="Combined Heat and Power, Industrial Power"/>
    <x v="4"/>
    <n v="52263"/>
  </r>
  <r>
    <x v="14"/>
    <x v="0"/>
    <s v="Combined Heat and Power, Electric Power"/>
    <x v="0"/>
    <n v="182145"/>
  </r>
  <r>
    <x v="14"/>
    <x v="0"/>
    <s v="Combined Heat and Power, Electric Power"/>
    <x v="1"/>
    <n v="182145"/>
  </r>
  <r>
    <x v="14"/>
    <x v="0"/>
    <s v="Combined Heat and Power, Commercial Power"/>
    <x v="0"/>
    <n v="269105"/>
  </r>
  <r>
    <x v="14"/>
    <x v="0"/>
    <s v="Combined Heat and Power, Commercial Power"/>
    <x v="1"/>
    <n v="255760"/>
  </r>
  <r>
    <x v="14"/>
    <x v="0"/>
    <s v="Combined Heat and Power, Commercial Power"/>
    <x v="4"/>
    <n v="12957"/>
  </r>
  <r>
    <x v="14"/>
    <x v="0"/>
    <s v="Combined Heat and Power, Commercial Power"/>
    <x v="6"/>
    <n v="389"/>
  </r>
  <r>
    <x v="14"/>
    <x v="1"/>
    <s v="Total Electric Power Industry"/>
    <x v="0"/>
    <n v="137354771"/>
  </r>
  <r>
    <x v="14"/>
    <x v="1"/>
    <s v="Total Electric Power Industry"/>
    <x v="1"/>
    <n v="74831624"/>
  </r>
  <r>
    <x v="14"/>
    <x v="1"/>
    <s v="Total Electric Power Industry"/>
    <x v="2"/>
    <n v="10626221"/>
  </r>
  <r>
    <x v="14"/>
    <x v="1"/>
    <s v="Total Electric Power Industry"/>
    <x v="3"/>
    <n v="15977019"/>
  </r>
  <r>
    <x v="14"/>
    <x v="1"/>
    <s v="Total Electric Power Industry"/>
    <x v="7"/>
    <n v="31635789"/>
  </r>
  <r>
    <x v="14"/>
    <x v="1"/>
    <s v="Total Electric Power Industry"/>
    <x v="12"/>
    <n v="27917"/>
  </r>
  <r>
    <x v="14"/>
    <x v="1"/>
    <s v="Total Electric Power Industry"/>
    <x v="8"/>
    <n v="22877"/>
  </r>
  <r>
    <x v="14"/>
    <x v="1"/>
    <s v="Total Electric Power Industry"/>
    <x v="9"/>
    <n v="181942"/>
  </r>
  <r>
    <x v="14"/>
    <x v="1"/>
    <s v="Total Electric Power Industry"/>
    <x v="4"/>
    <n v="295025"/>
  </r>
  <r>
    <x v="14"/>
    <x v="1"/>
    <s v="Total Electric Power Industry"/>
    <x v="6"/>
    <n v="3756356"/>
  </r>
  <r>
    <x v="14"/>
    <x v="1"/>
    <s v="Electric Generators, Independent Power Producers"/>
    <x v="0"/>
    <n v="6127041"/>
  </r>
  <r>
    <x v="14"/>
    <x v="1"/>
    <s v="Electric Generators, Independent Power Producers"/>
    <x v="3"/>
    <n v="6123640"/>
  </r>
  <r>
    <x v="14"/>
    <x v="1"/>
    <s v="Electric Generators, Independent Power Producers"/>
    <x v="4"/>
    <n v="3401"/>
  </r>
  <r>
    <x v="14"/>
    <x v="1"/>
    <s v="Electric Generators, Electric Utilities"/>
    <x v="0"/>
    <n v="124554606"/>
  </r>
  <r>
    <x v="14"/>
    <x v="1"/>
    <s v="Electric Generators, Electric Utilities"/>
    <x v="1"/>
    <n v="74475725"/>
  </r>
  <r>
    <x v="14"/>
    <x v="1"/>
    <s v="Electric Generators, Electric Utilities"/>
    <x v="2"/>
    <n v="10626221"/>
  </r>
  <r>
    <x v="14"/>
    <x v="1"/>
    <s v="Electric Generators, Electric Utilities"/>
    <x v="3"/>
    <n v="7705600"/>
  </r>
  <r>
    <x v="14"/>
    <x v="1"/>
    <s v="Electric Generators, Electric Utilities"/>
    <x v="7"/>
    <n v="31635789"/>
  </r>
  <r>
    <x v="14"/>
    <x v="1"/>
    <s v="Electric Generators, Electric Utilities"/>
    <x v="4"/>
    <n v="111271"/>
  </r>
  <r>
    <x v="14"/>
    <x v="1"/>
    <s v="Combined Heat and Power, Industrial Power"/>
    <x v="0"/>
    <n v="5227446"/>
  </r>
  <r>
    <x v="14"/>
    <x v="1"/>
    <s v="Combined Heat and Power, Industrial Power"/>
    <x v="1"/>
    <n v="212293"/>
  </r>
  <r>
    <x v="14"/>
    <x v="1"/>
    <s v="Combined Heat and Power, Industrial Power"/>
    <x v="3"/>
    <n v="1028504"/>
  </r>
  <r>
    <x v="14"/>
    <x v="1"/>
    <s v="Combined Heat and Power, Industrial Power"/>
    <x v="12"/>
    <n v="27917"/>
  </r>
  <r>
    <x v="14"/>
    <x v="1"/>
    <s v="Combined Heat and Power, Industrial Power"/>
    <x v="8"/>
    <n v="22877"/>
  </r>
  <r>
    <x v="14"/>
    <x v="1"/>
    <s v="Combined Heat and Power, Industrial Power"/>
    <x v="9"/>
    <n v="181942"/>
  </r>
  <r>
    <x v="14"/>
    <x v="1"/>
    <s v="Combined Heat and Power, Industrial Power"/>
    <x v="4"/>
    <n v="180353"/>
  </r>
  <r>
    <x v="14"/>
    <x v="1"/>
    <s v="Combined Heat and Power, Industrial Power"/>
    <x v="6"/>
    <n v="3573560"/>
  </r>
  <r>
    <x v="14"/>
    <x v="1"/>
    <s v="Combined Heat and Power, Electric Power"/>
    <x v="0"/>
    <n v="1445678"/>
  </r>
  <r>
    <x v="14"/>
    <x v="1"/>
    <s v="Combined Heat and Power, Electric Power"/>
    <x v="1"/>
    <n v="143606"/>
  </r>
  <r>
    <x v="14"/>
    <x v="1"/>
    <s v="Combined Heat and Power, Electric Power"/>
    <x v="3"/>
    <n v="1119275"/>
  </r>
  <r>
    <x v="14"/>
    <x v="1"/>
    <s v="Combined Heat and Power, Electric Power"/>
    <x v="6"/>
    <n v="182796"/>
  </r>
  <r>
    <x v="14"/>
    <x v="2"/>
    <s v="Total Electric Power Industry"/>
    <x v="0"/>
    <n v="51927632"/>
  </r>
  <r>
    <x v="14"/>
    <x v="2"/>
    <s v="Total Electric Power Industry"/>
    <x v="1"/>
    <n v="25353563"/>
  </r>
  <r>
    <x v="14"/>
    <x v="2"/>
    <s v="Total Electric Power Industry"/>
    <x v="2"/>
    <n v="3643439"/>
  </r>
  <r>
    <x v="14"/>
    <x v="2"/>
    <s v="Total Electric Power Industry"/>
    <x v="3"/>
    <n v="5068764"/>
  </r>
  <r>
    <x v="14"/>
    <x v="2"/>
    <s v="Total Electric Power Industry"/>
    <x v="7"/>
    <n v="15449851"/>
  </r>
  <r>
    <x v="14"/>
    <x v="2"/>
    <s v="Total Electric Power Industry"/>
    <x v="12"/>
    <n v="37950"/>
  </r>
  <r>
    <x v="14"/>
    <x v="2"/>
    <s v="Total Electric Power Industry"/>
    <x v="8"/>
    <n v="32609"/>
  </r>
  <r>
    <x v="14"/>
    <x v="2"/>
    <s v="Total Electric Power Industry"/>
    <x v="4"/>
    <n v="538941"/>
  </r>
  <r>
    <x v="14"/>
    <x v="2"/>
    <s v="Total Electric Power Industry"/>
    <x v="10"/>
    <n v="24745"/>
  </r>
  <r>
    <x v="14"/>
    <x v="2"/>
    <s v="Total Electric Power Industry"/>
    <x v="6"/>
    <n v="1777770"/>
  </r>
  <r>
    <x v="14"/>
    <x v="2"/>
    <s v="Electric Generators, Independent Power Producers"/>
    <x v="0"/>
    <n v="3203971"/>
  </r>
  <r>
    <x v="14"/>
    <x v="2"/>
    <s v="Electric Generators, Independent Power Producers"/>
    <x v="2"/>
    <n v="-4329"/>
  </r>
  <r>
    <x v="14"/>
    <x v="2"/>
    <s v="Electric Generators, Independent Power Producers"/>
    <x v="3"/>
    <n v="3208300"/>
  </r>
  <r>
    <x v="14"/>
    <x v="2"/>
    <s v="Electric Generators, Electric Utilities"/>
    <x v="0"/>
    <n v="45055455"/>
  </r>
  <r>
    <x v="14"/>
    <x v="2"/>
    <s v="Electric Generators, Electric Utilities"/>
    <x v="1"/>
    <n v="25248810"/>
  </r>
  <r>
    <x v="14"/>
    <x v="2"/>
    <s v="Electric Generators, Electric Utilities"/>
    <x v="2"/>
    <n v="3647768"/>
  </r>
  <r>
    <x v="14"/>
    <x v="2"/>
    <s v="Electric Generators, Electric Utilities"/>
    <x v="3"/>
    <n v="208148"/>
  </r>
  <r>
    <x v="14"/>
    <x v="2"/>
    <s v="Electric Generators, Electric Utilities"/>
    <x v="7"/>
    <n v="15449851"/>
  </r>
  <r>
    <x v="14"/>
    <x v="2"/>
    <s v="Electric Generators, Electric Utilities"/>
    <x v="4"/>
    <n v="476133"/>
  </r>
  <r>
    <x v="14"/>
    <x v="2"/>
    <s v="Electric Generators, Electric Utilities"/>
    <x v="10"/>
    <n v="24745"/>
  </r>
  <r>
    <x v="14"/>
    <x v="2"/>
    <s v="Combined Heat and Power, Industrial Power"/>
    <x v="0"/>
    <n v="2227771"/>
  </r>
  <r>
    <x v="14"/>
    <x v="2"/>
    <s v="Combined Heat and Power, Industrial Power"/>
    <x v="1"/>
    <n v="104753"/>
  </r>
  <r>
    <x v="14"/>
    <x v="2"/>
    <s v="Combined Heat and Power, Industrial Power"/>
    <x v="3"/>
    <n v="244490"/>
  </r>
  <r>
    <x v="14"/>
    <x v="2"/>
    <s v="Combined Heat and Power, Industrial Power"/>
    <x v="12"/>
    <n v="37950"/>
  </r>
  <r>
    <x v="14"/>
    <x v="2"/>
    <s v="Combined Heat and Power, Industrial Power"/>
    <x v="4"/>
    <n v="62808"/>
  </r>
  <r>
    <x v="14"/>
    <x v="2"/>
    <s v="Combined Heat and Power, Industrial Power"/>
    <x v="6"/>
    <n v="1777770"/>
  </r>
  <r>
    <x v="14"/>
    <x v="2"/>
    <s v="Combined Heat and Power, Electric Power"/>
    <x v="0"/>
    <n v="1435953"/>
  </r>
  <r>
    <x v="14"/>
    <x v="2"/>
    <s v="Combined Heat and Power, Electric Power"/>
    <x v="3"/>
    <n v="1407241"/>
  </r>
  <r>
    <x v="14"/>
    <x v="2"/>
    <s v="Combined Heat and Power, Electric Power"/>
    <x v="8"/>
    <n v="28712"/>
  </r>
  <r>
    <x v="14"/>
    <x v="2"/>
    <s v="Combined Heat and Power, Electric Power"/>
    <x v="4"/>
    <n v="0"/>
  </r>
  <r>
    <x v="14"/>
    <x v="2"/>
    <s v="Combined Heat and Power, Commercial Power"/>
    <x v="0"/>
    <n v="4483"/>
  </r>
  <r>
    <x v="14"/>
    <x v="2"/>
    <s v="Combined Heat and Power, Commercial Power"/>
    <x v="3"/>
    <n v="585"/>
  </r>
  <r>
    <x v="14"/>
    <x v="2"/>
    <s v="Combined Heat and Power, Commercial Power"/>
    <x v="8"/>
    <n v="3897"/>
  </r>
  <r>
    <x v="14"/>
    <x v="2"/>
    <s v="Combined Heat and Power, Commercial Power"/>
    <x v="4"/>
    <n v="0"/>
  </r>
  <r>
    <x v="14"/>
    <x v="3"/>
    <s v="Total Electric Power Industry"/>
    <x v="0"/>
    <n v="104564143"/>
  </r>
  <r>
    <x v="14"/>
    <x v="3"/>
    <s v="Total Electric Power Industry"/>
    <x v="1"/>
    <n v="39810556"/>
  </r>
  <r>
    <x v="14"/>
    <x v="3"/>
    <s v="Total Electric Power Industry"/>
    <x v="2"/>
    <n v="6973147"/>
  </r>
  <r>
    <x v="14"/>
    <x v="3"/>
    <s v="Total Electric Power Industry"/>
    <x v="3"/>
    <n v="28264943"/>
  </r>
  <r>
    <x v="14"/>
    <x v="3"/>
    <s v="Total Electric Power Industry"/>
    <x v="7"/>
    <n v="28112609"/>
  </r>
  <r>
    <x v="14"/>
    <x v="3"/>
    <s v="Total Electric Power Industry"/>
    <x v="12"/>
    <n v="1367550"/>
  </r>
  <r>
    <x v="14"/>
    <x v="3"/>
    <s v="Total Electric Power Industry"/>
    <x v="8"/>
    <n v="43998"/>
  </r>
  <r>
    <x v="14"/>
    <x v="3"/>
    <s v="Total Electric Power Industry"/>
    <x v="4"/>
    <n v="40516"/>
  </r>
  <r>
    <x v="14"/>
    <x v="3"/>
    <s v="Total Electric Power Industry"/>
    <x v="10"/>
    <n v="-53440"/>
  </r>
  <r>
    <x v="14"/>
    <x v="3"/>
    <s v="Total Electric Power Industry"/>
    <x v="13"/>
    <n v="4265"/>
  </r>
  <r>
    <x v="14"/>
    <x v="3"/>
    <s v="Electric Generators, Independent Power Producers"/>
    <x v="0"/>
    <n v="20891079"/>
  </r>
  <r>
    <x v="14"/>
    <x v="3"/>
    <s v="Electric Generators, Independent Power Producers"/>
    <x v="3"/>
    <n v="19523529"/>
  </r>
  <r>
    <x v="14"/>
    <x v="3"/>
    <s v="Electric Generators, Independent Power Producers"/>
    <x v="12"/>
    <n v="1367550"/>
  </r>
  <r>
    <x v="14"/>
    <x v="3"/>
    <s v="Electric Generators, Independent Power Producers"/>
    <x v="4"/>
    <n v="0"/>
  </r>
  <r>
    <x v="14"/>
    <x v="3"/>
    <s v="Electric Generators, Electric Utilities"/>
    <x v="0"/>
    <n v="81351521"/>
  </r>
  <r>
    <x v="14"/>
    <x v="3"/>
    <s v="Electric Generators, Electric Utilities"/>
    <x v="1"/>
    <n v="39419177"/>
  </r>
  <r>
    <x v="14"/>
    <x v="3"/>
    <s v="Electric Generators, Electric Utilities"/>
    <x v="2"/>
    <n v="6973147"/>
  </r>
  <r>
    <x v="14"/>
    <x v="3"/>
    <s v="Electric Generators, Electric Utilities"/>
    <x v="3"/>
    <n v="6812355"/>
  </r>
  <r>
    <x v="14"/>
    <x v="3"/>
    <s v="Electric Generators, Electric Utilities"/>
    <x v="7"/>
    <n v="28112609"/>
  </r>
  <r>
    <x v="14"/>
    <x v="3"/>
    <s v="Electric Generators, Electric Utilities"/>
    <x v="8"/>
    <n v="43994"/>
  </r>
  <r>
    <x v="14"/>
    <x v="3"/>
    <s v="Electric Generators, Electric Utilities"/>
    <x v="4"/>
    <n v="39414"/>
  </r>
  <r>
    <x v="14"/>
    <x v="3"/>
    <s v="Electric Generators, Electric Utilities"/>
    <x v="10"/>
    <n v="-53440"/>
  </r>
  <r>
    <x v="14"/>
    <x v="3"/>
    <s v="Electric Generators, Electric Utilities"/>
    <x v="13"/>
    <n v="4265"/>
  </r>
  <r>
    <x v="14"/>
    <x v="3"/>
    <s v="Combined Heat and Power, Industrial Power"/>
    <x v="0"/>
    <n v="396639"/>
  </r>
  <r>
    <x v="14"/>
    <x v="3"/>
    <s v="Combined Heat and Power, Industrial Power"/>
    <x v="1"/>
    <n v="391379"/>
  </r>
  <r>
    <x v="14"/>
    <x v="3"/>
    <s v="Combined Heat and Power, Industrial Power"/>
    <x v="3"/>
    <n v="4168"/>
  </r>
  <r>
    <x v="14"/>
    <x v="3"/>
    <s v="Combined Heat and Power, Industrial Power"/>
    <x v="4"/>
    <n v="1092"/>
  </r>
  <r>
    <x v="14"/>
    <x v="3"/>
    <s v="Combined Heat and Power, Electric Power"/>
    <x v="0"/>
    <n v="1873640"/>
  </r>
  <r>
    <x v="14"/>
    <x v="3"/>
    <s v="Combined Heat and Power, Electric Power"/>
    <x v="3"/>
    <n v="1873640"/>
  </r>
  <r>
    <x v="14"/>
    <x v="3"/>
    <s v="Combined Heat and Power, Commercial Power"/>
    <x v="0"/>
    <n v="51264"/>
  </r>
  <r>
    <x v="14"/>
    <x v="3"/>
    <s v="Combined Heat and Power, Commercial Power"/>
    <x v="3"/>
    <n v="51251"/>
  </r>
  <r>
    <x v="14"/>
    <x v="3"/>
    <s v="Combined Heat and Power, Commercial Power"/>
    <x v="8"/>
    <n v="4"/>
  </r>
  <r>
    <x v="14"/>
    <x v="3"/>
    <s v="Combined Heat and Power, Commercial Power"/>
    <x v="4"/>
    <n v="10"/>
  </r>
  <r>
    <x v="14"/>
    <x v="4"/>
    <s v="Total Electric Power Industry"/>
    <x v="0"/>
    <n v="194780355"/>
  </r>
  <r>
    <x v="14"/>
    <x v="4"/>
    <s v="Total Electric Power Industry"/>
    <x v="1"/>
    <n v="2237808"/>
  </r>
  <r>
    <x v="14"/>
    <x v="4"/>
    <s v="Total Electric Power Industry"/>
    <x v="11"/>
    <n v="13105306"/>
  </r>
  <r>
    <x v="14"/>
    <x v="4"/>
    <s v="Total Electric Power Industry"/>
    <x v="2"/>
    <n v="34140929"/>
  </r>
  <r>
    <x v="14"/>
    <x v="4"/>
    <s v="Total Electric Power Industry"/>
    <x v="3"/>
    <n v="100222233"/>
  </r>
  <r>
    <x v="14"/>
    <x v="4"/>
    <s v="Total Electric Power Industry"/>
    <x v="7"/>
    <n v="30267887"/>
  </r>
  <r>
    <x v="14"/>
    <x v="4"/>
    <s v="Total Electric Power Industry"/>
    <x v="12"/>
    <n v="428567"/>
  </r>
  <r>
    <x v="14"/>
    <x v="4"/>
    <s v="Total Electric Power Industry"/>
    <x v="8"/>
    <n v="2161922"/>
  </r>
  <r>
    <x v="14"/>
    <x v="4"/>
    <s v="Total Electric Power Industry"/>
    <x v="9"/>
    <n v="2065965"/>
  </r>
  <r>
    <x v="14"/>
    <x v="4"/>
    <s v="Total Electric Power Industry"/>
    <x v="4"/>
    <n v="2262897"/>
  </r>
  <r>
    <x v="14"/>
    <x v="4"/>
    <s v="Total Electric Power Industry"/>
    <x v="10"/>
    <n v="-816831"/>
  </r>
  <r>
    <x v="14"/>
    <x v="4"/>
    <s v="Total Electric Power Industry"/>
    <x v="13"/>
    <n v="570890"/>
  </r>
  <r>
    <x v="14"/>
    <x v="4"/>
    <s v="Total Electric Power Industry"/>
    <x v="5"/>
    <n v="4305875"/>
  </r>
  <r>
    <x v="14"/>
    <x v="4"/>
    <s v="Total Electric Power Industry"/>
    <x v="6"/>
    <n v="3826906"/>
  </r>
  <r>
    <x v="14"/>
    <x v="4"/>
    <s v="Electric Generators, Independent Power Producers"/>
    <x v="0"/>
    <n v="75927726"/>
  </r>
  <r>
    <x v="14"/>
    <x v="4"/>
    <s v="Electric Generators, Independent Power Producers"/>
    <x v="11"/>
    <n v="12052099"/>
  </r>
  <r>
    <x v="14"/>
    <x v="4"/>
    <s v="Electric Generators, Independent Power Producers"/>
    <x v="2"/>
    <n v="532240"/>
  </r>
  <r>
    <x v="14"/>
    <x v="4"/>
    <s v="Electric Generators, Independent Power Producers"/>
    <x v="3"/>
    <n v="53355039"/>
  </r>
  <r>
    <x v="14"/>
    <x v="4"/>
    <s v="Electric Generators, Independent Power Producers"/>
    <x v="12"/>
    <n v="87066"/>
  </r>
  <r>
    <x v="14"/>
    <x v="4"/>
    <s v="Electric Generators, Independent Power Producers"/>
    <x v="8"/>
    <n v="1339284"/>
  </r>
  <r>
    <x v="14"/>
    <x v="4"/>
    <s v="Electric Generators, Independent Power Producers"/>
    <x v="4"/>
    <n v="1069529"/>
  </r>
  <r>
    <x v="14"/>
    <x v="4"/>
    <s v="Electric Generators, Independent Power Producers"/>
    <x v="13"/>
    <n v="568930"/>
  </r>
  <r>
    <x v="14"/>
    <x v="4"/>
    <s v="Electric Generators, Independent Power Producers"/>
    <x v="5"/>
    <n v="4264116"/>
  </r>
  <r>
    <x v="14"/>
    <x v="4"/>
    <s v="Electric Generators, Independent Power Producers"/>
    <x v="6"/>
    <n v="2659423"/>
  </r>
  <r>
    <x v="14"/>
    <x v="4"/>
    <s v="Electric Generators, Electric Utilities"/>
    <x v="0"/>
    <n v="75177122"/>
  </r>
  <r>
    <x v="14"/>
    <x v="4"/>
    <s v="Electric Generators, Electric Utilities"/>
    <x v="11"/>
    <n v="1053207"/>
  </r>
  <r>
    <x v="14"/>
    <x v="4"/>
    <s v="Electric Generators, Electric Utilities"/>
    <x v="2"/>
    <n v="33608686"/>
  </r>
  <r>
    <x v="14"/>
    <x v="4"/>
    <s v="Electric Generators, Electric Utilities"/>
    <x v="3"/>
    <n v="10759580"/>
  </r>
  <r>
    <x v="14"/>
    <x v="4"/>
    <s v="Electric Generators, Electric Utilities"/>
    <x v="7"/>
    <n v="30267887"/>
  </r>
  <r>
    <x v="14"/>
    <x v="4"/>
    <s v="Electric Generators, Electric Utilities"/>
    <x v="8"/>
    <n v="209392"/>
  </r>
  <r>
    <x v="14"/>
    <x v="4"/>
    <s v="Electric Generators, Electric Utilities"/>
    <x v="4"/>
    <n v="51482"/>
  </r>
  <r>
    <x v="14"/>
    <x v="4"/>
    <s v="Electric Generators, Electric Utilities"/>
    <x v="10"/>
    <n v="-816831"/>
  </r>
  <r>
    <x v="14"/>
    <x v="4"/>
    <s v="Electric Generators, Electric Utilities"/>
    <x v="13"/>
    <n v="1960"/>
  </r>
  <r>
    <x v="14"/>
    <x v="4"/>
    <s v="Electric Generators, Electric Utilities"/>
    <x v="5"/>
    <n v="41759"/>
  </r>
  <r>
    <x v="14"/>
    <x v="4"/>
    <s v="Combined Heat and Power, Industrial Power"/>
    <x v="0"/>
    <n v="17191102"/>
  </r>
  <r>
    <x v="14"/>
    <x v="4"/>
    <s v="Combined Heat and Power, Industrial Power"/>
    <x v="1"/>
    <n v="440748"/>
  </r>
  <r>
    <x v="14"/>
    <x v="4"/>
    <s v="Combined Heat and Power, Industrial Power"/>
    <x v="3"/>
    <n v="13134259"/>
  </r>
  <r>
    <x v="14"/>
    <x v="4"/>
    <s v="Combined Heat and Power, Industrial Power"/>
    <x v="12"/>
    <n v="196413"/>
  </r>
  <r>
    <x v="14"/>
    <x v="4"/>
    <s v="Combined Heat and Power, Industrial Power"/>
    <x v="8"/>
    <n v="23204"/>
  </r>
  <r>
    <x v="14"/>
    <x v="4"/>
    <s v="Combined Heat and Power, Industrial Power"/>
    <x v="9"/>
    <n v="1993041"/>
  </r>
  <r>
    <x v="14"/>
    <x v="4"/>
    <s v="Combined Heat and Power, Industrial Power"/>
    <x v="4"/>
    <n v="462469"/>
  </r>
  <r>
    <x v="14"/>
    <x v="4"/>
    <s v="Combined Heat and Power, Industrial Power"/>
    <x v="6"/>
    <n v="940970"/>
  </r>
  <r>
    <x v="14"/>
    <x v="4"/>
    <s v="Combined Heat and Power, Electric Power"/>
    <x v="0"/>
    <n v="24566735"/>
  </r>
  <r>
    <x v="14"/>
    <x v="4"/>
    <s v="Combined Heat and Power, Electric Power"/>
    <x v="1"/>
    <n v="1797061"/>
  </r>
  <r>
    <x v="14"/>
    <x v="4"/>
    <s v="Combined Heat and Power, Electric Power"/>
    <x v="3"/>
    <n v="21472450"/>
  </r>
  <r>
    <x v="14"/>
    <x v="4"/>
    <s v="Combined Heat and Power, Electric Power"/>
    <x v="12"/>
    <n v="145085"/>
  </r>
  <r>
    <x v="14"/>
    <x v="4"/>
    <s v="Combined Heat and Power, Electric Power"/>
    <x v="8"/>
    <n v="174192"/>
  </r>
  <r>
    <x v="14"/>
    <x v="4"/>
    <s v="Combined Heat and Power, Electric Power"/>
    <x v="9"/>
    <n v="72924"/>
  </r>
  <r>
    <x v="14"/>
    <x v="4"/>
    <s v="Combined Heat and Power, Electric Power"/>
    <x v="4"/>
    <n v="678509"/>
  </r>
  <r>
    <x v="14"/>
    <x v="4"/>
    <s v="Combined Heat and Power, Electric Power"/>
    <x v="6"/>
    <n v="226514"/>
  </r>
  <r>
    <x v="14"/>
    <x v="4"/>
    <s v="Combined Heat and Power, Commercial Power"/>
    <x v="0"/>
    <n v="1917669"/>
  </r>
  <r>
    <x v="14"/>
    <x v="4"/>
    <s v="Combined Heat and Power, Commercial Power"/>
    <x v="2"/>
    <n v="3"/>
  </r>
  <r>
    <x v="14"/>
    <x v="4"/>
    <s v="Combined Heat and Power, Commercial Power"/>
    <x v="3"/>
    <n v="1500904"/>
  </r>
  <r>
    <x v="14"/>
    <x v="4"/>
    <s v="Combined Heat and Power, Commercial Power"/>
    <x v="12"/>
    <n v="3"/>
  </r>
  <r>
    <x v="14"/>
    <x v="4"/>
    <s v="Combined Heat and Power, Commercial Power"/>
    <x v="8"/>
    <n v="415850"/>
  </r>
  <r>
    <x v="14"/>
    <x v="4"/>
    <s v="Combined Heat and Power, Commercial Power"/>
    <x v="9"/>
    <n v="0"/>
  </r>
  <r>
    <x v="14"/>
    <x v="4"/>
    <s v="Combined Heat and Power, Commercial Power"/>
    <x v="4"/>
    <n v="909"/>
  </r>
  <r>
    <x v="14"/>
    <x v="5"/>
    <s v="Total Electric Power Industry"/>
    <x v="0"/>
    <n v="47869492"/>
  </r>
  <r>
    <x v="14"/>
    <x v="5"/>
    <s v="Total Electric Power Industry"/>
    <x v="1"/>
    <n v="35848390"/>
  </r>
  <r>
    <x v="14"/>
    <x v="5"/>
    <s v="Total Electric Power Industry"/>
    <x v="2"/>
    <n v="1194665"/>
  </r>
  <r>
    <x v="14"/>
    <x v="5"/>
    <s v="Total Electric Power Industry"/>
    <x v="3"/>
    <n v="10747496"/>
  </r>
  <r>
    <x v="14"/>
    <x v="5"/>
    <s v="Total Electric Power Industry"/>
    <x v="8"/>
    <n v="34893"/>
  </r>
  <r>
    <x v="14"/>
    <x v="5"/>
    <s v="Total Electric Power Industry"/>
    <x v="9"/>
    <n v="1753"/>
  </r>
  <r>
    <x v="14"/>
    <x v="5"/>
    <s v="Total Electric Power Industry"/>
    <x v="4"/>
    <n v="13868"/>
  </r>
  <r>
    <x v="14"/>
    <x v="5"/>
    <s v="Total Electric Power Industry"/>
    <x v="10"/>
    <n v="-191801"/>
  </r>
  <r>
    <x v="14"/>
    <x v="5"/>
    <s v="Total Electric Power Industry"/>
    <x v="5"/>
    <n v="220141"/>
  </r>
  <r>
    <x v="14"/>
    <x v="5"/>
    <s v="Total Electric Power Industry"/>
    <x v="6"/>
    <n v="87"/>
  </r>
  <r>
    <x v="14"/>
    <x v="5"/>
    <s v="Electric Generators, Independent Power Producers"/>
    <x v="0"/>
    <n v="5596490"/>
  </r>
  <r>
    <x v="14"/>
    <x v="5"/>
    <s v="Electric Generators, Independent Power Producers"/>
    <x v="2"/>
    <n v="117768"/>
  </r>
  <r>
    <x v="14"/>
    <x v="5"/>
    <s v="Electric Generators, Independent Power Producers"/>
    <x v="3"/>
    <n v="5325979"/>
  </r>
  <r>
    <x v="14"/>
    <x v="5"/>
    <s v="Electric Generators, Independent Power Producers"/>
    <x v="4"/>
    <n v="436"/>
  </r>
  <r>
    <x v="14"/>
    <x v="5"/>
    <s v="Electric Generators, Independent Power Producers"/>
    <x v="5"/>
    <n v="152307"/>
  </r>
  <r>
    <x v="14"/>
    <x v="5"/>
    <s v="Electric Generators, Electric Utilities"/>
    <x v="0"/>
    <n v="40436218"/>
  </r>
  <r>
    <x v="14"/>
    <x v="5"/>
    <s v="Electric Generators, Electric Utilities"/>
    <x v="1"/>
    <n v="35570358"/>
  </r>
  <r>
    <x v="14"/>
    <x v="5"/>
    <s v="Electric Generators, Electric Utilities"/>
    <x v="2"/>
    <n v="1076897"/>
  </r>
  <r>
    <x v="14"/>
    <x v="5"/>
    <s v="Electric Generators, Electric Utilities"/>
    <x v="3"/>
    <n v="3899293"/>
  </r>
  <r>
    <x v="14"/>
    <x v="5"/>
    <s v="Electric Generators, Electric Utilities"/>
    <x v="9"/>
    <n v="1753"/>
  </r>
  <r>
    <x v="14"/>
    <x v="5"/>
    <s v="Electric Generators, Electric Utilities"/>
    <x v="4"/>
    <n v="11797"/>
  </r>
  <r>
    <x v="14"/>
    <x v="5"/>
    <s v="Electric Generators, Electric Utilities"/>
    <x v="10"/>
    <n v="-191801"/>
  </r>
  <r>
    <x v="14"/>
    <x v="5"/>
    <s v="Electric Generators, Electric Utilities"/>
    <x v="5"/>
    <n v="67834"/>
  </r>
  <r>
    <x v="14"/>
    <x v="5"/>
    <s v="Electric Generators, Electric Utilities"/>
    <x v="6"/>
    <n v="87"/>
  </r>
  <r>
    <x v="14"/>
    <x v="5"/>
    <s v="Combined Heat and Power, Industrial Power"/>
    <x v="0"/>
    <n v="58598"/>
  </r>
  <r>
    <x v="14"/>
    <x v="5"/>
    <s v="Combined Heat and Power, Industrial Power"/>
    <x v="3"/>
    <n v="57731"/>
  </r>
  <r>
    <x v="14"/>
    <x v="5"/>
    <s v="Combined Heat and Power, Industrial Power"/>
    <x v="4"/>
    <n v="866"/>
  </r>
  <r>
    <x v="14"/>
    <x v="5"/>
    <s v="Combined Heat and Power, Electric Power"/>
    <x v="0"/>
    <n v="1685171"/>
  </r>
  <r>
    <x v="14"/>
    <x v="5"/>
    <s v="Combined Heat and Power, Electric Power"/>
    <x v="1"/>
    <n v="278032"/>
  </r>
  <r>
    <x v="14"/>
    <x v="5"/>
    <s v="Combined Heat and Power, Electric Power"/>
    <x v="3"/>
    <n v="1371543"/>
  </r>
  <r>
    <x v="14"/>
    <x v="5"/>
    <s v="Combined Heat and Power, Electric Power"/>
    <x v="8"/>
    <n v="34893"/>
  </r>
  <r>
    <x v="14"/>
    <x v="5"/>
    <s v="Combined Heat and Power, Electric Power"/>
    <x v="9"/>
    <n v="0"/>
  </r>
  <r>
    <x v="14"/>
    <x v="5"/>
    <s v="Combined Heat and Power, Electric Power"/>
    <x v="4"/>
    <n v="702"/>
  </r>
  <r>
    <x v="14"/>
    <x v="5"/>
    <s v="Combined Heat and Power, Commercial Power"/>
    <x v="0"/>
    <n v="93016"/>
  </r>
  <r>
    <x v="14"/>
    <x v="5"/>
    <s v="Combined Heat and Power, Commercial Power"/>
    <x v="3"/>
    <n v="92950"/>
  </r>
  <r>
    <x v="14"/>
    <x v="5"/>
    <s v="Combined Heat and Power, Commercial Power"/>
    <x v="4"/>
    <n v="66"/>
  </r>
  <r>
    <x v="14"/>
    <x v="6"/>
    <s v="Total Electric Power Industry"/>
    <x v="0"/>
    <n v="32633408"/>
  </r>
  <r>
    <x v="14"/>
    <x v="6"/>
    <s v="Total Electric Power Industry"/>
    <x v="1"/>
    <n v="4255072"/>
  </r>
  <r>
    <x v="14"/>
    <x v="6"/>
    <s v="Total Electric Power Industry"/>
    <x v="2"/>
    <n v="462612"/>
  </r>
  <r>
    <x v="14"/>
    <x v="6"/>
    <s v="Total Electric Power Industry"/>
    <x v="3"/>
    <n v="8107806"/>
  </r>
  <r>
    <x v="14"/>
    <x v="6"/>
    <s v="Total Electric Power Industry"/>
    <x v="7"/>
    <n v="16539097"/>
  </r>
  <r>
    <x v="14"/>
    <x v="6"/>
    <s v="Total Electric Power Industry"/>
    <x v="12"/>
    <n v="763174"/>
  </r>
  <r>
    <x v="14"/>
    <x v="6"/>
    <s v="Total Electric Power Industry"/>
    <x v="8"/>
    <n v="752362"/>
  </r>
  <r>
    <x v="14"/>
    <x v="6"/>
    <s v="Total Electric Power Industry"/>
    <x v="9"/>
    <n v="0"/>
  </r>
  <r>
    <x v="14"/>
    <x v="6"/>
    <s v="Total Electric Power Industry"/>
    <x v="4"/>
    <n v="1740112"/>
  </r>
  <r>
    <x v="14"/>
    <x v="6"/>
    <s v="Total Electric Power Industry"/>
    <x v="10"/>
    <n v="7715"/>
  </r>
  <r>
    <x v="14"/>
    <x v="6"/>
    <s v="Total Electric Power Industry"/>
    <x v="6"/>
    <n v="5457"/>
  </r>
  <r>
    <x v="14"/>
    <x v="6"/>
    <s v="Electric Generators, Independent Power Producers"/>
    <x v="0"/>
    <n v="30345047"/>
  </r>
  <r>
    <x v="14"/>
    <x v="6"/>
    <s v="Electric Generators, Independent Power Producers"/>
    <x v="1"/>
    <n v="2671440"/>
  </r>
  <r>
    <x v="14"/>
    <x v="6"/>
    <s v="Electric Generators, Independent Power Producers"/>
    <x v="2"/>
    <n v="426770"/>
  </r>
  <r>
    <x v="14"/>
    <x v="6"/>
    <s v="Electric Generators, Independent Power Producers"/>
    <x v="3"/>
    <n v="7594257"/>
  </r>
  <r>
    <x v="14"/>
    <x v="6"/>
    <s v="Electric Generators, Independent Power Producers"/>
    <x v="7"/>
    <n v="16539097"/>
  </r>
  <r>
    <x v="14"/>
    <x v="6"/>
    <s v="Electric Generators, Independent Power Producers"/>
    <x v="12"/>
    <n v="751217"/>
  </r>
  <r>
    <x v="14"/>
    <x v="6"/>
    <s v="Electric Generators, Independent Power Producers"/>
    <x v="8"/>
    <n v="752362"/>
  </r>
  <r>
    <x v="14"/>
    <x v="6"/>
    <s v="Electric Generators, Independent Power Producers"/>
    <x v="9"/>
    <n v="0"/>
  </r>
  <r>
    <x v="14"/>
    <x v="6"/>
    <s v="Electric Generators, Independent Power Producers"/>
    <x v="4"/>
    <n v="1596732"/>
  </r>
  <r>
    <x v="14"/>
    <x v="6"/>
    <s v="Electric Generators, Independent Power Producers"/>
    <x v="10"/>
    <n v="7715"/>
  </r>
  <r>
    <x v="14"/>
    <x v="6"/>
    <s v="Electric Generators, Independent Power Producers"/>
    <x v="6"/>
    <n v="5457"/>
  </r>
  <r>
    <x v="14"/>
    <x v="6"/>
    <s v="Electric Generators, Electric Utilities"/>
    <x v="0"/>
    <n v="45095"/>
  </r>
  <r>
    <x v="14"/>
    <x v="6"/>
    <s v="Electric Generators, Electric Utilities"/>
    <x v="2"/>
    <n v="35842"/>
  </r>
  <r>
    <x v="14"/>
    <x v="6"/>
    <s v="Electric Generators, Electric Utilities"/>
    <x v="4"/>
    <n v="9253"/>
  </r>
  <r>
    <x v="14"/>
    <x v="6"/>
    <s v="Combined Heat and Power, Industrial Power"/>
    <x v="0"/>
    <n v="234677"/>
  </r>
  <r>
    <x v="14"/>
    <x v="6"/>
    <s v="Combined Heat and Power, Industrial Power"/>
    <x v="3"/>
    <n v="98339"/>
  </r>
  <r>
    <x v="14"/>
    <x v="6"/>
    <s v="Combined Heat and Power, Industrial Power"/>
    <x v="12"/>
    <n v="11957"/>
  </r>
  <r>
    <x v="14"/>
    <x v="6"/>
    <s v="Combined Heat and Power, Industrial Power"/>
    <x v="4"/>
    <n v="124381"/>
  </r>
  <r>
    <x v="14"/>
    <x v="6"/>
    <s v="Combined Heat and Power, Electric Power"/>
    <x v="0"/>
    <n v="1965663"/>
  </r>
  <r>
    <x v="14"/>
    <x v="6"/>
    <s v="Combined Heat and Power, Electric Power"/>
    <x v="1"/>
    <n v="1583632"/>
  </r>
  <r>
    <x v="14"/>
    <x v="6"/>
    <s v="Combined Heat and Power, Electric Power"/>
    <x v="3"/>
    <n v="373669"/>
  </r>
  <r>
    <x v="14"/>
    <x v="6"/>
    <s v="Combined Heat and Power, Electric Power"/>
    <x v="4"/>
    <n v="8363"/>
  </r>
  <r>
    <x v="14"/>
    <x v="6"/>
    <s v="Combined Heat and Power, Commercial Power"/>
    <x v="0"/>
    <n v="42924"/>
  </r>
  <r>
    <x v="14"/>
    <x v="6"/>
    <s v="Combined Heat and Power, Commercial Power"/>
    <x v="3"/>
    <n v="41541"/>
  </r>
  <r>
    <x v="14"/>
    <x v="6"/>
    <s v="Combined Heat and Power, Commercial Power"/>
    <x v="4"/>
    <n v="1383"/>
  </r>
  <r>
    <x v="14"/>
    <x v="7"/>
    <s v="Total Electric Power Industry"/>
    <x v="0"/>
    <n v="36487"/>
  </r>
  <r>
    <x v="14"/>
    <x v="7"/>
    <s v="Total Electric Power Industry"/>
    <x v="4"/>
    <n v="36487"/>
  </r>
  <r>
    <x v="14"/>
    <x v="7"/>
    <s v="Electric Generators, Independent Power Producers"/>
    <x v="0"/>
    <n v="36487"/>
  </r>
  <r>
    <x v="14"/>
    <x v="7"/>
    <s v="Electric Generators, Independent Power Producers"/>
    <x v="4"/>
    <n v="36487"/>
  </r>
  <r>
    <x v="14"/>
    <x v="8"/>
    <s v="Total Electric Power Industry"/>
    <x v="0"/>
    <n v="7855553"/>
  </r>
  <r>
    <x v="14"/>
    <x v="8"/>
    <s v="Total Electric Power Industry"/>
    <x v="1"/>
    <n v="4743835"/>
  </r>
  <r>
    <x v="14"/>
    <x v="8"/>
    <s v="Total Electric Power Industry"/>
    <x v="3"/>
    <n v="1718419"/>
  </r>
  <r>
    <x v="14"/>
    <x v="8"/>
    <s v="Total Electric Power Industry"/>
    <x v="9"/>
    <n v="289720"/>
  </r>
  <r>
    <x v="14"/>
    <x v="8"/>
    <s v="Total Electric Power Industry"/>
    <x v="4"/>
    <n v="1103578"/>
  </r>
  <r>
    <x v="14"/>
    <x v="8"/>
    <s v="Electric Generators, Independent Power Producers"/>
    <x v="0"/>
    <n v="6865919"/>
  </r>
  <r>
    <x v="14"/>
    <x v="8"/>
    <s v="Electric Generators, Independent Power Producers"/>
    <x v="1"/>
    <n v="4521823"/>
  </r>
  <r>
    <x v="14"/>
    <x v="8"/>
    <s v="Electric Generators, Independent Power Producers"/>
    <x v="3"/>
    <n v="1639555"/>
  </r>
  <r>
    <x v="14"/>
    <x v="8"/>
    <s v="Electric Generators, Independent Power Producers"/>
    <x v="4"/>
    <n v="704541"/>
  </r>
  <r>
    <x v="14"/>
    <x v="8"/>
    <s v="Electric Generators, Electric Utilities"/>
    <x v="0"/>
    <n v="23751"/>
  </r>
  <r>
    <x v="14"/>
    <x v="8"/>
    <s v="Electric Generators, Electric Utilities"/>
    <x v="3"/>
    <n v="13668"/>
  </r>
  <r>
    <x v="14"/>
    <x v="8"/>
    <s v="Electric Generators, Electric Utilities"/>
    <x v="4"/>
    <n v="10083"/>
  </r>
  <r>
    <x v="14"/>
    <x v="8"/>
    <s v="Combined Heat and Power, Industrial Power"/>
    <x v="0"/>
    <n v="837522"/>
  </r>
  <r>
    <x v="14"/>
    <x v="8"/>
    <s v="Combined Heat and Power, Industrial Power"/>
    <x v="1"/>
    <n v="117570"/>
  </r>
  <r>
    <x v="14"/>
    <x v="8"/>
    <s v="Combined Heat and Power, Industrial Power"/>
    <x v="3"/>
    <n v="43175"/>
  </r>
  <r>
    <x v="14"/>
    <x v="8"/>
    <s v="Combined Heat and Power, Industrial Power"/>
    <x v="9"/>
    <n v="289720"/>
  </r>
  <r>
    <x v="14"/>
    <x v="8"/>
    <s v="Combined Heat and Power, Industrial Power"/>
    <x v="4"/>
    <n v="387056"/>
  </r>
  <r>
    <x v="14"/>
    <x v="8"/>
    <s v="Combined Heat and Power, Electric Power"/>
    <x v="0"/>
    <n v="128361"/>
  </r>
  <r>
    <x v="14"/>
    <x v="8"/>
    <s v="Combined Heat and Power, Electric Power"/>
    <x v="1"/>
    <n v="104442"/>
  </r>
  <r>
    <x v="14"/>
    <x v="8"/>
    <s v="Combined Heat and Power, Electric Power"/>
    <x v="3"/>
    <n v="22021"/>
  </r>
  <r>
    <x v="14"/>
    <x v="8"/>
    <s v="Combined Heat and Power, Electric Power"/>
    <x v="4"/>
    <n v="1898"/>
  </r>
  <r>
    <x v="14"/>
    <x v="9"/>
    <s v="Total Electric Power Industry"/>
    <x v="0"/>
    <n v="218117928"/>
  </r>
  <r>
    <x v="14"/>
    <x v="9"/>
    <s v="Total Electric Power Industry"/>
    <x v="1"/>
    <n v="64861774"/>
  </r>
  <r>
    <x v="14"/>
    <x v="9"/>
    <s v="Total Electric Power Industry"/>
    <x v="2"/>
    <n v="265258"/>
  </r>
  <r>
    <x v="14"/>
    <x v="9"/>
    <s v="Total Electric Power Industry"/>
    <x v="3"/>
    <n v="76576970"/>
  </r>
  <r>
    <x v="14"/>
    <x v="9"/>
    <s v="Total Electric Power Industry"/>
    <x v="7"/>
    <n v="31215576"/>
  </r>
  <r>
    <x v="14"/>
    <x v="9"/>
    <s v="Total Electric Power Industry"/>
    <x v="12"/>
    <n v="3426594"/>
  </r>
  <r>
    <x v="14"/>
    <x v="9"/>
    <s v="Total Electric Power Industry"/>
    <x v="8"/>
    <n v="2285247"/>
  </r>
  <r>
    <x v="14"/>
    <x v="9"/>
    <s v="Total Electric Power Industry"/>
    <x v="9"/>
    <n v="14732"/>
  </r>
  <r>
    <x v="14"/>
    <x v="9"/>
    <s v="Total Electric Power Industry"/>
    <x v="4"/>
    <n v="37255452"/>
  </r>
  <r>
    <x v="14"/>
    <x v="9"/>
    <s v="Total Electric Power Industry"/>
    <x v="6"/>
    <n v="2216324"/>
  </r>
  <r>
    <x v="14"/>
    <x v="9"/>
    <s v="Electric Generators, Independent Power Producers"/>
    <x v="0"/>
    <n v="10334411"/>
  </r>
  <r>
    <x v="14"/>
    <x v="9"/>
    <s v="Electric Generators, Independent Power Producers"/>
    <x v="3"/>
    <n v="6081046"/>
  </r>
  <r>
    <x v="14"/>
    <x v="9"/>
    <s v="Electric Generators, Independent Power Producers"/>
    <x v="12"/>
    <n v="1300084"/>
  </r>
  <r>
    <x v="14"/>
    <x v="9"/>
    <s v="Electric Generators, Independent Power Producers"/>
    <x v="8"/>
    <n v="1639861"/>
  </r>
  <r>
    <x v="14"/>
    <x v="9"/>
    <s v="Electric Generators, Independent Power Producers"/>
    <x v="9"/>
    <n v="41"/>
  </r>
  <r>
    <x v="14"/>
    <x v="9"/>
    <s v="Electric Generators, Independent Power Producers"/>
    <x v="4"/>
    <n v="1099198"/>
  </r>
  <r>
    <x v="14"/>
    <x v="9"/>
    <s v="Electric Generators, Independent Power Producers"/>
    <x v="6"/>
    <n v="214182"/>
  </r>
  <r>
    <x v="14"/>
    <x v="9"/>
    <s v="Electric Generators, Electric Utilities"/>
    <x v="0"/>
    <n v="193383664"/>
  </r>
  <r>
    <x v="14"/>
    <x v="9"/>
    <s v="Electric Generators, Electric Utilities"/>
    <x v="1"/>
    <n v="60013823"/>
  </r>
  <r>
    <x v="14"/>
    <x v="9"/>
    <s v="Electric Generators, Electric Utilities"/>
    <x v="2"/>
    <n v="265258"/>
  </r>
  <r>
    <x v="14"/>
    <x v="9"/>
    <s v="Electric Generators, Electric Utilities"/>
    <x v="3"/>
    <n v="65940807"/>
  </r>
  <r>
    <x v="14"/>
    <x v="9"/>
    <s v="Electric Generators, Electric Utilities"/>
    <x v="7"/>
    <n v="31215576"/>
  </r>
  <r>
    <x v="14"/>
    <x v="9"/>
    <s v="Electric Generators, Electric Utilities"/>
    <x v="12"/>
    <n v="0"/>
  </r>
  <r>
    <x v="14"/>
    <x v="9"/>
    <s v="Electric Generators, Electric Utilities"/>
    <x v="8"/>
    <n v="124045"/>
  </r>
  <r>
    <x v="14"/>
    <x v="9"/>
    <s v="Electric Generators, Electric Utilities"/>
    <x v="4"/>
    <n v="35824155"/>
  </r>
  <r>
    <x v="14"/>
    <x v="9"/>
    <s v="Electric Generators, Electric Utilities"/>
    <x v="6"/>
    <n v="0"/>
  </r>
  <r>
    <x v="14"/>
    <x v="9"/>
    <s v="Combined Heat and Power, Industrial Power"/>
    <x v="0"/>
    <n v="5524283"/>
  </r>
  <r>
    <x v="14"/>
    <x v="9"/>
    <s v="Combined Heat and Power, Industrial Power"/>
    <x v="1"/>
    <n v="260786"/>
  </r>
  <r>
    <x v="14"/>
    <x v="9"/>
    <s v="Combined Heat and Power, Industrial Power"/>
    <x v="3"/>
    <n v="871050"/>
  </r>
  <r>
    <x v="14"/>
    <x v="9"/>
    <s v="Combined Heat and Power, Industrial Power"/>
    <x v="12"/>
    <n v="2126510"/>
  </r>
  <r>
    <x v="14"/>
    <x v="9"/>
    <s v="Combined Heat and Power, Industrial Power"/>
    <x v="8"/>
    <n v="163434"/>
  </r>
  <r>
    <x v="14"/>
    <x v="9"/>
    <s v="Combined Heat and Power, Industrial Power"/>
    <x v="9"/>
    <n v="14691"/>
  </r>
  <r>
    <x v="14"/>
    <x v="9"/>
    <s v="Combined Heat and Power, Industrial Power"/>
    <x v="4"/>
    <n v="316123"/>
  </r>
  <r>
    <x v="14"/>
    <x v="9"/>
    <s v="Combined Heat and Power, Industrial Power"/>
    <x v="6"/>
    <n v="1771689"/>
  </r>
  <r>
    <x v="14"/>
    <x v="9"/>
    <s v="Combined Heat and Power, Electric Power"/>
    <x v="0"/>
    <n v="8779323"/>
  </r>
  <r>
    <x v="14"/>
    <x v="9"/>
    <s v="Combined Heat and Power, Electric Power"/>
    <x v="1"/>
    <n v="4587166"/>
  </r>
  <r>
    <x v="14"/>
    <x v="9"/>
    <s v="Combined Heat and Power, Electric Power"/>
    <x v="3"/>
    <n v="3628175"/>
  </r>
  <r>
    <x v="14"/>
    <x v="9"/>
    <s v="Combined Heat and Power, Electric Power"/>
    <x v="12"/>
    <n v="0"/>
  </r>
  <r>
    <x v="14"/>
    <x v="9"/>
    <s v="Combined Heat and Power, Electric Power"/>
    <x v="8"/>
    <n v="317553"/>
  </r>
  <r>
    <x v="14"/>
    <x v="9"/>
    <s v="Combined Heat and Power, Electric Power"/>
    <x v="4"/>
    <n v="15976"/>
  </r>
  <r>
    <x v="14"/>
    <x v="9"/>
    <s v="Combined Heat and Power, Electric Power"/>
    <x v="6"/>
    <n v="230453"/>
  </r>
  <r>
    <x v="14"/>
    <x v="9"/>
    <s v="Combined Heat and Power, Commercial Power"/>
    <x v="0"/>
    <n v="96247"/>
  </r>
  <r>
    <x v="14"/>
    <x v="9"/>
    <s v="Combined Heat and Power, Commercial Power"/>
    <x v="3"/>
    <n v="55892"/>
  </r>
  <r>
    <x v="14"/>
    <x v="9"/>
    <s v="Combined Heat and Power, Commercial Power"/>
    <x v="8"/>
    <n v="40355"/>
  </r>
  <r>
    <x v="14"/>
    <x v="9"/>
    <s v="Combined Heat and Power, Commercial Power"/>
    <x v="4"/>
    <n v="0"/>
  </r>
  <r>
    <x v="14"/>
    <x v="10"/>
    <s v="Total Electric Power Industry"/>
    <x v="0"/>
    <n v="126812715"/>
  </r>
  <r>
    <x v="14"/>
    <x v="10"/>
    <s v="Total Electric Power Industry"/>
    <x v="1"/>
    <n v="79942963"/>
  </r>
  <r>
    <x v="14"/>
    <x v="10"/>
    <s v="Total Electric Power Industry"/>
    <x v="2"/>
    <n v="3692396"/>
  </r>
  <r>
    <x v="14"/>
    <x v="10"/>
    <s v="Total Electric Power Industry"/>
    <x v="3"/>
    <n v="6129652"/>
  </r>
  <r>
    <x v="14"/>
    <x v="10"/>
    <s v="Total Electric Power Industry"/>
    <x v="7"/>
    <n v="33747705"/>
  </r>
  <r>
    <x v="14"/>
    <x v="10"/>
    <s v="Total Electric Power Industry"/>
    <x v="12"/>
    <n v="39577"/>
  </r>
  <r>
    <x v="14"/>
    <x v="10"/>
    <s v="Total Electric Power Industry"/>
    <x v="8"/>
    <n v="83464"/>
  </r>
  <r>
    <x v="14"/>
    <x v="10"/>
    <s v="Total Electric Power Industry"/>
    <x v="4"/>
    <n v="946528"/>
  </r>
  <r>
    <x v="14"/>
    <x v="10"/>
    <s v="Total Electric Power Industry"/>
    <x v="10"/>
    <n v="-877846"/>
  </r>
  <r>
    <x v="14"/>
    <x v="10"/>
    <s v="Total Electric Power Industry"/>
    <x v="6"/>
    <n v="3108275"/>
  </r>
  <r>
    <x v="14"/>
    <x v="10"/>
    <s v="Electric Generators, Independent Power Producers"/>
    <x v="0"/>
    <n v="3861395"/>
  </r>
  <r>
    <x v="14"/>
    <x v="10"/>
    <s v="Electric Generators, Independent Power Producers"/>
    <x v="2"/>
    <n v="5497"/>
  </r>
  <r>
    <x v="14"/>
    <x v="10"/>
    <s v="Electric Generators, Independent Power Producers"/>
    <x v="3"/>
    <n v="3835487"/>
  </r>
  <r>
    <x v="14"/>
    <x v="10"/>
    <s v="Electric Generators, Independent Power Producers"/>
    <x v="8"/>
    <n v="17601"/>
  </r>
  <r>
    <x v="14"/>
    <x v="10"/>
    <s v="Electric Generators, Independent Power Producers"/>
    <x v="4"/>
    <n v="2810"/>
  </r>
  <r>
    <x v="14"/>
    <x v="10"/>
    <s v="Electric Generators, Electric Utilities"/>
    <x v="0"/>
    <n v="117918895"/>
  </r>
  <r>
    <x v="14"/>
    <x v="10"/>
    <s v="Electric Generators, Electric Utilities"/>
    <x v="1"/>
    <n v="79185166"/>
  </r>
  <r>
    <x v="14"/>
    <x v="10"/>
    <s v="Electric Generators, Electric Utilities"/>
    <x v="2"/>
    <n v="3663002"/>
  </r>
  <r>
    <x v="14"/>
    <x v="10"/>
    <s v="Electric Generators, Electric Utilities"/>
    <x v="3"/>
    <n v="2044196"/>
  </r>
  <r>
    <x v="14"/>
    <x v="10"/>
    <s v="Electric Generators, Electric Utilities"/>
    <x v="7"/>
    <n v="33747705"/>
  </r>
  <r>
    <x v="14"/>
    <x v="10"/>
    <s v="Electric Generators, Electric Utilities"/>
    <x v="4"/>
    <n v="156672"/>
  </r>
  <r>
    <x v="14"/>
    <x v="10"/>
    <s v="Electric Generators, Electric Utilities"/>
    <x v="10"/>
    <n v="-877846"/>
  </r>
  <r>
    <x v="14"/>
    <x v="10"/>
    <s v="Combined Heat and Power, Industrial Power"/>
    <x v="0"/>
    <n v="4996662"/>
  </r>
  <r>
    <x v="14"/>
    <x v="10"/>
    <s v="Combined Heat and Power, Industrial Power"/>
    <x v="1"/>
    <n v="757797"/>
  </r>
  <r>
    <x v="14"/>
    <x v="10"/>
    <s v="Combined Heat and Power, Industrial Power"/>
    <x v="2"/>
    <n v="23897"/>
  </r>
  <r>
    <x v="14"/>
    <x v="10"/>
    <s v="Combined Heat and Power, Industrial Power"/>
    <x v="3"/>
    <n v="217468"/>
  </r>
  <r>
    <x v="14"/>
    <x v="10"/>
    <s v="Combined Heat and Power, Industrial Power"/>
    <x v="12"/>
    <n v="39577"/>
  </r>
  <r>
    <x v="14"/>
    <x v="10"/>
    <s v="Combined Heat and Power, Industrial Power"/>
    <x v="8"/>
    <n v="65863"/>
  </r>
  <r>
    <x v="14"/>
    <x v="10"/>
    <s v="Combined Heat and Power, Industrial Power"/>
    <x v="4"/>
    <n v="783784"/>
  </r>
  <r>
    <x v="14"/>
    <x v="10"/>
    <s v="Combined Heat and Power, Industrial Power"/>
    <x v="6"/>
    <n v="3108275"/>
  </r>
  <r>
    <x v="14"/>
    <x v="10"/>
    <s v="Combined Heat and Power, Electric Power"/>
    <x v="0"/>
    <n v="32501"/>
  </r>
  <r>
    <x v="14"/>
    <x v="10"/>
    <s v="Combined Heat and Power, Electric Power"/>
    <x v="3"/>
    <n v="32501"/>
  </r>
  <r>
    <x v="14"/>
    <x v="10"/>
    <s v="Combined Heat and Power, Electric Power"/>
    <x v="4"/>
    <n v="0"/>
  </r>
  <r>
    <x v="14"/>
    <x v="10"/>
    <s v="Combined Heat and Power, Commercial Power"/>
    <x v="0"/>
    <n v="3262"/>
  </r>
  <r>
    <x v="14"/>
    <x v="10"/>
    <s v="Combined Heat and Power, Commercial Power"/>
    <x v="4"/>
    <n v="3262"/>
  </r>
  <r>
    <x v="14"/>
    <x v="11"/>
    <s v="Total Electric Power Industry"/>
    <x v="0"/>
    <n v="11410403"/>
  </r>
  <r>
    <x v="14"/>
    <x v="11"/>
    <s v="Total Electric Power Industry"/>
    <x v="1"/>
    <n v="1603751"/>
  </r>
  <r>
    <x v="14"/>
    <x v="11"/>
    <s v="Total Electric Power Industry"/>
    <x v="11"/>
    <n v="213288"/>
  </r>
  <r>
    <x v="14"/>
    <x v="11"/>
    <s v="Total Electric Power Industry"/>
    <x v="2"/>
    <n v="93901"/>
  </r>
  <r>
    <x v="14"/>
    <x v="11"/>
    <s v="Total Electric Power Industry"/>
    <x v="12"/>
    <n v="170532"/>
  </r>
  <r>
    <x v="14"/>
    <x v="11"/>
    <s v="Total Electric Power Industry"/>
    <x v="8"/>
    <n v="328832"/>
  </r>
  <r>
    <x v="14"/>
    <x v="11"/>
    <s v="Total Electric Power Industry"/>
    <x v="9"/>
    <n v="47908"/>
  </r>
  <r>
    <x v="14"/>
    <x v="11"/>
    <s v="Total Electric Power Industry"/>
    <x v="4"/>
    <n v="8944696"/>
  </r>
  <r>
    <x v="14"/>
    <x v="11"/>
    <s v="Total Electric Power Industry"/>
    <x v="5"/>
    <n v="7495"/>
  </r>
  <r>
    <x v="14"/>
    <x v="11"/>
    <s v="Electric Generators, Independent Power Producers"/>
    <x v="0"/>
    <n v="266841"/>
  </r>
  <r>
    <x v="14"/>
    <x v="11"/>
    <s v="Electric Generators, Independent Power Producers"/>
    <x v="11"/>
    <n v="213288"/>
  </r>
  <r>
    <x v="14"/>
    <x v="11"/>
    <s v="Electric Generators, Independent Power Producers"/>
    <x v="2"/>
    <n v="47544"/>
  </r>
  <r>
    <x v="14"/>
    <x v="11"/>
    <s v="Electric Generators, Independent Power Producers"/>
    <x v="5"/>
    <n v="6009"/>
  </r>
  <r>
    <x v="14"/>
    <x v="11"/>
    <s v="Electric Generators, Electric Utilities"/>
    <x v="0"/>
    <n v="6982469"/>
  </r>
  <r>
    <x v="14"/>
    <x v="11"/>
    <s v="Electric Generators, Electric Utilities"/>
    <x v="2"/>
    <n v="9724"/>
  </r>
  <r>
    <x v="14"/>
    <x v="11"/>
    <s v="Electric Generators, Electric Utilities"/>
    <x v="4"/>
    <n v="6971259"/>
  </r>
  <r>
    <x v="14"/>
    <x v="11"/>
    <s v="Electric Generators, Electric Utilities"/>
    <x v="5"/>
    <n v="1486"/>
  </r>
  <r>
    <x v="14"/>
    <x v="11"/>
    <s v="Combined Heat and Power, Industrial Power"/>
    <x v="0"/>
    <n v="267450"/>
  </r>
  <r>
    <x v="14"/>
    <x v="11"/>
    <s v="Combined Heat and Power, Industrial Power"/>
    <x v="2"/>
    <n v="36633"/>
  </r>
  <r>
    <x v="14"/>
    <x v="11"/>
    <s v="Combined Heat and Power, Industrial Power"/>
    <x v="8"/>
    <n v="10106"/>
  </r>
  <r>
    <x v="14"/>
    <x v="11"/>
    <s v="Combined Heat and Power, Industrial Power"/>
    <x v="9"/>
    <n v="47908"/>
  </r>
  <r>
    <x v="14"/>
    <x v="11"/>
    <s v="Combined Heat and Power, Industrial Power"/>
    <x v="4"/>
    <n v="172803"/>
  </r>
  <r>
    <x v="14"/>
    <x v="11"/>
    <s v="Combined Heat and Power, Electric Power"/>
    <x v="0"/>
    <n v="3568387"/>
  </r>
  <r>
    <x v="14"/>
    <x v="11"/>
    <s v="Combined Heat and Power, Electric Power"/>
    <x v="1"/>
    <n v="1603751"/>
  </r>
  <r>
    <x v="14"/>
    <x v="11"/>
    <s v="Combined Heat and Power, Electric Power"/>
    <x v="12"/>
    <n v="24775"/>
  </r>
  <r>
    <x v="14"/>
    <x v="11"/>
    <s v="Combined Heat and Power, Electric Power"/>
    <x v="8"/>
    <n v="140579"/>
  </r>
  <r>
    <x v="14"/>
    <x v="11"/>
    <s v="Combined Heat and Power, Electric Power"/>
    <x v="4"/>
    <n v="1799282"/>
  </r>
  <r>
    <x v="14"/>
    <x v="11"/>
    <s v="Combined Heat and Power, Commercial Power"/>
    <x v="0"/>
    <n v="325256"/>
  </r>
  <r>
    <x v="14"/>
    <x v="11"/>
    <s v="Combined Heat and Power, Commercial Power"/>
    <x v="12"/>
    <n v="145756"/>
  </r>
  <r>
    <x v="14"/>
    <x v="11"/>
    <s v="Combined Heat and Power, Commercial Power"/>
    <x v="8"/>
    <n v="178147"/>
  </r>
  <r>
    <x v="14"/>
    <x v="11"/>
    <s v="Combined Heat and Power, Commercial Power"/>
    <x v="4"/>
    <n v="1353"/>
  </r>
  <r>
    <x v="14"/>
    <x v="12"/>
    <s v="Total Electric Power Industry"/>
    <x v="0"/>
    <n v="43248189"/>
  </r>
  <r>
    <x v="14"/>
    <x v="12"/>
    <s v="Total Electric Power Industry"/>
    <x v="1"/>
    <n v="35272196"/>
  </r>
  <r>
    <x v="14"/>
    <x v="12"/>
    <s v="Total Electric Power Industry"/>
    <x v="2"/>
    <n v="945959"/>
  </r>
  <r>
    <x v="14"/>
    <x v="12"/>
    <s v="Total Electric Power Industry"/>
    <x v="3"/>
    <n v="824706"/>
  </r>
  <r>
    <x v="14"/>
    <x v="12"/>
    <s v="Total Electric Power Industry"/>
    <x v="7"/>
    <n v="4928948"/>
  </r>
  <r>
    <x v="14"/>
    <x v="12"/>
    <s v="Total Electric Power Industry"/>
    <x v="12"/>
    <n v="11883"/>
  </r>
  <r>
    <x v="14"/>
    <x v="12"/>
    <s v="Total Electric Power Industry"/>
    <x v="8"/>
    <n v="105926"/>
  </r>
  <r>
    <x v="14"/>
    <x v="12"/>
    <s v="Total Electric Power Industry"/>
    <x v="4"/>
    <n v="108620"/>
  </r>
  <r>
    <x v="14"/>
    <x v="12"/>
    <s v="Total Electric Power Industry"/>
    <x v="5"/>
    <n v="1049952"/>
  </r>
  <r>
    <x v="14"/>
    <x v="12"/>
    <s v="Electric Generators, Independent Power Producers"/>
    <x v="0"/>
    <n v="1106522"/>
  </r>
  <r>
    <x v="14"/>
    <x v="12"/>
    <s v="Electric Generators, Independent Power Producers"/>
    <x v="2"/>
    <n v="8960"/>
  </r>
  <r>
    <x v="14"/>
    <x v="12"/>
    <s v="Electric Generators, Independent Power Producers"/>
    <x v="3"/>
    <n v="107"/>
  </r>
  <r>
    <x v="14"/>
    <x v="12"/>
    <s v="Electric Generators, Independent Power Producers"/>
    <x v="8"/>
    <n v="55144"/>
  </r>
  <r>
    <x v="14"/>
    <x v="12"/>
    <s v="Electric Generators, Independent Power Producers"/>
    <x v="4"/>
    <n v="2472"/>
  </r>
  <r>
    <x v="14"/>
    <x v="12"/>
    <s v="Electric Generators, Independent Power Producers"/>
    <x v="5"/>
    <n v="1039839"/>
  </r>
  <r>
    <x v="14"/>
    <x v="12"/>
    <s v="Electric Generators, Electric Utilities"/>
    <x v="0"/>
    <n v="40578049"/>
  </r>
  <r>
    <x v="14"/>
    <x v="12"/>
    <s v="Electric Generators, Electric Utilities"/>
    <x v="1"/>
    <n v="33757265"/>
  </r>
  <r>
    <x v="14"/>
    <x v="12"/>
    <s v="Electric Generators, Electric Utilities"/>
    <x v="2"/>
    <n v="936999"/>
  </r>
  <r>
    <x v="14"/>
    <x v="12"/>
    <s v="Electric Generators, Electric Utilities"/>
    <x v="3"/>
    <n v="814295"/>
  </r>
  <r>
    <x v="14"/>
    <x v="12"/>
    <s v="Electric Generators, Electric Utilities"/>
    <x v="7"/>
    <n v="4928948"/>
  </r>
  <r>
    <x v="14"/>
    <x v="12"/>
    <s v="Electric Generators, Electric Utilities"/>
    <x v="12"/>
    <n v="11883"/>
  </r>
  <r>
    <x v="14"/>
    <x v="12"/>
    <s v="Electric Generators, Electric Utilities"/>
    <x v="8"/>
    <n v="19291"/>
  </r>
  <r>
    <x v="14"/>
    <x v="12"/>
    <s v="Electric Generators, Electric Utilities"/>
    <x v="4"/>
    <n v="99255"/>
  </r>
  <r>
    <x v="14"/>
    <x v="12"/>
    <s v="Electric Generators, Electric Utilities"/>
    <x v="5"/>
    <n v="10113"/>
  </r>
  <r>
    <x v="14"/>
    <x v="12"/>
    <s v="Combined Heat and Power, Industrial Power"/>
    <x v="0"/>
    <n v="1293923"/>
  </r>
  <r>
    <x v="14"/>
    <x v="12"/>
    <s v="Combined Heat and Power, Industrial Power"/>
    <x v="1"/>
    <n v="1293871"/>
  </r>
  <r>
    <x v="14"/>
    <x v="12"/>
    <s v="Combined Heat and Power, Industrial Power"/>
    <x v="3"/>
    <n v="8"/>
  </r>
  <r>
    <x v="14"/>
    <x v="12"/>
    <s v="Combined Heat and Power, Industrial Power"/>
    <x v="4"/>
    <n v="44"/>
  </r>
  <r>
    <x v="14"/>
    <x v="12"/>
    <s v="Combined Heat and Power, Commercial Power"/>
    <x v="0"/>
    <n v="269695"/>
  </r>
  <r>
    <x v="14"/>
    <x v="12"/>
    <s v="Combined Heat and Power, Commercial Power"/>
    <x v="1"/>
    <n v="221061"/>
  </r>
  <r>
    <x v="14"/>
    <x v="12"/>
    <s v="Combined Heat and Power, Commercial Power"/>
    <x v="3"/>
    <n v="10296"/>
  </r>
  <r>
    <x v="14"/>
    <x v="12"/>
    <s v="Combined Heat and Power, Commercial Power"/>
    <x v="12"/>
    <n v="0"/>
  </r>
  <r>
    <x v="14"/>
    <x v="12"/>
    <s v="Combined Heat and Power, Commercial Power"/>
    <x v="8"/>
    <n v="31491"/>
  </r>
  <r>
    <x v="14"/>
    <x v="12"/>
    <s v="Combined Heat and Power, Commercial Power"/>
    <x v="4"/>
    <n v="6849"/>
  </r>
  <r>
    <x v="14"/>
    <x v="13"/>
    <s v="Total Electric Power Industry"/>
    <x v="0"/>
    <n v="10863039"/>
  </r>
  <r>
    <x v="14"/>
    <x v="13"/>
    <s v="Total Electric Power Industry"/>
    <x v="1"/>
    <n v="99203"/>
  </r>
  <r>
    <x v="14"/>
    <x v="13"/>
    <s v="Total Electric Power Industry"/>
    <x v="2"/>
    <n v="8461655"/>
  </r>
  <r>
    <x v="14"/>
    <x v="13"/>
    <s v="Total Electric Power Industry"/>
    <x v="3"/>
    <n v="1703823"/>
  </r>
  <r>
    <x v="14"/>
    <x v="13"/>
    <s v="Total Electric Power Industry"/>
    <x v="12"/>
    <n v="37942"/>
  </r>
  <r>
    <x v="14"/>
    <x v="13"/>
    <s v="Total Electric Power Industry"/>
    <x v="4"/>
    <n v="136"/>
  </r>
  <r>
    <x v="14"/>
    <x v="13"/>
    <s v="Total Electric Power Industry"/>
    <x v="6"/>
    <n v="560280"/>
  </r>
  <r>
    <x v="14"/>
    <x v="13"/>
    <s v="Electric Generators, Independent Power Producers"/>
    <x v="0"/>
    <n v="2174537"/>
  </r>
  <r>
    <x v="14"/>
    <x v="13"/>
    <s v="Electric Generators, Independent Power Producers"/>
    <x v="2"/>
    <n v="723911"/>
  </r>
  <r>
    <x v="14"/>
    <x v="13"/>
    <s v="Electric Generators, Independent Power Producers"/>
    <x v="3"/>
    <n v="1450626"/>
  </r>
  <r>
    <x v="14"/>
    <x v="13"/>
    <s v="Electric Generators, Electric Utilities"/>
    <x v="0"/>
    <n v="7765655"/>
  </r>
  <r>
    <x v="14"/>
    <x v="13"/>
    <s v="Electric Generators, Electric Utilities"/>
    <x v="2"/>
    <n v="7737744"/>
  </r>
  <r>
    <x v="14"/>
    <x v="13"/>
    <s v="Electric Generators, Electric Utilities"/>
    <x v="3"/>
    <n v="27775"/>
  </r>
  <r>
    <x v="14"/>
    <x v="13"/>
    <s v="Electric Generators, Electric Utilities"/>
    <x v="4"/>
    <n v="136"/>
  </r>
  <r>
    <x v="14"/>
    <x v="13"/>
    <s v="Combined Heat and Power, Industrial Power"/>
    <x v="0"/>
    <n v="675281"/>
  </r>
  <r>
    <x v="14"/>
    <x v="13"/>
    <s v="Combined Heat and Power, Industrial Power"/>
    <x v="1"/>
    <n v="99203"/>
  </r>
  <r>
    <x v="14"/>
    <x v="13"/>
    <s v="Combined Heat and Power, Industrial Power"/>
    <x v="3"/>
    <n v="61764"/>
  </r>
  <r>
    <x v="14"/>
    <x v="13"/>
    <s v="Combined Heat and Power, Industrial Power"/>
    <x v="12"/>
    <n v="37942"/>
  </r>
  <r>
    <x v="14"/>
    <x v="13"/>
    <s v="Combined Heat and Power, Industrial Power"/>
    <x v="4"/>
    <n v="0"/>
  </r>
  <r>
    <x v="14"/>
    <x v="13"/>
    <s v="Combined Heat and Power, Industrial Power"/>
    <x v="6"/>
    <n v="476372"/>
  </r>
  <r>
    <x v="14"/>
    <x v="13"/>
    <s v="Combined Heat and Power, Electric Power"/>
    <x v="0"/>
    <n v="247566"/>
  </r>
  <r>
    <x v="14"/>
    <x v="13"/>
    <s v="Combined Heat and Power, Electric Power"/>
    <x v="3"/>
    <n v="163658"/>
  </r>
  <r>
    <x v="14"/>
    <x v="13"/>
    <s v="Combined Heat and Power, Electric Power"/>
    <x v="6"/>
    <n v="83908"/>
  </r>
  <r>
    <x v="14"/>
    <x v="14"/>
    <s v="Total Electric Power Industry"/>
    <x v="0"/>
    <n v="191957778"/>
  </r>
  <r>
    <x v="14"/>
    <x v="14"/>
    <s v="Total Electric Power Industry"/>
    <x v="1"/>
    <n v="94401628"/>
  </r>
  <r>
    <x v="14"/>
    <x v="14"/>
    <s v="Total Electric Power Industry"/>
    <x v="2"/>
    <n v="153529"/>
  </r>
  <r>
    <x v="14"/>
    <x v="14"/>
    <s v="Total Electric Power Industry"/>
    <x v="3"/>
    <n v="3393312"/>
  </r>
  <r>
    <x v="14"/>
    <x v="14"/>
    <s v="Total Electric Power Industry"/>
    <x v="7"/>
    <n v="92047323"/>
  </r>
  <r>
    <x v="14"/>
    <x v="14"/>
    <s v="Total Electric Power Industry"/>
    <x v="12"/>
    <n v="131640"/>
  </r>
  <r>
    <x v="14"/>
    <x v="14"/>
    <s v="Total Electric Power Industry"/>
    <x v="8"/>
    <n v="743926"/>
  </r>
  <r>
    <x v="14"/>
    <x v="14"/>
    <s v="Total Electric Power Industry"/>
    <x v="9"/>
    <n v="246008"/>
  </r>
  <r>
    <x v="14"/>
    <x v="14"/>
    <s v="Total Electric Power Industry"/>
    <x v="4"/>
    <n v="762340"/>
  </r>
  <r>
    <x v="14"/>
    <x v="14"/>
    <s v="Total Electric Power Industry"/>
    <x v="5"/>
    <n v="78073"/>
  </r>
  <r>
    <x v="14"/>
    <x v="14"/>
    <s v="Electric Generators, Independent Power Producers"/>
    <x v="0"/>
    <n v="168824103"/>
  </r>
  <r>
    <x v="14"/>
    <x v="14"/>
    <s v="Electric Generators, Independent Power Producers"/>
    <x v="1"/>
    <n v="73297185"/>
  </r>
  <r>
    <x v="14"/>
    <x v="14"/>
    <s v="Electric Generators, Independent Power Producers"/>
    <x v="2"/>
    <n v="78103"/>
  </r>
  <r>
    <x v="14"/>
    <x v="14"/>
    <s v="Electric Generators, Independent Power Producers"/>
    <x v="3"/>
    <n v="1929244"/>
  </r>
  <r>
    <x v="14"/>
    <x v="14"/>
    <s v="Electric Generators, Independent Power Producers"/>
    <x v="7"/>
    <n v="92047323"/>
  </r>
  <r>
    <x v="14"/>
    <x v="14"/>
    <s v="Electric Generators, Independent Power Producers"/>
    <x v="12"/>
    <n v="120119"/>
  </r>
  <r>
    <x v="14"/>
    <x v="14"/>
    <s v="Electric Generators, Independent Power Producers"/>
    <x v="8"/>
    <n v="660210"/>
  </r>
  <r>
    <x v="14"/>
    <x v="14"/>
    <s v="Electric Generators, Independent Power Producers"/>
    <x v="4"/>
    <n v="613846"/>
  </r>
  <r>
    <x v="14"/>
    <x v="14"/>
    <s v="Electric Generators, Independent Power Producers"/>
    <x v="5"/>
    <n v="78073"/>
  </r>
  <r>
    <x v="14"/>
    <x v="14"/>
    <s v="Electric Generators, Electric Utilities"/>
    <x v="0"/>
    <n v="19184751"/>
  </r>
  <r>
    <x v="14"/>
    <x v="14"/>
    <s v="Electric Generators, Electric Utilities"/>
    <x v="1"/>
    <n v="18923288"/>
  </r>
  <r>
    <x v="14"/>
    <x v="14"/>
    <s v="Electric Generators, Electric Utilities"/>
    <x v="2"/>
    <n v="72165"/>
  </r>
  <r>
    <x v="14"/>
    <x v="14"/>
    <s v="Electric Generators, Electric Utilities"/>
    <x v="3"/>
    <n v="62240"/>
  </r>
  <r>
    <x v="14"/>
    <x v="14"/>
    <s v="Electric Generators, Electric Utilities"/>
    <x v="8"/>
    <n v="6333"/>
  </r>
  <r>
    <x v="14"/>
    <x v="14"/>
    <s v="Electric Generators, Electric Utilities"/>
    <x v="4"/>
    <n v="120725"/>
  </r>
  <r>
    <x v="14"/>
    <x v="14"/>
    <s v="Combined Heat and Power, Industrial Power"/>
    <x v="0"/>
    <n v="2819094"/>
  </r>
  <r>
    <x v="14"/>
    <x v="14"/>
    <s v="Combined Heat and Power, Industrial Power"/>
    <x v="1"/>
    <n v="2100960"/>
  </r>
  <r>
    <x v="14"/>
    <x v="14"/>
    <s v="Combined Heat and Power, Industrial Power"/>
    <x v="3"/>
    <n v="437540"/>
  </r>
  <r>
    <x v="14"/>
    <x v="14"/>
    <s v="Combined Heat and Power, Industrial Power"/>
    <x v="12"/>
    <n v="11521"/>
  </r>
  <r>
    <x v="14"/>
    <x v="14"/>
    <s v="Combined Heat and Power, Industrial Power"/>
    <x v="8"/>
    <n v="76901"/>
  </r>
  <r>
    <x v="14"/>
    <x v="14"/>
    <s v="Combined Heat and Power, Industrial Power"/>
    <x v="9"/>
    <n v="176920"/>
  </r>
  <r>
    <x v="14"/>
    <x v="14"/>
    <s v="Combined Heat and Power, Industrial Power"/>
    <x v="4"/>
    <n v="15251"/>
  </r>
  <r>
    <x v="14"/>
    <x v="14"/>
    <s v="Combined Heat and Power, Electric Power"/>
    <x v="0"/>
    <n v="550937"/>
  </r>
  <r>
    <x v="14"/>
    <x v="14"/>
    <s v="Combined Heat and Power, Electric Power"/>
    <x v="1"/>
    <n v="0"/>
  </r>
  <r>
    <x v="14"/>
    <x v="14"/>
    <s v="Combined Heat and Power, Electric Power"/>
    <x v="3"/>
    <n v="481807"/>
  </r>
  <r>
    <x v="14"/>
    <x v="14"/>
    <s v="Combined Heat and Power, Electric Power"/>
    <x v="8"/>
    <n v="43"/>
  </r>
  <r>
    <x v="14"/>
    <x v="14"/>
    <s v="Combined Heat and Power, Electric Power"/>
    <x v="9"/>
    <n v="69088"/>
  </r>
  <r>
    <x v="14"/>
    <x v="14"/>
    <s v="Combined Heat and Power, Commercial Power"/>
    <x v="0"/>
    <n v="578894"/>
  </r>
  <r>
    <x v="14"/>
    <x v="14"/>
    <s v="Combined Heat and Power, Commercial Power"/>
    <x v="1"/>
    <n v="80194"/>
  </r>
  <r>
    <x v="14"/>
    <x v="14"/>
    <s v="Combined Heat and Power, Commercial Power"/>
    <x v="2"/>
    <n v="3261"/>
  </r>
  <r>
    <x v="14"/>
    <x v="14"/>
    <s v="Combined Heat and Power, Commercial Power"/>
    <x v="3"/>
    <n v="482481"/>
  </r>
  <r>
    <x v="14"/>
    <x v="14"/>
    <s v="Combined Heat and Power, Commercial Power"/>
    <x v="8"/>
    <n v="440"/>
  </r>
  <r>
    <x v="14"/>
    <x v="14"/>
    <s v="Combined Heat and Power, Commercial Power"/>
    <x v="4"/>
    <n v="12518"/>
  </r>
  <r>
    <x v="14"/>
    <x v="15"/>
    <s v="Total Electric Power Industry"/>
    <x v="0"/>
    <n v="127770396"/>
  </r>
  <r>
    <x v="14"/>
    <x v="15"/>
    <s v="Total Electric Power Industry"/>
    <x v="1"/>
    <n v="120670932"/>
  </r>
  <r>
    <x v="14"/>
    <x v="15"/>
    <s v="Total Electric Power Industry"/>
    <x v="2"/>
    <n v="443721"/>
  </r>
  <r>
    <x v="14"/>
    <x v="15"/>
    <s v="Total Electric Power Industry"/>
    <x v="3"/>
    <n v="2438226"/>
  </r>
  <r>
    <x v="14"/>
    <x v="15"/>
    <s v="Total Electric Power Industry"/>
    <x v="12"/>
    <n v="518574"/>
  </r>
  <r>
    <x v="14"/>
    <x v="15"/>
    <s v="Total Electric Power Industry"/>
    <x v="8"/>
    <n v="137370"/>
  </r>
  <r>
    <x v="14"/>
    <x v="15"/>
    <s v="Total Electric Power Industry"/>
    <x v="9"/>
    <n v="3136317"/>
  </r>
  <r>
    <x v="14"/>
    <x v="15"/>
    <s v="Total Electric Power Industry"/>
    <x v="4"/>
    <n v="425257"/>
  </r>
  <r>
    <x v="14"/>
    <x v="15"/>
    <s v="Electric Generators, Independent Power Producers"/>
    <x v="0"/>
    <n v="3267530"/>
  </r>
  <r>
    <x v="14"/>
    <x v="15"/>
    <s v="Electric Generators, Independent Power Producers"/>
    <x v="1"/>
    <n v="2919401"/>
  </r>
  <r>
    <x v="14"/>
    <x v="15"/>
    <s v="Electric Generators, Independent Power Producers"/>
    <x v="3"/>
    <n v="261912"/>
  </r>
  <r>
    <x v="14"/>
    <x v="15"/>
    <s v="Electric Generators, Independent Power Producers"/>
    <x v="8"/>
    <n v="86217"/>
  </r>
  <r>
    <x v="14"/>
    <x v="15"/>
    <s v="Electric Generators, Electric Utilities"/>
    <x v="0"/>
    <n v="114690471"/>
  </r>
  <r>
    <x v="14"/>
    <x v="15"/>
    <s v="Electric Generators, Electric Utilities"/>
    <x v="1"/>
    <n v="112899892"/>
  </r>
  <r>
    <x v="14"/>
    <x v="15"/>
    <s v="Electric Generators, Electric Utilities"/>
    <x v="2"/>
    <n v="443721"/>
  </r>
  <r>
    <x v="14"/>
    <x v="15"/>
    <s v="Electric Generators, Electric Utilities"/>
    <x v="3"/>
    <n v="953723"/>
  </r>
  <r>
    <x v="14"/>
    <x v="15"/>
    <s v="Electric Generators, Electric Utilities"/>
    <x v="4"/>
    <n v="393135"/>
  </r>
  <r>
    <x v="14"/>
    <x v="15"/>
    <s v="Combined Heat and Power, Industrial Power"/>
    <x v="0"/>
    <n v="3926134"/>
  </r>
  <r>
    <x v="14"/>
    <x v="15"/>
    <s v="Combined Heat and Power, Industrial Power"/>
    <x v="1"/>
    <n v="49497"/>
  </r>
  <r>
    <x v="14"/>
    <x v="15"/>
    <s v="Combined Heat and Power, Industrial Power"/>
    <x v="3"/>
    <n v="218632"/>
  </r>
  <r>
    <x v="14"/>
    <x v="15"/>
    <s v="Combined Heat and Power, Industrial Power"/>
    <x v="12"/>
    <n v="500823"/>
  </r>
  <r>
    <x v="14"/>
    <x v="15"/>
    <s v="Combined Heat and Power, Industrial Power"/>
    <x v="8"/>
    <n v="29457"/>
  </r>
  <r>
    <x v="14"/>
    <x v="15"/>
    <s v="Combined Heat and Power, Industrial Power"/>
    <x v="9"/>
    <n v="3097008"/>
  </r>
  <r>
    <x v="14"/>
    <x v="15"/>
    <s v="Combined Heat and Power, Industrial Power"/>
    <x v="4"/>
    <n v="30717"/>
  </r>
  <r>
    <x v="14"/>
    <x v="15"/>
    <s v="Combined Heat and Power, Electric Power"/>
    <x v="0"/>
    <n v="5630369"/>
  </r>
  <r>
    <x v="14"/>
    <x v="15"/>
    <s v="Combined Heat and Power, Electric Power"/>
    <x v="1"/>
    <n v="4598859"/>
  </r>
  <r>
    <x v="14"/>
    <x v="15"/>
    <s v="Combined Heat and Power, Electric Power"/>
    <x v="3"/>
    <n v="992044"/>
  </r>
  <r>
    <x v="14"/>
    <x v="15"/>
    <s v="Combined Heat and Power, Electric Power"/>
    <x v="12"/>
    <n v="0"/>
  </r>
  <r>
    <x v="14"/>
    <x v="15"/>
    <s v="Combined Heat and Power, Electric Power"/>
    <x v="9"/>
    <n v="39309"/>
  </r>
  <r>
    <x v="14"/>
    <x v="15"/>
    <s v="Combined Heat and Power, Electric Power"/>
    <x v="4"/>
    <n v="157"/>
  </r>
  <r>
    <x v="14"/>
    <x v="15"/>
    <s v="Combined Heat and Power, Commercial Power"/>
    <x v="0"/>
    <n v="255893"/>
  </r>
  <r>
    <x v="14"/>
    <x v="15"/>
    <s v="Combined Heat and Power, Commercial Power"/>
    <x v="1"/>
    <n v="203283"/>
  </r>
  <r>
    <x v="14"/>
    <x v="15"/>
    <s v="Combined Heat and Power, Commercial Power"/>
    <x v="3"/>
    <n v="11916"/>
  </r>
  <r>
    <x v="14"/>
    <x v="15"/>
    <s v="Combined Heat and Power, Commercial Power"/>
    <x v="12"/>
    <n v="17751"/>
  </r>
  <r>
    <x v="14"/>
    <x v="15"/>
    <s v="Combined Heat and Power, Commercial Power"/>
    <x v="8"/>
    <n v="21696"/>
  </r>
  <r>
    <x v="14"/>
    <x v="15"/>
    <s v="Combined Heat and Power, Commercial Power"/>
    <x v="4"/>
    <n v="1248"/>
  </r>
  <r>
    <x v="14"/>
    <x v="16"/>
    <s v="Total Electric Power Industry"/>
    <x v="0"/>
    <n v="46782659"/>
  </r>
  <r>
    <x v="14"/>
    <x v="16"/>
    <s v="Total Electric Power Industry"/>
    <x v="1"/>
    <n v="34593346"/>
  </r>
  <r>
    <x v="14"/>
    <x v="16"/>
    <s v="Total Electric Power Industry"/>
    <x v="2"/>
    <n v="12547"/>
  </r>
  <r>
    <x v="14"/>
    <x v="16"/>
    <s v="Total Electric Power Industry"/>
    <x v="3"/>
    <n v="831634"/>
  </r>
  <r>
    <x v="14"/>
    <x v="16"/>
    <s v="Total Electric Power Industry"/>
    <x v="7"/>
    <n v="10132736"/>
  </r>
  <r>
    <x v="14"/>
    <x v="16"/>
    <s v="Total Electric Power Industry"/>
    <x v="4"/>
    <n v="853763"/>
  </r>
  <r>
    <x v="14"/>
    <x v="16"/>
    <s v="Total Electric Power Industry"/>
    <x v="5"/>
    <n v="358632"/>
  </r>
  <r>
    <x v="14"/>
    <x v="16"/>
    <s v="Electric Generators, Independent Power Producers"/>
    <x v="0"/>
    <n v="368344"/>
  </r>
  <r>
    <x v="14"/>
    <x v="16"/>
    <s v="Electric Generators, Independent Power Producers"/>
    <x v="2"/>
    <n v="12547"/>
  </r>
  <r>
    <x v="14"/>
    <x v="16"/>
    <s v="Electric Generators, Independent Power Producers"/>
    <x v="5"/>
    <n v="355797"/>
  </r>
  <r>
    <x v="14"/>
    <x v="16"/>
    <s v="Electric Generators, Electric Utilities"/>
    <x v="0"/>
    <n v="46409328"/>
  </r>
  <r>
    <x v="14"/>
    <x v="16"/>
    <s v="Electric Generators, Electric Utilities"/>
    <x v="1"/>
    <n v="34593346"/>
  </r>
  <r>
    <x v="14"/>
    <x v="16"/>
    <s v="Electric Generators, Electric Utilities"/>
    <x v="3"/>
    <n v="826668"/>
  </r>
  <r>
    <x v="14"/>
    <x v="16"/>
    <s v="Electric Generators, Electric Utilities"/>
    <x v="7"/>
    <n v="10132736"/>
  </r>
  <r>
    <x v="14"/>
    <x v="16"/>
    <s v="Electric Generators, Electric Utilities"/>
    <x v="4"/>
    <n v="853742"/>
  </r>
  <r>
    <x v="14"/>
    <x v="16"/>
    <s v="Electric Generators, Electric Utilities"/>
    <x v="5"/>
    <n v="2835"/>
  </r>
  <r>
    <x v="14"/>
    <x v="16"/>
    <s v="Combined Heat and Power, Industrial Power"/>
    <x v="0"/>
    <n v="4298"/>
  </r>
  <r>
    <x v="14"/>
    <x v="16"/>
    <s v="Combined Heat and Power, Industrial Power"/>
    <x v="3"/>
    <n v="4298"/>
  </r>
  <r>
    <x v="14"/>
    <x v="16"/>
    <s v="Combined Heat and Power, Industrial Power"/>
    <x v="4"/>
    <n v="0"/>
  </r>
  <r>
    <x v="14"/>
    <x v="16"/>
    <s v="Combined Heat and Power, Commercial Power"/>
    <x v="0"/>
    <n v="689"/>
  </r>
  <r>
    <x v="14"/>
    <x v="16"/>
    <s v="Combined Heat and Power, Commercial Power"/>
    <x v="3"/>
    <n v="668"/>
  </r>
  <r>
    <x v="14"/>
    <x v="16"/>
    <s v="Combined Heat and Power, Commercial Power"/>
    <x v="4"/>
    <n v="21"/>
  </r>
  <r>
    <x v="14"/>
    <x v="17"/>
    <s v="Total Electric Power Industry"/>
    <x v="0"/>
    <n v="94529947"/>
  </r>
  <r>
    <x v="14"/>
    <x v="17"/>
    <s v="Total Electric Power Industry"/>
    <x v="1"/>
    <n v="86120511"/>
  </r>
  <r>
    <x v="14"/>
    <x v="17"/>
    <s v="Total Electric Power Industry"/>
    <x v="2"/>
    <n v="3780251"/>
  </r>
  <r>
    <x v="14"/>
    <x v="17"/>
    <s v="Total Electric Power Industry"/>
    <x v="3"/>
    <n v="579840"/>
  </r>
  <r>
    <x v="14"/>
    <x v="17"/>
    <s v="Total Electric Power Industry"/>
    <x v="12"/>
    <n v="15528"/>
  </r>
  <r>
    <x v="14"/>
    <x v="17"/>
    <s v="Total Electric Power Industry"/>
    <x v="8"/>
    <n v="61899"/>
  </r>
  <r>
    <x v="14"/>
    <x v="17"/>
    <s v="Total Electric Power Industry"/>
    <x v="9"/>
    <n v="1701"/>
  </r>
  <r>
    <x v="14"/>
    <x v="17"/>
    <s v="Total Electric Power Industry"/>
    <x v="4"/>
    <n v="3621099"/>
  </r>
  <r>
    <x v="14"/>
    <x v="17"/>
    <s v="Total Electric Power Industry"/>
    <x v="6"/>
    <n v="349119"/>
  </r>
  <r>
    <x v="14"/>
    <x v="17"/>
    <s v="Electric Generators, Independent Power Producers"/>
    <x v="0"/>
    <n v="11096948"/>
  </r>
  <r>
    <x v="14"/>
    <x v="17"/>
    <s v="Electric Generators, Independent Power Producers"/>
    <x v="1"/>
    <n v="7546083"/>
  </r>
  <r>
    <x v="14"/>
    <x v="17"/>
    <s v="Electric Generators, Independent Power Producers"/>
    <x v="3"/>
    <n v="23417"/>
  </r>
  <r>
    <x v="14"/>
    <x v="17"/>
    <s v="Electric Generators, Independent Power Producers"/>
    <x v="4"/>
    <n v="3527448"/>
  </r>
  <r>
    <x v="14"/>
    <x v="17"/>
    <s v="Electric Generators, Electric Utilities"/>
    <x v="0"/>
    <n v="82921402"/>
  </r>
  <r>
    <x v="14"/>
    <x v="17"/>
    <s v="Electric Generators, Electric Utilities"/>
    <x v="1"/>
    <n v="78574428"/>
  </r>
  <r>
    <x v="14"/>
    <x v="17"/>
    <s v="Electric Generators, Electric Utilities"/>
    <x v="2"/>
    <n v="3780251"/>
  </r>
  <r>
    <x v="14"/>
    <x v="17"/>
    <s v="Electric Generators, Electric Utilities"/>
    <x v="3"/>
    <n v="398814"/>
  </r>
  <r>
    <x v="14"/>
    <x v="17"/>
    <s v="Electric Generators, Electric Utilities"/>
    <x v="12"/>
    <n v="15528"/>
  </r>
  <r>
    <x v="14"/>
    <x v="17"/>
    <s v="Electric Generators, Electric Utilities"/>
    <x v="8"/>
    <n v="57029"/>
  </r>
  <r>
    <x v="14"/>
    <x v="17"/>
    <s v="Electric Generators, Electric Utilities"/>
    <x v="9"/>
    <n v="1701"/>
  </r>
  <r>
    <x v="14"/>
    <x v="17"/>
    <s v="Electric Generators, Electric Utilities"/>
    <x v="4"/>
    <n v="93651"/>
  </r>
  <r>
    <x v="14"/>
    <x v="17"/>
    <s v="Combined Heat and Power, Industrial Power"/>
    <x v="0"/>
    <n v="511597"/>
  </r>
  <r>
    <x v="14"/>
    <x v="17"/>
    <s v="Combined Heat and Power, Industrial Power"/>
    <x v="3"/>
    <n v="157609"/>
  </r>
  <r>
    <x v="14"/>
    <x v="17"/>
    <s v="Combined Heat and Power, Industrial Power"/>
    <x v="8"/>
    <n v="4870"/>
  </r>
  <r>
    <x v="14"/>
    <x v="17"/>
    <s v="Combined Heat and Power, Industrial Power"/>
    <x v="6"/>
    <n v="349119"/>
  </r>
  <r>
    <x v="14"/>
    <x v="18"/>
    <s v="Total Electric Power Industry"/>
    <x v="0"/>
    <n v="98172309"/>
  </r>
  <r>
    <x v="14"/>
    <x v="18"/>
    <s v="Total Electric Power Industry"/>
    <x v="1"/>
    <n v="23657811"/>
  </r>
  <r>
    <x v="14"/>
    <x v="18"/>
    <s v="Total Electric Power Industry"/>
    <x v="2"/>
    <n v="1098825"/>
  </r>
  <r>
    <x v="14"/>
    <x v="18"/>
    <s v="Total Electric Power Industry"/>
    <x v="3"/>
    <n v="46169538"/>
  </r>
  <r>
    <x v="14"/>
    <x v="18"/>
    <s v="Total Electric Power Industry"/>
    <x v="7"/>
    <n v="17079981"/>
  </r>
  <r>
    <x v="14"/>
    <x v="18"/>
    <s v="Total Electric Power Industry"/>
    <x v="12"/>
    <n v="763590"/>
  </r>
  <r>
    <x v="14"/>
    <x v="18"/>
    <s v="Total Electric Power Industry"/>
    <x v="8"/>
    <n v="76571"/>
  </r>
  <r>
    <x v="14"/>
    <x v="18"/>
    <s v="Total Electric Power Industry"/>
    <x v="9"/>
    <n v="2532857"/>
  </r>
  <r>
    <x v="14"/>
    <x v="18"/>
    <s v="Total Electric Power Industry"/>
    <x v="4"/>
    <n v="3903315"/>
  </r>
  <r>
    <x v="14"/>
    <x v="18"/>
    <s v="Total Electric Power Industry"/>
    <x v="6"/>
    <n v="2889820"/>
  </r>
  <r>
    <x v="14"/>
    <x v="18"/>
    <s v="Electric Generators, Independent Power Producers"/>
    <x v="0"/>
    <n v="18810750"/>
  </r>
  <r>
    <x v="14"/>
    <x v="18"/>
    <s v="Electric Generators, Independent Power Producers"/>
    <x v="1"/>
    <n v="12289357"/>
  </r>
  <r>
    <x v="14"/>
    <x v="18"/>
    <s v="Electric Generators, Independent Power Producers"/>
    <x v="2"/>
    <n v="1098825"/>
  </r>
  <r>
    <x v="14"/>
    <x v="18"/>
    <s v="Electric Generators, Independent Power Producers"/>
    <x v="3"/>
    <n v="5334742"/>
  </r>
  <r>
    <x v="14"/>
    <x v="18"/>
    <s v="Electric Generators, Independent Power Producers"/>
    <x v="8"/>
    <n v="73373"/>
  </r>
  <r>
    <x v="14"/>
    <x v="18"/>
    <s v="Electric Generators, Independent Power Producers"/>
    <x v="4"/>
    <n v="14453"/>
  </r>
  <r>
    <x v="14"/>
    <x v="18"/>
    <s v="Electric Generators, Electric Utilities"/>
    <x v="0"/>
    <n v="47603602"/>
  </r>
  <r>
    <x v="14"/>
    <x v="18"/>
    <s v="Electric Generators, Electric Utilities"/>
    <x v="1"/>
    <n v="11324239"/>
  </r>
  <r>
    <x v="14"/>
    <x v="18"/>
    <s v="Electric Generators, Electric Utilities"/>
    <x v="3"/>
    <n v="15138928"/>
  </r>
  <r>
    <x v="14"/>
    <x v="18"/>
    <s v="Electric Generators, Electric Utilities"/>
    <x v="7"/>
    <n v="17079981"/>
  </r>
  <r>
    <x v="14"/>
    <x v="18"/>
    <s v="Electric Generators, Electric Utilities"/>
    <x v="9"/>
    <n v="366934"/>
  </r>
  <r>
    <x v="14"/>
    <x v="18"/>
    <s v="Electric Generators, Electric Utilities"/>
    <x v="4"/>
    <n v="3693520"/>
  </r>
  <r>
    <x v="14"/>
    <x v="18"/>
    <s v="Combined Heat and Power, Industrial Power"/>
    <x v="0"/>
    <n v="26505085"/>
  </r>
  <r>
    <x v="14"/>
    <x v="18"/>
    <s v="Combined Heat and Power, Industrial Power"/>
    <x v="1"/>
    <n v="44215"/>
  </r>
  <r>
    <x v="14"/>
    <x v="18"/>
    <s v="Combined Heat and Power, Industrial Power"/>
    <x v="3"/>
    <n v="20565741"/>
  </r>
  <r>
    <x v="14"/>
    <x v="18"/>
    <s v="Combined Heat and Power, Industrial Power"/>
    <x v="12"/>
    <n v="763590"/>
  </r>
  <r>
    <x v="14"/>
    <x v="18"/>
    <s v="Combined Heat and Power, Industrial Power"/>
    <x v="8"/>
    <n v="3198"/>
  </r>
  <r>
    <x v="14"/>
    <x v="18"/>
    <s v="Combined Heat and Power, Industrial Power"/>
    <x v="9"/>
    <n v="2043178"/>
  </r>
  <r>
    <x v="14"/>
    <x v="18"/>
    <s v="Combined Heat and Power, Industrial Power"/>
    <x v="4"/>
    <n v="195342"/>
  </r>
  <r>
    <x v="14"/>
    <x v="18"/>
    <s v="Combined Heat and Power, Industrial Power"/>
    <x v="6"/>
    <n v="2889820"/>
  </r>
  <r>
    <x v="14"/>
    <x v="18"/>
    <s v="Combined Heat and Power, Electric Power"/>
    <x v="0"/>
    <n v="5233217"/>
  </r>
  <r>
    <x v="14"/>
    <x v="18"/>
    <s v="Combined Heat and Power, Electric Power"/>
    <x v="3"/>
    <n v="5110471"/>
  </r>
  <r>
    <x v="14"/>
    <x v="18"/>
    <s v="Combined Heat and Power, Electric Power"/>
    <x v="9"/>
    <n v="122746"/>
  </r>
  <r>
    <x v="14"/>
    <x v="18"/>
    <s v="Combined Heat and Power, Commercial Power"/>
    <x v="0"/>
    <n v="19655"/>
  </r>
  <r>
    <x v="14"/>
    <x v="18"/>
    <s v="Combined Heat and Power, Commercial Power"/>
    <x v="3"/>
    <n v="19655"/>
  </r>
  <r>
    <x v="14"/>
    <x v="19"/>
    <s v="Total Electric Power Industry"/>
    <x v="0"/>
    <n v="47500483"/>
  </r>
  <r>
    <x v="14"/>
    <x v="19"/>
    <s v="Total Electric Power Industry"/>
    <x v="1"/>
    <n v="10526362"/>
  </r>
  <r>
    <x v="14"/>
    <x v="19"/>
    <s v="Total Electric Power Industry"/>
    <x v="2"/>
    <n v="998281"/>
  </r>
  <r>
    <x v="14"/>
    <x v="19"/>
    <s v="Total Electric Power Industry"/>
    <x v="3"/>
    <n v="20971721"/>
  </r>
  <r>
    <x v="14"/>
    <x v="19"/>
    <s v="Total Electric Power Industry"/>
    <x v="7"/>
    <n v="5938600"/>
  </r>
  <r>
    <x v="14"/>
    <x v="19"/>
    <s v="Total Electric Power Industry"/>
    <x v="12"/>
    <n v="800786"/>
  </r>
  <r>
    <x v="14"/>
    <x v="19"/>
    <s v="Total Electric Power Industry"/>
    <x v="8"/>
    <n v="1115565"/>
  </r>
  <r>
    <x v="14"/>
    <x v="19"/>
    <s v="Total Electric Power Industry"/>
    <x v="4"/>
    <n v="7533158"/>
  </r>
  <r>
    <x v="14"/>
    <x v="19"/>
    <s v="Total Electric Power Industry"/>
    <x v="10"/>
    <n v="-498326"/>
  </r>
  <r>
    <x v="14"/>
    <x v="19"/>
    <s v="Total Electric Power Industry"/>
    <x v="6"/>
    <n v="114336"/>
  </r>
  <r>
    <x v="14"/>
    <x v="19"/>
    <s v="Electric Generators, Independent Power Producers"/>
    <x v="0"/>
    <n v="41036127"/>
  </r>
  <r>
    <x v="14"/>
    <x v="19"/>
    <s v="Electric Generators, Independent Power Producers"/>
    <x v="1"/>
    <n v="9583508"/>
  </r>
  <r>
    <x v="14"/>
    <x v="19"/>
    <s v="Electric Generators, Independent Power Producers"/>
    <x v="2"/>
    <n v="762232"/>
  </r>
  <r>
    <x v="14"/>
    <x v="19"/>
    <s v="Electric Generators, Independent Power Producers"/>
    <x v="3"/>
    <n v="16462217"/>
  </r>
  <r>
    <x v="14"/>
    <x v="19"/>
    <s v="Electric Generators, Independent Power Producers"/>
    <x v="7"/>
    <n v="5938600"/>
  </r>
  <r>
    <x v="14"/>
    <x v="19"/>
    <s v="Electric Generators, Independent Power Producers"/>
    <x v="12"/>
    <n v="800786"/>
  </r>
  <r>
    <x v="14"/>
    <x v="19"/>
    <s v="Electric Generators, Independent Power Producers"/>
    <x v="8"/>
    <n v="1100028"/>
  </r>
  <r>
    <x v="14"/>
    <x v="19"/>
    <s v="Electric Generators, Independent Power Producers"/>
    <x v="4"/>
    <n v="6772745"/>
  </r>
  <r>
    <x v="14"/>
    <x v="19"/>
    <s v="Electric Generators, Independent Power Producers"/>
    <x v="10"/>
    <n v="-498326"/>
  </r>
  <r>
    <x v="14"/>
    <x v="19"/>
    <s v="Electric Generators, Independent Power Producers"/>
    <x v="6"/>
    <n v="114336"/>
  </r>
  <r>
    <x v="14"/>
    <x v="19"/>
    <s v="Electric Generators, Electric Utilities"/>
    <x v="0"/>
    <n v="1524169"/>
  </r>
  <r>
    <x v="14"/>
    <x v="19"/>
    <s v="Electric Generators, Electric Utilities"/>
    <x v="1"/>
    <n v="903789"/>
  </r>
  <r>
    <x v="14"/>
    <x v="19"/>
    <s v="Electric Generators, Electric Utilities"/>
    <x v="2"/>
    <n v="230973"/>
  </r>
  <r>
    <x v="14"/>
    <x v="19"/>
    <s v="Electric Generators, Electric Utilities"/>
    <x v="3"/>
    <n v="98542"/>
  </r>
  <r>
    <x v="14"/>
    <x v="19"/>
    <s v="Electric Generators, Electric Utilities"/>
    <x v="4"/>
    <n v="290865"/>
  </r>
  <r>
    <x v="14"/>
    <x v="19"/>
    <s v="Combined Heat and Power, Industrial Power"/>
    <x v="0"/>
    <n v="314221"/>
  </r>
  <r>
    <x v="14"/>
    <x v="19"/>
    <s v="Combined Heat and Power, Industrial Power"/>
    <x v="1"/>
    <n v="39065"/>
  </r>
  <r>
    <x v="14"/>
    <x v="19"/>
    <s v="Combined Heat and Power, Industrial Power"/>
    <x v="2"/>
    <n v="1659"/>
  </r>
  <r>
    <x v="14"/>
    <x v="19"/>
    <s v="Combined Heat and Power, Industrial Power"/>
    <x v="3"/>
    <n v="108973"/>
  </r>
  <r>
    <x v="14"/>
    <x v="19"/>
    <s v="Combined Heat and Power, Industrial Power"/>
    <x v="12"/>
    <n v="0"/>
  </r>
  <r>
    <x v="14"/>
    <x v="19"/>
    <s v="Combined Heat and Power, Industrial Power"/>
    <x v="4"/>
    <n v="164525"/>
  </r>
  <r>
    <x v="14"/>
    <x v="19"/>
    <s v="Combined Heat and Power, Electric Power"/>
    <x v="0"/>
    <n v="4053401"/>
  </r>
  <r>
    <x v="14"/>
    <x v="19"/>
    <s v="Combined Heat and Power, Electric Power"/>
    <x v="3"/>
    <n v="3977359"/>
  </r>
  <r>
    <x v="14"/>
    <x v="19"/>
    <s v="Combined Heat and Power, Electric Power"/>
    <x v="4"/>
    <n v="76042"/>
  </r>
  <r>
    <x v="14"/>
    <x v="19"/>
    <s v="Combined Heat and Power, Commercial Power"/>
    <x v="0"/>
    <n v="572564"/>
  </r>
  <r>
    <x v="14"/>
    <x v="19"/>
    <s v="Combined Heat and Power, Commercial Power"/>
    <x v="2"/>
    <n v="3417"/>
  </r>
  <r>
    <x v="14"/>
    <x v="19"/>
    <s v="Combined Heat and Power, Commercial Power"/>
    <x v="3"/>
    <n v="324630"/>
  </r>
  <r>
    <x v="14"/>
    <x v="19"/>
    <s v="Combined Heat and Power, Commercial Power"/>
    <x v="8"/>
    <n v="15536"/>
  </r>
  <r>
    <x v="14"/>
    <x v="19"/>
    <s v="Combined Heat and Power, Commercial Power"/>
    <x v="4"/>
    <n v="228980"/>
  </r>
  <r>
    <x v="14"/>
    <x v="20"/>
    <s v="Total Electric Power Industry"/>
    <x v="0"/>
    <n v="52052770"/>
  </r>
  <r>
    <x v="14"/>
    <x v="20"/>
    <s v="Total Electric Power Industry"/>
    <x v="1"/>
    <n v="29195458"/>
  </r>
  <r>
    <x v="14"/>
    <x v="20"/>
    <s v="Total Electric Power Industry"/>
    <x v="2"/>
    <n v="2507521"/>
  </r>
  <r>
    <x v="14"/>
    <x v="20"/>
    <s v="Total Electric Power Industry"/>
    <x v="3"/>
    <n v="1183301"/>
  </r>
  <r>
    <x v="14"/>
    <x v="20"/>
    <s v="Total Electric Power Industry"/>
    <x v="7"/>
    <n v="14580260"/>
  </r>
  <r>
    <x v="14"/>
    <x v="20"/>
    <s v="Total Electric Power Industry"/>
    <x v="12"/>
    <n v="288616"/>
  </r>
  <r>
    <x v="14"/>
    <x v="20"/>
    <s v="Total Electric Power Industry"/>
    <x v="8"/>
    <n v="396824"/>
  </r>
  <r>
    <x v="14"/>
    <x v="20"/>
    <s v="Total Electric Power Industry"/>
    <x v="9"/>
    <n v="411565"/>
  </r>
  <r>
    <x v="14"/>
    <x v="20"/>
    <s v="Total Electric Power Industry"/>
    <x v="4"/>
    <n v="3296842"/>
  </r>
  <r>
    <x v="14"/>
    <x v="20"/>
    <s v="Total Electric Power Industry"/>
    <x v="6"/>
    <n v="192384"/>
  </r>
  <r>
    <x v="14"/>
    <x v="20"/>
    <s v="Electric Generators, Independent Power Producers"/>
    <x v="0"/>
    <n v="48456631"/>
  </r>
  <r>
    <x v="14"/>
    <x v="20"/>
    <s v="Electric Generators, Independent Power Producers"/>
    <x v="1"/>
    <n v="27414065"/>
  </r>
  <r>
    <x v="14"/>
    <x v="20"/>
    <s v="Electric Generators, Independent Power Producers"/>
    <x v="2"/>
    <n v="2507521"/>
  </r>
  <r>
    <x v="14"/>
    <x v="20"/>
    <s v="Electric Generators, Independent Power Producers"/>
    <x v="3"/>
    <n v="398073"/>
  </r>
  <r>
    <x v="14"/>
    <x v="20"/>
    <s v="Electric Generators, Independent Power Producers"/>
    <x v="7"/>
    <n v="14580260"/>
  </r>
  <r>
    <x v="14"/>
    <x v="20"/>
    <s v="Electric Generators, Independent Power Producers"/>
    <x v="12"/>
    <n v="170623"/>
  </r>
  <r>
    <x v="14"/>
    <x v="20"/>
    <s v="Electric Generators, Independent Power Producers"/>
    <x v="8"/>
    <n v="214315"/>
  </r>
  <r>
    <x v="14"/>
    <x v="20"/>
    <s v="Electric Generators, Independent Power Producers"/>
    <x v="4"/>
    <n v="3171774"/>
  </r>
  <r>
    <x v="14"/>
    <x v="20"/>
    <s v="Electric Generators, Electric Utilities"/>
    <x v="0"/>
    <n v="30023"/>
  </r>
  <r>
    <x v="14"/>
    <x v="20"/>
    <s v="Electric Generators, Electric Utilities"/>
    <x v="3"/>
    <n v="0"/>
  </r>
  <r>
    <x v="14"/>
    <x v="20"/>
    <s v="Electric Generators, Electric Utilities"/>
    <x v="4"/>
    <n v="30023"/>
  </r>
  <r>
    <x v="14"/>
    <x v="20"/>
    <s v="Combined Heat and Power, Industrial Power"/>
    <x v="0"/>
    <n v="590670"/>
  </r>
  <r>
    <x v="14"/>
    <x v="20"/>
    <s v="Combined Heat and Power, Industrial Power"/>
    <x v="1"/>
    <n v="274410"/>
  </r>
  <r>
    <x v="14"/>
    <x v="20"/>
    <s v="Combined Heat and Power, Industrial Power"/>
    <x v="3"/>
    <n v="75378"/>
  </r>
  <r>
    <x v="14"/>
    <x v="20"/>
    <s v="Combined Heat and Power, Industrial Power"/>
    <x v="4"/>
    <n v="57786"/>
  </r>
  <r>
    <x v="14"/>
    <x v="20"/>
    <s v="Combined Heat and Power, Industrial Power"/>
    <x v="6"/>
    <n v="183096"/>
  </r>
  <r>
    <x v="14"/>
    <x v="20"/>
    <s v="Combined Heat and Power, Electric Power"/>
    <x v="0"/>
    <n v="2926029"/>
  </r>
  <r>
    <x v="14"/>
    <x v="20"/>
    <s v="Combined Heat and Power, Electric Power"/>
    <x v="1"/>
    <n v="1506983"/>
  </r>
  <r>
    <x v="14"/>
    <x v="20"/>
    <s v="Combined Heat and Power, Electric Power"/>
    <x v="3"/>
    <n v="709850"/>
  </r>
  <r>
    <x v="14"/>
    <x v="20"/>
    <s v="Combined Heat and Power, Electric Power"/>
    <x v="12"/>
    <n v="117752"/>
  </r>
  <r>
    <x v="14"/>
    <x v="20"/>
    <s v="Combined Heat and Power, Electric Power"/>
    <x v="8"/>
    <n v="142963"/>
  </r>
  <r>
    <x v="14"/>
    <x v="20"/>
    <s v="Combined Heat and Power, Electric Power"/>
    <x v="9"/>
    <n v="411565"/>
  </r>
  <r>
    <x v="14"/>
    <x v="20"/>
    <s v="Combined Heat and Power, Electric Power"/>
    <x v="4"/>
    <n v="36916"/>
  </r>
  <r>
    <x v="14"/>
    <x v="20"/>
    <s v="Combined Heat and Power, Commercial Power"/>
    <x v="0"/>
    <n v="49417"/>
  </r>
  <r>
    <x v="14"/>
    <x v="20"/>
    <s v="Combined Heat and Power, Commercial Power"/>
    <x v="3"/>
    <n v="0"/>
  </r>
  <r>
    <x v="14"/>
    <x v="20"/>
    <s v="Combined Heat and Power, Commercial Power"/>
    <x v="12"/>
    <n v="241"/>
  </r>
  <r>
    <x v="14"/>
    <x v="20"/>
    <s v="Combined Heat and Power, Commercial Power"/>
    <x v="8"/>
    <n v="39545"/>
  </r>
  <r>
    <x v="14"/>
    <x v="20"/>
    <s v="Combined Heat and Power, Commercial Power"/>
    <x v="4"/>
    <n v="342"/>
  </r>
  <r>
    <x v="14"/>
    <x v="20"/>
    <s v="Combined Heat and Power, Commercial Power"/>
    <x v="6"/>
    <n v="9288"/>
  </r>
  <r>
    <x v="14"/>
    <x v="21"/>
    <s v="Total Electric Power Industry"/>
    <x v="0"/>
    <n v="19098885"/>
  </r>
  <r>
    <x v="14"/>
    <x v="21"/>
    <s v="Total Electric Power Industry"/>
    <x v="1"/>
    <n v="359410"/>
  </r>
  <r>
    <x v="14"/>
    <x v="21"/>
    <s v="Total Electric Power Industry"/>
    <x v="2"/>
    <n v="3430249"/>
  </r>
  <r>
    <x v="14"/>
    <x v="21"/>
    <s v="Total Electric Power Industry"/>
    <x v="3"/>
    <n v="9832187"/>
  </r>
  <r>
    <x v="14"/>
    <x v="21"/>
    <s v="Total Electric Power Industry"/>
    <x v="12"/>
    <n v="567052"/>
  </r>
  <r>
    <x v="14"/>
    <x v="21"/>
    <s v="Total Electric Power Industry"/>
    <x v="8"/>
    <n v="411080"/>
  </r>
  <r>
    <x v="14"/>
    <x v="21"/>
    <s v="Total Electric Power Industry"/>
    <x v="9"/>
    <n v="38"/>
  </r>
  <r>
    <x v="14"/>
    <x v="21"/>
    <s v="Total Electric Power Industry"/>
    <x v="4"/>
    <n v="1311913"/>
  </r>
  <r>
    <x v="14"/>
    <x v="21"/>
    <s v="Total Electric Power Industry"/>
    <x v="6"/>
    <n v="3186957"/>
  </r>
  <r>
    <x v="14"/>
    <x v="21"/>
    <s v="Electric Generators, Independent Power Producers"/>
    <x v="0"/>
    <n v="12629923"/>
  </r>
  <r>
    <x v="14"/>
    <x v="21"/>
    <s v="Electric Generators, Independent Power Producers"/>
    <x v="2"/>
    <n v="2867071"/>
  </r>
  <r>
    <x v="14"/>
    <x v="21"/>
    <s v="Electric Generators, Independent Power Producers"/>
    <x v="3"/>
    <n v="7799781"/>
  </r>
  <r>
    <x v="14"/>
    <x v="21"/>
    <s v="Electric Generators, Independent Power Producers"/>
    <x v="12"/>
    <n v="102763"/>
  </r>
  <r>
    <x v="14"/>
    <x v="21"/>
    <s v="Electric Generators, Independent Power Producers"/>
    <x v="8"/>
    <n v="125599"/>
  </r>
  <r>
    <x v="14"/>
    <x v="21"/>
    <s v="Electric Generators, Independent Power Producers"/>
    <x v="9"/>
    <n v="38"/>
  </r>
  <r>
    <x v="14"/>
    <x v="21"/>
    <s v="Electric Generators, Independent Power Producers"/>
    <x v="4"/>
    <n v="719480"/>
  </r>
  <r>
    <x v="14"/>
    <x v="21"/>
    <s v="Electric Generators, Independent Power Producers"/>
    <x v="6"/>
    <n v="1015190"/>
  </r>
  <r>
    <x v="14"/>
    <x v="21"/>
    <s v="Electric Generators, Electric Utilities"/>
    <x v="0"/>
    <n v="1121"/>
  </r>
  <r>
    <x v="14"/>
    <x v="21"/>
    <s v="Electric Generators, Electric Utilities"/>
    <x v="4"/>
    <n v="1121"/>
  </r>
  <r>
    <x v="14"/>
    <x v="21"/>
    <s v="Combined Heat and Power, Industrial Power"/>
    <x v="0"/>
    <n v="4892005"/>
  </r>
  <r>
    <x v="14"/>
    <x v="21"/>
    <s v="Combined Heat and Power, Industrial Power"/>
    <x v="1"/>
    <n v="156576"/>
  </r>
  <r>
    <x v="14"/>
    <x v="21"/>
    <s v="Combined Heat and Power, Industrial Power"/>
    <x v="2"/>
    <n v="563178"/>
  </r>
  <r>
    <x v="14"/>
    <x v="21"/>
    <s v="Combined Heat and Power, Industrial Power"/>
    <x v="3"/>
    <n v="1370652"/>
  </r>
  <r>
    <x v="14"/>
    <x v="21"/>
    <s v="Combined Heat and Power, Industrial Power"/>
    <x v="12"/>
    <n v="318191"/>
  </r>
  <r>
    <x v="14"/>
    <x v="21"/>
    <s v="Combined Heat and Power, Industrial Power"/>
    <x v="8"/>
    <n v="179332"/>
  </r>
  <r>
    <x v="14"/>
    <x v="21"/>
    <s v="Combined Heat and Power, Industrial Power"/>
    <x v="4"/>
    <n v="582477"/>
  </r>
  <r>
    <x v="14"/>
    <x v="21"/>
    <s v="Combined Heat and Power, Industrial Power"/>
    <x v="6"/>
    <n v="1721600"/>
  </r>
  <r>
    <x v="14"/>
    <x v="21"/>
    <s v="Combined Heat and Power, Electric Power"/>
    <x v="0"/>
    <n v="1399971"/>
  </r>
  <r>
    <x v="14"/>
    <x v="21"/>
    <s v="Combined Heat and Power, Electric Power"/>
    <x v="1"/>
    <n v="202834"/>
  </r>
  <r>
    <x v="14"/>
    <x v="21"/>
    <s v="Combined Heat and Power, Electric Power"/>
    <x v="3"/>
    <n v="661235"/>
  </r>
  <r>
    <x v="14"/>
    <x v="21"/>
    <s v="Combined Heat and Power, Electric Power"/>
    <x v="12"/>
    <n v="68799"/>
  </r>
  <r>
    <x v="14"/>
    <x v="21"/>
    <s v="Combined Heat and Power, Electric Power"/>
    <x v="8"/>
    <n v="11673"/>
  </r>
  <r>
    <x v="14"/>
    <x v="21"/>
    <s v="Combined Heat and Power, Electric Power"/>
    <x v="4"/>
    <n v="5416"/>
  </r>
  <r>
    <x v="14"/>
    <x v="21"/>
    <s v="Combined Heat and Power, Electric Power"/>
    <x v="6"/>
    <n v="450013"/>
  </r>
  <r>
    <x v="14"/>
    <x v="21"/>
    <s v="Combined Heat and Power, Commercial Power"/>
    <x v="0"/>
    <n v="175866"/>
  </r>
  <r>
    <x v="14"/>
    <x v="21"/>
    <s v="Combined Heat and Power, Commercial Power"/>
    <x v="3"/>
    <n v="519"/>
  </r>
  <r>
    <x v="14"/>
    <x v="21"/>
    <s v="Combined Heat and Power, Commercial Power"/>
    <x v="12"/>
    <n v="77298"/>
  </r>
  <r>
    <x v="14"/>
    <x v="21"/>
    <s v="Combined Heat and Power, Commercial Power"/>
    <x v="8"/>
    <n v="94476"/>
  </r>
  <r>
    <x v="14"/>
    <x v="21"/>
    <s v="Combined Heat and Power, Commercial Power"/>
    <x v="4"/>
    <n v="3419"/>
  </r>
  <r>
    <x v="14"/>
    <x v="21"/>
    <s v="Combined Heat and Power, Commercial Power"/>
    <x v="6"/>
    <n v="154"/>
  </r>
  <r>
    <x v="14"/>
    <x v="22"/>
    <s v="Total Electric Power Industry"/>
    <x v="0"/>
    <n v="118487269"/>
  </r>
  <r>
    <x v="14"/>
    <x v="22"/>
    <s v="Total Electric Power Industry"/>
    <x v="1"/>
    <n v="68606019"/>
  </r>
  <r>
    <x v="14"/>
    <x v="22"/>
    <s v="Total Electric Power Industry"/>
    <x v="2"/>
    <n v="1539584"/>
  </r>
  <r>
    <x v="14"/>
    <x v="22"/>
    <s v="Total Electric Power Industry"/>
    <x v="3"/>
    <n v="14547703"/>
  </r>
  <r>
    <x v="14"/>
    <x v="22"/>
    <s v="Total Electric Power Industry"/>
    <x v="7"/>
    <n v="30561961"/>
  </r>
  <r>
    <x v="14"/>
    <x v="22"/>
    <s v="Total Electric Power Industry"/>
    <x v="12"/>
    <n v="291381"/>
  </r>
  <r>
    <x v="14"/>
    <x v="22"/>
    <s v="Total Electric Power Industry"/>
    <x v="8"/>
    <n v="689936"/>
  </r>
  <r>
    <x v="14"/>
    <x v="22"/>
    <s v="Total Electric Power Industry"/>
    <x v="9"/>
    <n v="598747"/>
  </r>
  <r>
    <x v="14"/>
    <x v="22"/>
    <s v="Total Electric Power Industry"/>
    <x v="4"/>
    <n v="896409"/>
  </r>
  <r>
    <x v="14"/>
    <x v="22"/>
    <s v="Total Electric Power Industry"/>
    <x v="10"/>
    <n v="-1112984"/>
  </r>
  <r>
    <x v="14"/>
    <x v="22"/>
    <s v="Total Electric Power Industry"/>
    <x v="5"/>
    <n v="1875"/>
  </r>
  <r>
    <x v="14"/>
    <x v="22"/>
    <s v="Total Electric Power Industry"/>
    <x v="6"/>
    <n v="1866638"/>
  </r>
  <r>
    <x v="14"/>
    <x v="22"/>
    <s v="Electric Generators, Independent Power Producers"/>
    <x v="0"/>
    <n v="2560189"/>
  </r>
  <r>
    <x v="14"/>
    <x v="22"/>
    <s v="Electric Generators, Independent Power Producers"/>
    <x v="1"/>
    <n v="37922"/>
  </r>
  <r>
    <x v="14"/>
    <x v="22"/>
    <s v="Electric Generators, Independent Power Producers"/>
    <x v="2"/>
    <n v="89152"/>
  </r>
  <r>
    <x v="14"/>
    <x v="22"/>
    <s v="Electric Generators, Independent Power Producers"/>
    <x v="3"/>
    <n v="801002"/>
  </r>
  <r>
    <x v="14"/>
    <x v="22"/>
    <s v="Electric Generators, Independent Power Producers"/>
    <x v="12"/>
    <n v="76924"/>
  </r>
  <r>
    <x v="14"/>
    <x v="22"/>
    <s v="Electric Generators, Independent Power Producers"/>
    <x v="8"/>
    <n v="470523"/>
  </r>
  <r>
    <x v="14"/>
    <x v="22"/>
    <s v="Electric Generators, Independent Power Producers"/>
    <x v="9"/>
    <n v="0"/>
  </r>
  <r>
    <x v="14"/>
    <x v="22"/>
    <s v="Electric Generators, Independent Power Producers"/>
    <x v="4"/>
    <n v="155"/>
  </r>
  <r>
    <x v="14"/>
    <x v="22"/>
    <s v="Electric Generators, Independent Power Producers"/>
    <x v="5"/>
    <n v="1875"/>
  </r>
  <r>
    <x v="14"/>
    <x v="22"/>
    <s v="Electric Generators, Independent Power Producers"/>
    <x v="6"/>
    <n v="1082636"/>
  </r>
  <r>
    <x v="14"/>
    <x v="22"/>
    <s v="Electric Generators, Electric Utilities"/>
    <x v="0"/>
    <n v="99608512"/>
  </r>
  <r>
    <x v="14"/>
    <x v="22"/>
    <s v="Electric Generators, Electric Utilities"/>
    <x v="1"/>
    <n v="67253690"/>
  </r>
  <r>
    <x v="14"/>
    <x v="22"/>
    <s v="Electric Generators, Electric Utilities"/>
    <x v="2"/>
    <n v="1420178"/>
  </r>
  <r>
    <x v="14"/>
    <x v="22"/>
    <s v="Electric Generators, Electric Utilities"/>
    <x v="3"/>
    <n v="735011"/>
  </r>
  <r>
    <x v="14"/>
    <x v="22"/>
    <s v="Electric Generators, Electric Utilities"/>
    <x v="7"/>
    <n v="30561961"/>
  </r>
  <r>
    <x v="14"/>
    <x v="22"/>
    <s v="Electric Generators, Electric Utilities"/>
    <x v="12"/>
    <n v="34693"/>
  </r>
  <r>
    <x v="14"/>
    <x v="22"/>
    <s v="Electric Generators, Electric Utilities"/>
    <x v="9"/>
    <n v="1082"/>
  </r>
  <r>
    <x v="14"/>
    <x v="22"/>
    <s v="Electric Generators, Electric Utilities"/>
    <x v="4"/>
    <n v="714881"/>
  </r>
  <r>
    <x v="14"/>
    <x v="22"/>
    <s v="Electric Generators, Electric Utilities"/>
    <x v="10"/>
    <n v="-1112984"/>
  </r>
  <r>
    <x v="14"/>
    <x v="22"/>
    <s v="Combined Heat and Power, Industrial Power"/>
    <x v="0"/>
    <n v="1877911"/>
  </r>
  <r>
    <x v="14"/>
    <x v="22"/>
    <s v="Combined Heat and Power, Industrial Power"/>
    <x v="1"/>
    <n v="631528"/>
  </r>
  <r>
    <x v="14"/>
    <x v="22"/>
    <s v="Combined Heat and Power, Industrial Power"/>
    <x v="2"/>
    <n v="30254"/>
  </r>
  <r>
    <x v="14"/>
    <x v="22"/>
    <s v="Combined Heat and Power, Industrial Power"/>
    <x v="3"/>
    <n v="284810"/>
  </r>
  <r>
    <x v="14"/>
    <x v="22"/>
    <s v="Combined Heat and Power, Industrial Power"/>
    <x v="8"/>
    <n v="2123"/>
  </r>
  <r>
    <x v="14"/>
    <x v="22"/>
    <s v="Combined Heat and Power, Industrial Power"/>
    <x v="4"/>
    <n v="170608"/>
  </r>
  <r>
    <x v="14"/>
    <x v="22"/>
    <s v="Combined Heat and Power, Industrial Power"/>
    <x v="6"/>
    <n v="758587"/>
  </r>
  <r>
    <x v="14"/>
    <x v="22"/>
    <s v="Combined Heat and Power, Electric Power"/>
    <x v="0"/>
    <n v="13904316"/>
  </r>
  <r>
    <x v="14"/>
    <x v="22"/>
    <s v="Combined Heat and Power, Electric Power"/>
    <x v="1"/>
    <n v="457726"/>
  </r>
  <r>
    <x v="14"/>
    <x v="22"/>
    <s v="Combined Heat and Power, Electric Power"/>
    <x v="3"/>
    <n v="12692413"/>
  </r>
  <r>
    <x v="14"/>
    <x v="22"/>
    <s v="Combined Heat and Power, Electric Power"/>
    <x v="12"/>
    <n v="56365"/>
  </r>
  <r>
    <x v="14"/>
    <x v="22"/>
    <s v="Combined Heat and Power, Electric Power"/>
    <x v="8"/>
    <n v="66551"/>
  </r>
  <r>
    <x v="14"/>
    <x v="22"/>
    <s v="Combined Heat and Power, Electric Power"/>
    <x v="9"/>
    <n v="597665"/>
  </r>
  <r>
    <x v="14"/>
    <x v="22"/>
    <s v="Combined Heat and Power, Electric Power"/>
    <x v="4"/>
    <n v="10753"/>
  </r>
  <r>
    <x v="14"/>
    <x v="22"/>
    <s v="Combined Heat and Power, Electric Power"/>
    <x v="6"/>
    <n v="22844"/>
  </r>
  <r>
    <x v="14"/>
    <x v="22"/>
    <s v="Combined Heat and Power, Commercial Power"/>
    <x v="0"/>
    <n v="536342"/>
  </r>
  <r>
    <x v="14"/>
    <x v="22"/>
    <s v="Combined Heat and Power, Commercial Power"/>
    <x v="1"/>
    <n v="225153"/>
  </r>
  <r>
    <x v="14"/>
    <x v="22"/>
    <s v="Combined Heat and Power, Commercial Power"/>
    <x v="3"/>
    <n v="34467"/>
  </r>
  <r>
    <x v="14"/>
    <x v="22"/>
    <s v="Combined Heat and Power, Commercial Power"/>
    <x v="12"/>
    <n v="123399"/>
  </r>
  <r>
    <x v="14"/>
    <x v="22"/>
    <s v="Combined Heat and Power, Commercial Power"/>
    <x v="8"/>
    <n v="150739"/>
  </r>
  <r>
    <x v="14"/>
    <x v="22"/>
    <s v="Combined Heat and Power, Commercial Power"/>
    <x v="4"/>
    <n v="12"/>
  </r>
  <r>
    <x v="14"/>
    <x v="22"/>
    <s v="Combined Heat and Power, Commercial Power"/>
    <x v="6"/>
    <n v="2571"/>
  </r>
  <r>
    <x v="14"/>
    <x v="23"/>
    <s v="Total Electric Power Industry"/>
    <x v="0"/>
    <n v="52364127"/>
  </r>
  <r>
    <x v="14"/>
    <x v="23"/>
    <s v="Total Electric Power Industry"/>
    <x v="1"/>
    <n v="34000208"/>
  </r>
  <r>
    <x v="14"/>
    <x v="23"/>
    <s v="Total Electric Power Industry"/>
    <x v="2"/>
    <n v="738311"/>
  </r>
  <r>
    <x v="14"/>
    <x v="23"/>
    <s v="Total Electric Power Industry"/>
    <x v="3"/>
    <n v="1457584"/>
  </r>
  <r>
    <x v="14"/>
    <x v="23"/>
    <s v="Total Electric Power Industry"/>
    <x v="7"/>
    <n v="13295502"/>
  </r>
  <r>
    <x v="14"/>
    <x v="23"/>
    <s v="Total Electric Power Industry"/>
    <x v="12"/>
    <n v="292021"/>
  </r>
  <r>
    <x v="14"/>
    <x v="23"/>
    <s v="Total Electric Power Industry"/>
    <x v="8"/>
    <n v="332278"/>
  </r>
  <r>
    <x v="14"/>
    <x v="23"/>
    <s v="Total Electric Power Industry"/>
    <x v="4"/>
    <n v="783450"/>
  </r>
  <r>
    <x v="14"/>
    <x v="23"/>
    <s v="Total Electric Power Industry"/>
    <x v="5"/>
    <n v="812371"/>
  </r>
  <r>
    <x v="14"/>
    <x v="23"/>
    <s v="Total Electric Power Industry"/>
    <x v="6"/>
    <n v="652401"/>
  </r>
  <r>
    <x v="14"/>
    <x v="23"/>
    <s v="Electric Generators, Independent Power Producers"/>
    <x v="0"/>
    <n v="2792249"/>
  </r>
  <r>
    <x v="14"/>
    <x v="23"/>
    <s v="Electric Generators, Independent Power Producers"/>
    <x v="1"/>
    <n v="1504245"/>
  </r>
  <r>
    <x v="14"/>
    <x v="23"/>
    <s v="Electric Generators, Independent Power Producers"/>
    <x v="2"/>
    <n v="57051"/>
  </r>
  <r>
    <x v="14"/>
    <x v="23"/>
    <s v="Electric Generators, Independent Power Producers"/>
    <x v="3"/>
    <n v="27212"/>
  </r>
  <r>
    <x v="14"/>
    <x v="23"/>
    <s v="Electric Generators, Independent Power Producers"/>
    <x v="12"/>
    <n v="101039"/>
  </r>
  <r>
    <x v="14"/>
    <x v="23"/>
    <s v="Electric Generators, Independent Power Producers"/>
    <x v="8"/>
    <n v="199254"/>
  </r>
  <r>
    <x v="14"/>
    <x v="23"/>
    <s v="Electric Generators, Independent Power Producers"/>
    <x v="4"/>
    <n v="2055"/>
  </r>
  <r>
    <x v="14"/>
    <x v="23"/>
    <s v="Electric Generators, Independent Power Producers"/>
    <x v="5"/>
    <n v="809291"/>
  </r>
  <r>
    <x v="14"/>
    <x v="23"/>
    <s v="Electric Generators, Independent Power Producers"/>
    <x v="6"/>
    <n v="92102"/>
  </r>
  <r>
    <x v="14"/>
    <x v="23"/>
    <s v="Electric Generators, Electric Utilities"/>
    <x v="0"/>
    <n v="47232462"/>
  </r>
  <r>
    <x v="14"/>
    <x v="23"/>
    <s v="Electric Generators, Electric Utilities"/>
    <x v="1"/>
    <n v="31477117"/>
  </r>
  <r>
    <x v="14"/>
    <x v="23"/>
    <s v="Electric Generators, Electric Utilities"/>
    <x v="2"/>
    <n v="549598"/>
  </r>
  <r>
    <x v="14"/>
    <x v="23"/>
    <s v="Electric Generators, Electric Utilities"/>
    <x v="3"/>
    <n v="923557"/>
  </r>
  <r>
    <x v="14"/>
    <x v="23"/>
    <s v="Electric Generators, Electric Utilities"/>
    <x v="7"/>
    <n v="13295502"/>
  </r>
  <r>
    <x v="14"/>
    <x v="23"/>
    <s v="Electric Generators, Electric Utilities"/>
    <x v="12"/>
    <n v="96975"/>
  </r>
  <r>
    <x v="14"/>
    <x v="23"/>
    <s v="Electric Generators, Electric Utilities"/>
    <x v="8"/>
    <n v="118524"/>
  </r>
  <r>
    <x v="14"/>
    <x v="23"/>
    <s v="Electric Generators, Electric Utilities"/>
    <x v="4"/>
    <n v="752362"/>
  </r>
  <r>
    <x v="14"/>
    <x v="23"/>
    <s v="Electric Generators, Electric Utilities"/>
    <x v="5"/>
    <n v="3080"/>
  </r>
  <r>
    <x v="14"/>
    <x v="23"/>
    <s v="Electric Generators, Electric Utilities"/>
    <x v="6"/>
    <n v="15747"/>
  </r>
  <r>
    <x v="14"/>
    <x v="23"/>
    <s v="Combined Heat and Power, Industrial Power"/>
    <x v="0"/>
    <n v="1923637"/>
  </r>
  <r>
    <x v="14"/>
    <x v="23"/>
    <s v="Combined Heat and Power, Industrial Power"/>
    <x v="1"/>
    <n v="1018846"/>
  </r>
  <r>
    <x v="14"/>
    <x v="23"/>
    <s v="Combined Heat and Power, Industrial Power"/>
    <x v="2"/>
    <n v="131662"/>
  </r>
  <r>
    <x v="14"/>
    <x v="23"/>
    <s v="Combined Heat and Power, Industrial Power"/>
    <x v="3"/>
    <n v="126628"/>
  </r>
  <r>
    <x v="14"/>
    <x v="23"/>
    <s v="Combined Heat and Power, Industrial Power"/>
    <x v="12"/>
    <n v="85425"/>
  </r>
  <r>
    <x v="14"/>
    <x v="23"/>
    <s v="Combined Heat and Power, Industrial Power"/>
    <x v="8"/>
    <n v="4009"/>
  </r>
  <r>
    <x v="14"/>
    <x v="23"/>
    <s v="Combined Heat and Power, Industrial Power"/>
    <x v="4"/>
    <n v="12514"/>
  </r>
  <r>
    <x v="14"/>
    <x v="23"/>
    <s v="Combined Heat and Power, Industrial Power"/>
    <x v="6"/>
    <n v="544553"/>
  </r>
  <r>
    <x v="14"/>
    <x v="23"/>
    <s v="Combined Heat and Power, Electric Power"/>
    <x v="0"/>
    <n v="308692"/>
  </r>
  <r>
    <x v="14"/>
    <x v="23"/>
    <s v="Combined Heat and Power, Electric Power"/>
    <x v="3"/>
    <n v="301008"/>
  </r>
  <r>
    <x v="14"/>
    <x v="23"/>
    <s v="Combined Heat and Power, Electric Power"/>
    <x v="4"/>
    <n v="7684"/>
  </r>
  <r>
    <x v="14"/>
    <x v="23"/>
    <s v="Combined Heat and Power, Commercial Power"/>
    <x v="0"/>
    <n v="107087"/>
  </r>
  <r>
    <x v="14"/>
    <x v="23"/>
    <s v="Combined Heat and Power, Commercial Power"/>
    <x v="3"/>
    <n v="79179"/>
  </r>
  <r>
    <x v="14"/>
    <x v="23"/>
    <s v="Combined Heat and Power, Commercial Power"/>
    <x v="12"/>
    <n v="8583"/>
  </r>
  <r>
    <x v="14"/>
    <x v="23"/>
    <s v="Combined Heat and Power, Commercial Power"/>
    <x v="8"/>
    <n v="10490"/>
  </r>
  <r>
    <x v="14"/>
    <x v="23"/>
    <s v="Combined Heat and Power, Commercial Power"/>
    <x v="4"/>
    <n v="8836"/>
  </r>
  <r>
    <x v="14"/>
    <x v="24"/>
    <s v="Total Electric Power Industry"/>
    <x v="0"/>
    <n v="87632910"/>
  </r>
  <r>
    <x v="14"/>
    <x v="24"/>
    <s v="Total Electric Power Industry"/>
    <x v="1"/>
    <n v="75023555"/>
  </r>
  <r>
    <x v="14"/>
    <x v="24"/>
    <s v="Total Electric Power Industry"/>
    <x v="2"/>
    <n v="1479914"/>
  </r>
  <r>
    <x v="14"/>
    <x v="24"/>
    <s v="Total Electric Power Industry"/>
    <x v="3"/>
    <n v="2864851"/>
  </r>
  <r>
    <x v="14"/>
    <x v="24"/>
    <s v="Total Electric Power Industry"/>
    <x v="7"/>
    <n v="7830693"/>
  </r>
  <r>
    <x v="14"/>
    <x v="24"/>
    <s v="Total Electric Power Industry"/>
    <x v="12"/>
    <n v="110377"/>
  </r>
  <r>
    <x v="14"/>
    <x v="24"/>
    <s v="Total Electric Power Industry"/>
    <x v="8"/>
    <n v="9442"/>
  </r>
  <r>
    <x v="14"/>
    <x v="24"/>
    <s v="Total Electric Power Industry"/>
    <x v="9"/>
    <n v="2400"/>
  </r>
  <r>
    <x v="14"/>
    <x v="24"/>
    <s v="Total Electric Power Industry"/>
    <x v="4"/>
    <n v="196161"/>
  </r>
  <r>
    <x v="14"/>
    <x v="24"/>
    <s v="Total Electric Power Industry"/>
    <x v="10"/>
    <n v="115325"/>
  </r>
  <r>
    <x v="14"/>
    <x v="24"/>
    <s v="Total Electric Power Industry"/>
    <x v="6"/>
    <n v="192"/>
  </r>
  <r>
    <x v="14"/>
    <x v="24"/>
    <s v="Electric Generators, Independent Power Producers"/>
    <x v="0"/>
    <n v="828119"/>
  </r>
  <r>
    <x v="14"/>
    <x v="24"/>
    <s v="Electric Generators, Independent Power Producers"/>
    <x v="3"/>
    <n v="828119"/>
  </r>
  <r>
    <x v="14"/>
    <x v="24"/>
    <s v="Electric Generators, Electric Utilities"/>
    <x v="0"/>
    <n v="86419717"/>
  </r>
  <r>
    <x v="14"/>
    <x v="24"/>
    <s v="Electric Generators, Electric Utilities"/>
    <x v="1"/>
    <n v="74711159"/>
  </r>
  <r>
    <x v="14"/>
    <x v="24"/>
    <s v="Electric Generators, Electric Utilities"/>
    <x v="2"/>
    <n v="1479914"/>
  </r>
  <r>
    <x v="14"/>
    <x v="24"/>
    <s v="Electric Generators, Electric Utilities"/>
    <x v="3"/>
    <n v="1978307"/>
  </r>
  <r>
    <x v="14"/>
    <x v="24"/>
    <s v="Electric Generators, Electric Utilities"/>
    <x v="7"/>
    <n v="7830693"/>
  </r>
  <r>
    <x v="14"/>
    <x v="24"/>
    <s v="Electric Generators, Electric Utilities"/>
    <x v="12"/>
    <n v="106630"/>
  </r>
  <r>
    <x v="14"/>
    <x v="24"/>
    <s v="Electric Generators, Electric Utilities"/>
    <x v="9"/>
    <n v="2400"/>
  </r>
  <r>
    <x v="14"/>
    <x v="24"/>
    <s v="Electric Generators, Electric Utilities"/>
    <x v="4"/>
    <n v="195098"/>
  </r>
  <r>
    <x v="14"/>
    <x v="24"/>
    <s v="Electric Generators, Electric Utilities"/>
    <x v="10"/>
    <n v="115325"/>
  </r>
  <r>
    <x v="14"/>
    <x v="24"/>
    <s v="Electric Generators, Electric Utilities"/>
    <x v="6"/>
    <n v="192"/>
  </r>
  <r>
    <x v="14"/>
    <x v="24"/>
    <s v="Combined Heat and Power, Industrial Power"/>
    <x v="0"/>
    <n v="183557"/>
  </r>
  <r>
    <x v="14"/>
    <x v="24"/>
    <s v="Combined Heat and Power, Industrial Power"/>
    <x v="1"/>
    <n v="167642"/>
  </r>
  <r>
    <x v="14"/>
    <x v="24"/>
    <s v="Combined Heat and Power, Industrial Power"/>
    <x v="3"/>
    <n v="5694"/>
  </r>
  <r>
    <x v="14"/>
    <x v="24"/>
    <s v="Combined Heat and Power, Industrial Power"/>
    <x v="8"/>
    <n v="9442"/>
  </r>
  <r>
    <x v="14"/>
    <x v="24"/>
    <s v="Combined Heat and Power, Industrial Power"/>
    <x v="4"/>
    <n v="778"/>
  </r>
  <r>
    <x v="14"/>
    <x v="24"/>
    <s v="Combined Heat and Power, Electric Power"/>
    <x v="0"/>
    <n v="46230"/>
  </r>
  <r>
    <x v="14"/>
    <x v="24"/>
    <s v="Combined Heat and Power, Electric Power"/>
    <x v="3"/>
    <n v="46230"/>
  </r>
  <r>
    <x v="14"/>
    <x v="24"/>
    <s v="Combined Heat and Power, Commercial Power"/>
    <x v="0"/>
    <n v="155288"/>
  </r>
  <r>
    <x v="14"/>
    <x v="24"/>
    <s v="Combined Heat and Power, Commercial Power"/>
    <x v="1"/>
    <n v="144754"/>
  </r>
  <r>
    <x v="14"/>
    <x v="24"/>
    <s v="Combined Heat and Power, Commercial Power"/>
    <x v="3"/>
    <n v="6502"/>
  </r>
  <r>
    <x v="14"/>
    <x v="24"/>
    <s v="Combined Heat and Power, Commercial Power"/>
    <x v="12"/>
    <n v="3747"/>
  </r>
  <r>
    <x v="14"/>
    <x v="24"/>
    <s v="Combined Heat and Power, Commercial Power"/>
    <x v="4"/>
    <n v="284"/>
  </r>
  <r>
    <x v="14"/>
    <x v="25"/>
    <s v="Total Electric Power Industry"/>
    <x v="0"/>
    <n v="43662613"/>
  </r>
  <r>
    <x v="14"/>
    <x v="25"/>
    <s v="Total Electric Power Industry"/>
    <x v="1"/>
    <n v="17477688"/>
  </r>
  <r>
    <x v="14"/>
    <x v="25"/>
    <s v="Total Electric Power Industry"/>
    <x v="3"/>
    <n v="11618567"/>
  </r>
  <r>
    <x v="14"/>
    <x v="25"/>
    <s v="Total Electric Power Industry"/>
    <x v="7"/>
    <n v="10232766"/>
  </r>
  <r>
    <x v="14"/>
    <x v="25"/>
    <s v="Total Electric Power Industry"/>
    <x v="12"/>
    <n v="1541"/>
  </r>
  <r>
    <x v="14"/>
    <x v="25"/>
    <s v="Total Electric Power Industry"/>
    <x v="8"/>
    <n v="3089"/>
  </r>
  <r>
    <x v="14"/>
    <x v="25"/>
    <s v="Total Electric Power Industry"/>
    <x v="9"/>
    <n v="40748"/>
  </r>
  <r>
    <x v="14"/>
    <x v="25"/>
    <s v="Total Electric Power Industry"/>
    <x v="4"/>
    <n v="2776857"/>
  </r>
  <r>
    <x v="14"/>
    <x v="25"/>
    <s v="Total Electric Power Industry"/>
    <x v="6"/>
    <n v="1511357"/>
  </r>
  <r>
    <x v="14"/>
    <x v="25"/>
    <s v="Electric Generators, Independent Power Producers"/>
    <x v="0"/>
    <n v="9060330"/>
  </r>
  <r>
    <x v="14"/>
    <x v="25"/>
    <s v="Electric Generators, Independent Power Producers"/>
    <x v="1"/>
    <n v="3194875"/>
  </r>
  <r>
    <x v="14"/>
    <x v="25"/>
    <s v="Electric Generators, Independent Power Producers"/>
    <x v="3"/>
    <n v="5865455"/>
  </r>
  <r>
    <x v="14"/>
    <x v="25"/>
    <s v="Electric Generators, Electric Utilities"/>
    <x v="0"/>
    <n v="32838145"/>
  </r>
  <r>
    <x v="14"/>
    <x v="25"/>
    <s v="Electric Generators, Electric Utilities"/>
    <x v="1"/>
    <n v="14274786"/>
  </r>
  <r>
    <x v="14"/>
    <x v="25"/>
    <s v="Electric Generators, Electric Utilities"/>
    <x v="3"/>
    <n v="5566963"/>
  </r>
  <r>
    <x v="14"/>
    <x v="25"/>
    <s v="Electric Generators, Electric Utilities"/>
    <x v="7"/>
    <n v="10232766"/>
  </r>
  <r>
    <x v="14"/>
    <x v="25"/>
    <s v="Electric Generators, Electric Utilities"/>
    <x v="4"/>
    <n v="2763630"/>
  </r>
  <r>
    <x v="14"/>
    <x v="25"/>
    <s v="Combined Heat and Power, Industrial Power"/>
    <x v="0"/>
    <n v="1739590"/>
  </r>
  <r>
    <x v="14"/>
    <x v="25"/>
    <s v="Combined Heat and Power, Industrial Power"/>
    <x v="1"/>
    <n v="8027"/>
  </r>
  <r>
    <x v="14"/>
    <x v="25"/>
    <s v="Combined Heat and Power, Industrial Power"/>
    <x v="3"/>
    <n v="161600"/>
  </r>
  <r>
    <x v="14"/>
    <x v="25"/>
    <s v="Combined Heat and Power, Industrial Power"/>
    <x v="12"/>
    <n v="1541"/>
  </r>
  <r>
    <x v="14"/>
    <x v="25"/>
    <s v="Combined Heat and Power, Industrial Power"/>
    <x v="8"/>
    <n v="3089"/>
  </r>
  <r>
    <x v="14"/>
    <x v="25"/>
    <s v="Combined Heat and Power, Industrial Power"/>
    <x v="9"/>
    <n v="40748"/>
  </r>
  <r>
    <x v="14"/>
    <x v="25"/>
    <s v="Combined Heat and Power, Industrial Power"/>
    <x v="4"/>
    <n v="13227"/>
  </r>
  <r>
    <x v="14"/>
    <x v="25"/>
    <s v="Combined Heat and Power, Industrial Power"/>
    <x v="6"/>
    <n v="1511357"/>
  </r>
  <r>
    <x v="14"/>
    <x v="25"/>
    <s v="Combined Heat and Power, Commercial Power"/>
    <x v="0"/>
    <n v="24549"/>
  </r>
  <r>
    <x v="14"/>
    <x v="25"/>
    <s v="Combined Heat and Power, Commercial Power"/>
    <x v="3"/>
    <n v="24549"/>
  </r>
  <r>
    <x v="14"/>
    <x v="26"/>
    <s v="Total Electric Power Industry"/>
    <x v="0"/>
    <n v="26788768"/>
  </r>
  <r>
    <x v="14"/>
    <x v="26"/>
    <s v="Total Electric Power Industry"/>
    <x v="1"/>
    <n v="17380228"/>
  </r>
  <r>
    <x v="14"/>
    <x v="26"/>
    <s v="Total Electric Power Industry"/>
    <x v="2"/>
    <n v="8856031"/>
  </r>
  <r>
    <x v="14"/>
    <x v="26"/>
    <s v="Total Electric Power Industry"/>
    <x v="3"/>
    <n v="27953"/>
  </r>
  <r>
    <x v="14"/>
    <x v="26"/>
    <s v="Total Electric Power Industry"/>
    <x v="9"/>
    <n v="22972"/>
  </r>
  <r>
    <x v="14"/>
    <x v="26"/>
    <s v="Total Electric Power Industry"/>
    <x v="4"/>
    <n v="439137"/>
  </r>
  <r>
    <x v="14"/>
    <x v="26"/>
    <s v="Total Electric Power Industry"/>
    <x v="6"/>
    <n v="62446"/>
  </r>
  <r>
    <x v="14"/>
    <x v="26"/>
    <s v="Electric Generators, Independent Power Producers"/>
    <x v="0"/>
    <n v="20210314"/>
  </r>
  <r>
    <x v="14"/>
    <x v="26"/>
    <s v="Electric Generators, Independent Power Producers"/>
    <x v="1"/>
    <n v="17032941"/>
  </r>
  <r>
    <x v="14"/>
    <x v="26"/>
    <s v="Electric Generators, Independent Power Producers"/>
    <x v="2"/>
    <n v="3150450"/>
  </r>
  <r>
    <x v="14"/>
    <x v="26"/>
    <s v="Electric Generators, Independent Power Producers"/>
    <x v="3"/>
    <n v="1165"/>
  </r>
  <r>
    <x v="14"/>
    <x v="26"/>
    <s v="Electric Generators, Independent Power Producers"/>
    <x v="9"/>
    <n v="6188"/>
  </r>
  <r>
    <x v="14"/>
    <x v="26"/>
    <s v="Electric Generators, Independent Power Producers"/>
    <x v="4"/>
    <n v="19570"/>
  </r>
  <r>
    <x v="14"/>
    <x v="26"/>
    <s v="Electric Generators, Electric Utilities"/>
    <x v="0"/>
    <n v="6066404"/>
  </r>
  <r>
    <x v="14"/>
    <x v="26"/>
    <s v="Electric Generators, Electric Utilities"/>
    <x v="1"/>
    <n v="347287"/>
  </r>
  <r>
    <x v="14"/>
    <x v="26"/>
    <s v="Electric Generators, Electric Utilities"/>
    <x v="2"/>
    <n v="5705581"/>
  </r>
  <r>
    <x v="14"/>
    <x v="26"/>
    <s v="Electric Generators, Electric Utilities"/>
    <x v="3"/>
    <n v="12532"/>
  </r>
  <r>
    <x v="14"/>
    <x v="26"/>
    <s v="Electric Generators, Electric Utilities"/>
    <x v="4"/>
    <n v="1004"/>
  </r>
  <r>
    <x v="14"/>
    <x v="26"/>
    <s v="Combined Heat and Power, Industrial Power"/>
    <x v="0"/>
    <n v="78380"/>
  </r>
  <r>
    <x v="14"/>
    <x v="26"/>
    <s v="Combined Heat and Power, Industrial Power"/>
    <x v="3"/>
    <n v="14256"/>
  </r>
  <r>
    <x v="14"/>
    <x v="26"/>
    <s v="Combined Heat and Power, Industrial Power"/>
    <x v="4"/>
    <n v="1677"/>
  </r>
  <r>
    <x v="14"/>
    <x v="26"/>
    <s v="Combined Heat and Power, Industrial Power"/>
    <x v="6"/>
    <n v="62446"/>
  </r>
  <r>
    <x v="14"/>
    <x v="26"/>
    <s v="Combined Heat and Power, Electric Power"/>
    <x v="0"/>
    <n v="433670"/>
  </r>
  <r>
    <x v="14"/>
    <x v="26"/>
    <s v="Combined Heat and Power, Electric Power"/>
    <x v="9"/>
    <n v="16784"/>
  </r>
  <r>
    <x v="14"/>
    <x v="26"/>
    <s v="Combined Heat and Power, Electric Power"/>
    <x v="4"/>
    <n v="416886"/>
  </r>
  <r>
    <x v="14"/>
    <x v="27"/>
    <s v="Total Electric Power Industry"/>
    <x v="0"/>
    <n v="126329957"/>
  </r>
  <r>
    <x v="14"/>
    <x v="27"/>
    <s v="Total Electric Power Industry"/>
    <x v="1"/>
    <n v="75546115"/>
  </r>
  <r>
    <x v="14"/>
    <x v="27"/>
    <s v="Total Electric Power Industry"/>
    <x v="2"/>
    <n v="5435199"/>
  </r>
  <r>
    <x v="14"/>
    <x v="27"/>
    <s v="Total Electric Power Industry"/>
    <x v="3"/>
    <n v="2558654"/>
  </r>
  <r>
    <x v="14"/>
    <x v="27"/>
    <s v="Total Electric Power Industry"/>
    <x v="7"/>
    <n v="40090623"/>
  </r>
  <r>
    <x v="14"/>
    <x v="27"/>
    <s v="Total Electric Power Industry"/>
    <x v="12"/>
    <n v="277403"/>
  </r>
  <r>
    <x v="14"/>
    <x v="27"/>
    <s v="Total Electric Power Industry"/>
    <x v="8"/>
    <n v="112166"/>
  </r>
  <r>
    <x v="14"/>
    <x v="27"/>
    <s v="Total Electric Power Industry"/>
    <x v="9"/>
    <n v="0"/>
  </r>
  <r>
    <x v="14"/>
    <x v="27"/>
    <s v="Total Electric Power Industry"/>
    <x v="4"/>
    <n v="610909"/>
  </r>
  <r>
    <x v="14"/>
    <x v="27"/>
    <s v="Total Electric Power Industry"/>
    <x v="10"/>
    <n v="78251"/>
  </r>
  <r>
    <x v="14"/>
    <x v="27"/>
    <s v="Total Electric Power Industry"/>
    <x v="6"/>
    <n v="1620636"/>
  </r>
  <r>
    <x v="14"/>
    <x v="27"/>
    <s v="Electric Generators, Independent Power Producers"/>
    <x v="0"/>
    <n v="1698756"/>
  </r>
  <r>
    <x v="14"/>
    <x v="27"/>
    <s v="Electric Generators, Independent Power Producers"/>
    <x v="2"/>
    <n v="797288"/>
  </r>
  <r>
    <x v="14"/>
    <x v="27"/>
    <s v="Electric Generators, Independent Power Producers"/>
    <x v="3"/>
    <n v="427155"/>
  </r>
  <r>
    <x v="14"/>
    <x v="27"/>
    <s v="Electric Generators, Independent Power Producers"/>
    <x v="12"/>
    <n v="14194"/>
  </r>
  <r>
    <x v="14"/>
    <x v="27"/>
    <s v="Electric Generators, Independent Power Producers"/>
    <x v="8"/>
    <n v="76915"/>
  </r>
  <r>
    <x v="14"/>
    <x v="27"/>
    <s v="Electric Generators, Independent Power Producers"/>
    <x v="9"/>
    <n v="0"/>
  </r>
  <r>
    <x v="14"/>
    <x v="27"/>
    <s v="Electric Generators, Independent Power Producers"/>
    <x v="4"/>
    <n v="15804"/>
  </r>
  <r>
    <x v="14"/>
    <x v="27"/>
    <s v="Electric Generators, Independent Power Producers"/>
    <x v="6"/>
    <n v="367400"/>
  </r>
  <r>
    <x v="14"/>
    <x v="27"/>
    <s v="Electric Generators, Electric Utilities"/>
    <x v="0"/>
    <n v="118328694"/>
  </r>
  <r>
    <x v="14"/>
    <x v="27"/>
    <s v="Electric Generators, Electric Utilities"/>
    <x v="1"/>
    <n v="71956852"/>
  </r>
  <r>
    <x v="14"/>
    <x v="27"/>
    <s v="Electric Generators, Electric Utilities"/>
    <x v="2"/>
    <n v="3933276"/>
  </r>
  <r>
    <x v="14"/>
    <x v="27"/>
    <s v="Electric Generators, Electric Utilities"/>
    <x v="3"/>
    <n v="2019290"/>
  </r>
  <r>
    <x v="14"/>
    <x v="27"/>
    <s v="Electric Generators, Electric Utilities"/>
    <x v="7"/>
    <n v="40090623"/>
  </r>
  <r>
    <x v="14"/>
    <x v="27"/>
    <s v="Electric Generators, Electric Utilities"/>
    <x v="4"/>
    <n v="250402"/>
  </r>
  <r>
    <x v="14"/>
    <x v="27"/>
    <s v="Electric Generators, Electric Utilities"/>
    <x v="10"/>
    <n v="78251"/>
  </r>
  <r>
    <x v="14"/>
    <x v="27"/>
    <s v="Combined Heat and Power, Industrial Power"/>
    <x v="0"/>
    <n v="2977113"/>
  </r>
  <r>
    <x v="14"/>
    <x v="27"/>
    <s v="Combined Heat and Power, Industrial Power"/>
    <x v="1"/>
    <n v="487926"/>
  </r>
  <r>
    <x v="14"/>
    <x v="27"/>
    <s v="Combined Heat and Power, Industrial Power"/>
    <x v="2"/>
    <n v="687743"/>
  </r>
  <r>
    <x v="14"/>
    <x v="27"/>
    <s v="Combined Heat and Power, Industrial Power"/>
    <x v="3"/>
    <n v="16655"/>
  </r>
  <r>
    <x v="14"/>
    <x v="27"/>
    <s v="Combined Heat and Power, Industrial Power"/>
    <x v="12"/>
    <n v="211820"/>
  </r>
  <r>
    <x v="14"/>
    <x v="27"/>
    <s v="Combined Heat and Power, Industrial Power"/>
    <x v="8"/>
    <n v="18495"/>
  </r>
  <r>
    <x v="14"/>
    <x v="27"/>
    <s v="Combined Heat and Power, Industrial Power"/>
    <x v="4"/>
    <n v="313604"/>
  </r>
  <r>
    <x v="14"/>
    <x v="27"/>
    <s v="Combined Heat and Power, Industrial Power"/>
    <x v="6"/>
    <n v="1240871"/>
  </r>
  <r>
    <x v="14"/>
    <x v="27"/>
    <s v="Combined Heat and Power, Electric Power"/>
    <x v="0"/>
    <n v="3206616"/>
  </r>
  <r>
    <x v="14"/>
    <x v="27"/>
    <s v="Combined Heat and Power, Electric Power"/>
    <x v="1"/>
    <n v="3007450"/>
  </r>
  <r>
    <x v="14"/>
    <x v="27"/>
    <s v="Combined Heat and Power, Electric Power"/>
    <x v="3"/>
    <n v="92332"/>
  </r>
  <r>
    <x v="14"/>
    <x v="27"/>
    <s v="Combined Heat and Power, Electric Power"/>
    <x v="12"/>
    <n v="51388"/>
  </r>
  <r>
    <x v="14"/>
    <x v="27"/>
    <s v="Combined Heat and Power, Electric Power"/>
    <x v="8"/>
    <n v="16756"/>
  </r>
  <r>
    <x v="14"/>
    <x v="27"/>
    <s v="Combined Heat and Power, Electric Power"/>
    <x v="9"/>
    <n v="0"/>
  </r>
  <r>
    <x v="14"/>
    <x v="27"/>
    <s v="Combined Heat and Power, Electric Power"/>
    <x v="4"/>
    <n v="26326"/>
  </r>
  <r>
    <x v="14"/>
    <x v="27"/>
    <s v="Combined Heat and Power, Electric Power"/>
    <x v="6"/>
    <n v="12365"/>
  </r>
  <r>
    <x v="14"/>
    <x v="27"/>
    <s v="Combined Heat and Power, Commercial Power"/>
    <x v="0"/>
    <n v="118777"/>
  </r>
  <r>
    <x v="14"/>
    <x v="27"/>
    <s v="Combined Heat and Power, Commercial Power"/>
    <x v="1"/>
    <n v="93888"/>
  </r>
  <r>
    <x v="14"/>
    <x v="27"/>
    <s v="Combined Heat and Power, Commercial Power"/>
    <x v="2"/>
    <n v="16892"/>
  </r>
  <r>
    <x v="14"/>
    <x v="27"/>
    <s v="Combined Heat and Power, Commercial Power"/>
    <x v="3"/>
    <n v="3223"/>
  </r>
  <r>
    <x v="14"/>
    <x v="27"/>
    <s v="Combined Heat and Power, Commercial Power"/>
    <x v="4"/>
    <n v="4774"/>
  </r>
  <r>
    <x v="14"/>
    <x v="28"/>
    <s v="Total Electric Power Industry"/>
    <x v="0"/>
    <n v="29936106"/>
  </r>
  <r>
    <x v="14"/>
    <x v="28"/>
    <s v="Total Electric Power Industry"/>
    <x v="1"/>
    <n v="28064224"/>
  </r>
  <r>
    <x v="14"/>
    <x v="28"/>
    <s v="Total Electric Power Industry"/>
    <x v="2"/>
    <n v="1545864"/>
  </r>
  <r>
    <x v="14"/>
    <x v="28"/>
    <s v="Total Electric Power Industry"/>
    <x v="3"/>
    <n v="9044"/>
  </r>
  <r>
    <x v="14"/>
    <x v="28"/>
    <s v="Total Electric Power Industry"/>
    <x v="12"/>
    <n v="0"/>
  </r>
  <r>
    <x v="14"/>
    <x v="28"/>
    <s v="Total Electric Power Industry"/>
    <x v="8"/>
    <n v="5603"/>
  </r>
  <r>
    <x v="14"/>
    <x v="28"/>
    <s v="Total Electric Power Industry"/>
    <x v="9"/>
    <n v="58417"/>
  </r>
  <r>
    <x v="14"/>
    <x v="28"/>
    <s v="Total Electric Power Industry"/>
    <x v="4"/>
    <n v="38431"/>
  </r>
  <r>
    <x v="14"/>
    <x v="28"/>
    <s v="Total Electric Power Industry"/>
    <x v="5"/>
    <n v="214523"/>
  </r>
  <r>
    <x v="14"/>
    <x v="28"/>
    <s v="Electric Generators, Independent Power Producers"/>
    <x v="0"/>
    <n v="208667"/>
  </r>
  <r>
    <x v="14"/>
    <x v="28"/>
    <s v="Electric Generators, Independent Power Producers"/>
    <x v="5"/>
    <n v="208667"/>
  </r>
  <r>
    <x v="14"/>
    <x v="28"/>
    <s v="Electric Generators, Electric Utilities"/>
    <x v="0"/>
    <n v="29526814"/>
  </r>
  <r>
    <x v="14"/>
    <x v="28"/>
    <s v="Electric Generators, Electric Utilities"/>
    <x v="1"/>
    <n v="27938264"/>
  </r>
  <r>
    <x v="14"/>
    <x v="28"/>
    <s v="Electric Generators, Electric Utilities"/>
    <x v="2"/>
    <n v="1545864"/>
  </r>
  <r>
    <x v="14"/>
    <x v="28"/>
    <s v="Electric Generators, Electric Utilities"/>
    <x v="3"/>
    <n v="265"/>
  </r>
  <r>
    <x v="14"/>
    <x v="28"/>
    <s v="Electric Generators, Electric Utilities"/>
    <x v="12"/>
    <n v="0"/>
  </r>
  <r>
    <x v="14"/>
    <x v="28"/>
    <s v="Electric Generators, Electric Utilities"/>
    <x v="4"/>
    <n v="36565"/>
  </r>
  <r>
    <x v="14"/>
    <x v="28"/>
    <s v="Electric Generators, Electric Utilities"/>
    <x v="5"/>
    <n v="5856"/>
  </r>
  <r>
    <x v="14"/>
    <x v="28"/>
    <s v="Combined Heat and Power, Industrial Power"/>
    <x v="0"/>
    <n v="200625"/>
  </r>
  <r>
    <x v="14"/>
    <x v="28"/>
    <s v="Combined Heat and Power, Industrial Power"/>
    <x v="1"/>
    <n v="125960"/>
  </r>
  <r>
    <x v="14"/>
    <x v="28"/>
    <s v="Combined Heat and Power, Industrial Power"/>
    <x v="3"/>
    <n v="8779"/>
  </r>
  <r>
    <x v="14"/>
    <x v="28"/>
    <s v="Combined Heat and Power, Industrial Power"/>
    <x v="8"/>
    <n v="5603"/>
  </r>
  <r>
    <x v="14"/>
    <x v="28"/>
    <s v="Combined Heat and Power, Industrial Power"/>
    <x v="9"/>
    <n v="58417"/>
  </r>
  <r>
    <x v="14"/>
    <x v="28"/>
    <s v="Combined Heat and Power, Industrial Power"/>
    <x v="4"/>
    <n v="1866"/>
  </r>
  <r>
    <x v="14"/>
    <x v="29"/>
    <s v="Total Electric Power Industry"/>
    <x v="0"/>
    <n v="32008709"/>
  </r>
  <r>
    <x v="14"/>
    <x v="29"/>
    <s v="Total Electric Power Industry"/>
    <x v="1"/>
    <n v="20457085"/>
  </r>
  <r>
    <x v="14"/>
    <x v="29"/>
    <s v="Total Electric Power Industry"/>
    <x v="2"/>
    <n v="913021"/>
  </r>
  <r>
    <x v="14"/>
    <x v="29"/>
    <s v="Total Electric Power Industry"/>
    <x v="3"/>
    <n v="297390"/>
  </r>
  <r>
    <x v="14"/>
    <x v="29"/>
    <s v="Total Electric Power Industry"/>
    <x v="7"/>
    <n v="10241254"/>
  </r>
  <r>
    <x v="14"/>
    <x v="29"/>
    <s v="Total Electric Power Industry"/>
    <x v="12"/>
    <n v="0"/>
  </r>
  <r>
    <x v="14"/>
    <x v="29"/>
    <s v="Total Electric Power Industry"/>
    <x v="8"/>
    <n v="39518"/>
  </r>
  <r>
    <x v="14"/>
    <x v="29"/>
    <s v="Total Electric Power Industry"/>
    <x v="9"/>
    <n v="142"/>
  </r>
  <r>
    <x v="14"/>
    <x v="29"/>
    <s v="Total Electric Power Industry"/>
    <x v="4"/>
    <n v="21868"/>
  </r>
  <r>
    <x v="14"/>
    <x v="29"/>
    <s v="Total Electric Power Industry"/>
    <x v="5"/>
    <n v="38431"/>
  </r>
  <r>
    <x v="14"/>
    <x v="29"/>
    <s v="Electric Generators, Electric Utilities"/>
    <x v="0"/>
    <n v="31944127"/>
  </r>
  <r>
    <x v="14"/>
    <x v="29"/>
    <s v="Electric Generators, Electric Utilities"/>
    <x v="1"/>
    <n v="20414960"/>
  </r>
  <r>
    <x v="14"/>
    <x v="29"/>
    <s v="Electric Generators, Electric Utilities"/>
    <x v="2"/>
    <n v="913021"/>
  </r>
  <r>
    <x v="14"/>
    <x v="29"/>
    <s v="Electric Generators, Electric Utilities"/>
    <x v="3"/>
    <n v="288576"/>
  </r>
  <r>
    <x v="14"/>
    <x v="29"/>
    <s v="Electric Generators, Electric Utilities"/>
    <x v="7"/>
    <n v="10241254"/>
  </r>
  <r>
    <x v="14"/>
    <x v="29"/>
    <s v="Electric Generators, Electric Utilities"/>
    <x v="12"/>
    <n v="0"/>
  </r>
  <r>
    <x v="14"/>
    <x v="29"/>
    <s v="Electric Generators, Electric Utilities"/>
    <x v="8"/>
    <n v="26739"/>
  </r>
  <r>
    <x v="14"/>
    <x v="29"/>
    <s v="Electric Generators, Electric Utilities"/>
    <x v="9"/>
    <n v="142"/>
  </r>
  <r>
    <x v="14"/>
    <x v="29"/>
    <s v="Electric Generators, Electric Utilities"/>
    <x v="4"/>
    <n v="21004"/>
  </r>
  <r>
    <x v="14"/>
    <x v="29"/>
    <s v="Electric Generators, Electric Utilities"/>
    <x v="5"/>
    <n v="38431"/>
  </r>
  <r>
    <x v="14"/>
    <x v="29"/>
    <s v="Combined Heat and Power, Industrial Power"/>
    <x v="0"/>
    <n v="42125"/>
  </r>
  <r>
    <x v="14"/>
    <x v="29"/>
    <s v="Combined Heat and Power, Industrial Power"/>
    <x v="1"/>
    <n v="42125"/>
  </r>
  <r>
    <x v="14"/>
    <x v="29"/>
    <s v="Combined Heat and Power, Industrial Power"/>
    <x v="3"/>
    <n v="0"/>
  </r>
  <r>
    <x v="14"/>
    <x v="29"/>
    <s v="Combined Heat and Power, Electric Power"/>
    <x v="0"/>
    <n v="6"/>
  </r>
  <r>
    <x v="14"/>
    <x v="29"/>
    <s v="Combined Heat and Power, Electric Power"/>
    <x v="3"/>
    <n v="1"/>
  </r>
  <r>
    <x v="14"/>
    <x v="29"/>
    <s v="Combined Heat and Power, Electric Power"/>
    <x v="8"/>
    <n v="5"/>
  </r>
  <r>
    <x v="14"/>
    <x v="29"/>
    <s v="Combined Heat and Power, Commercial Power"/>
    <x v="0"/>
    <n v="22451"/>
  </r>
  <r>
    <x v="14"/>
    <x v="29"/>
    <s v="Combined Heat and Power, Commercial Power"/>
    <x v="3"/>
    <n v="8813"/>
  </r>
  <r>
    <x v="14"/>
    <x v="29"/>
    <s v="Combined Heat and Power, Commercial Power"/>
    <x v="8"/>
    <n v="12774"/>
  </r>
  <r>
    <x v="14"/>
    <x v="29"/>
    <s v="Combined Heat and Power, Commercial Power"/>
    <x v="4"/>
    <n v="864"/>
  </r>
  <r>
    <x v="14"/>
    <x v="30"/>
    <s v="Total Electric Power Industry"/>
    <x v="0"/>
    <n v="23875787"/>
  </r>
  <r>
    <x v="14"/>
    <x v="30"/>
    <s v="Total Electric Power Industry"/>
    <x v="1"/>
    <n v="4076075"/>
  </r>
  <r>
    <x v="14"/>
    <x v="30"/>
    <s v="Total Electric Power Industry"/>
    <x v="2"/>
    <n v="1315756"/>
  </r>
  <r>
    <x v="14"/>
    <x v="30"/>
    <s v="Total Electric Power Industry"/>
    <x v="3"/>
    <n v="5399765"/>
  </r>
  <r>
    <x v="14"/>
    <x v="30"/>
    <s v="Total Electric Power Industry"/>
    <x v="7"/>
    <n v="10177573"/>
  </r>
  <r>
    <x v="14"/>
    <x v="30"/>
    <s v="Total Electric Power Industry"/>
    <x v="12"/>
    <n v="62915"/>
  </r>
  <r>
    <x v="14"/>
    <x v="30"/>
    <s v="Total Electric Power Industry"/>
    <x v="8"/>
    <n v="155186"/>
  </r>
  <r>
    <x v="14"/>
    <x v="30"/>
    <s v="Total Electric Power Industry"/>
    <x v="4"/>
    <n v="1960452"/>
  </r>
  <r>
    <x v="14"/>
    <x v="30"/>
    <s v="Total Electric Power Industry"/>
    <x v="6"/>
    <n v="728066"/>
  </r>
  <r>
    <x v="14"/>
    <x v="30"/>
    <s v="Electric Generators, Independent Power Producers"/>
    <x v="0"/>
    <n v="17315007"/>
  </r>
  <r>
    <x v="14"/>
    <x v="30"/>
    <s v="Electric Generators, Independent Power Producers"/>
    <x v="2"/>
    <n v="987397"/>
  </r>
  <r>
    <x v="14"/>
    <x v="30"/>
    <s v="Electric Generators, Independent Power Producers"/>
    <x v="3"/>
    <n v="5202743"/>
  </r>
  <r>
    <x v="14"/>
    <x v="30"/>
    <s v="Electric Generators, Independent Power Producers"/>
    <x v="7"/>
    <n v="10177573"/>
  </r>
  <r>
    <x v="14"/>
    <x v="30"/>
    <s v="Electric Generators, Independent Power Producers"/>
    <x v="12"/>
    <n v="62915"/>
  </r>
  <r>
    <x v="14"/>
    <x v="30"/>
    <s v="Electric Generators, Independent Power Producers"/>
    <x v="8"/>
    <n v="155186"/>
  </r>
  <r>
    <x v="14"/>
    <x v="30"/>
    <s v="Electric Generators, Independent Power Producers"/>
    <x v="4"/>
    <n v="104752"/>
  </r>
  <r>
    <x v="14"/>
    <x v="30"/>
    <s v="Electric Generators, Independent Power Producers"/>
    <x v="6"/>
    <n v="624441"/>
  </r>
  <r>
    <x v="14"/>
    <x v="30"/>
    <s v="Electric Generators, Electric Utilities"/>
    <x v="0"/>
    <n v="6169110"/>
  </r>
  <r>
    <x v="14"/>
    <x v="30"/>
    <s v="Electric Generators, Electric Utilities"/>
    <x v="1"/>
    <n v="4076075"/>
  </r>
  <r>
    <x v="14"/>
    <x v="30"/>
    <s v="Electric Generators, Electric Utilities"/>
    <x v="2"/>
    <n v="322498"/>
  </r>
  <r>
    <x v="14"/>
    <x v="30"/>
    <s v="Electric Generators, Electric Utilities"/>
    <x v="3"/>
    <n v="78"/>
  </r>
  <r>
    <x v="14"/>
    <x v="30"/>
    <s v="Electric Generators, Electric Utilities"/>
    <x v="4"/>
    <n v="1770459"/>
  </r>
  <r>
    <x v="14"/>
    <x v="30"/>
    <s v="Combined Heat and Power, Industrial Power"/>
    <x v="0"/>
    <n v="358312"/>
  </r>
  <r>
    <x v="14"/>
    <x v="30"/>
    <s v="Combined Heat and Power, Industrial Power"/>
    <x v="2"/>
    <n v="5861"/>
  </r>
  <r>
    <x v="14"/>
    <x v="30"/>
    <s v="Combined Heat and Power, Industrial Power"/>
    <x v="3"/>
    <n v="196944"/>
  </r>
  <r>
    <x v="14"/>
    <x v="30"/>
    <s v="Combined Heat and Power, Industrial Power"/>
    <x v="4"/>
    <n v="51883"/>
  </r>
  <r>
    <x v="14"/>
    <x v="30"/>
    <s v="Combined Heat and Power, Industrial Power"/>
    <x v="6"/>
    <n v="103624"/>
  </r>
  <r>
    <x v="14"/>
    <x v="30"/>
    <s v="Combined Heat and Power, Commercial Power"/>
    <x v="0"/>
    <n v="33358"/>
  </r>
  <r>
    <x v="14"/>
    <x v="30"/>
    <s v="Combined Heat and Power, Commercial Power"/>
    <x v="4"/>
    <n v="33358"/>
  </r>
  <r>
    <x v="14"/>
    <x v="31"/>
    <s v="Total Electric Power Industry"/>
    <x v="0"/>
    <n v="55882342"/>
  </r>
  <r>
    <x v="14"/>
    <x v="31"/>
    <s v="Total Electric Power Industry"/>
    <x v="1"/>
    <n v="10322484"/>
  </r>
  <r>
    <x v="14"/>
    <x v="31"/>
    <s v="Total Electric Power Industry"/>
    <x v="2"/>
    <n v="37503"/>
  </r>
  <r>
    <x v="14"/>
    <x v="31"/>
    <s v="Total Electric Power Industry"/>
    <x v="3"/>
    <n v="15962195"/>
  </r>
  <r>
    <x v="14"/>
    <x v="31"/>
    <s v="Total Electric Power Industry"/>
    <x v="7"/>
    <n v="27081566"/>
  </r>
  <r>
    <x v="14"/>
    <x v="31"/>
    <s v="Total Electric Power Industry"/>
    <x v="12"/>
    <n v="496369"/>
  </r>
  <r>
    <x v="14"/>
    <x v="31"/>
    <s v="Total Electric Power Industry"/>
    <x v="8"/>
    <n v="805832"/>
  </r>
  <r>
    <x v="14"/>
    <x v="31"/>
    <s v="Total Electric Power Industry"/>
    <x v="9"/>
    <n v="38779"/>
  </r>
  <r>
    <x v="14"/>
    <x v="31"/>
    <s v="Total Electric Power Industry"/>
    <x v="4"/>
    <n v="1424853"/>
  </r>
  <r>
    <x v="14"/>
    <x v="31"/>
    <s v="Total Electric Power Industry"/>
    <x v="10"/>
    <n v="-287239"/>
  </r>
  <r>
    <x v="14"/>
    <x v="31"/>
    <s v="Electric Generators, Independent Power Producers"/>
    <x v="0"/>
    <n v="42169433"/>
  </r>
  <r>
    <x v="14"/>
    <x v="31"/>
    <s v="Electric Generators, Independent Power Producers"/>
    <x v="1"/>
    <n v="5256836"/>
  </r>
  <r>
    <x v="14"/>
    <x v="31"/>
    <s v="Electric Generators, Independent Power Producers"/>
    <x v="2"/>
    <n v="36248"/>
  </r>
  <r>
    <x v="14"/>
    <x v="31"/>
    <s v="Electric Generators, Independent Power Producers"/>
    <x v="3"/>
    <n v="7806415"/>
  </r>
  <r>
    <x v="14"/>
    <x v="31"/>
    <s v="Electric Generators, Independent Power Producers"/>
    <x v="7"/>
    <n v="27081566"/>
  </r>
  <r>
    <x v="14"/>
    <x v="31"/>
    <s v="Electric Generators, Independent Power Producers"/>
    <x v="12"/>
    <n v="496369"/>
  </r>
  <r>
    <x v="14"/>
    <x v="31"/>
    <s v="Electric Generators, Independent Power Producers"/>
    <x v="8"/>
    <n v="801655"/>
  </r>
  <r>
    <x v="14"/>
    <x v="31"/>
    <s v="Electric Generators, Independent Power Producers"/>
    <x v="9"/>
    <n v="0"/>
  </r>
  <r>
    <x v="14"/>
    <x v="31"/>
    <s v="Electric Generators, Independent Power Producers"/>
    <x v="4"/>
    <n v="690344"/>
  </r>
  <r>
    <x v="14"/>
    <x v="31"/>
    <s v="Electric Generators, Electric Utilities"/>
    <x v="0"/>
    <n v="1648908"/>
  </r>
  <r>
    <x v="14"/>
    <x v="31"/>
    <s v="Electric Generators, Electric Utilities"/>
    <x v="1"/>
    <n v="1800845"/>
  </r>
  <r>
    <x v="14"/>
    <x v="31"/>
    <s v="Electric Generators, Electric Utilities"/>
    <x v="3"/>
    <n v="36476"/>
  </r>
  <r>
    <x v="14"/>
    <x v="31"/>
    <s v="Electric Generators, Electric Utilities"/>
    <x v="4"/>
    <n v="98826"/>
  </r>
  <r>
    <x v="14"/>
    <x v="31"/>
    <s v="Electric Generators, Electric Utilities"/>
    <x v="10"/>
    <n v="-287239"/>
  </r>
  <r>
    <x v="14"/>
    <x v="31"/>
    <s v="Combined Heat and Power, Industrial Power"/>
    <x v="0"/>
    <n v="1253726"/>
  </r>
  <r>
    <x v="14"/>
    <x v="31"/>
    <s v="Combined Heat and Power, Industrial Power"/>
    <x v="2"/>
    <n v="1255"/>
  </r>
  <r>
    <x v="14"/>
    <x v="31"/>
    <s v="Combined Heat and Power, Industrial Power"/>
    <x v="3"/>
    <n v="869013"/>
  </r>
  <r>
    <x v="14"/>
    <x v="31"/>
    <s v="Combined Heat and Power, Industrial Power"/>
    <x v="12"/>
    <n v="0"/>
  </r>
  <r>
    <x v="14"/>
    <x v="31"/>
    <s v="Combined Heat and Power, Industrial Power"/>
    <x v="8"/>
    <n v="2645"/>
  </r>
  <r>
    <x v="14"/>
    <x v="31"/>
    <s v="Combined Heat and Power, Industrial Power"/>
    <x v="9"/>
    <n v="38439"/>
  </r>
  <r>
    <x v="14"/>
    <x v="31"/>
    <s v="Combined Heat and Power, Industrial Power"/>
    <x v="4"/>
    <n v="342374"/>
  </r>
  <r>
    <x v="14"/>
    <x v="31"/>
    <s v="Combined Heat and Power, Electric Power"/>
    <x v="0"/>
    <n v="10704736"/>
  </r>
  <r>
    <x v="14"/>
    <x v="31"/>
    <s v="Combined Heat and Power, Electric Power"/>
    <x v="1"/>
    <n v="3264803"/>
  </r>
  <r>
    <x v="14"/>
    <x v="31"/>
    <s v="Combined Heat and Power, Electric Power"/>
    <x v="3"/>
    <n v="7149094"/>
  </r>
  <r>
    <x v="14"/>
    <x v="31"/>
    <s v="Combined Heat and Power, Electric Power"/>
    <x v="9"/>
    <n v="340"/>
  </r>
  <r>
    <x v="14"/>
    <x v="31"/>
    <s v="Combined Heat and Power, Electric Power"/>
    <x v="4"/>
    <n v="290499"/>
  </r>
  <r>
    <x v="14"/>
    <x v="31"/>
    <s v="Combined Heat and Power, Commercial Power"/>
    <x v="0"/>
    <n v="105538"/>
  </r>
  <r>
    <x v="14"/>
    <x v="31"/>
    <s v="Combined Heat and Power, Commercial Power"/>
    <x v="3"/>
    <n v="101197"/>
  </r>
  <r>
    <x v="14"/>
    <x v="31"/>
    <s v="Combined Heat and Power, Commercial Power"/>
    <x v="8"/>
    <n v="1532"/>
  </r>
  <r>
    <x v="14"/>
    <x v="31"/>
    <s v="Combined Heat and Power, Commercial Power"/>
    <x v="4"/>
    <n v="2809"/>
  </r>
  <r>
    <x v="14"/>
    <x v="32"/>
    <s v="Total Electric Power Industry"/>
    <x v="0"/>
    <n v="32940361"/>
  </r>
  <r>
    <x v="14"/>
    <x v="32"/>
    <s v="Total Electric Power Industry"/>
    <x v="1"/>
    <n v="29263899"/>
  </r>
  <r>
    <x v="14"/>
    <x v="32"/>
    <s v="Total Electric Power Industry"/>
    <x v="2"/>
    <n v="138947"/>
  </r>
  <r>
    <x v="14"/>
    <x v="32"/>
    <s v="Total Electric Power Industry"/>
    <x v="3"/>
    <n v="2992674"/>
  </r>
  <r>
    <x v="14"/>
    <x v="32"/>
    <s v="Total Electric Power Industry"/>
    <x v="8"/>
    <n v="0"/>
  </r>
  <r>
    <x v="14"/>
    <x v="32"/>
    <s v="Total Electric Power Industry"/>
    <x v="4"/>
    <n v="31376"/>
  </r>
  <r>
    <x v="14"/>
    <x v="32"/>
    <s v="Total Electric Power Industry"/>
    <x v="5"/>
    <n v="513465"/>
  </r>
  <r>
    <x v="14"/>
    <x v="32"/>
    <s v="Electric Generators, Independent Power Producers"/>
    <x v="0"/>
    <n v="588690"/>
  </r>
  <r>
    <x v="14"/>
    <x v="32"/>
    <s v="Electric Generators, Independent Power Producers"/>
    <x v="3"/>
    <n v="75225"/>
  </r>
  <r>
    <x v="14"/>
    <x v="32"/>
    <s v="Electric Generators, Independent Power Producers"/>
    <x v="4"/>
    <n v="0"/>
  </r>
  <r>
    <x v="14"/>
    <x v="32"/>
    <s v="Electric Generators, Independent Power Producers"/>
    <x v="5"/>
    <n v="513465"/>
  </r>
  <r>
    <x v="14"/>
    <x v="32"/>
    <s v="Electric Generators, Electric Utilities"/>
    <x v="0"/>
    <n v="32242728"/>
  </r>
  <r>
    <x v="14"/>
    <x v="32"/>
    <s v="Electric Generators, Electric Utilities"/>
    <x v="1"/>
    <n v="29263899"/>
  </r>
  <r>
    <x v="14"/>
    <x v="32"/>
    <s v="Electric Generators, Electric Utilities"/>
    <x v="2"/>
    <n v="138947"/>
  </r>
  <r>
    <x v="14"/>
    <x v="32"/>
    <s v="Electric Generators, Electric Utilities"/>
    <x v="3"/>
    <n v="2809561"/>
  </r>
  <r>
    <x v="14"/>
    <x v="32"/>
    <s v="Electric Generators, Electric Utilities"/>
    <x v="4"/>
    <n v="30321"/>
  </r>
  <r>
    <x v="14"/>
    <x v="32"/>
    <s v="Combined Heat and Power, Industrial Power"/>
    <x v="0"/>
    <n v="67165"/>
  </r>
  <r>
    <x v="14"/>
    <x v="32"/>
    <s v="Combined Heat and Power, Industrial Power"/>
    <x v="3"/>
    <n v="66110"/>
  </r>
  <r>
    <x v="14"/>
    <x v="32"/>
    <s v="Combined Heat and Power, Industrial Power"/>
    <x v="4"/>
    <n v="1055"/>
  </r>
  <r>
    <x v="14"/>
    <x v="32"/>
    <s v="Combined Heat and Power, Electric Power"/>
    <x v="0"/>
    <n v="0"/>
  </r>
  <r>
    <x v="14"/>
    <x v="32"/>
    <s v="Combined Heat and Power, Electric Power"/>
    <x v="3"/>
    <n v="0"/>
  </r>
  <r>
    <x v="14"/>
    <x v="32"/>
    <s v="Combined Heat and Power, Electric Power"/>
    <x v="8"/>
    <n v="0"/>
  </r>
  <r>
    <x v="14"/>
    <x v="32"/>
    <s v="Combined Heat and Power, Commercial Power"/>
    <x v="0"/>
    <n v="41777"/>
  </r>
  <r>
    <x v="14"/>
    <x v="32"/>
    <s v="Combined Heat and Power, Commercial Power"/>
    <x v="3"/>
    <n v="41777"/>
  </r>
  <r>
    <x v="14"/>
    <x v="33"/>
    <s v="Total Electric Power Industry"/>
    <x v="0"/>
    <n v="37667435"/>
  </r>
  <r>
    <x v="14"/>
    <x v="33"/>
    <s v="Total Electric Power Industry"/>
    <x v="1"/>
    <n v="18257265"/>
  </r>
  <r>
    <x v="14"/>
    <x v="33"/>
    <s v="Total Electric Power Industry"/>
    <x v="11"/>
    <n v="1297504"/>
  </r>
  <r>
    <x v="14"/>
    <x v="33"/>
    <s v="Total Electric Power Industry"/>
    <x v="2"/>
    <n v="1615123"/>
  </r>
  <r>
    <x v="14"/>
    <x v="33"/>
    <s v="Total Electric Power Industry"/>
    <x v="3"/>
    <n v="16380743"/>
  </r>
  <r>
    <x v="14"/>
    <x v="33"/>
    <s v="Total Electric Power Industry"/>
    <x v="9"/>
    <n v="21033"/>
  </r>
  <r>
    <x v="14"/>
    <x v="33"/>
    <s v="Total Electric Power Industry"/>
    <x v="4"/>
    <n v="95766"/>
  </r>
  <r>
    <x v="14"/>
    <x v="33"/>
    <s v="Electric Generators, Independent Power Producers"/>
    <x v="0"/>
    <n v="11022120"/>
  </r>
  <r>
    <x v="14"/>
    <x v="33"/>
    <s v="Electric Generators, Independent Power Producers"/>
    <x v="11"/>
    <n v="1297504"/>
  </r>
  <r>
    <x v="14"/>
    <x v="33"/>
    <s v="Electric Generators, Independent Power Producers"/>
    <x v="2"/>
    <n v="9920"/>
  </r>
  <r>
    <x v="14"/>
    <x v="33"/>
    <s v="Electric Generators, Independent Power Producers"/>
    <x v="3"/>
    <n v="9714695"/>
  </r>
  <r>
    <x v="14"/>
    <x v="33"/>
    <s v="Electric Generators, Independent Power Producers"/>
    <x v="4"/>
    <n v="0"/>
  </r>
  <r>
    <x v="14"/>
    <x v="33"/>
    <s v="Electric Generators, Electric Utilities"/>
    <x v="0"/>
    <n v="24246391"/>
  </r>
  <r>
    <x v="14"/>
    <x v="33"/>
    <s v="Electric Generators, Electric Utilities"/>
    <x v="1"/>
    <n v="18257265"/>
  </r>
  <r>
    <x v="14"/>
    <x v="33"/>
    <s v="Electric Generators, Electric Utilities"/>
    <x v="2"/>
    <n v="1605203"/>
  </r>
  <r>
    <x v="14"/>
    <x v="33"/>
    <s v="Electric Generators, Electric Utilities"/>
    <x v="3"/>
    <n v="4288157"/>
  </r>
  <r>
    <x v="14"/>
    <x v="33"/>
    <s v="Electric Generators, Electric Utilities"/>
    <x v="4"/>
    <n v="95766"/>
  </r>
  <r>
    <x v="14"/>
    <x v="33"/>
    <s v="Combined Heat and Power, Electric Power"/>
    <x v="0"/>
    <n v="2398924"/>
  </r>
  <r>
    <x v="14"/>
    <x v="33"/>
    <s v="Combined Heat and Power, Electric Power"/>
    <x v="3"/>
    <n v="2377891"/>
  </r>
  <r>
    <x v="14"/>
    <x v="33"/>
    <s v="Combined Heat and Power, Electric Power"/>
    <x v="9"/>
    <n v="21033"/>
  </r>
  <r>
    <x v="14"/>
    <x v="33"/>
    <s v="Combined Heat and Power, Electric Power"/>
    <x v="4"/>
    <n v="0"/>
  </r>
  <r>
    <x v="14"/>
    <x v="34"/>
    <s v="Total Electric Power Industry"/>
    <x v="0"/>
    <n v="137964794"/>
  </r>
  <r>
    <x v="14"/>
    <x v="34"/>
    <s v="Total Electric Power Industry"/>
    <x v="1"/>
    <n v="22852704"/>
  </r>
  <r>
    <x v="14"/>
    <x v="34"/>
    <s v="Total Electric Power Industry"/>
    <x v="2"/>
    <n v="23989661"/>
  </r>
  <r>
    <x v="14"/>
    <x v="34"/>
    <s v="Total Electric Power Industry"/>
    <x v="3"/>
    <n v="27294045"/>
  </r>
  <r>
    <x v="14"/>
    <x v="34"/>
    <s v="Total Electric Power Industry"/>
    <x v="7"/>
    <n v="40640305"/>
  </r>
  <r>
    <x v="14"/>
    <x v="34"/>
    <s v="Total Electric Power Industry"/>
    <x v="12"/>
    <n v="884375"/>
  </r>
  <r>
    <x v="14"/>
    <x v="34"/>
    <s v="Total Electric Power Industry"/>
    <x v="8"/>
    <n v="1298097"/>
  </r>
  <r>
    <x v="14"/>
    <x v="34"/>
    <s v="Total Electric Power Industry"/>
    <x v="4"/>
    <n v="21205198"/>
  </r>
  <r>
    <x v="14"/>
    <x v="34"/>
    <s v="Total Electric Power Industry"/>
    <x v="10"/>
    <n v="-813171"/>
  </r>
  <r>
    <x v="14"/>
    <x v="34"/>
    <s v="Total Electric Power Industry"/>
    <x v="5"/>
    <n v="116450"/>
  </r>
  <r>
    <x v="14"/>
    <x v="34"/>
    <s v="Total Electric Power Industry"/>
    <x v="6"/>
    <n v="497129"/>
  </r>
  <r>
    <x v="14"/>
    <x v="34"/>
    <s v="Electric Generators, Independent Power Producers"/>
    <x v="0"/>
    <n v="81182097"/>
  </r>
  <r>
    <x v="14"/>
    <x v="34"/>
    <s v="Electric Generators, Independent Power Producers"/>
    <x v="1"/>
    <n v="19421825"/>
  </r>
  <r>
    <x v="14"/>
    <x v="34"/>
    <s v="Electric Generators, Independent Power Producers"/>
    <x v="2"/>
    <n v="2132600"/>
  </r>
  <r>
    <x v="14"/>
    <x v="34"/>
    <s v="Electric Generators, Independent Power Producers"/>
    <x v="3"/>
    <n v="7436294"/>
  </r>
  <r>
    <x v="14"/>
    <x v="34"/>
    <s v="Electric Generators, Independent Power Producers"/>
    <x v="7"/>
    <n v="38723046"/>
  </r>
  <r>
    <x v="14"/>
    <x v="34"/>
    <s v="Electric Generators, Independent Power Producers"/>
    <x v="12"/>
    <n v="678996"/>
  </r>
  <r>
    <x v="14"/>
    <x v="34"/>
    <s v="Electric Generators, Independent Power Producers"/>
    <x v="8"/>
    <n v="1026057"/>
  </r>
  <r>
    <x v="14"/>
    <x v="34"/>
    <s v="Electric Generators, Independent Power Producers"/>
    <x v="4"/>
    <n v="11514904"/>
  </r>
  <r>
    <x v="14"/>
    <x v="34"/>
    <s v="Electric Generators, Independent Power Producers"/>
    <x v="5"/>
    <n v="116450"/>
  </r>
  <r>
    <x v="14"/>
    <x v="34"/>
    <s v="Electric Generators, Independent Power Producers"/>
    <x v="6"/>
    <n v="131925"/>
  </r>
  <r>
    <x v="14"/>
    <x v="34"/>
    <s v="Electric Generators, Electric Utilities"/>
    <x v="0"/>
    <n v="40955819"/>
  </r>
  <r>
    <x v="14"/>
    <x v="34"/>
    <s v="Electric Generators, Electric Utilities"/>
    <x v="1"/>
    <n v="1707414"/>
  </r>
  <r>
    <x v="14"/>
    <x v="34"/>
    <s v="Electric Generators, Electric Utilities"/>
    <x v="2"/>
    <n v="21774373"/>
  </r>
  <r>
    <x v="14"/>
    <x v="34"/>
    <s v="Electric Generators, Electric Utilities"/>
    <x v="3"/>
    <n v="7210772"/>
  </r>
  <r>
    <x v="14"/>
    <x v="34"/>
    <s v="Electric Generators, Electric Utilities"/>
    <x v="7"/>
    <n v="1917259"/>
  </r>
  <r>
    <x v="14"/>
    <x v="34"/>
    <s v="Electric Generators, Electric Utilities"/>
    <x v="4"/>
    <n v="9159172"/>
  </r>
  <r>
    <x v="14"/>
    <x v="34"/>
    <s v="Electric Generators, Electric Utilities"/>
    <x v="10"/>
    <n v="-813171"/>
  </r>
  <r>
    <x v="14"/>
    <x v="34"/>
    <s v="Combined Heat and Power, Industrial Power"/>
    <x v="0"/>
    <n v="1468441"/>
  </r>
  <r>
    <x v="14"/>
    <x v="34"/>
    <s v="Combined Heat and Power, Industrial Power"/>
    <x v="1"/>
    <n v="675352"/>
  </r>
  <r>
    <x v="14"/>
    <x v="34"/>
    <s v="Combined Heat and Power, Industrial Power"/>
    <x v="2"/>
    <n v="77784"/>
  </r>
  <r>
    <x v="14"/>
    <x v="34"/>
    <s v="Combined Heat and Power, Industrial Power"/>
    <x v="3"/>
    <n v="298239"/>
  </r>
  <r>
    <x v="14"/>
    <x v="34"/>
    <s v="Combined Heat and Power, Industrial Power"/>
    <x v="4"/>
    <n v="184089"/>
  </r>
  <r>
    <x v="14"/>
    <x v="34"/>
    <s v="Combined Heat and Power, Industrial Power"/>
    <x v="6"/>
    <n v="232978"/>
  </r>
  <r>
    <x v="14"/>
    <x v="34"/>
    <s v="Combined Heat and Power, Electric Power"/>
    <x v="0"/>
    <n v="13744027"/>
  </r>
  <r>
    <x v="14"/>
    <x v="34"/>
    <s v="Combined Heat and Power, Electric Power"/>
    <x v="1"/>
    <n v="1023012"/>
  </r>
  <r>
    <x v="14"/>
    <x v="34"/>
    <s v="Combined Heat and Power, Electric Power"/>
    <x v="3"/>
    <n v="12136162"/>
  </r>
  <r>
    <x v="14"/>
    <x v="34"/>
    <s v="Combined Heat and Power, Electric Power"/>
    <x v="12"/>
    <n v="97387"/>
  </r>
  <r>
    <x v="14"/>
    <x v="34"/>
    <s v="Combined Heat and Power, Electric Power"/>
    <x v="8"/>
    <n v="140051"/>
  </r>
  <r>
    <x v="14"/>
    <x v="34"/>
    <s v="Combined Heat and Power, Electric Power"/>
    <x v="4"/>
    <n v="215188"/>
  </r>
  <r>
    <x v="14"/>
    <x v="34"/>
    <s v="Combined Heat and Power, Electric Power"/>
    <x v="6"/>
    <n v="132226"/>
  </r>
  <r>
    <x v="14"/>
    <x v="34"/>
    <s v="Combined Heat and Power, Commercial Power"/>
    <x v="0"/>
    <n v="614409"/>
  </r>
  <r>
    <x v="14"/>
    <x v="34"/>
    <s v="Combined Heat and Power, Commercial Power"/>
    <x v="1"/>
    <n v="25101"/>
  </r>
  <r>
    <x v="14"/>
    <x v="34"/>
    <s v="Combined Heat and Power, Commercial Power"/>
    <x v="2"/>
    <n v="4905"/>
  </r>
  <r>
    <x v="14"/>
    <x v="34"/>
    <s v="Combined Heat and Power, Commercial Power"/>
    <x v="3"/>
    <n v="212578"/>
  </r>
  <r>
    <x v="14"/>
    <x v="34"/>
    <s v="Combined Heat and Power, Commercial Power"/>
    <x v="12"/>
    <n v="107992"/>
  </r>
  <r>
    <x v="14"/>
    <x v="34"/>
    <s v="Combined Heat and Power, Commercial Power"/>
    <x v="8"/>
    <n v="131989"/>
  </r>
  <r>
    <x v="14"/>
    <x v="34"/>
    <s v="Combined Heat and Power, Commercial Power"/>
    <x v="4"/>
    <n v="131844"/>
  </r>
  <r>
    <x v="14"/>
    <x v="35"/>
    <s v="Total Electric Power Industry"/>
    <x v="0"/>
    <n v="148345905"/>
  </r>
  <r>
    <x v="14"/>
    <x v="35"/>
    <s v="Total Electric Power Industry"/>
    <x v="1"/>
    <n v="128156782"/>
  </r>
  <r>
    <x v="14"/>
    <x v="35"/>
    <s v="Total Electric Power Industry"/>
    <x v="2"/>
    <n v="729876"/>
  </r>
  <r>
    <x v="14"/>
    <x v="35"/>
    <s v="Total Electric Power Industry"/>
    <x v="3"/>
    <n v="1390995"/>
  </r>
  <r>
    <x v="14"/>
    <x v="35"/>
    <s v="Total Electric Power Industry"/>
    <x v="7"/>
    <n v="15950121"/>
  </r>
  <r>
    <x v="14"/>
    <x v="35"/>
    <s v="Total Electric Power Industry"/>
    <x v="12"/>
    <n v="11"/>
  </r>
  <r>
    <x v="14"/>
    <x v="35"/>
    <s v="Total Electric Power Industry"/>
    <x v="8"/>
    <n v="30069"/>
  </r>
  <r>
    <x v="14"/>
    <x v="35"/>
    <s v="Total Electric Power Industry"/>
    <x v="9"/>
    <n v="302063"/>
  </r>
  <r>
    <x v="14"/>
    <x v="35"/>
    <s v="Total Electric Power Industry"/>
    <x v="4"/>
    <n v="1388281"/>
  </r>
  <r>
    <x v="14"/>
    <x v="35"/>
    <s v="Total Electric Power Industry"/>
    <x v="6"/>
    <n v="397708"/>
  </r>
  <r>
    <x v="14"/>
    <x v="35"/>
    <s v="Electric Generators, Independent Power Producers"/>
    <x v="0"/>
    <n v="4699059"/>
  </r>
  <r>
    <x v="14"/>
    <x v="35"/>
    <s v="Electric Generators, Independent Power Producers"/>
    <x v="1"/>
    <n v="3707990"/>
  </r>
  <r>
    <x v="14"/>
    <x v="35"/>
    <s v="Electric Generators, Independent Power Producers"/>
    <x v="3"/>
    <n v="939099"/>
  </r>
  <r>
    <x v="14"/>
    <x v="35"/>
    <s v="Electric Generators, Independent Power Producers"/>
    <x v="8"/>
    <n v="26368"/>
  </r>
  <r>
    <x v="14"/>
    <x v="35"/>
    <s v="Electric Generators, Independent Power Producers"/>
    <x v="4"/>
    <n v="25602"/>
  </r>
  <r>
    <x v="14"/>
    <x v="35"/>
    <s v="Electric Generators, Electric Utilities"/>
    <x v="0"/>
    <n v="142305499"/>
  </r>
  <r>
    <x v="14"/>
    <x v="35"/>
    <s v="Electric Generators, Electric Utilities"/>
    <x v="1"/>
    <n v="124004082"/>
  </r>
  <r>
    <x v="14"/>
    <x v="35"/>
    <s v="Electric Generators, Electric Utilities"/>
    <x v="2"/>
    <n v="729876"/>
  </r>
  <r>
    <x v="14"/>
    <x v="35"/>
    <s v="Electric Generators, Electric Utilities"/>
    <x v="3"/>
    <n v="266954"/>
  </r>
  <r>
    <x v="14"/>
    <x v="35"/>
    <s v="Electric Generators, Electric Utilities"/>
    <x v="7"/>
    <n v="15950121"/>
  </r>
  <r>
    <x v="14"/>
    <x v="35"/>
    <s v="Electric Generators, Electric Utilities"/>
    <x v="4"/>
    <n v="1354023"/>
  </r>
  <r>
    <x v="14"/>
    <x v="35"/>
    <s v="Electric Generators, Electric Utilities"/>
    <x v="6"/>
    <n v="443"/>
  </r>
  <r>
    <x v="14"/>
    <x v="35"/>
    <s v="Combined Heat and Power, Industrial Power"/>
    <x v="0"/>
    <n v="1022053"/>
  </r>
  <r>
    <x v="14"/>
    <x v="35"/>
    <s v="Combined Heat and Power, Industrial Power"/>
    <x v="1"/>
    <n v="444607"/>
  </r>
  <r>
    <x v="14"/>
    <x v="35"/>
    <s v="Combined Heat and Power, Industrial Power"/>
    <x v="3"/>
    <n v="34360"/>
  </r>
  <r>
    <x v="14"/>
    <x v="35"/>
    <s v="Combined Heat and Power, Industrial Power"/>
    <x v="8"/>
    <n v="3701"/>
  </r>
  <r>
    <x v="14"/>
    <x v="35"/>
    <s v="Combined Heat and Power, Industrial Power"/>
    <x v="9"/>
    <n v="179207"/>
  </r>
  <r>
    <x v="14"/>
    <x v="35"/>
    <s v="Combined Heat and Power, Industrial Power"/>
    <x v="4"/>
    <n v="8649"/>
  </r>
  <r>
    <x v="14"/>
    <x v="35"/>
    <s v="Combined Heat and Power, Industrial Power"/>
    <x v="6"/>
    <n v="351530"/>
  </r>
  <r>
    <x v="14"/>
    <x v="35"/>
    <s v="Combined Heat and Power, Electric Power"/>
    <x v="0"/>
    <n v="319134"/>
  </r>
  <r>
    <x v="14"/>
    <x v="35"/>
    <s v="Combined Heat and Power, Electric Power"/>
    <x v="3"/>
    <n v="150579"/>
  </r>
  <r>
    <x v="14"/>
    <x v="35"/>
    <s v="Combined Heat and Power, Electric Power"/>
    <x v="9"/>
    <n v="122857"/>
  </r>
  <r>
    <x v="14"/>
    <x v="35"/>
    <s v="Combined Heat and Power, Electric Power"/>
    <x v="6"/>
    <n v="45698"/>
  </r>
  <r>
    <x v="14"/>
    <x v="35"/>
    <s v="Combined Heat and Power, Commercial Power"/>
    <x v="0"/>
    <n v="160"/>
  </r>
  <r>
    <x v="14"/>
    <x v="35"/>
    <s v="Combined Heat and Power, Commercial Power"/>
    <x v="1"/>
    <n v="103"/>
  </r>
  <r>
    <x v="14"/>
    <x v="35"/>
    <s v="Combined Heat and Power, Commercial Power"/>
    <x v="3"/>
    <n v="3"/>
  </r>
  <r>
    <x v="14"/>
    <x v="35"/>
    <s v="Combined Heat and Power, Commercial Power"/>
    <x v="12"/>
    <n v="11"/>
  </r>
  <r>
    <x v="14"/>
    <x v="35"/>
    <s v="Combined Heat and Power, Commercial Power"/>
    <x v="4"/>
    <n v="6"/>
  </r>
  <r>
    <x v="14"/>
    <x v="35"/>
    <s v="Combined Heat and Power, Commercial Power"/>
    <x v="6"/>
    <n v="37"/>
  </r>
  <r>
    <x v="14"/>
    <x v="36"/>
    <s v="Total Electric Power Industry"/>
    <x v="0"/>
    <n v="60729560"/>
  </r>
  <r>
    <x v="14"/>
    <x v="36"/>
    <s v="Total Electric Power Industry"/>
    <x v="1"/>
    <n v="33801386"/>
  </r>
  <r>
    <x v="14"/>
    <x v="36"/>
    <s v="Total Electric Power Industry"/>
    <x v="2"/>
    <n v="2976676"/>
  </r>
  <r>
    <x v="14"/>
    <x v="36"/>
    <s v="Total Electric Power Industry"/>
    <x v="3"/>
    <n v="23285579"/>
  </r>
  <r>
    <x v="14"/>
    <x v="36"/>
    <s v="Total Electric Power Industry"/>
    <x v="12"/>
    <n v="8867"/>
  </r>
  <r>
    <x v="14"/>
    <x v="36"/>
    <s v="Total Electric Power Industry"/>
    <x v="8"/>
    <n v="0"/>
  </r>
  <r>
    <x v="14"/>
    <x v="36"/>
    <s v="Total Electric Power Industry"/>
    <x v="4"/>
    <n v="68312"/>
  </r>
  <r>
    <x v="14"/>
    <x v="36"/>
    <s v="Total Electric Power Industry"/>
    <x v="10"/>
    <n v="-233879"/>
  </r>
  <r>
    <x v="14"/>
    <x v="36"/>
    <s v="Total Electric Power Industry"/>
    <x v="5"/>
    <n v="572744"/>
  </r>
  <r>
    <x v="14"/>
    <x v="36"/>
    <s v="Total Electric Power Industry"/>
    <x v="6"/>
    <n v="249875"/>
  </r>
  <r>
    <x v="14"/>
    <x v="36"/>
    <s v="Electric Generators, Independent Power Producers"/>
    <x v="0"/>
    <n v="8913259"/>
  </r>
  <r>
    <x v="14"/>
    <x v="36"/>
    <s v="Electric Generators, Independent Power Producers"/>
    <x v="3"/>
    <n v="8340515"/>
  </r>
  <r>
    <x v="14"/>
    <x v="36"/>
    <s v="Electric Generators, Independent Power Producers"/>
    <x v="5"/>
    <n v="572744"/>
  </r>
  <r>
    <x v="14"/>
    <x v="36"/>
    <s v="Electric Generators, Electric Utilities"/>
    <x v="0"/>
    <n v="48298390"/>
  </r>
  <r>
    <x v="14"/>
    <x v="36"/>
    <s v="Electric Generators, Electric Utilities"/>
    <x v="1"/>
    <n v="31240478"/>
  </r>
  <r>
    <x v="14"/>
    <x v="36"/>
    <s v="Electric Generators, Electric Utilities"/>
    <x v="2"/>
    <n v="2976676"/>
  </r>
  <r>
    <x v="14"/>
    <x v="36"/>
    <s v="Electric Generators, Electric Utilities"/>
    <x v="3"/>
    <n v="14294108"/>
  </r>
  <r>
    <x v="14"/>
    <x v="36"/>
    <s v="Electric Generators, Electric Utilities"/>
    <x v="4"/>
    <n v="21008"/>
  </r>
  <r>
    <x v="14"/>
    <x v="36"/>
    <s v="Electric Generators, Electric Utilities"/>
    <x v="10"/>
    <n v="-233879"/>
  </r>
  <r>
    <x v="14"/>
    <x v="36"/>
    <s v="Combined Heat and Power, Industrial Power"/>
    <x v="0"/>
    <n v="1244614"/>
  </r>
  <r>
    <x v="14"/>
    <x v="36"/>
    <s v="Combined Heat and Power, Industrial Power"/>
    <x v="1"/>
    <n v="463201"/>
  </r>
  <r>
    <x v="14"/>
    <x v="36"/>
    <s v="Combined Heat and Power, Industrial Power"/>
    <x v="3"/>
    <n v="475795"/>
  </r>
  <r>
    <x v="14"/>
    <x v="36"/>
    <s v="Combined Heat and Power, Industrial Power"/>
    <x v="12"/>
    <n v="8867"/>
  </r>
  <r>
    <x v="14"/>
    <x v="36"/>
    <s v="Combined Heat and Power, Industrial Power"/>
    <x v="8"/>
    <n v="0"/>
  </r>
  <r>
    <x v="14"/>
    <x v="36"/>
    <s v="Combined Heat and Power, Industrial Power"/>
    <x v="4"/>
    <n v="46877"/>
  </r>
  <r>
    <x v="14"/>
    <x v="36"/>
    <s v="Combined Heat and Power, Industrial Power"/>
    <x v="6"/>
    <n v="249875"/>
  </r>
  <r>
    <x v="14"/>
    <x v="36"/>
    <s v="Combined Heat and Power, Electric Power"/>
    <x v="0"/>
    <n v="2255750"/>
  </r>
  <r>
    <x v="14"/>
    <x v="36"/>
    <s v="Combined Heat and Power, Electric Power"/>
    <x v="1"/>
    <n v="2097707"/>
  </r>
  <r>
    <x v="14"/>
    <x v="36"/>
    <s v="Combined Heat and Power, Electric Power"/>
    <x v="3"/>
    <n v="158043"/>
  </r>
  <r>
    <x v="14"/>
    <x v="36"/>
    <s v="Combined Heat and Power, Commercial Power"/>
    <x v="0"/>
    <n v="17547"/>
  </r>
  <r>
    <x v="14"/>
    <x v="36"/>
    <s v="Combined Heat and Power, Commercial Power"/>
    <x v="3"/>
    <n v="17119"/>
  </r>
  <r>
    <x v="14"/>
    <x v="36"/>
    <s v="Combined Heat and Power, Commercial Power"/>
    <x v="4"/>
    <n v="428"/>
  </r>
  <r>
    <x v="14"/>
    <x v="37"/>
    <s v="Total Electric Power Industry"/>
    <x v="0"/>
    <n v="51381278"/>
  </r>
  <r>
    <x v="14"/>
    <x v="37"/>
    <s v="Total Electric Power Industry"/>
    <x v="1"/>
    <n v="3555661"/>
  </r>
  <r>
    <x v="14"/>
    <x v="37"/>
    <s v="Total Electric Power Industry"/>
    <x v="2"/>
    <n v="33080819"/>
  </r>
  <r>
    <x v="14"/>
    <x v="37"/>
    <s v="Total Electric Power Industry"/>
    <x v="3"/>
    <n v="13525183"/>
  </r>
  <r>
    <x v="14"/>
    <x v="37"/>
    <s v="Total Electric Power Industry"/>
    <x v="12"/>
    <n v="41579"/>
  </r>
  <r>
    <x v="14"/>
    <x v="37"/>
    <s v="Total Electric Power Industry"/>
    <x v="8"/>
    <n v="86140"/>
  </r>
  <r>
    <x v="14"/>
    <x v="37"/>
    <s v="Total Electric Power Industry"/>
    <x v="4"/>
    <n v="62933"/>
  </r>
  <r>
    <x v="14"/>
    <x v="37"/>
    <s v="Total Electric Power Industry"/>
    <x v="5"/>
    <n v="619012"/>
  </r>
  <r>
    <x v="14"/>
    <x v="37"/>
    <s v="Total Electric Power Industry"/>
    <x v="6"/>
    <n v="409951"/>
  </r>
  <r>
    <x v="14"/>
    <x v="37"/>
    <s v="Electric Generators, Independent Power Producers"/>
    <x v="0"/>
    <n v="4800813"/>
  </r>
  <r>
    <x v="14"/>
    <x v="37"/>
    <s v="Electric Generators, Independent Power Producers"/>
    <x v="2"/>
    <n v="184784"/>
  </r>
  <r>
    <x v="14"/>
    <x v="37"/>
    <s v="Electric Generators, Independent Power Producers"/>
    <x v="3"/>
    <n v="3997017"/>
  </r>
  <r>
    <x v="14"/>
    <x v="37"/>
    <s v="Electric Generators, Independent Power Producers"/>
    <x v="5"/>
    <n v="619012"/>
  </r>
  <r>
    <x v="14"/>
    <x v="37"/>
    <s v="Electric Generators, Electric Utilities"/>
    <x v="0"/>
    <n v="39092958"/>
  </r>
  <r>
    <x v="14"/>
    <x v="37"/>
    <s v="Electric Generators, Electric Utilities"/>
    <x v="1"/>
    <n v="3535764"/>
  </r>
  <r>
    <x v="14"/>
    <x v="37"/>
    <s v="Electric Generators, Electric Utilities"/>
    <x v="2"/>
    <n v="32896035"/>
  </r>
  <r>
    <x v="14"/>
    <x v="37"/>
    <s v="Electric Generators, Electric Utilities"/>
    <x v="3"/>
    <n v="2605531"/>
  </r>
  <r>
    <x v="14"/>
    <x v="37"/>
    <s v="Electric Generators, Electric Utilities"/>
    <x v="8"/>
    <n v="35323"/>
  </r>
  <r>
    <x v="14"/>
    <x v="37"/>
    <s v="Electric Generators, Electric Utilities"/>
    <x v="4"/>
    <n v="20305"/>
  </r>
  <r>
    <x v="14"/>
    <x v="37"/>
    <s v="Combined Heat and Power, Industrial Power"/>
    <x v="0"/>
    <n v="1590608"/>
  </r>
  <r>
    <x v="14"/>
    <x v="37"/>
    <s v="Combined Heat and Power, Industrial Power"/>
    <x v="1"/>
    <n v="19897"/>
  </r>
  <r>
    <x v="14"/>
    <x v="37"/>
    <s v="Combined Heat and Power, Industrial Power"/>
    <x v="3"/>
    <n v="1118137"/>
  </r>
  <r>
    <x v="14"/>
    <x v="37"/>
    <s v="Combined Heat and Power, Industrial Power"/>
    <x v="4"/>
    <n v="42623"/>
  </r>
  <r>
    <x v="14"/>
    <x v="37"/>
    <s v="Combined Heat and Power, Industrial Power"/>
    <x v="6"/>
    <n v="409951"/>
  </r>
  <r>
    <x v="14"/>
    <x v="37"/>
    <s v="Combined Heat and Power, Electric Power"/>
    <x v="0"/>
    <n v="5891122"/>
  </r>
  <r>
    <x v="14"/>
    <x v="37"/>
    <s v="Combined Heat and Power, Electric Power"/>
    <x v="3"/>
    <n v="5798726"/>
  </r>
  <r>
    <x v="14"/>
    <x v="37"/>
    <s v="Combined Heat and Power, Electric Power"/>
    <x v="12"/>
    <n v="41579"/>
  </r>
  <r>
    <x v="14"/>
    <x v="37"/>
    <s v="Combined Heat and Power, Electric Power"/>
    <x v="8"/>
    <n v="50817"/>
  </r>
  <r>
    <x v="14"/>
    <x v="37"/>
    <s v="Combined Heat and Power, Electric Power"/>
    <x v="6"/>
    <n v="0"/>
  </r>
  <r>
    <x v="14"/>
    <x v="37"/>
    <s v="Combined Heat and Power, Commercial Power"/>
    <x v="0"/>
    <n v="5777"/>
  </r>
  <r>
    <x v="14"/>
    <x v="37"/>
    <s v="Combined Heat and Power, Commercial Power"/>
    <x v="3"/>
    <n v="5772"/>
  </r>
  <r>
    <x v="14"/>
    <x v="37"/>
    <s v="Combined Heat and Power, Commercial Power"/>
    <x v="4"/>
    <n v="5"/>
  </r>
  <r>
    <x v="14"/>
    <x v="38"/>
    <s v="Total Electric Power Industry"/>
    <x v="0"/>
    <n v="214658501"/>
  </r>
  <r>
    <x v="14"/>
    <x v="38"/>
    <s v="Total Electric Power Industry"/>
    <x v="1"/>
    <n v="117175783"/>
  </r>
  <r>
    <x v="14"/>
    <x v="38"/>
    <s v="Total Electric Power Industry"/>
    <x v="2"/>
    <n v="3155338"/>
  </r>
  <r>
    <x v="14"/>
    <x v="38"/>
    <s v="Total Electric Power Industry"/>
    <x v="3"/>
    <n v="9813647"/>
  </r>
  <r>
    <x v="14"/>
    <x v="38"/>
    <s v="Total Electric Power Industry"/>
    <x v="7"/>
    <n v="77458632"/>
  </r>
  <r>
    <x v="14"/>
    <x v="38"/>
    <s v="Total Electric Power Industry"/>
    <x v="12"/>
    <n v="739746"/>
  </r>
  <r>
    <x v="14"/>
    <x v="38"/>
    <s v="Total Electric Power Industry"/>
    <x v="8"/>
    <n v="1289489"/>
  </r>
  <r>
    <x v="14"/>
    <x v="38"/>
    <s v="Total Electric Power Industry"/>
    <x v="9"/>
    <n v="583772"/>
  </r>
  <r>
    <x v="14"/>
    <x v="38"/>
    <s v="Total Electric Power Industry"/>
    <x v="4"/>
    <n v="4141813"/>
  </r>
  <r>
    <x v="14"/>
    <x v="38"/>
    <s v="Total Electric Power Industry"/>
    <x v="10"/>
    <n v="-685884"/>
  </r>
  <r>
    <x v="14"/>
    <x v="38"/>
    <s v="Total Electric Power Industry"/>
    <x v="5"/>
    <n v="306312"/>
  </r>
  <r>
    <x v="14"/>
    <x v="38"/>
    <s v="Total Electric Power Industry"/>
    <x v="6"/>
    <n v="679853"/>
  </r>
  <r>
    <x v="14"/>
    <x v="38"/>
    <s v="Electric Generators, Independent Power Producers"/>
    <x v="0"/>
    <n v="170336439"/>
  </r>
  <r>
    <x v="14"/>
    <x v="38"/>
    <s v="Electric Generators, Independent Power Producers"/>
    <x v="1"/>
    <n v="92385914"/>
  </r>
  <r>
    <x v="14"/>
    <x v="38"/>
    <s v="Electric Generators, Independent Power Producers"/>
    <x v="2"/>
    <n v="1488611"/>
  </r>
  <r>
    <x v="14"/>
    <x v="38"/>
    <s v="Electric Generators, Independent Power Producers"/>
    <x v="3"/>
    <n v="8096061"/>
  </r>
  <r>
    <x v="14"/>
    <x v="38"/>
    <s v="Electric Generators, Independent Power Producers"/>
    <x v="7"/>
    <n v="63465253"/>
  </r>
  <r>
    <x v="14"/>
    <x v="38"/>
    <s v="Electric Generators, Independent Power Producers"/>
    <x v="12"/>
    <n v="625414"/>
  </r>
  <r>
    <x v="14"/>
    <x v="38"/>
    <s v="Electric Generators, Independent Power Producers"/>
    <x v="8"/>
    <n v="1004468"/>
  </r>
  <r>
    <x v="14"/>
    <x v="38"/>
    <s v="Electric Generators, Independent Power Producers"/>
    <x v="9"/>
    <n v="702"/>
  </r>
  <r>
    <x v="14"/>
    <x v="38"/>
    <s v="Electric Generators, Independent Power Producers"/>
    <x v="4"/>
    <n v="3435098"/>
  </r>
  <r>
    <x v="14"/>
    <x v="38"/>
    <s v="Electric Generators, Independent Power Producers"/>
    <x v="10"/>
    <n v="-471393"/>
  </r>
  <r>
    <x v="14"/>
    <x v="38"/>
    <s v="Electric Generators, Independent Power Producers"/>
    <x v="5"/>
    <n v="306312"/>
  </r>
  <r>
    <x v="14"/>
    <x v="38"/>
    <s v="Electric Generators, Electric Utilities"/>
    <x v="0"/>
    <n v="33900004"/>
  </r>
  <r>
    <x v="14"/>
    <x v="38"/>
    <s v="Electric Generators, Electric Utilities"/>
    <x v="1"/>
    <n v="18396944"/>
  </r>
  <r>
    <x v="14"/>
    <x v="38"/>
    <s v="Electric Generators, Electric Utilities"/>
    <x v="2"/>
    <n v="1666727"/>
  </r>
  <r>
    <x v="14"/>
    <x v="38"/>
    <s v="Electric Generators, Electric Utilities"/>
    <x v="3"/>
    <n v="25316"/>
  </r>
  <r>
    <x v="14"/>
    <x v="38"/>
    <s v="Electric Generators, Electric Utilities"/>
    <x v="7"/>
    <n v="13993379"/>
  </r>
  <r>
    <x v="14"/>
    <x v="38"/>
    <s v="Electric Generators, Electric Utilities"/>
    <x v="4"/>
    <n v="32129"/>
  </r>
  <r>
    <x v="14"/>
    <x v="38"/>
    <s v="Electric Generators, Electric Utilities"/>
    <x v="10"/>
    <n v="-214491"/>
  </r>
  <r>
    <x v="14"/>
    <x v="38"/>
    <s v="Combined Heat and Power, Industrial Power"/>
    <x v="0"/>
    <n v="3332133"/>
  </r>
  <r>
    <x v="14"/>
    <x v="38"/>
    <s v="Combined Heat and Power, Industrial Power"/>
    <x v="1"/>
    <n v="1244036"/>
  </r>
  <r>
    <x v="14"/>
    <x v="38"/>
    <s v="Combined Heat and Power, Industrial Power"/>
    <x v="3"/>
    <n v="785358"/>
  </r>
  <r>
    <x v="14"/>
    <x v="38"/>
    <s v="Combined Heat and Power, Industrial Power"/>
    <x v="12"/>
    <n v="40"/>
  </r>
  <r>
    <x v="14"/>
    <x v="38"/>
    <s v="Combined Heat and Power, Industrial Power"/>
    <x v="8"/>
    <n v="8705"/>
  </r>
  <r>
    <x v="14"/>
    <x v="38"/>
    <s v="Combined Heat and Power, Industrial Power"/>
    <x v="9"/>
    <n v="578753"/>
  </r>
  <r>
    <x v="14"/>
    <x v="38"/>
    <s v="Combined Heat and Power, Industrial Power"/>
    <x v="4"/>
    <n v="236424"/>
  </r>
  <r>
    <x v="14"/>
    <x v="38"/>
    <s v="Combined Heat and Power, Industrial Power"/>
    <x v="6"/>
    <n v="478818"/>
  </r>
  <r>
    <x v="14"/>
    <x v="38"/>
    <s v="Combined Heat and Power, Electric Power"/>
    <x v="0"/>
    <n v="6675843"/>
  </r>
  <r>
    <x v="14"/>
    <x v="38"/>
    <s v="Combined Heat and Power, Electric Power"/>
    <x v="1"/>
    <n v="5137622"/>
  </r>
  <r>
    <x v="14"/>
    <x v="38"/>
    <s v="Combined Heat and Power, Electric Power"/>
    <x v="3"/>
    <n v="715894"/>
  </r>
  <r>
    <x v="14"/>
    <x v="38"/>
    <s v="Combined Heat and Power, Electric Power"/>
    <x v="12"/>
    <n v="20791"/>
  </r>
  <r>
    <x v="14"/>
    <x v="38"/>
    <s v="Combined Heat and Power, Electric Power"/>
    <x v="8"/>
    <n v="162037"/>
  </r>
  <r>
    <x v="14"/>
    <x v="38"/>
    <s v="Combined Heat and Power, Electric Power"/>
    <x v="9"/>
    <n v="4317"/>
  </r>
  <r>
    <x v="14"/>
    <x v="38"/>
    <s v="Combined Heat and Power, Electric Power"/>
    <x v="4"/>
    <n v="434147"/>
  </r>
  <r>
    <x v="14"/>
    <x v="38"/>
    <s v="Combined Heat and Power, Electric Power"/>
    <x v="6"/>
    <n v="201035"/>
  </r>
  <r>
    <x v="14"/>
    <x v="38"/>
    <s v="Combined Heat and Power, Commercial Power"/>
    <x v="0"/>
    <n v="414081"/>
  </r>
  <r>
    <x v="14"/>
    <x v="38"/>
    <s v="Combined Heat and Power, Commercial Power"/>
    <x v="1"/>
    <n v="11268"/>
  </r>
  <r>
    <x v="14"/>
    <x v="38"/>
    <s v="Combined Heat and Power, Commercial Power"/>
    <x v="3"/>
    <n v="191019"/>
  </r>
  <r>
    <x v="14"/>
    <x v="38"/>
    <s v="Combined Heat and Power, Commercial Power"/>
    <x v="12"/>
    <n v="93501"/>
  </r>
  <r>
    <x v="14"/>
    <x v="38"/>
    <s v="Combined Heat and Power, Commercial Power"/>
    <x v="8"/>
    <n v="114279"/>
  </r>
  <r>
    <x v="14"/>
    <x v="38"/>
    <s v="Combined Heat and Power, Commercial Power"/>
    <x v="4"/>
    <n v="4015"/>
  </r>
  <r>
    <x v="14"/>
    <x v="39"/>
    <s v="Total Electric Power Industry"/>
    <x v="0"/>
    <n v="4939420"/>
  </r>
  <r>
    <x v="14"/>
    <x v="39"/>
    <s v="Total Electric Power Industry"/>
    <x v="2"/>
    <n v="5461"/>
  </r>
  <r>
    <x v="14"/>
    <x v="39"/>
    <s v="Total Electric Power Industry"/>
    <x v="3"/>
    <n v="4783907"/>
  </r>
  <r>
    <x v="14"/>
    <x v="39"/>
    <s v="Total Electric Power Industry"/>
    <x v="8"/>
    <n v="101526"/>
  </r>
  <r>
    <x v="14"/>
    <x v="39"/>
    <s v="Total Electric Power Industry"/>
    <x v="4"/>
    <n v="48525"/>
  </r>
  <r>
    <x v="14"/>
    <x v="39"/>
    <s v="Electric Generators, Independent Power Producers"/>
    <x v="0"/>
    <n v="4891401"/>
  </r>
  <r>
    <x v="14"/>
    <x v="39"/>
    <s v="Electric Generators, Independent Power Producers"/>
    <x v="2"/>
    <n v="5461"/>
  </r>
  <r>
    <x v="14"/>
    <x v="39"/>
    <s v="Electric Generators, Independent Power Producers"/>
    <x v="3"/>
    <n v="4783678"/>
  </r>
  <r>
    <x v="14"/>
    <x v="39"/>
    <s v="Electric Generators, Independent Power Producers"/>
    <x v="8"/>
    <n v="101526"/>
  </r>
  <r>
    <x v="14"/>
    <x v="39"/>
    <s v="Electric Generators, Independent Power Producers"/>
    <x v="4"/>
    <n v="736"/>
  </r>
  <r>
    <x v="14"/>
    <x v="39"/>
    <s v="Electric Generators, Electric Utilities"/>
    <x v="0"/>
    <n v="12402"/>
  </r>
  <r>
    <x v="14"/>
    <x v="39"/>
    <s v="Electric Generators, Electric Utilities"/>
    <x v="4"/>
    <n v="12402"/>
  </r>
  <r>
    <x v="14"/>
    <x v="39"/>
    <s v="Combined Heat and Power, Industrial Power"/>
    <x v="0"/>
    <n v="2397"/>
  </r>
  <r>
    <x v="14"/>
    <x v="39"/>
    <s v="Combined Heat and Power, Industrial Power"/>
    <x v="4"/>
    <n v="2397"/>
  </r>
  <r>
    <x v="14"/>
    <x v="39"/>
    <s v="Combined Heat and Power, Electric Power"/>
    <x v="0"/>
    <n v="0"/>
  </r>
  <r>
    <x v="14"/>
    <x v="39"/>
    <s v="Combined Heat and Power, Electric Power"/>
    <x v="3"/>
    <n v="0"/>
  </r>
  <r>
    <x v="14"/>
    <x v="39"/>
    <s v="Combined Heat and Power, Electric Power"/>
    <x v="4"/>
    <n v="0"/>
  </r>
  <r>
    <x v="14"/>
    <x v="39"/>
    <s v="Combined Heat and Power, Commercial Power"/>
    <x v="0"/>
    <n v="33220"/>
  </r>
  <r>
    <x v="14"/>
    <x v="39"/>
    <s v="Combined Heat and Power, Commercial Power"/>
    <x v="3"/>
    <n v="229"/>
  </r>
  <r>
    <x v="14"/>
    <x v="39"/>
    <s v="Combined Heat and Power, Commercial Power"/>
    <x v="4"/>
    <n v="32990"/>
  </r>
  <r>
    <x v="14"/>
    <x v="40"/>
    <s v="Total Electric Power Industry"/>
    <x v="0"/>
    <n v="97939929"/>
  </r>
  <r>
    <x v="14"/>
    <x v="40"/>
    <s v="Total Electric Power Industry"/>
    <x v="1"/>
    <n v="38922220"/>
  </r>
  <r>
    <x v="14"/>
    <x v="40"/>
    <s v="Total Electric Power Industry"/>
    <x v="2"/>
    <n v="2446909"/>
  </r>
  <r>
    <x v="14"/>
    <x v="40"/>
    <s v="Total Electric Power Industry"/>
    <x v="3"/>
    <n v="3797858"/>
  </r>
  <r>
    <x v="14"/>
    <x v="40"/>
    <s v="Total Electric Power Industry"/>
    <x v="7"/>
    <n v="51200640"/>
  </r>
  <r>
    <x v="14"/>
    <x v="40"/>
    <s v="Total Electric Power Industry"/>
    <x v="12"/>
    <n v="86912"/>
  </r>
  <r>
    <x v="14"/>
    <x v="40"/>
    <s v="Total Electric Power Industry"/>
    <x v="8"/>
    <n v="68960"/>
  </r>
  <r>
    <x v="14"/>
    <x v="40"/>
    <s v="Total Electric Power Industry"/>
    <x v="9"/>
    <n v="10"/>
  </r>
  <r>
    <x v="14"/>
    <x v="40"/>
    <s v="Total Electric Power Industry"/>
    <x v="4"/>
    <n v="871291"/>
  </r>
  <r>
    <x v="14"/>
    <x v="40"/>
    <s v="Total Electric Power Industry"/>
    <x v="10"/>
    <n v="-1149090"/>
  </r>
  <r>
    <x v="14"/>
    <x v="40"/>
    <s v="Total Electric Power Industry"/>
    <x v="6"/>
    <n v="1694219"/>
  </r>
  <r>
    <x v="14"/>
    <x v="40"/>
    <s v="Electric Generators, Independent Power Producers"/>
    <x v="0"/>
    <n v="485709"/>
  </r>
  <r>
    <x v="14"/>
    <x v="40"/>
    <s v="Electric Generators, Independent Power Producers"/>
    <x v="2"/>
    <n v="62612"/>
  </r>
  <r>
    <x v="14"/>
    <x v="40"/>
    <s v="Electric Generators, Independent Power Producers"/>
    <x v="3"/>
    <n v="411981"/>
  </r>
  <r>
    <x v="14"/>
    <x v="40"/>
    <s v="Electric Generators, Independent Power Producers"/>
    <x v="4"/>
    <n v="11116"/>
  </r>
  <r>
    <x v="14"/>
    <x v="40"/>
    <s v="Electric Generators, Electric Utilities"/>
    <x v="0"/>
    <n v="94406828"/>
  </r>
  <r>
    <x v="14"/>
    <x v="40"/>
    <s v="Electric Generators, Electric Utilities"/>
    <x v="1"/>
    <n v="38516633"/>
  </r>
  <r>
    <x v="14"/>
    <x v="40"/>
    <s v="Electric Generators, Electric Utilities"/>
    <x v="2"/>
    <n v="2382225"/>
  </r>
  <r>
    <x v="14"/>
    <x v="40"/>
    <s v="Electric Generators, Electric Utilities"/>
    <x v="3"/>
    <n v="2527103"/>
  </r>
  <r>
    <x v="14"/>
    <x v="40"/>
    <s v="Electric Generators, Electric Utilities"/>
    <x v="7"/>
    <n v="51200640"/>
  </r>
  <r>
    <x v="14"/>
    <x v="40"/>
    <s v="Electric Generators, Electric Utilities"/>
    <x v="8"/>
    <n v="23391"/>
  </r>
  <r>
    <x v="14"/>
    <x v="40"/>
    <s v="Electric Generators, Electric Utilities"/>
    <x v="4"/>
    <n v="690071"/>
  </r>
  <r>
    <x v="14"/>
    <x v="40"/>
    <s v="Electric Generators, Electric Utilities"/>
    <x v="10"/>
    <n v="-1149090"/>
  </r>
  <r>
    <x v="14"/>
    <x v="40"/>
    <s v="Electric Generators, Electric Utilities"/>
    <x v="6"/>
    <n v="215855"/>
  </r>
  <r>
    <x v="14"/>
    <x v="40"/>
    <s v="Combined Heat and Power, Industrial Power"/>
    <x v="0"/>
    <n v="2105842"/>
  </r>
  <r>
    <x v="14"/>
    <x v="40"/>
    <s v="Combined Heat and Power, Industrial Power"/>
    <x v="1"/>
    <n v="405587"/>
  </r>
  <r>
    <x v="14"/>
    <x v="40"/>
    <s v="Combined Heat and Power, Industrial Power"/>
    <x v="3"/>
    <n v="10751"/>
  </r>
  <r>
    <x v="14"/>
    <x v="40"/>
    <s v="Combined Heat and Power, Industrial Power"/>
    <x v="12"/>
    <n v="49628"/>
  </r>
  <r>
    <x v="14"/>
    <x v="40"/>
    <s v="Combined Heat and Power, Industrial Power"/>
    <x v="9"/>
    <n v="10"/>
  </r>
  <r>
    <x v="14"/>
    <x v="40"/>
    <s v="Combined Heat and Power, Industrial Power"/>
    <x v="4"/>
    <n v="161503"/>
  </r>
  <r>
    <x v="14"/>
    <x v="40"/>
    <s v="Combined Heat and Power, Industrial Power"/>
    <x v="6"/>
    <n v="1478364"/>
  </r>
  <r>
    <x v="14"/>
    <x v="40"/>
    <s v="Combined Heat and Power, Electric Power"/>
    <x v="0"/>
    <n v="854836"/>
  </r>
  <r>
    <x v="14"/>
    <x v="40"/>
    <s v="Combined Heat and Power, Electric Power"/>
    <x v="3"/>
    <n v="847691"/>
  </r>
  <r>
    <x v="14"/>
    <x v="40"/>
    <s v="Combined Heat and Power, Electric Power"/>
    <x v="4"/>
    <n v="7145"/>
  </r>
  <r>
    <x v="14"/>
    <x v="40"/>
    <s v="Combined Heat and Power, Commercial Power"/>
    <x v="0"/>
    <n v="86714"/>
  </r>
  <r>
    <x v="14"/>
    <x v="40"/>
    <s v="Combined Heat and Power, Commercial Power"/>
    <x v="2"/>
    <n v="2072"/>
  </r>
  <r>
    <x v="14"/>
    <x v="40"/>
    <s v="Combined Heat and Power, Commercial Power"/>
    <x v="3"/>
    <n v="332"/>
  </r>
  <r>
    <x v="14"/>
    <x v="40"/>
    <s v="Combined Heat and Power, Commercial Power"/>
    <x v="12"/>
    <n v="37284"/>
  </r>
  <r>
    <x v="14"/>
    <x v="40"/>
    <s v="Combined Heat and Power, Commercial Power"/>
    <x v="8"/>
    <n v="45569"/>
  </r>
  <r>
    <x v="14"/>
    <x v="40"/>
    <s v="Combined Heat and Power, Commercial Power"/>
    <x v="4"/>
    <n v="1457"/>
  </r>
  <r>
    <x v="14"/>
    <x v="41"/>
    <s v="Total Electric Power Industry"/>
    <x v="0"/>
    <n v="7510214"/>
  </r>
  <r>
    <x v="14"/>
    <x v="41"/>
    <s v="Total Electric Power Industry"/>
    <x v="1"/>
    <n v="3620001"/>
  </r>
  <r>
    <x v="14"/>
    <x v="41"/>
    <s v="Total Electric Power Industry"/>
    <x v="2"/>
    <n v="3597509"/>
  </r>
  <r>
    <x v="14"/>
    <x v="41"/>
    <s v="Total Electric Power Industry"/>
    <x v="3"/>
    <n v="112255"/>
  </r>
  <r>
    <x v="14"/>
    <x v="41"/>
    <s v="Total Electric Power Industry"/>
    <x v="12"/>
    <n v="0"/>
  </r>
  <r>
    <x v="14"/>
    <x v="41"/>
    <s v="Total Electric Power Industry"/>
    <x v="4"/>
    <n v="22771"/>
  </r>
  <r>
    <x v="14"/>
    <x v="41"/>
    <s v="Total Electric Power Industry"/>
    <x v="5"/>
    <n v="157678"/>
  </r>
  <r>
    <x v="14"/>
    <x v="41"/>
    <s v="Electric Generators, Independent Power Producers"/>
    <x v="0"/>
    <n v="152597"/>
  </r>
  <r>
    <x v="14"/>
    <x v="41"/>
    <s v="Electric Generators, Independent Power Producers"/>
    <x v="5"/>
    <n v="152597"/>
  </r>
  <r>
    <x v="14"/>
    <x v="41"/>
    <s v="Electric Generators, Electric Utilities"/>
    <x v="0"/>
    <n v="7357617"/>
  </r>
  <r>
    <x v="14"/>
    <x v="41"/>
    <s v="Electric Generators, Electric Utilities"/>
    <x v="1"/>
    <n v="3620001"/>
  </r>
  <r>
    <x v="14"/>
    <x v="41"/>
    <s v="Electric Generators, Electric Utilities"/>
    <x v="2"/>
    <n v="3597509"/>
  </r>
  <r>
    <x v="14"/>
    <x v="41"/>
    <s v="Electric Generators, Electric Utilities"/>
    <x v="3"/>
    <n v="112255"/>
  </r>
  <r>
    <x v="14"/>
    <x v="41"/>
    <s v="Electric Generators, Electric Utilities"/>
    <x v="12"/>
    <n v="0"/>
  </r>
  <r>
    <x v="14"/>
    <x v="41"/>
    <s v="Electric Generators, Electric Utilities"/>
    <x v="4"/>
    <n v="22771"/>
  </r>
  <r>
    <x v="14"/>
    <x v="41"/>
    <s v="Electric Generators, Electric Utilities"/>
    <x v="5"/>
    <n v="5081"/>
  </r>
  <r>
    <x v="14"/>
    <x v="42"/>
    <s v="Total Electric Power Industry"/>
    <x v="0"/>
    <n v="97594542"/>
  </r>
  <r>
    <x v="14"/>
    <x v="42"/>
    <s v="Total Electric Power Industry"/>
    <x v="1"/>
    <n v="58059632"/>
  </r>
  <r>
    <x v="14"/>
    <x v="42"/>
    <s v="Total Electric Power Industry"/>
    <x v="2"/>
    <n v="10408112"/>
  </r>
  <r>
    <x v="14"/>
    <x v="42"/>
    <s v="Total Electric Power Industry"/>
    <x v="3"/>
    <n v="292486"/>
  </r>
  <r>
    <x v="14"/>
    <x v="42"/>
    <s v="Total Electric Power Industry"/>
    <x v="7"/>
    <n v="28612271"/>
  </r>
  <r>
    <x v="14"/>
    <x v="42"/>
    <s v="Total Electric Power Industry"/>
    <x v="12"/>
    <n v="5799"/>
  </r>
  <r>
    <x v="14"/>
    <x v="42"/>
    <s v="Total Electric Power Industry"/>
    <x v="8"/>
    <n v="41803"/>
  </r>
  <r>
    <x v="14"/>
    <x v="42"/>
    <s v="Total Electric Power Industry"/>
    <x v="9"/>
    <n v="13325"/>
  </r>
  <r>
    <x v="14"/>
    <x v="42"/>
    <s v="Total Electric Power Industry"/>
    <x v="4"/>
    <n v="190814"/>
  </r>
  <r>
    <x v="14"/>
    <x v="42"/>
    <s v="Total Electric Power Industry"/>
    <x v="10"/>
    <n v="-817826"/>
  </r>
  <r>
    <x v="14"/>
    <x v="42"/>
    <s v="Total Electric Power Industry"/>
    <x v="5"/>
    <n v="3813"/>
  </r>
  <r>
    <x v="14"/>
    <x v="42"/>
    <s v="Total Electric Power Industry"/>
    <x v="6"/>
    <n v="784313"/>
  </r>
  <r>
    <x v="14"/>
    <x v="42"/>
    <s v="Electric Generators, Independent Power Producers"/>
    <x v="0"/>
    <n v="28832"/>
  </r>
  <r>
    <x v="14"/>
    <x v="42"/>
    <s v="Electric Generators, Independent Power Producers"/>
    <x v="3"/>
    <n v="8845"/>
  </r>
  <r>
    <x v="14"/>
    <x v="42"/>
    <s v="Electric Generators, Independent Power Producers"/>
    <x v="8"/>
    <n v="19987"/>
  </r>
  <r>
    <x v="14"/>
    <x v="42"/>
    <s v="Electric Generators, Electric Utilities"/>
    <x v="0"/>
    <n v="94371964"/>
  </r>
  <r>
    <x v="14"/>
    <x v="42"/>
    <s v="Electric Generators, Electric Utilities"/>
    <x v="1"/>
    <n v="56583558"/>
  </r>
  <r>
    <x v="14"/>
    <x v="42"/>
    <s v="Electric Generators, Electric Utilities"/>
    <x v="2"/>
    <n v="9649206"/>
  </r>
  <r>
    <x v="14"/>
    <x v="42"/>
    <s v="Electric Generators, Electric Utilities"/>
    <x v="3"/>
    <n v="173999"/>
  </r>
  <r>
    <x v="14"/>
    <x v="42"/>
    <s v="Electric Generators, Electric Utilities"/>
    <x v="7"/>
    <n v="28612271"/>
  </r>
  <r>
    <x v="14"/>
    <x v="42"/>
    <s v="Electric Generators, Electric Utilities"/>
    <x v="4"/>
    <n v="166943"/>
  </r>
  <r>
    <x v="14"/>
    <x v="42"/>
    <s v="Electric Generators, Electric Utilities"/>
    <x v="10"/>
    <n v="-817826"/>
  </r>
  <r>
    <x v="14"/>
    <x v="42"/>
    <s v="Electric Generators, Electric Utilities"/>
    <x v="5"/>
    <n v="3813"/>
  </r>
  <r>
    <x v="14"/>
    <x v="42"/>
    <s v="Combined Heat and Power, Industrial Power"/>
    <x v="0"/>
    <n v="3083213"/>
  </r>
  <r>
    <x v="14"/>
    <x v="42"/>
    <s v="Combined Heat and Power, Industrial Power"/>
    <x v="1"/>
    <n v="1437923"/>
  </r>
  <r>
    <x v="14"/>
    <x v="42"/>
    <s v="Combined Heat and Power, Industrial Power"/>
    <x v="2"/>
    <n v="758906"/>
  </r>
  <r>
    <x v="14"/>
    <x v="42"/>
    <s v="Combined Heat and Power, Industrial Power"/>
    <x v="3"/>
    <n v="37260"/>
  </r>
  <r>
    <x v="14"/>
    <x v="42"/>
    <s v="Combined Heat and Power, Industrial Power"/>
    <x v="12"/>
    <n v="5799"/>
  </r>
  <r>
    <x v="14"/>
    <x v="42"/>
    <s v="Combined Heat and Power, Industrial Power"/>
    <x v="8"/>
    <n v="21816"/>
  </r>
  <r>
    <x v="14"/>
    <x v="42"/>
    <s v="Combined Heat and Power, Industrial Power"/>
    <x v="9"/>
    <n v="13325"/>
  </r>
  <r>
    <x v="14"/>
    <x v="42"/>
    <s v="Combined Heat and Power, Industrial Power"/>
    <x v="4"/>
    <n v="23871"/>
  </r>
  <r>
    <x v="14"/>
    <x v="42"/>
    <s v="Combined Heat and Power, Industrial Power"/>
    <x v="6"/>
    <n v="784313"/>
  </r>
  <r>
    <x v="14"/>
    <x v="42"/>
    <s v="Combined Heat and Power, Commercial Power"/>
    <x v="0"/>
    <n v="110533"/>
  </r>
  <r>
    <x v="14"/>
    <x v="42"/>
    <s v="Combined Heat and Power, Commercial Power"/>
    <x v="1"/>
    <n v="38151"/>
  </r>
  <r>
    <x v="14"/>
    <x v="42"/>
    <s v="Combined Heat and Power, Commercial Power"/>
    <x v="3"/>
    <n v="72382"/>
  </r>
  <r>
    <x v="14"/>
    <x v="43"/>
    <s v="Total Electric Power Industry"/>
    <x v="0"/>
    <n v="390299132"/>
  </r>
  <r>
    <x v="14"/>
    <x v="43"/>
    <s v="Total Electric Power Industry"/>
    <x v="1"/>
    <n v="148884655"/>
  </r>
  <r>
    <x v="14"/>
    <x v="43"/>
    <s v="Total Electric Power Industry"/>
    <x v="2"/>
    <n v="1300609"/>
  </r>
  <r>
    <x v="14"/>
    <x v="43"/>
    <s v="Total Electric Power Industry"/>
    <x v="3"/>
    <n v="188754663"/>
  </r>
  <r>
    <x v="14"/>
    <x v="43"/>
    <s v="Total Electric Power Industry"/>
    <x v="7"/>
    <n v="40435372"/>
  </r>
  <r>
    <x v="14"/>
    <x v="43"/>
    <s v="Total Electric Power Industry"/>
    <x v="12"/>
    <n v="744556"/>
  </r>
  <r>
    <x v="14"/>
    <x v="43"/>
    <s v="Total Electric Power Industry"/>
    <x v="8"/>
    <n v="251780"/>
  </r>
  <r>
    <x v="14"/>
    <x v="43"/>
    <s v="Total Electric Power Industry"/>
    <x v="9"/>
    <n v="4203684"/>
  </r>
  <r>
    <x v="14"/>
    <x v="43"/>
    <s v="Total Electric Power Industry"/>
    <x v="4"/>
    <n v="1728906"/>
  </r>
  <r>
    <x v="14"/>
    <x v="43"/>
    <s v="Total Electric Power Industry"/>
    <x v="5"/>
    <n v="3137690"/>
  </r>
  <r>
    <x v="14"/>
    <x v="43"/>
    <s v="Total Electric Power Industry"/>
    <x v="6"/>
    <n v="857217"/>
  </r>
  <r>
    <x v="14"/>
    <x v="43"/>
    <s v="Electric Generators, Independent Power Producers"/>
    <x v="0"/>
    <n v="205977547"/>
  </r>
  <r>
    <x v="14"/>
    <x v="43"/>
    <s v="Electric Generators, Independent Power Producers"/>
    <x v="1"/>
    <n v="82320687"/>
  </r>
  <r>
    <x v="14"/>
    <x v="43"/>
    <s v="Electric Generators, Independent Power Producers"/>
    <x v="2"/>
    <n v="34511"/>
  </r>
  <r>
    <x v="14"/>
    <x v="43"/>
    <s v="Electric Generators, Independent Power Producers"/>
    <x v="3"/>
    <n v="79664296"/>
  </r>
  <r>
    <x v="14"/>
    <x v="43"/>
    <s v="Electric Generators, Independent Power Producers"/>
    <x v="7"/>
    <n v="40435372"/>
  </r>
  <r>
    <x v="14"/>
    <x v="43"/>
    <s v="Electric Generators, Independent Power Producers"/>
    <x v="8"/>
    <n v="204465"/>
  </r>
  <r>
    <x v="14"/>
    <x v="43"/>
    <s v="Electric Generators, Independent Power Producers"/>
    <x v="4"/>
    <n v="182980"/>
  </r>
  <r>
    <x v="14"/>
    <x v="43"/>
    <s v="Electric Generators, Independent Power Producers"/>
    <x v="5"/>
    <n v="3135236"/>
  </r>
  <r>
    <x v="14"/>
    <x v="43"/>
    <s v="Electric Generators, Electric Utilities"/>
    <x v="0"/>
    <n v="92054150"/>
  </r>
  <r>
    <x v="14"/>
    <x v="43"/>
    <s v="Electric Generators, Electric Utilities"/>
    <x v="1"/>
    <n v="63893450"/>
  </r>
  <r>
    <x v="14"/>
    <x v="43"/>
    <s v="Electric Generators, Electric Utilities"/>
    <x v="2"/>
    <n v="1266098"/>
  </r>
  <r>
    <x v="14"/>
    <x v="43"/>
    <s v="Electric Generators, Electric Utilities"/>
    <x v="3"/>
    <n v="26726978"/>
  </r>
  <r>
    <x v="14"/>
    <x v="43"/>
    <s v="Electric Generators, Electric Utilities"/>
    <x v="12"/>
    <n v="97546"/>
  </r>
  <r>
    <x v="14"/>
    <x v="43"/>
    <s v="Electric Generators, Electric Utilities"/>
    <x v="4"/>
    <n v="67624"/>
  </r>
  <r>
    <x v="14"/>
    <x v="43"/>
    <s v="Electric Generators, Electric Utilities"/>
    <x v="5"/>
    <n v="2454"/>
  </r>
  <r>
    <x v="14"/>
    <x v="43"/>
    <s v="Combined Heat and Power, Industrial Power"/>
    <x v="0"/>
    <n v="41951006"/>
  </r>
  <r>
    <x v="14"/>
    <x v="43"/>
    <s v="Combined Heat and Power, Industrial Power"/>
    <x v="1"/>
    <n v="2670518"/>
  </r>
  <r>
    <x v="14"/>
    <x v="43"/>
    <s v="Combined Heat and Power, Industrial Power"/>
    <x v="3"/>
    <n v="34785052"/>
  </r>
  <r>
    <x v="14"/>
    <x v="43"/>
    <s v="Combined Heat and Power, Industrial Power"/>
    <x v="12"/>
    <n v="541866"/>
  </r>
  <r>
    <x v="14"/>
    <x v="43"/>
    <s v="Combined Heat and Power, Industrial Power"/>
    <x v="8"/>
    <n v="15297"/>
  </r>
  <r>
    <x v="14"/>
    <x v="43"/>
    <s v="Combined Heat and Power, Industrial Power"/>
    <x v="9"/>
    <n v="2770344"/>
  </r>
  <r>
    <x v="14"/>
    <x v="43"/>
    <s v="Combined Heat and Power, Industrial Power"/>
    <x v="4"/>
    <n v="310711"/>
  </r>
  <r>
    <x v="14"/>
    <x v="43"/>
    <s v="Combined Heat and Power, Industrial Power"/>
    <x v="6"/>
    <n v="857217"/>
  </r>
  <r>
    <x v="14"/>
    <x v="43"/>
    <s v="Combined Heat and Power, Electric Power"/>
    <x v="0"/>
    <n v="49840547"/>
  </r>
  <r>
    <x v="14"/>
    <x v="43"/>
    <s v="Combined Heat and Power, Electric Power"/>
    <x v="3"/>
    <n v="47133674"/>
  </r>
  <r>
    <x v="14"/>
    <x v="43"/>
    <s v="Combined Heat and Power, Electric Power"/>
    <x v="12"/>
    <n v="104212"/>
  </r>
  <r>
    <x v="14"/>
    <x v="43"/>
    <s v="Combined Heat and Power, Electric Power"/>
    <x v="8"/>
    <n v="4336"/>
  </r>
  <r>
    <x v="14"/>
    <x v="43"/>
    <s v="Combined Heat and Power, Electric Power"/>
    <x v="9"/>
    <n v="1433340"/>
  </r>
  <r>
    <x v="14"/>
    <x v="43"/>
    <s v="Combined Heat and Power, Electric Power"/>
    <x v="4"/>
    <n v="1164985"/>
  </r>
  <r>
    <x v="14"/>
    <x v="43"/>
    <s v="Combined Heat and Power, Commercial Power"/>
    <x v="0"/>
    <n v="475882"/>
  </r>
  <r>
    <x v="14"/>
    <x v="43"/>
    <s v="Combined Heat and Power, Commercial Power"/>
    <x v="3"/>
    <n v="444663"/>
  </r>
  <r>
    <x v="14"/>
    <x v="43"/>
    <s v="Combined Heat and Power, Commercial Power"/>
    <x v="12"/>
    <n v="931"/>
  </r>
  <r>
    <x v="14"/>
    <x v="43"/>
    <s v="Combined Heat and Power, Commercial Power"/>
    <x v="8"/>
    <n v="27682"/>
  </r>
  <r>
    <x v="14"/>
    <x v="43"/>
    <s v="Combined Heat and Power, Commercial Power"/>
    <x v="4"/>
    <n v="2606"/>
  </r>
  <r>
    <x v="14"/>
    <x v="44"/>
    <s v="Total Electric Power Industry"/>
    <x v="0"/>
    <n v="3970555263"/>
  </r>
  <r>
    <x v="14"/>
    <x v="44"/>
    <s v="Total Electric Power Industry"/>
    <x v="1"/>
    <n v="1978300549"/>
  </r>
  <r>
    <x v="14"/>
    <x v="44"/>
    <s v="Total Electric Power Industry"/>
    <x v="11"/>
    <n v="14810975"/>
  </r>
  <r>
    <x v="14"/>
    <x v="44"/>
    <s v="Total Electric Power Industry"/>
    <x v="2"/>
    <n v="268417308"/>
  </r>
  <r>
    <x v="14"/>
    <x v="44"/>
    <s v="Total Electric Power Industry"/>
    <x v="3"/>
    <n v="710100017"/>
  </r>
  <r>
    <x v="14"/>
    <x v="44"/>
    <s v="Total Electric Power Industry"/>
    <x v="7"/>
    <n v="788528387"/>
  </r>
  <r>
    <x v="14"/>
    <x v="44"/>
    <s v="Total Electric Power Industry"/>
    <x v="12"/>
    <n v="14232401"/>
  </r>
  <r>
    <x v="14"/>
    <x v="44"/>
    <s v="Total Electric Power Industry"/>
    <x v="8"/>
    <n v="15420570"/>
  </r>
  <r>
    <x v="14"/>
    <x v="44"/>
    <s v="Total Electric Power Industry"/>
    <x v="9"/>
    <n v="15252431"/>
  </r>
  <r>
    <x v="14"/>
    <x v="44"/>
    <s v="Total Electric Power Industry"/>
    <x v="4"/>
    <n v="121145057"/>
  </r>
  <r>
    <x v="14"/>
    <x v="44"/>
    <s v="Total Electric Power Industry"/>
    <x v="10"/>
    <n v="-8488210"/>
  </r>
  <r>
    <x v="14"/>
    <x v="44"/>
    <s v="Total Electric Power Industry"/>
    <x v="13"/>
    <n v="575155"/>
  </r>
  <r>
    <x v="14"/>
    <x v="44"/>
    <s v="Total Electric Power Industry"/>
    <x v="5"/>
    <n v="14143741"/>
  </r>
  <r>
    <x v="14"/>
    <x v="44"/>
    <s v="Total Electric Power Industry"/>
    <x v="6"/>
    <n v="38116883"/>
  </r>
  <r>
    <x v="14"/>
    <x v="44"/>
    <s v="Electric Generators, Independent Power Producers"/>
    <x v="0"/>
    <n v="1118870083"/>
  </r>
  <r>
    <x v="14"/>
    <x v="44"/>
    <s v="Electric Generators, Independent Power Producers"/>
    <x v="1"/>
    <n v="407418419"/>
  </r>
  <r>
    <x v="14"/>
    <x v="44"/>
    <s v="Electric Generators, Independent Power Producers"/>
    <x v="11"/>
    <n v="13562892"/>
  </r>
  <r>
    <x v="14"/>
    <x v="44"/>
    <s v="Electric Generators, Independent Power Producers"/>
    <x v="2"/>
    <n v="19517886"/>
  </r>
  <r>
    <x v="14"/>
    <x v="44"/>
    <s v="Electric Generators, Independent Power Producers"/>
    <x v="3"/>
    <n v="291526722"/>
  </r>
  <r>
    <x v="14"/>
    <x v="44"/>
    <s v="Electric Generators, Independent Power Producers"/>
    <x v="7"/>
    <n v="312846110"/>
  </r>
  <r>
    <x v="14"/>
    <x v="44"/>
    <s v="Electric Generators, Independent Power Producers"/>
    <x v="12"/>
    <n v="7108243"/>
  </r>
  <r>
    <x v="14"/>
    <x v="44"/>
    <s v="Electric Generators, Independent Power Producers"/>
    <x v="8"/>
    <n v="10932484"/>
  </r>
  <r>
    <x v="14"/>
    <x v="44"/>
    <s v="Electric Generators, Independent Power Producers"/>
    <x v="9"/>
    <n v="6970"/>
  </r>
  <r>
    <x v="14"/>
    <x v="44"/>
    <s v="Electric Generators, Independent Power Producers"/>
    <x v="4"/>
    <n v="35664951"/>
  </r>
  <r>
    <x v="14"/>
    <x v="44"/>
    <s v="Electric Generators, Independent Power Producers"/>
    <x v="10"/>
    <n v="-962004"/>
  </r>
  <r>
    <x v="14"/>
    <x v="44"/>
    <s v="Electric Generators, Independent Power Producers"/>
    <x v="13"/>
    <n v="568930"/>
  </r>
  <r>
    <x v="14"/>
    <x v="44"/>
    <s v="Electric Generators, Independent Power Producers"/>
    <x v="5"/>
    <n v="13738762"/>
  </r>
  <r>
    <x v="14"/>
    <x v="44"/>
    <s v="Electric Generators, Independent Power Producers"/>
    <x v="6"/>
    <n v="6939720"/>
  </r>
  <r>
    <x v="14"/>
    <x v="44"/>
    <s v="Electric Generators, Electric Utilities"/>
    <x v="0"/>
    <n v="2505231152"/>
  </r>
  <r>
    <x v="14"/>
    <x v="44"/>
    <s v="Electric Generators, Electric Utilities"/>
    <x v="1"/>
    <n v="1513640806"/>
  </r>
  <r>
    <x v="14"/>
    <x v="44"/>
    <s v="Electric Generators, Electric Utilities"/>
    <x v="11"/>
    <n v="1248083"/>
  </r>
  <r>
    <x v="14"/>
    <x v="44"/>
    <s v="Electric Generators, Electric Utilities"/>
    <x v="2"/>
    <n v="245545963"/>
  </r>
  <r>
    <x v="14"/>
    <x v="44"/>
    <s v="Electric Generators, Electric Utilities"/>
    <x v="3"/>
    <n v="199662043"/>
  </r>
  <r>
    <x v="14"/>
    <x v="44"/>
    <s v="Electric Generators, Electric Utilities"/>
    <x v="7"/>
    <n v="475682277"/>
  </r>
  <r>
    <x v="14"/>
    <x v="44"/>
    <s v="Electric Generators, Electric Utilities"/>
    <x v="12"/>
    <n v="466733"/>
  </r>
  <r>
    <x v="14"/>
    <x v="44"/>
    <s v="Electric Generators, Electric Utilities"/>
    <x v="8"/>
    <n v="823712"/>
  </r>
  <r>
    <x v="14"/>
    <x v="44"/>
    <s v="Electric Generators, Electric Utilities"/>
    <x v="9"/>
    <n v="374012"/>
  </r>
  <r>
    <x v="14"/>
    <x v="44"/>
    <s v="Electric Generators, Electric Utilities"/>
    <x v="4"/>
    <n v="73693695"/>
  </r>
  <r>
    <x v="14"/>
    <x v="44"/>
    <s v="Electric Generators, Electric Utilities"/>
    <x v="10"/>
    <n v="-7526206"/>
  </r>
  <r>
    <x v="14"/>
    <x v="44"/>
    <s v="Electric Generators, Electric Utilities"/>
    <x v="13"/>
    <n v="6225"/>
  </r>
  <r>
    <x v="14"/>
    <x v="44"/>
    <s v="Electric Generators, Electric Utilities"/>
    <x v="5"/>
    <n v="404978"/>
  </r>
  <r>
    <x v="14"/>
    <x v="44"/>
    <s v="Electric Generators, Electric Utilities"/>
    <x v="6"/>
    <n v="1208832"/>
  </r>
  <r>
    <x v="14"/>
    <x v="44"/>
    <s v="Combined Heat and Power, Industrial Power"/>
    <x v="0"/>
    <n v="153925180"/>
  </r>
  <r>
    <x v="14"/>
    <x v="44"/>
    <s v="Combined Heat and Power, Industrial Power"/>
    <x v="1"/>
    <n v="19772837"/>
  </r>
  <r>
    <x v="14"/>
    <x v="44"/>
    <s v="Combined Heat and Power, Industrial Power"/>
    <x v="2"/>
    <n v="3248493"/>
  </r>
  <r>
    <x v="14"/>
    <x v="44"/>
    <s v="Combined Heat and Power, Industrial Power"/>
    <x v="3"/>
    <n v="78959120"/>
  </r>
  <r>
    <x v="14"/>
    <x v="44"/>
    <s v="Combined Heat and Power, Industrial Power"/>
    <x v="12"/>
    <n v="5129158"/>
  </r>
  <r>
    <x v="14"/>
    <x v="44"/>
    <s v="Combined Heat and Power, Industrial Power"/>
    <x v="8"/>
    <n v="796988"/>
  </r>
  <r>
    <x v="14"/>
    <x v="44"/>
    <s v="Combined Heat and Power, Industrial Power"/>
    <x v="9"/>
    <n v="11684198"/>
  </r>
  <r>
    <x v="14"/>
    <x v="44"/>
    <s v="Combined Heat and Power, Industrial Power"/>
    <x v="4"/>
    <n v="5967300"/>
  </r>
  <r>
    <x v="14"/>
    <x v="44"/>
    <s v="Combined Heat and Power, Industrial Power"/>
    <x v="6"/>
    <n v="28367085"/>
  </r>
  <r>
    <x v="14"/>
    <x v="44"/>
    <s v="Combined Heat and Power, Electric Power"/>
    <x v="0"/>
    <n v="184259161"/>
  </r>
  <r>
    <x v="14"/>
    <x v="44"/>
    <s v="Combined Heat and Power, Electric Power"/>
    <x v="1"/>
    <n v="36128486"/>
  </r>
  <r>
    <x v="14"/>
    <x v="44"/>
    <s v="Combined Heat and Power, Electric Power"/>
    <x v="3"/>
    <n v="135982855"/>
  </r>
  <r>
    <x v="14"/>
    <x v="44"/>
    <s v="Combined Heat and Power, Electric Power"/>
    <x v="12"/>
    <n v="747464"/>
  </r>
  <r>
    <x v="14"/>
    <x v="44"/>
    <s v="Combined Heat and Power, Electric Power"/>
    <x v="8"/>
    <n v="1305592"/>
  </r>
  <r>
    <x v="14"/>
    <x v="44"/>
    <s v="Combined Heat and Power, Electric Power"/>
    <x v="9"/>
    <n v="3187251"/>
  </r>
  <r>
    <x v="14"/>
    <x v="44"/>
    <s v="Combined Heat and Power, Electric Power"/>
    <x v="4"/>
    <n v="5319661"/>
  </r>
  <r>
    <x v="14"/>
    <x v="44"/>
    <s v="Combined Heat and Power, Electric Power"/>
    <x v="6"/>
    <n v="1587852"/>
  </r>
  <r>
    <x v="14"/>
    <x v="44"/>
    <s v="Combined Heat and Power, Commercial Power"/>
    <x v="0"/>
    <n v="8269686"/>
  </r>
  <r>
    <x v="14"/>
    <x v="44"/>
    <s v="Combined Heat and Power, Commercial Power"/>
    <x v="1"/>
    <n v="1340001"/>
  </r>
  <r>
    <x v="14"/>
    <x v="44"/>
    <s v="Combined Heat and Power, Commercial Power"/>
    <x v="2"/>
    <n v="104967"/>
  </r>
  <r>
    <x v="14"/>
    <x v="44"/>
    <s v="Combined Heat and Power, Commercial Power"/>
    <x v="3"/>
    <n v="3969276"/>
  </r>
  <r>
    <x v="14"/>
    <x v="44"/>
    <s v="Combined Heat and Power, Commercial Power"/>
    <x v="12"/>
    <n v="780803"/>
  </r>
  <r>
    <x v="14"/>
    <x v="44"/>
    <s v="Combined Heat and Power, Commercial Power"/>
    <x v="8"/>
    <n v="1561794"/>
  </r>
  <r>
    <x v="14"/>
    <x v="44"/>
    <s v="Combined Heat and Power, Commercial Power"/>
    <x v="9"/>
    <n v="0"/>
  </r>
  <r>
    <x v="14"/>
    <x v="44"/>
    <s v="Combined Heat and Power, Commercial Power"/>
    <x v="4"/>
    <n v="499450"/>
  </r>
  <r>
    <x v="14"/>
    <x v="44"/>
    <s v="Combined Heat and Power, Commercial Power"/>
    <x v="6"/>
    <n v="13394"/>
  </r>
  <r>
    <x v="14"/>
    <x v="45"/>
    <s v="Total Electric Power Industry"/>
    <x v="0"/>
    <n v="38211977"/>
  </r>
  <r>
    <x v="14"/>
    <x v="45"/>
    <s v="Total Electric Power Industry"/>
    <x v="1"/>
    <n v="36617854"/>
  </r>
  <r>
    <x v="14"/>
    <x v="45"/>
    <s v="Total Electric Power Industry"/>
    <x v="11"/>
    <n v="194876"/>
  </r>
  <r>
    <x v="14"/>
    <x v="45"/>
    <s v="Total Electric Power Industry"/>
    <x v="2"/>
    <n v="449848"/>
  </r>
  <r>
    <x v="14"/>
    <x v="45"/>
    <s v="Total Electric Power Industry"/>
    <x v="3"/>
    <n v="909850"/>
  </r>
  <r>
    <x v="14"/>
    <x v="45"/>
    <s v="Total Electric Power Industry"/>
    <x v="12"/>
    <n v="3126"/>
  </r>
  <r>
    <x v="14"/>
    <x v="45"/>
    <s v="Total Electric Power Industry"/>
    <x v="8"/>
    <n v="3821"/>
  </r>
  <r>
    <x v="14"/>
    <x v="45"/>
    <s v="Total Electric Power Industry"/>
    <x v="9"/>
    <n v="0"/>
  </r>
  <r>
    <x v="14"/>
    <x v="45"/>
    <s v="Total Electric Power Industry"/>
    <x v="4"/>
    <n v="32601"/>
  </r>
  <r>
    <x v="14"/>
    <x v="45"/>
    <s v="Electric Generators, Independent Power Producers"/>
    <x v="0"/>
    <n v="405957"/>
  </r>
  <r>
    <x v="14"/>
    <x v="45"/>
    <s v="Electric Generators, Independent Power Producers"/>
    <x v="1"/>
    <n v="395307"/>
  </r>
  <r>
    <x v="14"/>
    <x v="45"/>
    <s v="Electric Generators, Independent Power Producers"/>
    <x v="2"/>
    <n v="9929"/>
  </r>
  <r>
    <x v="14"/>
    <x v="45"/>
    <s v="Electric Generators, Independent Power Producers"/>
    <x v="3"/>
    <n v="721"/>
  </r>
  <r>
    <x v="14"/>
    <x v="45"/>
    <s v="Electric Generators, Independent Power Producers"/>
    <x v="4"/>
    <n v="0"/>
  </r>
  <r>
    <x v="14"/>
    <x v="45"/>
    <s v="Electric Generators, Electric Utilities"/>
    <x v="0"/>
    <n v="37165917"/>
  </r>
  <r>
    <x v="14"/>
    <x v="45"/>
    <s v="Electric Generators, Electric Utilities"/>
    <x v="1"/>
    <n v="35634374"/>
  </r>
  <r>
    <x v="14"/>
    <x v="45"/>
    <s v="Electric Generators, Electric Utilities"/>
    <x v="11"/>
    <n v="194876"/>
  </r>
  <r>
    <x v="14"/>
    <x v="45"/>
    <s v="Electric Generators, Electric Utilities"/>
    <x v="2"/>
    <n v="439919"/>
  </r>
  <r>
    <x v="14"/>
    <x v="45"/>
    <s v="Electric Generators, Electric Utilities"/>
    <x v="3"/>
    <n v="864181"/>
  </r>
  <r>
    <x v="14"/>
    <x v="45"/>
    <s v="Electric Generators, Electric Utilities"/>
    <x v="4"/>
    <n v="32567"/>
  </r>
  <r>
    <x v="14"/>
    <x v="45"/>
    <s v="Combined Heat and Power, Industrial Power"/>
    <x v="0"/>
    <n v="611875"/>
  </r>
  <r>
    <x v="14"/>
    <x v="45"/>
    <s v="Combined Heat and Power, Industrial Power"/>
    <x v="1"/>
    <n v="588173"/>
  </r>
  <r>
    <x v="14"/>
    <x v="45"/>
    <s v="Combined Heat and Power, Industrial Power"/>
    <x v="3"/>
    <n v="23702"/>
  </r>
  <r>
    <x v="14"/>
    <x v="45"/>
    <s v="Combined Heat and Power, Electric Power"/>
    <x v="0"/>
    <n v="6982"/>
  </r>
  <r>
    <x v="14"/>
    <x v="45"/>
    <s v="Combined Heat and Power, Electric Power"/>
    <x v="12"/>
    <n v="3126"/>
  </r>
  <r>
    <x v="14"/>
    <x v="45"/>
    <s v="Combined Heat and Power, Electric Power"/>
    <x v="8"/>
    <n v="3821"/>
  </r>
  <r>
    <x v="14"/>
    <x v="45"/>
    <s v="Combined Heat and Power, Electric Power"/>
    <x v="4"/>
    <n v="34"/>
  </r>
  <r>
    <x v="14"/>
    <x v="45"/>
    <s v="Combined Heat and Power, Commercial Power"/>
    <x v="0"/>
    <n v="21246"/>
  </r>
  <r>
    <x v="14"/>
    <x v="45"/>
    <s v="Combined Heat and Power, Commercial Power"/>
    <x v="3"/>
    <n v="21246"/>
  </r>
  <r>
    <x v="14"/>
    <x v="45"/>
    <s v="Combined Heat and Power, Commercial Power"/>
    <x v="9"/>
    <n v="0"/>
  </r>
  <r>
    <x v="14"/>
    <x v="45"/>
    <s v="Combined Heat and Power, Commercial Power"/>
    <x v="4"/>
    <n v="0"/>
  </r>
  <r>
    <x v="14"/>
    <x v="46"/>
    <s v="Total Electric Power Industry"/>
    <x v="0"/>
    <n v="78900040"/>
  </r>
  <r>
    <x v="14"/>
    <x v="46"/>
    <s v="Total Electric Power Industry"/>
    <x v="1"/>
    <n v="35656006"/>
  </r>
  <r>
    <x v="14"/>
    <x v="46"/>
    <s v="Total Electric Power Industry"/>
    <x v="2"/>
    <n v="1583050"/>
  </r>
  <r>
    <x v="14"/>
    <x v="46"/>
    <s v="Total Electric Power Industry"/>
    <x v="3"/>
    <n v="6437809"/>
  </r>
  <r>
    <x v="14"/>
    <x v="46"/>
    <s v="Total Electric Power Industry"/>
    <x v="7"/>
    <n v="28315294"/>
  </r>
  <r>
    <x v="14"/>
    <x v="46"/>
    <s v="Total Electric Power Industry"/>
    <x v="12"/>
    <n v="488023"/>
  </r>
  <r>
    <x v="14"/>
    <x v="46"/>
    <s v="Total Electric Power Industry"/>
    <x v="8"/>
    <n v="699237"/>
  </r>
  <r>
    <x v="14"/>
    <x v="46"/>
    <s v="Total Electric Power Industry"/>
    <x v="9"/>
    <n v="0"/>
  </r>
  <r>
    <x v="14"/>
    <x v="46"/>
    <s v="Total Electric Power Industry"/>
    <x v="4"/>
    <n v="5153612"/>
  </r>
  <r>
    <x v="14"/>
    <x v="46"/>
    <s v="Total Electric Power Industry"/>
    <x v="10"/>
    <n v="-1166111"/>
  </r>
  <r>
    <x v="14"/>
    <x v="46"/>
    <s v="Total Electric Power Industry"/>
    <x v="6"/>
    <n v="1733120"/>
  </r>
  <r>
    <x v="14"/>
    <x v="46"/>
    <s v="Electric Generators, Independent Power Producers"/>
    <x v="0"/>
    <n v="6263260"/>
  </r>
  <r>
    <x v="14"/>
    <x v="46"/>
    <s v="Electric Generators, Independent Power Producers"/>
    <x v="1"/>
    <n v="2877752"/>
  </r>
  <r>
    <x v="14"/>
    <x v="46"/>
    <s v="Electric Generators, Independent Power Producers"/>
    <x v="2"/>
    <n v="92816"/>
  </r>
  <r>
    <x v="14"/>
    <x v="46"/>
    <s v="Electric Generators, Independent Power Producers"/>
    <x v="3"/>
    <n v="1852728"/>
  </r>
  <r>
    <x v="14"/>
    <x v="46"/>
    <s v="Electric Generators, Independent Power Producers"/>
    <x v="12"/>
    <n v="285321"/>
  </r>
  <r>
    <x v="14"/>
    <x v="46"/>
    <s v="Electric Generators, Independent Power Producers"/>
    <x v="8"/>
    <n v="446558"/>
  </r>
  <r>
    <x v="14"/>
    <x v="46"/>
    <s v="Electric Generators, Independent Power Producers"/>
    <x v="9"/>
    <n v="0"/>
  </r>
  <r>
    <x v="14"/>
    <x v="46"/>
    <s v="Electric Generators, Independent Power Producers"/>
    <x v="4"/>
    <n v="247253"/>
  </r>
  <r>
    <x v="14"/>
    <x v="46"/>
    <s v="Electric Generators, Independent Power Producers"/>
    <x v="6"/>
    <n v="460833"/>
  </r>
  <r>
    <x v="14"/>
    <x v="46"/>
    <s v="Electric Generators, Electric Utilities"/>
    <x v="0"/>
    <n v="65103653"/>
  </r>
  <r>
    <x v="14"/>
    <x v="46"/>
    <s v="Electric Generators, Electric Utilities"/>
    <x v="1"/>
    <n v="27772985"/>
  </r>
  <r>
    <x v="14"/>
    <x v="46"/>
    <s v="Electric Generators, Electric Utilities"/>
    <x v="2"/>
    <n v="1490114"/>
  </r>
  <r>
    <x v="14"/>
    <x v="46"/>
    <s v="Electric Generators, Electric Utilities"/>
    <x v="3"/>
    <n v="3976271"/>
  </r>
  <r>
    <x v="14"/>
    <x v="46"/>
    <s v="Electric Generators, Electric Utilities"/>
    <x v="7"/>
    <n v="28315294"/>
  </r>
  <r>
    <x v="14"/>
    <x v="46"/>
    <s v="Electric Generators, Electric Utilities"/>
    <x v="4"/>
    <n v="4664410"/>
  </r>
  <r>
    <x v="14"/>
    <x v="46"/>
    <s v="Electric Generators, Electric Utilities"/>
    <x v="10"/>
    <n v="-1166111"/>
  </r>
  <r>
    <x v="14"/>
    <x v="46"/>
    <s v="Electric Generators, Electric Utilities"/>
    <x v="6"/>
    <n v="50690"/>
  </r>
  <r>
    <x v="14"/>
    <x v="46"/>
    <s v="Combined Heat and Power, Industrial Power"/>
    <x v="0"/>
    <n v="2663726"/>
  </r>
  <r>
    <x v="14"/>
    <x v="46"/>
    <s v="Combined Heat and Power, Industrial Power"/>
    <x v="1"/>
    <n v="914925"/>
  </r>
  <r>
    <x v="14"/>
    <x v="46"/>
    <s v="Combined Heat and Power, Industrial Power"/>
    <x v="2"/>
    <n v="120"/>
  </r>
  <r>
    <x v="14"/>
    <x v="46"/>
    <s v="Combined Heat and Power, Industrial Power"/>
    <x v="3"/>
    <n v="322279"/>
  </r>
  <r>
    <x v="14"/>
    <x v="46"/>
    <s v="Combined Heat and Power, Industrial Power"/>
    <x v="12"/>
    <n v="24722"/>
  </r>
  <r>
    <x v="14"/>
    <x v="46"/>
    <s v="Combined Heat and Power, Industrial Power"/>
    <x v="8"/>
    <n v="54953"/>
  </r>
  <r>
    <x v="14"/>
    <x v="46"/>
    <s v="Combined Heat and Power, Industrial Power"/>
    <x v="4"/>
    <n v="125130"/>
  </r>
  <r>
    <x v="14"/>
    <x v="46"/>
    <s v="Combined Heat and Power, Industrial Power"/>
    <x v="6"/>
    <n v="1221597"/>
  </r>
  <r>
    <x v="14"/>
    <x v="46"/>
    <s v="Combined Heat and Power, Electric Power"/>
    <x v="0"/>
    <n v="4508634"/>
  </r>
  <r>
    <x v="14"/>
    <x v="46"/>
    <s v="Combined Heat and Power, Electric Power"/>
    <x v="1"/>
    <n v="4090344"/>
  </r>
  <r>
    <x v="14"/>
    <x v="46"/>
    <s v="Combined Heat and Power, Electric Power"/>
    <x v="3"/>
    <n v="286531"/>
  </r>
  <r>
    <x v="14"/>
    <x v="46"/>
    <s v="Combined Heat and Power, Electric Power"/>
    <x v="12"/>
    <n v="16203"/>
  </r>
  <r>
    <x v="14"/>
    <x v="46"/>
    <s v="Combined Heat and Power, Electric Power"/>
    <x v="4"/>
    <n v="115556"/>
  </r>
  <r>
    <x v="14"/>
    <x v="46"/>
    <s v="Combined Heat and Power, Commercial Power"/>
    <x v="0"/>
    <n v="360767"/>
  </r>
  <r>
    <x v="14"/>
    <x v="46"/>
    <s v="Combined Heat and Power, Commercial Power"/>
    <x v="1"/>
    <n v="0"/>
  </r>
  <r>
    <x v="14"/>
    <x v="46"/>
    <s v="Combined Heat and Power, Commercial Power"/>
    <x v="12"/>
    <n v="161778"/>
  </r>
  <r>
    <x v="14"/>
    <x v="46"/>
    <s v="Combined Heat and Power, Commercial Power"/>
    <x v="8"/>
    <n v="197726"/>
  </r>
  <r>
    <x v="14"/>
    <x v="46"/>
    <s v="Combined Heat and Power, Commercial Power"/>
    <x v="4"/>
    <n v="1263"/>
  </r>
  <r>
    <x v="14"/>
    <x v="47"/>
    <s v="Total Electric Power Industry"/>
    <x v="0"/>
    <n v="5470379"/>
  </r>
  <r>
    <x v="14"/>
    <x v="47"/>
    <s v="Total Electric Power Industry"/>
    <x v="2"/>
    <n v="1187256"/>
  </r>
  <r>
    <x v="14"/>
    <x v="47"/>
    <s v="Total Electric Power Industry"/>
    <x v="3"/>
    <n v="3224"/>
  </r>
  <r>
    <x v="14"/>
    <x v="47"/>
    <s v="Total Electric Power Industry"/>
    <x v="7"/>
    <n v="3858020"/>
  </r>
  <r>
    <x v="14"/>
    <x v="47"/>
    <s v="Total Electric Power Industry"/>
    <x v="4"/>
    <n v="17800"/>
  </r>
  <r>
    <x v="14"/>
    <x v="47"/>
    <s v="Total Electric Power Industry"/>
    <x v="5"/>
    <n v="11364"/>
  </r>
  <r>
    <x v="14"/>
    <x v="47"/>
    <s v="Total Electric Power Industry"/>
    <x v="6"/>
    <n v="392714"/>
  </r>
  <r>
    <x v="14"/>
    <x v="47"/>
    <s v="Electric Generators, Independent Power Producers"/>
    <x v="0"/>
    <n v="4800350"/>
  </r>
  <r>
    <x v="14"/>
    <x v="47"/>
    <s v="Electric Generators, Independent Power Producers"/>
    <x v="2"/>
    <n v="770535"/>
  </r>
  <r>
    <x v="14"/>
    <x v="47"/>
    <s v="Electric Generators, Independent Power Producers"/>
    <x v="7"/>
    <n v="3858020"/>
  </r>
  <r>
    <x v="14"/>
    <x v="47"/>
    <s v="Electric Generators, Independent Power Producers"/>
    <x v="6"/>
    <n v="171795"/>
  </r>
  <r>
    <x v="14"/>
    <x v="47"/>
    <s v="Electric Generators, Electric Utilities"/>
    <x v="0"/>
    <n v="643426"/>
  </r>
  <r>
    <x v="14"/>
    <x v="47"/>
    <s v="Electric Generators, Electric Utilities"/>
    <x v="2"/>
    <n v="395734"/>
  </r>
  <r>
    <x v="14"/>
    <x v="47"/>
    <s v="Electric Generators, Electric Utilities"/>
    <x v="3"/>
    <n v="3224"/>
  </r>
  <r>
    <x v="14"/>
    <x v="47"/>
    <s v="Electric Generators, Electric Utilities"/>
    <x v="4"/>
    <n v="17800"/>
  </r>
  <r>
    <x v="14"/>
    <x v="47"/>
    <s v="Electric Generators, Electric Utilities"/>
    <x v="5"/>
    <n v="11364"/>
  </r>
  <r>
    <x v="14"/>
    <x v="47"/>
    <s v="Electric Generators, Electric Utilities"/>
    <x v="6"/>
    <n v="215304"/>
  </r>
  <r>
    <x v="14"/>
    <x v="47"/>
    <s v="Combined Heat and Power, Industrial Power"/>
    <x v="0"/>
    <n v="26602"/>
  </r>
  <r>
    <x v="14"/>
    <x v="47"/>
    <s v="Combined Heat and Power, Industrial Power"/>
    <x v="2"/>
    <n v="20987"/>
  </r>
  <r>
    <x v="14"/>
    <x v="47"/>
    <s v="Combined Heat and Power, Industrial Power"/>
    <x v="6"/>
    <n v="5615"/>
  </r>
  <r>
    <x v="14"/>
    <x v="48"/>
    <s v="Total Electric Power Industry"/>
    <x v="0"/>
    <n v="102165052"/>
  </r>
  <r>
    <x v="14"/>
    <x v="48"/>
    <s v="Total Electric Power Industry"/>
    <x v="1"/>
    <n v="10409331"/>
  </r>
  <r>
    <x v="14"/>
    <x v="48"/>
    <s v="Total Electric Power Industry"/>
    <x v="2"/>
    <n v="71575700"/>
  </r>
  <r>
    <x v="14"/>
    <x v="48"/>
    <s v="Total Electric Power Industry"/>
    <x v="3"/>
    <n v="8468800"/>
  </r>
  <r>
    <x v="14"/>
    <x v="48"/>
    <s v="Total Electric Power Industry"/>
    <x v="7"/>
    <n v="8981583"/>
  </r>
  <r>
    <x v="14"/>
    <x v="48"/>
    <s v="Total Electric Power Industry"/>
    <x v="12"/>
    <n v="66864"/>
  </r>
  <r>
    <x v="14"/>
    <x v="48"/>
    <s v="Total Electric Power Industry"/>
    <x v="8"/>
    <n v="185445"/>
  </r>
  <r>
    <x v="14"/>
    <x v="48"/>
    <s v="Total Electric Power Industry"/>
    <x v="9"/>
    <n v="275284"/>
  </r>
  <r>
    <x v="14"/>
    <x v="48"/>
    <s v="Total Electric Power Industry"/>
    <x v="4"/>
    <n v="85884"/>
  </r>
  <r>
    <x v="14"/>
    <x v="48"/>
    <s v="Total Electric Power Industry"/>
    <x v="10"/>
    <n v="-9818"/>
  </r>
  <r>
    <x v="14"/>
    <x v="48"/>
    <s v="Total Electric Power Industry"/>
    <x v="5"/>
    <n v="736576"/>
  </r>
  <r>
    <x v="14"/>
    <x v="48"/>
    <s v="Total Electric Power Industry"/>
    <x v="6"/>
    <n v="1389403"/>
  </r>
  <r>
    <x v="14"/>
    <x v="48"/>
    <s v="Electric Generators, Independent Power Producers"/>
    <x v="0"/>
    <n v="15054456"/>
  </r>
  <r>
    <x v="14"/>
    <x v="48"/>
    <s v="Electric Generators, Independent Power Producers"/>
    <x v="1"/>
    <n v="10385874"/>
  </r>
  <r>
    <x v="14"/>
    <x v="48"/>
    <s v="Electric Generators, Independent Power Producers"/>
    <x v="2"/>
    <n v="107622"/>
  </r>
  <r>
    <x v="14"/>
    <x v="48"/>
    <s v="Electric Generators, Independent Power Producers"/>
    <x v="3"/>
    <n v="3808193"/>
  </r>
  <r>
    <x v="14"/>
    <x v="48"/>
    <s v="Electric Generators, Independent Power Producers"/>
    <x v="12"/>
    <n v="66864"/>
  </r>
  <r>
    <x v="14"/>
    <x v="48"/>
    <s v="Electric Generators, Independent Power Producers"/>
    <x v="8"/>
    <n v="91666"/>
  </r>
  <r>
    <x v="14"/>
    <x v="48"/>
    <s v="Electric Generators, Independent Power Producers"/>
    <x v="4"/>
    <n v="10198"/>
  </r>
  <r>
    <x v="14"/>
    <x v="48"/>
    <s v="Electric Generators, Independent Power Producers"/>
    <x v="5"/>
    <n v="584039"/>
  </r>
  <r>
    <x v="14"/>
    <x v="48"/>
    <s v="Electric Generators, Electric Utilities"/>
    <x v="0"/>
    <n v="83500909"/>
  </r>
  <r>
    <x v="14"/>
    <x v="48"/>
    <s v="Electric Generators, Electric Utilities"/>
    <x v="2"/>
    <n v="71393131"/>
  </r>
  <r>
    <x v="14"/>
    <x v="48"/>
    <s v="Electric Generators, Electric Utilities"/>
    <x v="3"/>
    <n v="2286578"/>
  </r>
  <r>
    <x v="14"/>
    <x v="48"/>
    <s v="Electric Generators, Electric Utilities"/>
    <x v="7"/>
    <n v="8981583"/>
  </r>
  <r>
    <x v="14"/>
    <x v="48"/>
    <s v="Electric Generators, Electric Utilities"/>
    <x v="8"/>
    <n v="72080"/>
  </r>
  <r>
    <x v="14"/>
    <x v="48"/>
    <s v="Electric Generators, Electric Utilities"/>
    <x v="4"/>
    <n v="13112"/>
  </r>
  <r>
    <x v="14"/>
    <x v="48"/>
    <s v="Electric Generators, Electric Utilities"/>
    <x v="10"/>
    <n v="-9818"/>
  </r>
  <r>
    <x v="14"/>
    <x v="48"/>
    <s v="Electric Generators, Electric Utilities"/>
    <x v="5"/>
    <n v="152537"/>
  </r>
  <r>
    <x v="14"/>
    <x v="48"/>
    <s v="Electric Generators, Electric Utilities"/>
    <x v="6"/>
    <n v="611706"/>
  </r>
  <r>
    <x v="14"/>
    <x v="48"/>
    <s v="Combined Heat and Power, Industrial Power"/>
    <x v="0"/>
    <n v="932179"/>
  </r>
  <r>
    <x v="14"/>
    <x v="48"/>
    <s v="Combined Heat and Power, Industrial Power"/>
    <x v="1"/>
    <n v="22890"/>
  </r>
  <r>
    <x v="14"/>
    <x v="48"/>
    <s v="Combined Heat and Power, Industrial Power"/>
    <x v="2"/>
    <n v="2402"/>
  </r>
  <r>
    <x v="14"/>
    <x v="48"/>
    <s v="Combined Heat and Power, Industrial Power"/>
    <x v="3"/>
    <n v="53323"/>
  </r>
  <r>
    <x v="14"/>
    <x v="48"/>
    <s v="Combined Heat and Power, Industrial Power"/>
    <x v="8"/>
    <n v="14196"/>
  </r>
  <r>
    <x v="14"/>
    <x v="48"/>
    <s v="Combined Heat and Power, Industrial Power"/>
    <x v="4"/>
    <n v="61672"/>
  </r>
  <r>
    <x v="14"/>
    <x v="48"/>
    <s v="Combined Heat and Power, Industrial Power"/>
    <x v="6"/>
    <n v="777697"/>
  </r>
  <r>
    <x v="14"/>
    <x v="48"/>
    <s v="Combined Heat and Power, Electric Power"/>
    <x v="0"/>
    <n v="2582512"/>
  </r>
  <r>
    <x v="14"/>
    <x v="48"/>
    <s v="Combined Heat and Power, Electric Power"/>
    <x v="3"/>
    <n v="2299347"/>
  </r>
  <r>
    <x v="14"/>
    <x v="48"/>
    <s v="Combined Heat and Power, Electric Power"/>
    <x v="8"/>
    <n v="7504"/>
  </r>
  <r>
    <x v="14"/>
    <x v="48"/>
    <s v="Combined Heat and Power, Electric Power"/>
    <x v="9"/>
    <n v="275284"/>
  </r>
  <r>
    <x v="14"/>
    <x v="48"/>
    <s v="Combined Heat and Power, Electric Power"/>
    <x v="4"/>
    <n v="377"/>
  </r>
  <r>
    <x v="14"/>
    <x v="48"/>
    <s v="Combined Heat and Power, Commercial Power"/>
    <x v="0"/>
    <n v="94996"/>
  </r>
  <r>
    <x v="14"/>
    <x v="48"/>
    <s v="Combined Heat and Power, Commercial Power"/>
    <x v="1"/>
    <n v="567"/>
  </r>
  <r>
    <x v="14"/>
    <x v="48"/>
    <s v="Combined Heat and Power, Commercial Power"/>
    <x v="2"/>
    <n v="72545"/>
  </r>
  <r>
    <x v="14"/>
    <x v="48"/>
    <s v="Combined Heat and Power, Commercial Power"/>
    <x v="3"/>
    <n v="21359"/>
  </r>
  <r>
    <x v="14"/>
    <x v="48"/>
    <s v="Combined Heat and Power, Commercial Power"/>
    <x v="4"/>
    <n v="525"/>
  </r>
  <r>
    <x v="14"/>
    <x v="49"/>
    <s v="Total Electric Power Industry"/>
    <x v="0"/>
    <n v="60444933"/>
  </r>
  <r>
    <x v="14"/>
    <x v="49"/>
    <s v="Total Electric Power Industry"/>
    <x v="1"/>
    <n v="42148176"/>
  </r>
  <r>
    <x v="14"/>
    <x v="49"/>
    <s v="Total Electric Power Industry"/>
    <x v="2"/>
    <n v="1980676"/>
  </r>
  <r>
    <x v="14"/>
    <x v="49"/>
    <s v="Total Electric Power Industry"/>
    <x v="3"/>
    <n v="2405362"/>
  </r>
  <r>
    <x v="14"/>
    <x v="49"/>
    <s v="Total Electric Power Industry"/>
    <x v="7"/>
    <n v="11887849"/>
  </r>
  <r>
    <x v="14"/>
    <x v="49"/>
    <s v="Total Electric Power Industry"/>
    <x v="12"/>
    <n v="113612"/>
  </r>
  <r>
    <x v="14"/>
    <x v="49"/>
    <s v="Total Electric Power Industry"/>
    <x v="8"/>
    <n v="405443"/>
  </r>
  <r>
    <x v="14"/>
    <x v="49"/>
    <s v="Total Electric Power Industry"/>
    <x v="4"/>
    <n v="795619"/>
  </r>
  <r>
    <x v="14"/>
    <x v="49"/>
    <s v="Total Electric Power Industry"/>
    <x v="5"/>
    <n v="103563"/>
  </r>
  <r>
    <x v="14"/>
    <x v="49"/>
    <s v="Total Electric Power Industry"/>
    <x v="6"/>
    <n v="604634"/>
  </r>
  <r>
    <x v="14"/>
    <x v="49"/>
    <s v="Electric Generators, Independent Power Producers"/>
    <x v="0"/>
    <n v="1347857"/>
  </r>
  <r>
    <x v="14"/>
    <x v="49"/>
    <s v="Electric Generators, Independent Power Producers"/>
    <x v="1"/>
    <n v="26068"/>
  </r>
  <r>
    <x v="14"/>
    <x v="49"/>
    <s v="Electric Generators, Independent Power Producers"/>
    <x v="2"/>
    <n v="34929"/>
  </r>
  <r>
    <x v="14"/>
    <x v="49"/>
    <s v="Electric Generators, Independent Power Producers"/>
    <x v="3"/>
    <n v="943703"/>
  </r>
  <r>
    <x v="14"/>
    <x v="49"/>
    <s v="Electric Generators, Independent Power Producers"/>
    <x v="8"/>
    <n v="243862"/>
  </r>
  <r>
    <x v="14"/>
    <x v="49"/>
    <s v="Electric Generators, Independent Power Producers"/>
    <x v="4"/>
    <n v="39109"/>
  </r>
  <r>
    <x v="14"/>
    <x v="49"/>
    <s v="Electric Generators, Independent Power Producers"/>
    <x v="5"/>
    <n v="60186"/>
  </r>
  <r>
    <x v="14"/>
    <x v="49"/>
    <s v="Electric Generators, Electric Utilities"/>
    <x v="0"/>
    <n v="56142364"/>
  </r>
  <r>
    <x v="14"/>
    <x v="49"/>
    <s v="Electric Generators, Electric Utilities"/>
    <x v="1"/>
    <n v="40981609"/>
  </r>
  <r>
    <x v="14"/>
    <x v="49"/>
    <s v="Electric Generators, Electric Utilities"/>
    <x v="2"/>
    <n v="1748442"/>
  </r>
  <r>
    <x v="14"/>
    <x v="49"/>
    <s v="Electric Generators, Electric Utilities"/>
    <x v="3"/>
    <n v="711519"/>
  </r>
  <r>
    <x v="14"/>
    <x v="49"/>
    <s v="Electric Generators, Electric Utilities"/>
    <x v="7"/>
    <n v="11887849"/>
  </r>
  <r>
    <x v="14"/>
    <x v="49"/>
    <s v="Electric Generators, Electric Utilities"/>
    <x v="12"/>
    <n v="90726"/>
  </r>
  <r>
    <x v="14"/>
    <x v="49"/>
    <s v="Electric Generators, Electric Utilities"/>
    <x v="8"/>
    <n v="86051"/>
  </r>
  <r>
    <x v="14"/>
    <x v="49"/>
    <s v="Electric Generators, Electric Utilities"/>
    <x v="4"/>
    <n v="494535"/>
  </r>
  <r>
    <x v="14"/>
    <x v="49"/>
    <s v="Electric Generators, Electric Utilities"/>
    <x v="5"/>
    <n v="43377"/>
  </r>
  <r>
    <x v="14"/>
    <x v="49"/>
    <s v="Electric Generators, Electric Utilities"/>
    <x v="6"/>
    <n v="98256"/>
  </r>
  <r>
    <x v="14"/>
    <x v="49"/>
    <s v="Combined Heat and Power, Industrial Power"/>
    <x v="0"/>
    <n v="2384442"/>
  </r>
  <r>
    <x v="14"/>
    <x v="49"/>
    <s v="Combined Heat and Power, Industrial Power"/>
    <x v="1"/>
    <n v="1099780"/>
  </r>
  <r>
    <x v="14"/>
    <x v="49"/>
    <s v="Combined Heat and Power, Industrial Power"/>
    <x v="2"/>
    <n v="195434"/>
  </r>
  <r>
    <x v="14"/>
    <x v="49"/>
    <s v="Combined Heat and Power, Industrial Power"/>
    <x v="3"/>
    <n v="263506"/>
  </r>
  <r>
    <x v="14"/>
    <x v="49"/>
    <s v="Combined Heat and Power, Industrial Power"/>
    <x v="12"/>
    <n v="20358"/>
  </r>
  <r>
    <x v="14"/>
    <x v="49"/>
    <s v="Combined Heat and Power, Industrial Power"/>
    <x v="8"/>
    <n v="44844"/>
  </r>
  <r>
    <x v="14"/>
    <x v="49"/>
    <s v="Combined Heat and Power, Industrial Power"/>
    <x v="4"/>
    <n v="255098"/>
  </r>
  <r>
    <x v="14"/>
    <x v="49"/>
    <s v="Combined Heat and Power, Industrial Power"/>
    <x v="6"/>
    <n v="505423"/>
  </r>
  <r>
    <x v="14"/>
    <x v="49"/>
    <s v="Combined Heat and Power, Electric Power"/>
    <x v="0"/>
    <n v="406981"/>
  </r>
  <r>
    <x v="14"/>
    <x v="49"/>
    <s v="Combined Heat and Power, Electric Power"/>
    <x v="3"/>
    <n v="397055"/>
  </r>
  <r>
    <x v="14"/>
    <x v="49"/>
    <s v="Combined Heat and Power, Electric Power"/>
    <x v="8"/>
    <n v="3107"/>
  </r>
  <r>
    <x v="14"/>
    <x v="49"/>
    <s v="Combined Heat and Power, Electric Power"/>
    <x v="4"/>
    <n v="6819"/>
  </r>
  <r>
    <x v="14"/>
    <x v="49"/>
    <s v="Combined Heat and Power, Commercial Power"/>
    <x v="0"/>
    <n v="163289"/>
  </r>
  <r>
    <x v="14"/>
    <x v="49"/>
    <s v="Combined Heat and Power, Commercial Power"/>
    <x v="1"/>
    <n v="40719"/>
  </r>
  <r>
    <x v="14"/>
    <x v="49"/>
    <s v="Combined Heat and Power, Commercial Power"/>
    <x v="2"/>
    <n v="1871"/>
  </r>
  <r>
    <x v="14"/>
    <x v="49"/>
    <s v="Combined Heat and Power, Commercial Power"/>
    <x v="3"/>
    <n v="89579"/>
  </r>
  <r>
    <x v="14"/>
    <x v="49"/>
    <s v="Combined Heat and Power, Commercial Power"/>
    <x v="12"/>
    <n v="2529"/>
  </r>
  <r>
    <x v="14"/>
    <x v="49"/>
    <s v="Combined Heat and Power, Commercial Power"/>
    <x v="8"/>
    <n v="27579"/>
  </r>
  <r>
    <x v="14"/>
    <x v="49"/>
    <s v="Combined Heat and Power, Commercial Power"/>
    <x v="4"/>
    <n v="58"/>
  </r>
  <r>
    <x v="14"/>
    <x v="49"/>
    <s v="Combined Heat and Power, Commercial Power"/>
    <x v="6"/>
    <n v="955"/>
  </r>
  <r>
    <x v="14"/>
    <x v="50"/>
    <s v="Total Electric Power Industry"/>
    <x v="0"/>
    <n v="89749562"/>
  </r>
  <r>
    <x v="14"/>
    <x v="50"/>
    <s v="Total Electric Power Industry"/>
    <x v="1"/>
    <n v="87584598"/>
  </r>
  <r>
    <x v="14"/>
    <x v="50"/>
    <s v="Total Electric Power Industry"/>
    <x v="2"/>
    <n v="1318279"/>
  </r>
  <r>
    <x v="14"/>
    <x v="50"/>
    <s v="Total Electric Power Industry"/>
    <x v="3"/>
    <n v="255310"/>
  </r>
  <r>
    <x v="14"/>
    <x v="50"/>
    <s v="Total Electric Power Industry"/>
    <x v="12"/>
    <n v="12753"/>
  </r>
  <r>
    <x v="14"/>
    <x v="50"/>
    <s v="Total Electric Power Industry"/>
    <x v="8"/>
    <n v="1519"/>
  </r>
  <r>
    <x v="14"/>
    <x v="50"/>
    <s v="Total Electric Power Industry"/>
    <x v="9"/>
    <n v="147802"/>
  </r>
  <r>
    <x v="14"/>
    <x v="50"/>
    <s v="Total Electric Power Industry"/>
    <x v="4"/>
    <n v="267558"/>
  </r>
  <r>
    <x v="14"/>
    <x v="50"/>
    <s v="Total Electric Power Industry"/>
    <x v="5"/>
    <n v="161191"/>
  </r>
  <r>
    <x v="14"/>
    <x v="50"/>
    <s v="Total Electric Power Industry"/>
    <x v="6"/>
    <n v="552"/>
  </r>
  <r>
    <x v="14"/>
    <x v="50"/>
    <s v="Electric Generators, Independent Power Producers"/>
    <x v="0"/>
    <n v="28498415"/>
  </r>
  <r>
    <x v="14"/>
    <x v="50"/>
    <s v="Electric Generators, Independent Power Producers"/>
    <x v="1"/>
    <n v="27887650"/>
  </r>
  <r>
    <x v="14"/>
    <x v="50"/>
    <s v="Electric Generators, Independent Power Producers"/>
    <x v="2"/>
    <n v="281307"/>
  </r>
  <r>
    <x v="14"/>
    <x v="50"/>
    <s v="Electric Generators, Independent Power Producers"/>
    <x v="3"/>
    <n v="138345"/>
  </r>
  <r>
    <x v="14"/>
    <x v="50"/>
    <s v="Electric Generators, Independent Power Producers"/>
    <x v="12"/>
    <n v="0"/>
  </r>
  <r>
    <x v="14"/>
    <x v="50"/>
    <s v="Electric Generators, Independent Power Producers"/>
    <x v="4"/>
    <n v="29922"/>
  </r>
  <r>
    <x v="14"/>
    <x v="50"/>
    <s v="Electric Generators, Independent Power Producers"/>
    <x v="5"/>
    <n v="161191"/>
  </r>
  <r>
    <x v="14"/>
    <x v="50"/>
    <s v="Electric Generators, Electric Utilities"/>
    <x v="0"/>
    <n v="59083917"/>
  </r>
  <r>
    <x v="14"/>
    <x v="50"/>
    <s v="Electric Generators, Electric Utilities"/>
    <x v="1"/>
    <n v="58508159"/>
  </r>
  <r>
    <x v="14"/>
    <x v="50"/>
    <s v="Electric Generators, Electric Utilities"/>
    <x v="2"/>
    <n v="326253"/>
  </r>
  <r>
    <x v="14"/>
    <x v="50"/>
    <s v="Electric Generators, Electric Utilities"/>
    <x v="3"/>
    <n v="3166"/>
  </r>
  <r>
    <x v="14"/>
    <x v="50"/>
    <s v="Electric Generators, Electric Utilities"/>
    <x v="12"/>
    <n v="12753"/>
  </r>
  <r>
    <x v="14"/>
    <x v="50"/>
    <s v="Electric Generators, Electric Utilities"/>
    <x v="8"/>
    <n v="1519"/>
  </r>
  <r>
    <x v="14"/>
    <x v="50"/>
    <s v="Electric Generators, Electric Utilities"/>
    <x v="4"/>
    <n v="231515"/>
  </r>
  <r>
    <x v="14"/>
    <x v="50"/>
    <s v="Electric Generators, Electric Utilities"/>
    <x v="6"/>
    <n v="552"/>
  </r>
  <r>
    <x v="14"/>
    <x v="50"/>
    <s v="Combined Heat and Power, Industrial Power"/>
    <x v="0"/>
    <n v="1702673"/>
  </r>
  <r>
    <x v="14"/>
    <x v="50"/>
    <s v="Combined Heat and Power, Industrial Power"/>
    <x v="1"/>
    <n v="727477"/>
  </r>
  <r>
    <x v="14"/>
    <x v="50"/>
    <s v="Combined Heat and Power, Industrial Power"/>
    <x v="2"/>
    <n v="710719"/>
  </r>
  <r>
    <x v="14"/>
    <x v="50"/>
    <s v="Combined Heat and Power, Industrial Power"/>
    <x v="3"/>
    <n v="110553"/>
  </r>
  <r>
    <x v="14"/>
    <x v="50"/>
    <s v="Combined Heat and Power, Industrial Power"/>
    <x v="9"/>
    <n v="147802"/>
  </r>
  <r>
    <x v="14"/>
    <x v="50"/>
    <s v="Combined Heat and Power, Industrial Power"/>
    <x v="4"/>
    <n v="6121"/>
  </r>
  <r>
    <x v="14"/>
    <x v="50"/>
    <s v="Combined Heat and Power, Electric Power"/>
    <x v="0"/>
    <n v="464557"/>
  </r>
  <r>
    <x v="14"/>
    <x v="50"/>
    <s v="Combined Heat and Power, Electric Power"/>
    <x v="1"/>
    <n v="461311"/>
  </r>
  <r>
    <x v="14"/>
    <x v="50"/>
    <s v="Combined Heat and Power, Electric Power"/>
    <x v="3"/>
    <n v="3245"/>
  </r>
  <r>
    <x v="14"/>
    <x v="51"/>
    <s v="Total Electric Power Industry"/>
    <x v="0"/>
    <n v="44807604"/>
  </r>
  <r>
    <x v="14"/>
    <x v="51"/>
    <s v="Total Electric Power Industry"/>
    <x v="1"/>
    <n v="43345740"/>
  </r>
  <r>
    <x v="14"/>
    <x v="51"/>
    <s v="Total Electric Power Industry"/>
    <x v="2"/>
    <n v="593147"/>
  </r>
  <r>
    <x v="14"/>
    <x v="51"/>
    <s v="Total Electric Power Industry"/>
    <x v="3"/>
    <n v="86897"/>
  </r>
  <r>
    <x v="14"/>
    <x v="51"/>
    <s v="Total Electric Power Industry"/>
    <x v="12"/>
    <n v="106700"/>
  </r>
  <r>
    <x v="14"/>
    <x v="51"/>
    <s v="Total Electric Power Industry"/>
    <x v="9"/>
    <n v="12746"/>
  </r>
  <r>
    <x v="14"/>
    <x v="51"/>
    <s v="Total Electric Power Industry"/>
    <x v="4"/>
    <n v="45859"/>
  </r>
  <r>
    <x v="14"/>
    <x v="51"/>
    <s v="Total Electric Power Industry"/>
    <x v="5"/>
    <n v="616515"/>
  </r>
  <r>
    <x v="14"/>
    <x v="51"/>
    <s v="Electric Generators, Independent Power Producers"/>
    <x v="0"/>
    <n v="1350338"/>
  </r>
  <r>
    <x v="14"/>
    <x v="51"/>
    <s v="Electric Generators, Independent Power Producers"/>
    <x v="1"/>
    <n v="739671"/>
  </r>
  <r>
    <x v="14"/>
    <x v="51"/>
    <s v="Electric Generators, Independent Power Producers"/>
    <x v="3"/>
    <n v="9110"/>
  </r>
  <r>
    <x v="14"/>
    <x v="51"/>
    <s v="Electric Generators, Independent Power Producers"/>
    <x v="5"/>
    <n v="601557"/>
  </r>
  <r>
    <x v="14"/>
    <x v="51"/>
    <s v="Electric Generators, Electric Utilities"/>
    <x v="0"/>
    <n v="43059537"/>
  </r>
  <r>
    <x v="14"/>
    <x v="51"/>
    <s v="Electric Generators, Electric Utilities"/>
    <x v="1"/>
    <n v="42372775"/>
  </r>
  <r>
    <x v="14"/>
    <x v="51"/>
    <s v="Electric Generators, Electric Utilities"/>
    <x v="2"/>
    <n v="593147"/>
  </r>
  <r>
    <x v="14"/>
    <x v="51"/>
    <s v="Electric Generators, Electric Utilities"/>
    <x v="3"/>
    <n v="35207"/>
  </r>
  <r>
    <x v="14"/>
    <x v="51"/>
    <s v="Electric Generators, Electric Utilities"/>
    <x v="4"/>
    <n v="43450"/>
  </r>
  <r>
    <x v="14"/>
    <x v="51"/>
    <s v="Electric Generators, Electric Utilities"/>
    <x v="5"/>
    <n v="14958"/>
  </r>
  <r>
    <x v="14"/>
    <x v="51"/>
    <s v="Combined Heat and Power, Industrial Power"/>
    <x v="0"/>
    <n v="397729"/>
  </r>
  <r>
    <x v="14"/>
    <x v="51"/>
    <s v="Combined Heat and Power, Industrial Power"/>
    <x v="1"/>
    <n v="233294"/>
  </r>
  <r>
    <x v="14"/>
    <x v="51"/>
    <s v="Combined Heat and Power, Industrial Power"/>
    <x v="3"/>
    <n v="42580"/>
  </r>
  <r>
    <x v="14"/>
    <x v="51"/>
    <s v="Combined Heat and Power, Industrial Power"/>
    <x v="12"/>
    <n v="106700"/>
  </r>
  <r>
    <x v="14"/>
    <x v="51"/>
    <s v="Combined Heat and Power, Industrial Power"/>
    <x v="9"/>
    <n v="12746"/>
  </r>
  <r>
    <x v="14"/>
    <x v="51"/>
    <s v="Combined Heat and Power, Industrial Power"/>
    <x v="4"/>
    <n v="2409"/>
  </r>
  <r>
    <x v="15"/>
    <x v="0"/>
    <s v="Total Electric Power Industry"/>
    <x v="0"/>
    <n v="6576659"/>
  </r>
  <r>
    <x v="15"/>
    <x v="0"/>
    <s v="Total Electric Power Industry"/>
    <x v="1"/>
    <n v="624318"/>
  </r>
  <r>
    <x v="15"/>
    <x v="0"/>
    <s v="Total Electric Power Industry"/>
    <x v="2"/>
    <n v="1463942"/>
  </r>
  <r>
    <x v="15"/>
    <x v="0"/>
    <s v="Total Electric Power Industry"/>
    <x v="3"/>
    <n v="3723626"/>
  </r>
  <r>
    <x v="15"/>
    <x v="0"/>
    <s v="Total Electric Power Industry"/>
    <x v="8"/>
    <n v="4873"/>
  </r>
  <r>
    <x v="15"/>
    <x v="0"/>
    <s v="Total Electric Power Industry"/>
    <x v="4"/>
    <n v="758929"/>
  </r>
  <r>
    <x v="15"/>
    <x v="0"/>
    <s v="Total Electric Power Industry"/>
    <x v="5"/>
    <n v="589"/>
  </r>
  <r>
    <x v="15"/>
    <x v="0"/>
    <s v="Total Electric Power Industry"/>
    <x v="6"/>
    <n v="383"/>
  </r>
  <r>
    <x v="15"/>
    <x v="0"/>
    <s v="Electric Generators, Electric Utilities"/>
    <x v="0"/>
    <n v="5946148"/>
  </r>
  <r>
    <x v="15"/>
    <x v="0"/>
    <s v="Electric Generators, Electric Utilities"/>
    <x v="1"/>
    <n v="219320"/>
  </r>
  <r>
    <x v="15"/>
    <x v="0"/>
    <s v="Electric Generators, Electric Utilities"/>
    <x v="2"/>
    <n v="1463942"/>
  </r>
  <r>
    <x v="15"/>
    <x v="0"/>
    <s v="Electric Generators, Electric Utilities"/>
    <x v="3"/>
    <n v="3576738"/>
  </r>
  <r>
    <x v="15"/>
    <x v="0"/>
    <s v="Electric Generators, Electric Utilities"/>
    <x v="4"/>
    <n v="685559"/>
  </r>
  <r>
    <x v="15"/>
    <x v="0"/>
    <s v="Electric Generators, Electric Utilities"/>
    <x v="5"/>
    <n v="589"/>
  </r>
  <r>
    <x v="15"/>
    <x v="0"/>
    <s v="Combined Heat and Power, Industrial Power"/>
    <x v="0"/>
    <n v="211245"/>
  </r>
  <r>
    <x v="15"/>
    <x v="0"/>
    <s v="Combined Heat and Power, Industrial Power"/>
    <x v="3"/>
    <n v="146888"/>
  </r>
  <r>
    <x v="15"/>
    <x v="0"/>
    <s v="Combined Heat and Power, Industrial Power"/>
    <x v="8"/>
    <n v="4873"/>
  </r>
  <r>
    <x v="15"/>
    <x v="0"/>
    <s v="Combined Heat and Power, Industrial Power"/>
    <x v="4"/>
    <n v="59484"/>
  </r>
  <r>
    <x v="15"/>
    <x v="0"/>
    <s v="Combined Heat and Power, Electric Power"/>
    <x v="0"/>
    <n v="173942"/>
  </r>
  <r>
    <x v="15"/>
    <x v="0"/>
    <s v="Combined Heat and Power, Electric Power"/>
    <x v="1"/>
    <n v="173942"/>
  </r>
  <r>
    <x v="15"/>
    <x v="0"/>
    <s v="Combined Heat and Power, Commercial Power"/>
    <x v="0"/>
    <n v="245324"/>
  </r>
  <r>
    <x v="15"/>
    <x v="0"/>
    <s v="Combined Heat and Power, Commercial Power"/>
    <x v="1"/>
    <n v="231056"/>
  </r>
  <r>
    <x v="15"/>
    <x v="0"/>
    <s v="Combined Heat and Power, Commercial Power"/>
    <x v="4"/>
    <n v="13885"/>
  </r>
  <r>
    <x v="15"/>
    <x v="0"/>
    <s v="Combined Heat and Power, Commercial Power"/>
    <x v="6"/>
    <n v="383"/>
  </r>
  <r>
    <x v="15"/>
    <x v="1"/>
    <s v="Total Electric Power Industry"/>
    <x v="0"/>
    <n v="137948581"/>
  </r>
  <r>
    <x v="15"/>
    <x v="1"/>
    <s v="Total Electric Power Industry"/>
    <x v="1"/>
    <n v="78128457"/>
  </r>
  <r>
    <x v="15"/>
    <x v="1"/>
    <s v="Total Electric Power Industry"/>
    <x v="2"/>
    <n v="10144581"/>
  </r>
  <r>
    <x v="15"/>
    <x v="1"/>
    <s v="Total Electric Power Industry"/>
    <x v="3"/>
    <n v="13869451"/>
  </r>
  <r>
    <x v="15"/>
    <x v="1"/>
    <s v="Total Electric Power Industry"/>
    <x v="7"/>
    <n v="31694223"/>
  </r>
  <r>
    <x v="15"/>
    <x v="1"/>
    <s v="Total Electric Power Industry"/>
    <x v="12"/>
    <n v="25093"/>
  </r>
  <r>
    <x v="15"/>
    <x v="1"/>
    <s v="Total Electric Power Industry"/>
    <x v="8"/>
    <n v="16414"/>
  </r>
  <r>
    <x v="15"/>
    <x v="1"/>
    <s v="Total Electric Power Industry"/>
    <x v="9"/>
    <n v="106864"/>
  </r>
  <r>
    <x v="15"/>
    <x v="1"/>
    <s v="Total Electric Power Industry"/>
    <x v="4"/>
    <n v="333110"/>
  </r>
  <r>
    <x v="15"/>
    <x v="1"/>
    <s v="Total Electric Power Industry"/>
    <x v="6"/>
    <n v="3630388"/>
  </r>
  <r>
    <x v="15"/>
    <x v="1"/>
    <s v="Electric Generators, Independent Power Producers"/>
    <x v="0"/>
    <n v="4821000"/>
  </r>
  <r>
    <x v="15"/>
    <x v="1"/>
    <s v="Electric Generators, Independent Power Producers"/>
    <x v="3"/>
    <n v="4776562"/>
  </r>
  <r>
    <x v="15"/>
    <x v="1"/>
    <s v="Electric Generators, Independent Power Producers"/>
    <x v="12"/>
    <n v="2143"/>
  </r>
  <r>
    <x v="15"/>
    <x v="1"/>
    <s v="Electric Generators, Independent Power Producers"/>
    <x v="4"/>
    <n v="42295"/>
  </r>
  <r>
    <x v="15"/>
    <x v="1"/>
    <s v="Electric Generators, Electric Utilities"/>
    <x v="0"/>
    <n v="126303893"/>
  </r>
  <r>
    <x v="15"/>
    <x v="1"/>
    <s v="Electric Generators, Electric Utilities"/>
    <x v="1"/>
    <n v="77742466"/>
  </r>
  <r>
    <x v="15"/>
    <x v="1"/>
    <s v="Electric Generators, Electric Utilities"/>
    <x v="2"/>
    <n v="10144581"/>
  </r>
  <r>
    <x v="15"/>
    <x v="1"/>
    <s v="Electric Generators, Electric Utilities"/>
    <x v="3"/>
    <n v="6625354"/>
  </r>
  <r>
    <x v="15"/>
    <x v="1"/>
    <s v="Electric Generators, Electric Utilities"/>
    <x v="7"/>
    <n v="31694223"/>
  </r>
  <r>
    <x v="15"/>
    <x v="1"/>
    <s v="Electric Generators, Electric Utilities"/>
    <x v="4"/>
    <n v="97269"/>
  </r>
  <r>
    <x v="15"/>
    <x v="1"/>
    <s v="Combined Heat and Power, Industrial Power"/>
    <x v="0"/>
    <n v="4650046"/>
  </r>
  <r>
    <x v="15"/>
    <x v="1"/>
    <s v="Combined Heat and Power, Industrial Power"/>
    <x v="1"/>
    <n v="226944"/>
  </r>
  <r>
    <x v="15"/>
    <x v="1"/>
    <s v="Combined Heat and Power, Industrial Power"/>
    <x v="3"/>
    <n v="654856"/>
  </r>
  <r>
    <x v="15"/>
    <x v="1"/>
    <s v="Combined Heat and Power, Industrial Power"/>
    <x v="12"/>
    <n v="22950"/>
  </r>
  <r>
    <x v="15"/>
    <x v="1"/>
    <s v="Combined Heat and Power, Industrial Power"/>
    <x v="8"/>
    <n v="16414"/>
  </r>
  <r>
    <x v="15"/>
    <x v="1"/>
    <s v="Combined Heat and Power, Industrial Power"/>
    <x v="9"/>
    <n v="106864"/>
  </r>
  <r>
    <x v="15"/>
    <x v="1"/>
    <s v="Combined Heat and Power, Industrial Power"/>
    <x v="4"/>
    <n v="193546"/>
  </r>
  <r>
    <x v="15"/>
    <x v="1"/>
    <s v="Combined Heat and Power, Industrial Power"/>
    <x v="6"/>
    <n v="3428473"/>
  </r>
  <r>
    <x v="15"/>
    <x v="1"/>
    <s v="Combined Heat and Power, Electric Power"/>
    <x v="0"/>
    <n v="2173642"/>
  </r>
  <r>
    <x v="15"/>
    <x v="1"/>
    <s v="Combined Heat and Power, Electric Power"/>
    <x v="1"/>
    <n v="159048"/>
  </r>
  <r>
    <x v="15"/>
    <x v="1"/>
    <s v="Combined Heat and Power, Electric Power"/>
    <x v="3"/>
    <n v="1812679"/>
  </r>
  <r>
    <x v="15"/>
    <x v="1"/>
    <s v="Combined Heat and Power, Electric Power"/>
    <x v="6"/>
    <n v="201915"/>
  </r>
  <r>
    <x v="15"/>
    <x v="2"/>
    <s v="Total Electric Power Industry"/>
    <x v="0"/>
    <n v="47794509"/>
  </r>
  <r>
    <x v="15"/>
    <x v="2"/>
    <s v="Total Electric Power Industry"/>
    <x v="1"/>
    <n v="23037144"/>
  </r>
  <r>
    <x v="15"/>
    <x v="2"/>
    <s v="Total Electric Power Industry"/>
    <x v="2"/>
    <n v="3082516"/>
  </r>
  <r>
    <x v="15"/>
    <x v="2"/>
    <s v="Total Electric Power Industry"/>
    <x v="3"/>
    <n v="6005660"/>
  </r>
  <r>
    <x v="15"/>
    <x v="2"/>
    <s v="Total Electric Power Industry"/>
    <x v="7"/>
    <n v="13689571"/>
  </r>
  <r>
    <x v="15"/>
    <x v="2"/>
    <s v="Total Electric Power Industry"/>
    <x v="12"/>
    <n v="15293"/>
  </r>
  <r>
    <x v="15"/>
    <x v="2"/>
    <s v="Total Electric Power Industry"/>
    <x v="8"/>
    <n v="27693"/>
  </r>
  <r>
    <x v="15"/>
    <x v="2"/>
    <s v="Total Electric Power Industry"/>
    <x v="4"/>
    <n v="208101"/>
  </r>
  <r>
    <x v="15"/>
    <x v="2"/>
    <s v="Total Electric Power Industry"/>
    <x v="10"/>
    <n v="20702"/>
  </r>
  <r>
    <x v="15"/>
    <x v="2"/>
    <s v="Total Electric Power Industry"/>
    <x v="6"/>
    <n v="1707830"/>
  </r>
  <r>
    <x v="15"/>
    <x v="2"/>
    <s v="Electric Generators, Independent Power Producers"/>
    <x v="0"/>
    <n v="3997057"/>
  </r>
  <r>
    <x v="15"/>
    <x v="2"/>
    <s v="Electric Generators, Independent Power Producers"/>
    <x v="2"/>
    <n v="-3233"/>
  </r>
  <r>
    <x v="15"/>
    <x v="2"/>
    <s v="Electric Generators, Independent Power Producers"/>
    <x v="3"/>
    <n v="4000290"/>
  </r>
  <r>
    <x v="15"/>
    <x v="2"/>
    <s v="Electric Generators, Electric Utilities"/>
    <x v="0"/>
    <n v="40545220"/>
  </r>
  <r>
    <x v="15"/>
    <x v="2"/>
    <s v="Electric Generators, Electric Utilities"/>
    <x v="1"/>
    <n v="22940659"/>
  </r>
  <r>
    <x v="15"/>
    <x v="2"/>
    <s v="Electric Generators, Electric Utilities"/>
    <x v="2"/>
    <n v="3085749"/>
  </r>
  <r>
    <x v="15"/>
    <x v="2"/>
    <s v="Electric Generators, Electric Utilities"/>
    <x v="3"/>
    <n v="645578"/>
  </r>
  <r>
    <x v="15"/>
    <x v="2"/>
    <s v="Electric Generators, Electric Utilities"/>
    <x v="7"/>
    <n v="13689571"/>
  </r>
  <r>
    <x v="15"/>
    <x v="2"/>
    <s v="Electric Generators, Electric Utilities"/>
    <x v="4"/>
    <n v="162961"/>
  </r>
  <r>
    <x v="15"/>
    <x v="2"/>
    <s v="Electric Generators, Electric Utilities"/>
    <x v="10"/>
    <n v="20702"/>
  </r>
  <r>
    <x v="15"/>
    <x v="2"/>
    <s v="Combined Heat and Power, Industrial Power"/>
    <x v="0"/>
    <n v="2033112"/>
  </r>
  <r>
    <x v="15"/>
    <x v="2"/>
    <s v="Combined Heat and Power, Industrial Power"/>
    <x v="1"/>
    <n v="96485"/>
  </r>
  <r>
    <x v="15"/>
    <x v="2"/>
    <s v="Combined Heat and Power, Industrial Power"/>
    <x v="3"/>
    <n v="167189"/>
  </r>
  <r>
    <x v="15"/>
    <x v="2"/>
    <s v="Combined Heat and Power, Industrial Power"/>
    <x v="12"/>
    <n v="15293"/>
  </r>
  <r>
    <x v="15"/>
    <x v="2"/>
    <s v="Combined Heat and Power, Industrial Power"/>
    <x v="8"/>
    <n v="1176"/>
  </r>
  <r>
    <x v="15"/>
    <x v="2"/>
    <s v="Combined Heat and Power, Industrial Power"/>
    <x v="4"/>
    <n v="45140"/>
  </r>
  <r>
    <x v="15"/>
    <x v="2"/>
    <s v="Combined Heat and Power, Industrial Power"/>
    <x v="6"/>
    <n v="1707830"/>
  </r>
  <r>
    <x v="15"/>
    <x v="2"/>
    <s v="Combined Heat and Power, Electric Power"/>
    <x v="0"/>
    <n v="1214876"/>
  </r>
  <r>
    <x v="15"/>
    <x v="2"/>
    <s v="Combined Heat and Power, Electric Power"/>
    <x v="3"/>
    <n v="1192107"/>
  </r>
  <r>
    <x v="15"/>
    <x v="2"/>
    <s v="Combined Heat and Power, Electric Power"/>
    <x v="8"/>
    <n v="22770"/>
  </r>
  <r>
    <x v="15"/>
    <x v="2"/>
    <s v="Combined Heat and Power, Electric Power"/>
    <x v="4"/>
    <n v="0"/>
  </r>
  <r>
    <x v="15"/>
    <x v="2"/>
    <s v="Combined Heat and Power, Commercial Power"/>
    <x v="0"/>
    <n v="4243"/>
  </r>
  <r>
    <x v="15"/>
    <x v="2"/>
    <s v="Combined Heat and Power, Commercial Power"/>
    <x v="3"/>
    <n v="496"/>
  </r>
  <r>
    <x v="15"/>
    <x v="2"/>
    <s v="Combined Heat and Power, Commercial Power"/>
    <x v="8"/>
    <n v="3747"/>
  </r>
  <r>
    <x v="15"/>
    <x v="3"/>
    <s v="Total Electric Power Industry"/>
    <x v="0"/>
    <n v="101478654"/>
  </r>
  <r>
    <x v="15"/>
    <x v="3"/>
    <s v="Total Electric Power Industry"/>
    <x v="1"/>
    <n v="40143534"/>
  </r>
  <r>
    <x v="15"/>
    <x v="3"/>
    <s v="Total Electric Power Industry"/>
    <x v="2"/>
    <n v="6410064"/>
  </r>
  <r>
    <x v="15"/>
    <x v="3"/>
    <s v="Total Electric Power Industry"/>
    <x v="3"/>
    <n v="28893013"/>
  </r>
  <r>
    <x v="15"/>
    <x v="3"/>
    <s v="Total Electric Power Industry"/>
    <x v="7"/>
    <n v="25807446"/>
  </r>
  <r>
    <x v="15"/>
    <x v="3"/>
    <s v="Total Electric Power Industry"/>
    <x v="8"/>
    <n v="48356"/>
  </r>
  <r>
    <x v="15"/>
    <x v="3"/>
    <s v="Total Electric Power Industry"/>
    <x v="4"/>
    <n v="43237"/>
  </r>
  <r>
    <x v="15"/>
    <x v="3"/>
    <s v="Total Electric Power Industry"/>
    <x v="10"/>
    <n v="107365"/>
  </r>
  <r>
    <x v="15"/>
    <x v="3"/>
    <s v="Total Electric Power Industry"/>
    <x v="13"/>
    <n v="13581"/>
  </r>
  <r>
    <x v="15"/>
    <x v="3"/>
    <s v="Total Electric Power Industry"/>
    <x v="6"/>
    <n v="12058"/>
  </r>
  <r>
    <x v="15"/>
    <x v="3"/>
    <s v="Electric Generators, Independent Power Producers"/>
    <x v="0"/>
    <n v="16390466"/>
  </r>
  <r>
    <x v="15"/>
    <x v="3"/>
    <s v="Electric Generators, Independent Power Producers"/>
    <x v="3"/>
    <n v="16378408"/>
  </r>
  <r>
    <x v="15"/>
    <x v="3"/>
    <s v="Electric Generators, Independent Power Producers"/>
    <x v="4"/>
    <n v="0"/>
  </r>
  <r>
    <x v="15"/>
    <x v="3"/>
    <s v="Electric Generators, Independent Power Producers"/>
    <x v="6"/>
    <n v="12058"/>
  </r>
  <r>
    <x v="15"/>
    <x v="3"/>
    <s v="Electric Generators, Electric Utilities"/>
    <x v="0"/>
    <n v="82914964"/>
  </r>
  <r>
    <x v="15"/>
    <x v="3"/>
    <s v="Electric Generators, Electric Utilities"/>
    <x v="1"/>
    <n v="39750729"/>
  </r>
  <r>
    <x v="15"/>
    <x v="3"/>
    <s v="Electric Generators, Electric Utilities"/>
    <x v="2"/>
    <n v="6410064"/>
  </r>
  <r>
    <x v="15"/>
    <x v="3"/>
    <s v="Electric Generators, Electric Utilities"/>
    <x v="3"/>
    <n v="10739962"/>
  </r>
  <r>
    <x v="15"/>
    <x v="3"/>
    <s v="Electric Generators, Electric Utilities"/>
    <x v="7"/>
    <n v="25807446"/>
  </r>
  <r>
    <x v="15"/>
    <x v="3"/>
    <s v="Electric Generators, Electric Utilities"/>
    <x v="8"/>
    <n v="44690"/>
  </r>
  <r>
    <x v="15"/>
    <x v="3"/>
    <s v="Electric Generators, Electric Utilities"/>
    <x v="4"/>
    <n v="41127"/>
  </r>
  <r>
    <x v="15"/>
    <x v="3"/>
    <s v="Electric Generators, Electric Utilities"/>
    <x v="10"/>
    <n v="107365"/>
  </r>
  <r>
    <x v="15"/>
    <x v="3"/>
    <s v="Electric Generators, Electric Utilities"/>
    <x v="13"/>
    <n v="13581"/>
  </r>
  <r>
    <x v="15"/>
    <x v="3"/>
    <s v="Combined Heat and Power, Industrial Power"/>
    <x v="0"/>
    <n v="412546"/>
  </r>
  <r>
    <x v="15"/>
    <x v="3"/>
    <s v="Combined Heat and Power, Industrial Power"/>
    <x v="1"/>
    <n v="392805"/>
  </r>
  <r>
    <x v="15"/>
    <x v="3"/>
    <s v="Combined Heat and Power, Industrial Power"/>
    <x v="3"/>
    <n v="17639"/>
  </r>
  <r>
    <x v="15"/>
    <x v="3"/>
    <s v="Combined Heat and Power, Industrial Power"/>
    <x v="4"/>
    <n v="2102"/>
  </r>
  <r>
    <x v="15"/>
    <x v="3"/>
    <s v="Combined Heat and Power, Electric Power"/>
    <x v="0"/>
    <n v="1688843"/>
  </r>
  <r>
    <x v="15"/>
    <x v="3"/>
    <s v="Combined Heat and Power, Electric Power"/>
    <x v="3"/>
    <n v="1688843"/>
  </r>
  <r>
    <x v="15"/>
    <x v="3"/>
    <s v="Combined Heat and Power, Commercial Power"/>
    <x v="0"/>
    <n v="71835"/>
  </r>
  <r>
    <x v="15"/>
    <x v="3"/>
    <s v="Combined Heat and Power, Commercial Power"/>
    <x v="3"/>
    <n v="68162"/>
  </r>
  <r>
    <x v="15"/>
    <x v="3"/>
    <s v="Combined Heat and Power, Commercial Power"/>
    <x v="8"/>
    <n v="3666"/>
  </r>
  <r>
    <x v="15"/>
    <x v="3"/>
    <s v="Combined Heat and Power, Commercial Power"/>
    <x v="4"/>
    <n v="8"/>
  </r>
  <r>
    <x v="15"/>
    <x v="4"/>
    <s v="Total Electric Power Industry"/>
    <x v="0"/>
    <n v="200292818"/>
  </r>
  <r>
    <x v="15"/>
    <x v="4"/>
    <s v="Total Electric Power Industry"/>
    <x v="1"/>
    <n v="2135375"/>
  </r>
  <r>
    <x v="15"/>
    <x v="4"/>
    <s v="Total Electric Power Industry"/>
    <x v="11"/>
    <n v="13022639"/>
  </r>
  <r>
    <x v="15"/>
    <x v="4"/>
    <s v="Total Electric Power Industry"/>
    <x v="2"/>
    <n v="39631867"/>
  </r>
  <r>
    <x v="15"/>
    <x v="4"/>
    <s v="Total Electric Power Industry"/>
    <x v="3"/>
    <n v="93353849"/>
  </r>
  <r>
    <x v="15"/>
    <x v="4"/>
    <s v="Total Electric Power Industry"/>
    <x v="7"/>
    <n v="36154898"/>
  </r>
  <r>
    <x v="15"/>
    <x v="4"/>
    <s v="Total Electric Power Industry"/>
    <x v="12"/>
    <n v="419508"/>
  </r>
  <r>
    <x v="15"/>
    <x v="4"/>
    <s v="Total Electric Power Industry"/>
    <x v="8"/>
    <n v="2223526"/>
  </r>
  <r>
    <x v="15"/>
    <x v="4"/>
    <s v="Total Electric Power Industry"/>
    <x v="9"/>
    <n v="2279584"/>
  </r>
  <r>
    <x v="15"/>
    <x v="4"/>
    <s v="Total Electric Power Industry"/>
    <x v="4"/>
    <n v="2543697"/>
  </r>
  <r>
    <x v="15"/>
    <x v="4"/>
    <s v="Total Electric Power Industry"/>
    <x v="10"/>
    <n v="119793"/>
  </r>
  <r>
    <x v="15"/>
    <x v="4"/>
    <s v="Total Electric Power Industry"/>
    <x v="13"/>
    <n v="536713"/>
  </r>
  <r>
    <x v="15"/>
    <x v="4"/>
    <s v="Total Electric Power Industry"/>
    <x v="5"/>
    <n v="4262229"/>
  </r>
  <r>
    <x v="15"/>
    <x v="4"/>
    <s v="Total Electric Power Industry"/>
    <x v="6"/>
    <n v="3609139"/>
  </r>
  <r>
    <x v="15"/>
    <x v="4"/>
    <s v="Electric Generators, Independent Power Producers"/>
    <x v="0"/>
    <n v="68720587"/>
  </r>
  <r>
    <x v="15"/>
    <x v="4"/>
    <s v="Electric Generators, Independent Power Producers"/>
    <x v="11"/>
    <n v="12081389"/>
  </r>
  <r>
    <x v="15"/>
    <x v="4"/>
    <s v="Electric Generators, Independent Power Producers"/>
    <x v="2"/>
    <n v="799788"/>
  </r>
  <r>
    <x v="15"/>
    <x v="4"/>
    <s v="Electric Generators, Independent Power Producers"/>
    <x v="3"/>
    <n v="46008217"/>
  </r>
  <r>
    <x v="15"/>
    <x v="4"/>
    <s v="Electric Generators, Independent Power Producers"/>
    <x v="12"/>
    <n v="84498"/>
  </r>
  <r>
    <x v="15"/>
    <x v="4"/>
    <s v="Electric Generators, Independent Power Producers"/>
    <x v="8"/>
    <n v="1332729"/>
  </r>
  <r>
    <x v="15"/>
    <x v="4"/>
    <s v="Electric Generators, Independent Power Producers"/>
    <x v="9"/>
    <n v="0"/>
  </r>
  <r>
    <x v="15"/>
    <x v="4"/>
    <s v="Electric Generators, Independent Power Producers"/>
    <x v="4"/>
    <n v="1129479"/>
  </r>
  <r>
    <x v="15"/>
    <x v="4"/>
    <s v="Electric Generators, Independent Power Producers"/>
    <x v="13"/>
    <n v="534701"/>
  </r>
  <r>
    <x v="15"/>
    <x v="4"/>
    <s v="Electric Generators, Independent Power Producers"/>
    <x v="5"/>
    <n v="4225346"/>
  </r>
  <r>
    <x v="15"/>
    <x v="4"/>
    <s v="Electric Generators, Independent Power Producers"/>
    <x v="6"/>
    <n v="2524439"/>
  </r>
  <r>
    <x v="15"/>
    <x v="4"/>
    <s v="Electric Generators, Electric Utilities"/>
    <x v="0"/>
    <n v="89348213"/>
  </r>
  <r>
    <x v="15"/>
    <x v="4"/>
    <s v="Electric Generators, Electric Utilities"/>
    <x v="11"/>
    <n v="941250"/>
  </r>
  <r>
    <x v="15"/>
    <x v="4"/>
    <s v="Electric Generators, Electric Utilities"/>
    <x v="2"/>
    <n v="38826653"/>
  </r>
  <r>
    <x v="15"/>
    <x v="4"/>
    <s v="Electric Generators, Electric Utilities"/>
    <x v="3"/>
    <n v="12982348"/>
  </r>
  <r>
    <x v="15"/>
    <x v="4"/>
    <s v="Electric Generators, Electric Utilities"/>
    <x v="7"/>
    <n v="36154898"/>
  </r>
  <r>
    <x v="15"/>
    <x v="4"/>
    <s v="Electric Generators, Electric Utilities"/>
    <x v="8"/>
    <n v="226402"/>
  </r>
  <r>
    <x v="15"/>
    <x v="4"/>
    <s v="Electric Generators, Electric Utilities"/>
    <x v="9"/>
    <n v="0"/>
  </r>
  <r>
    <x v="15"/>
    <x v="4"/>
    <s v="Electric Generators, Electric Utilities"/>
    <x v="4"/>
    <n v="57974"/>
  </r>
  <r>
    <x v="15"/>
    <x v="4"/>
    <s v="Electric Generators, Electric Utilities"/>
    <x v="10"/>
    <n v="119793"/>
  </r>
  <r>
    <x v="15"/>
    <x v="4"/>
    <s v="Electric Generators, Electric Utilities"/>
    <x v="13"/>
    <n v="2012"/>
  </r>
  <r>
    <x v="15"/>
    <x v="4"/>
    <s v="Electric Generators, Electric Utilities"/>
    <x v="5"/>
    <n v="36883"/>
  </r>
  <r>
    <x v="15"/>
    <x v="4"/>
    <s v="Combined Heat and Power, Industrial Power"/>
    <x v="0"/>
    <n v="16614449"/>
  </r>
  <r>
    <x v="15"/>
    <x v="4"/>
    <s v="Combined Heat and Power, Industrial Power"/>
    <x v="1"/>
    <n v="464874"/>
  </r>
  <r>
    <x v="15"/>
    <x v="4"/>
    <s v="Combined Heat and Power, Industrial Power"/>
    <x v="3"/>
    <n v="12302137"/>
  </r>
  <r>
    <x v="15"/>
    <x v="4"/>
    <s v="Combined Heat and Power, Industrial Power"/>
    <x v="12"/>
    <n v="207006"/>
  </r>
  <r>
    <x v="15"/>
    <x v="4"/>
    <s v="Combined Heat and Power, Industrial Power"/>
    <x v="8"/>
    <n v="23029"/>
  </r>
  <r>
    <x v="15"/>
    <x v="4"/>
    <s v="Combined Heat and Power, Industrial Power"/>
    <x v="9"/>
    <n v="2215144"/>
  </r>
  <r>
    <x v="15"/>
    <x v="4"/>
    <s v="Combined Heat and Power, Industrial Power"/>
    <x v="4"/>
    <n v="540590"/>
  </r>
  <r>
    <x v="15"/>
    <x v="4"/>
    <s v="Combined Heat and Power, Industrial Power"/>
    <x v="6"/>
    <n v="861668"/>
  </r>
  <r>
    <x v="15"/>
    <x v="4"/>
    <s v="Combined Heat and Power, Electric Power"/>
    <x v="0"/>
    <n v="23458694"/>
  </r>
  <r>
    <x v="15"/>
    <x v="4"/>
    <s v="Combined Heat and Power, Electric Power"/>
    <x v="1"/>
    <n v="1670500"/>
  </r>
  <r>
    <x v="15"/>
    <x v="4"/>
    <s v="Combined Heat and Power, Electric Power"/>
    <x v="3"/>
    <n v="20401807"/>
  </r>
  <r>
    <x v="15"/>
    <x v="4"/>
    <s v="Combined Heat and Power, Electric Power"/>
    <x v="12"/>
    <n v="128003"/>
  </r>
  <r>
    <x v="15"/>
    <x v="4"/>
    <s v="Combined Heat and Power, Electric Power"/>
    <x v="8"/>
    <n v="156366"/>
  </r>
  <r>
    <x v="15"/>
    <x v="4"/>
    <s v="Combined Heat and Power, Electric Power"/>
    <x v="9"/>
    <n v="64439"/>
  </r>
  <r>
    <x v="15"/>
    <x v="4"/>
    <s v="Combined Heat and Power, Electric Power"/>
    <x v="4"/>
    <n v="814545"/>
  </r>
  <r>
    <x v="15"/>
    <x v="4"/>
    <s v="Combined Heat and Power, Electric Power"/>
    <x v="6"/>
    <n v="223033"/>
  </r>
  <r>
    <x v="15"/>
    <x v="4"/>
    <s v="Combined Heat and Power, Commercial Power"/>
    <x v="0"/>
    <n v="2150876"/>
  </r>
  <r>
    <x v="15"/>
    <x v="4"/>
    <s v="Combined Heat and Power, Commercial Power"/>
    <x v="2"/>
    <n v="5426"/>
  </r>
  <r>
    <x v="15"/>
    <x v="4"/>
    <s v="Combined Heat and Power, Commercial Power"/>
    <x v="3"/>
    <n v="1659340"/>
  </r>
  <r>
    <x v="15"/>
    <x v="4"/>
    <s v="Combined Heat and Power, Commercial Power"/>
    <x v="12"/>
    <n v="0"/>
  </r>
  <r>
    <x v="15"/>
    <x v="4"/>
    <s v="Combined Heat and Power, Commercial Power"/>
    <x v="8"/>
    <n v="485001"/>
  </r>
  <r>
    <x v="15"/>
    <x v="4"/>
    <s v="Combined Heat and Power, Commercial Power"/>
    <x v="9"/>
    <n v="0"/>
  </r>
  <r>
    <x v="15"/>
    <x v="4"/>
    <s v="Combined Heat and Power, Commercial Power"/>
    <x v="4"/>
    <n v="1110"/>
  </r>
  <r>
    <x v="15"/>
    <x v="4"/>
    <s v="Combined Heat and Power, Commercial Power"/>
    <x v="6"/>
    <n v="0"/>
  </r>
  <r>
    <x v="15"/>
    <x v="5"/>
    <s v="Total Electric Power Industry"/>
    <x v="0"/>
    <n v="49616694"/>
  </r>
  <r>
    <x v="15"/>
    <x v="5"/>
    <s v="Total Electric Power Industry"/>
    <x v="1"/>
    <n v="35570135"/>
  </r>
  <r>
    <x v="15"/>
    <x v="5"/>
    <s v="Total Electric Power Industry"/>
    <x v="2"/>
    <n v="1415296"/>
  </r>
  <r>
    <x v="15"/>
    <x v="5"/>
    <s v="Total Electric Power Industry"/>
    <x v="3"/>
    <n v="11923290"/>
  </r>
  <r>
    <x v="15"/>
    <x v="5"/>
    <s v="Total Electric Power Industry"/>
    <x v="12"/>
    <n v="0"/>
  </r>
  <r>
    <x v="15"/>
    <x v="5"/>
    <s v="Total Electric Power Industry"/>
    <x v="8"/>
    <n v="33879"/>
  </r>
  <r>
    <x v="15"/>
    <x v="5"/>
    <s v="Total Electric Power Industry"/>
    <x v="9"/>
    <n v="2430"/>
  </r>
  <r>
    <x v="15"/>
    <x v="5"/>
    <s v="Total Electric Power Industry"/>
    <x v="4"/>
    <n v="17046"/>
  </r>
  <r>
    <x v="15"/>
    <x v="5"/>
    <s v="Total Electric Power Industry"/>
    <x v="10"/>
    <n v="-122063"/>
  </r>
  <r>
    <x v="15"/>
    <x v="5"/>
    <s v="Total Electric Power Industry"/>
    <x v="5"/>
    <n v="776234"/>
  </r>
  <r>
    <x v="15"/>
    <x v="5"/>
    <s v="Total Electric Power Industry"/>
    <x v="6"/>
    <n v="448"/>
  </r>
  <r>
    <x v="15"/>
    <x v="5"/>
    <s v="Electric Generators, Independent Power Producers"/>
    <x v="0"/>
    <n v="6834004"/>
  </r>
  <r>
    <x v="15"/>
    <x v="5"/>
    <s v="Electric Generators, Independent Power Producers"/>
    <x v="2"/>
    <n v="132222"/>
  </r>
  <r>
    <x v="15"/>
    <x v="5"/>
    <s v="Electric Generators, Independent Power Producers"/>
    <x v="3"/>
    <n v="5983030"/>
  </r>
  <r>
    <x v="15"/>
    <x v="5"/>
    <s v="Electric Generators, Independent Power Producers"/>
    <x v="4"/>
    <n v="944"/>
  </r>
  <r>
    <x v="15"/>
    <x v="5"/>
    <s v="Electric Generators, Independent Power Producers"/>
    <x v="5"/>
    <n v="717808"/>
  </r>
  <r>
    <x v="15"/>
    <x v="5"/>
    <s v="Electric Generators, Electric Utilities"/>
    <x v="0"/>
    <n v="41014609"/>
  </r>
  <r>
    <x v="15"/>
    <x v="5"/>
    <s v="Electric Generators, Electric Utilities"/>
    <x v="1"/>
    <n v="35285966"/>
  </r>
  <r>
    <x v="15"/>
    <x v="5"/>
    <s v="Electric Generators, Electric Utilities"/>
    <x v="2"/>
    <n v="1283074"/>
  </r>
  <r>
    <x v="15"/>
    <x v="5"/>
    <s v="Electric Generators, Electric Utilities"/>
    <x v="3"/>
    <n v="4490864"/>
  </r>
  <r>
    <x v="15"/>
    <x v="5"/>
    <s v="Electric Generators, Electric Utilities"/>
    <x v="9"/>
    <n v="2430"/>
  </r>
  <r>
    <x v="15"/>
    <x v="5"/>
    <s v="Electric Generators, Electric Utilities"/>
    <x v="4"/>
    <n v="15464"/>
  </r>
  <r>
    <x v="15"/>
    <x v="5"/>
    <s v="Electric Generators, Electric Utilities"/>
    <x v="10"/>
    <n v="-122063"/>
  </r>
  <r>
    <x v="15"/>
    <x v="5"/>
    <s v="Electric Generators, Electric Utilities"/>
    <x v="5"/>
    <n v="58426"/>
  </r>
  <r>
    <x v="15"/>
    <x v="5"/>
    <s v="Electric Generators, Electric Utilities"/>
    <x v="6"/>
    <n v="448"/>
  </r>
  <r>
    <x v="15"/>
    <x v="5"/>
    <s v="Combined Heat and Power, Industrial Power"/>
    <x v="0"/>
    <n v="70467"/>
  </r>
  <r>
    <x v="15"/>
    <x v="5"/>
    <s v="Combined Heat and Power, Industrial Power"/>
    <x v="3"/>
    <n v="70460"/>
  </r>
  <r>
    <x v="15"/>
    <x v="5"/>
    <s v="Combined Heat and Power, Industrial Power"/>
    <x v="12"/>
    <n v="0"/>
  </r>
  <r>
    <x v="15"/>
    <x v="5"/>
    <s v="Combined Heat and Power, Industrial Power"/>
    <x v="4"/>
    <n v="7"/>
  </r>
  <r>
    <x v="15"/>
    <x v="5"/>
    <s v="Combined Heat and Power, Electric Power"/>
    <x v="0"/>
    <n v="1643453"/>
  </r>
  <r>
    <x v="15"/>
    <x v="5"/>
    <s v="Combined Heat and Power, Electric Power"/>
    <x v="1"/>
    <n v="284169"/>
  </r>
  <r>
    <x v="15"/>
    <x v="5"/>
    <s v="Combined Heat and Power, Electric Power"/>
    <x v="3"/>
    <n v="1324780"/>
  </r>
  <r>
    <x v="15"/>
    <x v="5"/>
    <s v="Combined Heat and Power, Electric Power"/>
    <x v="8"/>
    <n v="33879"/>
  </r>
  <r>
    <x v="15"/>
    <x v="5"/>
    <s v="Combined Heat and Power, Electric Power"/>
    <x v="4"/>
    <n v="625"/>
  </r>
  <r>
    <x v="15"/>
    <x v="5"/>
    <s v="Combined Heat and Power, Commercial Power"/>
    <x v="0"/>
    <n v="54162"/>
  </r>
  <r>
    <x v="15"/>
    <x v="5"/>
    <s v="Combined Heat and Power, Commercial Power"/>
    <x v="3"/>
    <n v="54156"/>
  </r>
  <r>
    <x v="15"/>
    <x v="5"/>
    <s v="Combined Heat and Power, Commercial Power"/>
    <x v="4"/>
    <n v="5"/>
  </r>
  <r>
    <x v="15"/>
    <x v="6"/>
    <s v="Total Electric Power Industry"/>
    <x v="0"/>
    <n v="33549747"/>
  </r>
  <r>
    <x v="15"/>
    <x v="6"/>
    <s v="Total Electric Power Industry"/>
    <x v="1"/>
    <n v="3996492"/>
  </r>
  <r>
    <x v="15"/>
    <x v="6"/>
    <s v="Total Electric Power Industry"/>
    <x v="2"/>
    <n v="478199"/>
  </r>
  <r>
    <x v="15"/>
    <x v="6"/>
    <s v="Total Electric Power Industry"/>
    <x v="3"/>
    <n v="8863892"/>
  </r>
  <r>
    <x v="15"/>
    <x v="6"/>
    <s v="Total Electric Power Industry"/>
    <x v="7"/>
    <n v="15562122"/>
  </r>
  <r>
    <x v="15"/>
    <x v="6"/>
    <s v="Total Electric Power Industry"/>
    <x v="12"/>
    <n v="739952"/>
  </r>
  <r>
    <x v="15"/>
    <x v="6"/>
    <s v="Total Electric Power Industry"/>
    <x v="8"/>
    <n v="746021"/>
  </r>
  <r>
    <x v="15"/>
    <x v="6"/>
    <s v="Total Electric Power Industry"/>
    <x v="9"/>
    <n v="1566"/>
  </r>
  <r>
    <x v="15"/>
    <x v="6"/>
    <s v="Total Electric Power Industry"/>
    <x v="4"/>
    <n v="3155842"/>
  </r>
  <r>
    <x v="15"/>
    <x v="6"/>
    <s v="Total Electric Power Industry"/>
    <x v="10"/>
    <n v="-1653"/>
  </r>
  <r>
    <x v="15"/>
    <x v="6"/>
    <s v="Total Electric Power Industry"/>
    <x v="6"/>
    <n v="7314"/>
  </r>
  <r>
    <x v="15"/>
    <x v="6"/>
    <s v="Electric Generators, Independent Power Producers"/>
    <x v="0"/>
    <n v="31564027"/>
  </r>
  <r>
    <x v="15"/>
    <x v="6"/>
    <s v="Electric Generators, Independent Power Producers"/>
    <x v="1"/>
    <n v="2697309"/>
  </r>
  <r>
    <x v="15"/>
    <x v="6"/>
    <s v="Electric Generators, Independent Power Producers"/>
    <x v="2"/>
    <n v="437185"/>
  </r>
  <r>
    <x v="15"/>
    <x v="6"/>
    <s v="Electric Generators, Independent Power Producers"/>
    <x v="3"/>
    <n v="8350493"/>
  </r>
  <r>
    <x v="15"/>
    <x v="6"/>
    <s v="Electric Generators, Independent Power Producers"/>
    <x v="7"/>
    <n v="15562122"/>
  </r>
  <r>
    <x v="15"/>
    <x v="6"/>
    <s v="Electric Generators, Independent Power Producers"/>
    <x v="12"/>
    <n v="729596"/>
  </r>
  <r>
    <x v="15"/>
    <x v="6"/>
    <s v="Electric Generators, Independent Power Producers"/>
    <x v="8"/>
    <n v="746021"/>
  </r>
  <r>
    <x v="15"/>
    <x v="6"/>
    <s v="Electric Generators, Independent Power Producers"/>
    <x v="9"/>
    <n v="1566"/>
  </r>
  <r>
    <x v="15"/>
    <x v="6"/>
    <s v="Electric Generators, Independent Power Producers"/>
    <x v="4"/>
    <n v="3034074"/>
  </r>
  <r>
    <x v="15"/>
    <x v="6"/>
    <s v="Electric Generators, Independent Power Producers"/>
    <x v="10"/>
    <n v="-1653"/>
  </r>
  <r>
    <x v="15"/>
    <x v="6"/>
    <s v="Electric Generators, Independent Power Producers"/>
    <x v="6"/>
    <n v="7314"/>
  </r>
  <r>
    <x v="15"/>
    <x v="6"/>
    <s v="Electric Generators, Electric Utilities"/>
    <x v="0"/>
    <n v="41709"/>
  </r>
  <r>
    <x v="15"/>
    <x v="6"/>
    <s v="Electric Generators, Electric Utilities"/>
    <x v="2"/>
    <n v="41014"/>
  </r>
  <r>
    <x v="15"/>
    <x v="6"/>
    <s v="Electric Generators, Electric Utilities"/>
    <x v="4"/>
    <n v="695"/>
  </r>
  <r>
    <x v="15"/>
    <x v="6"/>
    <s v="Combined Heat and Power, Industrial Power"/>
    <x v="0"/>
    <n v="207119"/>
  </r>
  <r>
    <x v="15"/>
    <x v="6"/>
    <s v="Combined Heat and Power, Industrial Power"/>
    <x v="3"/>
    <n v="80411"/>
  </r>
  <r>
    <x v="15"/>
    <x v="6"/>
    <s v="Combined Heat and Power, Industrial Power"/>
    <x v="12"/>
    <n v="10356"/>
  </r>
  <r>
    <x v="15"/>
    <x v="6"/>
    <s v="Combined Heat and Power, Industrial Power"/>
    <x v="4"/>
    <n v="116352"/>
  </r>
  <r>
    <x v="15"/>
    <x v="6"/>
    <s v="Combined Heat and Power, Electric Power"/>
    <x v="0"/>
    <n v="1697139"/>
  </r>
  <r>
    <x v="15"/>
    <x v="6"/>
    <s v="Combined Heat and Power, Electric Power"/>
    <x v="1"/>
    <n v="1299183"/>
  </r>
  <r>
    <x v="15"/>
    <x v="6"/>
    <s v="Combined Heat and Power, Electric Power"/>
    <x v="3"/>
    <n v="393820"/>
  </r>
  <r>
    <x v="15"/>
    <x v="6"/>
    <s v="Combined Heat and Power, Electric Power"/>
    <x v="4"/>
    <n v="4136"/>
  </r>
  <r>
    <x v="15"/>
    <x v="6"/>
    <s v="Combined Heat and Power, Commercial Power"/>
    <x v="0"/>
    <n v="39754"/>
  </r>
  <r>
    <x v="15"/>
    <x v="6"/>
    <s v="Combined Heat and Power, Commercial Power"/>
    <x v="3"/>
    <n v="39168"/>
  </r>
  <r>
    <x v="15"/>
    <x v="6"/>
    <s v="Combined Heat and Power, Commercial Power"/>
    <x v="4"/>
    <n v="585"/>
  </r>
  <r>
    <x v="15"/>
    <x v="7"/>
    <s v="Total Electric Power Industry"/>
    <x v="0"/>
    <n v="226042"/>
  </r>
  <r>
    <x v="15"/>
    <x v="7"/>
    <s v="Total Electric Power Industry"/>
    <x v="4"/>
    <n v="226042"/>
  </r>
  <r>
    <x v="15"/>
    <x v="7"/>
    <s v="Electric Generators, Independent Power Producers"/>
    <x v="0"/>
    <n v="226042"/>
  </r>
  <r>
    <x v="15"/>
    <x v="7"/>
    <s v="Electric Generators, Independent Power Producers"/>
    <x v="4"/>
    <n v="226042"/>
  </r>
  <r>
    <x v="15"/>
    <x v="8"/>
    <s v="Total Electric Power Industry"/>
    <x v="0"/>
    <n v="8136568"/>
  </r>
  <r>
    <x v="15"/>
    <x v="8"/>
    <s v="Total Electric Power Industry"/>
    <x v="1"/>
    <n v="4832844"/>
  </r>
  <r>
    <x v="15"/>
    <x v="8"/>
    <s v="Total Electric Power Industry"/>
    <x v="3"/>
    <n v="1590817"/>
  </r>
  <r>
    <x v="15"/>
    <x v="8"/>
    <s v="Total Electric Power Industry"/>
    <x v="9"/>
    <n v="492668"/>
  </r>
  <r>
    <x v="15"/>
    <x v="8"/>
    <s v="Total Electric Power Industry"/>
    <x v="4"/>
    <n v="1220239"/>
  </r>
  <r>
    <x v="15"/>
    <x v="8"/>
    <s v="Electric Generators, Independent Power Producers"/>
    <x v="0"/>
    <n v="7077737"/>
  </r>
  <r>
    <x v="15"/>
    <x v="8"/>
    <s v="Electric Generators, Independent Power Producers"/>
    <x v="1"/>
    <n v="4606010"/>
  </r>
  <r>
    <x v="15"/>
    <x v="8"/>
    <s v="Electric Generators, Independent Power Producers"/>
    <x v="3"/>
    <n v="1545119"/>
  </r>
  <r>
    <x v="15"/>
    <x v="8"/>
    <s v="Electric Generators, Independent Power Producers"/>
    <x v="4"/>
    <n v="926608"/>
  </r>
  <r>
    <x v="15"/>
    <x v="8"/>
    <s v="Electric Generators, Electric Utilities"/>
    <x v="0"/>
    <n v="25989"/>
  </r>
  <r>
    <x v="15"/>
    <x v="8"/>
    <s v="Electric Generators, Electric Utilities"/>
    <x v="3"/>
    <n v="19547"/>
  </r>
  <r>
    <x v="15"/>
    <x v="8"/>
    <s v="Electric Generators, Electric Utilities"/>
    <x v="4"/>
    <n v="6442"/>
  </r>
  <r>
    <x v="15"/>
    <x v="8"/>
    <s v="Combined Heat and Power, Industrial Power"/>
    <x v="0"/>
    <n v="903402"/>
  </r>
  <r>
    <x v="15"/>
    <x v="8"/>
    <s v="Combined Heat and Power, Industrial Power"/>
    <x v="1"/>
    <n v="122029"/>
  </r>
  <r>
    <x v="15"/>
    <x v="8"/>
    <s v="Combined Heat and Power, Industrial Power"/>
    <x v="3"/>
    <n v="6951"/>
  </r>
  <r>
    <x v="15"/>
    <x v="8"/>
    <s v="Combined Heat and Power, Industrial Power"/>
    <x v="9"/>
    <n v="492668"/>
  </r>
  <r>
    <x v="15"/>
    <x v="8"/>
    <s v="Combined Heat and Power, Industrial Power"/>
    <x v="4"/>
    <n v="281754"/>
  </r>
  <r>
    <x v="15"/>
    <x v="8"/>
    <s v="Combined Heat and Power, Electric Power"/>
    <x v="0"/>
    <n v="129440"/>
  </r>
  <r>
    <x v="15"/>
    <x v="8"/>
    <s v="Combined Heat and Power, Electric Power"/>
    <x v="1"/>
    <n v="104805"/>
  </r>
  <r>
    <x v="15"/>
    <x v="8"/>
    <s v="Combined Heat and Power, Electric Power"/>
    <x v="3"/>
    <n v="19200"/>
  </r>
  <r>
    <x v="15"/>
    <x v="8"/>
    <s v="Combined Heat and Power, Electric Power"/>
    <x v="4"/>
    <n v="5436"/>
  </r>
  <r>
    <x v="15"/>
    <x v="9"/>
    <s v="Total Electric Power Industry"/>
    <x v="0"/>
    <n v="220256412"/>
  </r>
  <r>
    <x v="15"/>
    <x v="9"/>
    <s v="Total Electric Power Industry"/>
    <x v="1"/>
    <n v="62515301"/>
  </r>
  <r>
    <x v="15"/>
    <x v="9"/>
    <s v="Total Electric Power Industry"/>
    <x v="2"/>
    <n v="266159"/>
  </r>
  <r>
    <x v="15"/>
    <x v="9"/>
    <s v="Total Electric Power Industry"/>
    <x v="3"/>
    <n v="83595195"/>
  </r>
  <r>
    <x v="15"/>
    <x v="9"/>
    <s v="Total Electric Power Industry"/>
    <x v="7"/>
    <n v="28758826"/>
  </r>
  <r>
    <x v="15"/>
    <x v="9"/>
    <s v="Total Electric Power Industry"/>
    <x v="12"/>
    <n v="3579461"/>
  </r>
  <r>
    <x v="15"/>
    <x v="9"/>
    <s v="Total Electric Power Industry"/>
    <x v="8"/>
    <n v="2304956"/>
  </r>
  <r>
    <x v="15"/>
    <x v="9"/>
    <s v="Total Electric Power Industry"/>
    <x v="9"/>
    <n v="13240"/>
  </r>
  <r>
    <x v="15"/>
    <x v="9"/>
    <s v="Total Electric Power Industry"/>
    <x v="4"/>
    <n v="37201034"/>
  </r>
  <r>
    <x v="15"/>
    <x v="9"/>
    <s v="Total Electric Power Industry"/>
    <x v="6"/>
    <n v="2022240"/>
  </r>
  <r>
    <x v="15"/>
    <x v="9"/>
    <s v="Electric Generators, Independent Power Producers"/>
    <x v="0"/>
    <n v="10189125"/>
  </r>
  <r>
    <x v="15"/>
    <x v="9"/>
    <s v="Electric Generators, Independent Power Producers"/>
    <x v="3"/>
    <n v="6227372"/>
  </r>
  <r>
    <x v="15"/>
    <x v="9"/>
    <s v="Electric Generators, Independent Power Producers"/>
    <x v="12"/>
    <n v="1268037"/>
  </r>
  <r>
    <x v="15"/>
    <x v="9"/>
    <s v="Electric Generators, Independent Power Producers"/>
    <x v="8"/>
    <n v="1668903"/>
  </r>
  <r>
    <x v="15"/>
    <x v="9"/>
    <s v="Electric Generators, Independent Power Producers"/>
    <x v="9"/>
    <n v="17"/>
  </r>
  <r>
    <x v="15"/>
    <x v="9"/>
    <s v="Electric Generators, Independent Power Producers"/>
    <x v="4"/>
    <n v="811875"/>
  </r>
  <r>
    <x v="15"/>
    <x v="9"/>
    <s v="Electric Generators, Independent Power Producers"/>
    <x v="6"/>
    <n v="212921"/>
  </r>
  <r>
    <x v="15"/>
    <x v="9"/>
    <s v="Electric Generators, Electric Utilities"/>
    <x v="0"/>
    <n v="196096285"/>
  </r>
  <r>
    <x v="15"/>
    <x v="9"/>
    <s v="Electric Generators, Electric Utilities"/>
    <x v="1"/>
    <n v="57559411"/>
  </r>
  <r>
    <x v="15"/>
    <x v="9"/>
    <s v="Electric Generators, Electric Utilities"/>
    <x v="2"/>
    <n v="266159"/>
  </r>
  <r>
    <x v="15"/>
    <x v="9"/>
    <s v="Electric Generators, Electric Utilities"/>
    <x v="3"/>
    <n v="73282347"/>
  </r>
  <r>
    <x v="15"/>
    <x v="9"/>
    <s v="Electric Generators, Electric Utilities"/>
    <x v="7"/>
    <n v="28758826"/>
  </r>
  <r>
    <x v="15"/>
    <x v="9"/>
    <s v="Electric Generators, Electric Utilities"/>
    <x v="12"/>
    <n v="0"/>
  </r>
  <r>
    <x v="15"/>
    <x v="9"/>
    <s v="Electric Generators, Electric Utilities"/>
    <x v="8"/>
    <n v="107503"/>
  </r>
  <r>
    <x v="15"/>
    <x v="9"/>
    <s v="Electric Generators, Electric Utilities"/>
    <x v="4"/>
    <n v="36122039"/>
  </r>
  <r>
    <x v="15"/>
    <x v="9"/>
    <s v="Electric Generators, Electric Utilities"/>
    <x v="6"/>
    <n v="0"/>
  </r>
  <r>
    <x v="15"/>
    <x v="9"/>
    <s v="Combined Heat and Power, Industrial Power"/>
    <x v="0"/>
    <n v="5358850"/>
  </r>
  <r>
    <x v="15"/>
    <x v="9"/>
    <s v="Combined Heat and Power, Industrial Power"/>
    <x v="1"/>
    <n v="254863"/>
  </r>
  <r>
    <x v="15"/>
    <x v="9"/>
    <s v="Combined Heat and Power, Industrial Power"/>
    <x v="3"/>
    <n v="735708"/>
  </r>
  <r>
    <x v="15"/>
    <x v="9"/>
    <s v="Combined Heat and Power, Industrial Power"/>
    <x v="12"/>
    <n v="2307715"/>
  </r>
  <r>
    <x v="15"/>
    <x v="9"/>
    <s v="Combined Heat and Power, Industrial Power"/>
    <x v="8"/>
    <n v="250089"/>
  </r>
  <r>
    <x v="15"/>
    <x v="9"/>
    <s v="Combined Heat and Power, Industrial Power"/>
    <x v="9"/>
    <n v="12549"/>
  </r>
  <r>
    <x v="15"/>
    <x v="9"/>
    <s v="Combined Heat and Power, Industrial Power"/>
    <x v="4"/>
    <n v="254905"/>
  </r>
  <r>
    <x v="15"/>
    <x v="9"/>
    <s v="Combined Heat and Power, Industrial Power"/>
    <x v="6"/>
    <n v="1543021"/>
  </r>
  <r>
    <x v="15"/>
    <x v="9"/>
    <s v="Combined Heat and Power, Electric Power"/>
    <x v="0"/>
    <n v="8514852"/>
  </r>
  <r>
    <x v="15"/>
    <x v="9"/>
    <s v="Combined Heat and Power, Electric Power"/>
    <x v="1"/>
    <n v="4701028"/>
  </r>
  <r>
    <x v="15"/>
    <x v="9"/>
    <s v="Combined Heat and Power, Electric Power"/>
    <x v="3"/>
    <n v="3291292"/>
  </r>
  <r>
    <x v="15"/>
    <x v="9"/>
    <s v="Combined Heat and Power, Electric Power"/>
    <x v="12"/>
    <n v="3708"/>
  </r>
  <r>
    <x v="15"/>
    <x v="9"/>
    <s v="Combined Heat and Power, Electric Power"/>
    <x v="8"/>
    <n v="239638"/>
  </r>
  <r>
    <x v="15"/>
    <x v="9"/>
    <s v="Combined Heat and Power, Electric Power"/>
    <x v="9"/>
    <n v="673"/>
  </r>
  <r>
    <x v="15"/>
    <x v="9"/>
    <s v="Combined Heat and Power, Electric Power"/>
    <x v="4"/>
    <n v="12215"/>
  </r>
  <r>
    <x v="15"/>
    <x v="9"/>
    <s v="Combined Heat and Power, Electric Power"/>
    <x v="6"/>
    <n v="266298"/>
  </r>
  <r>
    <x v="15"/>
    <x v="9"/>
    <s v="Combined Heat and Power, Commercial Power"/>
    <x v="0"/>
    <n v="97299"/>
  </r>
  <r>
    <x v="15"/>
    <x v="9"/>
    <s v="Combined Heat and Power, Commercial Power"/>
    <x v="3"/>
    <n v="58476"/>
  </r>
  <r>
    <x v="15"/>
    <x v="9"/>
    <s v="Combined Heat and Power, Commercial Power"/>
    <x v="8"/>
    <n v="38824"/>
  </r>
  <r>
    <x v="15"/>
    <x v="9"/>
    <s v="Combined Heat and Power, Commercial Power"/>
    <x v="4"/>
    <n v="0"/>
  </r>
  <r>
    <x v="15"/>
    <x v="10"/>
    <s v="Total Electric Power Industry"/>
    <x v="0"/>
    <n v="136667892"/>
  </r>
  <r>
    <x v="15"/>
    <x v="10"/>
    <s v="Total Electric Power Industry"/>
    <x v="1"/>
    <n v="87182259"/>
  </r>
  <r>
    <x v="15"/>
    <x v="10"/>
    <s v="Total Electric Power Industry"/>
    <x v="2"/>
    <n v="4032053"/>
  </r>
  <r>
    <x v="15"/>
    <x v="10"/>
    <s v="Total Electric Power Industry"/>
    <x v="3"/>
    <n v="9771034"/>
  </r>
  <r>
    <x v="15"/>
    <x v="10"/>
    <s v="Total Electric Power Industry"/>
    <x v="7"/>
    <n v="31534259"/>
  </r>
  <r>
    <x v="15"/>
    <x v="10"/>
    <s v="Total Electric Power Industry"/>
    <x v="12"/>
    <n v="52527"/>
  </r>
  <r>
    <x v="15"/>
    <x v="10"/>
    <s v="Total Electric Power Industry"/>
    <x v="8"/>
    <n v="77123"/>
  </r>
  <r>
    <x v="15"/>
    <x v="10"/>
    <s v="Total Electric Power Industry"/>
    <x v="4"/>
    <n v="1033092"/>
  </r>
  <r>
    <x v="15"/>
    <x v="10"/>
    <s v="Total Electric Power Industry"/>
    <x v="10"/>
    <n v="-209221"/>
  </r>
  <r>
    <x v="15"/>
    <x v="10"/>
    <s v="Total Electric Power Industry"/>
    <x v="6"/>
    <n v="3194765"/>
  </r>
  <r>
    <x v="15"/>
    <x v="10"/>
    <s v="Electric Generators, Independent Power Producers"/>
    <x v="0"/>
    <n v="4913311"/>
  </r>
  <r>
    <x v="15"/>
    <x v="10"/>
    <s v="Electric Generators, Independent Power Producers"/>
    <x v="2"/>
    <n v="8133"/>
  </r>
  <r>
    <x v="15"/>
    <x v="10"/>
    <s v="Electric Generators, Independent Power Producers"/>
    <x v="3"/>
    <n v="4862553"/>
  </r>
  <r>
    <x v="15"/>
    <x v="10"/>
    <s v="Electric Generators, Independent Power Producers"/>
    <x v="8"/>
    <n v="16247"/>
  </r>
  <r>
    <x v="15"/>
    <x v="10"/>
    <s v="Electric Generators, Independent Power Producers"/>
    <x v="4"/>
    <n v="26378"/>
  </r>
  <r>
    <x v="15"/>
    <x v="10"/>
    <s v="Electric Generators, Electric Utilities"/>
    <x v="0"/>
    <n v="126444777"/>
  </r>
  <r>
    <x v="15"/>
    <x v="10"/>
    <s v="Electric Generators, Electric Utilities"/>
    <x v="1"/>
    <n v="86358096"/>
  </r>
  <r>
    <x v="15"/>
    <x v="10"/>
    <s v="Electric Generators, Electric Utilities"/>
    <x v="2"/>
    <n v="4004150"/>
  </r>
  <r>
    <x v="15"/>
    <x v="10"/>
    <s v="Electric Generators, Electric Utilities"/>
    <x v="3"/>
    <n v="4567674"/>
  </r>
  <r>
    <x v="15"/>
    <x v="10"/>
    <s v="Electric Generators, Electric Utilities"/>
    <x v="7"/>
    <n v="31534259"/>
  </r>
  <r>
    <x v="15"/>
    <x v="10"/>
    <s v="Electric Generators, Electric Utilities"/>
    <x v="4"/>
    <n v="189819"/>
  </r>
  <r>
    <x v="15"/>
    <x v="10"/>
    <s v="Electric Generators, Electric Utilities"/>
    <x v="10"/>
    <n v="-209221"/>
  </r>
  <r>
    <x v="15"/>
    <x v="10"/>
    <s v="Combined Heat and Power, Industrial Power"/>
    <x v="0"/>
    <n v="5159173"/>
  </r>
  <r>
    <x v="15"/>
    <x v="10"/>
    <s v="Combined Heat and Power, Industrial Power"/>
    <x v="1"/>
    <n v="824163"/>
  </r>
  <r>
    <x v="15"/>
    <x v="10"/>
    <s v="Combined Heat and Power, Industrial Power"/>
    <x v="2"/>
    <n v="19770"/>
  </r>
  <r>
    <x v="15"/>
    <x v="10"/>
    <s v="Combined Heat and Power, Industrial Power"/>
    <x v="3"/>
    <n v="200034"/>
  </r>
  <r>
    <x v="15"/>
    <x v="10"/>
    <s v="Combined Heat and Power, Industrial Power"/>
    <x v="12"/>
    <n v="52527"/>
  </r>
  <r>
    <x v="15"/>
    <x v="10"/>
    <s v="Combined Heat and Power, Industrial Power"/>
    <x v="8"/>
    <n v="60876"/>
  </r>
  <r>
    <x v="15"/>
    <x v="10"/>
    <s v="Combined Heat and Power, Industrial Power"/>
    <x v="4"/>
    <n v="807038"/>
  </r>
  <r>
    <x v="15"/>
    <x v="10"/>
    <s v="Combined Heat and Power, Industrial Power"/>
    <x v="6"/>
    <n v="3194765"/>
  </r>
  <r>
    <x v="15"/>
    <x v="10"/>
    <s v="Combined Heat and Power, Electric Power"/>
    <x v="0"/>
    <n v="140773"/>
  </r>
  <r>
    <x v="15"/>
    <x v="10"/>
    <s v="Combined Heat and Power, Electric Power"/>
    <x v="3"/>
    <n v="140773"/>
  </r>
  <r>
    <x v="15"/>
    <x v="10"/>
    <s v="Combined Heat and Power, Electric Power"/>
    <x v="4"/>
    <n v="0"/>
  </r>
  <r>
    <x v="15"/>
    <x v="10"/>
    <s v="Combined Heat and Power, Commercial Power"/>
    <x v="0"/>
    <n v="9857"/>
  </r>
  <r>
    <x v="15"/>
    <x v="10"/>
    <s v="Combined Heat and Power, Commercial Power"/>
    <x v="4"/>
    <n v="9857"/>
  </r>
  <r>
    <x v="15"/>
    <x v="11"/>
    <s v="Total Electric Power Industry"/>
    <x v="0"/>
    <n v="11522805"/>
  </r>
  <r>
    <x v="15"/>
    <x v="11"/>
    <s v="Total Electric Power Industry"/>
    <x v="1"/>
    <n v="1630918"/>
  </r>
  <r>
    <x v="15"/>
    <x v="11"/>
    <s v="Total Electric Power Industry"/>
    <x v="11"/>
    <n v="221597"/>
  </r>
  <r>
    <x v="15"/>
    <x v="11"/>
    <s v="Total Electric Power Industry"/>
    <x v="2"/>
    <n v="96188"/>
  </r>
  <r>
    <x v="15"/>
    <x v="11"/>
    <s v="Total Electric Power Industry"/>
    <x v="12"/>
    <n v="149006"/>
  </r>
  <r>
    <x v="15"/>
    <x v="11"/>
    <s v="Total Electric Power Industry"/>
    <x v="8"/>
    <n v="309740"/>
  </r>
  <r>
    <x v="15"/>
    <x v="11"/>
    <s v="Total Electric Power Industry"/>
    <x v="9"/>
    <n v="41133"/>
  </r>
  <r>
    <x v="15"/>
    <x v="11"/>
    <s v="Total Electric Power Industry"/>
    <x v="4"/>
    <n v="9067592"/>
  </r>
  <r>
    <x v="15"/>
    <x v="11"/>
    <s v="Total Electric Power Industry"/>
    <x v="5"/>
    <n v="6632"/>
  </r>
  <r>
    <x v="15"/>
    <x v="11"/>
    <s v="Electric Generators, Independent Power Producers"/>
    <x v="0"/>
    <n v="279684"/>
  </r>
  <r>
    <x v="15"/>
    <x v="11"/>
    <s v="Electric Generators, Independent Power Producers"/>
    <x v="11"/>
    <n v="221597"/>
  </r>
  <r>
    <x v="15"/>
    <x v="11"/>
    <s v="Electric Generators, Independent Power Producers"/>
    <x v="2"/>
    <n v="53152"/>
  </r>
  <r>
    <x v="15"/>
    <x v="11"/>
    <s v="Electric Generators, Independent Power Producers"/>
    <x v="5"/>
    <n v="4935"/>
  </r>
  <r>
    <x v="15"/>
    <x v="11"/>
    <s v="Electric Generators, Electric Utilities"/>
    <x v="0"/>
    <n v="6915159"/>
  </r>
  <r>
    <x v="15"/>
    <x v="11"/>
    <s v="Electric Generators, Electric Utilities"/>
    <x v="2"/>
    <n v="9169"/>
  </r>
  <r>
    <x v="15"/>
    <x v="11"/>
    <s v="Electric Generators, Electric Utilities"/>
    <x v="4"/>
    <n v="6904293"/>
  </r>
  <r>
    <x v="15"/>
    <x v="11"/>
    <s v="Electric Generators, Electric Utilities"/>
    <x v="5"/>
    <n v="1697"/>
  </r>
  <r>
    <x v="15"/>
    <x v="11"/>
    <s v="Combined Heat and Power, Industrial Power"/>
    <x v="0"/>
    <n v="265767"/>
  </r>
  <r>
    <x v="15"/>
    <x v="11"/>
    <s v="Combined Heat and Power, Industrial Power"/>
    <x v="2"/>
    <n v="33867"/>
  </r>
  <r>
    <x v="15"/>
    <x v="11"/>
    <s v="Combined Heat and Power, Industrial Power"/>
    <x v="8"/>
    <n v="12932"/>
  </r>
  <r>
    <x v="15"/>
    <x v="11"/>
    <s v="Combined Heat and Power, Industrial Power"/>
    <x v="9"/>
    <n v="41133"/>
  </r>
  <r>
    <x v="15"/>
    <x v="11"/>
    <s v="Combined Heat and Power, Industrial Power"/>
    <x v="4"/>
    <n v="177835"/>
  </r>
  <r>
    <x v="15"/>
    <x v="11"/>
    <s v="Combined Heat and Power, Electric Power"/>
    <x v="0"/>
    <n v="3769263"/>
  </r>
  <r>
    <x v="15"/>
    <x v="11"/>
    <s v="Combined Heat and Power, Electric Power"/>
    <x v="1"/>
    <n v="1630918"/>
  </r>
  <r>
    <x v="15"/>
    <x v="11"/>
    <s v="Combined Heat and Power, Electric Power"/>
    <x v="12"/>
    <n v="20932"/>
  </r>
  <r>
    <x v="15"/>
    <x v="11"/>
    <s v="Combined Heat and Power, Electric Power"/>
    <x v="8"/>
    <n v="133804"/>
  </r>
  <r>
    <x v="15"/>
    <x v="11"/>
    <s v="Combined Heat and Power, Electric Power"/>
    <x v="4"/>
    <n v="1983609"/>
  </r>
  <r>
    <x v="15"/>
    <x v="11"/>
    <s v="Combined Heat and Power, Commercial Power"/>
    <x v="0"/>
    <n v="292932"/>
  </r>
  <r>
    <x v="15"/>
    <x v="11"/>
    <s v="Combined Heat and Power, Commercial Power"/>
    <x v="12"/>
    <n v="128074"/>
  </r>
  <r>
    <x v="15"/>
    <x v="11"/>
    <s v="Combined Heat and Power, Commercial Power"/>
    <x v="8"/>
    <n v="163003"/>
  </r>
  <r>
    <x v="15"/>
    <x v="11"/>
    <s v="Combined Heat and Power, Commercial Power"/>
    <x v="4"/>
    <n v="1855"/>
  </r>
  <r>
    <x v="15"/>
    <x v="12"/>
    <s v="Total Electric Power Industry"/>
    <x v="0"/>
    <n v="44156160"/>
  </r>
  <r>
    <x v="15"/>
    <x v="12"/>
    <s v="Total Electric Power Industry"/>
    <x v="1"/>
    <n v="34252334"/>
  </r>
  <r>
    <x v="15"/>
    <x v="12"/>
    <s v="Total Electric Power Industry"/>
    <x v="2"/>
    <n v="959526"/>
  </r>
  <r>
    <x v="15"/>
    <x v="12"/>
    <s v="Total Electric Power Industry"/>
    <x v="3"/>
    <n v="2480870"/>
  </r>
  <r>
    <x v="15"/>
    <x v="12"/>
    <s v="Total Electric Power Industry"/>
    <x v="7"/>
    <n v="4538313"/>
  </r>
  <r>
    <x v="15"/>
    <x v="12"/>
    <s v="Total Electric Power Industry"/>
    <x v="12"/>
    <n v="11573"/>
  </r>
  <r>
    <x v="15"/>
    <x v="12"/>
    <s v="Total Electric Power Industry"/>
    <x v="8"/>
    <n v="116842"/>
  </r>
  <r>
    <x v="15"/>
    <x v="12"/>
    <s v="Total Electric Power Industry"/>
    <x v="4"/>
    <n v="149568"/>
  </r>
  <r>
    <x v="15"/>
    <x v="12"/>
    <s v="Total Electric Power Industry"/>
    <x v="5"/>
    <n v="1647134"/>
  </r>
  <r>
    <x v="15"/>
    <x v="12"/>
    <s v="Electric Generators, Independent Power Producers"/>
    <x v="0"/>
    <n v="1103455"/>
  </r>
  <r>
    <x v="15"/>
    <x v="12"/>
    <s v="Electric Generators, Independent Power Producers"/>
    <x v="2"/>
    <n v="9432"/>
  </r>
  <r>
    <x v="15"/>
    <x v="12"/>
    <s v="Electric Generators, Independent Power Producers"/>
    <x v="3"/>
    <n v="138"/>
  </r>
  <r>
    <x v="15"/>
    <x v="12"/>
    <s v="Electric Generators, Independent Power Producers"/>
    <x v="8"/>
    <n v="53582"/>
  </r>
  <r>
    <x v="15"/>
    <x v="12"/>
    <s v="Electric Generators, Independent Power Producers"/>
    <x v="4"/>
    <n v="2120"/>
  </r>
  <r>
    <x v="15"/>
    <x v="12"/>
    <s v="Electric Generators, Independent Power Producers"/>
    <x v="5"/>
    <n v="1038183"/>
  </r>
  <r>
    <x v="15"/>
    <x v="12"/>
    <s v="Electric Generators, Electric Utilities"/>
    <x v="0"/>
    <n v="41559024"/>
  </r>
  <r>
    <x v="15"/>
    <x v="12"/>
    <s v="Electric Generators, Electric Utilities"/>
    <x v="1"/>
    <n v="32807567"/>
  </r>
  <r>
    <x v="15"/>
    <x v="12"/>
    <s v="Electric Generators, Electric Utilities"/>
    <x v="2"/>
    <n v="950094"/>
  </r>
  <r>
    <x v="15"/>
    <x v="12"/>
    <s v="Electric Generators, Electric Utilities"/>
    <x v="3"/>
    <n v="2473558"/>
  </r>
  <r>
    <x v="15"/>
    <x v="12"/>
    <s v="Electric Generators, Electric Utilities"/>
    <x v="7"/>
    <n v="4538313"/>
  </r>
  <r>
    <x v="15"/>
    <x v="12"/>
    <s v="Electric Generators, Electric Utilities"/>
    <x v="12"/>
    <n v="11573"/>
  </r>
  <r>
    <x v="15"/>
    <x v="12"/>
    <s v="Electric Generators, Electric Utilities"/>
    <x v="8"/>
    <n v="28409"/>
  </r>
  <r>
    <x v="15"/>
    <x v="12"/>
    <s v="Electric Generators, Electric Utilities"/>
    <x v="4"/>
    <n v="140559"/>
  </r>
  <r>
    <x v="15"/>
    <x v="12"/>
    <s v="Electric Generators, Electric Utilities"/>
    <x v="5"/>
    <n v="608951"/>
  </r>
  <r>
    <x v="15"/>
    <x v="12"/>
    <s v="Combined Heat and Power, Industrial Power"/>
    <x v="0"/>
    <n v="1215871"/>
  </r>
  <r>
    <x v="15"/>
    <x v="12"/>
    <s v="Combined Heat and Power, Industrial Power"/>
    <x v="1"/>
    <n v="1215842"/>
  </r>
  <r>
    <x v="15"/>
    <x v="12"/>
    <s v="Combined Heat and Power, Industrial Power"/>
    <x v="3"/>
    <n v="0"/>
  </r>
  <r>
    <x v="15"/>
    <x v="12"/>
    <s v="Combined Heat and Power, Industrial Power"/>
    <x v="4"/>
    <n v="29"/>
  </r>
  <r>
    <x v="15"/>
    <x v="12"/>
    <s v="Combined Heat and Power, Commercial Power"/>
    <x v="0"/>
    <n v="277809"/>
  </r>
  <r>
    <x v="15"/>
    <x v="12"/>
    <s v="Combined Heat and Power, Commercial Power"/>
    <x v="1"/>
    <n v="228925"/>
  </r>
  <r>
    <x v="15"/>
    <x v="12"/>
    <s v="Combined Heat and Power, Commercial Power"/>
    <x v="3"/>
    <n v="7173"/>
  </r>
  <r>
    <x v="15"/>
    <x v="12"/>
    <s v="Combined Heat and Power, Commercial Power"/>
    <x v="8"/>
    <n v="34852"/>
  </r>
  <r>
    <x v="15"/>
    <x v="12"/>
    <s v="Combined Heat and Power, Commercial Power"/>
    <x v="4"/>
    <n v="6859"/>
  </r>
  <r>
    <x v="15"/>
    <x v="13"/>
    <s v="Total Electric Power Industry"/>
    <x v="0"/>
    <n v="10824984"/>
  </r>
  <r>
    <x v="15"/>
    <x v="13"/>
    <s v="Total Electric Power Industry"/>
    <x v="1"/>
    <n v="95181"/>
  </r>
  <r>
    <x v="15"/>
    <x v="13"/>
    <s v="Total Electric Power Industry"/>
    <x v="2"/>
    <n v="8542121"/>
  </r>
  <r>
    <x v="15"/>
    <x v="13"/>
    <s v="Total Electric Power Industry"/>
    <x v="3"/>
    <n v="1597280"/>
  </r>
  <r>
    <x v="15"/>
    <x v="13"/>
    <s v="Total Electric Power Industry"/>
    <x v="12"/>
    <n v="30766"/>
  </r>
  <r>
    <x v="15"/>
    <x v="13"/>
    <s v="Total Electric Power Industry"/>
    <x v="4"/>
    <n v="5"/>
  </r>
  <r>
    <x v="15"/>
    <x v="13"/>
    <s v="Total Electric Power Industry"/>
    <x v="6"/>
    <n v="559631"/>
  </r>
  <r>
    <x v="15"/>
    <x v="13"/>
    <s v="Electric Generators, Independent Power Producers"/>
    <x v="0"/>
    <n v="1894532"/>
  </r>
  <r>
    <x v="15"/>
    <x v="13"/>
    <s v="Electric Generators, Independent Power Producers"/>
    <x v="2"/>
    <n v="583041"/>
  </r>
  <r>
    <x v="15"/>
    <x v="13"/>
    <s v="Electric Generators, Independent Power Producers"/>
    <x v="3"/>
    <n v="1311491"/>
  </r>
  <r>
    <x v="15"/>
    <x v="13"/>
    <s v="Electric Generators, Electric Utilities"/>
    <x v="0"/>
    <n v="8032438"/>
  </r>
  <r>
    <x v="15"/>
    <x v="13"/>
    <s v="Electric Generators, Electric Utilities"/>
    <x v="2"/>
    <n v="7959080"/>
  </r>
  <r>
    <x v="15"/>
    <x v="13"/>
    <s v="Electric Generators, Electric Utilities"/>
    <x v="3"/>
    <n v="73353"/>
  </r>
  <r>
    <x v="15"/>
    <x v="13"/>
    <s v="Electric Generators, Electric Utilities"/>
    <x v="4"/>
    <n v="5"/>
  </r>
  <r>
    <x v="15"/>
    <x v="13"/>
    <s v="Combined Heat and Power, Industrial Power"/>
    <x v="0"/>
    <n v="657971"/>
  </r>
  <r>
    <x v="15"/>
    <x v="13"/>
    <s v="Combined Heat and Power, Industrial Power"/>
    <x v="1"/>
    <n v="95181"/>
  </r>
  <r>
    <x v="15"/>
    <x v="13"/>
    <s v="Combined Heat and Power, Industrial Power"/>
    <x v="3"/>
    <n v="60095"/>
  </r>
  <r>
    <x v="15"/>
    <x v="13"/>
    <s v="Combined Heat and Power, Industrial Power"/>
    <x v="12"/>
    <n v="30766"/>
  </r>
  <r>
    <x v="15"/>
    <x v="13"/>
    <s v="Combined Heat and Power, Industrial Power"/>
    <x v="4"/>
    <n v="0"/>
  </r>
  <r>
    <x v="15"/>
    <x v="13"/>
    <s v="Combined Heat and Power, Industrial Power"/>
    <x v="6"/>
    <n v="471928"/>
  </r>
  <r>
    <x v="15"/>
    <x v="13"/>
    <s v="Combined Heat and Power, Electric Power"/>
    <x v="0"/>
    <n v="240043"/>
  </r>
  <r>
    <x v="15"/>
    <x v="13"/>
    <s v="Combined Heat and Power, Electric Power"/>
    <x v="3"/>
    <n v="152340"/>
  </r>
  <r>
    <x v="15"/>
    <x v="13"/>
    <s v="Combined Heat and Power, Electric Power"/>
    <x v="6"/>
    <n v="87703"/>
  </r>
  <r>
    <x v="15"/>
    <x v="14"/>
    <s v="Total Electric Power Industry"/>
    <x v="0"/>
    <n v="194120146"/>
  </r>
  <r>
    <x v="15"/>
    <x v="14"/>
    <s v="Total Electric Power Industry"/>
    <x v="1"/>
    <n v="92265190"/>
  </r>
  <r>
    <x v="15"/>
    <x v="14"/>
    <s v="Total Electric Power Industry"/>
    <x v="2"/>
    <n v="129037"/>
  </r>
  <r>
    <x v="15"/>
    <x v="14"/>
    <s v="Total Electric Power Industry"/>
    <x v="3"/>
    <n v="7114251"/>
  </r>
  <r>
    <x v="15"/>
    <x v="14"/>
    <s v="Total Electric Power Industry"/>
    <x v="7"/>
    <n v="93263001"/>
  </r>
  <r>
    <x v="15"/>
    <x v="14"/>
    <s v="Total Electric Power Industry"/>
    <x v="12"/>
    <n v="39797"/>
  </r>
  <r>
    <x v="15"/>
    <x v="14"/>
    <s v="Total Electric Power Industry"/>
    <x v="8"/>
    <n v="641735"/>
  </r>
  <r>
    <x v="15"/>
    <x v="14"/>
    <s v="Total Electric Power Industry"/>
    <x v="9"/>
    <n v="198799"/>
  </r>
  <r>
    <x v="15"/>
    <x v="14"/>
    <s v="Total Electric Power Industry"/>
    <x v="4"/>
    <n v="327190"/>
  </r>
  <r>
    <x v="15"/>
    <x v="14"/>
    <s v="Total Electric Power Industry"/>
    <x v="5"/>
    <n v="141146"/>
  </r>
  <r>
    <x v="15"/>
    <x v="14"/>
    <s v="Electric Generators, Independent Power Producers"/>
    <x v="0"/>
    <n v="179260231"/>
  </r>
  <r>
    <x v="15"/>
    <x v="14"/>
    <s v="Electric Generators, Independent Power Producers"/>
    <x v="1"/>
    <n v="79786330"/>
  </r>
  <r>
    <x v="15"/>
    <x v="14"/>
    <s v="Electric Generators, Independent Power Producers"/>
    <x v="2"/>
    <n v="67158"/>
  </r>
  <r>
    <x v="15"/>
    <x v="14"/>
    <s v="Electric Generators, Independent Power Producers"/>
    <x v="3"/>
    <n v="5260141"/>
  </r>
  <r>
    <x v="15"/>
    <x v="14"/>
    <s v="Electric Generators, Independent Power Producers"/>
    <x v="7"/>
    <n v="93263001"/>
  </r>
  <r>
    <x v="15"/>
    <x v="14"/>
    <s v="Electric Generators, Independent Power Producers"/>
    <x v="12"/>
    <n v="17561"/>
  </r>
  <r>
    <x v="15"/>
    <x v="14"/>
    <s v="Electric Generators, Independent Power Producers"/>
    <x v="8"/>
    <n v="556157"/>
  </r>
  <r>
    <x v="15"/>
    <x v="14"/>
    <s v="Electric Generators, Independent Power Producers"/>
    <x v="9"/>
    <n v="0"/>
  </r>
  <r>
    <x v="15"/>
    <x v="14"/>
    <s v="Electric Generators, Independent Power Producers"/>
    <x v="4"/>
    <n v="168737"/>
  </r>
  <r>
    <x v="15"/>
    <x v="14"/>
    <s v="Electric Generators, Independent Power Producers"/>
    <x v="5"/>
    <n v="141146"/>
  </r>
  <r>
    <x v="15"/>
    <x v="14"/>
    <s v="Electric Generators, Electric Utilities"/>
    <x v="0"/>
    <n v="10767684"/>
  </r>
  <r>
    <x v="15"/>
    <x v="14"/>
    <s v="Electric Generators, Electric Utilities"/>
    <x v="1"/>
    <n v="10103378"/>
  </r>
  <r>
    <x v="15"/>
    <x v="14"/>
    <s v="Electric Generators, Electric Utilities"/>
    <x v="2"/>
    <n v="61879"/>
  </r>
  <r>
    <x v="15"/>
    <x v="14"/>
    <s v="Electric Generators, Electric Utilities"/>
    <x v="3"/>
    <n v="456421"/>
  </r>
  <r>
    <x v="15"/>
    <x v="14"/>
    <s v="Electric Generators, Electric Utilities"/>
    <x v="8"/>
    <n v="8260"/>
  </r>
  <r>
    <x v="15"/>
    <x v="14"/>
    <s v="Electric Generators, Electric Utilities"/>
    <x v="4"/>
    <n v="137746"/>
  </r>
  <r>
    <x v="15"/>
    <x v="14"/>
    <s v="Combined Heat and Power, Industrial Power"/>
    <x v="0"/>
    <n v="2968541"/>
  </r>
  <r>
    <x v="15"/>
    <x v="14"/>
    <s v="Combined Heat and Power, Industrial Power"/>
    <x v="1"/>
    <n v="2220056"/>
  </r>
  <r>
    <x v="15"/>
    <x v="14"/>
    <s v="Combined Heat and Power, Industrial Power"/>
    <x v="3"/>
    <n v="480255"/>
  </r>
  <r>
    <x v="15"/>
    <x v="14"/>
    <s v="Combined Heat and Power, Industrial Power"/>
    <x v="12"/>
    <n v="22236"/>
  </r>
  <r>
    <x v="15"/>
    <x v="14"/>
    <s v="Combined Heat and Power, Industrial Power"/>
    <x v="8"/>
    <n v="76664"/>
  </r>
  <r>
    <x v="15"/>
    <x v="14"/>
    <s v="Combined Heat and Power, Industrial Power"/>
    <x v="9"/>
    <n v="150964"/>
  </r>
  <r>
    <x v="15"/>
    <x v="14"/>
    <s v="Combined Heat and Power, Industrial Power"/>
    <x v="4"/>
    <n v="18366"/>
  </r>
  <r>
    <x v="15"/>
    <x v="14"/>
    <s v="Combined Heat and Power, Electric Power"/>
    <x v="0"/>
    <n v="617840"/>
  </r>
  <r>
    <x v="15"/>
    <x v="14"/>
    <s v="Combined Heat and Power, Electric Power"/>
    <x v="1"/>
    <n v="76738"/>
  </r>
  <r>
    <x v="15"/>
    <x v="14"/>
    <s v="Combined Heat and Power, Electric Power"/>
    <x v="3"/>
    <n v="493218"/>
  </r>
  <r>
    <x v="15"/>
    <x v="14"/>
    <s v="Combined Heat and Power, Electric Power"/>
    <x v="8"/>
    <n v="49"/>
  </r>
  <r>
    <x v="15"/>
    <x v="14"/>
    <s v="Combined Heat and Power, Electric Power"/>
    <x v="9"/>
    <n v="47835"/>
  </r>
  <r>
    <x v="15"/>
    <x v="14"/>
    <s v="Combined Heat and Power, Commercial Power"/>
    <x v="0"/>
    <n v="505850"/>
  </r>
  <r>
    <x v="15"/>
    <x v="14"/>
    <s v="Combined Heat and Power, Commercial Power"/>
    <x v="1"/>
    <n v="78688"/>
  </r>
  <r>
    <x v="15"/>
    <x v="14"/>
    <s v="Combined Heat and Power, Commercial Power"/>
    <x v="3"/>
    <n v="424216"/>
  </r>
  <r>
    <x v="15"/>
    <x v="14"/>
    <s v="Combined Heat and Power, Commercial Power"/>
    <x v="8"/>
    <n v="605"/>
  </r>
  <r>
    <x v="15"/>
    <x v="14"/>
    <s v="Combined Heat and Power, Commercial Power"/>
    <x v="4"/>
    <n v="2341"/>
  </r>
  <r>
    <x v="15"/>
    <x v="15"/>
    <s v="Total Electric Power Industry"/>
    <x v="0"/>
    <n v="130371573"/>
  </r>
  <r>
    <x v="15"/>
    <x v="15"/>
    <s v="Total Electric Power Industry"/>
    <x v="1"/>
    <n v="122833478"/>
  </r>
  <r>
    <x v="15"/>
    <x v="15"/>
    <s v="Total Electric Power Industry"/>
    <x v="2"/>
    <n v="438282"/>
  </r>
  <r>
    <x v="15"/>
    <x v="15"/>
    <s v="Total Electric Power Industry"/>
    <x v="3"/>
    <n v="3615305"/>
  </r>
  <r>
    <x v="15"/>
    <x v="15"/>
    <s v="Total Electric Power Industry"/>
    <x v="12"/>
    <n v="434444"/>
  </r>
  <r>
    <x v="15"/>
    <x v="15"/>
    <s v="Total Electric Power Industry"/>
    <x v="8"/>
    <n v="67692"/>
  </r>
  <r>
    <x v="15"/>
    <x v="15"/>
    <s v="Total Electric Power Industry"/>
    <x v="9"/>
    <n v="2721577"/>
  </r>
  <r>
    <x v="15"/>
    <x v="15"/>
    <s v="Total Electric Power Industry"/>
    <x v="4"/>
    <n v="260794"/>
  </r>
  <r>
    <x v="15"/>
    <x v="15"/>
    <s v="Electric Generators, Independent Power Producers"/>
    <x v="0"/>
    <n v="3658700"/>
  </r>
  <r>
    <x v="15"/>
    <x v="15"/>
    <s v="Electric Generators, Independent Power Producers"/>
    <x v="1"/>
    <n v="2733705"/>
  </r>
  <r>
    <x v="15"/>
    <x v="15"/>
    <s v="Electric Generators, Independent Power Producers"/>
    <x v="3"/>
    <n v="904973"/>
  </r>
  <r>
    <x v="15"/>
    <x v="15"/>
    <s v="Electric Generators, Independent Power Producers"/>
    <x v="8"/>
    <n v="20022"/>
  </r>
  <r>
    <x v="15"/>
    <x v="15"/>
    <s v="Electric Generators, Electric Utilities"/>
    <x v="0"/>
    <n v="117373699"/>
  </r>
  <r>
    <x v="15"/>
    <x v="15"/>
    <s v="Electric Generators, Electric Utilities"/>
    <x v="1"/>
    <n v="115413188"/>
  </r>
  <r>
    <x v="15"/>
    <x v="15"/>
    <s v="Electric Generators, Electric Utilities"/>
    <x v="2"/>
    <n v="438282"/>
  </r>
  <r>
    <x v="15"/>
    <x v="15"/>
    <s v="Electric Generators, Electric Utilities"/>
    <x v="3"/>
    <n v="1277675"/>
  </r>
  <r>
    <x v="15"/>
    <x v="15"/>
    <s v="Electric Generators, Electric Utilities"/>
    <x v="4"/>
    <n v="244554"/>
  </r>
  <r>
    <x v="15"/>
    <x v="15"/>
    <s v="Combined Heat and Power, Industrial Power"/>
    <x v="0"/>
    <n v="3439508"/>
  </r>
  <r>
    <x v="15"/>
    <x v="15"/>
    <s v="Combined Heat and Power, Industrial Power"/>
    <x v="1"/>
    <n v="57742"/>
  </r>
  <r>
    <x v="15"/>
    <x v="15"/>
    <s v="Combined Heat and Power, Industrial Power"/>
    <x v="3"/>
    <n v="230051"/>
  </r>
  <r>
    <x v="15"/>
    <x v="15"/>
    <s v="Combined Heat and Power, Industrial Power"/>
    <x v="12"/>
    <n v="417033"/>
  </r>
  <r>
    <x v="15"/>
    <x v="15"/>
    <s v="Combined Heat and Power, Industrial Power"/>
    <x v="8"/>
    <n v="25511"/>
  </r>
  <r>
    <x v="15"/>
    <x v="15"/>
    <s v="Combined Heat and Power, Industrial Power"/>
    <x v="9"/>
    <n v="2695926"/>
  </r>
  <r>
    <x v="15"/>
    <x v="15"/>
    <s v="Combined Heat and Power, Industrial Power"/>
    <x v="4"/>
    <n v="13246"/>
  </r>
  <r>
    <x v="15"/>
    <x v="15"/>
    <s v="Combined Heat and Power, Electric Power"/>
    <x v="0"/>
    <n v="5649629"/>
  </r>
  <r>
    <x v="15"/>
    <x v="15"/>
    <s v="Combined Heat and Power, Electric Power"/>
    <x v="1"/>
    <n v="4425345"/>
  </r>
  <r>
    <x v="15"/>
    <x v="15"/>
    <s v="Combined Heat and Power, Electric Power"/>
    <x v="3"/>
    <n v="1196784"/>
  </r>
  <r>
    <x v="15"/>
    <x v="15"/>
    <s v="Combined Heat and Power, Electric Power"/>
    <x v="12"/>
    <n v="0"/>
  </r>
  <r>
    <x v="15"/>
    <x v="15"/>
    <s v="Combined Heat and Power, Electric Power"/>
    <x v="9"/>
    <n v="25651"/>
  </r>
  <r>
    <x v="15"/>
    <x v="15"/>
    <s v="Combined Heat and Power, Electric Power"/>
    <x v="4"/>
    <n v="1848"/>
  </r>
  <r>
    <x v="15"/>
    <x v="15"/>
    <s v="Combined Heat and Power, Commercial Power"/>
    <x v="0"/>
    <n v="250037"/>
  </r>
  <r>
    <x v="15"/>
    <x v="15"/>
    <s v="Combined Heat and Power, Commercial Power"/>
    <x v="1"/>
    <n v="203498"/>
  </r>
  <r>
    <x v="15"/>
    <x v="15"/>
    <s v="Combined Heat and Power, Commercial Power"/>
    <x v="3"/>
    <n v="5822"/>
  </r>
  <r>
    <x v="15"/>
    <x v="15"/>
    <s v="Combined Heat and Power, Commercial Power"/>
    <x v="12"/>
    <n v="17411"/>
  </r>
  <r>
    <x v="15"/>
    <x v="15"/>
    <s v="Combined Heat and Power, Commercial Power"/>
    <x v="8"/>
    <n v="22160"/>
  </r>
  <r>
    <x v="15"/>
    <x v="15"/>
    <s v="Combined Heat and Power, Commercial Power"/>
    <x v="4"/>
    <n v="1146"/>
  </r>
  <r>
    <x v="15"/>
    <x v="16"/>
    <s v="Total Electric Power Industry"/>
    <x v="0"/>
    <n v="45862696"/>
  </r>
  <r>
    <x v="15"/>
    <x v="16"/>
    <s v="Total Electric Power Industry"/>
    <x v="1"/>
    <n v="34480731"/>
  </r>
  <r>
    <x v="15"/>
    <x v="16"/>
    <s v="Total Electric Power Industry"/>
    <x v="2"/>
    <n v="11337"/>
  </r>
  <r>
    <x v="15"/>
    <x v="16"/>
    <s v="Total Electric Power Industry"/>
    <x v="3"/>
    <n v="1137482"/>
  </r>
  <r>
    <x v="15"/>
    <x v="16"/>
    <s v="Total Electric Power Industry"/>
    <x v="7"/>
    <n v="8820945"/>
  </r>
  <r>
    <x v="15"/>
    <x v="16"/>
    <s v="Total Electric Power Industry"/>
    <x v="4"/>
    <n v="986378"/>
  </r>
  <r>
    <x v="15"/>
    <x v="16"/>
    <s v="Total Electric Power Industry"/>
    <x v="5"/>
    <n v="425823"/>
  </r>
  <r>
    <x v="15"/>
    <x v="16"/>
    <s v="Electric Generators, Independent Power Producers"/>
    <x v="0"/>
    <n v="436382"/>
  </r>
  <r>
    <x v="15"/>
    <x v="16"/>
    <s v="Electric Generators, Independent Power Producers"/>
    <x v="2"/>
    <n v="11337"/>
  </r>
  <r>
    <x v="15"/>
    <x v="16"/>
    <s v="Electric Generators, Independent Power Producers"/>
    <x v="5"/>
    <n v="425045"/>
  </r>
  <r>
    <x v="15"/>
    <x v="16"/>
    <s v="Electric Generators, Electric Utilities"/>
    <x v="0"/>
    <n v="45421033"/>
  </r>
  <r>
    <x v="15"/>
    <x v="16"/>
    <s v="Electric Generators, Electric Utilities"/>
    <x v="1"/>
    <n v="34480731"/>
  </r>
  <r>
    <x v="15"/>
    <x v="16"/>
    <s v="Electric Generators, Electric Utilities"/>
    <x v="3"/>
    <n v="1132201"/>
  </r>
  <r>
    <x v="15"/>
    <x v="16"/>
    <s v="Electric Generators, Electric Utilities"/>
    <x v="7"/>
    <n v="8820945"/>
  </r>
  <r>
    <x v="15"/>
    <x v="16"/>
    <s v="Electric Generators, Electric Utilities"/>
    <x v="4"/>
    <n v="986378"/>
  </r>
  <r>
    <x v="15"/>
    <x v="16"/>
    <s v="Electric Generators, Electric Utilities"/>
    <x v="5"/>
    <n v="778"/>
  </r>
  <r>
    <x v="15"/>
    <x v="16"/>
    <s v="Combined Heat and Power, Industrial Power"/>
    <x v="0"/>
    <n v="5250"/>
  </r>
  <r>
    <x v="15"/>
    <x v="16"/>
    <s v="Combined Heat and Power, Industrial Power"/>
    <x v="3"/>
    <n v="5250"/>
  </r>
  <r>
    <x v="15"/>
    <x v="16"/>
    <s v="Combined Heat and Power, Commercial Power"/>
    <x v="0"/>
    <n v="31"/>
  </r>
  <r>
    <x v="15"/>
    <x v="16"/>
    <s v="Combined Heat and Power, Commercial Power"/>
    <x v="3"/>
    <n v="31"/>
  </r>
  <r>
    <x v="15"/>
    <x v="16"/>
    <s v="Combined Heat and Power, Commercial Power"/>
    <x v="4"/>
    <n v="0"/>
  </r>
  <r>
    <x v="15"/>
    <x v="17"/>
    <s v="Total Electric Power Industry"/>
    <x v="0"/>
    <n v="97822419"/>
  </r>
  <r>
    <x v="15"/>
    <x v="17"/>
    <s v="Total Electric Power Industry"/>
    <x v="1"/>
    <n v="89083113"/>
  </r>
  <r>
    <x v="15"/>
    <x v="17"/>
    <s v="Total Electric Power Industry"/>
    <x v="2"/>
    <n v="2961193"/>
  </r>
  <r>
    <x v="15"/>
    <x v="17"/>
    <s v="Total Electric Power Industry"/>
    <x v="3"/>
    <n v="1654052"/>
  </r>
  <r>
    <x v="15"/>
    <x v="17"/>
    <s v="Total Electric Power Industry"/>
    <x v="12"/>
    <n v="16973"/>
  </r>
  <r>
    <x v="15"/>
    <x v="17"/>
    <s v="Total Electric Power Industry"/>
    <x v="8"/>
    <n v="63316"/>
  </r>
  <r>
    <x v="15"/>
    <x v="17"/>
    <s v="Total Electric Power Industry"/>
    <x v="9"/>
    <n v="4991"/>
  </r>
  <r>
    <x v="15"/>
    <x v="17"/>
    <s v="Total Electric Power Industry"/>
    <x v="4"/>
    <n v="3680685"/>
  </r>
  <r>
    <x v="15"/>
    <x v="17"/>
    <s v="Total Electric Power Industry"/>
    <x v="6"/>
    <n v="358096"/>
  </r>
  <r>
    <x v="15"/>
    <x v="17"/>
    <s v="Electric Generators, Independent Power Producers"/>
    <x v="0"/>
    <n v="11621685"/>
  </r>
  <r>
    <x v="15"/>
    <x v="17"/>
    <s v="Electric Generators, Independent Power Producers"/>
    <x v="1"/>
    <n v="7894391"/>
  </r>
  <r>
    <x v="15"/>
    <x v="17"/>
    <s v="Electric Generators, Independent Power Producers"/>
    <x v="3"/>
    <n v="143166"/>
  </r>
  <r>
    <x v="15"/>
    <x v="17"/>
    <s v="Electric Generators, Independent Power Producers"/>
    <x v="4"/>
    <n v="3584128"/>
  </r>
  <r>
    <x v="15"/>
    <x v="17"/>
    <s v="Electric Generators, Electric Utilities"/>
    <x v="0"/>
    <n v="85679912"/>
  </r>
  <r>
    <x v="15"/>
    <x v="17"/>
    <s v="Electric Generators, Electric Utilities"/>
    <x v="1"/>
    <n v="81188722"/>
  </r>
  <r>
    <x v="15"/>
    <x v="17"/>
    <s v="Electric Generators, Electric Utilities"/>
    <x v="2"/>
    <n v="2961193"/>
  </r>
  <r>
    <x v="15"/>
    <x v="17"/>
    <s v="Electric Generators, Electric Utilities"/>
    <x v="3"/>
    <n v="1349378"/>
  </r>
  <r>
    <x v="15"/>
    <x v="17"/>
    <s v="Electric Generators, Electric Utilities"/>
    <x v="12"/>
    <n v="16973"/>
  </r>
  <r>
    <x v="15"/>
    <x v="17"/>
    <s v="Electric Generators, Electric Utilities"/>
    <x v="8"/>
    <n v="62098"/>
  </r>
  <r>
    <x v="15"/>
    <x v="17"/>
    <s v="Electric Generators, Electric Utilities"/>
    <x v="9"/>
    <n v="4991"/>
  </r>
  <r>
    <x v="15"/>
    <x v="17"/>
    <s v="Electric Generators, Electric Utilities"/>
    <x v="4"/>
    <n v="96557"/>
  </r>
  <r>
    <x v="15"/>
    <x v="17"/>
    <s v="Combined Heat and Power, Industrial Power"/>
    <x v="0"/>
    <n v="520822"/>
  </r>
  <r>
    <x v="15"/>
    <x v="17"/>
    <s v="Combined Heat and Power, Industrial Power"/>
    <x v="3"/>
    <n v="161508"/>
  </r>
  <r>
    <x v="15"/>
    <x v="17"/>
    <s v="Combined Heat and Power, Industrial Power"/>
    <x v="8"/>
    <n v="1218"/>
  </r>
  <r>
    <x v="15"/>
    <x v="17"/>
    <s v="Combined Heat and Power, Industrial Power"/>
    <x v="6"/>
    <n v="358096"/>
  </r>
  <r>
    <x v="15"/>
    <x v="18"/>
    <s v="Total Electric Power Industry"/>
    <x v="0"/>
    <n v="92616878"/>
  </r>
  <r>
    <x v="15"/>
    <x v="18"/>
    <s v="Total Electric Power Industry"/>
    <x v="1"/>
    <n v="23087365"/>
  </r>
  <r>
    <x v="15"/>
    <x v="18"/>
    <s v="Total Electric Power Industry"/>
    <x v="2"/>
    <n v="810948"/>
  </r>
  <r>
    <x v="15"/>
    <x v="18"/>
    <s v="Total Electric Power Industry"/>
    <x v="3"/>
    <n v="44167904"/>
  </r>
  <r>
    <x v="15"/>
    <x v="18"/>
    <s v="Total Electric Power Industry"/>
    <x v="7"/>
    <n v="15676353"/>
  </r>
  <r>
    <x v="15"/>
    <x v="18"/>
    <s v="Total Electric Power Industry"/>
    <x v="12"/>
    <n v="549731"/>
  </r>
  <r>
    <x v="15"/>
    <x v="18"/>
    <s v="Total Electric Power Industry"/>
    <x v="8"/>
    <n v="80397"/>
  </r>
  <r>
    <x v="15"/>
    <x v="18"/>
    <s v="Total Electric Power Industry"/>
    <x v="9"/>
    <n v="1896725"/>
  </r>
  <r>
    <x v="15"/>
    <x v="18"/>
    <s v="Total Electric Power Industry"/>
    <x v="4"/>
    <n v="3541084"/>
  </r>
  <r>
    <x v="15"/>
    <x v="18"/>
    <s v="Total Electric Power Industry"/>
    <x v="6"/>
    <n v="2806371"/>
  </r>
  <r>
    <x v="15"/>
    <x v="18"/>
    <s v="Electric Generators, Independent Power Producers"/>
    <x v="0"/>
    <n v="18095316"/>
  </r>
  <r>
    <x v="15"/>
    <x v="18"/>
    <s v="Electric Generators, Independent Power Producers"/>
    <x v="1"/>
    <n v="11620640"/>
  </r>
  <r>
    <x v="15"/>
    <x v="18"/>
    <s v="Electric Generators, Independent Power Producers"/>
    <x v="2"/>
    <n v="810948"/>
  </r>
  <r>
    <x v="15"/>
    <x v="18"/>
    <s v="Electric Generators, Independent Power Producers"/>
    <x v="3"/>
    <n v="5573537"/>
  </r>
  <r>
    <x v="15"/>
    <x v="18"/>
    <s v="Electric Generators, Independent Power Producers"/>
    <x v="8"/>
    <n v="75961"/>
  </r>
  <r>
    <x v="15"/>
    <x v="18"/>
    <s v="Electric Generators, Independent Power Producers"/>
    <x v="4"/>
    <n v="14230"/>
  </r>
  <r>
    <x v="15"/>
    <x v="18"/>
    <s v="Electric Generators, Electric Utilities"/>
    <x v="0"/>
    <n v="44157533"/>
  </r>
  <r>
    <x v="15"/>
    <x v="18"/>
    <s v="Electric Generators, Electric Utilities"/>
    <x v="1"/>
    <n v="11415901"/>
  </r>
  <r>
    <x v="15"/>
    <x v="18"/>
    <s v="Electric Generators, Electric Utilities"/>
    <x v="3"/>
    <n v="13687514"/>
  </r>
  <r>
    <x v="15"/>
    <x v="18"/>
    <s v="Electric Generators, Electric Utilities"/>
    <x v="7"/>
    <n v="15676353"/>
  </r>
  <r>
    <x v="15"/>
    <x v="18"/>
    <s v="Electric Generators, Electric Utilities"/>
    <x v="4"/>
    <n v="3377765"/>
  </r>
  <r>
    <x v="15"/>
    <x v="18"/>
    <s v="Combined Heat and Power, Industrial Power"/>
    <x v="0"/>
    <n v="22072057"/>
  </r>
  <r>
    <x v="15"/>
    <x v="18"/>
    <s v="Combined Heat and Power, Industrial Power"/>
    <x v="1"/>
    <n v="50824"/>
  </r>
  <r>
    <x v="15"/>
    <x v="18"/>
    <s v="Combined Heat and Power, Industrial Power"/>
    <x v="3"/>
    <n v="17442102"/>
  </r>
  <r>
    <x v="15"/>
    <x v="18"/>
    <s v="Combined Heat and Power, Industrial Power"/>
    <x v="12"/>
    <n v="549731"/>
  </r>
  <r>
    <x v="15"/>
    <x v="18"/>
    <s v="Combined Heat and Power, Industrial Power"/>
    <x v="8"/>
    <n v="4436"/>
  </r>
  <r>
    <x v="15"/>
    <x v="18"/>
    <s v="Combined Heat and Power, Industrial Power"/>
    <x v="9"/>
    <n v="1069504"/>
  </r>
  <r>
    <x v="15"/>
    <x v="18"/>
    <s v="Combined Heat and Power, Industrial Power"/>
    <x v="4"/>
    <n v="149089"/>
  </r>
  <r>
    <x v="15"/>
    <x v="18"/>
    <s v="Combined Heat and Power, Industrial Power"/>
    <x v="6"/>
    <n v="2806371"/>
  </r>
  <r>
    <x v="15"/>
    <x v="18"/>
    <s v="Combined Heat and Power, Electric Power"/>
    <x v="0"/>
    <n v="8253919"/>
  </r>
  <r>
    <x v="15"/>
    <x v="18"/>
    <s v="Combined Heat and Power, Electric Power"/>
    <x v="3"/>
    <n v="7426698"/>
  </r>
  <r>
    <x v="15"/>
    <x v="18"/>
    <s v="Combined Heat and Power, Electric Power"/>
    <x v="9"/>
    <n v="827221"/>
  </r>
  <r>
    <x v="15"/>
    <x v="18"/>
    <s v="Combined Heat and Power, Commercial Power"/>
    <x v="0"/>
    <n v="38053"/>
  </r>
  <r>
    <x v="15"/>
    <x v="18"/>
    <s v="Combined Heat and Power, Commercial Power"/>
    <x v="3"/>
    <n v="38053"/>
  </r>
  <r>
    <x v="15"/>
    <x v="19"/>
    <s v="Total Electric Power Industry"/>
    <x v="0"/>
    <n v="47515443"/>
  </r>
  <r>
    <x v="15"/>
    <x v="19"/>
    <s v="Total Electric Power Industry"/>
    <x v="1"/>
    <n v="12033546"/>
  </r>
  <r>
    <x v="15"/>
    <x v="19"/>
    <s v="Total Electric Power Industry"/>
    <x v="2"/>
    <n v="1041950"/>
  </r>
  <r>
    <x v="15"/>
    <x v="19"/>
    <s v="Total Electric Power Industry"/>
    <x v="3"/>
    <n v="20369467"/>
  </r>
  <r>
    <x v="15"/>
    <x v="19"/>
    <s v="Total Electric Power Industry"/>
    <x v="7"/>
    <n v="5475057"/>
  </r>
  <r>
    <x v="15"/>
    <x v="19"/>
    <s v="Total Electric Power Industry"/>
    <x v="12"/>
    <n v="772307"/>
  </r>
  <r>
    <x v="15"/>
    <x v="19"/>
    <s v="Total Electric Power Industry"/>
    <x v="8"/>
    <n v="1138288"/>
  </r>
  <r>
    <x v="15"/>
    <x v="19"/>
    <s v="Total Electric Power Industry"/>
    <x v="4"/>
    <n v="7026444"/>
  </r>
  <r>
    <x v="15"/>
    <x v="19"/>
    <s v="Total Electric Power Industry"/>
    <x v="10"/>
    <n v="-461643"/>
  </r>
  <r>
    <x v="15"/>
    <x v="19"/>
    <s v="Total Electric Power Industry"/>
    <x v="6"/>
    <n v="120027"/>
  </r>
  <r>
    <x v="15"/>
    <x v="19"/>
    <s v="Electric Generators, Independent Power Producers"/>
    <x v="0"/>
    <n v="42121854"/>
  </r>
  <r>
    <x v="15"/>
    <x v="19"/>
    <s v="Electric Generators, Independent Power Producers"/>
    <x v="1"/>
    <n v="10960509"/>
  </r>
  <r>
    <x v="15"/>
    <x v="19"/>
    <s v="Electric Generators, Independent Power Producers"/>
    <x v="2"/>
    <n v="751633"/>
  </r>
  <r>
    <x v="15"/>
    <x v="19"/>
    <s v="Electric Generators, Independent Power Producers"/>
    <x v="3"/>
    <n v="16917591"/>
  </r>
  <r>
    <x v="15"/>
    <x v="19"/>
    <s v="Electric Generators, Independent Power Producers"/>
    <x v="7"/>
    <n v="5475057"/>
  </r>
  <r>
    <x v="15"/>
    <x v="19"/>
    <s v="Electric Generators, Independent Power Producers"/>
    <x v="12"/>
    <n v="772307"/>
  </r>
  <r>
    <x v="15"/>
    <x v="19"/>
    <s v="Electric Generators, Independent Power Producers"/>
    <x v="8"/>
    <n v="1113766"/>
  </r>
  <r>
    <x v="15"/>
    <x v="19"/>
    <s v="Electric Generators, Independent Power Producers"/>
    <x v="4"/>
    <n v="6472607"/>
  </r>
  <r>
    <x v="15"/>
    <x v="19"/>
    <s v="Electric Generators, Independent Power Producers"/>
    <x v="10"/>
    <n v="-461643"/>
  </r>
  <r>
    <x v="15"/>
    <x v="19"/>
    <s v="Electric Generators, Independent Power Producers"/>
    <x v="6"/>
    <n v="120027"/>
  </r>
  <r>
    <x v="15"/>
    <x v="19"/>
    <s v="Electric Generators, Electric Utilities"/>
    <x v="0"/>
    <n v="1622208"/>
  </r>
  <r>
    <x v="15"/>
    <x v="19"/>
    <s v="Electric Generators, Electric Utilities"/>
    <x v="1"/>
    <n v="1025141"/>
  </r>
  <r>
    <x v="15"/>
    <x v="19"/>
    <s v="Electric Generators, Electric Utilities"/>
    <x v="2"/>
    <n v="289822"/>
  </r>
  <r>
    <x v="15"/>
    <x v="19"/>
    <s v="Electric Generators, Electric Utilities"/>
    <x v="3"/>
    <n v="118034"/>
  </r>
  <r>
    <x v="15"/>
    <x v="19"/>
    <s v="Electric Generators, Electric Utilities"/>
    <x v="4"/>
    <n v="189211"/>
  </r>
  <r>
    <x v="15"/>
    <x v="19"/>
    <s v="Combined Heat and Power, Industrial Power"/>
    <x v="0"/>
    <n v="285921"/>
  </r>
  <r>
    <x v="15"/>
    <x v="19"/>
    <s v="Combined Heat and Power, Industrial Power"/>
    <x v="1"/>
    <n v="47897"/>
  </r>
  <r>
    <x v="15"/>
    <x v="19"/>
    <s v="Combined Heat and Power, Industrial Power"/>
    <x v="2"/>
    <n v="3"/>
  </r>
  <r>
    <x v="15"/>
    <x v="19"/>
    <s v="Combined Heat and Power, Industrial Power"/>
    <x v="3"/>
    <n v="81563"/>
  </r>
  <r>
    <x v="15"/>
    <x v="19"/>
    <s v="Combined Heat and Power, Industrial Power"/>
    <x v="12"/>
    <n v="0"/>
  </r>
  <r>
    <x v="15"/>
    <x v="19"/>
    <s v="Combined Heat and Power, Industrial Power"/>
    <x v="4"/>
    <n v="156459"/>
  </r>
  <r>
    <x v="15"/>
    <x v="19"/>
    <s v="Combined Heat and Power, Electric Power"/>
    <x v="0"/>
    <n v="2895794"/>
  </r>
  <r>
    <x v="15"/>
    <x v="19"/>
    <s v="Combined Heat and Power, Electric Power"/>
    <x v="3"/>
    <n v="2818319"/>
  </r>
  <r>
    <x v="15"/>
    <x v="19"/>
    <s v="Combined Heat and Power, Electric Power"/>
    <x v="4"/>
    <n v="77475"/>
  </r>
  <r>
    <x v="15"/>
    <x v="19"/>
    <s v="Combined Heat and Power, Commercial Power"/>
    <x v="0"/>
    <n v="589666"/>
  </r>
  <r>
    <x v="15"/>
    <x v="19"/>
    <s v="Combined Heat and Power, Commercial Power"/>
    <x v="2"/>
    <n v="492"/>
  </r>
  <r>
    <x v="15"/>
    <x v="19"/>
    <s v="Combined Heat and Power, Commercial Power"/>
    <x v="3"/>
    <n v="433960"/>
  </r>
  <r>
    <x v="15"/>
    <x v="19"/>
    <s v="Combined Heat and Power, Commercial Power"/>
    <x v="8"/>
    <n v="24522"/>
  </r>
  <r>
    <x v="15"/>
    <x v="19"/>
    <s v="Combined Heat and Power, Commercial Power"/>
    <x v="4"/>
    <n v="130692"/>
  </r>
  <r>
    <x v="15"/>
    <x v="20"/>
    <s v="Total Electric Power Industry"/>
    <x v="0"/>
    <n v="52661600"/>
  </r>
  <r>
    <x v="15"/>
    <x v="20"/>
    <s v="Total Electric Power Industry"/>
    <x v="1"/>
    <n v="29302792"/>
  </r>
  <r>
    <x v="15"/>
    <x v="20"/>
    <s v="Total Electric Power Industry"/>
    <x v="2"/>
    <n v="1703639"/>
  </r>
  <r>
    <x v="15"/>
    <x v="20"/>
    <s v="Total Electric Power Industry"/>
    <x v="3"/>
    <n v="1886986"/>
  </r>
  <r>
    <x v="15"/>
    <x v="20"/>
    <s v="Total Electric Power Industry"/>
    <x v="7"/>
    <n v="14703221"/>
  </r>
  <r>
    <x v="15"/>
    <x v="20"/>
    <s v="Total Electric Power Industry"/>
    <x v="12"/>
    <n v="293561"/>
  </r>
  <r>
    <x v="15"/>
    <x v="20"/>
    <s v="Total Electric Power Industry"/>
    <x v="8"/>
    <n v="417380"/>
  </r>
  <r>
    <x v="15"/>
    <x v="20"/>
    <s v="Total Electric Power Industry"/>
    <x v="9"/>
    <n v="342466"/>
  </r>
  <r>
    <x v="15"/>
    <x v="20"/>
    <s v="Total Electric Power Industry"/>
    <x v="4"/>
    <n v="3805569"/>
  </r>
  <r>
    <x v="15"/>
    <x v="20"/>
    <s v="Total Electric Power Industry"/>
    <x v="6"/>
    <n v="205985"/>
  </r>
  <r>
    <x v="15"/>
    <x v="20"/>
    <s v="Electric Generators, Independent Power Producers"/>
    <x v="0"/>
    <n v="48780210"/>
  </r>
  <r>
    <x v="15"/>
    <x v="20"/>
    <s v="Electric Generators, Independent Power Producers"/>
    <x v="1"/>
    <n v="27334042"/>
  </r>
  <r>
    <x v="15"/>
    <x v="20"/>
    <s v="Electric Generators, Independent Power Producers"/>
    <x v="2"/>
    <n v="1703639"/>
  </r>
  <r>
    <x v="15"/>
    <x v="20"/>
    <s v="Electric Generators, Independent Power Producers"/>
    <x v="3"/>
    <n v="1032571"/>
  </r>
  <r>
    <x v="15"/>
    <x v="20"/>
    <s v="Electric Generators, Independent Power Producers"/>
    <x v="7"/>
    <n v="14703221"/>
  </r>
  <r>
    <x v="15"/>
    <x v="20"/>
    <s v="Electric Generators, Independent Power Producers"/>
    <x v="12"/>
    <n v="155624"/>
  </r>
  <r>
    <x v="15"/>
    <x v="20"/>
    <s v="Electric Generators, Independent Power Producers"/>
    <x v="8"/>
    <n v="200902"/>
  </r>
  <r>
    <x v="15"/>
    <x v="20"/>
    <s v="Electric Generators, Independent Power Producers"/>
    <x v="4"/>
    <n v="3650211"/>
  </r>
  <r>
    <x v="15"/>
    <x v="20"/>
    <s v="Electric Generators, Electric Utilities"/>
    <x v="0"/>
    <n v="44235"/>
  </r>
  <r>
    <x v="15"/>
    <x v="20"/>
    <s v="Electric Generators, Electric Utilities"/>
    <x v="3"/>
    <n v="0"/>
  </r>
  <r>
    <x v="15"/>
    <x v="20"/>
    <s v="Electric Generators, Electric Utilities"/>
    <x v="4"/>
    <n v="44235"/>
  </r>
  <r>
    <x v="15"/>
    <x v="20"/>
    <s v="Combined Heat and Power, Industrial Power"/>
    <x v="0"/>
    <n v="587506"/>
  </r>
  <r>
    <x v="15"/>
    <x v="20"/>
    <s v="Combined Heat and Power, Industrial Power"/>
    <x v="1"/>
    <n v="278193"/>
  </r>
  <r>
    <x v="15"/>
    <x v="20"/>
    <s v="Combined Heat and Power, Industrial Power"/>
    <x v="3"/>
    <n v="45281"/>
  </r>
  <r>
    <x v="15"/>
    <x v="20"/>
    <s v="Combined Heat and Power, Industrial Power"/>
    <x v="4"/>
    <n v="70324"/>
  </r>
  <r>
    <x v="15"/>
    <x v="20"/>
    <s v="Combined Heat and Power, Industrial Power"/>
    <x v="6"/>
    <n v="193708"/>
  </r>
  <r>
    <x v="15"/>
    <x v="20"/>
    <s v="Combined Heat and Power, Electric Power"/>
    <x v="0"/>
    <n v="3195788"/>
  </r>
  <r>
    <x v="15"/>
    <x v="20"/>
    <s v="Combined Heat and Power, Electric Power"/>
    <x v="1"/>
    <n v="1690557"/>
  </r>
  <r>
    <x v="15"/>
    <x v="20"/>
    <s v="Combined Heat and Power, Electric Power"/>
    <x v="3"/>
    <n v="808936"/>
  </r>
  <r>
    <x v="15"/>
    <x v="20"/>
    <s v="Combined Heat and Power, Electric Power"/>
    <x v="12"/>
    <n v="137783"/>
  </r>
  <r>
    <x v="15"/>
    <x v="20"/>
    <s v="Combined Heat and Power, Electric Power"/>
    <x v="8"/>
    <n v="175353"/>
  </r>
  <r>
    <x v="15"/>
    <x v="20"/>
    <s v="Combined Heat and Power, Electric Power"/>
    <x v="9"/>
    <n v="342466"/>
  </r>
  <r>
    <x v="15"/>
    <x v="20"/>
    <s v="Combined Heat and Power, Electric Power"/>
    <x v="4"/>
    <n v="40693"/>
  </r>
  <r>
    <x v="15"/>
    <x v="20"/>
    <s v="Combined Heat and Power, Commercial Power"/>
    <x v="0"/>
    <n v="53861"/>
  </r>
  <r>
    <x v="15"/>
    <x v="20"/>
    <s v="Combined Heat and Power, Commercial Power"/>
    <x v="3"/>
    <n v="199"/>
  </r>
  <r>
    <x v="15"/>
    <x v="20"/>
    <s v="Combined Heat and Power, Commercial Power"/>
    <x v="12"/>
    <n v="154"/>
  </r>
  <r>
    <x v="15"/>
    <x v="20"/>
    <s v="Combined Heat and Power, Commercial Power"/>
    <x v="8"/>
    <n v="41125"/>
  </r>
  <r>
    <x v="15"/>
    <x v="20"/>
    <s v="Combined Heat and Power, Commercial Power"/>
    <x v="4"/>
    <n v="106"/>
  </r>
  <r>
    <x v="15"/>
    <x v="20"/>
    <s v="Combined Heat and Power, Commercial Power"/>
    <x v="6"/>
    <n v="12277"/>
  </r>
  <r>
    <x v="15"/>
    <x v="21"/>
    <s v="Total Electric Power Industry"/>
    <x v="0"/>
    <n v="18843978"/>
  </r>
  <r>
    <x v="15"/>
    <x v="21"/>
    <s v="Total Electric Power Industry"/>
    <x v="1"/>
    <n v="320271"/>
  </r>
  <r>
    <x v="15"/>
    <x v="21"/>
    <s v="Total Electric Power Industry"/>
    <x v="2"/>
    <n v="4090926"/>
  </r>
  <r>
    <x v="15"/>
    <x v="21"/>
    <s v="Total Electric Power Industry"/>
    <x v="3"/>
    <n v="8398453"/>
  </r>
  <r>
    <x v="15"/>
    <x v="21"/>
    <s v="Total Electric Power Industry"/>
    <x v="12"/>
    <n v="344693"/>
  </r>
  <r>
    <x v="15"/>
    <x v="21"/>
    <s v="Total Electric Power Industry"/>
    <x v="8"/>
    <n v="290230"/>
  </r>
  <r>
    <x v="15"/>
    <x v="21"/>
    <s v="Total Electric Power Industry"/>
    <x v="9"/>
    <n v="54"/>
  </r>
  <r>
    <x v="15"/>
    <x v="21"/>
    <s v="Total Electric Power Industry"/>
    <x v="4"/>
    <n v="1621391"/>
  </r>
  <r>
    <x v="15"/>
    <x v="21"/>
    <s v="Total Electric Power Industry"/>
    <x v="6"/>
    <n v="3777959"/>
  </r>
  <r>
    <x v="15"/>
    <x v="21"/>
    <s v="Electric Generators, Independent Power Producers"/>
    <x v="0"/>
    <n v="13126822"/>
  </r>
  <r>
    <x v="15"/>
    <x v="21"/>
    <s v="Electric Generators, Independent Power Producers"/>
    <x v="2"/>
    <n v="3465890"/>
  </r>
  <r>
    <x v="15"/>
    <x v="21"/>
    <s v="Electric Generators, Independent Power Producers"/>
    <x v="3"/>
    <n v="7104199"/>
  </r>
  <r>
    <x v="15"/>
    <x v="21"/>
    <s v="Electric Generators, Independent Power Producers"/>
    <x v="12"/>
    <n v="106918"/>
  </r>
  <r>
    <x v="15"/>
    <x v="21"/>
    <s v="Electric Generators, Independent Power Producers"/>
    <x v="8"/>
    <n v="136078"/>
  </r>
  <r>
    <x v="15"/>
    <x v="21"/>
    <s v="Electric Generators, Independent Power Producers"/>
    <x v="9"/>
    <n v="54"/>
  </r>
  <r>
    <x v="15"/>
    <x v="21"/>
    <s v="Electric Generators, Independent Power Producers"/>
    <x v="4"/>
    <n v="897587"/>
  </r>
  <r>
    <x v="15"/>
    <x v="21"/>
    <s v="Electric Generators, Independent Power Producers"/>
    <x v="6"/>
    <n v="1416096"/>
  </r>
  <r>
    <x v="15"/>
    <x v="21"/>
    <s v="Electric Generators, Electric Utilities"/>
    <x v="0"/>
    <n v="827"/>
  </r>
  <r>
    <x v="15"/>
    <x v="21"/>
    <s v="Electric Generators, Electric Utilities"/>
    <x v="4"/>
    <n v="827"/>
  </r>
  <r>
    <x v="15"/>
    <x v="21"/>
    <s v="Combined Heat and Power, Industrial Power"/>
    <x v="0"/>
    <n v="4809103"/>
  </r>
  <r>
    <x v="15"/>
    <x v="21"/>
    <s v="Combined Heat and Power, Industrial Power"/>
    <x v="1"/>
    <n v="157064"/>
  </r>
  <r>
    <x v="15"/>
    <x v="21"/>
    <s v="Combined Heat and Power, Industrial Power"/>
    <x v="2"/>
    <n v="625036"/>
  </r>
  <r>
    <x v="15"/>
    <x v="21"/>
    <s v="Combined Heat and Power, Industrial Power"/>
    <x v="3"/>
    <n v="1292241"/>
  </r>
  <r>
    <x v="15"/>
    <x v="21"/>
    <s v="Combined Heat and Power, Industrial Power"/>
    <x v="12"/>
    <n v="64588"/>
  </r>
  <r>
    <x v="15"/>
    <x v="21"/>
    <s v="Combined Heat and Power, Industrial Power"/>
    <x v="8"/>
    <n v="49991"/>
  </r>
  <r>
    <x v="15"/>
    <x v="21"/>
    <s v="Combined Heat and Power, Industrial Power"/>
    <x v="4"/>
    <n v="720042"/>
  </r>
  <r>
    <x v="15"/>
    <x v="21"/>
    <s v="Combined Heat and Power, Industrial Power"/>
    <x v="6"/>
    <n v="1900140"/>
  </r>
  <r>
    <x v="15"/>
    <x v="21"/>
    <s v="Combined Heat and Power, Electric Power"/>
    <x v="0"/>
    <n v="729951"/>
  </r>
  <r>
    <x v="15"/>
    <x v="21"/>
    <s v="Combined Heat and Power, Electric Power"/>
    <x v="1"/>
    <n v="163208"/>
  </r>
  <r>
    <x v="15"/>
    <x v="21"/>
    <s v="Combined Heat and Power, Electric Power"/>
    <x v="3"/>
    <n v="1531"/>
  </r>
  <r>
    <x v="15"/>
    <x v="21"/>
    <s v="Combined Heat and Power, Electric Power"/>
    <x v="12"/>
    <n v="96402"/>
  </r>
  <r>
    <x v="15"/>
    <x v="21"/>
    <s v="Combined Heat and Power, Electric Power"/>
    <x v="8"/>
    <n v="6436"/>
  </r>
  <r>
    <x v="15"/>
    <x v="21"/>
    <s v="Combined Heat and Power, Electric Power"/>
    <x v="4"/>
    <n v="651"/>
  </r>
  <r>
    <x v="15"/>
    <x v="21"/>
    <s v="Combined Heat and Power, Electric Power"/>
    <x v="6"/>
    <n v="461723"/>
  </r>
  <r>
    <x v="15"/>
    <x v="21"/>
    <s v="Combined Heat and Power, Commercial Power"/>
    <x v="0"/>
    <n v="177275"/>
  </r>
  <r>
    <x v="15"/>
    <x v="21"/>
    <s v="Combined Heat and Power, Commercial Power"/>
    <x v="3"/>
    <n v="482"/>
  </r>
  <r>
    <x v="15"/>
    <x v="21"/>
    <s v="Combined Heat and Power, Commercial Power"/>
    <x v="12"/>
    <n v="76784"/>
  </r>
  <r>
    <x v="15"/>
    <x v="21"/>
    <s v="Combined Heat and Power, Commercial Power"/>
    <x v="8"/>
    <n v="97726"/>
  </r>
  <r>
    <x v="15"/>
    <x v="21"/>
    <s v="Combined Heat and Power, Commercial Power"/>
    <x v="4"/>
    <n v="2283"/>
  </r>
  <r>
    <x v="15"/>
    <x v="21"/>
    <s v="Combined Heat and Power, Commercial Power"/>
    <x v="6"/>
    <n v="0"/>
  </r>
  <r>
    <x v="15"/>
    <x v="22"/>
    <s v="Total Electric Power Industry"/>
    <x v="0"/>
    <n v="121619771"/>
  </r>
  <r>
    <x v="15"/>
    <x v="22"/>
    <s v="Total Electric Power Industry"/>
    <x v="1"/>
    <n v="70322976"/>
  </r>
  <r>
    <x v="15"/>
    <x v="22"/>
    <s v="Total Electric Power Industry"/>
    <x v="2"/>
    <n v="1461708"/>
  </r>
  <r>
    <x v="15"/>
    <x v="22"/>
    <s v="Total Electric Power Industry"/>
    <x v="3"/>
    <n v="13763892"/>
  </r>
  <r>
    <x v="15"/>
    <x v="22"/>
    <s v="Total Electric Power Industry"/>
    <x v="7"/>
    <n v="32871574"/>
  </r>
  <r>
    <x v="15"/>
    <x v="22"/>
    <s v="Total Electric Power Industry"/>
    <x v="12"/>
    <n v="561861"/>
  </r>
  <r>
    <x v="15"/>
    <x v="22"/>
    <s v="Total Electric Power Industry"/>
    <x v="8"/>
    <n v="716561"/>
  </r>
  <r>
    <x v="15"/>
    <x v="22"/>
    <s v="Total Electric Power Industry"/>
    <x v="9"/>
    <n v="372119"/>
  </r>
  <r>
    <x v="15"/>
    <x v="22"/>
    <s v="Total Electric Power Industry"/>
    <x v="4"/>
    <n v="877559"/>
  </r>
  <r>
    <x v="15"/>
    <x v="22"/>
    <s v="Total Electric Power Industry"/>
    <x v="10"/>
    <n v="-1106241"/>
  </r>
  <r>
    <x v="15"/>
    <x v="22"/>
    <s v="Total Electric Power Industry"/>
    <x v="5"/>
    <n v="1848"/>
  </r>
  <r>
    <x v="15"/>
    <x v="22"/>
    <s v="Total Electric Power Industry"/>
    <x v="6"/>
    <n v="1775914"/>
  </r>
  <r>
    <x v="15"/>
    <x v="22"/>
    <s v="Electric Generators, Independent Power Producers"/>
    <x v="0"/>
    <n v="4337023"/>
  </r>
  <r>
    <x v="15"/>
    <x v="22"/>
    <s v="Electric Generators, Independent Power Producers"/>
    <x v="1"/>
    <n v="126800"/>
  </r>
  <r>
    <x v="15"/>
    <x v="22"/>
    <s v="Electric Generators, Independent Power Producers"/>
    <x v="2"/>
    <n v="76767"/>
  </r>
  <r>
    <x v="15"/>
    <x v="22"/>
    <s v="Electric Generators, Independent Power Producers"/>
    <x v="3"/>
    <n v="2507171"/>
  </r>
  <r>
    <x v="15"/>
    <x v="22"/>
    <s v="Electric Generators, Independent Power Producers"/>
    <x v="12"/>
    <n v="82550"/>
  </r>
  <r>
    <x v="15"/>
    <x v="22"/>
    <s v="Electric Generators, Independent Power Producers"/>
    <x v="8"/>
    <n v="500018"/>
  </r>
  <r>
    <x v="15"/>
    <x v="22"/>
    <s v="Electric Generators, Independent Power Producers"/>
    <x v="4"/>
    <n v="0"/>
  </r>
  <r>
    <x v="15"/>
    <x v="22"/>
    <s v="Electric Generators, Independent Power Producers"/>
    <x v="5"/>
    <n v="1848"/>
  </r>
  <r>
    <x v="15"/>
    <x v="22"/>
    <s v="Electric Generators, Independent Power Producers"/>
    <x v="6"/>
    <n v="1041870"/>
  </r>
  <r>
    <x v="15"/>
    <x v="22"/>
    <s v="Electric Generators, Electric Utilities"/>
    <x v="0"/>
    <n v="104830689"/>
  </r>
  <r>
    <x v="15"/>
    <x v="22"/>
    <s v="Electric Generators, Electric Utilities"/>
    <x v="1"/>
    <n v="69158736"/>
  </r>
  <r>
    <x v="15"/>
    <x v="22"/>
    <s v="Electric Generators, Electric Utilities"/>
    <x v="2"/>
    <n v="1355963"/>
  </r>
  <r>
    <x v="15"/>
    <x v="22"/>
    <s v="Electric Generators, Electric Utilities"/>
    <x v="3"/>
    <n v="1717091"/>
  </r>
  <r>
    <x v="15"/>
    <x v="22"/>
    <s v="Electric Generators, Electric Utilities"/>
    <x v="7"/>
    <n v="32871574"/>
  </r>
  <r>
    <x v="15"/>
    <x v="22"/>
    <s v="Electric Generators, Electric Utilities"/>
    <x v="12"/>
    <n v="45003"/>
  </r>
  <r>
    <x v="15"/>
    <x v="22"/>
    <s v="Electric Generators, Electric Utilities"/>
    <x v="9"/>
    <n v="0"/>
  </r>
  <r>
    <x v="15"/>
    <x v="22"/>
    <s v="Electric Generators, Electric Utilities"/>
    <x v="4"/>
    <n v="788563"/>
  </r>
  <r>
    <x v="15"/>
    <x v="22"/>
    <s v="Electric Generators, Electric Utilities"/>
    <x v="10"/>
    <n v="-1106241"/>
  </r>
  <r>
    <x v="15"/>
    <x v="22"/>
    <s v="Combined Heat and Power, Industrial Power"/>
    <x v="0"/>
    <n v="1756221"/>
  </r>
  <r>
    <x v="15"/>
    <x v="22"/>
    <s v="Combined Heat and Power, Industrial Power"/>
    <x v="1"/>
    <n v="457857"/>
  </r>
  <r>
    <x v="15"/>
    <x v="22"/>
    <s v="Combined Heat and Power, Industrial Power"/>
    <x v="2"/>
    <n v="28978"/>
  </r>
  <r>
    <x v="15"/>
    <x v="22"/>
    <s v="Combined Heat and Power, Industrial Power"/>
    <x v="3"/>
    <n v="272397"/>
  </r>
  <r>
    <x v="15"/>
    <x v="22"/>
    <s v="Combined Heat and Power, Industrial Power"/>
    <x v="12"/>
    <n v="262768"/>
  </r>
  <r>
    <x v="15"/>
    <x v="22"/>
    <s v="Combined Heat and Power, Industrial Power"/>
    <x v="8"/>
    <n v="3022"/>
  </r>
  <r>
    <x v="15"/>
    <x v="22"/>
    <s v="Combined Heat and Power, Industrial Power"/>
    <x v="4"/>
    <n v="22074"/>
  </r>
  <r>
    <x v="15"/>
    <x v="22"/>
    <s v="Combined Heat and Power, Industrial Power"/>
    <x v="6"/>
    <n v="709125"/>
  </r>
  <r>
    <x v="15"/>
    <x v="22"/>
    <s v="Combined Heat and Power, Electric Power"/>
    <x v="0"/>
    <n v="10161162"/>
  </r>
  <r>
    <x v="15"/>
    <x v="22"/>
    <s v="Combined Heat and Power, Electric Power"/>
    <x v="1"/>
    <n v="348350"/>
  </r>
  <r>
    <x v="15"/>
    <x v="22"/>
    <s v="Combined Heat and Power, Electric Power"/>
    <x v="3"/>
    <n v="9230710"/>
  </r>
  <r>
    <x v="15"/>
    <x v="22"/>
    <s v="Combined Heat and Power, Electric Power"/>
    <x v="12"/>
    <n v="55371"/>
  </r>
  <r>
    <x v="15"/>
    <x v="22"/>
    <s v="Combined Heat and Power, Electric Power"/>
    <x v="8"/>
    <n v="65676"/>
  </r>
  <r>
    <x v="15"/>
    <x v="22"/>
    <s v="Combined Heat and Power, Electric Power"/>
    <x v="9"/>
    <n v="372119"/>
  </r>
  <r>
    <x v="15"/>
    <x v="22"/>
    <s v="Combined Heat and Power, Electric Power"/>
    <x v="4"/>
    <n v="66878"/>
  </r>
  <r>
    <x v="15"/>
    <x v="22"/>
    <s v="Combined Heat and Power, Electric Power"/>
    <x v="6"/>
    <n v="22058"/>
  </r>
  <r>
    <x v="15"/>
    <x v="22"/>
    <s v="Combined Heat and Power, Commercial Power"/>
    <x v="0"/>
    <n v="534676"/>
  </r>
  <r>
    <x v="15"/>
    <x v="22"/>
    <s v="Combined Heat and Power, Commercial Power"/>
    <x v="1"/>
    <n v="231233"/>
  </r>
  <r>
    <x v="15"/>
    <x v="22"/>
    <s v="Combined Heat and Power, Commercial Power"/>
    <x v="3"/>
    <n v="36523"/>
  </r>
  <r>
    <x v="15"/>
    <x v="22"/>
    <s v="Combined Heat and Power, Commercial Power"/>
    <x v="12"/>
    <n v="116170"/>
  </r>
  <r>
    <x v="15"/>
    <x v="22"/>
    <s v="Combined Heat and Power, Commercial Power"/>
    <x v="8"/>
    <n v="147845"/>
  </r>
  <r>
    <x v="15"/>
    <x v="22"/>
    <s v="Combined Heat and Power, Commercial Power"/>
    <x v="4"/>
    <n v="44"/>
  </r>
  <r>
    <x v="15"/>
    <x v="22"/>
    <s v="Combined Heat and Power, Commercial Power"/>
    <x v="6"/>
    <n v="2861"/>
  </r>
  <r>
    <x v="15"/>
    <x v="23"/>
    <s v="Total Electric Power Industry"/>
    <x v="0"/>
    <n v="53018995"/>
  </r>
  <r>
    <x v="15"/>
    <x v="23"/>
    <s v="Total Electric Power Industry"/>
    <x v="1"/>
    <n v="32949845"/>
  </r>
  <r>
    <x v="15"/>
    <x v="23"/>
    <s v="Total Electric Power Industry"/>
    <x v="2"/>
    <n v="774729"/>
  </r>
  <r>
    <x v="15"/>
    <x v="23"/>
    <s v="Total Electric Power Industry"/>
    <x v="3"/>
    <n v="2707267"/>
  </r>
  <r>
    <x v="15"/>
    <x v="23"/>
    <s v="Total Electric Power Industry"/>
    <x v="7"/>
    <n v="12835219"/>
  </r>
  <r>
    <x v="15"/>
    <x v="23"/>
    <s v="Total Electric Power Industry"/>
    <x v="12"/>
    <n v="323518"/>
  </r>
  <r>
    <x v="15"/>
    <x v="23"/>
    <s v="Total Electric Power Industry"/>
    <x v="8"/>
    <n v="413281"/>
  </r>
  <r>
    <x v="15"/>
    <x v="23"/>
    <s v="Total Electric Power Industry"/>
    <x v="4"/>
    <n v="776309"/>
  </r>
  <r>
    <x v="15"/>
    <x v="23"/>
    <s v="Total Electric Power Industry"/>
    <x v="5"/>
    <n v="1582477"/>
  </r>
  <r>
    <x v="15"/>
    <x v="23"/>
    <s v="Total Electric Power Industry"/>
    <x v="6"/>
    <n v="656350"/>
  </r>
  <r>
    <x v="15"/>
    <x v="23"/>
    <s v="Electric Generators, Independent Power Producers"/>
    <x v="0"/>
    <n v="3332250"/>
  </r>
  <r>
    <x v="15"/>
    <x v="23"/>
    <s v="Electric Generators, Independent Power Producers"/>
    <x v="1"/>
    <n v="1409309"/>
  </r>
  <r>
    <x v="15"/>
    <x v="23"/>
    <s v="Electric Generators, Independent Power Producers"/>
    <x v="2"/>
    <n v="60832"/>
  </r>
  <r>
    <x v="15"/>
    <x v="23"/>
    <s v="Electric Generators, Independent Power Producers"/>
    <x v="12"/>
    <n v="98700"/>
  </r>
  <r>
    <x v="15"/>
    <x v="23"/>
    <s v="Electric Generators, Independent Power Producers"/>
    <x v="8"/>
    <n v="181332"/>
  </r>
  <r>
    <x v="15"/>
    <x v="23"/>
    <s v="Electric Generators, Independent Power Producers"/>
    <x v="4"/>
    <n v="2109"/>
  </r>
  <r>
    <x v="15"/>
    <x v="23"/>
    <s v="Electric Generators, Independent Power Producers"/>
    <x v="5"/>
    <n v="1579968"/>
  </r>
  <r>
    <x v="15"/>
    <x v="23"/>
    <s v="Electric Generators, Electric Utilities"/>
    <x v="0"/>
    <n v="46791349"/>
  </r>
  <r>
    <x v="15"/>
    <x v="23"/>
    <s v="Electric Generators, Electric Utilities"/>
    <x v="1"/>
    <n v="30514512"/>
  </r>
  <r>
    <x v="15"/>
    <x v="23"/>
    <s v="Electric Generators, Electric Utilities"/>
    <x v="2"/>
    <n v="574680"/>
  </r>
  <r>
    <x v="15"/>
    <x v="23"/>
    <s v="Electric Generators, Electric Utilities"/>
    <x v="3"/>
    <n v="1706322"/>
  </r>
  <r>
    <x v="15"/>
    <x v="23"/>
    <s v="Electric Generators, Electric Utilities"/>
    <x v="7"/>
    <n v="12835219"/>
  </r>
  <r>
    <x v="15"/>
    <x v="23"/>
    <s v="Electric Generators, Electric Utilities"/>
    <x v="12"/>
    <n v="170417"/>
  </r>
  <r>
    <x v="15"/>
    <x v="23"/>
    <s v="Electric Generators, Electric Utilities"/>
    <x v="8"/>
    <n v="216894"/>
  </r>
  <r>
    <x v="15"/>
    <x v="23"/>
    <s v="Electric Generators, Electric Utilities"/>
    <x v="4"/>
    <n v="752774"/>
  </r>
  <r>
    <x v="15"/>
    <x v="23"/>
    <s v="Electric Generators, Electric Utilities"/>
    <x v="5"/>
    <n v="2509"/>
  </r>
  <r>
    <x v="15"/>
    <x v="23"/>
    <s v="Electric Generators, Electric Utilities"/>
    <x v="6"/>
    <n v="18022"/>
  </r>
  <r>
    <x v="15"/>
    <x v="23"/>
    <s v="Combined Heat and Power, Industrial Power"/>
    <x v="0"/>
    <n v="1849056"/>
  </r>
  <r>
    <x v="15"/>
    <x v="23"/>
    <s v="Combined Heat and Power, Industrial Power"/>
    <x v="1"/>
    <n v="992842"/>
  </r>
  <r>
    <x v="15"/>
    <x v="23"/>
    <s v="Combined Heat and Power, Industrial Power"/>
    <x v="2"/>
    <n v="129609"/>
  </r>
  <r>
    <x v="15"/>
    <x v="23"/>
    <s v="Combined Heat and Power, Industrial Power"/>
    <x v="3"/>
    <n v="112832"/>
  </r>
  <r>
    <x v="15"/>
    <x v="23"/>
    <s v="Combined Heat and Power, Industrial Power"/>
    <x v="12"/>
    <n v="45959"/>
  </r>
  <r>
    <x v="15"/>
    <x v="23"/>
    <s v="Combined Heat and Power, Industrial Power"/>
    <x v="8"/>
    <n v="4311"/>
  </r>
  <r>
    <x v="15"/>
    <x v="23"/>
    <s v="Combined Heat and Power, Industrial Power"/>
    <x v="4"/>
    <n v="9428"/>
  </r>
  <r>
    <x v="15"/>
    <x v="23"/>
    <s v="Combined Heat and Power, Industrial Power"/>
    <x v="6"/>
    <n v="554075"/>
  </r>
  <r>
    <x v="15"/>
    <x v="23"/>
    <s v="Combined Heat and Power, Electric Power"/>
    <x v="0"/>
    <n v="937990"/>
  </r>
  <r>
    <x v="15"/>
    <x v="23"/>
    <s v="Combined Heat and Power, Electric Power"/>
    <x v="1"/>
    <n v="33182"/>
  </r>
  <r>
    <x v="15"/>
    <x v="23"/>
    <s v="Combined Heat and Power, Electric Power"/>
    <x v="2"/>
    <n v="9608"/>
  </r>
  <r>
    <x v="15"/>
    <x v="23"/>
    <s v="Combined Heat and Power, Electric Power"/>
    <x v="3"/>
    <n v="806251"/>
  </r>
  <r>
    <x v="15"/>
    <x v="23"/>
    <s v="Combined Heat and Power, Electric Power"/>
    <x v="4"/>
    <n v="4697"/>
  </r>
  <r>
    <x v="15"/>
    <x v="23"/>
    <s v="Combined Heat and Power, Electric Power"/>
    <x v="6"/>
    <n v="84252"/>
  </r>
  <r>
    <x v="15"/>
    <x v="23"/>
    <s v="Combined Heat and Power, Commercial Power"/>
    <x v="0"/>
    <n v="108350"/>
  </r>
  <r>
    <x v="15"/>
    <x v="23"/>
    <s v="Combined Heat and Power, Commercial Power"/>
    <x v="3"/>
    <n v="81862"/>
  </r>
  <r>
    <x v="15"/>
    <x v="23"/>
    <s v="Combined Heat and Power, Commercial Power"/>
    <x v="12"/>
    <n v="8442"/>
  </r>
  <r>
    <x v="15"/>
    <x v="23"/>
    <s v="Combined Heat and Power, Commercial Power"/>
    <x v="8"/>
    <n v="10744"/>
  </r>
  <r>
    <x v="15"/>
    <x v="23"/>
    <s v="Combined Heat and Power, Commercial Power"/>
    <x v="4"/>
    <n v="7302"/>
  </r>
  <r>
    <x v="15"/>
    <x v="24"/>
    <s v="Total Electric Power Industry"/>
    <x v="0"/>
    <n v="90828230"/>
  </r>
  <r>
    <x v="15"/>
    <x v="24"/>
    <s v="Total Electric Power Industry"/>
    <x v="1"/>
    <n v="77436559"/>
  </r>
  <r>
    <x v="15"/>
    <x v="24"/>
    <s v="Total Electric Power Industry"/>
    <x v="2"/>
    <n v="1159326"/>
  </r>
  <r>
    <x v="15"/>
    <x v="24"/>
    <s v="Total Electric Power Industry"/>
    <x v="3"/>
    <n v="3865946"/>
  </r>
  <r>
    <x v="15"/>
    <x v="24"/>
    <s v="Total Electric Power Industry"/>
    <x v="7"/>
    <n v="8030577"/>
  </r>
  <r>
    <x v="15"/>
    <x v="24"/>
    <s v="Total Electric Power Industry"/>
    <x v="12"/>
    <n v="69737"/>
  </r>
  <r>
    <x v="15"/>
    <x v="24"/>
    <s v="Total Electric Power Industry"/>
    <x v="8"/>
    <n v="8598"/>
  </r>
  <r>
    <x v="15"/>
    <x v="24"/>
    <s v="Total Electric Power Industry"/>
    <x v="9"/>
    <n v="2383"/>
  </r>
  <r>
    <x v="15"/>
    <x v="24"/>
    <s v="Total Electric Power Industry"/>
    <x v="4"/>
    <n v="169173"/>
  </r>
  <r>
    <x v="15"/>
    <x v="24"/>
    <s v="Total Electric Power Industry"/>
    <x v="10"/>
    <n v="85932"/>
  </r>
  <r>
    <x v="15"/>
    <x v="24"/>
    <s v="Total Electric Power Industry"/>
    <x v="6"/>
    <n v="0"/>
  </r>
  <r>
    <x v="15"/>
    <x v="24"/>
    <s v="Electric Generators, Independent Power Producers"/>
    <x v="0"/>
    <n v="319094"/>
  </r>
  <r>
    <x v="15"/>
    <x v="24"/>
    <s v="Electric Generators, Independent Power Producers"/>
    <x v="3"/>
    <n v="319094"/>
  </r>
  <r>
    <x v="15"/>
    <x v="24"/>
    <s v="Electric Generators, Electric Utilities"/>
    <x v="0"/>
    <n v="90159045"/>
  </r>
  <r>
    <x v="15"/>
    <x v="24"/>
    <s v="Electric Generators, Electric Utilities"/>
    <x v="1"/>
    <n v="77123580"/>
  </r>
  <r>
    <x v="15"/>
    <x v="24"/>
    <s v="Electric Generators, Electric Utilities"/>
    <x v="2"/>
    <n v="1159326"/>
  </r>
  <r>
    <x v="15"/>
    <x v="24"/>
    <s v="Electric Generators, Electric Utilities"/>
    <x v="3"/>
    <n v="3522842"/>
  </r>
  <r>
    <x v="15"/>
    <x v="24"/>
    <s v="Electric Generators, Electric Utilities"/>
    <x v="7"/>
    <n v="8030577"/>
  </r>
  <r>
    <x v="15"/>
    <x v="24"/>
    <s v="Electric Generators, Electric Utilities"/>
    <x v="12"/>
    <n v="66147"/>
  </r>
  <r>
    <x v="15"/>
    <x v="24"/>
    <s v="Electric Generators, Electric Utilities"/>
    <x v="9"/>
    <n v="2383"/>
  </r>
  <r>
    <x v="15"/>
    <x v="24"/>
    <s v="Electric Generators, Electric Utilities"/>
    <x v="4"/>
    <n v="168258"/>
  </r>
  <r>
    <x v="15"/>
    <x v="24"/>
    <s v="Electric Generators, Electric Utilities"/>
    <x v="10"/>
    <n v="85932"/>
  </r>
  <r>
    <x v="15"/>
    <x v="24"/>
    <s v="Electric Generators, Electric Utilities"/>
    <x v="6"/>
    <n v="0"/>
  </r>
  <r>
    <x v="15"/>
    <x v="24"/>
    <s v="Combined Heat and Power, Industrial Power"/>
    <x v="0"/>
    <n v="182109"/>
  </r>
  <r>
    <x v="15"/>
    <x v="24"/>
    <s v="Combined Heat and Power, Industrial Power"/>
    <x v="1"/>
    <n v="168466"/>
  </r>
  <r>
    <x v="15"/>
    <x v="24"/>
    <s v="Combined Heat and Power, Industrial Power"/>
    <x v="3"/>
    <n v="4291"/>
  </r>
  <r>
    <x v="15"/>
    <x v="24"/>
    <s v="Combined Heat and Power, Industrial Power"/>
    <x v="8"/>
    <n v="8598"/>
  </r>
  <r>
    <x v="15"/>
    <x v="24"/>
    <s v="Combined Heat and Power, Industrial Power"/>
    <x v="4"/>
    <n v="755"/>
  </r>
  <r>
    <x v="15"/>
    <x v="24"/>
    <s v="Combined Heat and Power, Electric Power"/>
    <x v="0"/>
    <n v="5236"/>
  </r>
  <r>
    <x v="15"/>
    <x v="24"/>
    <s v="Combined Heat and Power, Electric Power"/>
    <x v="3"/>
    <n v="5236"/>
  </r>
  <r>
    <x v="15"/>
    <x v="24"/>
    <s v="Combined Heat and Power, Commercial Power"/>
    <x v="0"/>
    <n v="162746"/>
  </r>
  <r>
    <x v="15"/>
    <x v="24"/>
    <s v="Combined Heat and Power, Commercial Power"/>
    <x v="1"/>
    <n v="144514"/>
  </r>
  <r>
    <x v="15"/>
    <x v="24"/>
    <s v="Combined Heat and Power, Commercial Power"/>
    <x v="3"/>
    <n v="14482"/>
  </r>
  <r>
    <x v="15"/>
    <x v="24"/>
    <s v="Combined Heat and Power, Commercial Power"/>
    <x v="12"/>
    <n v="3590"/>
  </r>
  <r>
    <x v="15"/>
    <x v="24"/>
    <s v="Combined Heat and Power, Commercial Power"/>
    <x v="4"/>
    <n v="160"/>
  </r>
  <r>
    <x v="15"/>
    <x v="25"/>
    <s v="Total Electric Power Industry"/>
    <x v="0"/>
    <n v="45067453"/>
  </r>
  <r>
    <x v="15"/>
    <x v="25"/>
    <s v="Total Electric Power Industry"/>
    <x v="1"/>
    <n v="16635884"/>
  </r>
  <r>
    <x v="15"/>
    <x v="25"/>
    <s v="Total Electric Power Industry"/>
    <x v="3"/>
    <n v="15360066"/>
  </r>
  <r>
    <x v="15"/>
    <x v="25"/>
    <s v="Total Electric Power Industry"/>
    <x v="7"/>
    <n v="10077846"/>
  </r>
  <r>
    <x v="15"/>
    <x v="25"/>
    <s v="Total Electric Power Industry"/>
    <x v="12"/>
    <n v="6947"/>
  </r>
  <r>
    <x v="15"/>
    <x v="25"/>
    <s v="Total Electric Power Industry"/>
    <x v="8"/>
    <n v="5344"/>
  </r>
  <r>
    <x v="15"/>
    <x v="25"/>
    <s v="Total Electric Power Industry"/>
    <x v="9"/>
    <n v="20166"/>
  </r>
  <r>
    <x v="15"/>
    <x v="25"/>
    <s v="Total Electric Power Industry"/>
    <x v="4"/>
    <n v="1444848"/>
  </r>
  <r>
    <x v="15"/>
    <x v="25"/>
    <s v="Total Electric Power Industry"/>
    <x v="6"/>
    <n v="1516353"/>
  </r>
  <r>
    <x v="15"/>
    <x v="25"/>
    <s v="Electric Generators, Independent Power Producers"/>
    <x v="0"/>
    <n v="12703664"/>
  </r>
  <r>
    <x v="15"/>
    <x v="25"/>
    <s v="Electric Generators, Independent Power Producers"/>
    <x v="1"/>
    <n v="3237857"/>
  </r>
  <r>
    <x v="15"/>
    <x v="25"/>
    <s v="Electric Generators, Independent Power Producers"/>
    <x v="3"/>
    <n v="9464668"/>
  </r>
  <r>
    <x v="15"/>
    <x v="25"/>
    <s v="Electric Generators, Independent Power Producers"/>
    <x v="12"/>
    <n v="1139"/>
  </r>
  <r>
    <x v="15"/>
    <x v="25"/>
    <s v="Electric Generators, Electric Utilities"/>
    <x v="0"/>
    <n v="30619168"/>
  </r>
  <r>
    <x v="15"/>
    <x v="25"/>
    <s v="Electric Generators, Electric Utilities"/>
    <x v="1"/>
    <n v="13389906"/>
  </r>
  <r>
    <x v="15"/>
    <x v="25"/>
    <s v="Electric Generators, Electric Utilities"/>
    <x v="3"/>
    <n v="5719339"/>
  </r>
  <r>
    <x v="15"/>
    <x v="25"/>
    <s v="Electric Generators, Electric Utilities"/>
    <x v="7"/>
    <n v="10077846"/>
  </r>
  <r>
    <x v="15"/>
    <x v="25"/>
    <s v="Electric Generators, Electric Utilities"/>
    <x v="4"/>
    <n v="1432077"/>
  </r>
  <r>
    <x v="15"/>
    <x v="25"/>
    <s v="Combined Heat and Power, Industrial Power"/>
    <x v="0"/>
    <n v="1725227"/>
  </r>
  <r>
    <x v="15"/>
    <x v="25"/>
    <s v="Combined Heat and Power, Industrial Power"/>
    <x v="1"/>
    <n v="8121"/>
  </r>
  <r>
    <x v="15"/>
    <x v="25"/>
    <s v="Combined Heat and Power, Industrial Power"/>
    <x v="3"/>
    <n v="156664"/>
  </r>
  <r>
    <x v="15"/>
    <x v="25"/>
    <s v="Combined Heat and Power, Industrial Power"/>
    <x v="12"/>
    <n v="5808"/>
  </r>
  <r>
    <x v="15"/>
    <x v="25"/>
    <s v="Combined Heat and Power, Industrial Power"/>
    <x v="8"/>
    <n v="5344"/>
  </r>
  <r>
    <x v="15"/>
    <x v="25"/>
    <s v="Combined Heat and Power, Industrial Power"/>
    <x v="9"/>
    <n v="20166"/>
  </r>
  <r>
    <x v="15"/>
    <x v="25"/>
    <s v="Combined Heat and Power, Industrial Power"/>
    <x v="4"/>
    <n v="12771"/>
  </r>
  <r>
    <x v="15"/>
    <x v="25"/>
    <s v="Combined Heat and Power, Industrial Power"/>
    <x v="6"/>
    <n v="1516353"/>
  </r>
  <r>
    <x v="15"/>
    <x v="25"/>
    <s v="Combined Heat and Power, Commercial Power"/>
    <x v="0"/>
    <n v="19394"/>
  </r>
  <r>
    <x v="15"/>
    <x v="25"/>
    <s v="Combined Heat and Power, Commercial Power"/>
    <x v="3"/>
    <n v="19394"/>
  </r>
  <r>
    <x v="15"/>
    <x v="26"/>
    <s v="Total Electric Power Industry"/>
    <x v="0"/>
    <n v="27938778"/>
  </r>
  <r>
    <x v="15"/>
    <x v="26"/>
    <s v="Total Electric Power Industry"/>
    <x v="1"/>
    <n v="17823339"/>
  </r>
  <r>
    <x v="15"/>
    <x v="26"/>
    <s v="Total Electric Power Industry"/>
    <x v="2"/>
    <n v="9587349"/>
  </r>
  <r>
    <x v="15"/>
    <x v="26"/>
    <s v="Total Electric Power Industry"/>
    <x v="3"/>
    <n v="26938"/>
  </r>
  <r>
    <x v="15"/>
    <x v="26"/>
    <s v="Total Electric Power Industry"/>
    <x v="9"/>
    <n v="14665"/>
  </r>
  <r>
    <x v="15"/>
    <x v="26"/>
    <s v="Total Electric Power Industry"/>
    <x v="4"/>
    <n v="414876"/>
  </r>
  <r>
    <x v="15"/>
    <x v="26"/>
    <s v="Total Electric Power Industry"/>
    <x v="6"/>
    <n v="71612"/>
  </r>
  <r>
    <x v="15"/>
    <x v="26"/>
    <s v="Electric Generators, Independent Power Producers"/>
    <x v="0"/>
    <n v="20851215"/>
  </r>
  <r>
    <x v="15"/>
    <x v="26"/>
    <s v="Electric Generators, Independent Power Producers"/>
    <x v="1"/>
    <n v="17539871"/>
  </r>
  <r>
    <x v="15"/>
    <x v="26"/>
    <s v="Electric Generators, Independent Power Producers"/>
    <x v="2"/>
    <n v="3294862"/>
  </r>
  <r>
    <x v="15"/>
    <x v="26"/>
    <s v="Electric Generators, Independent Power Producers"/>
    <x v="3"/>
    <n v="2628"/>
  </r>
  <r>
    <x v="15"/>
    <x v="26"/>
    <s v="Electric Generators, Independent Power Producers"/>
    <x v="4"/>
    <n v="13854"/>
  </r>
  <r>
    <x v="15"/>
    <x v="26"/>
    <s v="Electric Generators, Electric Utilities"/>
    <x v="0"/>
    <n v="6587015"/>
  </r>
  <r>
    <x v="15"/>
    <x v="26"/>
    <s v="Electric Generators, Electric Utilities"/>
    <x v="1"/>
    <n v="283468"/>
  </r>
  <r>
    <x v="15"/>
    <x v="26"/>
    <s v="Electric Generators, Electric Utilities"/>
    <x v="2"/>
    <n v="6292487"/>
  </r>
  <r>
    <x v="15"/>
    <x v="26"/>
    <s v="Electric Generators, Electric Utilities"/>
    <x v="3"/>
    <n v="10602"/>
  </r>
  <r>
    <x v="15"/>
    <x v="26"/>
    <s v="Electric Generators, Electric Utilities"/>
    <x v="4"/>
    <n v="458"/>
  </r>
  <r>
    <x v="15"/>
    <x v="26"/>
    <s v="Combined Heat and Power, Industrial Power"/>
    <x v="0"/>
    <n v="88082"/>
  </r>
  <r>
    <x v="15"/>
    <x v="26"/>
    <s v="Combined Heat and Power, Industrial Power"/>
    <x v="3"/>
    <n v="13708"/>
  </r>
  <r>
    <x v="15"/>
    <x v="26"/>
    <s v="Combined Heat and Power, Industrial Power"/>
    <x v="4"/>
    <n v="2762"/>
  </r>
  <r>
    <x v="15"/>
    <x v="26"/>
    <s v="Combined Heat and Power, Industrial Power"/>
    <x v="6"/>
    <n v="71612"/>
  </r>
  <r>
    <x v="15"/>
    <x v="26"/>
    <s v="Combined Heat and Power, Electric Power"/>
    <x v="0"/>
    <n v="412466"/>
  </r>
  <r>
    <x v="15"/>
    <x v="26"/>
    <s v="Combined Heat and Power, Electric Power"/>
    <x v="9"/>
    <n v="14665"/>
  </r>
  <r>
    <x v="15"/>
    <x v="26"/>
    <s v="Combined Heat and Power, Electric Power"/>
    <x v="4"/>
    <n v="397802"/>
  </r>
  <r>
    <x v="15"/>
    <x v="27"/>
    <s v="Total Electric Power Industry"/>
    <x v="0"/>
    <n v="129748578"/>
  </r>
  <r>
    <x v="15"/>
    <x v="27"/>
    <s v="Total Electric Power Industry"/>
    <x v="1"/>
    <n v="78435700"/>
  </r>
  <r>
    <x v="15"/>
    <x v="27"/>
    <s v="Total Electric Power Industry"/>
    <x v="2"/>
    <n v="5396502"/>
  </r>
  <r>
    <x v="15"/>
    <x v="27"/>
    <s v="Total Electric Power Industry"/>
    <x v="3"/>
    <n v="3159377"/>
  </r>
  <r>
    <x v="15"/>
    <x v="27"/>
    <s v="Total Electric Power Industry"/>
    <x v="7"/>
    <n v="39981739"/>
  </r>
  <r>
    <x v="15"/>
    <x v="27"/>
    <s v="Total Electric Power Industry"/>
    <x v="12"/>
    <n v="302737"/>
  </r>
  <r>
    <x v="15"/>
    <x v="27"/>
    <s v="Total Electric Power Industry"/>
    <x v="8"/>
    <n v="98442"/>
  </r>
  <r>
    <x v="15"/>
    <x v="27"/>
    <s v="Total Electric Power Industry"/>
    <x v="9"/>
    <n v="0"/>
  </r>
  <r>
    <x v="15"/>
    <x v="27"/>
    <s v="Total Electric Power Industry"/>
    <x v="4"/>
    <n v="518869"/>
  </r>
  <r>
    <x v="15"/>
    <x v="27"/>
    <s v="Total Electric Power Industry"/>
    <x v="10"/>
    <n v="146505"/>
  </r>
  <r>
    <x v="15"/>
    <x v="27"/>
    <s v="Total Electric Power Industry"/>
    <x v="6"/>
    <n v="1708706"/>
  </r>
  <r>
    <x v="15"/>
    <x v="27"/>
    <s v="Electric Generators, Independent Power Producers"/>
    <x v="0"/>
    <n v="1863079"/>
  </r>
  <r>
    <x v="15"/>
    <x v="27"/>
    <s v="Electric Generators, Independent Power Producers"/>
    <x v="2"/>
    <n v="829663"/>
  </r>
  <r>
    <x v="15"/>
    <x v="27"/>
    <s v="Electric Generators, Independent Power Producers"/>
    <x v="3"/>
    <n v="568135"/>
  </r>
  <r>
    <x v="15"/>
    <x v="27"/>
    <s v="Electric Generators, Independent Power Producers"/>
    <x v="12"/>
    <n v="13073"/>
  </r>
  <r>
    <x v="15"/>
    <x v="27"/>
    <s v="Electric Generators, Independent Power Producers"/>
    <x v="8"/>
    <n v="71135"/>
  </r>
  <r>
    <x v="15"/>
    <x v="27"/>
    <s v="Electric Generators, Independent Power Producers"/>
    <x v="9"/>
    <n v="0"/>
  </r>
  <r>
    <x v="15"/>
    <x v="27"/>
    <s v="Electric Generators, Independent Power Producers"/>
    <x v="4"/>
    <n v="13552"/>
  </r>
  <r>
    <x v="15"/>
    <x v="27"/>
    <s v="Electric Generators, Independent Power Producers"/>
    <x v="6"/>
    <n v="367521"/>
  </r>
  <r>
    <x v="15"/>
    <x v="27"/>
    <s v="Electric Generators, Electric Utilities"/>
    <x v="0"/>
    <n v="121674733"/>
  </r>
  <r>
    <x v="15"/>
    <x v="27"/>
    <s v="Electric Generators, Electric Utilities"/>
    <x v="1"/>
    <n v="74915235"/>
  </r>
  <r>
    <x v="15"/>
    <x v="27"/>
    <s v="Electric Generators, Electric Utilities"/>
    <x v="2"/>
    <n v="3826791"/>
  </r>
  <r>
    <x v="15"/>
    <x v="27"/>
    <s v="Electric Generators, Electric Utilities"/>
    <x v="3"/>
    <n v="2573322"/>
  </r>
  <r>
    <x v="15"/>
    <x v="27"/>
    <s v="Electric Generators, Electric Utilities"/>
    <x v="7"/>
    <n v="39981739"/>
  </r>
  <r>
    <x v="15"/>
    <x v="27"/>
    <s v="Electric Generators, Electric Utilities"/>
    <x v="4"/>
    <n v="231141"/>
  </r>
  <r>
    <x v="15"/>
    <x v="27"/>
    <s v="Electric Generators, Electric Utilities"/>
    <x v="10"/>
    <n v="146505"/>
  </r>
  <r>
    <x v="15"/>
    <x v="27"/>
    <s v="Combined Heat and Power, Industrial Power"/>
    <x v="0"/>
    <n v="3015348"/>
  </r>
  <r>
    <x v="15"/>
    <x v="27"/>
    <s v="Combined Heat and Power, Industrial Power"/>
    <x v="1"/>
    <n v="441382"/>
  </r>
  <r>
    <x v="15"/>
    <x v="27"/>
    <s v="Combined Heat and Power, Industrial Power"/>
    <x v="2"/>
    <n v="722287"/>
  </r>
  <r>
    <x v="15"/>
    <x v="27"/>
    <s v="Combined Heat and Power, Industrial Power"/>
    <x v="3"/>
    <n v="16485"/>
  </r>
  <r>
    <x v="15"/>
    <x v="27"/>
    <s v="Combined Heat and Power, Industrial Power"/>
    <x v="12"/>
    <n v="232601"/>
  </r>
  <r>
    <x v="15"/>
    <x v="27"/>
    <s v="Combined Heat and Power, Industrial Power"/>
    <x v="8"/>
    <n v="11427"/>
  </r>
  <r>
    <x v="15"/>
    <x v="27"/>
    <s v="Combined Heat and Power, Industrial Power"/>
    <x v="4"/>
    <n v="271986"/>
  </r>
  <r>
    <x v="15"/>
    <x v="27"/>
    <s v="Combined Heat and Power, Industrial Power"/>
    <x v="6"/>
    <n v="1319180"/>
  </r>
  <r>
    <x v="15"/>
    <x v="27"/>
    <s v="Combined Heat and Power, Electric Power"/>
    <x v="0"/>
    <n v="3064175"/>
  </r>
  <r>
    <x v="15"/>
    <x v="27"/>
    <s v="Combined Heat and Power, Electric Power"/>
    <x v="1"/>
    <n v="2967278"/>
  </r>
  <r>
    <x v="15"/>
    <x v="27"/>
    <s v="Combined Heat and Power, Electric Power"/>
    <x v="12"/>
    <n v="57063"/>
  </r>
  <r>
    <x v="15"/>
    <x v="27"/>
    <s v="Combined Heat and Power, Electric Power"/>
    <x v="8"/>
    <n v="15880"/>
  </r>
  <r>
    <x v="15"/>
    <x v="27"/>
    <s v="Combined Heat and Power, Electric Power"/>
    <x v="4"/>
    <n v="1949"/>
  </r>
  <r>
    <x v="15"/>
    <x v="27"/>
    <s v="Combined Heat and Power, Electric Power"/>
    <x v="6"/>
    <n v="22005"/>
  </r>
  <r>
    <x v="15"/>
    <x v="27"/>
    <s v="Combined Heat and Power, Commercial Power"/>
    <x v="0"/>
    <n v="131243"/>
  </r>
  <r>
    <x v="15"/>
    <x v="27"/>
    <s v="Combined Heat and Power, Commercial Power"/>
    <x v="1"/>
    <n v="111805"/>
  </r>
  <r>
    <x v="15"/>
    <x v="27"/>
    <s v="Combined Heat and Power, Commercial Power"/>
    <x v="2"/>
    <n v="17761"/>
  </r>
  <r>
    <x v="15"/>
    <x v="27"/>
    <s v="Combined Heat and Power, Commercial Power"/>
    <x v="3"/>
    <n v="1435"/>
  </r>
  <r>
    <x v="15"/>
    <x v="27"/>
    <s v="Combined Heat and Power, Commercial Power"/>
    <x v="4"/>
    <n v="242"/>
  </r>
  <r>
    <x v="15"/>
    <x v="28"/>
    <s v="Total Electric Power Industry"/>
    <x v="0"/>
    <n v="31932615"/>
  </r>
  <r>
    <x v="15"/>
    <x v="28"/>
    <s v="Total Electric Power Industry"/>
    <x v="1"/>
    <n v="30258759"/>
  </r>
  <r>
    <x v="15"/>
    <x v="28"/>
    <s v="Total Electric Power Industry"/>
    <x v="2"/>
    <n v="1341824"/>
  </r>
  <r>
    <x v="15"/>
    <x v="28"/>
    <s v="Total Electric Power Industry"/>
    <x v="3"/>
    <n v="8012"/>
  </r>
  <r>
    <x v="15"/>
    <x v="28"/>
    <s v="Total Electric Power Industry"/>
    <x v="8"/>
    <n v="9989"/>
  </r>
  <r>
    <x v="15"/>
    <x v="28"/>
    <s v="Total Electric Power Industry"/>
    <x v="9"/>
    <n v="59422"/>
  </r>
  <r>
    <x v="15"/>
    <x v="28"/>
    <s v="Total Electric Power Industry"/>
    <x v="4"/>
    <n v="34265"/>
  </r>
  <r>
    <x v="15"/>
    <x v="28"/>
    <s v="Total Electric Power Industry"/>
    <x v="5"/>
    <n v="220345"/>
  </r>
  <r>
    <x v="15"/>
    <x v="28"/>
    <s v="Electric Generators, Independent Power Producers"/>
    <x v="0"/>
    <n v="215094"/>
  </r>
  <r>
    <x v="15"/>
    <x v="28"/>
    <s v="Electric Generators, Independent Power Producers"/>
    <x v="5"/>
    <n v="215094"/>
  </r>
  <r>
    <x v="15"/>
    <x v="28"/>
    <s v="Electric Generators, Electric Utilities"/>
    <x v="0"/>
    <n v="31512768"/>
  </r>
  <r>
    <x v="15"/>
    <x v="28"/>
    <s v="Electric Generators, Electric Utilities"/>
    <x v="1"/>
    <n v="30133242"/>
  </r>
  <r>
    <x v="15"/>
    <x v="28"/>
    <s v="Electric Generators, Electric Utilities"/>
    <x v="2"/>
    <n v="1341824"/>
  </r>
  <r>
    <x v="15"/>
    <x v="28"/>
    <s v="Electric Generators, Electric Utilities"/>
    <x v="3"/>
    <n v="-29"/>
  </r>
  <r>
    <x v="15"/>
    <x v="28"/>
    <s v="Electric Generators, Electric Utilities"/>
    <x v="4"/>
    <n v="32480"/>
  </r>
  <r>
    <x v="15"/>
    <x v="28"/>
    <s v="Electric Generators, Electric Utilities"/>
    <x v="5"/>
    <n v="5251"/>
  </r>
  <r>
    <x v="15"/>
    <x v="28"/>
    <s v="Combined Heat and Power, Industrial Power"/>
    <x v="0"/>
    <n v="204753"/>
  </r>
  <r>
    <x v="15"/>
    <x v="28"/>
    <s v="Combined Heat and Power, Industrial Power"/>
    <x v="1"/>
    <n v="125517"/>
  </r>
  <r>
    <x v="15"/>
    <x v="28"/>
    <s v="Combined Heat and Power, Industrial Power"/>
    <x v="3"/>
    <n v="8041"/>
  </r>
  <r>
    <x v="15"/>
    <x v="28"/>
    <s v="Combined Heat and Power, Industrial Power"/>
    <x v="8"/>
    <n v="9989"/>
  </r>
  <r>
    <x v="15"/>
    <x v="28"/>
    <s v="Combined Heat and Power, Industrial Power"/>
    <x v="9"/>
    <n v="59422"/>
  </r>
  <r>
    <x v="15"/>
    <x v="28"/>
    <s v="Combined Heat and Power, Industrial Power"/>
    <x v="4"/>
    <n v="1785"/>
  </r>
  <r>
    <x v="15"/>
    <x v="29"/>
    <s v="Total Electric Power Industry"/>
    <x v="0"/>
    <n v="31464734"/>
  </r>
  <r>
    <x v="15"/>
    <x v="29"/>
    <s v="Total Electric Power Industry"/>
    <x v="1"/>
    <n v="20818171"/>
  </r>
  <r>
    <x v="15"/>
    <x v="29"/>
    <s v="Total Electric Power Industry"/>
    <x v="2"/>
    <n v="871473"/>
  </r>
  <r>
    <x v="15"/>
    <x v="29"/>
    <s v="Total Electric Power Industry"/>
    <x v="3"/>
    <n v="802983"/>
  </r>
  <r>
    <x v="15"/>
    <x v="29"/>
    <s v="Total Electric Power Industry"/>
    <x v="7"/>
    <n v="8801841"/>
  </r>
  <r>
    <x v="15"/>
    <x v="29"/>
    <s v="Total Electric Power Industry"/>
    <x v="8"/>
    <n v="42646"/>
  </r>
  <r>
    <x v="15"/>
    <x v="29"/>
    <s v="Total Electric Power Industry"/>
    <x v="9"/>
    <n v="6"/>
  </r>
  <r>
    <x v="15"/>
    <x v="29"/>
    <s v="Total Electric Power Industry"/>
    <x v="4"/>
    <n v="31005"/>
  </r>
  <r>
    <x v="15"/>
    <x v="29"/>
    <s v="Total Electric Power Industry"/>
    <x v="5"/>
    <n v="96608"/>
  </r>
  <r>
    <x v="15"/>
    <x v="29"/>
    <s v="Electric Generators, Electric Utilities"/>
    <x v="0"/>
    <n v="31391643"/>
  </r>
  <r>
    <x v="15"/>
    <x v="29"/>
    <s v="Electric Generators, Electric Utilities"/>
    <x v="1"/>
    <n v="20772590"/>
  </r>
  <r>
    <x v="15"/>
    <x v="29"/>
    <s v="Electric Generators, Electric Utilities"/>
    <x v="2"/>
    <n v="871473"/>
  </r>
  <r>
    <x v="15"/>
    <x v="29"/>
    <s v="Electric Generators, Electric Utilities"/>
    <x v="3"/>
    <n v="794533"/>
  </r>
  <r>
    <x v="15"/>
    <x v="29"/>
    <s v="Electric Generators, Electric Utilities"/>
    <x v="7"/>
    <n v="8801841"/>
  </r>
  <r>
    <x v="15"/>
    <x v="29"/>
    <s v="Electric Generators, Electric Utilities"/>
    <x v="8"/>
    <n v="24566"/>
  </r>
  <r>
    <x v="15"/>
    <x v="29"/>
    <s v="Electric Generators, Electric Utilities"/>
    <x v="9"/>
    <n v="6"/>
  </r>
  <r>
    <x v="15"/>
    <x v="29"/>
    <s v="Electric Generators, Electric Utilities"/>
    <x v="4"/>
    <n v="30026"/>
  </r>
  <r>
    <x v="15"/>
    <x v="29"/>
    <s v="Electric Generators, Electric Utilities"/>
    <x v="5"/>
    <n v="96608"/>
  </r>
  <r>
    <x v="15"/>
    <x v="29"/>
    <s v="Combined Heat and Power, Industrial Power"/>
    <x v="0"/>
    <n v="45581"/>
  </r>
  <r>
    <x v="15"/>
    <x v="29"/>
    <s v="Combined Heat and Power, Industrial Power"/>
    <x v="1"/>
    <n v="45581"/>
  </r>
  <r>
    <x v="15"/>
    <x v="29"/>
    <s v="Combined Heat and Power, Electric Power"/>
    <x v="0"/>
    <n v="8291"/>
  </r>
  <r>
    <x v="15"/>
    <x v="29"/>
    <s v="Combined Heat and Power, Electric Power"/>
    <x v="3"/>
    <n v="842"/>
  </r>
  <r>
    <x v="15"/>
    <x v="29"/>
    <s v="Combined Heat and Power, Electric Power"/>
    <x v="8"/>
    <n v="7449"/>
  </r>
  <r>
    <x v="15"/>
    <x v="29"/>
    <s v="Combined Heat and Power, Commercial Power"/>
    <x v="0"/>
    <n v="19219"/>
  </r>
  <r>
    <x v="15"/>
    <x v="29"/>
    <s v="Combined Heat and Power, Commercial Power"/>
    <x v="3"/>
    <n v="7608"/>
  </r>
  <r>
    <x v="15"/>
    <x v="29"/>
    <s v="Combined Heat and Power, Commercial Power"/>
    <x v="8"/>
    <n v="10631"/>
  </r>
  <r>
    <x v="15"/>
    <x v="29"/>
    <s v="Combined Heat and Power, Commercial Power"/>
    <x v="4"/>
    <n v="980"/>
  </r>
  <r>
    <x v="15"/>
    <x v="30"/>
    <s v="Total Electric Power Industry"/>
    <x v="0"/>
    <n v="24470013"/>
  </r>
  <r>
    <x v="15"/>
    <x v="30"/>
    <s v="Total Electric Power Industry"/>
    <x v="1"/>
    <n v="4072987"/>
  </r>
  <r>
    <x v="15"/>
    <x v="30"/>
    <s v="Total Electric Power Industry"/>
    <x v="2"/>
    <n v="1798903"/>
  </r>
  <r>
    <x v="15"/>
    <x v="30"/>
    <s v="Total Electric Power Industry"/>
    <x v="3"/>
    <n v="6784735"/>
  </r>
  <r>
    <x v="15"/>
    <x v="30"/>
    <s v="Total Electric Power Industry"/>
    <x v="7"/>
    <n v="9455885"/>
  </r>
  <r>
    <x v="15"/>
    <x v="30"/>
    <s v="Total Electric Power Industry"/>
    <x v="12"/>
    <n v="58462"/>
  </r>
  <r>
    <x v="15"/>
    <x v="30"/>
    <s v="Total Electric Power Industry"/>
    <x v="8"/>
    <n v="156166"/>
  </r>
  <r>
    <x v="15"/>
    <x v="30"/>
    <s v="Total Electric Power Industry"/>
    <x v="9"/>
    <n v="0"/>
  </r>
  <r>
    <x v="15"/>
    <x v="30"/>
    <s v="Total Electric Power Industry"/>
    <x v="4"/>
    <n v="1357144"/>
  </r>
  <r>
    <x v="15"/>
    <x v="30"/>
    <s v="Total Electric Power Industry"/>
    <x v="6"/>
    <n v="785731"/>
  </r>
  <r>
    <x v="15"/>
    <x v="30"/>
    <s v="Electric Generators, Independent Power Producers"/>
    <x v="0"/>
    <n v="18438390"/>
  </r>
  <r>
    <x v="15"/>
    <x v="30"/>
    <s v="Electric Generators, Independent Power Producers"/>
    <x v="2"/>
    <n v="1414153"/>
  </r>
  <r>
    <x v="15"/>
    <x v="30"/>
    <s v="Electric Generators, Independent Power Producers"/>
    <x v="3"/>
    <n v="6613492"/>
  </r>
  <r>
    <x v="15"/>
    <x v="30"/>
    <s v="Electric Generators, Independent Power Producers"/>
    <x v="7"/>
    <n v="9455885"/>
  </r>
  <r>
    <x v="15"/>
    <x v="30"/>
    <s v="Electric Generators, Independent Power Producers"/>
    <x v="12"/>
    <n v="58462"/>
  </r>
  <r>
    <x v="15"/>
    <x v="30"/>
    <s v="Electric Generators, Independent Power Producers"/>
    <x v="8"/>
    <n v="156166"/>
  </r>
  <r>
    <x v="15"/>
    <x v="30"/>
    <s v="Electric Generators, Independent Power Producers"/>
    <x v="9"/>
    <n v="0"/>
  </r>
  <r>
    <x v="15"/>
    <x v="30"/>
    <s v="Electric Generators, Independent Power Producers"/>
    <x v="4"/>
    <n v="78702"/>
  </r>
  <r>
    <x v="15"/>
    <x v="30"/>
    <s v="Electric Generators, Independent Power Producers"/>
    <x v="6"/>
    <n v="661530"/>
  </r>
  <r>
    <x v="15"/>
    <x v="30"/>
    <s v="Electric Generators, Electric Utilities"/>
    <x v="0"/>
    <n v="5638000"/>
  </r>
  <r>
    <x v="15"/>
    <x v="30"/>
    <s v="Electric Generators, Electric Utilities"/>
    <x v="1"/>
    <n v="4072987"/>
  </r>
  <r>
    <x v="15"/>
    <x v="30"/>
    <s v="Electric Generators, Electric Utilities"/>
    <x v="2"/>
    <n v="376576"/>
  </r>
  <r>
    <x v="15"/>
    <x v="30"/>
    <s v="Electric Generators, Electric Utilities"/>
    <x v="3"/>
    <n v="1114"/>
  </r>
  <r>
    <x v="15"/>
    <x v="30"/>
    <s v="Electric Generators, Electric Utilities"/>
    <x v="4"/>
    <n v="1187323"/>
  </r>
  <r>
    <x v="15"/>
    <x v="30"/>
    <s v="Combined Heat and Power, Industrial Power"/>
    <x v="0"/>
    <n v="363648"/>
  </r>
  <r>
    <x v="15"/>
    <x v="30"/>
    <s v="Combined Heat and Power, Industrial Power"/>
    <x v="2"/>
    <n v="8174"/>
  </r>
  <r>
    <x v="15"/>
    <x v="30"/>
    <s v="Combined Heat and Power, Industrial Power"/>
    <x v="3"/>
    <n v="170129"/>
  </r>
  <r>
    <x v="15"/>
    <x v="30"/>
    <s v="Combined Heat and Power, Industrial Power"/>
    <x v="4"/>
    <n v="61144"/>
  </r>
  <r>
    <x v="15"/>
    <x v="30"/>
    <s v="Combined Heat and Power, Industrial Power"/>
    <x v="6"/>
    <n v="124201"/>
  </r>
  <r>
    <x v="15"/>
    <x v="30"/>
    <s v="Combined Heat and Power, Commercial Power"/>
    <x v="0"/>
    <n v="29975"/>
  </r>
  <r>
    <x v="15"/>
    <x v="30"/>
    <s v="Combined Heat and Power, Commercial Power"/>
    <x v="4"/>
    <n v="29975"/>
  </r>
  <r>
    <x v="15"/>
    <x v="31"/>
    <s v="Total Electric Power Industry"/>
    <x v="0"/>
    <n v="60549583"/>
  </r>
  <r>
    <x v="15"/>
    <x v="31"/>
    <s v="Total Electric Power Industry"/>
    <x v="1"/>
    <n v="11625419"/>
  </r>
  <r>
    <x v="15"/>
    <x v="31"/>
    <s v="Total Electric Power Industry"/>
    <x v="2"/>
    <n v="31113"/>
  </r>
  <r>
    <x v="15"/>
    <x v="31"/>
    <s v="Total Electric Power Industry"/>
    <x v="3"/>
    <n v="15366165"/>
  </r>
  <r>
    <x v="15"/>
    <x v="31"/>
    <s v="Total Electric Power Industry"/>
    <x v="7"/>
    <n v="31391685"/>
  </r>
  <r>
    <x v="15"/>
    <x v="31"/>
    <s v="Total Electric Power Industry"/>
    <x v="12"/>
    <n v="537609"/>
  </r>
  <r>
    <x v="15"/>
    <x v="31"/>
    <s v="Total Electric Power Industry"/>
    <x v="8"/>
    <n v="874905"/>
  </r>
  <r>
    <x v="15"/>
    <x v="31"/>
    <s v="Total Electric Power Industry"/>
    <x v="9"/>
    <n v="64932"/>
  </r>
  <r>
    <x v="15"/>
    <x v="31"/>
    <s v="Total Electric Power Industry"/>
    <x v="4"/>
    <n v="940463"/>
  </r>
  <r>
    <x v="15"/>
    <x v="31"/>
    <s v="Total Electric Power Industry"/>
    <x v="10"/>
    <n v="-282707"/>
  </r>
  <r>
    <x v="15"/>
    <x v="31"/>
    <s v="Electric Generators, Independent Power Producers"/>
    <x v="0"/>
    <n v="46808569"/>
  </r>
  <r>
    <x v="15"/>
    <x v="31"/>
    <s v="Electric Generators, Independent Power Producers"/>
    <x v="1"/>
    <n v="6769391"/>
  </r>
  <r>
    <x v="15"/>
    <x v="31"/>
    <s v="Electric Generators, Independent Power Producers"/>
    <x v="2"/>
    <n v="29392"/>
  </r>
  <r>
    <x v="15"/>
    <x v="31"/>
    <s v="Electric Generators, Independent Power Producers"/>
    <x v="3"/>
    <n v="6707617"/>
  </r>
  <r>
    <x v="15"/>
    <x v="31"/>
    <s v="Electric Generators, Independent Power Producers"/>
    <x v="7"/>
    <n v="31391685"/>
  </r>
  <r>
    <x v="15"/>
    <x v="31"/>
    <s v="Electric Generators, Independent Power Producers"/>
    <x v="12"/>
    <n v="479604"/>
  </r>
  <r>
    <x v="15"/>
    <x v="31"/>
    <s v="Electric Generators, Independent Power Producers"/>
    <x v="8"/>
    <n v="872481"/>
  </r>
  <r>
    <x v="15"/>
    <x v="31"/>
    <s v="Electric Generators, Independent Power Producers"/>
    <x v="9"/>
    <n v="0"/>
  </r>
  <r>
    <x v="15"/>
    <x v="31"/>
    <s v="Electric Generators, Independent Power Producers"/>
    <x v="4"/>
    <n v="558399"/>
  </r>
  <r>
    <x v="15"/>
    <x v="31"/>
    <s v="Electric Generators, Electric Utilities"/>
    <x v="0"/>
    <n v="1248594"/>
  </r>
  <r>
    <x v="15"/>
    <x v="31"/>
    <s v="Electric Generators, Electric Utilities"/>
    <x v="1"/>
    <n v="1376852"/>
  </r>
  <r>
    <x v="15"/>
    <x v="31"/>
    <s v="Electric Generators, Electric Utilities"/>
    <x v="3"/>
    <n v="32351"/>
  </r>
  <r>
    <x v="15"/>
    <x v="31"/>
    <s v="Electric Generators, Electric Utilities"/>
    <x v="4"/>
    <n v="122098"/>
  </r>
  <r>
    <x v="15"/>
    <x v="31"/>
    <s v="Electric Generators, Electric Utilities"/>
    <x v="10"/>
    <n v="-282707"/>
  </r>
  <r>
    <x v="15"/>
    <x v="31"/>
    <s v="Combined Heat and Power, Industrial Power"/>
    <x v="0"/>
    <n v="1057484"/>
  </r>
  <r>
    <x v="15"/>
    <x v="31"/>
    <s v="Combined Heat and Power, Industrial Power"/>
    <x v="2"/>
    <n v="1721"/>
  </r>
  <r>
    <x v="15"/>
    <x v="31"/>
    <s v="Combined Heat and Power, Industrial Power"/>
    <x v="3"/>
    <n v="877044"/>
  </r>
  <r>
    <x v="15"/>
    <x v="31"/>
    <s v="Combined Heat and Power, Industrial Power"/>
    <x v="12"/>
    <n v="58005"/>
  </r>
  <r>
    <x v="15"/>
    <x v="31"/>
    <s v="Combined Heat and Power, Industrial Power"/>
    <x v="8"/>
    <n v="2005"/>
  </r>
  <r>
    <x v="15"/>
    <x v="31"/>
    <s v="Combined Heat and Power, Industrial Power"/>
    <x v="9"/>
    <n v="64901"/>
  </r>
  <r>
    <x v="15"/>
    <x v="31"/>
    <s v="Combined Heat and Power, Industrial Power"/>
    <x v="4"/>
    <n v="53808"/>
  </r>
  <r>
    <x v="15"/>
    <x v="31"/>
    <s v="Combined Heat and Power, Electric Power"/>
    <x v="0"/>
    <n v="11364634"/>
  </r>
  <r>
    <x v="15"/>
    <x v="31"/>
    <s v="Combined Heat and Power, Electric Power"/>
    <x v="1"/>
    <n v="3479176"/>
  </r>
  <r>
    <x v="15"/>
    <x v="31"/>
    <s v="Combined Heat and Power, Electric Power"/>
    <x v="3"/>
    <n v="7682243"/>
  </r>
  <r>
    <x v="15"/>
    <x v="31"/>
    <s v="Combined Heat and Power, Electric Power"/>
    <x v="9"/>
    <n v="31"/>
  </r>
  <r>
    <x v="15"/>
    <x v="31"/>
    <s v="Combined Heat and Power, Electric Power"/>
    <x v="4"/>
    <n v="203185"/>
  </r>
  <r>
    <x v="15"/>
    <x v="31"/>
    <s v="Combined Heat and Power, Commercial Power"/>
    <x v="0"/>
    <n v="70301"/>
  </r>
  <r>
    <x v="15"/>
    <x v="31"/>
    <s v="Combined Heat and Power, Commercial Power"/>
    <x v="3"/>
    <n v="66910"/>
  </r>
  <r>
    <x v="15"/>
    <x v="31"/>
    <s v="Combined Heat and Power, Commercial Power"/>
    <x v="8"/>
    <n v="420"/>
  </r>
  <r>
    <x v="15"/>
    <x v="31"/>
    <s v="Combined Heat and Power, Commercial Power"/>
    <x v="4"/>
    <n v="2972"/>
  </r>
  <r>
    <x v="15"/>
    <x v="32"/>
    <s v="Total Electric Power Industry"/>
    <x v="0"/>
    <n v="35135642"/>
  </r>
  <r>
    <x v="15"/>
    <x v="32"/>
    <s v="Total Electric Power Industry"/>
    <x v="1"/>
    <n v="29947248"/>
  </r>
  <r>
    <x v="15"/>
    <x v="32"/>
    <s v="Total Electric Power Industry"/>
    <x v="2"/>
    <n v="164993"/>
  </r>
  <r>
    <x v="15"/>
    <x v="32"/>
    <s v="Total Electric Power Industry"/>
    <x v="3"/>
    <n v="4187215"/>
  </r>
  <r>
    <x v="15"/>
    <x v="32"/>
    <s v="Total Electric Power Industry"/>
    <x v="8"/>
    <n v="4647"/>
  </r>
  <r>
    <x v="15"/>
    <x v="32"/>
    <s v="Total Electric Power Industry"/>
    <x v="4"/>
    <n v="36909"/>
  </r>
  <r>
    <x v="15"/>
    <x v="32"/>
    <s v="Total Electric Power Industry"/>
    <x v="5"/>
    <n v="794630"/>
  </r>
  <r>
    <x v="15"/>
    <x v="32"/>
    <s v="Electric Generators, Independent Power Producers"/>
    <x v="0"/>
    <n v="804923"/>
  </r>
  <r>
    <x v="15"/>
    <x v="32"/>
    <s v="Electric Generators, Independent Power Producers"/>
    <x v="3"/>
    <n v="6508"/>
  </r>
  <r>
    <x v="15"/>
    <x v="32"/>
    <s v="Electric Generators, Independent Power Producers"/>
    <x v="4"/>
    <n v="3785"/>
  </r>
  <r>
    <x v="15"/>
    <x v="32"/>
    <s v="Electric Generators, Independent Power Producers"/>
    <x v="5"/>
    <n v="794630"/>
  </r>
  <r>
    <x v="15"/>
    <x v="32"/>
    <s v="Electric Generators, Electric Utilities"/>
    <x v="0"/>
    <n v="33561875"/>
  </r>
  <r>
    <x v="15"/>
    <x v="32"/>
    <s v="Electric Generators, Electric Utilities"/>
    <x v="1"/>
    <n v="29947248"/>
  </r>
  <r>
    <x v="15"/>
    <x v="32"/>
    <s v="Electric Generators, Electric Utilities"/>
    <x v="2"/>
    <n v="164993"/>
  </r>
  <r>
    <x v="15"/>
    <x v="32"/>
    <s v="Electric Generators, Electric Utilities"/>
    <x v="3"/>
    <n v="3417106"/>
  </r>
  <r>
    <x v="15"/>
    <x v="32"/>
    <s v="Electric Generators, Electric Utilities"/>
    <x v="4"/>
    <n v="32528"/>
  </r>
  <r>
    <x v="15"/>
    <x v="32"/>
    <s v="Combined Heat and Power, Industrial Power"/>
    <x v="0"/>
    <n v="238697"/>
  </r>
  <r>
    <x v="15"/>
    <x v="32"/>
    <s v="Combined Heat and Power, Industrial Power"/>
    <x v="3"/>
    <n v="238101"/>
  </r>
  <r>
    <x v="15"/>
    <x v="32"/>
    <s v="Combined Heat and Power, Industrial Power"/>
    <x v="4"/>
    <n v="596"/>
  </r>
  <r>
    <x v="15"/>
    <x v="32"/>
    <s v="Combined Heat and Power, Electric Power"/>
    <x v="0"/>
    <n v="478727"/>
  </r>
  <r>
    <x v="15"/>
    <x v="32"/>
    <s v="Combined Heat and Power, Electric Power"/>
    <x v="3"/>
    <n v="474080"/>
  </r>
  <r>
    <x v="15"/>
    <x v="32"/>
    <s v="Combined Heat and Power, Electric Power"/>
    <x v="8"/>
    <n v="4647"/>
  </r>
  <r>
    <x v="15"/>
    <x v="32"/>
    <s v="Combined Heat and Power, Commercial Power"/>
    <x v="0"/>
    <n v="51420"/>
  </r>
  <r>
    <x v="15"/>
    <x v="32"/>
    <s v="Combined Heat and Power, Commercial Power"/>
    <x v="3"/>
    <n v="51420"/>
  </r>
  <r>
    <x v="15"/>
    <x v="33"/>
    <s v="Total Electric Power Industry"/>
    <x v="0"/>
    <n v="40213752"/>
  </r>
  <r>
    <x v="15"/>
    <x v="33"/>
    <s v="Total Electric Power Industry"/>
    <x v="1"/>
    <n v="18384261"/>
  </r>
  <r>
    <x v="15"/>
    <x v="33"/>
    <s v="Total Electric Power Industry"/>
    <x v="11"/>
    <n v="1262707"/>
  </r>
  <r>
    <x v="15"/>
    <x v="33"/>
    <s v="Total Electric Power Industry"/>
    <x v="2"/>
    <n v="1702380"/>
  </r>
  <r>
    <x v="15"/>
    <x v="33"/>
    <s v="Total Electric Power Industry"/>
    <x v="3"/>
    <n v="18835623"/>
  </r>
  <r>
    <x v="15"/>
    <x v="33"/>
    <s v="Total Electric Power Industry"/>
    <x v="9"/>
    <n v="8281"/>
  </r>
  <r>
    <x v="15"/>
    <x v="33"/>
    <s v="Total Electric Power Industry"/>
    <x v="4"/>
    <n v="20500"/>
  </r>
  <r>
    <x v="15"/>
    <x v="33"/>
    <s v="Electric Generators, Independent Power Producers"/>
    <x v="0"/>
    <n v="13955332"/>
  </r>
  <r>
    <x v="15"/>
    <x v="33"/>
    <s v="Electric Generators, Independent Power Producers"/>
    <x v="11"/>
    <n v="1262707"/>
  </r>
  <r>
    <x v="15"/>
    <x v="33"/>
    <s v="Electric Generators, Independent Power Producers"/>
    <x v="3"/>
    <n v="12692625"/>
  </r>
  <r>
    <x v="15"/>
    <x v="33"/>
    <s v="Electric Generators, Independent Power Producers"/>
    <x v="4"/>
    <n v="0"/>
  </r>
  <r>
    <x v="15"/>
    <x v="33"/>
    <s v="Electric Generators, Electric Utilities"/>
    <x v="0"/>
    <n v="24112225"/>
  </r>
  <r>
    <x v="15"/>
    <x v="33"/>
    <s v="Electric Generators, Electric Utilities"/>
    <x v="1"/>
    <n v="18384261"/>
  </r>
  <r>
    <x v="15"/>
    <x v="33"/>
    <s v="Electric Generators, Electric Utilities"/>
    <x v="2"/>
    <n v="1702380"/>
  </r>
  <r>
    <x v="15"/>
    <x v="33"/>
    <s v="Electric Generators, Electric Utilities"/>
    <x v="3"/>
    <n v="4005084"/>
  </r>
  <r>
    <x v="15"/>
    <x v="33"/>
    <s v="Electric Generators, Electric Utilities"/>
    <x v="9"/>
    <n v="0"/>
  </r>
  <r>
    <x v="15"/>
    <x v="33"/>
    <s v="Electric Generators, Electric Utilities"/>
    <x v="4"/>
    <n v="20500"/>
  </r>
  <r>
    <x v="15"/>
    <x v="33"/>
    <s v="Combined Heat and Power, Electric Power"/>
    <x v="0"/>
    <n v="2146195"/>
  </r>
  <r>
    <x v="15"/>
    <x v="33"/>
    <s v="Combined Heat and Power, Electric Power"/>
    <x v="3"/>
    <n v="2137914"/>
  </r>
  <r>
    <x v="15"/>
    <x v="33"/>
    <s v="Combined Heat and Power, Electric Power"/>
    <x v="9"/>
    <n v="8281"/>
  </r>
  <r>
    <x v="15"/>
    <x v="33"/>
    <s v="Combined Heat and Power, Electric Power"/>
    <x v="4"/>
    <n v="0"/>
  </r>
  <r>
    <x v="15"/>
    <x v="34"/>
    <s v="Total Electric Power Industry"/>
    <x v="0"/>
    <n v="146887419"/>
  </r>
  <r>
    <x v="15"/>
    <x v="34"/>
    <s v="Total Electric Power Industry"/>
    <x v="1"/>
    <n v="20597640"/>
  </r>
  <r>
    <x v="15"/>
    <x v="34"/>
    <s v="Total Electric Power Industry"/>
    <x v="2"/>
    <n v="25782518"/>
  </r>
  <r>
    <x v="15"/>
    <x v="34"/>
    <s v="Total Electric Power Industry"/>
    <x v="3"/>
    <n v="31872701"/>
  </r>
  <r>
    <x v="15"/>
    <x v="34"/>
    <s v="Total Electric Power Industry"/>
    <x v="7"/>
    <n v="42443152"/>
  </r>
  <r>
    <x v="15"/>
    <x v="34"/>
    <s v="Total Electric Power Industry"/>
    <x v="12"/>
    <n v="970907"/>
  </r>
  <r>
    <x v="15"/>
    <x v="34"/>
    <s v="Total Electric Power Industry"/>
    <x v="8"/>
    <n v="1357738"/>
  </r>
  <r>
    <x v="15"/>
    <x v="34"/>
    <s v="Total Electric Power Industry"/>
    <x v="4"/>
    <n v="24012783"/>
  </r>
  <r>
    <x v="15"/>
    <x v="34"/>
    <s v="Total Electric Power Industry"/>
    <x v="10"/>
    <n v="-780731"/>
  </r>
  <r>
    <x v="15"/>
    <x v="34"/>
    <s v="Total Electric Power Industry"/>
    <x v="5"/>
    <n v="102990"/>
  </r>
  <r>
    <x v="15"/>
    <x v="34"/>
    <s v="Total Electric Power Industry"/>
    <x v="6"/>
    <n v="527721"/>
  </r>
  <r>
    <x v="15"/>
    <x v="34"/>
    <s v="Electric Generators, Independent Power Producers"/>
    <x v="0"/>
    <n v="90252213"/>
  </r>
  <r>
    <x v="15"/>
    <x v="34"/>
    <s v="Electric Generators, Independent Power Producers"/>
    <x v="1"/>
    <n v="17807896"/>
  </r>
  <r>
    <x v="15"/>
    <x v="34"/>
    <s v="Electric Generators, Independent Power Producers"/>
    <x v="2"/>
    <n v="3967129"/>
  </r>
  <r>
    <x v="15"/>
    <x v="34"/>
    <s v="Electric Generators, Independent Power Producers"/>
    <x v="3"/>
    <n v="10170006"/>
  </r>
  <r>
    <x v="15"/>
    <x v="34"/>
    <s v="Electric Generators, Independent Power Producers"/>
    <x v="7"/>
    <n v="42443152"/>
  </r>
  <r>
    <x v="15"/>
    <x v="34"/>
    <s v="Electric Generators, Independent Power Producers"/>
    <x v="12"/>
    <n v="754827"/>
  </r>
  <r>
    <x v="15"/>
    <x v="34"/>
    <s v="Electric Generators, Independent Power Producers"/>
    <x v="8"/>
    <n v="1068924"/>
  </r>
  <r>
    <x v="15"/>
    <x v="34"/>
    <s v="Electric Generators, Independent Power Producers"/>
    <x v="4"/>
    <n v="13800734"/>
  </r>
  <r>
    <x v="15"/>
    <x v="34"/>
    <s v="Electric Generators, Independent Power Producers"/>
    <x v="5"/>
    <n v="102990"/>
  </r>
  <r>
    <x v="15"/>
    <x v="34"/>
    <s v="Electric Generators, Independent Power Producers"/>
    <x v="6"/>
    <n v="136555"/>
  </r>
  <r>
    <x v="15"/>
    <x v="34"/>
    <s v="Electric Generators, Electric Utilities"/>
    <x v="0"/>
    <n v="39962653"/>
  </r>
  <r>
    <x v="15"/>
    <x v="34"/>
    <s v="Electric Generators, Electric Utilities"/>
    <x v="1"/>
    <n v="1108151"/>
  </r>
  <r>
    <x v="15"/>
    <x v="34"/>
    <s v="Electric Generators, Electric Utilities"/>
    <x v="2"/>
    <n v="21752786"/>
  </r>
  <r>
    <x v="15"/>
    <x v="34"/>
    <s v="Electric Generators, Electric Utilities"/>
    <x v="3"/>
    <n v="8113145"/>
  </r>
  <r>
    <x v="15"/>
    <x v="34"/>
    <s v="Electric Generators, Electric Utilities"/>
    <x v="4"/>
    <n v="9769302"/>
  </r>
  <r>
    <x v="15"/>
    <x v="34"/>
    <s v="Electric Generators, Electric Utilities"/>
    <x v="10"/>
    <n v="-780731"/>
  </r>
  <r>
    <x v="15"/>
    <x v="34"/>
    <s v="Combined Heat and Power, Industrial Power"/>
    <x v="0"/>
    <n v="1525111"/>
  </r>
  <r>
    <x v="15"/>
    <x v="34"/>
    <s v="Combined Heat and Power, Industrial Power"/>
    <x v="1"/>
    <n v="734789"/>
  </r>
  <r>
    <x v="15"/>
    <x v="34"/>
    <s v="Combined Heat and Power, Industrial Power"/>
    <x v="2"/>
    <n v="59430"/>
  </r>
  <r>
    <x v="15"/>
    <x v="34"/>
    <s v="Combined Heat and Power, Industrial Power"/>
    <x v="3"/>
    <n v="278549"/>
  </r>
  <r>
    <x v="15"/>
    <x v="34"/>
    <s v="Combined Heat and Power, Industrial Power"/>
    <x v="4"/>
    <n v="211022"/>
  </r>
  <r>
    <x v="15"/>
    <x v="34"/>
    <s v="Combined Heat and Power, Industrial Power"/>
    <x v="6"/>
    <n v="241321"/>
  </r>
  <r>
    <x v="15"/>
    <x v="34"/>
    <s v="Combined Heat and Power, Electric Power"/>
    <x v="0"/>
    <n v="14475137"/>
  </r>
  <r>
    <x v="15"/>
    <x v="34"/>
    <s v="Combined Heat and Power, Electric Power"/>
    <x v="1"/>
    <n v="923312"/>
  </r>
  <r>
    <x v="15"/>
    <x v="34"/>
    <s v="Combined Heat and Power, Electric Power"/>
    <x v="3"/>
    <n v="13011081"/>
  </r>
  <r>
    <x v="15"/>
    <x v="34"/>
    <s v="Combined Heat and Power, Electric Power"/>
    <x v="12"/>
    <n v="113319"/>
  </r>
  <r>
    <x v="15"/>
    <x v="34"/>
    <s v="Combined Heat and Power, Electric Power"/>
    <x v="8"/>
    <n v="158028"/>
  </r>
  <r>
    <x v="15"/>
    <x v="34"/>
    <s v="Combined Heat and Power, Electric Power"/>
    <x v="4"/>
    <n v="119552"/>
  </r>
  <r>
    <x v="15"/>
    <x v="34"/>
    <s v="Combined Heat and Power, Electric Power"/>
    <x v="6"/>
    <n v="149846"/>
  </r>
  <r>
    <x v="15"/>
    <x v="34"/>
    <s v="Combined Heat and Power, Commercial Power"/>
    <x v="0"/>
    <n v="672305"/>
  </r>
  <r>
    <x v="15"/>
    <x v="34"/>
    <s v="Combined Heat and Power, Commercial Power"/>
    <x v="1"/>
    <n v="23492"/>
  </r>
  <r>
    <x v="15"/>
    <x v="34"/>
    <s v="Combined Heat and Power, Commercial Power"/>
    <x v="2"/>
    <n v="3173"/>
  </r>
  <r>
    <x v="15"/>
    <x v="34"/>
    <s v="Combined Heat and Power, Commercial Power"/>
    <x v="3"/>
    <n v="299920"/>
  </r>
  <r>
    <x v="15"/>
    <x v="34"/>
    <s v="Combined Heat and Power, Commercial Power"/>
    <x v="12"/>
    <n v="102761"/>
  </r>
  <r>
    <x v="15"/>
    <x v="34"/>
    <s v="Combined Heat and Power, Commercial Power"/>
    <x v="8"/>
    <n v="130786"/>
  </r>
  <r>
    <x v="15"/>
    <x v="34"/>
    <s v="Combined Heat and Power, Commercial Power"/>
    <x v="4"/>
    <n v="112173"/>
  </r>
  <r>
    <x v="15"/>
    <x v="35"/>
    <s v="Total Electric Power Industry"/>
    <x v="0"/>
    <n v="156976323"/>
  </r>
  <r>
    <x v="15"/>
    <x v="35"/>
    <s v="Total Electric Power Industry"/>
    <x v="1"/>
    <n v="136825598"/>
  </r>
  <r>
    <x v="15"/>
    <x v="35"/>
    <s v="Total Electric Power Industry"/>
    <x v="2"/>
    <n v="515744"/>
  </r>
  <r>
    <x v="15"/>
    <x v="35"/>
    <s v="Total Electric Power Industry"/>
    <x v="3"/>
    <n v="2695628"/>
  </r>
  <r>
    <x v="15"/>
    <x v="35"/>
    <s v="Total Electric Power Industry"/>
    <x v="7"/>
    <n v="14802733"/>
  </r>
  <r>
    <x v="15"/>
    <x v="35"/>
    <s v="Total Electric Power Industry"/>
    <x v="12"/>
    <n v="2299"/>
  </r>
  <r>
    <x v="15"/>
    <x v="35"/>
    <s v="Total Electric Power Industry"/>
    <x v="8"/>
    <n v="26761"/>
  </r>
  <r>
    <x v="15"/>
    <x v="35"/>
    <s v="Total Electric Power Industry"/>
    <x v="9"/>
    <n v="298339"/>
  </r>
  <r>
    <x v="15"/>
    <x v="35"/>
    <s v="Total Electric Power Industry"/>
    <x v="4"/>
    <n v="1390393"/>
  </r>
  <r>
    <x v="15"/>
    <x v="35"/>
    <s v="Total Electric Power Industry"/>
    <x v="5"/>
    <n v="13268"/>
  </r>
  <r>
    <x v="15"/>
    <x v="35"/>
    <s v="Total Electric Power Industry"/>
    <x v="6"/>
    <n v="405560"/>
  </r>
  <r>
    <x v="15"/>
    <x v="35"/>
    <s v="Electric Generators, Independent Power Producers"/>
    <x v="0"/>
    <n v="52817248"/>
  </r>
  <r>
    <x v="15"/>
    <x v="35"/>
    <s v="Electric Generators, Independent Power Producers"/>
    <x v="1"/>
    <n v="35032276"/>
  </r>
  <r>
    <x v="15"/>
    <x v="35"/>
    <s v="Electric Generators, Independent Power Producers"/>
    <x v="3"/>
    <n v="1831075"/>
  </r>
  <r>
    <x v="15"/>
    <x v="35"/>
    <s v="Electric Generators, Independent Power Producers"/>
    <x v="7"/>
    <n v="14802733"/>
  </r>
  <r>
    <x v="15"/>
    <x v="35"/>
    <s v="Electric Generators, Independent Power Producers"/>
    <x v="8"/>
    <n v="22526"/>
  </r>
  <r>
    <x v="15"/>
    <x v="35"/>
    <s v="Electric Generators, Independent Power Producers"/>
    <x v="4"/>
    <n v="1128638"/>
  </r>
  <r>
    <x v="15"/>
    <x v="35"/>
    <s v="Electric Generators, Electric Utilities"/>
    <x v="0"/>
    <n v="102750838"/>
  </r>
  <r>
    <x v="15"/>
    <x v="35"/>
    <s v="Electric Generators, Electric Utilities"/>
    <x v="1"/>
    <n v="101302047"/>
  </r>
  <r>
    <x v="15"/>
    <x v="35"/>
    <s v="Electric Generators, Electric Utilities"/>
    <x v="2"/>
    <n v="515744"/>
  </r>
  <r>
    <x v="15"/>
    <x v="35"/>
    <s v="Electric Generators, Electric Utilities"/>
    <x v="3"/>
    <n v="665873"/>
  </r>
  <r>
    <x v="15"/>
    <x v="35"/>
    <s v="Electric Generators, Electric Utilities"/>
    <x v="4"/>
    <n v="253906"/>
  </r>
  <r>
    <x v="15"/>
    <x v="35"/>
    <s v="Electric Generators, Electric Utilities"/>
    <x v="5"/>
    <n v="13268"/>
  </r>
  <r>
    <x v="15"/>
    <x v="35"/>
    <s v="Electric Generators, Electric Utilities"/>
    <x v="6"/>
    <n v="0"/>
  </r>
  <r>
    <x v="15"/>
    <x v="35"/>
    <s v="Combined Heat and Power, Industrial Power"/>
    <x v="0"/>
    <n v="1080335"/>
  </r>
  <r>
    <x v="15"/>
    <x v="35"/>
    <s v="Combined Heat and Power, Industrial Power"/>
    <x v="1"/>
    <n v="491171"/>
  </r>
  <r>
    <x v="15"/>
    <x v="35"/>
    <s v="Combined Heat and Power, Industrial Power"/>
    <x v="3"/>
    <n v="32624"/>
  </r>
  <r>
    <x v="15"/>
    <x v="35"/>
    <s v="Combined Heat and Power, Industrial Power"/>
    <x v="12"/>
    <n v="2293"/>
  </r>
  <r>
    <x v="15"/>
    <x v="35"/>
    <s v="Combined Heat and Power, Industrial Power"/>
    <x v="8"/>
    <n v="4235"/>
  </r>
  <r>
    <x v="15"/>
    <x v="35"/>
    <s v="Combined Heat and Power, Industrial Power"/>
    <x v="9"/>
    <n v="180916"/>
  </r>
  <r>
    <x v="15"/>
    <x v="35"/>
    <s v="Combined Heat and Power, Industrial Power"/>
    <x v="4"/>
    <n v="7849"/>
  </r>
  <r>
    <x v="15"/>
    <x v="35"/>
    <s v="Combined Heat and Power, Industrial Power"/>
    <x v="6"/>
    <n v="361248"/>
  </r>
  <r>
    <x v="15"/>
    <x v="35"/>
    <s v="Combined Heat and Power, Electric Power"/>
    <x v="0"/>
    <n v="327753"/>
  </r>
  <r>
    <x v="15"/>
    <x v="35"/>
    <s v="Combined Heat and Power, Electric Power"/>
    <x v="3"/>
    <n v="166056"/>
  </r>
  <r>
    <x v="15"/>
    <x v="35"/>
    <s v="Combined Heat and Power, Electric Power"/>
    <x v="9"/>
    <n v="117424"/>
  </r>
  <r>
    <x v="15"/>
    <x v="35"/>
    <s v="Combined Heat and Power, Electric Power"/>
    <x v="6"/>
    <n v="44273"/>
  </r>
  <r>
    <x v="15"/>
    <x v="35"/>
    <s v="Combined Heat and Power, Commercial Power"/>
    <x v="0"/>
    <n v="149"/>
  </r>
  <r>
    <x v="15"/>
    <x v="35"/>
    <s v="Combined Heat and Power, Commercial Power"/>
    <x v="1"/>
    <n v="104"/>
  </r>
  <r>
    <x v="15"/>
    <x v="35"/>
    <s v="Combined Heat and Power, Commercial Power"/>
    <x v="3"/>
    <n v="0"/>
  </r>
  <r>
    <x v="15"/>
    <x v="35"/>
    <s v="Combined Heat and Power, Commercial Power"/>
    <x v="12"/>
    <n v="6"/>
  </r>
  <r>
    <x v="15"/>
    <x v="35"/>
    <s v="Combined Heat and Power, Commercial Power"/>
    <x v="4"/>
    <n v="0"/>
  </r>
  <r>
    <x v="15"/>
    <x v="35"/>
    <s v="Combined Heat and Power, Commercial Power"/>
    <x v="6"/>
    <n v="39"/>
  </r>
  <r>
    <x v="15"/>
    <x v="36"/>
    <s v="Total Electric Power Industry"/>
    <x v="0"/>
    <n v="68607827"/>
  </r>
  <r>
    <x v="15"/>
    <x v="36"/>
    <s v="Total Electric Power Industry"/>
    <x v="1"/>
    <n v="36308556"/>
  </r>
  <r>
    <x v="15"/>
    <x v="36"/>
    <s v="Total Electric Power Industry"/>
    <x v="2"/>
    <n v="2630361"/>
  </r>
  <r>
    <x v="15"/>
    <x v="36"/>
    <s v="Total Electric Power Industry"/>
    <x v="3"/>
    <n v="28590220"/>
  </r>
  <r>
    <x v="15"/>
    <x v="36"/>
    <s v="Total Electric Power Industry"/>
    <x v="12"/>
    <n v="6314"/>
  </r>
  <r>
    <x v="15"/>
    <x v="36"/>
    <s v="Total Electric Power Industry"/>
    <x v="8"/>
    <n v="0"/>
  </r>
  <r>
    <x v="15"/>
    <x v="36"/>
    <s v="Total Electric Power Industry"/>
    <x v="9"/>
    <n v="18838"/>
  </r>
  <r>
    <x v="15"/>
    <x v="36"/>
    <s v="Total Electric Power Industry"/>
    <x v="4"/>
    <n v="70342"/>
  </r>
  <r>
    <x v="15"/>
    <x v="36"/>
    <s v="Total Electric Power Industry"/>
    <x v="10"/>
    <n v="-153825"/>
  </r>
  <r>
    <x v="15"/>
    <x v="36"/>
    <s v="Total Electric Power Industry"/>
    <x v="5"/>
    <n v="847773"/>
  </r>
  <r>
    <x v="15"/>
    <x v="36"/>
    <s v="Total Electric Power Industry"/>
    <x v="6"/>
    <n v="289248"/>
  </r>
  <r>
    <x v="15"/>
    <x v="36"/>
    <s v="Electric Generators, Independent Power Producers"/>
    <x v="0"/>
    <n v="10281538"/>
  </r>
  <r>
    <x v="15"/>
    <x v="36"/>
    <s v="Electric Generators, Independent Power Producers"/>
    <x v="3"/>
    <n v="9433765"/>
  </r>
  <r>
    <x v="15"/>
    <x v="36"/>
    <s v="Electric Generators, Independent Power Producers"/>
    <x v="5"/>
    <n v="847773"/>
  </r>
  <r>
    <x v="15"/>
    <x v="36"/>
    <s v="Electric Generators, Electric Utilities"/>
    <x v="0"/>
    <n v="54250814"/>
  </r>
  <r>
    <x v="15"/>
    <x v="36"/>
    <s v="Electric Generators, Electric Utilities"/>
    <x v="1"/>
    <n v="33604628"/>
  </r>
  <r>
    <x v="15"/>
    <x v="36"/>
    <s v="Electric Generators, Electric Utilities"/>
    <x v="2"/>
    <n v="2630361"/>
  </r>
  <r>
    <x v="15"/>
    <x v="36"/>
    <s v="Electric Generators, Electric Utilities"/>
    <x v="3"/>
    <n v="18156469"/>
  </r>
  <r>
    <x v="15"/>
    <x v="36"/>
    <s v="Electric Generators, Electric Utilities"/>
    <x v="9"/>
    <n v="0"/>
  </r>
  <r>
    <x v="15"/>
    <x v="36"/>
    <s v="Electric Generators, Electric Utilities"/>
    <x v="4"/>
    <n v="13181"/>
  </r>
  <r>
    <x v="15"/>
    <x v="36"/>
    <s v="Electric Generators, Electric Utilities"/>
    <x v="10"/>
    <n v="-153825"/>
  </r>
  <r>
    <x v="15"/>
    <x v="36"/>
    <s v="Combined Heat and Power, Industrial Power"/>
    <x v="0"/>
    <n v="1234353"/>
  </r>
  <r>
    <x v="15"/>
    <x v="36"/>
    <s v="Combined Heat and Power, Industrial Power"/>
    <x v="1"/>
    <n v="414177"/>
  </r>
  <r>
    <x v="15"/>
    <x v="36"/>
    <s v="Combined Heat and Power, Industrial Power"/>
    <x v="3"/>
    <n v="449041"/>
  </r>
  <r>
    <x v="15"/>
    <x v="36"/>
    <s v="Combined Heat and Power, Industrial Power"/>
    <x v="12"/>
    <n v="6314"/>
  </r>
  <r>
    <x v="15"/>
    <x v="36"/>
    <s v="Combined Heat and Power, Industrial Power"/>
    <x v="8"/>
    <n v="0"/>
  </r>
  <r>
    <x v="15"/>
    <x v="36"/>
    <s v="Combined Heat and Power, Industrial Power"/>
    <x v="9"/>
    <n v="18838"/>
  </r>
  <r>
    <x v="15"/>
    <x v="36"/>
    <s v="Combined Heat and Power, Industrial Power"/>
    <x v="4"/>
    <n v="56735"/>
  </r>
  <r>
    <x v="15"/>
    <x v="36"/>
    <s v="Combined Heat and Power, Industrial Power"/>
    <x v="6"/>
    <n v="289248"/>
  </r>
  <r>
    <x v="15"/>
    <x v="36"/>
    <s v="Combined Heat and Power, Electric Power"/>
    <x v="0"/>
    <n v="2822323"/>
  </r>
  <r>
    <x v="15"/>
    <x v="36"/>
    <s v="Combined Heat and Power, Electric Power"/>
    <x v="1"/>
    <n v="2289752"/>
  </r>
  <r>
    <x v="15"/>
    <x v="36"/>
    <s v="Combined Heat and Power, Electric Power"/>
    <x v="3"/>
    <n v="532571"/>
  </r>
  <r>
    <x v="15"/>
    <x v="36"/>
    <s v="Combined Heat and Power, Commercial Power"/>
    <x v="0"/>
    <n v="18799"/>
  </r>
  <r>
    <x v="15"/>
    <x v="36"/>
    <s v="Combined Heat and Power, Commercial Power"/>
    <x v="3"/>
    <n v="18374"/>
  </r>
  <r>
    <x v="15"/>
    <x v="36"/>
    <s v="Combined Heat and Power, Commercial Power"/>
    <x v="4"/>
    <n v="425"/>
  </r>
  <r>
    <x v="15"/>
    <x v="37"/>
    <s v="Total Electric Power Industry"/>
    <x v="0"/>
    <n v="49325003"/>
  </r>
  <r>
    <x v="15"/>
    <x v="37"/>
    <s v="Total Electric Power Industry"/>
    <x v="1"/>
    <n v="3466486"/>
  </r>
  <r>
    <x v="15"/>
    <x v="37"/>
    <s v="Total Electric Power Industry"/>
    <x v="2"/>
    <n v="30948345"/>
  </r>
  <r>
    <x v="15"/>
    <x v="37"/>
    <s v="Total Electric Power Industry"/>
    <x v="3"/>
    <n v="13190996"/>
  </r>
  <r>
    <x v="15"/>
    <x v="37"/>
    <s v="Total Electric Power Industry"/>
    <x v="12"/>
    <n v="40477"/>
  </r>
  <r>
    <x v="15"/>
    <x v="37"/>
    <s v="Total Electric Power Industry"/>
    <x v="8"/>
    <n v="98043"/>
  </r>
  <r>
    <x v="15"/>
    <x v="37"/>
    <s v="Total Electric Power Industry"/>
    <x v="4"/>
    <n v="78187"/>
  </r>
  <r>
    <x v="15"/>
    <x v="37"/>
    <s v="Total Electric Power Industry"/>
    <x v="5"/>
    <n v="734274"/>
  </r>
  <r>
    <x v="15"/>
    <x v="37"/>
    <s v="Total Electric Power Industry"/>
    <x v="6"/>
    <n v="768195"/>
  </r>
  <r>
    <x v="15"/>
    <x v="37"/>
    <s v="Electric Generators, Independent Power Producers"/>
    <x v="0"/>
    <n v="4492799"/>
  </r>
  <r>
    <x v="15"/>
    <x v="37"/>
    <s v="Electric Generators, Independent Power Producers"/>
    <x v="2"/>
    <n v="182463"/>
  </r>
  <r>
    <x v="15"/>
    <x v="37"/>
    <s v="Electric Generators, Independent Power Producers"/>
    <x v="3"/>
    <n v="3576062"/>
  </r>
  <r>
    <x v="15"/>
    <x v="37"/>
    <s v="Electric Generators, Independent Power Producers"/>
    <x v="5"/>
    <n v="734274"/>
  </r>
  <r>
    <x v="15"/>
    <x v="37"/>
    <s v="Electric Generators, Electric Utilities"/>
    <x v="0"/>
    <n v="37407039"/>
  </r>
  <r>
    <x v="15"/>
    <x v="37"/>
    <s v="Electric Generators, Electric Utilities"/>
    <x v="1"/>
    <n v="3463644"/>
  </r>
  <r>
    <x v="15"/>
    <x v="37"/>
    <s v="Electric Generators, Electric Utilities"/>
    <x v="2"/>
    <n v="30765882"/>
  </r>
  <r>
    <x v="15"/>
    <x v="37"/>
    <s v="Electric Generators, Electric Utilities"/>
    <x v="3"/>
    <n v="3097591"/>
  </r>
  <r>
    <x v="15"/>
    <x v="37"/>
    <s v="Electric Generators, Electric Utilities"/>
    <x v="8"/>
    <n v="32495"/>
  </r>
  <r>
    <x v="15"/>
    <x v="37"/>
    <s v="Electric Generators, Electric Utilities"/>
    <x v="4"/>
    <n v="47427"/>
  </r>
  <r>
    <x v="15"/>
    <x v="37"/>
    <s v="Combined Heat and Power, Industrial Power"/>
    <x v="0"/>
    <n v="1473147"/>
  </r>
  <r>
    <x v="15"/>
    <x v="37"/>
    <s v="Combined Heat and Power, Industrial Power"/>
    <x v="1"/>
    <n v="2842"/>
  </r>
  <r>
    <x v="15"/>
    <x v="37"/>
    <s v="Combined Heat and Power, Industrial Power"/>
    <x v="3"/>
    <n v="968464"/>
  </r>
  <r>
    <x v="15"/>
    <x v="37"/>
    <s v="Combined Heat and Power, Industrial Power"/>
    <x v="8"/>
    <n v="14031"/>
  </r>
  <r>
    <x v="15"/>
    <x v="37"/>
    <s v="Combined Heat and Power, Industrial Power"/>
    <x v="4"/>
    <n v="30748"/>
  </r>
  <r>
    <x v="15"/>
    <x v="37"/>
    <s v="Combined Heat and Power, Industrial Power"/>
    <x v="6"/>
    <n v="457063"/>
  </r>
  <r>
    <x v="15"/>
    <x v="37"/>
    <s v="Combined Heat and Power, Electric Power"/>
    <x v="0"/>
    <n v="5946919"/>
  </r>
  <r>
    <x v="15"/>
    <x v="37"/>
    <s v="Combined Heat and Power, Electric Power"/>
    <x v="3"/>
    <n v="5543793"/>
  </r>
  <r>
    <x v="15"/>
    <x v="37"/>
    <s v="Combined Heat and Power, Electric Power"/>
    <x v="12"/>
    <n v="40477"/>
  </r>
  <r>
    <x v="15"/>
    <x v="37"/>
    <s v="Combined Heat and Power, Electric Power"/>
    <x v="8"/>
    <n v="51517"/>
  </r>
  <r>
    <x v="15"/>
    <x v="37"/>
    <s v="Combined Heat and Power, Electric Power"/>
    <x v="6"/>
    <n v="311132"/>
  </r>
  <r>
    <x v="15"/>
    <x v="37"/>
    <s v="Combined Heat and Power, Commercial Power"/>
    <x v="0"/>
    <n v="5098"/>
  </r>
  <r>
    <x v="15"/>
    <x v="37"/>
    <s v="Combined Heat and Power, Commercial Power"/>
    <x v="3"/>
    <n v="5086"/>
  </r>
  <r>
    <x v="15"/>
    <x v="37"/>
    <s v="Combined Heat and Power, Commercial Power"/>
    <x v="4"/>
    <n v="12"/>
  </r>
  <r>
    <x v="15"/>
    <x v="38"/>
    <s v="Total Electric Power Industry"/>
    <x v="0"/>
    <n v="218091125"/>
  </r>
  <r>
    <x v="15"/>
    <x v="38"/>
    <s v="Total Electric Power Industry"/>
    <x v="1"/>
    <n v="120933254"/>
  </r>
  <r>
    <x v="15"/>
    <x v="38"/>
    <s v="Total Electric Power Industry"/>
    <x v="2"/>
    <n v="2232179"/>
  </r>
  <r>
    <x v="15"/>
    <x v="38"/>
    <s v="Total Electric Power Industry"/>
    <x v="3"/>
    <n v="10807750"/>
  </r>
  <r>
    <x v="15"/>
    <x v="38"/>
    <s v="Total Electric Power Industry"/>
    <x v="7"/>
    <n v="76289432"/>
  </r>
  <r>
    <x v="15"/>
    <x v="38"/>
    <s v="Total Electric Power Industry"/>
    <x v="12"/>
    <n v="730615"/>
  </r>
  <r>
    <x v="15"/>
    <x v="38"/>
    <s v="Total Electric Power Industry"/>
    <x v="8"/>
    <n v="1357703"/>
  </r>
  <r>
    <x v="15"/>
    <x v="38"/>
    <s v="Total Electric Power Industry"/>
    <x v="9"/>
    <n v="540065"/>
  </r>
  <r>
    <x v="15"/>
    <x v="38"/>
    <s v="Total Electric Power Industry"/>
    <x v="4"/>
    <n v="4939562"/>
  </r>
  <r>
    <x v="15"/>
    <x v="38"/>
    <s v="Total Electric Power Industry"/>
    <x v="10"/>
    <n v="-711041"/>
  </r>
  <r>
    <x v="15"/>
    <x v="38"/>
    <s v="Total Electric Power Industry"/>
    <x v="5"/>
    <n v="284241"/>
  </r>
  <r>
    <x v="15"/>
    <x v="38"/>
    <s v="Total Electric Power Industry"/>
    <x v="6"/>
    <n v="687364"/>
  </r>
  <r>
    <x v="15"/>
    <x v="38"/>
    <s v="Electric Generators, Independent Power Producers"/>
    <x v="0"/>
    <n v="205815687"/>
  </r>
  <r>
    <x v="15"/>
    <x v="38"/>
    <s v="Electric Generators, Independent Power Producers"/>
    <x v="1"/>
    <n v="114569205"/>
  </r>
  <r>
    <x v="15"/>
    <x v="38"/>
    <s v="Electric Generators, Independent Power Producers"/>
    <x v="2"/>
    <n v="1215977"/>
  </r>
  <r>
    <x v="15"/>
    <x v="38"/>
    <s v="Electric Generators, Independent Power Producers"/>
    <x v="3"/>
    <n v="8102012"/>
  </r>
  <r>
    <x v="15"/>
    <x v="38"/>
    <s v="Electric Generators, Independent Power Producers"/>
    <x v="7"/>
    <n v="76289432"/>
  </r>
  <r>
    <x v="15"/>
    <x v="38"/>
    <s v="Electric Generators, Independent Power Producers"/>
    <x v="12"/>
    <n v="615152"/>
  </r>
  <r>
    <x v="15"/>
    <x v="38"/>
    <s v="Electric Generators, Independent Power Producers"/>
    <x v="8"/>
    <n v="981096"/>
  </r>
  <r>
    <x v="15"/>
    <x v="38"/>
    <s v="Electric Generators, Independent Power Producers"/>
    <x v="9"/>
    <n v="1017"/>
  </r>
  <r>
    <x v="15"/>
    <x v="38"/>
    <s v="Electric Generators, Independent Power Producers"/>
    <x v="4"/>
    <n v="4468596"/>
  </r>
  <r>
    <x v="15"/>
    <x v="38"/>
    <s v="Electric Generators, Independent Power Producers"/>
    <x v="10"/>
    <n v="-711041"/>
  </r>
  <r>
    <x v="15"/>
    <x v="38"/>
    <s v="Electric Generators, Independent Power Producers"/>
    <x v="5"/>
    <n v="284241"/>
  </r>
  <r>
    <x v="15"/>
    <x v="38"/>
    <s v="Electric Generators, Electric Utilities"/>
    <x v="0"/>
    <n v="1058313"/>
  </r>
  <r>
    <x v="15"/>
    <x v="38"/>
    <s v="Electric Generators, Electric Utilities"/>
    <x v="2"/>
    <n v="1016202"/>
  </r>
  <r>
    <x v="15"/>
    <x v="38"/>
    <s v="Electric Generators, Electric Utilities"/>
    <x v="3"/>
    <n v="34394"/>
  </r>
  <r>
    <x v="15"/>
    <x v="38"/>
    <s v="Electric Generators, Electric Utilities"/>
    <x v="4"/>
    <n v="7717"/>
  </r>
  <r>
    <x v="15"/>
    <x v="38"/>
    <s v="Combined Heat and Power, Industrial Power"/>
    <x v="0"/>
    <n v="3180966"/>
  </r>
  <r>
    <x v="15"/>
    <x v="38"/>
    <s v="Combined Heat and Power, Industrial Power"/>
    <x v="1"/>
    <n v="1199080"/>
  </r>
  <r>
    <x v="15"/>
    <x v="38"/>
    <s v="Combined Heat and Power, Industrial Power"/>
    <x v="3"/>
    <n v="675733"/>
  </r>
  <r>
    <x v="15"/>
    <x v="38"/>
    <s v="Combined Heat and Power, Industrial Power"/>
    <x v="8"/>
    <n v="4022"/>
  </r>
  <r>
    <x v="15"/>
    <x v="38"/>
    <s v="Combined Heat and Power, Industrial Power"/>
    <x v="9"/>
    <n v="538861"/>
  </r>
  <r>
    <x v="15"/>
    <x v="38"/>
    <s v="Combined Heat and Power, Industrial Power"/>
    <x v="4"/>
    <n v="275010"/>
  </r>
  <r>
    <x v="15"/>
    <x v="38"/>
    <s v="Combined Heat and Power, Industrial Power"/>
    <x v="6"/>
    <n v="488260"/>
  </r>
  <r>
    <x v="15"/>
    <x v="38"/>
    <s v="Combined Heat and Power, Electric Power"/>
    <x v="0"/>
    <n v="7628602"/>
  </r>
  <r>
    <x v="15"/>
    <x v="38"/>
    <s v="Combined Heat and Power, Electric Power"/>
    <x v="1"/>
    <n v="5153655"/>
  </r>
  <r>
    <x v="15"/>
    <x v="38"/>
    <s v="Combined Heat and Power, Electric Power"/>
    <x v="3"/>
    <n v="1816199"/>
  </r>
  <r>
    <x v="15"/>
    <x v="38"/>
    <s v="Combined Heat and Power, Electric Power"/>
    <x v="12"/>
    <n v="21556"/>
  </r>
  <r>
    <x v="15"/>
    <x v="38"/>
    <s v="Combined Heat and Power, Electric Power"/>
    <x v="8"/>
    <n v="253066"/>
  </r>
  <r>
    <x v="15"/>
    <x v="38"/>
    <s v="Combined Heat and Power, Electric Power"/>
    <x v="9"/>
    <n v="187"/>
  </r>
  <r>
    <x v="15"/>
    <x v="38"/>
    <s v="Combined Heat and Power, Electric Power"/>
    <x v="4"/>
    <n v="184835"/>
  </r>
  <r>
    <x v="15"/>
    <x v="38"/>
    <s v="Combined Heat and Power, Electric Power"/>
    <x v="6"/>
    <n v="199104"/>
  </r>
  <r>
    <x v="15"/>
    <x v="38"/>
    <s v="Combined Heat and Power, Commercial Power"/>
    <x v="0"/>
    <n v="407557"/>
  </r>
  <r>
    <x v="15"/>
    <x v="38"/>
    <s v="Combined Heat and Power, Commercial Power"/>
    <x v="1"/>
    <n v="11314"/>
  </r>
  <r>
    <x v="15"/>
    <x v="38"/>
    <s v="Combined Heat and Power, Commercial Power"/>
    <x v="3"/>
    <n v="179412"/>
  </r>
  <r>
    <x v="15"/>
    <x v="38"/>
    <s v="Combined Heat and Power, Commercial Power"/>
    <x v="12"/>
    <n v="93908"/>
  </r>
  <r>
    <x v="15"/>
    <x v="38"/>
    <s v="Combined Heat and Power, Commercial Power"/>
    <x v="8"/>
    <n v="119519"/>
  </r>
  <r>
    <x v="15"/>
    <x v="38"/>
    <s v="Combined Heat and Power, Commercial Power"/>
    <x v="4"/>
    <n v="3405"/>
  </r>
  <r>
    <x v="15"/>
    <x v="39"/>
    <s v="Total Electric Power Industry"/>
    <x v="0"/>
    <n v="6053294"/>
  </r>
  <r>
    <x v="15"/>
    <x v="39"/>
    <s v="Total Electric Power Industry"/>
    <x v="2"/>
    <n v="6734"/>
  </r>
  <r>
    <x v="15"/>
    <x v="39"/>
    <s v="Total Electric Power Industry"/>
    <x v="3"/>
    <n v="5989390"/>
  </r>
  <r>
    <x v="15"/>
    <x v="39"/>
    <s v="Total Electric Power Industry"/>
    <x v="8"/>
    <n v="0"/>
  </r>
  <r>
    <x v="15"/>
    <x v="39"/>
    <s v="Total Electric Power Industry"/>
    <x v="4"/>
    <n v="57170"/>
  </r>
  <r>
    <x v="15"/>
    <x v="39"/>
    <s v="Electric Generators, Independent Power Producers"/>
    <x v="0"/>
    <n v="5957253"/>
  </r>
  <r>
    <x v="15"/>
    <x v="39"/>
    <s v="Electric Generators, Independent Power Producers"/>
    <x v="2"/>
    <n v="6734"/>
  </r>
  <r>
    <x v="15"/>
    <x v="39"/>
    <s v="Electric Generators, Independent Power Producers"/>
    <x v="3"/>
    <n v="5949641"/>
  </r>
  <r>
    <x v="15"/>
    <x v="39"/>
    <s v="Electric Generators, Independent Power Producers"/>
    <x v="8"/>
    <n v="0"/>
  </r>
  <r>
    <x v="15"/>
    <x v="39"/>
    <s v="Electric Generators, Independent Power Producers"/>
    <x v="4"/>
    <n v="878"/>
  </r>
  <r>
    <x v="15"/>
    <x v="39"/>
    <s v="Electric Generators, Electric Utilities"/>
    <x v="0"/>
    <n v="10805"/>
  </r>
  <r>
    <x v="15"/>
    <x v="39"/>
    <s v="Electric Generators, Electric Utilities"/>
    <x v="4"/>
    <n v="10805"/>
  </r>
  <r>
    <x v="15"/>
    <x v="39"/>
    <s v="Combined Heat and Power, Industrial Power"/>
    <x v="0"/>
    <n v="2045"/>
  </r>
  <r>
    <x v="15"/>
    <x v="39"/>
    <s v="Combined Heat and Power, Industrial Power"/>
    <x v="4"/>
    <n v="2045"/>
  </r>
  <r>
    <x v="15"/>
    <x v="39"/>
    <s v="Combined Heat and Power, Electric Power"/>
    <x v="0"/>
    <n v="18456"/>
  </r>
  <r>
    <x v="15"/>
    <x v="39"/>
    <s v="Combined Heat and Power, Electric Power"/>
    <x v="3"/>
    <n v="16560"/>
  </r>
  <r>
    <x v="15"/>
    <x v="39"/>
    <s v="Combined Heat and Power, Electric Power"/>
    <x v="4"/>
    <n v="1896"/>
  </r>
  <r>
    <x v="15"/>
    <x v="39"/>
    <s v="Combined Heat and Power, Commercial Power"/>
    <x v="0"/>
    <n v="64735"/>
  </r>
  <r>
    <x v="15"/>
    <x v="39"/>
    <s v="Combined Heat and Power, Commercial Power"/>
    <x v="3"/>
    <n v="23190"/>
  </r>
  <r>
    <x v="15"/>
    <x v="39"/>
    <s v="Combined Heat and Power, Commercial Power"/>
    <x v="4"/>
    <n v="41546"/>
  </r>
  <r>
    <x v="15"/>
    <x v="40"/>
    <s v="Total Electric Power Industry"/>
    <x v="0"/>
    <n v="102514665"/>
  </r>
  <r>
    <x v="15"/>
    <x v="40"/>
    <s v="Total Electric Power Industry"/>
    <x v="1"/>
    <n v="39692059"/>
  </r>
  <r>
    <x v="15"/>
    <x v="40"/>
    <s v="Total Electric Power Industry"/>
    <x v="2"/>
    <n v="2938147"/>
  </r>
  <r>
    <x v="15"/>
    <x v="40"/>
    <s v="Total Electric Power Industry"/>
    <x v="3"/>
    <n v="5414183"/>
  </r>
  <r>
    <x v="15"/>
    <x v="40"/>
    <s v="Total Electric Power Industry"/>
    <x v="7"/>
    <n v="53137554"/>
  </r>
  <r>
    <x v="15"/>
    <x v="40"/>
    <s v="Total Electric Power Industry"/>
    <x v="12"/>
    <n v="93680"/>
  </r>
  <r>
    <x v="15"/>
    <x v="40"/>
    <s v="Total Electric Power Industry"/>
    <x v="8"/>
    <n v="87659"/>
  </r>
  <r>
    <x v="15"/>
    <x v="40"/>
    <s v="Total Electric Power Industry"/>
    <x v="9"/>
    <n v="5642"/>
  </r>
  <r>
    <x v="15"/>
    <x v="40"/>
    <s v="Total Electric Power Industry"/>
    <x v="4"/>
    <n v="618434"/>
  </r>
  <r>
    <x v="15"/>
    <x v="40"/>
    <s v="Total Electric Power Industry"/>
    <x v="10"/>
    <n v="-1198675"/>
  </r>
  <r>
    <x v="15"/>
    <x v="40"/>
    <s v="Total Electric Power Industry"/>
    <x v="6"/>
    <n v="1725981"/>
  </r>
  <r>
    <x v="15"/>
    <x v="40"/>
    <s v="Electric Generators, Independent Power Producers"/>
    <x v="0"/>
    <n v="734879"/>
  </r>
  <r>
    <x v="15"/>
    <x v="40"/>
    <s v="Electric Generators, Independent Power Producers"/>
    <x v="2"/>
    <n v="76864"/>
  </r>
  <r>
    <x v="15"/>
    <x v="40"/>
    <s v="Electric Generators, Independent Power Producers"/>
    <x v="3"/>
    <n v="657638"/>
  </r>
  <r>
    <x v="15"/>
    <x v="40"/>
    <s v="Electric Generators, Independent Power Producers"/>
    <x v="4"/>
    <n v="377"/>
  </r>
  <r>
    <x v="15"/>
    <x v="40"/>
    <s v="Electric Generators, Electric Utilities"/>
    <x v="0"/>
    <n v="99104373"/>
  </r>
  <r>
    <x v="15"/>
    <x v="40"/>
    <s v="Electric Generators, Electric Utilities"/>
    <x v="1"/>
    <n v="39352428"/>
  </r>
  <r>
    <x v="15"/>
    <x v="40"/>
    <s v="Electric Generators, Electric Utilities"/>
    <x v="2"/>
    <n v="2858778"/>
  </r>
  <r>
    <x v="15"/>
    <x v="40"/>
    <s v="Electric Generators, Electric Utilities"/>
    <x v="3"/>
    <n v="4153040"/>
  </r>
  <r>
    <x v="15"/>
    <x v="40"/>
    <s v="Electric Generators, Electric Utilities"/>
    <x v="7"/>
    <n v="53137554"/>
  </r>
  <r>
    <x v="15"/>
    <x v="40"/>
    <s v="Electric Generators, Electric Utilities"/>
    <x v="8"/>
    <n v="44159"/>
  </r>
  <r>
    <x v="15"/>
    <x v="40"/>
    <s v="Electric Generators, Electric Utilities"/>
    <x v="4"/>
    <n v="484181"/>
  </r>
  <r>
    <x v="15"/>
    <x v="40"/>
    <s v="Electric Generators, Electric Utilities"/>
    <x v="10"/>
    <n v="-1198675"/>
  </r>
  <r>
    <x v="15"/>
    <x v="40"/>
    <s v="Electric Generators, Electric Utilities"/>
    <x v="6"/>
    <n v="272908"/>
  </r>
  <r>
    <x v="15"/>
    <x v="40"/>
    <s v="Combined Heat and Power, Industrial Power"/>
    <x v="0"/>
    <n v="1998225"/>
  </r>
  <r>
    <x v="15"/>
    <x v="40"/>
    <s v="Combined Heat and Power, Industrial Power"/>
    <x v="1"/>
    <n v="339631"/>
  </r>
  <r>
    <x v="15"/>
    <x v="40"/>
    <s v="Combined Heat and Power, Industrial Power"/>
    <x v="3"/>
    <n v="7634"/>
  </r>
  <r>
    <x v="15"/>
    <x v="40"/>
    <s v="Combined Heat and Power, Industrial Power"/>
    <x v="12"/>
    <n v="59503"/>
  </r>
  <r>
    <x v="15"/>
    <x v="40"/>
    <s v="Combined Heat and Power, Industrial Power"/>
    <x v="9"/>
    <n v="5642"/>
  </r>
  <r>
    <x v="15"/>
    <x v="40"/>
    <s v="Combined Heat and Power, Industrial Power"/>
    <x v="4"/>
    <n v="132742"/>
  </r>
  <r>
    <x v="15"/>
    <x v="40"/>
    <s v="Combined Heat and Power, Industrial Power"/>
    <x v="6"/>
    <n v="1453073"/>
  </r>
  <r>
    <x v="15"/>
    <x v="40"/>
    <s v="Combined Heat and Power, Electric Power"/>
    <x v="0"/>
    <n v="595290"/>
  </r>
  <r>
    <x v="15"/>
    <x v="40"/>
    <s v="Combined Heat and Power, Electric Power"/>
    <x v="3"/>
    <n v="595290"/>
  </r>
  <r>
    <x v="15"/>
    <x v="40"/>
    <s v="Combined Heat and Power, Electric Power"/>
    <x v="4"/>
    <n v="0"/>
  </r>
  <r>
    <x v="15"/>
    <x v="40"/>
    <s v="Combined Heat and Power, Commercial Power"/>
    <x v="0"/>
    <n v="81898"/>
  </r>
  <r>
    <x v="15"/>
    <x v="40"/>
    <s v="Combined Heat and Power, Commercial Power"/>
    <x v="2"/>
    <n v="2505"/>
  </r>
  <r>
    <x v="15"/>
    <x v="40"/>
    <s v="Combined Heat and Power, Commercial Power"/>
    <x v="3"/>
    <n v="581"/>
  </r>
  <r>
    <x v="15"/>
    <x v="40"/>
    <s v="Combined Heat and Power, Commercial Power"/>
    <x v="12"/>
    <n v="34177"/>
  </r>
  <r>
    <x v="15"/>
    <x v="40"/>
    <s v="Combined Heat and Power, Commercial Power"/>
    <x v="8"/>
    <n v="43500"/>
  </r>
  <r>
    <x v="15"/>
    <x v="40"/>
    <s v="Combined Heat and Power, Commercial Power"/>
    <x v="4"/>
    <n v="1135"/>
  </r>
  <r>
    <x v="15"/>
    <x v="41"/>
    <s v="Total Electric Power Industry"/>
    <x v="0"/>
    <n v="6520769"/>
  </r>
  <r>
    <x v="15"/>
    <x v="41"/>
    <s v="Total Electric Power Industry"/>
    <x v="1"/>
    <n v="2996347"/>
  </r>
  <r>
    <x v="15"/>
    <x v="41"/>
    <s v="Total Electric Power Industry"/>
    <x v="2"/>
    <n v="3074566"/>
  </r>
  <r>
    <x v="15"/>
    <x v="41"/>
    <s v="Total Electric Power Industry"/>
    <x v="3"/>
    <n v="270946"/>
  </r>
  <r>
    <x v="15"/>
    <x v="41"/>
    <s v="Total Electric Power Industry"/>
    <x v="12"/>
    <n v="21"/>
  </r>
  <r>
    <x v="15"/>
    <x v="41"/>
    <s v="Total Electric Power Industry"/>
    <x v="4"/>
    <n v="20785"/>
  </r>
  <r>
    <x v="15"/>
    <x v="41"/>
    <s v="Total Electric Power Industry"/>
    <x v="5"/>
    <n v="158104"/>
  </r>
  <r>
    <x v="15"/>
    <x v="41"/>
    <s v="Electric Generators, Independent Power Producers"/>
    <x v="0"/>
    <n v="152327"/>
  </r>
  <r>
    <x v="15"/>
    <x v="41"/>
    <s v="Electric Generators, Independent Power Producers"/>
    <x v="5"/>
    <n v="152327"/>
  </r>
  <r>
    <x v="15"/>
    <x v="41"/>
    <s v="Electric Generators, Electric Utilities"/>
    <x v="0"/>
    <n v="6368442"/>
  </r>
  <r>
    <x v="15"/>
    <x v="41"/>
    <s v="Electric Generators, Electric Utilities"/>
    <x v="1"/>
    <n v="2996347"/>
  </r>
  <r>
    <x v="15"/>
    <x v="41"/>
    <s v="Electric Generators, Electric Utilities"/>
    <x v="2"/>
    <n v="3074566"/>
  </r>
  <r>
    <x v="15"/>
    <x v="41"/>
    <s v="Electric Generators, Electric Utilities"/>
    <x v="3"/>
    <n v="270946"/>
  </r>
  <r>
    <x v="15"/>
    <x v="41"/>
    <s v="Electric Generators, Electric Utilities"/>
    <x v="12"/>
    <n v="21"/>
  </r>
  <r>
    <x v="15"/>
    <x v="41"/>
    <s v="Electric Generators, Electric Utilities"/>
    <x v="4"/>
    <n v="20785"/>
  </r>
  <r>
    <x v="15"/>
    <x v="41"/>
    <s v="Electric Generators, Electric Utilities"/>
    <x v="5"/>
    <n v="5777"/>
  </r>
  <r>
    <x v="15"/>
    <x v="42"/>
    <s v="Total Electric Power Industry"/>
    <x v="0"/>
    <n v="97117165"/>
  </r>
  <r>
    <x v="15"/>
    <x v="42"/>
    <s v="Total Electric Power Industry"/>
    <x v="1"/>
    <n v="59051476"/>
  </r>
  <r>
    <x v="15"/>
    <x v="42"/>
    <s v="Total Electric Power Industry"/>
    <x v="2"/>
    <n v="9309541"/>
  </r>
  <r>
    <x v="15"/>
    <x v="42"/>
    <s v="Total Electric Power Industry"/>
    <x v="3"/>
    <n v="531165"/>
  </r>
  <r>
    <x v="15"/>
    <x v="42"/>
    <s v="Total Electric Power Industry"/>
    <x v="7"/>
    <n v="27803108"/>
  </r>
  <r>
    <x v="15"/>
    <x v="42"/>
    <s v="Total Electric Power Industry"/>
    <x v="12"/>
    <n v="8600"/>
  </r>
  <r>
    <x v="15"/>
    <x v="42"/>
    <s v="Total Electric Power Industry"/>
    <x v="8"/>
    <n v="68191"/>
  </r>
  <r>
    <x v="15"/>
    <x v="42"/>
    <s v="Total Electric Power Industry"/>
    <x v="9"/>
    <n v="14598"/>
  </r>
  <r>
    <x v="15"/>
    <x v="42"/>
    <s v="Total Electric Power Industry"/>
    <x v="4"/>
    <n v="230527"/>
  </r>
  <r>
    <x v="15"/>
    <x v="42"/>
    <s v="Total Electric Power Industry"/>
    <x v="10"/>
    <n v="-597935"/>
  </r>
  <r>
    <x v="15"/>
    <x v="42"/>
    <s v="Total Electric Power Industry"/>
    <x v="5"/>
    <n v="3339"/>
  </r>
  <r>
    <x v="15"/>
    <x v="42"/>
    <s v="Total Electric Power Industry"/>
    <x v="6"/>
    <n v="694555"/>
  </r>
  <r>
    <x v="15"/>
    <x v="42"/>
    <s v="Electric Generators, Independent Power Producers"/>
    <x v="0"/>
    <n v="38918"/>
  </r>
  <r>
    <x v="15"/>
    <x v="42"/>
    <s v="Electric Generators, Independent Power Producers"/>
    <x v="3"/>
    <n v="11653"/>
  </r>
  <r>
    <x v="15"/>
    <x v="42"/>
    <s v="Electric Generators, Independent Power Producers"/>
    <x v="8"/>
    <n v="27265"/>
  </r>
  <r>
    <x v="15"/>
    <x v="42"/>
    <s v="Electric Generators, Electric Utilities"/>
    <x v="0"/>
    <n v="93942273"/>
  </r>
  <r>
    <x v="15"/>
    <x v="42"/>
    <s v="Electric Generators, Electric Utilities"/>
    <x v="1"/>
    <n v="57560600"/>
  </r>
  <r>
    <x v="15"/>
    <x v="42"/>
    <s v="Electric Generators, Electric Utilities"/>
    <x v="2"/>
    <n v="8537997"/>
  </r>
  <r>
    <x v="15"/>
    <x v="42"/>
    <s v="Electric Generators, Electric Utilities"/>
    <x v="3"/>
    <n v="434043"/>
  </r>
  <r>
    <x v="15"/>
    <x v="42"/>
    <s v="Electric Generators, Electric Utilities"/>
    <x v="7"/>
    <n v="27803108"/>
  </r>
  <r>
    <x v="15"/>
    <x v="42"/>
    <s v="Electric Generators, Electric Utilities"/>
    <x v="4"/>
    <n v="201121"/>
  </r>
  <r>
    <x v="15"/>
    <x v="42"/>
    <s v="Electric Generators, Electric Utilities"/>
    <x v="10"/>
    <n v="-597935"/>
  </r>
  <r>
    <x v="15"/>
    <x v="42"/>
    <s v="Electric Generators, Electric Utilities"/>
    <x v="5"/>
    <n v="3339"/>
  </r>
  <r>
    <x v="15"/>
    <x v="42"/>
    <s v="Combined Heat and Power, Industrial Power"/>
    <x v="0"/>
    <n v="3034803"/>
  </r>
  <r>
    <x v="15"/>
    <x v="42"/>
    <s v="Combined Heat and Power, Industrial Power"/>
    <x v="1"/>
    <n v="1452969"/>
  </r>
  <r>
    <x v="15"/>
    <x v="42"/>
    <s v="Combined Heat and Power, Industrial Power"/>
    <x v="2"/>
    <n v="771544"/>
  </r>
  <r>
    <x v="15"/>
    <x v="42"/>
    <s v="Combined Heat and Power, Industrial Power"/>
    <x v="3"/>
    <n v="22205"/>
  </r>
  <r>
    <x v="15"/>
    <x v="42"/>
    <s v="Combined Heat and Power, Industrial Power"/>
    <x v="12"/>
    <n v="8600"/>
  </r>
  <r>
    <x v="15"/>
    <x v="42"/>
    <s v="Combined Heat and Power, Industrial Power"/>
    <x v="8"/>
    <n v="40926"/>
  </r>
  <r>
    <x v="15"/>
    <x v="42"/>
    <s v="Combined Heat and Power, Industrial Power"/>
    <x v="9"/>
    <n v="14598"/>
  </r>
  <r>
    <x v="15"/>
    <x v="42"/>
    <s v="Combined Heat and Power, Industrial Power"/>
    <x v="4"/>
    <n v="29406"/>
  </r>
  <r>
    <x v="15"/>
    <x v="42"/>
    <s v="Combined Heat and Power, Industrial Power"/>
    <x v="6"/>
    <n v="694555"/>
  </r>
  <r>
    <x v="15"/>
    <x v="42"/>
    <s v="Combined Heat and Power, Commercial Power"/>
    <x v="0"/>
    <n v="101171"/>
  </r>
  <r>
    <x v="15"/>
    <x v="42"/>
    <s v="Combined Heat and Power, Commercial Power"/>
    <x v="1"/>
    <n v="37907"/>
  </r>
  <r>
    <x v="15"/>
    <x v="42"/>
    <s v="Combined Heat and Power, Commercial Power"/>
    <x v="3"/>
    <n v="63264"/>
  </r>
  <r>
    <x v="15"/>
    <x v="43"/>
    <s v="Total Electric Power Industry"/>
    <x v="0"/>
    <n v="396668722"/>
  </r>
  <r>
    <x v="15"/>
    <x v="43"/>
    <s v="Total Electric Power Industry"/>
    <x v="1"/>
    <n v="148358023"/>
  </r>
  <r>
    <x v="15"/>
    <x v="43"/>
    <s v="Total Electric Power Industry"/>
    <x v="2"/>
    <n v="1332560"/>
  </r>
  <r>
    <x v="15"/>
    <x v="43"/>
    <s v="Total Electric Power Industry"/>
    <x v="3"/>
    <n v="197665258"/>
  </r>
  <r>
    <x v="15"/>
    <x v="43"/>
    <s v="Total Electric Power Industry"/>
    <x v="7"/>
    <n v="38232493"/>
  </r>
  <r>
    <x v="15"/>
    <x v="43"/>
    <s v="Total Electric Power Industry"/>
    <x v="12"/>
    <n v="890313"/>
  </r>
  <r>
    <x v="15"/>
    <x v="43"/>
    <s v="Total Electric Power Industry"/>
    <x v="8"/>
    <n v="246705"/>
  </r>
  <r>
    <x v="15"/>
    <x v="43"/>
    <s v="Total Electric Power Industry"/>
    <x v="9"/>
    <n v="3271768"/>
  </r>
  <r>
    <x v="15"/>
    <x v="43"/>
    <s v="Total Electric Power Industry"/>
    <x v="4"/>
    <n v="1582695"/>
  </r>
  <r>
    <x v="15"/>
    <x v="43"/>
    <s v="Total Electric Power Industry"/>
    <x v="5"/>
    <n v="4237209"/>
  </r>
  <r>
    <x v="15"/>
    <x v="43"/>
    <s v="Total Electric Power Industry"/>
    <x v="6"/>
    <n v="851698"/>
  </r>
  <r>
    <x v="15"/>
    <x v="43"/>
    <s v="Electric Generators, Independent Power Producers"/>
    <x v="0"/>
    <n v="216933078"/>
  </r>
  <r>
    <x v="15"/>
    <x v="43"/>
    <s v="Electric Generators, Independent Power Producers"/>
    <x v="1"/>
    <n v="84527504"/>
  </r>
  <r>
    <x v="15"/>
    <x v="43"/>
    <s v="Electric Generators, Independent Power Producers"/>
    <x v="2"/>
    <n v="44091"/>
  </r>
  <r>
    <x v="15"/>
    <x v="43"/>
    <s v="Electric Generators, Independent Power Producers"/>
    <x v="3"/>
    <n v="89486477"/>
  </r>
  <r>
    <x v="15"/>
    <x v="43"/>
    <s v="Electric Generators, Independent Power Producers"/>
    <x v="7"/>
    <n v="38232493"/>
  </r>
  <r>
    <x v="15"/>
    <x v="43"/>
    <s v="Electric Generators, Independent Power Producers"/>
    <x v="8"/>
    <n v="192377"/>
  </r>
  <r>
    <x v="15"/>
    <x v="43"/>
    <s v="Electric Generators, Independent Power Producers"/>
    <x v="9"/>
    <n v="0"/>
  </r>
  <r>
    <x v="15"/>
    <x v="43"/>
    <s v="Electric Generators, Independent Power Producers"/>
    <x v="4"/>
    <n v="213983"/>
  </r>
  <r>
    <x v="15"/>
    <x v="43"/>
    <s v="Electric Generators, Independent Power Producers"/>
    <x v="5"/>
    <n v="4236153"/>
  </r>
  <r>
    <x v="15"/>
    <x v="43"/>
    <s v="Electric Generators, Electric Utilities"/>
    <x v="0"/>
    <n v="95187030"/>
  </r>
  <r>
    <x v="15"/>
    <x v="43"/>
    <s v="Electric Generators, Electric Utilities"/>
    <x v="1"/>
    <n v="61275542"/>
  </r>
  <r>
    <x v="15"/>
    <x v="43"/>
    <s v="Electric Generators, Electric Utilities"/>
    <x v="2"/>
    <n v="1288469"/>
  </r>
  <r>
    <x v="15"/>
    <x v="43"/>
    <s v="Electric Generators, Electric Utilities"/>
    <x v="3"/>
    <n v="32324018"/>
  </r>
  <r>
    <x v="15"/>
    <x v="43"/>
    <s v="Electric Generators, Electric Utilities"/>
    <x v="12"/>
    <n v="229580"/>
  </r>
  <r>
    <x v="15"/>
    <x v="43"/>
    <s v="Electric Generators, Electric Utilities"/>
    <x v="4"/>
    <n v="68365"/>
  </r>
  <r>
    <x v="15"/>
    <x v="43"/>
    <s v="Electric Generators, Electric Utilities"/>
    <x v="5"/>
    <n v="1056"/>
  </r>
  <r>
    <x v="15"/>
    <x v="43"/>
    <s v="Combined Heat and Power, Industrial Power"/>
    <x v="0"/>
    <n v="39282489"/>
  </r>
  <r>
    <x v="15"/>
    <x v="43"/>
    <s v="Combined Heat and Power, Industrial Power"/>
    <x v="1"/>
    <n v="2554977"/>
  </r>
  <r>
    <x v="15"/>
    <x v="43"/>
    <s v="Combined Heat and Power, Industrial Power"/>
    <x v="3"/>
    <n v="33421283"/>
  </r>
  <r>
    <x v="15"/>
    <x v="43"/>
    <s v="Combined Heat and Power, Industrial Power"/>
    <x v="12"/>
    <n v="648086"/>
  </r>
  <r>
    <x v="15"/>
    <x v="43"/>
    <s v="Combined Heat and Power, Industrial Power"/>
    <x v="8"/>
    <n v="20583"/>
  </r>
  <r>
    <x v="15"/>
    <x v="43"/>
    <s v="Combined Heat and Power, Industrial Power"/>
    <x v="9"/>
    <n v="1649793"/>
  </r>
  <r>
    <x v="15"/>
    <x v="43"/>
    <s v="Combined Heat and Power, Industrial Power"/>
    <x v="4"/>
    <n v="136070"/>
  </r>
  <r>
    <x v="15"/>
    <x v="43"/>
    <s v="Combined Heat and Power, Industrial Power"/>
    <x v="6"/>
    <n v="851698"/>
  </r>
  <r>
    <x v="15"/>
    <x v="43"/>
    <s v="Combined Heat and Power, Electric Power"/>
    <x v="0"/>
    <n v="44758580"/>
  </r>
  <r>
    <x v="15"/>
    <x v="43"/>
    <s v="Combined Heat and Power, Electric Power"/>
    <x v="3"/>
    <n v="41959712"/>
  </r>
  <r>
    <x v="15"/>
    <x v="43"/>
    <s v="Combined Heat and Power, Electric Power"/>
    <x v="12"/>
    <n v="11908"/>
  </r>
  <r>
    <x v="15"/>
    <x v="43"/>
    <s v="Combined Heat and Power, Electric Power"/>
    <x v="8"/>
    <n v="2707"/>
  </r>
  <r>
    <x v="15"/>
    <x v="43"/>
    <s v="Combined Heat and Power, Electric Power"/>
    <x v="9"/>
    <n v="1621976"/>
  </r>
  <r>
    <x v="15"/>
    <x v="43"/>
    <s v="Combined Heat and Power, Electric Power"/>
    <x v="4"/>
    <n v="1162278"/>
  </r>
  <r>
    <x v="15"/>
    <x v="43"/>
    <s v="Combined Heat and Power, Commercial Power"/>
    <x v="0"/>
    <n v="507544"/>
  </r>
  <r>
    <x v="15"/>
    <x v="43"/>
    <s v="Combined Heat and Power, Commercial Power"/>
    <x v="3"/>
    <n v="473768"/>
  </r>
  <r>
    <x v="15"/>
    <x v="43"/>
    <s v="Combined Heat and Power, Commercial Power"/>
    <x v="12"/>
    <n v="739"/>
  </r>
  <r>
    <x v="15"/>
    <x v="43"/>
    <s v="Combined Heat and Power, Commercial Power"/>
    <x v="8"/>
    <n v="31038"/>
  </r>
  <r>
    <x v="15"/>
    <x v="43"/>
    <s v="Combined Heat and Power, Commercial Power"/>
    <x v="4"/>
    <n v="2000"/>
  </r>
  <r>
    <x v="15"/>
    <x v="44"/>
    <s v="Total Electric Power Industry"/>
    <x v="0"/>
    <n v="4055422750"/>
  </r>
  <r>
    <x v="15"/>
    <x v="44"/>
    <s v="Total Electric Power Industry"/>
    <x v="1"/>
    <n v="2012873046"/>
  </r>
  <r>
    <x v="15"/>
    <x v="44"/>
    <s v="Total Electric Power Industry"/>
    <x v="11"/>
    <n v="14691745"/>
  </r>
  <r>
    <x v="15"/>
    <x v="44"/>
    <s v="Total Electric Power Industry"/>
    <x v="2"/>
    <n v="270321255"/>
  </r>
  <r>
    <x v="15"/>
    <x v="44"/>
    <s v="Total Electric Power Industry"/>
    <x v="3"/>
    <n v="760960254"/>
  </r>
  <r>
    <x v="15"/>
    <x v="44"/>
    <s v="Total Electric Power Industry"/>
    <x v="7"/>
    <n v="781986365"/>
  </r>
  <r>
    <x v="15"/>
    <x v="44"/>
    <s v="Total Electric Power Industry"/>
    <x v="12"/>
    <n v="12821059"/>
  </r>
  <r>
    <x v="15"/>
    <x v="44"/>
    <s v="Total Electric Power Industry"/>
    <x v="8"/>
    <n v="15420393"/>
  </r>
  <r>
    <x v="15"/>
    <x v="44"/>
    <s v="Total Electric Power Industry"/>
    <x v="9"/>
    <n v="13464144"/>
  </r>
  <r>
    <x v="15"/>
    <x v="44"/>
    <s v="Total Electric Power Industry"/>
    <x v="4"/>
    <n v="122225017"/>
  </r>
  <r>
    <x v="15"/>
    <x v="44"/>
    <s v="Total Electric Power Industry"/>
    <x v="10"/>
    <n v="-6557788"/>
  </r>
  <r>
    <x v="15"/>
    <x v="44"/>
    <s v="Total Electric Power Industry"/>
    <x v="13"/>
    <n v="550294"/>
  </r>
  <r>
    <x v="15"/>
    <x v="44"/>
    <s v="Total Electric Power Industry"/>
    <x v="5"/>
    <n v="17810549"/>
  </r>
  <r>
    <x v="15"/>
    <x v="44"/>
    <s v="Total Electric Power Industry"/>
    <x v="6"/>
    <n v="38856417"/>
  </r>
  <r>
    <x v="15"/>
    <x v="44"/>
    <s v="Electric Generators, Independent Power Producers"/>
    <x v="0"/>
    <n v="1246971382"/>
  </r>
  <r>
    <x v="15"/>
    <x v="44"/>
    <s v="Electric Generators, Independent Power Producers"/>
    <x v="1"/>
    <n v="470657714"/>
  </r>
  <r>
    <x v="15"/>
    <x v="44"/>
    <s v="Electric Generators, Independent Power Producers"/>
    <x v="11"/>
    <n v="13565693"/>
  </r>
  <r>
    <x v="15"/>
    <x v="44"/>
    <s v="Electric Generators, Independent Power Producers"/>
    <x v="2"/>
    <n v="21476752"/>
  </r>
  <r>
    <x v="15"/>
    <x v="44"/>
    <s v="Electric Generators, Independent Power Producers"/>
    <x v="3"/>
    <n v="314970162"/>
  </r>
  <r>
    <x v="15"/>
    <x v="44"/>
    <s v="Electric Generators, Independent Power Producers"/>
    <x v="7"/>
    <n v="345690328"/>
  </r>
  <r>
    <x v="15"/>
    <x v="44"/>
    <s v="Electric Generators, Independent Power Producers"/>
    <x v="12"/>
    <n v="5569426"/>
  </r>
  <r>
    <x v="15"/>
    <x v="44"/>
    <s v="Electric Generators, Independent Power Producers"/>
    <x v="8"/>
    <n v="10760905"/>
  </r>
  <r>
    <x v="15"/>
    <x v="44"/>
    <s v="Electric Generators, Independent Power Producers"/>
    <x v="9"/>
    <n v="2654"/>
  </r>
  <r>
    <x v="15"/>
    <x v="44"/>
    <s v="Electric Generators, Independent Power Producers"/>
    <x v="4"/>
    <n v="41485141"/>
  </r>
  <r>
    <x v="15"/>
    <x v="44"/>
    <s v="Electric Generators, Independent Power Producers"/>
    <x v="10"/>
    <n v="-1174337"/>
  </r>
  <r>
    <x v="15"/>
    <x v="44"/>
    <s v="Electric Generators, Independent Power Producers"/>
    <x v="13"/>
    <n v="534701"/>
  </r>
  <r>
    <x v="15"/>
    <x v="44"/>
    <s v="Electric Generators, Independent Power Producers"/>
    <x v="5"/>
    <n v="16764286"/>
  </r>
  <r>
    <x v="15"/>
    <x v="44"/>
    <s v="Electric Generators, Independent Power Producers"/>
    <x v="6"/>
    <n v="6667958"/>
  </r>
  <r>
    <x v="15"/>
    <x v="44"/>
    <s v="Electric Generators, Electric Utilities"/>
    <x v="0"/>
    <n v="2474845558"/>
  </r>
  <r>
    <x v="15"/>
    <x v="44"/>
    <s v="Electric Generators, Electric Utilities"/>
    <x v="1"/>
    <n v="1484855188"/>
  </r>
  <r>
    <x v="15"/>
    <x v="44"/>
    <s v="Electric Generators, Electric Utilities"/>
    <x v="11"/>
    <n v="1126052"/>
  </r>
  <r>
    <x v="15"/>
    <x v="44"/>
    <s v="Electric Generators, Electric Utilities"/>
    <x v="2"/>
    <n v="245553417"/>
  </r>
  <r>
    <x v="15"/>
    <x v="44"/>
    <s v="Electric Generators, Electric Utilities"/>
    <x v="3"/>
    <n v="238203738"/>
  </r>
  <r>
    <x v="15"/>
    <x v="44"/>
    <s v="Electric Generators, Electric Utilities"/>
    <x v="7"/>
    <n v="436296037"/>
  </r>
  <r>
    <x v="15"/>
    <x v="44"/>
    <s v="Electric Generators, Electric Utilities"/>
    <x v="12"/>
    <n v="643237"/>
  </r>
  <r>
    <x v="15"/>
    <x v="44"/>
    <s v="Electric Generators, Electric Utilities"/>
    <x v="8"/>
    <n v="928891"/>
  </r>
  <r>
    <x v="15"/>
    <x v="44"/>
    <s v="Electric Generators, Electric Utilities"/>
    <x v="9"/>
    <n v="9810"/>
  </r>
  <r>
    <x v="15"/>
    <x v="44"/>
    <s v="Electric Generators, Electric Utilities"/>
    <x v="4"/>
    <n v="69722196"/>
  </r>
  <r>
    <x v="15"/>
    <x v="44"/>
    <s v="Electric Generators, Electric Utilities"/>
    <x v="10"/>
    <n v="-5383451"/>
  </r>
  <r>
    <x v="15"/>
    <x v="44"/>
    <s v="Electric Generators, Electric Utilities"/>
    <x v="13"/>
    <n v="15593"/>
  </r>
  <r>
    <x v="15"/>
    <x v="44"/>
    <s v="Electric Generators, Electric Utilities"/>
    <x v="5"/>
    <n v="1046263"/>
  </r>
  <r>
    <x v="15"/>
    <x v="44"/>
    <s v="Electric Generators, Electric Utilities"/>
    <x v="6"/>
    <n v="1828587"/>
  </r>
  <r>
    <x v="15"/>
    <x v="44"/>
    <s v="Combined Heat and Power, Industrial Power"/>
    <x v="0"/>
    <n v="144739193"/>
  </r>
  <r>
    <x v="15"/>
    <x v="44"/>
    <s v="Combined Heat and Power, Industrial Power"/>
    <x v="1"/>
    <n v="19466106"/>
  </r>
  <r>
    <x v="15"/>
    <x v="44"/>
    <s v="Combined Heat and Power, Industrial Power"/>
    <x v="2"/>
    <n v="3195441"/>
  </r>
  <r>
    <x v="15"/>
    <x v="44"/>
    <s v="Combined Heat and Power, Industrial Power"/>
    <x v="3"/>
    <n v="72882307"/>
  </r>
  <r>
    <x v="15"/>
    <x v="44"/>
    <s v="Combined Heat and Power, Industrial Power"/>
    <x v="12"/>
    <n v="5136905"/>
  </r>
  <r>
    <x v="15"/>
    <x v="44"/>
    <s v="Combined Heat and Power, Industrial Power"/>
    <x v="8"/>
    <n v="732553"/>
  </r>
  <r>
    <x v="15"/>
    <x v="44"/>
    <s v="Combined Heat and Power, Industrial Power"/>
    <x v="9"/>
    <n v="9686987"/>
  </r>
  <r>
    <x v="15"/>
    <x v="44"/>
    <s v="Combined Heat and Power, Industrial Power"/>
    <x v="4"/>
    <n v="5368360"/>
  </r>
  <r>
    <x v="15"/>
    <x v="44"/>
    <s v="Combined Heat and Power, Industrial Power"/>
    <x v="6"/>
    <n v="28270534"/>
  </r>
  <r>
    <x v="15"/>
    <x v="44"/>
    <s v="Combined Heat and Power, Electric Power"/>
    <x v="0"/>
    <n v="180374953"/>
  </r>
  <r>
    <x v="15"/>
    <x v="44"/>
    <s v="Combined Heat and Power, Electric Power"/>
    <x v="1"/>
    <n v="36540976"/>
  </r>
  <r>
    <x v="15"/>
    <x v="44"/>
    <s v="Combined Heat and Power, Electric Power"/>
    <x v="2"/>
    <n v="9608"/>
  </r>
  <r>
    <x v="15"/>
    <x v="44"/>
    <s v="Combined Heat and Power, Electric Power"/>
    <x v="3"/>
    <n v="130655024"/>
  </r>
  <r>
    <x v="15"/>
    <x v="44"/>
    <s v="Combined Heat and Power, Electric Power"/>
    <x v="12"/>
    <n v="715505"/>
  </r>
  <r>
    <x v="15"/>
    <x v="44"/>
    <s v="Combined Heat and Power, Electric Power"/>
    <x v="8"/>
    <n v="1341289"/>
  </r>
  <r>
    <x v="15"/>
    <x v="44"/>
    <s v="Combined Heat and Power, Electric Power"/>
    <x v="9"/>
    <n v="3764692"/>
  </r>
  <r>
    <x v="15"/>
    <x v="44"/>
    <s v="Combined Heat and Power, Electric Power"/>
    <x v="4"/>
    <n v="5274517"/>
  </r>
  <r>
    <x v="15"/>
    <x v="44"/>
    <s v="Combined Heat and Power, Electric Power"/>
    <x v="6"/>
    <n v="2073341"/>
  </r>
  <r>
    <x v="15"/>
    <x v="44"/>
    <s v="Combined Heat and Power, Commercial Power"/>
    <x v="0"/>
    <n v="8491664"/>
  </r>
  <r>
    <x v="15"/>
    <x v="44"/>
    <s v="Combined Heat and Power, Commercial Power"/>
    <x v="1"/>
    <n v="1353062"/>
  </r>
  <r>
    <x v="15"/>
    <x v="44"/>
    <s v="Combined Heat and Power, Commercial Power"/>
    <x v="2"/>
    <n v="86037"/>
  </r>
  <r>
    <x v="15"/>
    <x v="44"/>
    <s v="Combined Heat and Power, Commercial Power"/>
    <x v="3"/>
    <n v="4249023"/>
  </r>
  <r>
    <x v="15"/>
    <x v="44"/>
    <s v="Combined Heat and Power, Commercial Power"/>
    <x v="12"/>
    <n v="755987"/>
  </r>
  <r>
    <x v="15"/>
    <x v="44"/>
    <s v="Combined Heat and Power, Commercial Power"/>
    <x v="8"/>
    <n v="1656755"/>
  </r>
  <r>
    <x v="15"/>
    <x v="44"/>
    <s v="Combined Heat and Power, Commercial Power"/>
    <x v="9"/>
    <n v="0"/>
  </r>
  <r>
    <x v="15"/>
    <x v="44"/>
    <s v="Combined Heat and Power, Commercial Power"/>
    <x v="4"/>
    <n v="374803"/>
  </r>
  <r>
    <x v="15"/>
    <x v="44"/>
    <s v="Combined Heat and Power, Commercial Power"/>
    <x v="6"/>
    <n v="15997"/>
  </r>
  <r>
    <x v="15"/>
    <x v="45"/>
    <s v="Total Electric Power Industry"/>
    <x v="0"/>
    <n v="38165131"/>
  </r>
  <r>
    <x v="15"/>
    <x v="45"/>
    <s v="Total Electric Power Industry"/>
    <x v="1"/>
    <n v="35970405"/>
  </r>
  <r>
    <x v="15"/>
    <x v="45"/>
    <s v="Total Electric Power Industry"/>
    <x v="11"/>
    <n v="184802"/>
  </r>
  <r>
    <x v="15"/>
    <x v="45"/>
    <s v="Total Electric Power Industry"/>
    <x v="2"/>
    <n v="784463"/>
  </r>
  <r>
    <x v="15"/>
    <x v="45"/>
    <s v="Total Electric Power Industry"/>
    <x v="3"/>
    <n v="1177501"/>
  </r>
  <r>
    <x v="15"/>
    <x v="45"/>
    <s v="Total Electric Power Industry"/>
    <x v="12"/>
    <n v="3102"/>
  </r>
  <r>
    <x v="15"/>
    <x v="45"/>
    <s v="Total Electric Power Industry"/>
    <x v="8"/>
    <n v="3948"/>
  </r>
  <r>
    <x v="15"/>
    <x v="45"/>
    <s v="Total Electric Power Industry"/>
    <x v="9"/>
    <n v="0"/>
  </r>
  <r>
    <x v="15"/>
    <x v="45"/>
    <s v="Total Electric Power Industry"/>
    <x v="4"/>
    <n v="40909"/>
  </r>
  <r>
    <x v="15"/>
    <x v="45"/>
    <s v="Electric Generators, Independent Power Producers"/>
    <x v="0"/>
    <n v="705923"/>
  </r>
  <r>
    <x v="15"/>
    <x v="45"/>
    <s v="Electric Generators, Independent Power Producers"/>
    <x v="1"/>
    <n v="415939"/>
  </r>
  <r>
    <x v="15"/>
    <x v="45"/>
    <s v="Electric Generators, Independent Power Producers"/>
    <x v="2"/>
    <n v="13684"/>
  </r>
  <r>
    <x v="15"/>
    <x v="45"/>
    <s v="Electric Generators, Independent Power Producers"/>
    <x v="3"/>
    <n v="275636"/>
  </r>
  <r>
    <x v="15"/>
    <x v="45"/>
    <s v="Electric Generators, Independent Power Producers"/>
    <x v="4"/>
    <n v="664"/>
  </r>
  <r>
    <x v="15"/>
    <x v="45"/>
    <s v="Electric Generators, Electric Utilities"/>
    <x v="0"/>
    <n v="36695193"/>
  </r>
  <r>
    <x v="15"/>
    <x v="45"/>
    <s v="Electric Generators, Electric Utilities"/>
    <x v="1"/>
    <n v="34824862"/>
  </r>
  <r>
    <x v="15"/>
    <x v="45"/>
    <s v="Electric Generators, Electric Utilities"/>
    <x v="11"/>
    <n v="184802"/>
  </r>
  <r>
    <x v="15"/>
    <x v="45"/>
    <s v="Electric Generators, Electric Utilities"/>
    <x v="2"/>
    <n v="770779"/>
  </r>
  <r>
    <x v="15"/>
    <x v="45"/>
    <s v="Electric Generators, Electric Utilities"/>
    <x v="3"/>
    <n v="874505"/>
  </r>
  <r>
    <x v="15"/>
    <x v="45"/>
    <s v="Electric Generators, Electric Utilities"/>
    <x v="4"/>
    <n v="40245"/>
  </r>
  <r>
    <x v="15"/>
    <x v="45"/>
    <s v="Combined Heat and Power, Industrial Power"/>
    <x v="0"/>
    <n v="736829"/>
  </r>
  <r>
    <x v="15"/>
    <x v="45"/>
    <s v="Combined Heat and Power, Industrial Power"/>
    <x v="1"/>
    <n v="729604"/>
  </r>
  <r>
    <x v="15"/>
    <x v="45"/>
    <s v="Combined Heat and Power, Industrial Power"/>
    <x v="3"/>
    <n v="7225"/>
  </r>
  <r>
    <x v="15"/>
    <x v="45"/>
    <s v="Combined Heat and Power, Industrial Power"/>
    <x v="12"/>
    <n v="0"/>
  </r>
  <r>
    <x v="15"/>
    <x v="45"/>
    <s v="Combined Heat and Power, Electric Power"/>
    <x v="0"/>
    <n v="7051"/>
  </r>
  <r>
    <x v="15"/>
    <x v="45"/>
    <s v="Combined Heat and Power, Electric Power"/>
    <x v="12"/>
    <n v="3102"/>
  </r>
  <r>
    <x v="15"/>
    <x v="45"/>
    <s v="Combined Heat and Power, Electric Power"/>
    <x v="8"/>
    <n v="3948"/>
  </r>
  <r>
    <x v="15"/>
    <x v="45"/>
    <s v="Combined Heat and Power, Electric Power"/>
    <x v="4"/>
    <n v="0"/>
  </r>
  <r>
    <x v="15"/>
    <x v="45"/>
    <s v="Combined Heat and Power, Commercial Power"/>
    <x v="0"/>
    <n v="20135"/>
  </r>
  <r>
    <x v="15"/>
    <x v="45"/>
    <s v="Combined Heat and Power, Commercial Power"/>
    <x v="3"/>
    <n v="20135"/>
  </r>
  <r>
    <x v="15"/>
    <x v="45"/>
    <s v="Combined Heat and Power, Commercial Power"/>
    <x v="9"/>
    <n v="0"/>
  </r>
  <r>
    <x v="15"/>
    <x v="46"/>
    <s v="Total Electric Power Industry"/>
    <x v="0"/>
    <n v="78943045"/>
  </r>
  <r>
    <x v="15"/>
    <x v="46"/>
    <s v="Total Electric Power Industry"/>
    <x v="1"/>
    <n v="35424875"/>
  </r>
  <r>
    <x v="15"/>
    <x v="46"/>
    <s v="Total Electric Power Industry"/>
    <x v="2"/>
    <n v="1484353"/>
  </r>
  <r>
    <x v="15"/>
    <x v="46"/>
    <s v="Total Electric Power Industry"/>
    <x v="3"/>
    <n v="8294770"/>
  </r>
  <r>
    <x v="15"/>
    <x v="46"/>
    <s v="Total Electric Power Industry"/>
    <x v="7"/>
    <n v="27918481"/>
  </r>
  <r>
    <x v="15"/>
    <x v="46"/>
    <s v="Total Electric Power Industry"/>
    <x v="12"/>
    <n v="478834"/>
  </r>
  <r>
    <x v="15"/>
    <x v="46"/>
    <s v="Total Electric Power Industry"/>
    <x v="8"/>
    <n v="695203"/>
  </r>
  <r>
    <x v="15"/>
    <x v="46"/>
    <s v="Total Electric Power Industry"/>
    <x v="9"/>
    <n v="0"/>
  </r>
  <r>
    <x v="15"/>
    <x v="46"/>
    <s v="Total Electric Power Industry"/>
    <x v="4"/>
    <n v="4264659"/>
  </r>
  <r>
    <x v="15"/>
    <x v="46"/>
    <s v="Total Electric Power Industry"/>
    <x v="10"/>
    <n v="-1420823"/>
  </r>
  <r>
    <x v="15"/>
    <x v="46"/>
    <s v="Total Electric Power Industry"/>
    <x v="6"/>
    <n v="1802693"/>
  </r>
  <r>
    <x v="15"/>
    <x v="46"/>
    <s v="Electric Generators, Independent Power Producers"/>
    <x v="0"/>
    <n v="5278554"/>
  </r>
  <r>
    <x v="15"/>
    <x v="46"/>
    <s v="Electric Generators, Independent Power Producers"/>
    <x v="1"/>
    <n v="1299189"/>
  </r>
  <r>
    <x v="15"/>
    <x v="46"/>
    <s v="Electric Generators, Independent Power Producers"/>
    <x v="2"/>
    <n v="79966"/>
  </r>
  <r>
    <x v="15"/>
    <x v="46"/>
    <s v="Electric Generators, Independent Power Producers"/>
    <x v="3"/>
    <n v="3025473"/>
  </r>
  <r>
    <x v="15"/>
    <x v="46"/>
    <s v="Electric Generators, Independent Power Producers"/>
    <x v="12"/>
    <n v="264411"/>
  </r>
  <r>
    <x v="15"/>
    <x v="46"/>
    <s v="Electric Generators, Independent Power Producers"/>
    <x v="8"/>
    <n v="434043"/>
  </r>
  <r>
    <x v="15"/>
    <x v="46"/>
    <s v="Electric Generators, Independent Power Producers"/>
    <x v="9"/>
    <n v="0"/>
  </r>
  <r>
    <x v="15"/>
    <x v="46"/>
    <s v="Electric Generators, Independent Power Producers"/>
    <x v="4"/>
    <n v="175472"/>
  </r>
  <r>
    <x v="15"/>
    <x v="46"/>
    <s v="Electric Generators, Electric Utilities"/>
    <x v="0"/>
    <n v="65456080"/>
  </r>
  <r>
    <x v="15"/>
    <x v="46"/>
    <s v="Electric Generators, Electric Utilities"/>
    <x v="1"/>
    <n v="28803324"/>
  </r>
  <r>
    <x v="15"/>
    <x v="46"/>
    <s v="Electric Generators, Electric Utilities"/>
    <x v="2"/>
    <n v="1391152"/>
  </r>
  <r>
    <x v="15"/>
    <x v="46"/>
    <s v="Electric Generators, Electric Utilities"/>
    <x v="3"/>
    <n v="4414479"/>
  </r>
  <r>
    <x v="15"/>
    <x v="46"/>
    <s v="Electric Generators, Electric Utilities"/>
    <x v="7"/>
    <n v="27918481"/>
  </r>
  <r>
    <x v="15"/>
    <x v="46"/>
    <s v="Electric Generators, Electric Utilities"/>
    <x v="4"/>
    <n v="3809135"/>
  </r>
  <r>
    <x v="15"/>
    <x v="46"/>
    <s v="Electric Generators, Electric Utilities"/>
    <x v="10"/>
    <n v="-1420823"/>
  </r>
  <r>
    <x v="15"/>
    <x v="46"/>
    <s v="Electric Generators, Electric Utilities"/>
    <x v="6"/>
    <n v="540332"/>
  </r>
  <r>
    <x v="15"/>
    <x v="46"/>
    <s v="Combined Heat and Power, Industrial Power"/>
    <x v="0"/>
    <n v="2567909"/>
  </r>
  <r>
    <x v="15"/>
    <x v="46"/>
    <s v="Combined Heat and Power, Industrial Power"/>
    <x v="1"/>
    <n v="820403"/>
  </r>
  <r>
    <x v="15"/>
    <x v="46"/>
    <s v="Combined Heat and Power, Industrial Power"/>
    <x v="2"/>
    <n v="13235"/>
  </r>
  <r>
    <x v="15"/>
    <x v="46"/>
    <s v="Combined Heat and Power, Industrial Power"/>
    <x v="3"/>
    <n v="313506"/>
  </r>
  <r>
    <x v="15"/>
    <x v="46"/>
    <s v="Combined Heat and Power, Industrial Power"/>
    <x v="12"/>
    <n v="17525"/>
  </r>
  <r>
    <x v="15"/>
    <x v="46"/>
    <s v="Combined Heat and Power, Industrial Power"/>
    <x v="8"/>
    <n v="43499"/>
  </r>
  <r>
    <x v="15"/>
    <x v="46"/>
    <s v="Combined Heat and Power, Industrial Power"/>
    <x v="4"/>
    <n v="97381"/>
  </r>
  <r>
    <x v="15"/>
    <x v="46"/>
    <s v="Combined Heat and Power, Industrial Power"/>
    <x v="6"/>
    <n v="1262361"/>
  </r>
  <r>
    <x v="15"/>
    <x v="46"/>
    <s v="Combined Heat and Power, Electric Power"/>
    <x v="0"/>
    <n v="5251187"/>
  </r>
  <r>
    <x v="15"/>
    <x v="46"/>
    <s v="Combined Heat and Power, Electric Power"/>
    <x v="1"/>
    <n v="4501959"/>
  </r>
  <r>
    <x v="15"/>
    <x v="46"/>
    <s v="Combined Heat and Power, Electric Power"/>
    <x v="3"/>
    <n v="541313"/>
  </r>
  <r>
    <x v="15"/>
    <x v="46"/>
    <s v="Combined Heat and Power, Electric Power"/>
    <x v="12"/>
    <n v="25881"/>
  </r>
  <r>
    <x v="15"/>
    <x v="46"/>
    <s v="Combined Heat and Power, Electric Power"/>
    <x v="4"/>
    <n v="182035"/>
  </r>
  <r>
    <x v="15"/>
    <x v="46"/>
    <s v="Combined Heat and Power, Commercial Power"/>
    <x v="0"/>
    <n v="389315"/>
  </r>
  <r>
    <x v="15"/>
    <x v="46"/>
    <s v="Combined Heat and Power, Commercial Power"/>
    <x v="1"/>
    <n v="0"/>
  </r>
  <r>
    <x v="15"/>
    <x v="46"/>
    <s v="Combined Heat and Power, Commercial Power"/>
    <x v="12"/>
    <n v="171018"/>
  </r>
  <r>
    <x v="15"/>
    <x v="46"/>
    <s v="Combined Heat and Power, Commercial Power"/>
    <x v="8"/>
    <n v="217661"/>
  </r>
  <r>
    <x v="15"/>
    <x v="46"/>
    <s v="Combined Heat and Power, Commercial Power"/>
    <x v="4"/>
    <n v="636"/>
  </r>
  <r>
    <x v="15"/>
    <x v="47"/>
    <s v="Total Electric Power Industry"/>
    <x v="0"/>
    <n v="5716755"/>
  </r>
  <r>
    <x v="15"/>
    <x v="47"/>
    <s v="Total Electric Power Industry"/>
    <x v="2"/>
    <n v="1210811"/>
  </r>
  <r>
    <x v="15"/>
    <x v="47"/>
    <s v="Total Electric Power Industry"/>
    <x v="3"/>
    <n v="2240"/>
  </r>
  <r>
    <x v="15"/>
    <x v="47"/>
    <s v="Total Electric Power Industry"/>
    <x v="7"/>
    <n v="4071547"/>
  </r>
  <r>
    <x v="15"/>
    <x v="47"/>
    <s v="Total Electric Power Industry"/>
    <x v="4"/>
    <n v="10179"/>
  </r>
  <r>
    <x v="15"/>
    <x v="47"/>
    <s v="Total Electric Power Industry"/>
    <x v="5"/>
    <n v="11486"/>
  </r>
  <r>
    <x v="15"/>
    <x v="47"/>
    <s v="Total Electric Power Industry"/>
    <x v="6"/>
    <n v="410491"/>
  </r>
  <r>
    <x v="15"/>
    <x v="47"/>
    <s v="Electric Generators, Independent Power Producers"/>
    <x v="0"/>
    <n v="5013151"/>
  </r>
  <r>
    <x v="15"/>
    <x v="47"/>
    <s v="Electric Generators, Independent Power Producers"/>
    <x v="2"/>
    <n v="773977"/>
  </r>
  <r>
    <x v="15"/>
    <x v="47"/>
    <s v="Electric Generators, Independent Power Producers"/>
    <x v="7"/>
    <n v="4071547"/>
  </r>
  <r>
    <x v="15"/>
    <x v="47"/>
    <s v="Electric Generators, Independent Power Producers"/>
    <x v="4"/>
    <n v="0"/>
  </r>
  <r>
    <x v="15"/>
    <x v="47"/>
    <s v="Electric Generators, Independent Power Producers"/>
    <x v="6"/>
    <n v="167627"/>
  </r>
  <r>
    <x v="15"/>
    <x v="47"/>
    <s v="Electric Generators, Electric Utilities"/>
    <x v="0"/>
    <n v="673607"/>
  </r>
  <r>
    <x v="15"/>
    <x v="47"/>
    <s v="Electric Generators, Electric Utilities"/>
    <x v="2"/>
    <n v="415691"/>
  </r>
  <r>
    <x v="15"/>
    <x v="47"/>
    <s v="Electric Generators, Electric Utilities"/>
    <x v="3"/>
    <n v="2240"/>
  </r>
  <r>
    <x v="15"/>
    <x v="47"/>
    <s v="Electric Generators, Electric Utilities"/>
    <x v="4"/>
    <n v="10179"/>
  </r>
  <r>
    <x v="15"/>
    <x v="47"/>
    <s v="Electric Generators, Electric Utilities"/>
    <x v="5"/>
    <n v="11486"/>
  </r>
  <r>
    <x v="15"/>
    <x v="47"/>
    <s v="Electric Generators, Electric Utilities"/>
    <x v="6"/>
    <n v="234011"/>
  </r>
  <r>
    <x v="15"/>
    <x v="47"/>
    <s v="Combined Heat and Power, Industrial Power"/>
    <x v="0"/>
    <n v="29997"/>
  </r>
  <r>
    <x v="15"/>
    <x v="47"/>
    <s v="Combined Heat and Power, Industrial Power"/>
    <x v="2"/>
    <n v="21143"/>
  </r>
  <r>
    <x v="15"/>
    <x v="47"/>
    <s v="Combined Heat and Power, Industrial Power"/>
    <x v="6"/>
    <n v="8853"/>
  </r>
  <r>
    <x v="15"/>
    <x v="48"/>
    <s v="Total Electric Power Industry"/>
    <x v="0"/>
    <n v="101965850"/>
  </r>
  <r>
    <x v="15"/>
    <x v="48"/>
    <s v="Total Electric Power Industry"/>
    <x v="1"/>
    <n v="10494407"/>
  </r>
  <r>
    <x v="15"/>
    <x v="48"/>
    <s v="Total Electric Power Industry"/>
    <x v="2"/>
    <n v="72074649"/>
  </r>
  <r>
    <x v="15"/>
    <x v="48"/>
    <s v="Total Electric Power Industry"/>
    <x v="3"/>
    <n v="8578546"/>
  </r>
  <r>
    <x v="15"/>
    <x v="48"/>
    <s v="Total Electric Power Industry"/>
    <x v="7"/>
    <n v="8242273"/>
  </r>
  <r>
    <x v="15"/>
    <x v="48"/>
    <s v="Total Electric Power Industry"/>
    <x v="12"/>
    <n v="64822"/>
  </r>
  <r>
    <x v="15"/>
    <x v="48"/>
    <s v="Total Electric Power Industry"/>
    <x v="8"/>
    <n v="190390"/>
  </r>
  <r>
    <x v="15"/>
    <x v="48"/>
    <s v="Total Electric Power Industry"/>
    <x v="9"/>
    <n v="321724"/>
  </r>
  <r>
    <x v="15"/>
    <x v="48"/>
    <s v="Total Electric Power Industry"/>
    <x v="4"/>
    <n v="67295"/>
  </r>
  <r>
    <x v="15"/>
    <x v="48"/>
    <s v="Total Electric Power Industry"/>
    <x v="10"/>
    <n v="8473"/>
  </r>
  <r>
    <x v="15"/>
    <x v="48"/>
    <s v="Total Electric Power Industry"/>
    <x v="5"/>
    <n v="498470"/>
  </r>
  <r>
    <x v="15"/>
    <x v="48"/>
    <s v="Total Electric Power Industry"/>
    <x v="6"/>
    <n v="1424802"/>
  </r>
  <r>
    <x v="15"/>
    <x v="48"/>
    <s v="Electric Generators, Independent Power Producers"/>
    <x v="0"/>
    <n v="15286762"/>
  </r>
  <r>
    <x v="15"/>
    <x v="48"/>
    <s v="Electric Generators, Independent Power Producers"/>
    <x v="1"/>
    <n v="10474438"/>
  </r>
  <r>
    <x v="15"/>
    <x v="48"/>
    <s v="Electric Generators, Independent Power Producers"/>
    <x v="2"/>
    <n v="128543"/>
  </r>
  <r>
    <x v="15"/>
    <x v="48"/>
    <s v="Electric Generators, Independent Power Producers"/>
    <x v="3"/>
    <n v="4170547"/>
  </r>
  <r>
    <x v="15"/>
    <x v="48"/>
    <s v="Electric Generators, Independent Power Producers"/>
    <x v="12"/>
    <n v="64822"/>
  </r>
  <r>
    <x v="15"/>
    <x v="48"/>
    <s v="Electric Generators, Independent Power Producers"/>
    <x v="8"/>
    <n v="88548"/>
  </r>
  <r>
    <x v="15"/>
    <x v="48"/>
    <s v="Electric Generators, Independent Power Producers"/>
    <x v="4"/>
    <n v="8742"/>
  </r>
  <r>
    <x v="15"/>
    <x v="48"/>
    <s v="Electric Generators, Independent Power Producers"/>
    <x v="5"/>
    <n v="351122"/>
  </r>
  <r>
    <x v="15"/>
    <x v="48"/>
    <s v="Electric Generators, Electric Utilities"/>
    <x v="0"/>
    <n v="83152928"/>
  </r>
  <r>
    <x v="15"/>
    <x v="48"/>
    <s v="Electric Generators, Electric Utilities"/>
    <x v="2"/>
    <n v="71894440"/>
  </r>
  <r>
    <x v="15"/>
    <x v="48"/>
    <s v="Electric Generators, Electric Utilities"/>
    <x v="3"/>
    <n v="2155528"/>
  </r>
  <r>
    <x v="15"/>
    <x v="48"/>
    <s v="Electric Generators, Electric Utilities"/>
    <x v="7"/>
    <n v="8242273"/>
  </r>
  <r>
    <x v="15"/>
    <x v="48"/>
    <s v="Electric Generators, Electric Utilities"/>
    <x v="8"/>
    <n v="82152"/>
  </r>
  <r>
    <x v="15"/>
    <x v="48"/>
    <s v="Electric Generators, Electric Utilities"/>
    <x v="4"/>
    <n v="2416"/>
  </r>
  <r>
    <x v="15"/>
    <x v="48"/>
    <s v="Electric Generators, Electric Utilities"/>
    <x v="10"/>
    <n v="8473"/>
  </r>
  <r>
    <x v="15"/>
    <x v="48"/>
    <s v="Electric Generators, Electric Utilities"/>
    <x v="5"/>
    <n v="147348"/>
  </r>
  <r>
    <x v="15"/>
    <x v="48"/>
    <s v="Electric Generators, Electric Utilities"/>
    <x v="6"/>
    <n v="620298"/>
  </r>
  <r>
    <x v="15"/>
    <x v="48"/>
    <s v="Combined Heat and Power, Industrial Power"/>
    <x v="0"/>
    <n v="936861"/>
  </r>
  <r>
    <x v="15"/>
    <x v="48"/>
    <s v="Combined Heat and Power, Industrial Power"/>
    <x v="1"/>
    <n v="19969"/>
  </r>
  <r>
    <x v="15"/>
    <x v="48"/>
    <s v="Combined Heat and Power, Industrial Power"/>
    <x v="2"/>
    <n v="2386"/>
  </r>
  <r>
    <x v="15"/>
    <x v="48"/>
    <s v="Combined Heat and Power, Industrial Power"/>
    <x v="3"/>
    <n v="41115"/>
  </r>
  <r>
    <x v="15"/>
    <x v="48"/>
    <s v="Combined Heat and Power, Industrial Power"/>
    <x v="8"/>
    <n v="13801"/>
  </r>
  <r>
    <x v="15"/>
    <x v="48"/>
    <s v="Combined Heat and Power, Industrial Power"/>
    <x v="4"/>
    <n v="55086"/>
  </r>
  <r>
    <x v="15"/>
    <x v="48"/>
    <s v="Combined Heat and Power, Industrial Power"/>
    <x v="6"/>
    <n v="804504"/>
  </r>
  <r>
    <x v="15"/>
    <x v="48"/>
    <s v="Combined Heat and Power, Electric Power"/>
    <x v="0"/>
    <n v="2516565"/>
  </r>
  <r>
    <x v="15"/>
    <x v="48"/>
    <s v="Combined Heat and Power, Electric Power"/>
    <x v="3"/>
    <n v="2188826"/>
  </r>
  <r>
    <x v="15"/>
    <x v="48"/>
    <s v="Combined Heat and Power, Electric Power"/>
    <x v="8"/>
    <n v="5889"/>
  </r>
  <r>
    <x v="15"/>
    <x v="48"/>
    <s v="Combined Heat and Power, Electric Power"/>
    <x v="9"/>
    <n v="321724"/>
  </r>
  <r>
    <x v="15"/>
    <x v="48"/>
    <s v="Combined Heat and Power, Electric Power"/>
    <x v="4"/>
    <n v="126"/>
  </r>
  <r>
    <x v="15"/>
    <x v="48"/>
    <s v="Combined Heat and Power, Commercial Power"/>
    <x v="0"/>
    <n v="72734"/>
  </r>
  <r>
    <x v="15"/>
    <x v="48"/>
    <s v="Combined Heat and Power, Commercial Power"/>
    <x v="1"/>
    <n v="0"/>
  </r>
  <r>
    <x v="15"/>
    <x v="48"/>
    <s v="Combined Heat and Power, Commercial Power"/>
    <x v="2"/>
    <n v="49280"/>
  </r>
  <r>
    <x v="15"/>
    <x v="48"/>
    <s v="Combined Heat and Power, Commercial Power"/>
    <x v="3"/>
    <n v="22529"/>
  </r>
  <r>
    <x v="15"/>
    <x v="48"/>
    <s v="Combined Heat and Power, Commercial Power"/>
    <x v="4"/>
    <n v="925"/>
  </r>
  <r>
    <x v="15"/>
    <x v="49"/>
    <s v="Total Electric Power Industry"/>
    <x v="0"/>
    <n v="61824664"/>
  </r>
  <r>
    <x v="15"/>
    <x v="49"/>
    <s v="Total Electric Power Industry"/>
    <x v="1"/>
    <n v="41729313"/>
  </r>
  <r>
    <x v="15"/>
    <x v="49"/>
    <s v="Total Electric Power Industry"/>
    <x v="2"/>
    <n v="1740219"/>
  </r>
  <r>
    <x v="15"/>
    <x v="49"/>
    <s v="Total Electric Power Industry"/>
    <x v="3"/>
    <n v="6386794"/>
  </r>
  <r>
    <x v="15"/>
    <x v="49"/>
    <s v="Total Electric Power Industry"/>
    <x v="7"/>
    <n v="9920991"/>
  </r>
  <r>
    <x v="15"/>
    <x v="49"/>
    <s v="Total Electric Power Industry"/>
    <x v="12"/>
    <n v="119183"/>
  </r>
  <r>
    <x v="15"/>
    <x v="49"/>
    <s v="Total Electric Power Industry"/>
    <x v="8"/>
    <n v="348759"/>
  </r>
  <r>
    <x v="15"/>
    <x v="49"/>
    <s v="Total Electric Power Industry"/>
    <x v="4"/>
    <n v="746510"/>
  </r>
  <r>
    <x v="15"/>
    <x v="49"/>
    <s v="Total Electric Power Industry"/>
    <x v="5"/>
    <n v="92544"/>
  </r>
  <r>
    <x v="15"/>
    <x v="49"/>
    <s v="Total Electric Power Industry"/>
    <x v="6"/>
    <n v="740350"/>
  </r>
  <r>
    <x v="15"/>
    <x v="49"/>
    <s v="Electric Generators, Independent Power Producers"/>
    <x v="0"/>
    <n v="3211634"/>
  </r>
  <r>
    <x v="15"/>
    <x v="49"/>
    <s v="Electric Generators, Independent Power Producers"/>
    <x v="1"/>
    <n v="65044"/>
  </r>
  <r>
    <x v="15"/>
    <x v="49"/>
    <s v="Electric Generators, Independent Power Producers"/>
    <x v="2"/>
    <n v="31356"/>
  </r>
  <r>
    <x v="15"/>
    <x v="49"/>
    <s v="Electric Generators, Independent Power Producers"/>
    <x v="3"/>
    <n v="2810278"/>
  </r>
  <r>
    <x v="15"/>
    <x v="49"/>
    <s v="Electric Generators, Independent Power Producers"/>
    <x v="8"/>
    <n v="244628"/>
  </r>
  <r>
    <x v="15"/>
    <x v="49"/>
    <s v="Electric Generators, Independent Power Producers"/>
    <x v="4"/>
    <n v="5065"/>
  </r>
  <r>
    <x v="15"/>
    <x v="49"/>
    <s v="Electric Generators, Independent Power Producers"/>
    <x v="5"/>
    <n v="55263"/>
  </r>
  <r>
    <x v="15"/>
    <x v="49"/>
    <s v="Electric Generators, Electric Utilities"/>
    <x v="0"/>
    <n v="55169108"/>
  </r>
  <r>
    <x v="15"/>
    <x v="49"/>
    <s v="Electric Generators, Electric Utilities"/>
    <x v="1"/>
    <n v="40506086"/>
  </r>
  <r>
    <x v="15"/>
    <x v="49"/>
    <s v="Electric Generators, Electric Utilities"/>
    <x v="2"/>
    <n v="1498881"/>
  </r>
  <r>
    <x v="15"/>
    <x v="49"/>
    <s v="Electric Generators, Electric Utilities"/>
    <x v="3"/>
    <n v="2450224"/>
  </r>
  <r>
    <x v="15"/>
    <x v="49"/>
    <s v="Electric Generators, Electric Utilities"/>
    <x v="7"/>
    <n v="9920991"/>
  </r>
  <r>
    <x v="15"/>
    <x v="49"/>
    <s v="Electric Generators, Electric Utilities"/>
    <x v="12"/>
    <n v="92308"/>
  </r>
  <r>
    <x v="15"/>
    <x v="49"/>
    <s v="Electric Generators, Electric Utilities"/>
    <x v="8"/>
    <n v="51010"/>
  </r>
  <r>
    <x v="15"/>
    <x v="49"/>
    <s v="Electric Generators, Electric Utilities"/>
    <x v="4"/>
    <n v="470219"/>
  </r>
  <r>
    <x v="15"/>
    <x v="49"/>
    <s v="Electric Generators, Electric Utilities"/>
    <x v="5"/>
    <n v="37281"/>
  </r>
  <r>
    <x v="15"/>
    <x v="49"/>
    <s v="Electric Generators, Electric Utilities"/>
    <x v="6"/>
    <n v="142108"/>
  </r>
  <r>
    <x v="15"/>
    <x v="49"/>
    <s v="Combined Heat and Power, Industrial Power"/>
    <x v="0"/>
    <n v="2486814"/>
  </r>
  <r>
    <x v="15"/>
    <x v="49"/>
    <s v="Combined Heat and Power, Industrial Power"/>
    <x v="1"/>
    <n v="1107658"/>
  </r>
  <r>
    <x v="15"/>
    <x v="49"/>
    <s v="Combined Heat and Power, Industrial Power"/>
    <x v="2"/>
    <n v="202582"/>
  </r>
  <r>
    <x v="15"/>
    <x v="49"/>
    <s v="Combined Heat and Power, Industrial Power"/>
    <x v="3"/>
    <n v="272060"/>
  </r>
  <r>
    <x v="15"/>
    <x v="49"/>
    <s v="Combined Heat and Power, Industrial Power"/>
    <x v="12"/>
    <n v="24123"/>
  </r>
  <r>
    <x v="15"/>
    <x v="49"/>
    <s v="Combined Heat and Power, Industrial Power"/>
    <x v="8"/>
    <n v="19552"/>
  </r>
  <r>
    <x v="15"/>
    <x v="49"/>
    <s v="Combined Heat and Power, Industrial Power"/>
    <x v="4"/>
    <n v="263035"/>
  </r>
  <r>
    <x v="15"/>
    <x v="49"/>
    <s v="Combined Heat and Power, Industrial Power"/>
    <x v="6"/>
    <n v="597805"/>
  </r>
  <r>
    <x v="15"/>
    <x v="49"/>
    <s v="Combined Heat and Power, Electric Power"/>
    <x v="0"/>
    <n v="793073"/>
  </r>
  <r>
    <x v="15"/>
    <x v="49"/>
    <s v="Combined Heat and Power, Electric Power"/>
    <x v="3"/>
    <n v="780834"/>
  </r>
  <r>
    <x v="15"/>
    <x v="49"/>
    <s v="Combined Heat and Power, Electric Power"/>
    <x v="8"/>
    <n v="4188"/>
  </r>
  <r>
    <x v="15"/>
    <x v="49"/>
    <s v="Combined Heat and Power, Electric Power"/>
    <x v="4"/>
    <n v="8051"/>
  </r>
  <r>
    <x v="15"/>
    <x v="49"/>
    <s v="Combined Heat and Power, Commercial Power"/>
    <x v="0"/>
    <n v="164035"/>
  </r>
  <r>
    <x v="15"/>
    <x v="49"/>
    <s v="Combined Heat and Power, Commercial Power"/>
    <x v="1"/>
    <n v="50526"/>
  </r>
  <r>
    <x v="15"/>
    <x v="49"/>
    <s v="Combined Heat and Power, Commercial Power"/>
    <x v="2"/>
    <n v="7400"/>
  </r>
  <r>
    <x v="15"/>
    <x v="49"/>
    <s v="Combined Heat and Power, Commercial Power"/>
    <x v="3"/>
    <n v="73398"/>
  </r>
  <r>
    <x v="15"/>
    <x v="49"/>
    <s v="Combined Heat and Power, Commercial Power"/>
    <x v="12"/>
    <n v="2752"/>
  </r>
  <r>
    <x v="15"/>
    <x v="49"/>
    <s v="Combined Heat and Power, Commercial Power"/>
    <x v="8"/>
    <n v="29381"/>
  </r>
  <r>
    <x v="15"/>
    <x v="49"/>
    <s v="Combined Heat and Power, Commercial Power"/>
    <x v="4"/>
    <n v="141"/>
  </r>
  <r>
    <x v="15"/>
    <x v="49"/>
    <s v="Combined Heat and Power, Commercial Power"/>
    <x v="6"/>
    <n v="437"/>
  </r>
  <r>
    <x v="15"/>
    <x v="50"/>
    <s v="Total Electric Power Industry"/>
    <x v="0"/>
    <n v="93626285"/>
  </r>
  <r>
    <x v="15"/>
    <x v="50"/>
    <s v="Total Electric Power Industry"/>
    <x v="1"/>
    <n v="91417003"/>
  </r>
  <r>
    <x v="15"/>
    <x v="50"/>
    <s v="Total Electric Power Industry"/>
    <x v="2"/>
    <n v="1447566"/>
  </r>
  <r>
    <x v="15"/>
    <x v="50"/>
    <s v="Total Electric Power Industry"/>
    <x v="3"/>
    <n v="287092"/>
  </r>
  <r>
    <x v="15"/>
    <x v="50"/>
    <s v="Total Electric Power Industry"/>
    <x v="12"/>
    <n v="11215"/>
  </r>
  <r>
    <x v="15"/>
    <x v="50"/>
    <s v="Total Electric Power Industry"/>
    <x v="8"/>
    <n v="253"/>
  </r>
  <r>
    <x v="15"/>
    <x v="50"/>
    <s v="Total Electric Power Industry"/>
    <x v="9"/>
    <n v="85511"/>
  </r>
  <r>
    <x v="15"/>
    <x v="50"/>
    <s v="Total Electric Power Industry"/>
    <x v="4"/>
    <n v="223293"/>
  </r>
  <r>
    <x v="15"/>
    <x v="50"/>
    <s v="Total Electric Power Industry"/>
    <x v="5"/>
    <n v="153892"/>
  </r>
  <r>
    <x v="15"/>
    <x v="50"/>
    <s v="Total Electric Power Industry"/>
    <x v="6"/>
    <n v="460"/>
  </r>
  <r>
    <x v="15"/>
    <x v="50"/>
    <s v="Electric Generators, Independent Power Producers"/>
    <x v="0"/>
    <n v="30556310"/>
  </r>
  <r>
    <x v="15"/>
    <x v="50"/>
    <s v="Electric Generators, Independent Power Producers"/>
    <x v="1"/>
    <n v="29750059"/>
  </r>
  <r>
    <x v="15"/>
    <x v="50"/>
    <s v="Electric Generators, Independent Power Producers"/>
    <x v="2"/>
    <n v="419975"/>
  </r>
  <r>
    <x v="15"/>
    <x v="50"/>
    <s v="Electric Generators, Independent Power Producers"/>
    <x v="3"/>
    <n v="208109"/>
  </r>
  <r>
    <x v="15"/>
    <x v="50"/>
    <s v="Electric Generators, Independent Power Producers"/>
    <x v="12"/>
    <n v="0"/>
  </r>
  <r>
    <x v="15"/>
    <x v="50"/>
    <s v="Electric Generators, Independent Power Producers"/>
    <x v="4"/>
    <n v="24275"/>
  </r>
  <r>
    <x v="15"/>
    <x v="50"/>
    <s v="Electric Generators, Independent Power Producers"/>
    <x v="5"/>
    <n v="153892"/>
  </r>
  <r>
    <x v="15"/>
    <x v="50"/>
    <s v="Electric Generators, Electric Utilities"/>
    <x v="0"/>
    <n v="61241831"/>
  </r>
  <r>
    <x v="15"/>
    <x v="50"/>
    <s v="Electric Generators, Electric Utilities"/>
    <x v="1"/>
    <n v="60581576"/>
  </r>
  <r>
    <x v="15"/>
    <x v="50"/>
    <s v="Electric Generators, Electric Utilities"/>
    <x v="2"/>
    <n v="471916"/>
  </r>
  <r>
    <x v="15"/>
    <x v="50"/>
    <s v="Electric Generators, Electric Utilities"/>
    <x v="3"/>
    <n v="3215"/>
  </r>
  <r>
    <x v="15"/>
    <x v="50"/>
    <s v="Electric Generators, Electric Utilities"/>
    <x v="12"/>
    <n v="11215"/>
  </r>
  <r>
    <x v="15"/>
    <x v="50"/>
    <s v="Electric Generators, Electric Utilities"/>
    <x v="8"/>
    <n v="253"/>
  </r>
  <r>
    <x v="15"/>
    <x v="50"/>
    <s v="Electric Generators, Electric Utilities"/>
    <x v="4"/>
    <n v="173196"/>
  </r>
  <r>
    <x v="15"/>
    <x v="50"/>
    <s v="Electric Generators, Electric Utilities"/>
    <x v="6"/>
    <n v="460"/>
  </r>
  <r>
    <x v="15"/>
    <x v="50"/>
    <s v="Combined Heat and Power, Industrial Power"/>
    <x v="0"/>
    <n v="1360885"/>
  </r>
  <r>
    <x v="15"/>
    <x v="50"/>
    <s v="Combined Heat and Power, Industrial Power"/>
    <x v="1"/>
    <n v="620496"/>
  </r>
  <r>
    <x v="15"/>
    <x v="50"/>
    <s v="Combined Heat and Power, Industrial Power"/>
    <x v="2"/>
    <n v="555675"/>
  </r>
  <r>
    <x v="15"/>
    <x v="50"/>
    <s v="Combined Heat and Power, Industrial Power"/>
    <x v="3"/>
    <n v="73381"/>
  </r>
  <r>
    <x v="15"/>
    <x v="50"/>
    <s v="Combined Heat and Power, Industrial Power"/>
    <x v="9"/>
    <n v="85511"/>
  </r>
  <r>
    <x v="15"/>
    <x v="50"/>
    <s v="Combined Heat and Power, Industrial Power"/>
    <x v="4"/>
    <n v="25822"/>
  </r>
  <r>
    <x v="15"/>
    <x v="50"/>
    <s v="Combined Heat and Power, Electric Power"/>
    <x v="0"/>
    <n v="467260"/>
  </r>
  <r>
    <x v="15"/>
    <x v="50"/>
    <s v="Combined Heat and Power, Electric Power"/>
    <x v="1"/>
    <n v="464873"/>
  </r>
  <r>
    <x v="15"/>
    <x v="50"/>
    <s v="Combined Heat and Power, Electric Power"/>
    <x v="3"/>
    <n v="2387"/>
  </r>
  <r>
    <x v="15"/>
    <x v="51"/>
    <s v="Total Electric Power Industry"/>
    <x v="0"/>
    <n v="45567307"/>
  </r>
  <r>
    <x v="15"/>
    <x v="51"/>
    <s v="Total Electric Power Industry"/>
    <x v="1"/>
    <n v="43345676"/>
  </r>
  <r>
    <x v="15"/>
    <x v="51"/>
    <s v="Total Electric Power Industry"/>
    <x v="2"/>
    <n v="808375"/>
  </r>
  <r>
    <x v="15"/>
    <x v="51"/>
    <s v="Total Electric Power Industry"/>
    <x v="3"/>
    <n v="324981"/>
  </r>
  <r>
    <x v="15"/>
    <x v="51"/>
    <s v="Total Electric Power Industry"/>
    <x v="12"/>
    <n v="65120"/>
  </r>
  <r>
    <x v="15"/>
    <x v="51"/>
    <s v="Total Electric Power Industry"/>
    <x v="9"/>
    <n v="263586"/>
  </r>
  <r>
    <x v="15"/>
    <x v="51"/>
    <s v="Total Electric Power Industry"/>
    <x v="4"/>
    <n v="42305"/>
  </r>
  <r>
    <x v="15"/>
    <x v="51"/>
    <s v="Total Electric Power Industry"/>
    <x v="5"/>
    <n v="717264"/>
  </r>
  <r>
    <x v="15"/>
    <x v="51"/>
    <s v="Electric Generators, Independent Power Producers"/>
    <x v="0"/>
    <n v="702248"/>
  </r>
  <r>
    <x v="15"/>
    <x v="51"/>
    <s v="Electric Generators, Independent Power Producers"/>
    <x v="5"/>
    <n v="702248"/>
  </r>
  <r>
    <x v="15"/>
    <x v="51"/>
    <s v="Electric Generators, Electric Utilities"/>
    <x v="0"/>
    <n v="44031568"/>
  </r>
  <r>
    <x v="15"/>
    <x v="51"/>
    <s v="Electric Generators, Electric Utilities"/>
    <x v="1"/>
    <n v="43112061"/>
  </r>
  <r>
    <x v="15"/>
    <x v="51"/>
    <s v="Electric Generators, Electric Utilities"/>
    <x v="2"/>
    <n v="808375"/>
  </r>
  <r>
    <x v="15"/>
    <x v="51"/>
    <s v="Electric Generators, Electric Utilities"/>
    <x v="3"/>
    <n v="55805"/>
  </r>
  <r>
    <x v="15"/>
    <x v="51"/>
    <s v="Electric Generators, Electric Utilities"/>
    <x v="4"/>
    <n v="40311"/>
  </r>
  <r>
    <x v="15"/>
    <x v="51"/>
    <s v="Electric Generators, Electric Utilities"/>
    <x v="5"/>
    <n v="15016"/>
  </r>
  <r>
    <x v="15"/>
    <x v="51"/>
    <s v="Combined Heat and Power, Industrial Power"/>
    <x v="0"/>
    <n v="833491"/>
  </r>
  <r>
    <x v="15"/>
    <x v="51"/>
    <s v="Combined Heat and Power, Industrial Power"/>
    <x v="1"/>
    <n v="233615"/>
  </r>
  <r>
    <x v="15"/>
    <x v="51"/>
    <s v="Combined Heat and Power, Industrial Power"/>
    <x v="3"/>
    <n v="269176"/>
  </r>
  <r>
    <x v="15"/>
    <x v="51"/>
    <s v="Combined Heat and Power, Industrial Power"/>
    <x v="12"/>
    <n v="65120"/>
  </r>
  <r>
    <x v="15"/>
    <x v="51"/>
    <s v="Combined Heat and Power, Industrial Power"/>
    <x v="9"/>
    <n v="263586"/>
  </r>
  <r>
    <x v="15"/>
    <x v="51"/>
    <s v="Combined Heat and Power, Industrial Power"/>
    <x v="4"/>
    <n v="1994"/>
  </r>
  <r>
    <x v="16"/>
    <x v="0"/>
    <s v="Total Electric Power Industry"/>
    <x v="0"/>
    <n v="6674197"/>
  </r>
  <r>
    <x v="16"/>
    <x v="0"/>
    <s v="Total Electric Power Industry"/>
    <x v="1"/>
    <n v="617419"/>
  </r>
  <r>
    <x v="16"/>
    <x v="0"/>
    <s v="Total Electric Power Industry"/>
    <x v="2"/>
    <n v="1223607"/>
  </r>
  <r>
    <x v="16"/>
    <x v="0"/>
    <s v="Total Electric Power Industry"/>
    <x v="3"/>
    <n v="4057730"/>
  </r>
  <r>
    <x v="16"/>
    <x v="0"/>
    <s v="Total Electric Power Industry"/>
    <x v="8"/>
    <n v="6149"/>
  </r>
  <r>
    <x v="16"/>
    <x v="0"/>
    <s v="Total Electric Power Industry"/>
    <x v="4"/>
    <n v="767988"/>
  </r>
  <r>
    <x v="16"/>
    <x v="0"/>
    <s v="Total Electric Power Industry"/>
    <x v="5"/>
    <n v="788"/>
  </r>
  <r>
    <x v="16"/>
    <x v="0"/>
    <s v="Total Electric Power Industry"/>
    <x v="6"/>
    <n v="516"/>
  </r>
  <r>
    <x v="16"/>
    <x v="0"/>
    <s v="Electric Generators, Electric Utilities"/>
    <x v="0"/>
    <n v="6068520"/>
  </r>
  <r>
    <x v="16"/>
    <x v="0"/>
    <s v="Electric Generators, Electric Utilities"/>
    <x v="1"/>
    <n v="209952"/>
  </r>
  <r>
    <x v="16"/>
    <x v="0"/>
    <s v="Electric Generators, Electric Utilities"/>
    <x v="2"/>
    <n v="1223607"/>
  </r>
  <r>
    <x v="16"/>
    <x v="0"/>
    <s v="Electric Generators, Electric Utilities"/>
    <x v="3"/>
    <n v="3939921"/>
  </r>
  <r>
    <x v="16"/>
    <x v="0"/>
    <s v="Electric Generators, Electric Utilities"/>
    <x v="4"/>
    <n v="694252"/>
  </r>
  <r>
    <x v="16"/>
    <x v="0"/>
    <s v="Electric Generators, Electric Utilities"/>
    <x v="5"/>
    <n v="788"/>
  </r>
  <r>
    <x v="16"/>
    <x v="0"/>
    <s v="Combined Heat and Power, Industrial Power"/>
    <x v="0"/>
    <n v="187760"/>
  </r>
  <r>
    <x v="16"/>
    <x v="0"/>
    <s v="Combined Heat and Power, Industrial Power"/>
    <x v="3"/>
    <n v="117809"/>
  </r>
  <r>
    <x v="16"/>
    <x v="0"/>
    <s v="Combined Heat and Power, Industrial Power"/>
    <x v="8"/>
    <n v="6149"/>
  </r>
  <r>
    <x v="16"/>
    <x v="0"/>
    <s v="Combined Heat and Power, Industrial Power"/>
    <x v="4"/>
    <n v="63802"/>
  </r>
  <r>
    <x v="16"/>
    <x v="0"/>
    <s v="Combined Heat and Power, Electric Power"/>
    <x v="0"/>
    <n v="187376"/>
  </r>
  <r>
    <x v="16"/>
    <x v="0"/>
    <s v="Combined Heat and Power, Electric Power"/>
    <x v="1"/>
    <n v="187376"/>
  </r>
  <r>
    <x v="16"/>
    <x v="0"/>
    <s v="Combined Heat and Power, Commercial Power"/>
    <x v="0"/>
    <n v="230541"/>
  </r>
  <r>
    <x v="16"/>
    <x v="0"/>
    <s v="Combined Heat and Power, Commercial Power"/>
    <x v="1"/>
    <n v="220091"/>
  </r>
  <r>
    <x v="16"/>
    <x v="0"/>
    <s v="Combined Heat and Power, Commercial Power"/>
    <x v="4"/>
    <n v="9934"/>
  </r>
  <r>
    <x v="16"/>
    <x v="0"/>
    <s v="Combined Heat and Power, Commercial Power"/>
    <x v="6"/>
    <n v="516"/>
  </r>
  <r>
    <x v="16"/>
    <x v="1"/>
    <s v="Total Electric Power Industry"/>
    <x v="0"/>
    <n v="140895441"/>
  </r>
  <r>
    <x v="16"/>
    <x v="1"/>
    <s v="Total Electric Power Industry"/>
    <x v="1"/>
    <n v="78108668"/>
  </r>
  <r>
    <x v="16"/>
    <x v="1"/>
    <s v="Total Electric Power Industry"/>
    <x v="2"/>
    <n v="7251786"/>
  </r>
  <r>
    <x v="16"/>
    <x v="1"/>
    <s v="Total Electric Power Industry"/>
    <x v="3"/>
    <n v="19407222"/>
  </r>
  <r>
    <x v="16"/>
    <x v="1"/>
    <s v="Total Electric Power Industry"/>
    <x v="7"/>
    <n v="31911096"/>
  </r>
  <r>
    <x v="16"/>
    <x v="1"/>
    <s v="Total Electric Power Industry"/>
    <x v="12"/>
    <n v="20933"/>
  </r>
  <r>
    <x v="16"/>
    <x v="1"/>
    <s v="Total Electric Power Industry"/>
    <x v="8"/>
    <n v="19452"/>
  </r>
  <r>
    <x v="16"/>
    <x v="1"/>
    <s v="Total Electric Power Industry"/>
    <x v="9"/>
    <n v="131109"/>
  </r>
  <r>
    <x v="16"/>
    <x v="1"/>
    <s v="Total Electric Power Industry"/>
    <x v="4"/>
    <n v="180166"/>
  </r>
  <r>
    <x v="16"/>
    <x v="1"/>
    <s v="Total Electric Power Industry"/>
    <x v="6"/>
    <n v="3865010"/>
  </r>
  <r>
    <x v="16"/>
    <x v="1"/>
    <s v="Electric Generators, Independent Power Producers"/>
    <x v="0"/>
    <n v="7103396"/>
  </r>
  <r>
    <x v="16"/>
    <x v="1"/>
    <s v="Electric Generators, Independent Power Producers"/>
    <x v="3"/>
    <n v="7098975"/>
  </r>
  <r>
    <x v="16"/>
    <x v="1"/>
    <s v="Electric Generators, Independent Power Producers"/>
    <x v="12"/>
    <n v="1747"/>
  </r>
  <r>
    <x v="16"/>
    <x v="1"/>
    <s v="Electric Generators, Independent Power Producers"/>
    <x v="4"/>
    <n v="2674"/>
  </r>
  <r>
    <x v="16"/>
    <x v="1"/>
    <s v="Electric Generators, Electric Utilities"/>
    <x v="0"/>
    <n v="124365180"/>
  </r>
  <r>
    <x v="16"/>
    <x v="1"/>
    <s v="Electric Generators, Electric Utilities"/>
    <x v="1"/>
    <n v="77664239"/>
  </r>
  <r>
    <x v="16"/>
    <x v="1"/>
    <s v="Electric Generators, Electric Utilities"/>
    <x v="2"/>
    <n v="7251786"/>
  </r>
  <r>
    <x v="16"/>
    <x v="1"/>
    <s v="Electric Generators, Electric Utilities"/>
    <x v="3"/>
    <n v="7450174"/>
  </r>
  <r>
    <x v="16"/>
    <x v="1"/>
    <s v="Electric Generators, Electric Utilities"/>
    <x v="7"/>
    <n v="31911096"/>
  </r>
  <r>
    <x v="16"/>
    <x v="1"/>
    <s v="Electric Generators, Electric Utilities"/>
    <x v="4"/>
    <n v="87885"/>
  </r>
  <r>
    <x v="16"/>
    <x v="1"/>
    <s v="Combined Heat and Power, Industrial Power"/>
    <x v="0"/>
    <n v="4743686"/>
  </r>
  <r>
    <x v="16"/>
    <x v="1"/>
    <s v="Combined Heat and Power, Industrial Power"/>
    <x v="1"/>
    <n v="237907"/>
  </r>
  <r>
    <x v="16"/>
    <x v="1"/>
    <s v="Combined Heat and Power, Industrial Power"/>
    <x v="3"/>
    <n v="587875"/>
  </r>
  <r>
    <x v="16"/>
    <x v="1"/>
    <s v="Combined Heat and Power, Industrial Power"/>
    <x v="12"/>
    <n v="19186"/>
  </r>
  <r>
    <x v="16"/>
    <x v="1"/>
    <s v="Combined Heat and Power, Industrial Power"/>
    <x v="8"/>
    <n v="19452"/>
  </r>
  <r>
    <x v="16"/>
    <x v="1"/>
    <s v="Combined Heat and Power, Industrial Power"/>
    <x v="9"/>
    <n v="131109"/>
  </r>
  <r>
    <x v="16"/>
    <x v="1"/>
    <s v="Combined Heat and Power, Industrial Power"/>
    <x v="4"/>
    <n v="89607"/>
  </r>
  <r>
    <x v="16"/>
    <x v="1"/>
    <s v="Combined Heat and Power, Industrial Power"/>
    <x v="6"/>
    <n v="3658551"/>
  </r>
  <r>
    <x v="16"/>
    <x v="1"/>
    <s v="Combined Heat and Power, Electric Power"/>
    <x v="0"/>
    <n v="4683179"/>
  </r>
  <r>
    <x v="16"/>
    <x v="1"/>
    <s v="Combined Heat and Power, Electric Power"/>
    <x v="1"/>
    <n v="206522"/>
  </r>
  <r>
    <x v="16"/>
    <x v="1"/>
    <s v="Combined Heat and Power, Electric Power"/>
    <x v="3"/>
    <n v="4270197"/>
  </r>
  <r>
    <x v="16"/>
    <x v="1"/>
    <s v="Combined Heat and Power, Electric Power"/>
    <x v="6"/>
    <n v="206459"/>
  </r>
  <r>
    <x v="16"/>
    <x v="2"/>
    <s v="Total Electric Power Industry"/>
    <x v="0"/>
    <n v="52168703"/>
  </r>
  <r>
    <x v="16"/>
    <x v="2"/>
    <s v="Total Electric Power Industry"/>
    <x v="1"/>
    <n v="24183050"/>
  </r>
  <r>
    <x v="16"/>
    <x v="2"/>
    <s v="Total Electric Power Industry"/>
    <x v="2"/>
    <n v="1550558"/>
  </r>
  <r>
    <x v="16"/>
    <x v="2"/>
    <s v="Total Electric Power Industry"/>
    <x v="3"/>
    <n v="9282386"/>
  </r>
  <r>
    <x v="16"/>
    <x v="2"/>
    <s v="Total Electric Power Industry"/>
    <x v="7"/>
    <n v="15232577"/>
  </r>
  <r>
    <x v="16"/>
    <x v="2"/>
    <s v="Total Electric Power Industry"/>
    <x v="12"/>
    <n v="21865"/>
  </r>
  <r>
    <x v="16"/>
    <x v="2"/>
    <s v="Total Electric Power Industry"/>
    <x v="8"/>
    <n v="33426"/>
  </r>
  <r>
    <x v="16"/>
    <x v="2"/>
    <s v="Total Electric Power Industry"/>
    <x v="4"/>
    <n v="160743"/>
  </r>
  <r>
    <x v="16"/>
    <x v="2"/>
    <s v="Total Electric Power Industry"/>
    <x v="10"/>
    <n v="14719"/>
  </r>
  <r>
    <x v="16"/>
    <x v="2"/>
    <s v="Total Electric Power Industry"/>
    <x v="6"/>
    <n v="1689379"/>
  </r>
  <r>
    <x v="16"/>
    <x v="2"/>
    <s v="Electric Generators, Independent Power Producers"/>
    <x v="0"/>
    <n v="6966391"/>
  </r>
  <r>
    <x v="16"/>
    <x v="2"/>
    <s v="Electric Generators, Independent Power Producers"/>
    <x v="2"/>
    <n v="0"/>
  </r>
  <r>
    <x v="16"/>
    <x v="2"/>
    <s v="Electric Generators, Independent Power Producers"/>
    <x v="3"/>
    <n v="6958984"/>
  </r>
  <r>
    <x v="16"/>
    <x v="2"/>
    <s v="Electric Generators, Independent Power Producers"/>
    <x v="8"/>
    <n v="7407"/>
  </r>
  <r>
    <x v="16"/>
    <x v="2"/>
    <s v="Electric Generators, Electric Utilities"/>
    <x v="0"/>
    <n v="42068467"/>
  </r>
  <r>
    <x v="16"/>
    <x v="2"/>
    <s v="Electric Generators, Electric Utilities"/>
    <x v="1"/>
    <n v="24095405"/>
  </r>
  <r>
    <x v="16"/>
    <x v="2"/>
    <s v="Electric Generators, Electric Utilities"/>
    <x v="2"/>
    <n v="1550558"/>
  </r>
  <r>
    <x v="16"/>
    <x v="2"/>
    <s v="Electric Generators, Electric Utilities"/>
    <x v="3"/>
    <n v="1039917"/>
  </r>
  <r>
    <x v="16"/>
    <x v="2"/>
    <s v="Electric Generators, Electric Utilities"/>
    <x v="7"/>
    <n v="15232577"/>
  </r>
  <r>
    <x v="16"/>
    <x v="2"/>
    <s v="Electric Generators, Electric Utilities"/>
    <x v="4"/>
    <n v="135291"/>
  </r>
  <r>
    <x v="16"/>
    <x v="2"/>
    <s v="Electric Generators, Electric Utilities"/>
    <x v="10"/>
    <n v="14719"/>
  </r>
  <r>
    <x v="16"/>
    <x v="2"/>
    <s v="Combined Heat and Power, Industrial Power"/>
    <x v="0"/>
    <n v="1979099"/>
  </r>
  <r>
    <x v="16"/>
    <x v="2"/>
    <s v="Combined Heat and Power, Industrial Power"/>
    <x v="1"/>
    <n v="87645"/>
  </r>
  <r>
    <x v="16"/>
    <x v="2"/>
    <s v="Combined Heat and Power, Industrial Power"/>
    <x v="3"/>
    <n v="152452"/>
  </r>
  <r>
    <x v="16"/>
    <x v="2"/>
    <s v="Combined Heat and Power, Industrial Power"/>
    <x v="12"/>
    <n v="21865"/>
  </r>
  <r>
    <x v="16"/>
    <x v="2"/>
    <s v="Combined Heat and Power, Industrial Power"/>
    <x v="8"/>
    <n v="2306"/>
  </r>
  <r>
    <x v="16"/>
    <x v="2"/>
    <s v="Combined Heat and Power, Industrial Power"/>
    <x v="4"/>
    <n v="25452"/>
  </r>
  <r>
    <x v="16"/>
    <x v="2"/>
    <s v="Combined Heat and Power, Industrial Power"/>
    <x v="6"/>
    <n v="1689379"/>
  </r>
  <r>
    <x v="16"/>
    <x v="2"/>
    <s v="Combined Heat and Power, Electric Power"/>
    <x v="0"/>
    <n v="1150978"/>
  </r>
  <r>
    <x v="16"/>
    <x v="2"/>
    <s v="Combined Heat and Power, Electric Power"/>
    <x v="3"/>
    <n v="1130539"/>
  </r>
  <r>
    <x v="16"/>
    <x v="2"/>
    <s v="Combined Heat and Power, Electric Power"/>
    <x v="8"/>
    <n v="20439"/>
  </r>
  <r>
    <x v="16"/>
    <x v="2"/>
    <s v="Combined Heat and Power, Electric Power"/>
    <x v="4"/>
    <n v="0"/>
  </r>
  <r>
    <x v="16"/>
    <x v="2"/>
    <s v="Combined Heat and Power, Commercial Power"/>
    <x v="0"/>
    <n v="3768"/>
  </r>
  <r>
    <x v="16"/>
    <x v="2"/>
    <s v="Combined Heat and Power, Commercial Power"/>
    <x v="3"/>
    <n v="494"/>
  </r>
  <r>
    <x v="16"/>
    <x v="2"/>
    <s v="Combined Heat and Power, Commercial Power"/>
    <x v="8"/>
    <n v="3274"/>
  </r>
  <r>
    <x v="16"/>
    <x v="3"/>
    <s v="Total Electric Power Industry"/>
    <x v="0"/>
    <n v="104392528"/>
  </r>
  <r>
    <x v="16"/>
    <x v="3"/>
    <s v="Total Electric Power Industry"/>
    <x v="1"/>
    <n v="40442855"/>
  </r>
  <r>
    <x v="16"/>
    <x v="3"/>
    <s v="Total Electric Power Industry"/>
    <x v="2"/>
    <n v="6792904"/>
  </r>
  <r>
    <x v="16"/>
    <x v="3"/>
    <s v="Total Electric Power Industry"/>
    <x v="3"/>
    <n v="32869047"/>
  </r>
  <r>
    <x v="16"/>
    <x v="3"/>
    <s v="Total Electric Power Industry"/>
    <x v="7"/>
    <n v="24012231"/>
  </r>
  <r>
    <x v="16"/>
    <x v="3"/>
    <s v="Total Electric Power Industry"/>
    <x v="8"/>
    <n v="32193"/>
  </r>
  <r>
    <x v="16"/>
    <x v="3"/>
    <s v="Total Electric Power Industry"/>
    <x v="4"/>
    <n v="73371"/>
  </r>
  <r>
    <x v="16"/>
    <x v="3"/>
    <s v="Total Electric Power Industry"/>
    <x v="10"/>
    <n v="148552"/>
  </r>
  <r>
    <x v="16"/>
    <x v="3"/>
    <s v="Total Electric Power Industry"/>
    <x v="13"/>
    <n v="13134"/>
  </r>
  <r>
    <x v="16"/>
    <x v="3"/>
    <s v="Total Electric Power Industry"/>
    <x v="6"/>
    <n v="8240"/>
  </r>
  <r>
    <x v="16"/>
    <x v="3"/>
    <s v="Electric Generators, Independent Power Producers"/>
    <x v="0"/>
    <n v="17616522"/>
  </r>
  <r>
    <x v="16"/>
    <x v="3"/>
    <s v="Electric Generators, Independent Power Producers"/>
    <x v="3"/>
    <n v="17608282"/>
  </r>
  <r>
    <x v="16"/>
    <x v="3"/>
    <s v="Electric Generators, Independent Power Producers"/>
    <x v="6"/>
    <n v="8240"/>
  </r>
  <r>
    <x v="16"/>
    <x v="3"/>
    <s v="Electric Generators, Electric Utilities"/>
    <x v="0"/>
    <n v="84355976"/>
  </r>
  <r>
    <x v="16"/>
    <x v="3"/>
    <s v="Electric Generators, Electric Utilities"/>
    <x v="1"/>
    <n v="40056468"/>
  </r>
  <r>
    <x v="16"/>
    <x v="3"/>
    <s v="Electric Generators, Electric Utilities"/>
    <x v="2"/>
    <n v="6792904"/>
  </r>
  <r>
    <x v="16"/>
    <x v="3"/>
    <s v="Electric Generators, Electric Utilities"/>
    <x v="3"/>
    <n v="13232997"/>
  </r>
  <r>
    <x v="16"/>
    <x v="3"/>
    <s v="Electric Generators, Electric Utilities"/>
    <x v="7"/>
    <n v="24012231"/>
  </r>
  <r>
    <x v="16"/>
    <x v="3"/>
    <s v="Electric Generators, Electric Utilities"/>
    <x v="8"/>
    <n v="27929"/>
  </r>
  <r>
    <x v="16"/>
    <x v="3"/>
    <s v="Electric Generators, Electric Utilities"/>
    <x v="4"/>
    <n v="71761"/>
  </r>
  <r>
    <x v="16"/>
    <x v="3"/>
    <s v="Electric Generators, Electric Utilities"/>
    <x v="10"/>
    <n v="148552"/>
  </r>
  <r>
    <x v="16"/>
    <x v="3"/>
    <s v="Electric Generators, Electric Utilities"/>
    <x v="13"/>
    <n v="13134"/>
  </r>
  <r>
    <x v="16"/>
    <x v="3"/>
    <s v="Combined Heat and Power, Industrial Power"/>
    <x v="0"/>
    <n v="388734"/>
  </r>
  <r>
    <x v="16"/>
    <x v="3"/>
    <s v="Combined Heat and Power, Industrial Power"/>
    <x v="1"/>
    <n v="386387"/>
  </r>
  <r>
    <x v="16"/>
    <x v="3"/>
    <s v="Combined Heat and Power, Industrial Power"/>
    <x v="3"/>
    <n v="737"/>
  </r>
  <r>
    <x v="16"/>
    <x v="3"/>
    <s v="Combined Heat and Power, Industrial Power"/>
    <x v="4"/>
    <n v="1610"/>
  </r>
  <r>
    <x v="16"/>
    <x v="3"/>
    <s v="Combined Heat and Power, Electric Power"/>
    <x v="0"/>
    <n v="1959088"/>
  </r>
  <r>
    <x v="16"/>
    <x v="3"/>
    <s v="Combined Heat and Power, Electric Power"/>
    <x v="3"/>
    <n v="1959088"/>
  </r>
  <r>
    <x v="16"/>
    <x v="3"/>
    <s v="Combined Heat and Power, Commercial Power"/>
    <x v="0"/>
    <n v="72208"/>
  </r>
  <r>
    <x v="16"/>
    <x v="3"/>
    <s v="Combined Heat and Power, Commercial Power"/>
    <x v="3"/>
    <n v="67944"/>
  </r>
  <r>
    <x v="16"/>
    <x v="3"/>
    <s v="Combined Heat and Power, Commercial Power"/>
    <x v="8"/>
    <n v="4264"/>
  </r>
  <r>
    <x v="16"/>
    <x v="3"/>
    <s v="Combined Heat and Power, Commercial Power"/>
    <x v="4"/>
    <n v="0"/>
  </r>
  <r>
    <x v="16"/>
    <x v="4"/>
    <s v="Total Electric Power Industry"/>
    <x v="0"/>
    <n v="216798688"/>
  </r>
  <r>
    <x v="16"/>
    <x v="4"/>
    <s v="Total Electric Power Industry"/>
    <x v="1"/>
    <n v="2235342"/>
  </r>
  <r>
    <x v="16"/>
    <x v="4"/>
    <s v="Total Electric Power Industry"/>
    <x v="11"/>
    <n v="12821434"/>
  </r>
  <r>
    <x v="16"/>
    <x v="4"/>
    <s v="Total Electric Power Industry"/>
    <x v="2"/>
    <n v="48047380"/>
  </r>
  <r>
    <x v="16"/>
    <x v="4"/>
    <s v="Total Electric Power Industry"/>
    <x v="3"/>
    <n v="105691116"/>
  </r>
  <r>
    <x v="16"/>
    <x v="4"/>
    <s v="Total Electric Power Industry"/>
    <x v="7"/>
    <n v="31958621"/>
  </r>
  <r>
    <x v="16"/>
    <x v="4"/>
    <s v="Total Electric Power Industry"/>
    <x v="12"/>
    <n v="464077"/>
  </r>
  <r>
    <x v="16"/>
    <x v="4"/>
    <s v="Total Electric Power Industry"/>
    <x v="8"/>
    <n v="2294495"/>
  </r>
  <r>
    <x v="16"/>
    <x v="4"/>
    <s v="Total Electric Power Industry"/>
    <x v="9"/>
    <n v="2022446"/>
  </r>
  <r>
    <x v="16"/>
    <x v="4"/>
    <s v="Total Electric Power Industry"/>
    <x v="4"/>
    <n v="2368174"/>
  </r>
  <r>
    <x v="16"/>
    <x v="4"/>
    <s v="Total Electric Power Industry"/>
    <x v="10"/>
    <n v="96137"/>
  </r>
  <r>
    <x v="16"/>
    <x v="4"/>
    <s v="Total Electric Power Industry"/>
    <x v="13"/>
    <n v="494572"/>
  </r>
  <r>
    <x v="16"/>
    <x v="4"/>
    <s v="Total Electric Power Industry"/>
    <x v="5"/>
    <n v="4882801"/>
  </r>
  <r>
    <x v="16"/>
    <x v="4"/>
    <s v="Total Electric Power Industry"/>
    <x v="6"/>
    <n v="3422093"/>
  </r>
  <r>
    <x v="16"/>
    <x v="4"/>
    <s v="Electric Generators, Independent Power Producers"/>
    <x v="0"/>
    <n v="76508931"/>
  </r>
  <r>
    <x v="16"/>
    <x v="4"/>
    <s v="Electric Generators, Independent Power Producers"/>
    <x v="1"/>
    <n v="0"/>
  </r>
  <r>
    <x v="16"/>
    <x v="4"/>
    <s v="Electric Generators, Independent Power Producers"/>
    <x v="11"/>
    <n v="11849707"/>
  </r>
  <r>
    <x v="16"/>
    <x v="4"/>
    <s v="Electric Generators, Independent Power Producers"/>
    <x v="2"/>
    <n v="912852"/>
  </r>
  <r>
    <x v="16"/>
    <x v="4"/>
    <s v="Electric Generators, Independent Power Producers"/>
    <x v="3"/>
    <n v="53474240"/>
  </r>
  <r>
    <x v="16"/>
    <x v="4"/>
    <s v="Electric Generators, Independent Power Producers"/>
    <x v="12"/>
    <n v="86240"/>
  </r>
  <r>
    <x v="16"/>
    <x v="4"/>
    <s v="Electric Generators, Independent Power Producers"/>
    <x v="8"/>
    <n v="1418532"/>
  </r>
  <r>
    <x v="16"/>
    <x v="4"/>
    <s v="Electric Generators, Independent Power Producers"/>
    <x v="9"/>
    <n v="0"/>
  </r>
  <r>
    <x v="16"/>
    <x v="4"/>
    <s v="Electric Generators, Independent Power Producers"/>
    <x v="4"/>
    <n v="1121354"/>
  </r>
  <r>
    <x v="16"/>
    <x v="4"/>
    <s v="Electric Generators, Independent Power Producers"/>
    <x v="13"/>
    <n v="492624"/>
  </r>
  <r>
    <x v="16"/>
    <x v="4"/>
    <s v="Electric Generators, Independent Power Producers"/>
    <x v="5"/>
    <n v="4808930"/>
  </r>
  <r>
    <x v="16"/>
    <x v="4"/>
    <s v="Electric Generators, Independent Power Producers"/>
    <x v="6"/>
    <n v="2344452"/>
  </r>
  <r>
    <x v="16"/>
    <x v="4"/>
    <s v="Electric Generators, Electric Utilities"/>
    <x v="0"/>
    <n v="100338454"/>
  </r>
  <r>
    <x v="16"/>
    <x v="4"/>
    <s v="Electric Generators, Electric Utilities"/>
    <x v="11"/>
    <n v="971727"/>
  </r>
  <r>
    <x v="16"/>
    <x v="4"/>
    <s v="Electric Generators, Electric Utilities"/>
    <x v="2"/>
    <n v="47127134"/>
  </r>
  <r>
    <x v="16"/>
    <x v="4"/>
    <s v="Electric Generators, Electric Utilities"/>
    <x v="3"/>
    <n v="19805412"/>
  </r>
  <r>
    <x v="16"/>
    <x v="4"/>
    <s v="Electric Generators, Electric Utilities"/>
    <x v="7"/>
    <n v="31958621"/>
  </r>
  <r>
    <x v="16"/>
    <x v="4"/>
    <s v="Electric Generators, Electric Utilities"/>
    <x v="8"/>
    <n v="244613"/>
  </r>
  <r>
    <x v="16"/>
    <x v="4"/>
    <s v="Electric Generators, Electric Utilities"/>
    <x v="4"/>
    <n v="58991"/>
  </r>
  <r>
    <x v="16"/>
    <x v="4"/>
    <s v="Electric Generators, Electric Utilities"/>
    <x v="10"/>
    <n v="96137"/>
  </r>
  <r>
    <x v="16"/>
    <x v="4"/>
    <s v="Electric Generators, Electric Utilities"/>
    <x v="13"/>
    <n v="1948"/>
  </r>
  <r>
    <x v="16"/>
    <x v="4"/>
    <s v="Electric Generators, Electric Utilities"/>
    <x v="5"/>
    <n v="73871"/>
  </r>
  <r>
    <x v="16"/>
    <x v="4"/>
    <s v="Combined Heat and Power, Industrial Power"/>
    <x v="0"/>
    <n v="16433712"/>
  </r>
  <r>
    <x v="16"/>
    <x v="4"/>
    <s v="Combined Heat and Power, Industrial Power"/>
    <x v="1"/>
    <n v="480998"/>
  </r>
  <r>
    <x v="16"/>
    <x v="4"/>
    <s v="Combined Heat and Power, Industrial Power"/>
    <x v="3"/>
    <n v="12311997"/>
  </r>
  <r>
    <x v="16"/>
    <x v="4"/>
    <s v="Combined Heat and Power, Industrial Power"/>
    <x v="12"/>
    <n v="251779"/>
  </r>
  <r>
    <x v="16"/>
    <x v="4"/>
    <s v="Combined Heat and Power, Industrial Power"/>
    <x v="9"/>
    <n v="1969889"/>
  </r>
  <r>
    <x v="16"/>
    <x v="4"/>
    <s v="Combined Heat and Power, Industrial Power"/>
    <x v="4"/>
    <n v="561816"/>
  </r>
  <r>
    <x v="16"/>
    <x v="4"/>
    <s v="Combined Heat and Power, Industrial Power"/>
    <x v="6"/>
    <n v="857232"/>
  </r>
  <r>
    <x v="16"/>
    <x v="4"/>
    <s v="Combined Heat and Power, Electric Power"/>
    <x v="0"/>
    <n v="21399211"/>
  </r>
  <r>
    <x v="16"/>
    <x v="4"/>
    <s v="Combined Heat and Power, Electric Power"/>
    <x v="1"/>
    <n v="1754344"/>
  </r>
  <r>
    <x v="16"/>
    <x v="4"/>
    <s v="Combined Heat and Power, Electric Power"/>
    <x v="3"/>
    <n v="18445958"/>
  </r>
  <r>
    <x v="16"/>
    <x v="4"/>
    <s v="Combined Heat and Power, Electric Power"/>
    <x v="12"/>
    <n v="126055"/>
  </r>
  <r>
    <x v="16"/>
    <x v="4"/>
    <s v="Combined Heat and Power, Electric Power"/>
    <x v="8"/>
    <n v="174287"/>
  </r>
  <r>
    <x v="16"/>
    <x v="4"/>
    <s v="Combined Heat and Power, Electric Power"/>
    <x v="9"/>
    <n v="52557"/>
  </r>
  <r>
    <x v="16"/>
    <x v="4"/>
    <s v="Combined Heat and Power, Electric Power"/>
    <x v="4"/>
    <n v="625601"/>
  </r>
  <r>
    <x v="16"/>
    <x v="4"/>
    <s v="Combined Heat and Power, Electric Power"/>
    <x v="6"/>
    <n v="220409"/>
  </r>
  <r>
    <x v="16"/>
    <x v="4"/>
    <s v="Combined Heat and Power, Commercial Power"/>
    <x v="0"/>
    <n v="2118380"/>
  </r>
  <r>
    <x v="16"/>
    <x v="4"/>
    <s v="Combined Heat and Power, Commercial Power"/>
    <x v="2"/>
    <n v="7394"/>
  </r>
  <r>
    <x v="16"/>
    <x v="4"/>
    <s v="Combined Heat and Power, Commercial Power"/>
    <x v="3"/>
    <n v="1653509"/>
  </r>
  <r>
    <x v="16"/>
    <x v="4"/>
    <s v="Combined Heat and Power, Commercial Power"/>
    <x v="12"/>
    <n v="2"/>
  </r>
  <r>
    <x v="16"/>
    <x v="4"/>
    <s v="Combined Heat and Power, Commercial Power"/>
    <x v="8"/>
    <n v="457063"/>
  </r>
  <r>
    <x v="16"/>
    <x v="4"/>
    <s v="Combined Heat and Power, Commercial Power"/>
    <x v="9"/>
    <n v="0"/>
  </r>
  <r>
    <x v="16"/>
    <x v="4"/>
    <s v="Combined Heat and Power, Commercial Power"/>
    <x v="4"/>
    <n v="412"/>
  </r>
  <r>
    <x v="16"/>
    <x v="5"/>
    <s v="Total Electric Power Industry"/>
    <x v="0"/>
    <n v="50698353"/>
  </r>
  <r>
    <x v="16"/>
    <x v="5"/>
    <s v="Total Electric Power Industry"/>
    <x v="1"/>
    <n v="36269425"/>
  </r>
  <r>
    <x v="16"/>
    <x v="5"/>
    <s v="Total Electric Power Industry"/>
    <x v="2"/>
    <n v="1791207"/>
  </r>
  <r>
    <x v="16"/>
    <x v="5"/>
    <s v="Total Electric Power Industry"/>
    <x v="3"/>
    <n v="11918639"/>
  </r>
  <r>
    <x v="16"/>
    <x v="5"/>
    <s v="Total Electric Power Industry"/>
    <x v="12"/>
    <n v="0"/>
  </r>
  <r>
    <x v="16"/>
    <x v="5"/>
    <s v="Total Electric Power Industry"/>
    <x v="8"/>
    <n v="30692"/>
  </r>
  <r>
    <x v="16"/>
    <x v="5"/>
    <s v="Total Electric Power Industry"/>
    <x v="9"/>
    <n v="2519"/>
  </r>
  <r>
    <x v="16"/>
    <x v="5"/>
    <s v="Total Electric Power Industry"/>
    <x v="4"/>
    <n v="20837"/>
  </r>
  <r>
    <x v="16"/>
    <x v="5"/>
    <s v="Total Electric Power Industry"/>
    <x v="10"/>
    <n v="-200502"/>
  </r>
  <r>
    <x v="16"/>
    <x v="5"/>
    <s v="Total Electric Power Industry"/>
    <x v="5"/>
    <n v="865536"/>
  </r>
  <r>
    <x v="16"/>
    <x v="5"/>
    <s v="Total Electric Power Industry"/>
    <x v="6"/>
    <n v="0"/>
  </r>
  <r>
    <x v="16"/>
    <x v="5"/>
    <s v="Electric Generators, Independent Power Producers"/>
    <x v="0"/>
    <n v="7003971"/>
  </r>
  <r>
    <x v="16"/>
    <x v="5"/>
    <s v="Electric Generators, Independent Power Producers"/>
    <x v="2"/>
    <n v="114775"/>
  </r>
  <r>
    <x v="16"/>
    <x v="5"/>
    <s v="Electric Generators, Independent Power Producers"/>
    <x v="3"/>
    <n v="6082881"/>
  </r>
  <r>
    <x v="16"/>
    <x v="5"/>
    <s v="Electric Generators, Independent Power Producers"/>
    <x v="4"/>
    <n v="2738"/>
  </r>
  <r>
    <x v="16"/>
    <x v="5"/>
    <s v="Electric Generators, Independent Power Producers"/>
    <x v="5"/>
    <n v="803577"/>
  </r>
  <r>
    <x v="16"/>
    <x v="5"/>
    <s v="Electric Generators, Electric Utilities"/>
    <x v="0"/>
    <n v="42055989"/>
  </r>
  <r>
    <x v="16"/>
    <x v="5"/>
    <s v="Electric Generators, Electric Utilities"/>
    <x v="1"/>
    <n v="36003331"/>
  </r>
  <r>
    <x v="16"/>
    <x v="5"/>
    <s v="Electric Generators, Electric Utilities"/>
    <x v="2"/>
    <n v="1676432"/>
  </r>
  <r>
    <x v="16"/>
    <x v="5"/>
    <s v="Electric Generators, Electric Utilities"/>
    <x v="3"/>
    <n v="4494604"/>
  </r>
  <r>
    <x v="16"/>
    <x v="5"/>
    <s v="Electric Generators, Electric Utilities"/>
    <x v="9"/>
    <n v="2519"/>
  </r>
  <r>
    <x v="16"/>
    <x v="5"/>
    <s v="Electric Generators, Electric Utilities"/>
    <x v="4"/>
    <n v="17646"/>
  </r>
  <r>
    <x v="16"/>
    <x v="5"/>
    <s v="Electric Generators, Electric Utilities"/>
    <x v="10"/>
    <n v="-200502"/>
  </r>
  <r>
    <x v="16"/>
    <x v="5"/>
    <s v="Electric Generators, Electric Utilities"/>
    <x v="5"/>
    <n v="61959"/>
  </r>
  <r>
    <x v="16"/>
    <x v="5"/>
    <s v="Electric Generators, Electric Utilities"/>
    <x v="6"/>
    <n v="0"/>
  </r>
  <r>
    <x v="16"/>
    <x v="5"/>
    <s v="Combined Heat and Power, Industrial Power"/>
    <x v="0"/>
    <n v="77691"/>
  </r>
  <r>
    <x v="16"/>
    <x v="5"/>
    <s v="Combined Heat and Power, Industrial Power"/>
    <x v="3"/>
    <n v="77682"/>
  </r>
  <r>
    <x v="16"/>
    <x v="5"/>
    <s v="Combined Heat and Power, Industrial Power"/>
    <x v="12"/>
    <n v="0"/>
  </r>
  <r>
    <x v="16"/>
    <x v="5"/>
    <s v="Combined Heat and Power, Industrial Power"/>
    <x v="4"/>
    <n v="9"/>
  </r>
  <r>
    <x v="16"/>
    <x v="5"/>
    <s v="Combined Heat and Power, Electric Power"/>
    <x v="0"/>
    <n v="1532552"/>
  </r>
  <r>
    <x v="16"/>
    <x v="5"/>
    <s v="Combined Heat and Power, Electric Power"/>
    <x v="1"/>
    <n v="266094"/>
  </r>
  <r>
    <x v="16"/>
    <x v="5"/>
    <s v="Combined Heat and Power, Electric Power"/>
    <x v="3"/>
    <n v="1235325"/>
  </r>
  <r>
    <x v="16"/>
    <x v="5"/>
    <s v="Combined Heat and Power, Electric Power"/>
    <x v="8"/>
    <n v="30692"/>
  </r>
  <r>
    <x v="16"/>
    <x v="5"/>
    <s v="Combined Heat and Power, Electric Power"/>
    <x v="4"/>
    <n v="441"/>
  </r>
  <r>
    <x v="16"/>
    <x v="5"/>
    <s v="Combined Heat and Power, Commercial Power"/>
    <x v="0"/>
    <n v="28150"/>
  </r>
  <r>
    <x v="16"/>
    <x v="5"/>
    <s v="Combined Heat and Power, Commercial Power"/>
    <x v="3"/>
    <n v="28148"/>
  </r>
  <r>
    <x v="16"/>
    <x v="5"/>
    <s v="Combined Heat and Power, Commercial Power"/>
    <x v="4"/>
    <n v="3"/>
  </r>
  <r>
    <x v="16"/>
    <x v="6"/>
    <s v="Total Electric Power Industry"/>
    <x v="0"/>
    <n v="34681736"/>
  </r>
  <r>
    <x v="16"/>
    <x v="6"/>
    <s v="Total Electric Power Industry"/>
    <x v="1"/>
    <n v="4281516"/>
  </r>
  <r>
    <x v="16"/>
    <x v="6"/>
    <s v="Total Electric Power Industry"/>
    <x v="2"/>
    <n v="543892"/>
  </r>
  <r>
    <x v="16"/>
    <x v="6"/>
    <s v="Total Electric Power Industry"/>
    <x v="3"/>
    <n v="10484481"/>
  </r>
  <r>
    <x v="16"/>
    <x v="6"/>
    <s v="Total Electric Power Industry"/>
    <x v="7"/>
    <n v="16589446"/>
  </r>
  <r>
    <x v="16"/>
    <x v="6"/>
    <s v="Total Electric Power Industry"/>
    <x v="12"/>
    <n v="738600"/>
  </r>
  <r>
    <x v="16"/>
    <x v="6"/>
    <s v="Total Electric Power Industry"/>
    <x v="8"/>
    <n v="754776"/>
  </r>
  <r>
    <x v="16"/>
    <x v="6"/>
    <s v="Total Electric Power Industry"/>
    <x v="9"/>
    <n v="1647"/>
  </r>
  <r>
    <x v="16"/>
    <x v="6"/>
    <s v="Total Electric Power Industry"/>
    <x v="4"/>
    <n v="1278834"/>
  </r>
  <r>
    <x v="16"/>
    <x v="6"/>
    <s v="Total Electric Power Industry"/>
    <x v="10"/>
    <n v="0"/>
  </r>
  <r>
    <x v="16"/>
    <x v="6"/>
    <s v="Total Electric Power Industry"/>
    <x v="6"/>
    <n v="8544"/>
  </r>
  <r>
    <x v="16"/>
    <x v="6"/>
    <s v="Electric Generators, Independent Power Producers"/>
    <x v="0"/>
    <n v="32430695"/>
  </r>
  <r>
    <x v="16"/>
    <x v="6"/>
    <s v="Electric Generators, Independent Power Producers"/>
    <x v="1"/>
    <n v="2792968"/>
  </r>
  <r>
    <x v="16"/>
    <x v="6"/>
    <s v="Electric Generators, Independent Power Producers"/>
    <x v="2"/>
    <n v="497562"/>
  </r>
  <r>
    <x v="16"/>
    <x v="6"/>
    <s v="Electric Generators, Independent Power Producers"/>
    <x v="3"/>
    <n v="9834531"/>
  </r>
  <r>
    <x v="16"/>
    <x v="6"/>
    <s v="Electric Generators, Independent Power Producers"/>
    <x v="7"/>
    <n v="16589446"/>
  </r>
  <r>
    <x v="16"/>
    <x v="6"/>
    <s v="Electric Generators, Independent Power Producers"/>
    <x v="12"/>
    <n v="726325"/>
  </r>
  <r>
    <x v="16"/>
    <x v="6"/>
    <s v="Electric Generators, Independent Power Producers"/>
    <x v="8"/>
    <n v="754776"/>
  </r>
  <r>
    <x v="16"/>
    <x v="6"/>
    <s v="Electric Generators, Independent Power Producers"/>
    <x v="9"/>
    <n v="1647"/>
  </r>
  <r>
    <x v="16"/>
    <x v="6"/>
    <s v="Electric Generators, Independent Power Producers"/>
    <x v="4"/>
    <n v="1224896"/>
  </r>
  <r>
    <x v="16"/>
    <x v="6"/>
    <s v="Electric Generators, Independent Power Producers"/>
    <x v="10"/>
    <n v="0"/>
  </r>
  <r>
    <x v="16"/>
    <x v="6"/>
    <s v="Electric Generators, Independent Power Producers"/>
    <x v="6"/>
    <n v="8544"/>
  </r>
  <r>
    <x v="16"/>
    <x v="6"/>
    <s v="Electric Generators, Electric Utilities"/>
    <x v="0"/>
    <n v="47612"/>
  </r>
  <r>
    <x v="16"/>
    <x v="6"/>
    <s v="Electric Generators, Electric Utilities"/>
    <x v="2"/>
    <n v="46330"/>
  </r>
  <r>
    <x v="16"/>
    <x v="6"/>
    <s v="Electric Generators, Electric Utilities"/>
    <x v="4"/>
    <n v="1282"/>
  </r>
  <r>
    <x v="16"/>
    <x v="6"/>
    <s v="Combined Heat and Power, Industrial Power"/>
    <x v="0"/>
    <n v="291413"/>
  </r>
  <r>
    <x v="16"/>
    <x v="6"/>
    <s v="Combined Heat and Power, Industrial Power"/>
    <x v="3"/>
    <n v="231347"/>
  </r>
  <r>
    <x v="16"/>
    <x v="6"/>
    <s v="Combined Heat and Power, Industrial Power"/>
    <x v="12"/>
    <n v="12275"/>
  </r>
  <r>
    <x v="16"/>
    <x v="6"/>
    <s v="Combined Heat and Power, Industrial Power"/>
    <x v="4"/>
    <n v="47791"/>
  </r>
  <r>
    <x v="16"/>
    <x v="6"/>
    <s v="Combined Heat and Power, Electric Power"/>
    <x v="0"/>
    <n v="1873745"/>
  </r>
  <r>
    <x v="16"/>
    <x v="6"/>
    <s v="Combined Heat and Power, Electric Power"/>
    <x v="1"/>
    <n v="1488548"/>
  </r>
  <r>
    <x v="16"/>
    <x v="6"/>
    <s v="Combined Heat and Power, Electric Power"/>
    <x v="3"/>
    <n v="380697"/>
  </r>
  <r>
    <x v="16"/>
    <x v="6"/>
    <s v="Combined Heat and Power, Electric Power"/>
    <x v="4"/>
    <n v="4500"/>
  </r>
  <r>
    <x v="16"/>
    <x v="6"/>
    <s v="Combined Heat and Power, Commercial Power"/>
    <x v="0"/>
    <n v="38271"/>
  </r>
  <r>
    <x v="16"/>
    <x v="6"/>
    <s v="Combined Heat and Power, Commercial Power"/>
    <x v="3"/>
    <n v="37907"/>
  </r>
  <r>
    <x v="16"/>
    <x v="6"/>
    <s v="Combined Heat and Power, Commercial Power"/>
    <x v="4"/>
    <n v="365"/>
  </r>
  <r>
    <x v="16"/>
    <x v="7"/>
    <s v="Total Electric Power Industry"/>
    <x v="0"/>
    <n v="81467"/>
  </r>
  <r>
    <x v="16"/>
    <x v="7"/>
    <s v="Total Electric Power Industry"/>
    <x v="4"/>
    <n v="81467"/>
  </r>
  <r>
    <x v="16"/>
    <x v="7"/>
    <s v="Electric Generators, Independent Power Producers"/>
    <x v="0"/>
    <n v="81467"/>
  </r>
  <r>
    <x v="16"/>
    <x v="7"/>
    <s v="Electric Generators, Independent Power Producers"/>
    <x v="4"/>
    <n v="81467"/>
  </r>
  <r>
    <x v="16"/>
    <x v="8"/>
    <s v="Total Electric Power Industry"/>
    <x v="0"/>
    <n v="7182179"/>
  </r>
  <r>
    <x v="16"/>
    <x v="8"/>
    <s v="Total Electric Power Industry"/>
    <x v="1"/>
    <n v="4968812"/>
  </r>
  <r>
    <x v="16"/>
    <x v="8"/>
    <s v="Total Electric Power Industry"/>
    <x v="3"/>
    <n v="1170768"/>
  </r>
  <r>
    <x v="16"/>
    <x v="8"/>
    <s v="Total Electric Power Industry"/>
    <x v="8"/>
    <n v="417"/>
  </r>
  <r>
    <x v="16"/>
    <x v="8"/>
    <s v="Total Electric Power Industry"/>
    <x v="9"/>
    <n v="910268"/>
  </r>
  <r>
    <x v="16"/>
    <x v="8"/>
    <s v="Total Electric Power Industry"/>
    <x v="4"/>
    <n v="131915"/>
  </r>
  <r>
    <x v="16"/>
    <x v="8"/>
    <s v="Electric Generators, Independent Power Producers"/>
    <x v="0"/>
    <n v="6024831"/>
  </r>
  <r>
    <x v="16"/>
    <x v="8"/>
    <s v="Electric Generators, Independent Power Producers"/>
    <x v="1"/>
    <n v="4778382"/>
  </r>
  <r>
    <x v="16"/>
    <x v="8"/>
    <s v="Electric Generators, Independent Power Producers"/>
    <x v="3"/>
    <n v="1141128"/>
  </r>
  <r>
    <x v="16"/>
    <x v="8"/>
    <s v="Electric Generators, Independent Power Producers"/>
    <x v="8"/>
    <n v="417"/>
  </r>
  <r>
    <x v="16"/>
    <x v="8"/>
    <s v="Electric Generators, Independent Power Producers"/>
    <x v="4"/>
    <n v="104904"/>
  </r>
  <r>
    <x v="16"/>
    <x v="8"/>
    <s v="Electric Generators, Electric Utilities"/>
    <x v="0"/>
    <n v="16558"/>
  </r>
  <r>
    <x v="16"/>
    <x v="8"/>
    <s v="Electric Generators, Electric Utilities"/>
    <x v="3"/>
    <n v="16445"/>
  </r>
  <r>
    <x v="16"/>
    <x v="8"/>
    <s v="Electric Generators, Electric Utilities"/>
    <x v="4"/>
    <n v="113"/>
  </r>
  <r>
    <x v="16"/>
    <x v="8"/>
    <s v="Combined Heat and Power, Industrial Power"/>
    <x v="0"/>
    <n v="1039234"/>
  </r>
  <r>
    <x v="16"/>
    <x v="8"/>
    <s v="Combined Heat and Power, Industrial Power"/>
    <x v="1"/>
    <n v="97059"/>
  </r>
  <r>
    <x v="16"/>
    <x v="8"/>
    <s v="Combined Heat and Power, Industrial Power"/>
    <x v="3"/>
    <n v="5009"/>
  </r>
  <r>
    <x v="16"/>
    <x v="8"/>
    <s v="Combined Heat and Power, Industrial Power"/>
    <x v="9"/>
    <n v="910268"/>
  </r>
  <r>
    <x v="16"/>
    <x v="8"/>
    <s v="Combined Heat and Power, Industrial Power"/>
    <x v="4"/>
    <n v="26898"/>
  </r>
  <r>
    <x v="16"/>
    <x v="8"/>
    <s v="Combined Heat and Power, Electric Power"/>
    <x v="0"/>
    <n v="101557"/>
  </r>
  <r>
    <x v="16"/>
    <x v="8"/>
    <s v="Combined Heat and Power, Electric Power"/>
    <x v="1"/>
    <n v="93371"/>
  </r>
  <r>
    <x v="16"/>
    <x v="8"/>
    <s v="Combined Heat and Power, Electric Power"/>
    <x v="3"/>
    <n v="8186"/>
  </r>
  <r>
    <x v="16"/>
    <x v="8"/>
    <s v="Combined Heat and Power, Electric Power"/>
    <x v="4"/>
    <n v="0"/>
  </r>
  <r>
    <x v="16"/>
    <x v="9"/>
    <s v="Total Electric Power Industry"/>
    <x v="0"/>
    <n v="223751621"/>
  </r>
  <r>
    <x v="16"/>
    <x v="9"/>
    <s v="Total Electric Power Industry"/>
    <x v="1"/>
    <n v="65423336"/>
  </r>
  <r>
    <x v="16"/>
    <x v="9"/>
    <s v="Total Electric Power Industry"/>
    <x v="2"/>
    <n v="203422"/>
  </r>
  <r>
    <x v="16"/>
    <x v="9"/>
    <s v="Total Electric Power Industry"/>
    <x v="3"/>
    <n v="96186140"/>
  </r>
  <r>
    <x v="16"/>
    <x v="9"/>
    <s v="Total Electric Power Industry"/>
    <x v="7"/>
    <n v="31426349"/>
  </r>
  <r>
    <x v="16"/>
    <x v="9"/>
    <s v="Total Electric Power Industry"/>
    <x v="12"/>
    <n v="3260671"/>
  </r>
  <r>
    <x v="16"/>
    <x v="9"/>
    <s v="Total Electric Power Industry"/>
    <x v="8"/>
    <n v="2351701"/>
  </r>
  <r>
    <x v="16"/>
    <x v="9"/>
    <s v="Total Electric Power Industry"/>
    <x v="9"/>
    <n v="16924"/>
  </r>
  <r>
    <x v="16"/>
    <x v="9"/>
    <s v="Total Electric Power Industry"/>
    <x v="4"/>
    <n v="22904090"/>
  </r>
  <r>
    <x v="16"/>
    <x v="9"/>
    <s v="Total Electric Power Industry"/>
    <x v="6"/>
    <n v="1978988"/>
  </r>
  <r>
    <x v="16"/>
    <x v="9"/>
    <s v="Electric Generators, Independent Power Producers"/>
    <x v="0"/>
    <n v="10155664"/>
  </r>
  <r>
    <x v="16"/>
    <x v="9"/>
    <s v="Electric Generators, Independent Power Producers"/>
    <x v="3"/>
    <n v="6736071"/>
  </r>
  <r>
    <x v="16"/>
    <x v="9"/>
    <s v="Electric Generators, Independent Power Producers"/>
    <x v="12"/>
    <n v="1299866"/>
  </r>
  <r>
    <x v="16"/>
    <x v="9"/>
    <s v="Electric Generators, Independent Power Producers"/>
    <x v="8"/>
    <n v="1723184"/>
  </r>
  <r>
    <x v="16"/>
    <x v="9"/>
    <s v="Electric Generators, Independent Power Producers"/>
    <x v="9"/>
    <n v="17"/>
  </r>
  <r>
    <x v="16"/>
    <x v="9"/>
    <s v="Electric Generators, Independent Power Producers"/>
    <x v="4"/>
    <n v="181870"/>
  </r>
  <r>
    <x v="16"/>
    <x v="9"/>
    <s v="Electric Generators, Independent Power Producers"/>
    <x v="6"/>
    <n v="214656"/>
  </r>
  <r>
    <x v="16"/>
    <x v="9"/>
    <s v="Electric Generators, Electric Utilities"/>
    <x v="0"/>
    <n v="200015227"/>
  </r>
  <r>
    <x v="16"/>
    <x v="9"/>
    <s v="Electric Generators, Electric Utilities"/>
    <x v="1"/>
    <n v="60413597"/>
  </r>
  <r>
    <x v="16"/>
    <x v="9"/>
    <s v="Electric Generators, Electric Utilities"/>
    <x v="2"/>
    <n v="203422"/>
  </r>
  <r>
    <x v="16"/>
    <x v="9"/>
    <s v="Electric Generators, Electric Utilities"/>
    <x v="3"/>
    <n v="85384147"/>
  </r>
  <r>
    <x v="16"/>
    <x v="9"/>
    <s v="Electric Generators, Electric Utilities"/>
    <x v="7"/>
    <n v="31426349"/>
  </r>
  <r>
    <x v="16"/>
    <x v="9"/>
    <s v="Electric Generators, Electric Utilities"/>
    <x v="12"/>
    <n v="0"/>
  </r>
  <r>
    <x v="16"/>
    <x v="9"/>
    <s v="Electric Generators, Electric Utilities"/>
    <x v="8"/>
    <n v="79363"/>
  </r>
  <r>
    <x v="16"/>
    <x v="9"/>
    <s v="Electric Generators, Electric Utilities"/>
    <x v="4"/>
    <n v="22508349"/>
  </r>
  <r>
    <x v="16"/>
    <x v="9"/>
    <s v="Electric Generators, Electric Utilities"/>
    <x v="6"/>
    <n v="0"/>
  </r>
  <r>
    <x v="16"/>
    <x v="9"/>
    <s v="Combined Heat and Power, Industrial Power"/>
    <x v="0"/>
    <n v="4833934"/>
  </r>
  <r>
    <x v="16"/>
    <x v="9"/>
    <s v="Combined Heat and Power, Industrial Power"/>
    <x v="1"/>
    <n v="240347"/>
  </r>
  <r>
    <x v="16"/>
    <x v="9"/>
    <s v="Combined Heat and Power, Industrial Power"/>
    <x v="3"/>
    <n v="675681"/>
  </r>
  <r>
    <x v="16"/>
    <x v="9"/>
    <s v="Combined Heat and Power, Industrial Power"/>
    <x v="12"/>
    <n v="1942540"/>
  </r>
  <r>
    <x v="16"/>
    <x v="9"/>
    <s v="Combined Heat and Power, Industrial Power"/>
    <x v="8"/>
    <n v="249376"/>
  </r>
  <r>
    <x v="16"/>
    <x v="9"/>
    <s v="Combined Heat and Power, Industrial Power"/>
    <x v="9"/>
    <n v="16883"/>
  </r>
  <r>
    <x v="16"/>
    <x v="9"/>
    <s v="Combined Heat and Power, Industrial Power"/>
    <x v="4"/>
    <n v="201951"/>
  </r>
  <r>
    <x v="16"/>
    <x v="9"/>
    <s v="Combined Heat and Power, Industrial Power"/>
    <x v="6"/>
    <n v="1507157"/>
  </r>
  <r>
    <x v="16"/>
    <x v="9"/>
    <s v="Combined Heat and Power, Electric Power"/>
    <x v="0"/>
    <n v="8656172"/>
  </r>
  <r>
    <x v="16"/>
    <x v="9"/>
    <s v="Combined Heat and Power, Electric Power"/>
    <x v="1"/>
    <n v="4769393"/>
  </r>
  <r>
    <x v="16"/>
    <x v="9"/>
    <s v="Combined Heat and Power, Electric Power"/>
    <x v="3"/>
    <n v="3335040"/>
  </r>
  <r>
    <x v="16"/>
    <x v="9"/>
    <s v="Combined Heat and Power, Electric Power"/>
    <x v="12"/>
    <n v="18265"/>
  </r>
  <r>
    <x v="16"/>
    <x v="9"/>
    <s v="Combined Heat and Power, Electric Power"/>
    <x v="8"/>
    <n v="264365"/>
  </r>
  <r>
    <x v="16"/>
    <x v="9"/>
    <s v="Combined Heat and Power, Electric Power"/>
    <x v="9"/>
    <n v="24"/>
  </r>
  <r>
    <x v="16"/>
    <x v="9"/>
    <s v="Combined Heat and Power, Electric Power"/>
    <x v="4"/>
    <n v="11910"/>
  </r>
  <r>
    <x v="16"/>
    <x v="9"/>
    <s v="Combined Heat and Power, Electric Power"/>
    <x v="6"/>
    <n v="257175"/>
  </r>
  <r>
    <x v="16"/>
    <x v="9"/>
    <s v="Combined Heat and Power, Commercial Power"/>
    <x v="0"/>
    <n v="90624"/>
  </r>
  <r>
    <x v="16"/>
    <x v="9"/>
    <s v="Combined Heat and Power, Commercial Power"/>
    <x v="3"/>
    <n v="55201"/>
  </r>
  <r>
    <x v="16"/>
    <x v="9"/>
    <s v="Combined Heat and Power, Commercial Power"/>
    <x v="8"/>
    <n v="35413"/>
  </r>
  <r>
    <x v="16"/>
    <x v="9"/>
    <s v="Combined Heat and Power, Commercial Power"/>
    <x v="4"/>
    <n v="10"/>
  </r>
  <r>
    <x v="16"/>
    <x v="10"/>
    <s v="Total Electric Power Industry"/>
    <x v="0"/>
    <n v="138010208"/>
  </r>
  <r>
    <x v="16"/>
    <x v="10"/>
    <s v="Total Electric Power Industry"/>
    <x v="1"/>
    <n v="86503986"/>
  </r>
  <r>
    <x v="16"/>
    <x v="10"/>
    <s v="Total Electric Power Industry"/>
    <x v="2"/>
    <n v="2568837"/>
  </r>
  <r>
    <x v="16"/>
    <x v="10"/>
    <s v="Total Electric Power Industry"/>
    <x v="3"/>
    <n v="12960598"/>
  </r>
  <r>
    <x v="16"/>
    <x v="10"/>
    <s v="Total Electric Power Industry"/>
    <x v="7"/>
    <n v="32005810"/>
  </r>
  <r>
    <x v="16"/>
    <x v="10"/>
    <s v="Total Electric Power Industry"/>
    <x v="12"/>
    <n v="118176"/>
  </r>
  <r>
    <x v="16"/>
    <x v="10"/>
    <s v="Total Electric Power Industry"/>
    <x v="8"/>
    <n v="56708"/>
  </r>
  <r>
    <x v="16"/>
    <x v="10"/>
    <s v="Total Electric Power Industry"/>
    <x v="4"/>
    <n v="834225"/>
  </r>
  <r>
    <x v="16"/>
    <x v="10"/>
    <s v="Total Electric Power Industry"/>
    <x v="10"/>
    <n v="-400343"/>
  </r>
  <r>
    <x v="16"/>
    <x v="10"/>
    <s v="Total Electric Power Industry"/>
    <x v="6"/>
    <n v="3362210"/>
  </r>
  <r>
    <x v="16"/>
    <x v="10"/>
    <s v="Electric Generators, Independent Power Producers"/>
    <x v="0"/>
    <n v="5163848"/>
  </r>
  <r>
    <x v="16"/>
    <x v="10"/>
    <s v="Electric Generators, Independent Power Producers"/>
    <x v="2"/>
    <n v="1382"/>
  </r>
  <r>
    <x v="16"/>
    <x v="10"/>
    <s v="Electric Generators, Independent Power Producers"/>
    <x v="3"/>
    <n v="5147189"/>
  </r>
  <r>
    <x v="16"/>
    <x v="10"/>
    <s v="Electric Generators, Independent Power Producers"/>
    <x v="8"/>
    <n v="14908"/>
  </r>
  <r>
    <x v="16"/>
    <x v="10"/>
    <s v="Electric Generators, Independent Power Producers"/>
    <x v="4"/>
    <n v="369"/>
  </r>
  <r>
    <x v="16"/>
    <x v="10"/>
    <s v="Electric Generators, Electric Utilities"/>
    <x v="0"/>
    <n v="127367613"/>
  </r>
  <r>
    <x v="16"/>
    <x v="10"/>
    <s v="Electric Generators, Electric Utilities"/>
    <x v="1"/>
    <n v="85700960"/>
  </r>
  <r>
    <x v="16"/>
    <x v="10"/>
    <s v="Electric Generators, Electric Utilities"/>
    <x v="2"/>
    <n v="2544122"/>
  </r>
  <r>
    <x v="16"/>
    <x v="10"/>
    <s v="Electric Generators, Electric Utilities"/>
    <x v="3"/>
    <n v="7430266"/>
  </r>
  <r>
    <x v="16"/>
    <x v="10"/>
    <s v="Electric Generators, Electric Utilities"/>
    <x v="7"/>
    <n v="32005810"/>
  </r>
  <r>
    <x v="16"/>
    <x v="10"/>
    <s v="Electric Generators, Electric Utilities"/>
    <x v="4"/>
    <n v="86798"/>
  </r>
  <r>
    <x v="16"/>
    <x v="10"/>
    <s v="Electric Generators, Electric Utilities"/>
    <x v="10"/>
    <n v="-400343"/>
  </r>
  <r>
    <x v="16"/>
    <x v="10"/>
    <s v="Combined Heat and Power, Industrial Power"/>
    <x v="0"/>
    <n v="5297002"/>
  </r>
  <r>
    <x v="16"/>
    <x v="10"/>
    <s v="Combined Heat and Power, Industrial Power"/>
    <x v="1"/>
    <n v="803026"/>
  </r>
  <r>
    <x v="16"/>
    <x v="10"/>
    <s v="Combined Heat and Power, Industrial Power"/>
    <x v="2"/>
    <n v="23333"/>
  </r>
  <r>
    <x v="16"/>
    <x v="10"/>
    <s v="Combined Heat and Power, Industrial Power"/>
    <x v="3"/>
    <n v="205360"/>
  </r>
  <r>
    <x v="16"/>
    <x v="10"/>
    <s v="Combined Heat and Power, Industrial Power"/>
    <x v="12"/>
    <n v="118176"/>
  </r>
  <r>
    <x v="16"/>
    <x v="10"/>
    <s v="Combined Heat and Power, Industrial Power"/>
    <x v="8"/>
    <n v="41800"/>
  </r>
  <r>
    <x v="16"/>
    <x v="10"/>
    <s v="Combined Heat and Power, Industrial Power"/>
    <x v="4"/>
    <n v="743097"/>
  </r>
  <r>
    <x v="16"/>
    <x v="10"/>
    <s v="Combined Heat and Power, Industrial Power"/>
    <x v="6"/>
    <n v="3362210"/>
  </r>
  <r>
    <x v="16"/>
    <x v="10"/>
    <s v="Combined Heat and Power, Electric Power"/>
    <x v="0"/>
    <n v="177932"/>
  </r>
  <r>
    <x v="16"/>
    <x v="10"/>
    <s v="Combined Heat and Power, Electric Power"/>
    <x v="3"/>
    <n v="177784"/>
  </r>
  <r>
    <x v="16"/>
    <x v="10"/>
    <s v="Combined Heat and Power, Electric Power"/>
    <x v="4"/>
    <n v="148"/>
  </r>
  <r>
    <x v="16"/>
    <x v="10"/>
    <s v="Combined Heat and Power, Commercial Power"/>
    <x v="0"/>
    <n v="3813"/>
  </r>
  <r>
    <x v="16"/>
    <x v="10"/>
    <s v="Combined Heat and Power, Commercial Power"/>
    <x v="4"/>
    <n v="3813"/>
  </r>
  <r>
    <x v="16"/>
    <x v="11"/>
    <s v="Total Electric Power Industry"/>
    <x v="0"/>
    <n v="11559174"/>
  </r>
  <r>
    <x v="16"/>
    <x v="11"/>
    <s v="Total Electric Power Industry"/>
    <x v="1"/>
    <n v="1548595"/>
  </r>
  <r>
    <x v="16"/>
    <x v="11"/>
    <s v="Total Electric Power Industry"/>
    <x v="11"/>
    <n v="212276"/>
  </r>
  <r>
    <x v="16"/>
    <x v="11"/>
    <s v="Total Electric Power Industry"/>
    <x v="2"/>
    <n v="120087"/>
  </r>
  <r>
    <x v="16"/>
    <x v="11"/>
    <s v="Total Electric Power Industry"/>
    <x v="12"/>
    <n v="175619"/>
  </r>
  <r>
    <x v="16"/>
    <x v="11"/>
    <s v="Total Electric Power Industry"/>
    <x v="8"/>
    <n v="325692"/>
  </r>
  <r>
    <x v="16"/>
    <x v="11"/>
    <s v="Total Electric Power Industry"/>
    <x v="9"/>
    <n v="42757"/>
  </r>
  <r>
    <x v="16"/>
    <x v="11"/>
    <s v="Total Electric Power Industry"/>
    <x v="4"/>
    <n v="9054474"/>
  </r>
  <r>
    <x v="16"/>
    <x v="11"/>
    <s v="Total Electric Power Industry"/>
    <x v="5"/>
    <n v="79674"/>
  </r>
  <r>
    <x v="16"/>
    <x v="11"/>
    <s v="Electric Generators, Independent Power Producers"/>
    <x v="0"/>
    <n v="349246"/>
  </r>
  <r>
    <x v="16"/>
    <x v="11"/>
    <s v="Electric Generators, Independent Power Producers"/>
    <x v="11"/>
    <n v="212276"/>
  </r>
  <r>
    <x v="16"/>
    <x v="11"/>
    <s v="Electric Generators, Independent Power Producers"/>
    <x v="2"/>
    <n v="58136"/>
  </r>
  <r>
    <x v="16"/>
    <x v="11"/>
    <s v="Electric Generators, Independent Power Producers"/>
    <x v="5"/>
    <n v="78834"/>
  </r>
  <r>
    <x v="16"/>
    <x v="11"/>
    <s v="Electric Generators, Electric Utilities"/>
    <x v="0"/>
    <n v="7040473"/>
  </r>
  <r>
    <x v="16"/>
    <x v="11"/>
    <s v="Electric Generators, Electric Utilities"/>
    <x v="2"/>
    <n v="23656"/>
  </r>
  <r>
    <x v="16"/>
    <x v="11"/>
    <s v="Electric Generators, Electric Utilities"/>
    <x v="4"/>
    <n v="7015977"/>
  </r>
  <r>
    <x v="16"/>
    <x v="11"/>
    <s v="Electric Generators, Electric Utilities"/>
    <x v="5"/>
    <n v="840"/>
  </r>
  <r>
    <x v="16"/>
    <x v="11"/>
    <s v="Combined Heat and Power, Industrial Power"/>
    <x v="0"/>
    <n v="264445"/>
  </r>
  <r>
    <x v="16"/>
    <x v="11"/>
    <s v="Combined Heat and Power, Industrial Power"/>
    <x v="2"/>
    <n v="38295"/>
  </r>
  <r>
    <x v="16"/>
    <x v="11"/>
    <s v="Combined Heat and Power, Industrial Power"/>
    <x v="8"/>
    <n v="7439"/>
  </r>
  <r>
    <x v="16"/>
    <x v="11"/>
    <s v="Combined Heat and Power, Industrial Power"/>
    <x v="9"/>
    <n v="42757"/>
  </r>
  <r>
    <x v="16"/>
    <x v="11"/>
    <s v="Combined Heat and Power, Industrial Power"/>
    <x v="4"/>
    <n v="175954"/>
  </r>
  <r>
    <x v="16"/>
    <x v="11"/>
    <s v="Combined Heat and Power, Electric Power"/>
    <x v="0"/>
    <n v="3566361"/>
  </r>
  <r>
    <x v="16"/>
    <x v="11"/>
    <s v="Combined Heat and Power, Electric Power"/>
    <x v="1"/>
    <n v="1548595"/>
  </r>
  <r>
    <x v="16"/>
    <x v="11"/>
    <s v="Combined Heat and Power, Electric Power"/>
    <x v="12"/>
    <n v="26992"/>
  </r>
  <r>
    <x v="16"/>
    <x v="11"/>
    <s v="Combined Heat and Power, Electric Power"/>
    <x v="8"/>
    <n v="129092"/>
  </r>
  <r>
    <x v="16"/>
    <x v="11"/>
    <s v="Combined Heat and Power, Electric Power"/>
    <x v="4"/>
    <n v="1861682"/>
  </r>
  <r>
    <x v="16"/>
    <x v="11"/>
    <s v="Combined Heat and Power, Commercial Power"/>
    <x v="0"/>
    <n v="338649"/>
  </r>
  <r>
    <x v="16"/>
    <x v="11"/>
    <s v="Combined Heat and Power, Commercial Power"/>
    <x v="12"/>
    <n v="148627"/>
  </r>
  <r>
    <x v="16"/>
    <x v="11"/>
    <s v="Combined Heat and Power, Commercial Power"/>
    <x v="8"/>
    <n v="189162"/>
  </r>
  <r>
    <x v="16"/>
    <x v="11"/>
    <s v="Combined Heat and Power, Commercial Power"/>
    <x v="4"/>
    <n v="860"/>
  </r>
  <r>
    <x v="16"/>
    <x v="12"/>
    <s v="Total Electric Power Industry"/>
    <x v="0"/>
    <n v="45483462"/>
  </r>
  <r>
    <x v="16"/>
    <x v="12"/>
    <s v="Total Electric Power Industry"/>
    <x v="1"/>
    <n v="34405194"/>
  </r>
  <r>
    <x v="16"/>
    <x v="12"/>
    <s v="Total Electric Power Industry"/>
    <x v="2"/>
    <n v="909348"/>
  </r>
  <r>
    <x v="16"/>
    <x v="12"/>
    <s v="Total Electric Power Industry"/>
    <x v="3"/>
    <n v="2400014"/>
  </r>
  <r>
    <x v="16"/>
    <x v="12"/>
    <s v="Total Electric Power Industry"/>
    <x v="7"/>
    <n v="5095442"/>
  </r>
  <r>
    <x v="16"/>
    <x v="12"/>
    <s v="Total Electric Power Industry"/>
    <x v="12"/>
    <n v="10426"/>
  </r>
  <r>
    <x v="16"/>
    <x v="12"/>
    <s v="Total Electric Power Industry"/>
    <x v="8"/>
    <n v="136896"/>
  </r>
  <r>
    <x v="16"/>
    <x v="12"/>
    <s v="Total Electric Power Industry"/>
    <x v="4"/>
    <n v="208321"/>
  </r>
  <r>
    <x v="16"/>
    <x v="12"/>
    <s v="Total Electric Power Industry"/>
    <x v="5"/>
    <n v="2317821"/>
  </r>
  <r>
    <x v="16"/>
    <x v="12"/>
    <s v="Electric Generators, Independent Power Producers"/>
    <x v="0"/>
    <n v="6389390"/>
  </r>
  <r>
    <x v="16"/>
    <x v="12"/>
    <s v="Electric Generators, Independent Power Producers"/>
    <x v="2"/>
    <n v="8860"/>
  </r>
  <r>
    <x v="16"/>
    <x v="12"/>
    <s v="Electric Generators, Independent Power Producers"/>
    <x v="3"/>
    <n v="138"/>
  </r>
  <r>
    <x v="16"/>
    <x v="12"/>
    <s v="Electric Generators, Independent Power Producers"/>
    <x v="7"/>
    <n v="5095442"/>
  </r>
  <r>
    <x v="16"/>
    <x v="12"/>
    <s v="Electric Generators, Independent Power Producers"/>
    <x v="8"/>
    <n v="83679"/>
  </r>
  <r>
    <x v="16"/>
    <x v="12"/>
    <s v="Electric Generators, Independent Power Producers"/>
    <x v="4"/>
    <n v="3469"/>
  </r>
  <r>
    <x v="16"/>
    <x v="12"/>
    <s v="Electric Generators, Independent Power Producers"/>
    <x v="5"/>
    <n v="1197802"/>
  </r>
  <r>
    <x v="16"/>
    <x v="12"/>
    <s v="Electric Generators, Electric Utilities"/>
    <x v="0"/>
    <n v="37494674"/>
  </r>
  <r>
    <x v="16"/>
    <x v="12"/>
    <s v="Electric Generators, Electric Utilities"/>
    <x v="1"/>
    <n v="32855636"/>
  </r>
  <r>
    <x v="16"/>
    <x v="12"/>
    <s v="Electric Generators, Electric Utilities"/>
    <x v="2"/>
    <n v="900488"/>
  </r>
  <r>
    <x v="16"/>
    <x v="12"/>
    <s v="Electric Generators, Electric Utilities"/>
    <x v="3"/>
    <n v="2393816"/>
  </r>
  <r>
    <x v="16"/>
    <x v="12"/>
    <s v="Electric Generators, Electric Utilities"/>
    <x v="12"/>
    <n v="10426"/>
  </r>
  <r>
    <x v="16"/>
    <x v="12"/>
    <s v="Electric Generators, Electric Utilities"/>
    <x v="8"/>
    <n v="16589"/>
  </r>
  <r>
    <x v="16"/>
    <x v="12"/>
    <s v="Electric Generators, Electric Utilities"/>
    <x v="4"/>
    <n v="197700"/>
  </r>
  <r>
    <x v="16"/>
    <x v="12"/>
    <s v="Electric Generators, Electric Utilities"/>
    <x v="5"/>
    <n v="1120019"/>
  </r>
  <r>
    <x v="16"/>
    <x v="12"/>
    <s v="Combined Heat and Power, Industrial Power"/>
    <x v="0"/>
    <n v="1321031"/>
  </r>
  <r>
    <x v="16"/>
    <x v="12"/>
    <s v="Combined Heat and Power, Industrial Power"/>
    <x v="1"/>
    <n v="1320862"/>
  </r>
  <r>
    <x v="16"/>
    <x v="12"/>
    <s v="Combined Heat and Power, Industrial Power"/>
    <x v="3"/>
    <n v="0"/>
  </r>
  <r>
    <x v="16"/>
    <x v="12"/>
    <s v="Combined Heat and Power, Industrial Power"/>
    <x v="4"/>
    <n v="170"/>
  </r>
  <r>
    <x v="16"/>
    <x v="12"/>
    <s v="Combined Heat and Power, Commercial Power"/>
    <x v="0"/>
    <n v="278367"/>
  </r>
  <r>
    <x v="16"/>
    <x v="12"/>
    <s v="Combined Heat and Power, Commercial Power"/>
    <x v="1"/>
    <n v="228696"/>
  </r>
  <r>
    <x v="16"/>
    <x v="12"/>
    <s v="Combined Heat and Power, Commercial Power"/>
    <x v="3"/>
    <n v="6060"/>
  </r>
  <r>
    <x v="16"/>
    <x v="12"/>
    <s v="Combined Heat and Power, Commercial Power"/>
    <x v="8"/>
    <n v="36628"/>
  </r>
  <r>
    <x v="16"/>
    <x v="12"/>
    <s v="Combined Heat and Power, Commercial Power"/>
    <x v="4"/>
    <n v="6982"/>
  </r>
  <r>
    <x v="16"/>
    <x v="13"/>
    <s v="Total Electric Power Industry"/>
    <x v="0"/>
    <n v="13386085"/>
  </r>
  <r>
    <x v="16"/>
    <x v="13"/>
    <s v="Total Electric Power Industry"/>
    <x v="1"/>
    <n v="82302"/>
  </r>
  <r>
    <x v="16"/>
    <x v="13"/>
    <s v="Total Electric Power Industry"/>
    <x v="2"/>
    <n v="11242372"/>
  </r>
  <r>
    <x v="16"/>
    <x v="13"/>
    <s v="Total Electric Power Industry"/>
    <x v="3"/>
    <n v="1298395"/>
  </r>
  <r>
    <x v="16"/>
    <x v="13"/>
    <s v="Total Electric Power Industry"/>
    <x v="12"/>
    <n v="72916"/>
  </r>
  <r>
    <x v="16"/>
    <x v="13"/>
    <s v="Total Electric Power Industry"/>
    <x v="4"/>
    <n v="144"/>
  </r>
  <r>
    <x v="16"/>
    <x v="13"/>
    <s v="Total Electric Power Industry"/>
    <x v="5"/>
    <n v="169617"/>
  </r>
  <r>
    <x v="16"/>
    <x v="13"/>
    <s v="Total Electric Power Industry"/>
    <x v="6"/>
    <n v="520340"/>
  </r>
  <r>
    <x v="16"/>
    <x v="13"/>
    <s v="Electric Generators, Independent Power Producers"/>
    <x v="0"/>
    <n v="2042191"/>
  </r>
  <r>
    <x v="16"/>
    <x v="13"/>
    <s v="Electric Generators, Independent Power Producers"/>
    <x v="2"/>
    <n v="841930"/>
  </r>
  <r>
    <x v="16"/>
    <x v="13"/>
    <s v="Electric Generators, Independent Power Producers"/>
    <x v="3"/>
    <n v="1030644"/>
  </r>
  <r>
    <x v="16"/>
    <x v="13"/>
    <s v="Electric Generators, Independent Power Producers"/>
    <x v="5"/>
    <n v="169617"/>
  </r>
  <r>
    <x v="16"/>
    <x v="13"/>
    <s v="Electric Generators, Electric Utilities"/>
    <x v="0"/>
    <n v="10495090"/>
  </r>
  <r>
    <x v="16"/>
    <x v="13"/>
    <s v="Electric Generators, Electric Utilities"/>
    <x v="2"/>
    <n v="10400442"/>
  </r>
  <r>
    <x v="16"/>
    <x v="13"/>
    <s v="Electric Generators, Electric Utilities"/>
    <x v="3"/>
    <n v="94504"/>
  </r>
  <r>
    <x v="16"/>
    <x v="13"/>
    <s v="Electric Generators, Electric Utilities"/>
    <x v="4"/>
    <n v="144"/>
  </r>
  <r>
    <x v="16"/>
    <x v="13"/>
    <s v="Combined Heat and Power, Industrial Power"/>
    <x v="0"/>
    <n v="634920"/>
  </r>
  <r>
    <x v="16"/>
    <x v="13"/>
    <s v="Combined Heat and Power, Industrial Power"/>
    <x v="1"/>
    <n v="82302"/>
  </r>
  <r>
    <x v="16"/>
    <x v="13"/>
    <s v="Combined Heat and Power, Industrial Power"/>
    <x v="3"/>
    <n v="35288"/>
  </r>
  <r>
    <x v="16"/>
    <x v="13"/>
    <s v="Combined Heat and Power, Industrial Power"/>
    <x v="12"/>
    <n v="72916"/>
  </r>
  <r>
    <x v="16"/>
    <x v="13"/>
    <s v="Combined Heat and Power, Industrial Power"/>
    <x v="4"/>
    <n v="0"/>
  </r>
  <r>
    <x v="16"/>
    <x v="13"/>
    <s v="Combined Heat and Power, Industrial Power"/>
    <x v="6"/>
    <n v="444414"/>
  </r>
  <r>
    <x v="16"/>
    <x v="13"/>
    <s v="Combined Heat and Power, Electric Power"/>
    <x v="0"/>
    <n v="213884"/>
  </r>
  <r>
    <x v="16"/>
    <x v="13"/>
    <s v="Combined Heat and Power, Electric Power"/>
    <x v="3"/>
    <n v="137958"/>
  </r>
  <r>
    <x v="16"/>
    <x v="13"/>
    <s v="Combined Heat and Power, Electric Power"/>
    <x v="6"/>
    <n v="75926"/>
  </r>
  <r>
    <x v="16"/>
    <x v="14"/>
    <s v="Total Electric Power Industry"/>
    <x v="0"/>
    <n v="192426958"/>
  </r>
  <r>
    <x v="16"/>
    <x v="14"/>
    <s v="Total Electric Power Industry"/>
    <x v="1"/>
    <n v="91648764"/>
  </r>
  <r>
    <x v="16"/>
    <x v="14"/>
    <s v="Total Electric Power Industry"/>
    <x v="2"/>
    <n v="173272"/>
  </r>
  <r>
    <x v="16"/>
    <x v="14"/>
    <s v="Total Electric Power Industry"/>
    <x v="3"/>
    <n v="5278998"/>
  </r>
  <r>
    <x v="16"/>
    <x v="14"/>
    <s v="Total Electric Power Industry"/>
    <x v="7"/>
    <n v="94154140"/>
  </r>
  <r>
    <x v="16"/>
    <x v="14"/>
    <s v="Total Electric Power Industry"/>
    <x v="12"/>
    <n v="38383"/>
  </r>
  <r>
    <x v="16"/>
    <x v="14"/>
    <s v="Total Electric Power Industry"/>
    <x v="8"/>
    <n v="594261"/>
  </r>
  <r>
    <x v="16"/>
    <x v="14"/>
    <s v="Total Electric Power Industry"/>
    <x v="9"/>
    <n v="148822"/>
  </r>
  <r>
    <x v="16"/>
    <x v="14"/>
    <s v="Total Electric Power Industry"/>
    <x v="4"/>
    <n v="135747"/>
  </r>
  <r>
    <x v="16"/>
    <x v="14"/>
    <s v="Total Electric Power Industry"/>
    <x v="5"/>
    <n v="254571"/>
  </r>
  <r>
    <x v="16"/>
    <x v="14"/>
    <s v="Electric Generators, Independent Power Producers"/>
    <x v="0"/>
    <n v="177412285"/>
  </r>
  <r>
    <x v="16"/>
    <x v="14"/>
    <s v="Electric Generators, Independent Power Producers"/>
    <x v="1"/>
    <n v="78445267"/>
  </r>
  <r>
    <x v="16"/>
    <x v="14"/>
    <s v="Electric Generators, Independent Power Producers"/>
    <x v="2"/>
    <n v="88590"/>
  </r>
  <r>
    <x v="16"/>
    <x v="14"/>
    <s v="Electric Generators, Independent Power Producers"/>
    <x v="3"/>
    <n v="3789433"/>
  </r>
  <r>
    <x v="16"/>
    <x v="14"/>
    <s v="Electric Generators, Independent Power Producers"/>
    <x v="7"/>
    <n v="94154140"/>
  </r>
  <r>
    <x v="16"/>
    <x v="14"/>
    <s v="Electric Generators, Independent Power Producers"/>
    <x v="12"/>
    <n v="15236"/>
  </r>
  <r>
    <x v="16"/>
    <x v="14"/>
    <s v="Electric Generators, Independent Power Producers"/>
    <x v="8"/>
    <n v="581899"/>
  </r>
  <r>
    <x v="16"/>
    <x v="14"/>
    <s v="Electric Generators, Independent Power Producers"/>
    <x v="9"/>
    <n v="0"/>
  </r>
  <r>
    <x v="16"/>
    <x v="14"/>
    <s v="Electric Generators, Independent Power Producers"/>
    <x v="4"/>
    <n v="86860"/>
  </r>
  <r>
    <x v="16"/>
    <x v="14"/>
    <s v="Electric Generators, Independent Power Producers"/>
    <x v="5"/>
    <n v="250860"/>
  </r>
  <r>
    <x v="16"/>
    <x v="14"/>
    <s v="Electric Generators, Electric Utilities"/>
    <x v="0"/>
    <n v="11094235"/>
  </r>
  <r>
    <x v="16"/>
    <x v="14"/>
    <s v="Electric Generators, Electric Utilities"/>
    <x v="1"/>
    <n v="10622870"/>
  </r>
  <r>
    <x v="16"/>
    <x v="14"/>
    <s v="Electric Generators, Electric Utilities"/>
    <x v="2"/>
    <n v="84682"/>
  </r>
  <r>
    <x v="16"/>
    <x v="14"/>
    <s v="Electric Generators, Electric Utilities"/>
    <x v="3"/>
    <n v="325382"/>
  </r>
  <r>
    <x v="16"/>
    <x v="14"/>
    <s v="Electric Generators, Electric Utilities"/>
    <x v="8"/>
    <n v="11964"/>
  </r>
  <r>
    <x v="16"/>
    <x v="14"/>
    <s v="Electric Generators, Electric Utilities"/>
    <x v="4"/>
    <n v="45626"/>
  </r>
  <r>
    <x v="16"/>
    <x v="14"/>
    <s v="Electric Generators, Electric Utilities"/>
    <x v="5"/>
    <n v="3711"/>
  </r>
  <r>
    <x v="16"/>
    <x v="14"/>
    <s v="Combined Heat and Power, Industrial Power"/>
    <x v="0"/>
    <n v="2830284"/>
  </r>
  <r>
    <x v="16"/>
    <x v="14"/>
    <s v="Combined Heat and Power, Industrial Power"/>
    <x v="1"/>
    <n v="2426994"/>
  </r>
  <r>
    <x v="16"/>
    <x v="14"/>
    <s v="Combined Heat and Power, Industrial Power"/>
    <x v="3"/>
    <n v="268012"/>
  </r>
  <r>
    <x v="16"/>
    <x v="14"/>
    <s v="Combined Heat and Power, Industrial Power"/>
    <x v="12"/>
    <n v="23147"/>
  </r>
  <r>
    <x v="16"/>
    <x v="14"/>
    <s v="Combined Heat and Power, Industrial Power"/>
    <x v="9"/>
    <n v="112126"/>
  </r>
  <r>
    <x v="16"/>
    <x v="14"/>
    <s v="Combined Heat and Power, Industrial Power"/>
    <x v="4"/>
    <n v="6"/>
  </r>
  <r>
    <x v="16"/>
    <x v="14"/>
    <s v="Combined Heat and Power, Electric Power"/>
    <x v="0"/>
    <n v="592527"/>
  </r>
  <r>
    <x v="16"/>
    <x v="14"/>
    <s v="Combined Heat and Power, Electric Power"/>
    <x v="1"/>
    <n v="72386"/>
  </r>
  <r>
    <x v="16"/>
    <x v="14"/>
    <s v="Combined Heat and Power, Electric Power"/>
    <x v="3"/>
    <n v="483415"/>
  </r>
  <r>
    <x v="16"/>
    <x v="14"/>
    <s v="Combined Heat and Power, Electric Power"/>
    <x v="8"/>
    <n v="29"/>
  </r>
  <r>
    <x v="16"/>
    <x v="14"/>
    <s v="Combined Heat and Power, Electric Power"/>
    <x v="9"/>
    <n v="36697"/>
  </r>
  <r>
    <x v="16"/>
    <x v="14"/>
    <s v="Combined Heat and Power, Commercial Power"/>
    <x v="0"/>
    <n v="497628"/>
  </r>
  <r>
    <x v="16"/>
    <x v="14"/>
    <s v="Combined Heat and Power, Commercial Power"/>
    <x v="1"/>
    <n v="81247"/>
  </r>
  <r>
    <x v="16"/>
    <x v="14"/>
    <s v="Combined Heat and Power, Commercial Power"/>
    <x v="3"/>
    <n v="412756"/>
  </r>
  <r>
    <x v="16"/>
    <x v="14"/>
    <s v="Combined Heat and Power, Commercial Power"/>
    <x v="8"/>
    <n v="369"/>
  </r>
  <r>
    <x v="16"/>
    <x v="14"/>
    <s v="Combined Heat and Power, Commercial Power"/>
    <x v="4"/>
    <n v="3255"/>
  </r>
  <r>
    <x v="16"/>
    <x v="15"/>
    <s v="Total Electric Power Industry"/>
    <x v="0"/>
    <n v="130489788"/>
  </r>
  <r>
    <x v="16"/>
    <x v="15"/>
    <s v="Total Electric Power Industry"/>
    <x v="1"/>
    <n v="123645467"/>
  </r>
  <r>
    <x v="16"/>
    <x v="15"/>
    <s v="Total Electric Power Industry"/>
    <x v="2"/>
    <n v="489515"/>
  </r>
  <r>
    <x v="16"/>
    <x v="15"/>
    <s v="Total Electric Power Industry"/>
    <x v="3"/>
    <n v="2681883"/>
  </r>
  <r>
    <x v="16"/>
    <x v="15"/>
    <s v="Total Electric Power Industry"/>
    <x v="12"/>
    <n v="434976"/>
  </r>
  <r>
    <x v="16"/>
    <x v="15"/>
    <s v="Total Electric Power Industry"/>
    <x v="8"/>
    <n v="220212"/>
  </r>
  <r>
    <x v="16"/>
    <x v="15"/>
    <s v="Total Electric Power Industry"/>
    <x v="9"/>
    <n v="2870099"/>
  </r>
  <r>
    <x v="16"/>
    <x v="15"/>
    <s v="Total Electric Power Industry"/>
    <x v="4"/>
    <n v="147635"/>
  </r>
  <r>
    <x v="16"/>
    <x v="15"/>
    <s v="Electric Generators, Independent Power Producers"/>
    <x v="0"/>
    <n v="3487564"/>
  </r>
  <r>
    <x v="16"/>
    <x v="15"/>
    <s v="Electric Generators, Independent Power Producers"/>
    <x v="1"/>
    <n v="2681089"/>
  </r>
  <r>
    <x v="16"/>
    <x v="15"/>
    <s v="Electric Generators, Independent Power Producers"/>
    <x v="3"/>
    <n v="806475"/>
  </r>
  <r>
    <x v="16"/>
    <x v="15"/>
    <s v="Electric Generators, Electric Utilities"/>
    <x v="0"/>
    <n v="117643504"/>
  </r>
  <r>
    <x v="16"/>
    <x v="15"/>
    <s v="Electric Generators, Electric Utilities"/>
    <x v="1"/>
    <n v="116284183"/>
  </r>
  <r>
    <x v="16"/>
    <x v="15"/>
    <s v="Electric Generators, Electric Utilities"/>
    <x v="2"/>
    <n v="489515"/>
  </r>
  <r>
    <x v="16"/>
    <x v="15"/>
    <s v="Electric Generators, Electric Utilities"/>
    <x v="3"/>
    <n v="561780"/>
  </r>
  <r>
    <x v="16"/>
    <x v="15"/>
    <s v="Electric Generators, Electric Utilities"/>
    <x v="8"/>
    <n v="173991"/>
  </r>
  <r>
    <x v="16"/>
    <x v="15"/>
    <s v="Electric Generators, Electric Utilities"/>
    <x v="4"/>
    <n v="134035"/>
  </r>
  <r>
    <x v="16"/>
    <x v="15"/>
    <s v="Combined Heat and Power, Industrial Power"/>
    <x v="0"/>
    <n v="3607025"/>
  </r>
  <r>
    <x v="16"/>
    <x v="15"/>
    <s v="Combined Heat and Power, Industrial Power"/>
    <x v="1"/>
    <n v="55256"/>
  </r>
  <r>
    <x v="16"/>
    <x v="15"/>
    <s v="Combined Heat and Power, Industrial Power"/>
    <x v="3"/>
    <n v="233254"/>
  </r>
  <r>
    <x v="16"/>
    <x v="15"/>
    <s v="Combined Heat and Power, Industrial Power"/>
    <x v="12"/>
    <n v="417433"/>
  </r>
  <r>
    <x v="16"/>
    <x v="15"/>
    <s v="Combined Heat and Power, Industrial Power"/>
    <x v="8"/>
    <n v="23894"/>
  </r>
  <r>
    <x v="16"/>
    <x v="15"/>
    <s v="Combined Heat and Power, Industrial Power"/>
    <x v="9"/>
    <n v="2864459"/>
  </r>
  <r>
    <x v="16"/>
    <x v="15"/>
    <s v="Combined Heat and Power, Industrial Power"/>
    <x v="4"/>
    <n v="12729"/>
  </r>
  <r>
    <x v="16"/>
    <x v="15"/>
    <s v="Combined Heat and Power, Electric Power"/>
    <x v="0"/>
    <n v="5525921"/>
  </r>
  <r>
    <x v="16"/>
    <x v="15"/>
    <s v="Combined Heat and Power, Electric Power"/>
    <x v="1"/>
    <n v="4450733"/>
  </r>
  <r>
    <x v="16"/>
    <x v="15"/>
    <s v="Combined Heat and Power, Electric Power"/>
    <x v="3"/>
    <n v="1069531"/>
  </r>
  <r>
    <x v="16"/>
    <x v="15"/>
    <s v="Combined Heat and Power, Electric Power"/>
    <x v="12"/>
    <n v="0"/>
  </r>
  <r>
    <x v="16"/>
    <x v="15"/>
    <s v="Combined Heat and Power, Electric Power"/>
    <x v="9"/>
    <n v="5640"/>
  </r>
  <r>
    <x v="16"/>
    <x v="15"/>
    <s v="Combined Heat and Power, Electric Power"/>
    <x v="4"/>
    <n v="16"/>
  </r>
  <r>
    <x v="16"/>
    <x v="15"/>
    <s v="Combined Heat and Power, Commercial Power"/>
    <x v="0"/>
    <n v="225774"/>
  </r>
  <r>
    <x v="16"/>
    <x v="15"/>
    <s v="Combined Heat and Power, Commercial Power"/>
    <x v="1"/>
    <n v="174205"/>
  </r>
  <r>
    <x v="16"/>
    <x v="15"/>
    <s v="Combined Heat and Power, Commercial Power"/>
    <x v="3"/>
    <n v="10843"/>
  </r>
  <r>
    <x v="16"/>
    <x v="15"/>
    <s v="Combined Heat and Power, Commercial Power"/>
    <x v="12"/>
    <n v="17543"/>
  </r>
  <r>
    <x v="16"/>
    <x v="15"/>
    <s v="Combined Heat and Power, Commercial Power"/>
    <x v="8"/>
    <n v="22328"/>
  </r>
  <r>
    <x v="16"/>
    <x v="15"/>
    <s v="Combined Heat and Power, Commercial Power"/>
    <x v="4"/>
    <n v="854"/>
  </r>
  <r>
    <x v="16"/>
    <x v="16"/>
    <s v="Total Electric Power Industry"/>
    <x v="0"/>
    <n v="45523736"/>
  </r>
  <r>
    <x v="16"/>
    <x v="16"/>
    <s v="Total Electric Power Industry"/>
    <x v="1"/>
    <n v="33281380"/>
  </r>
  <r>
    <x v="16"/>
    <x v="16"/>
    <s v="Total Electric Power Industry"/>
    <x v="2"/>
    <n v="9649"/>
  </r>
  <r>
    <x v="16"/>
    <x v="16"/>
    <s v="Total Electric Power Industry"/>
    <x v="3"/>
    <n v="1839406"/>
  </r>
  <r>
    <x v="16"/>
    <x v="16"/>
    <s v="Total Electric Power Industry"/>
    <x v="7"/>
    <n v="9350269"/>
  </r>
  <r>
    <x v="16"/>
    <x v="16"/>
    <s v="Total Electric Power Industry"/>
    <x v="4"/>
    <n v="51142"/>
  </r>
  <r>
    <x v="16"/>
    <x v="16"/>
    <s v="Total Electric Power Industry"/>
    <x v="5"/>
    <n v="991890"/>
  </r>
  <r>
    <x v="16"/>
    <x v="16"/>
    <s v="Electric Generators, Independent Power Producers"/>
    <x v="0"/>
    <n v="895109"/>
  </r>
  <r>
    <x v="16"/>
    <x v="16"/>
    <s v="Electric Generators, Independent Power Producers"/>
    <x v="2"/>
    <n v="9649"/>
  </r>
  <r>
    <x v="16"/>
    <x v="16"/>
    <s v="Electric Generators, Independent Power Producers"/>
    <x v="5"/>
    <n v="885460"/>
  </r>
  <r>
    <x v="16"/>
    <x v="16"/>
    <s v="Electric Generators, Electric Utilities"/>
    <x v="0"/>
    <n v="44621389"/>
  </r>
  <r>
    <x v="16"/>
    <x v="16"/>
    <s v="Electric Generators, Electric Utilities"/>
    <x v="1"/>
    <n v="33281380"/>
  </r>
  <r>
    <x v="16"/>
    <x v="16"/>
    <s v="Electric Generators, Electric Utilities"/>
    <x v="3"/>
    <n v="1832168"/>
  </r>
  <r>
    <x v="16"/>
    <x v="16"/>
    <s v="Electric Generators, Electric Utilities"/>
    <x v="7"/>
    <n v="9350269"/>
  </r>
  <r>
    <x v="16"/>
    <x v="16"/>
    <s v="Electric Generators, Electric Utilities"/>
    <x v="4"/>
    <n v="51142"/>
  </r>
  <r>
    <x v="16"/>
    <x v="16"/>
    <s v="Electric Generators, Electric Utilities"/>
    <x v="5"/>
    <n v="106430"/>
  </r>
  <r>
    <x v="16"/>
    <x v="16"/>
    <s v="Combined Heat and Power, Industrial Power"/>
    <x v="0"/>
    <n v="7238"/>
  </r>
  <r>
    <x v="16"/>
    <x v="16"/>
    <s v="Combined Heat and Power, Industrial Power"/>
    <x v="3"/>
    <n v="7238"/>
  </r>
  <r>
    <x v="16"/>
    <x v="16"/>
    <s v="Combined Heat and Power, Commercial Power"/>
    <x v="0"/>
    <n v="0"/>
  </r>
  <r>
    <x v="16"/>
    <x v="16"/>
    <s v="Combined Heat and Power, Commercial Power"/>
    <x v="3"/>
    <n v="0"/>
  </r>
  <r>
    <x v="16"/>
    <x v="16"/>
    <s v="Combined Heat and Power, Commercial Power"/>
    <x v="4"/>
    <n v="0"/>
  </r>
  <r>
    <x v="16"/>
    <x v="17"/>
    <s v="Total Electric Power Industry"/>
    <x v="0"/>
    <n v="98792014"/>
  </r>
  <r>
    <x v="16"/>
    <x v="17"/>
    <s v="Total Electric Power Industry"/>
    <x v="1"/>
    <n v="91198488"/>
  </r>
  <r>
    <x v="16"/>
    <x v="17"/>
    <s v="Total Electric Power Industry"/>
    <x v="2"/>
    <n v="2591701"/>
  </r>
  <r>
    <x v="16"/>
    <x v="17"/>
    <s v="Total Electric Power Industry"/>
    <x v="3"/>
    <n v="1176638"/>
  </r>
  <r>
    <x v="16"/>
    <x v="17"/>
    <s v="Total Electric Power Industry"/>
    <x v="12"/>
    <n v="21655"/>
  </r>
  <r>
    <x v="16"/>
    <x v="17"/>
    <s v="Total Electric Power Industry"/>
    <x v="8"/>
    <n v="89437"/>
  </r>
  <r>
    <x v="16"/>
    <x v="17"/>
    <s v="Total Electric Power Industry"/>
    <x v="9"/>
    <n v="3836"/>
  </r>
  <r>
    <x v="16"/>
    <x v="17"/>
    <s v="Total Electric Power Industry"/>
    <x v="4"/>
    <n v="3340898"/>
  </r>
  <r>
    <x v="16"/>
    <x v="17"/>
    <s v="Total Electric Power Industry"/>
    <x v="6"/>
    <n v="369361"/>
  </r>
  <r>
    <x v="16"/>
    <x v="17"/>
    <s v="Electric Generators, Independent Power Producers"/>
    <x v="0"/>
    <n v="11449063"/>
  </r>
  <r>
    <x v="16"/>
    <x v="17"/>
    <s v="Electric Generators, Independent Power Producers"/>
    <x v="1"/>
    <n v="8129862"/>
  </r>
  <r>
    <x v="16"/>
    <x v="17"/>
    <s v="Electric Generators, Independent Power Producers"/>
    <x v="2"/>
    <n v="0"/>
  </r>
  <r>
    <x v="16"/>
    <x v="17"/>
    <s v="Electric Generators, Independent Power Producers"/>
    <x v="3"/>
    <n v="57823"/>
  </r>
  <r>
    <x v="16"/>
    <x v="17"/>
    <s v="Electric Generators, Independent Power Producers"/>
    <x v="4"/>
    <n v="3261378"/>
  </r>
  <r>
    <x v="16"/>
    <x v="17"/>
    <s v="Electric Generators, Electric Utilities"/>
    <x v="0"/>
    <n v="86816479"/>
  </r>
  <r>
    <x v="16"/>
    <x v="17"/>
    <s v="Electric Generators, Electric Utilities"/>
    <x v="1"/>
    <n v="83068626"/>
  </r>
  <r>
    <x v="16"/>
    <x v="17"/>
    <s v="Electric Generators, Electric Utilities"/>
    <x v="2"/>
    <n v="2591701"/>
  </r>
  <r>
    <x v="16"/>
    <x v="17"/>
    <s v="Electric Generators, Electric Utilities"/>
    <x v="3"/>
    <n v="963428"/>
  </r>
  <r>
    <x v="16"/>
    <x v="17"/>
    <s v="Electric Generators, Electric Utilities"/>
    <x v="12"/>
    <n v="21655"/>
  </r>
  <r>
    <x v="16"/>
    <x v="17"/>
    <s v="Electric Generators, Electric Utilities"/>
    <x v="8"/>
    <n v="87713"/>
  </r>
  <r>
    <x v="16"/>
    <x v="17"/>
    <s v="Electric Generators, Electric Utilities"/>
    <x v="9"/>
    <n v="3836"/>
  </r>
  <r>
    <x v="16"/>
    <x v="17"/>
    <s v="Electric Generators, Electric Utilities"/>
    <x v="4"/>
    <n v="79520"/>
  </r>
  <r>
    <x v="16"/>
    <x v="17"/>
    <s v="Combined Heat and Power, Industrial Power"/>
    <x v="0"/>
    <n v="526472"/>
  </r>
  <r>
    <x v="16"/>
    <x v="17"/>
    <s v="Combined Heat and Power, Industrial Power"/>
    <x v="3"/>
    <n v="155387"/>
  </r>
  <r>
    <x v="16"/>
    <x v="17"/>
    <s v="Combined Heat and Power, Industrial Power"/>
    <x v="8"/>
    <n v="1724"/>
  </r>
  <r>
    <x v="16"/>
    <x v="17"/>
    <s v="Combined Heat and Power, Industrial Power"/>
    <x v="6"/>
    <n v="369361"/>
  </r>
  <r>
    <x v="16"/>
    <x v="18"/>
    <s v="Total Electric Power Industry"/>
    <x v="0"/>
    <n v="90921829"/>
  </r>
  <r>
    <x v="16"/>
    <x v="18"/>
    <s v="Total Electric Power Industry"/>
    <x v="1"/>
    <n v="24395205"/>
  </r>
  <r>
    <x v="16"/>
    <x v="18"/>
    <s v="Total Electric Power Industry"/>
    <x v="2"/>
    <n v="713215"/>
  </r>
  <r>
    <x v="16"/>
    <x v="18"/>
    <s v="Total Electric Power Industry"/>
    <x v="3"/>
    <n v="41933335"/>
  </r>
  <r>
    <x v="16"/>
    <x v="18"/>
    <s v="Total Electric Power Industry"/>
    <x v="7"/>
    <n v="16735448"/>
  </r>
  <r>
    <x v="16"/>
    <x v="18"/>
    <s v="Total Electric Power Industry"/>
    <x v="12"/>
    <n v="715492"/>
  </r>
  <r>
    <x v="16"/>
    <x v="18"/>
    <s v="Total Electric Power Industry"/>
    <x v="8"/>
    <n v="81432"/>
  </r>
  <r>
    <x v="16"/>
    <x v="18"/>
    <s v="Total Electric Power Industry"/>
    <x v="9"/>
    <n v="1594675"/>
  </r>
  <r>
    <x v="16"/>
    <x v="18"/>
    <s v="Total Electric Power Industry"/>
    <x v="4"/>
    <n v="1872096"/>
  </r>
  <r>
    <x v="16"/>
    <x v="18"/>
    <s v="Total Electric Power Industry"/>
    <x v="6"/>
    <n v="2880930"/>
  </r>
  <r>
    <x v="16"/>
    <x v="18"/>
    <s v="Electric Generators, Independent Power Producers"/>
    <x v="0"/>
    <n v="18740272"/>
  </r>
  <r>
    <x v="16"/>
    <x v="18"/>
    <s v="Electric Generators, Independent Power Producers"/>
    <x v="1"/>
    <n v="12806124"/>
  </r>
  <r>
    <x v="16"/>
    <x v="18"/>
    <s v="Electric Generators, Independent Power Producers"/>
    <x v="2"/>
    <n v="713215"/>
  </r>
  <r>
    <x v="16"/>
    <x v="18"/>
    <s v="Electric Generators, Independent Power Producers"/>
    <x v="3"/>
    <n v="5133220"/>
  </r>
  <r>
    <x v="16"/>
    <x v="18"/>
    <s v="Electric Generators, Independent Power Producers"/>
    <x v="8"/>
    <n v="76304"/>
  </r>
  <r>
    <x v="16"/>
    <x v="18"/>
    <s v="Electric Generators, Independent Power Producers"/>
    <x v="4"/>
    <n v="11409"/>
  </r>
  <r>
    <x v="16"/>
    <x v="18"/>
    <s v="Electric Generators, Electric Utilities"/>
    <x v="0"/>
    <n v="40891159"/>
  </r>
  <r>
    <x v="16"/>
    <x v="18"/>
    <s v="Electric Generators, Electric Utilities"/>
    <x v="1"/>
    <n v="11544776"/>
  </r>
  <r>
    <x v="16"/>
    <x v="18"/>
    <s v="Electric Generators, Electric Utilities"/>
    <x v="3"/>
    <n v="10854016"/>
  </r>
  <r>
    <x v="16"/>
    <x v="18"/>
    <s v="Electric Generators, Electric Utilities"/>
    <x v="7"/>
    <n v="16735448"/>
  </r>
  <r>
    <x v="16"/>
    <x v="18"/>
    <s v="Electric Generators, Electric Utilities"/>
    <x v="4"/>
    <n v="1756919"/>
  </r>
  <r>
    <x v="16"/>
    <x v="18"/>
    <s v="Combined Heat and Power, Industrial Power"/>
    <x v="0"/>
    <n v="27086726"/>
  </r>
  <r>
    <x v="16"/>
    <x v="18"/>
    <s v="Combined Heat and Power, Industrial Power"/>
    <x v="1"/>
    <n v="44305"/>
  </r>
  <r>
    <x v="16"/>
    <x v="18"/>
    <s v="Combined Heat and Power, Industrial Power"/>
    <x v="3"/>
    <n v="22412268"/>
  </r>
  <r>
    <x v="16"/>
    <x v="18"/>
    <s v="Combined Heat and Power, Industrial Power"/>
    <x v="12"/>
    <n v="715492"/>
  </r>
  <r>
    <x v="16"/>
    <x v="18"/>
    <s v="Combined Heat and Power, Industrial Power"/>
    <x v="8"/>
    <n v="5128"/>
  </r>
  <r>
    <x v="16"/>
    <x v="18"/>
    <s v="Combined Heat and Power, Industrial Power"/>
    <x v="9"/>
    <n v="924833"/>
  </r>
  <r>
    <x v="16"/>
    <x v="18"/>
    <s v="Combined Heat and Power, Industrial Power"/>
    <x v="4"/>
    <n v="103768"/>
  </r>
  <r>
    <x v="16"/>
    <x v="18"/>
    <s v="Combined Heat and Power, Industrial Power"/>
    <x v="6"/>
    <n v="2880930"/>
  </r>
  <r>
    <x v="16"/>
    <x v="18"/>
    <s v="Combined Heat and Power, Electric Power"/>
    <x v="0"/>
    <n v="4165057"/>
  </r>
  <r>
    <x v="16"/>
    <x v="18"/>
    <s v="Combined Heat and Power, Electric Power"/>
    <x v="3"/>
    <n v="3495214"/>
  </r>
  <r>
    <x v="16"/>
    <x v="18"/>
    <s v="Combined Heat and Power, Electric Power"/>
    <x v="9"/>
    <n v="669842"/>
  </r>
  <r>
    <x v="16"/>
    <x v="18"/>
    <s v="Combined Heat and Power, Commercial Power"/>
    <x v="0"/>
    <n v="38616"/>
  </r>
  <r>
    <x v="16"/>
    <x v="18"/>
    <s v="Combined Heat and Power, Commercial Power"/>
    <x v="3"/>
    <n v="38616"/>
  </r>
  <r>
    <x v="16"/>
    <x v="19"/>
    <s v="Total Electric Power Industry"/>
    <x v="0"/>
    <n v="45597775"/>
  </r>
  <r>
    <x v="16"/>
    <x v="19"/>
    <s v="Total Electric Power Industry"/>
    <x v="1"/>
    <n v="11138341"/>
  </r>
  <r>
    <x v="16"/>
    <x v="19"/>
    <s v="Total Electric Power Industry"/>
    <x v="2"/>
    <n v="1512645"/>
  </r>
  <r>
    <x v="16"/>
    <x v="19"/>
    <s v="Total Electric Power Industry"/>
    <x v="3"/>
    <n v="23306676"/>
  </r>
  <r>
    <x v="16"/>
    <x v="19"/>
    <s v="Total Electric Power Industry"/>
    <x v="7"/>
    <n v="5829658"/>
  </r>
  <r>
    <x v="16"/>
    <x v="19"/>
    <s v="Total Electric Power Industry"/>
    <x v="12"/>
    <n v="782278"/>
  </r>
  <r>
    <x v="16"/>
    <x v="19"/>
    <s v="Total Electric Power Industry"/>
    <x v="8"/>
    <n v="1153571"/>
  </r>
  <r>
    <x v="16"/>
    <x v="19"/>
    <s v="Total Electric Power Industry"/>
    <x v="4"/>
    <n v="2328246"/>
  </r>
  <r>
    <x v="16"/>
    <x v="19"/>
    <s v="Total Electric Power Industry"/>
    <x v="10"/>
    <n v="-578898"/>
  </r>
  <r>
    <x v="16"/>
    <x v="19"/>
    <s v="Total Electric Power Industry"/>
    <x v="6"/>
    <n v="125258"/>
  </r>
  <r>
    <x v="16"/>
    <x v="19"/>
    <s v="Electric Generators, Independent Power Producers"/>
    <x v="0"/>
    <n v="41847076"/>
  </r>
  <r>
    <x v="16"/>
    <x v="19"/>
    <s v="Electric Generators, Independent Power Producers"/>
    <x v="1"/>
    <n v="11086492"/>
  </r>
  <r>
    <x v="16"/>
    <x v="19"/>
    <s v="Electric Generators, Independent Power Producers"/>
    <x v="2"/>
    <n v="916604"/>
  </r>
  <r>
    <x v="16"/>
    <x v="19"/>
    <s v="Electric Generators, Independent Power Producers"/>
    <x v="3"/>
    <n v="20450722"/>
  </r>
  <r>
    <x v="16"/>
    <x v="19"/>
    <s v="Electric Generators, Independent Power Producers"/>
    <x v="7"/>
    <n v="5829658"/>
  </r>
  <r>
    <x v="16"/>
    <x v="19"/>
    <s v="Electric Generators, Independent Power Producers"/>
    <x v="12"/>
    <n v="782278"/>
  </r>
  <r>
    <x v="16"/>
    <x v="19"/>
    <s v="Electric Generators, Independent Power Producers"/>
    <x v="8"/>
    <n v="1126489"/>
  </r>
  <r>
    <x v="16"/>
    <x v="19"/>
    <s v="Electric Generators, Independent Power Producers"/>
    <x v="4"/>
    <n v="2108473"/>
  </r>
  <r>
    <x v="16"/>
    <x v="19"/>
    <s v="Electric Generators, Independent Power Producers"/>
    <x v="10"/>
    <n v="-578898"/>
  </r>
  <r>
    <x v="16"/>
    <x v="19"/>
    <s v="Electric Generators, Independent Power Producers"/>
    <x v="6"/>
    <n v="125258"/>
  </r>
  <r>
    <x v="16"/>
    <x v="19"/>
    <s v="Electric Generators, Electric Utilities"/>
    <x v="0"/>
    <n v="942917"/>
  </r>
  <r>
    <x v="16"/>
    <x v="19"/>
    <s v="Electric Generators, Electric Utilities"/>
    <x v="2"/>
    <n v="587468"/>
  </r>
  <r>
    <x v="16"/>
    <x v="19"/>
    <s v="Electric Generators, Electric Utilities"/>
    <x v="3"/>
    <n v="326418"/>
  </r>
  <r>
    <x v="16"/>
    <x v="19"/>
    <s v="Electric Generators, Electric Utilities"/>
    <x v="4"/>
    <n v="29031"/>
  </r>
  <r>
    <x v="16"/>
    <x v="19"/>
    <s v="Combined Heat and Power, Industrial Power"/>
    <x v="0"/>
    <n v="295567"/>
  </r>
  <r>
    <x v="16"/>
    <x v="19"/>
    <s v="Combined Heat and Power, Industrial Power"/>
    <x v="1"/>
    <n v="51849"/>
  </r>
  <r>
    <x v="16"/>
    <x v="19"/>
    <s v="Combined Heat and Power, Industrial Power"/>
    <x v="2"/>
    <n v="3281"/>
  </r>
  <r>
    <x v="16"/>
    <x v="19"/>
    <s v="Combined Heat and Power, Industrial Power"/>
    <x v="3"/>
    <n v="144721"/>
  </r>
  <r>
    <x v="16"/>
    <x v="19"/>
    <s v="Combined Heat and Power, Industrial Power"/>
    <x v="12"/>
    <n v="0"/>
  </r>
  <r>
    <x v="16"/>
    <x v="19"/>
    <s v="Combined Heat and Power, Industrial Power"/>
    <x v="4"/>
    <n v="95715"/>
  </r>
  <r>
    <x v="16"/>
    <x v="19"/>
    <s v="Combined Heat and Power, Electric Power"/>
    <x v="0"/>
    <n v="1938335"/>
  </r>
  <r>
    <x v="16"/>
    <x v="19"/>
    <s v="Combined Heat and Power, Electric Power"/>
    <x v="3"/>
    <n v="1913541"/>
  </r>
  <r>
    <x v="16"/>
    <x v="19"/>
    <s v="Combined Heat and Power, Electric Power"/>
    <x v="4"/>
    <n v="24794"/>
  </r>
  <r>
    <x v="16"/>
    <x v="19"/>
    <s v="Combined Heat and Power, Commercial Power"/>
    <x v="0"/>
    <n v="573881"/>
  </r>
  <r>
    <x v="16"/>
    <x v="19"/>
    <s v="Combined Heat and Power, Commercial Power"/>
    <x v="2"/>
    <n v="5292"/>
  </r>
  <r>
    <x v="16"/>
    <x v="19"/>
    <s v="Combined Heat and Power, Commercial Power"/>
    <x v="3"/>
    <n v="471274"/>
  </r>
  <r>
    <x v="16"/>
    <x v="19"/>
    <s v="Combined Heat and Power, Commercial Power"/>
    <x v="8"/>
    <n v="27082"/>
  </r>
  <r>
    <x v="16"/>
    <x v="19"/>
    <s v="Combined Heat and Power, Commercial Power"/>
    <x v="4"/>
    <n v="70233"/>
  </r>
  <r>
    <x v="16"/>
    <x v="20"/>
    <s v="Total Electric Power Industry"/>
    <x v="0"/>
    <n v="48956880"/>
  </r>
  <r>
    <x v="16"/>
    <x v="20"/>
    <s v="Total Electric Power Industry"/>
    <x v="1"/>
    <n v="29408022"/>
  </r>
  <r>
    <x v="16"/>
    <x v="20"/>
    <s v="Total Electric Power Industry"/>
    <x v="2"/>
    <n v="2104275"/>
  </r>
  <r>
    <x v="16"/>
    <x v="20"/>
    <s v="Total Electric Power Industry"/>
    <x v="3"/>
    <n v="1770206"/>
  </r>
  <r>
    <x v="16"/>
    <x v="20"/>
    <s v="Total Electric Power Industry"/>
    <x v="7"/>
    <n v="13830411"/>
  </r>
  <r>
    <x v="16"/>
    <x v="20"/>
    <s v="Total Electric Power Industry"/>
    <x v="12"/>
    <n v="304635"/>
  </r>
  <r>
    <x v="16"/>
    <x v="20"/>
    <s v="Total Electric Power Industry"/>
    <x v="8"/>
    <n v="408095"/>
  </r>
  <r>
    <x v="16"/>
    <x v="20"/>
    <s v="Total Electric Power Industry"/>
    <x v="9"/>
    <n v="332444"/>
  </r>
  <r>
    <x v="16"/>
    <x v="20"/>
    <s v="Total Electric Power Industry"/>
    <x v="4"/>
    <n v="580726"/>
  </r>
  <r>
    <x v="16"/>
    <x v="20"/>
    <s v="Total Electric Power Industry"/>
    <x v="6"/>
    <n v="218066"/>
  </r>
  <r>
    <x v="16"/>
    <x v="20"/>
    <s v="Electric Generators, Independent Power Producers"/>
    <x v="0"/>
    <n v="45406488"/>
  </r>
  <r>
    <x v="16"/>
    <x v="20"/>
    <s v="Electric Generators, Independent Power Producers"/>
    <x v="1"/>
    <n v="27667012"/>
  </r>
  <r>
    <x v="16"/>
    <x v="20"/>
    <s v="Electric Generators, Independent Power Producers"/>
    <x v="2"/>
    <n v="2104275"/>
  </r>
  <r>
    <x v="16"/>
    <x v="20"/>
    <s v="Electric Generators, Independent Power Producers"/>
    <x v="3"/>
    <n v="938027"/>
  </r>
  <r>
    <x v="16"/>
    <x v="20"/>
    <s v="Electric Generators, Independent Power Producers"/>
    <x v="7"/>
    <n v="13830411"/>
  </r>
  <r>
    <x v="16"/>
    <x v="20"/>
    <s v="Electric Generators, Independent Power Producers"/>
    <x v="12"/>
    <n v="162985"/>
  </r>
  <r>
    <x v="16"/>
    <x v="20"/>
    <s v="Electric Generators, Independent Power Producers"/>
    <x v="8"/>
    <n v="212706"/>
  </r>
  <r>
    <x v="16"/>
    <x v="20"/>
    <s v="Electric Generators, Independent Power Producers"/>
    <x v="4"/>
    <n v="491072"/>
  </r>
  <r>
    <x v="16"/>
    <x v="20"/>
    <s v="Electric Generators, Electric Utilities"/>
    <x v="0"/>
    <n v="11941"/>
  </r>
  <r>
    <x v="16"/>
    <x v="20"/>
    <s v="Electric Generators, Electric Utilities"/>
    <x v="3"/>
    <n v="0"/>
  </r>
  <r>
    <x v="16"/>
    <x v="20"/>
    <s v="Electric Generators, Electric Utilities"/>
    <x v="4"/>
    <n v="11941"/>
  </r>
  <r>
    <x v="16"/>
    <x v="20"/>
    <s v="Combined Heat and Power, Industrial Power"/>
    <x v="0"/>
    <n v="604646"/>
  </r>
  <r>
    <x v="16"/>
    <x v="20"/>
    <s v="Combined Heat and Power, Industrial Power"/>
    <x v="1"/>
    <n v="286006"/>
  </r>
  <r>
    <x v="16"/>
    <x v="20"/>
    <s v="Combined Heat and Power, Industrial Power"/>
    <x v="3"/>
    <n v="83368"/>
  </r>
  <r>
    <x v="16"/>
    <x v="20"/>
    <s v="Combined Heat and Power, Industrial Power"/>
    <x v="4"/>
    <n v="34014"/>
  </r>
  <r>
    <x v="16"/>
    <x v="20"/>
    <s v="Combined Heat and Power, Industrial Power"/>
    <x v="6"/>
    <n v="201259"/>
  </r>
  <r>
    <x v="16"/>
    <x v="20"/>
    <s v="Combined Heat and Power, Electric Power"/>
    <x v="0"/>
    <n v="2901687"/>
  </r>
  <r>
    <x v="16"/>
    <x v="20"/>
    <s v="Combined Heat and Power, Electric Power"/>
    <x v="1"/>
    <n v="1455004"/>
  </r>
  <r>
    <x v="16"/>
    <x v="20"/>
    <s v="Combined Heat and Power, Electric Power"/>
    <x v="3"/>
    <n v="748788"/>
  </r>
  <r>
    <x v="16"/>
    <x v="20"/>
    <s v="Combined Heat and Power, Electric Power"/>
    <x v="12"/>
    <n v="141623"/>
  </r>
  <r>
    <x v="16"/>
    <x v="20"/>
    <s v="Combined Heat and Power, Electric Power"/>
    <x v="8"/>
    <n v="180240"/>
  </r>
  <r>
    <x v="16"/>
    <x v="20"/>
    <s v="Combined Heat and Power, Electric Power"/>
    <x v="9"/>
    <n v="332402"/>
  </r>
  <r>
    <x v="16"/>
    <x v="20"/>
    <s v="Combined Heat and Power, Electric Power"/>
    <x v="4"/>
    <n v="43629"/>
  </r>
  <r>
    <x v="16"/>
    <x v="20"/>
    <s v="Combined Heat and Power, Commercial Power"/>
    <x v="0"/>
    <n v="32118"/>
  </r>
  <r>
    <x v="16"/>
    <x v="20"/>
    <s v="Combined Heat and Power, Commercial Power"/>
    <x v="3"/>
    <n v="24"/>
  </r>
  <r>
    <x v="16"/>
    <x v="20"/>
    <s v="Combined Heat and Power, Commercial Power"/>
    <x v="12"/>
    <n v="27"/>
  </r>
  <r>
    <x v="16"/>
    <x v="20"/>
    <s v="Combined Heat and Power, Commercial Power"/>
    <x v="8"/>
    <n v="15149"/>
  </r>
  <r>
    <x v="16"/>
    <x v="20"/>
    <s v="Combined Heat and Power, Commercial Power"/>
    <x v="9"/>
    <n v="41"/>
  </r>
  <r>
    <x v="16"/>
    <x v="20"/>
    <s v="Combined Heat and Power, Commercial Power"/>
    <x v="4"/>
    <n v="70"/>
  </r>
  <r>
    <x v="16"/>
    <x v="20"/>
    <s v="Combined Heat and Power, Commercial Power"/>
    <x v="6"/>
    <n v="16807"/>
  </r>
  <r>
    <x v="16"/>
    <x v="21"/>
    <s v="Total Electric Power Industry"/>
    <x v="0"/>
    <n v="16816173"/>
  </r>
  <r>
    <x v="16"/>
    <x v="21"/>
    <s v="Total Electric Power Industry"/>
    <x v="1"/>
    <n v="321262"/>
  </r>
  <r>
    <x v="16"/>
    <x v="21"/>
    <s v="Total Electric Power Industry"/>
    <x v="2"/>
    <n v="4278132"/>
  </r>
  <r>
    <x v="16"/>
    <x v="21"/>
    <s v="Total Electric Power Industry"/>
    <x v="3"/>
    <n v="7297856"/>
  </r>
  <r>
    <x v="16"/>
    <x v="21"/>
    <s v="Total Electric Power Industry"/>
    <x v="12"/>
    <n v="356336"/>
  </r>
  <r>
    <x v="16"/>
    <x v="21"/>
    <s v="Total Electric Power Industry"/>
    <x v="8"/>
    <n v="283033"/>
  </r>
  <r>
    <x v="16"/>
    <x v="21"/>
    <s v="Total Electric Power Industry"/>
    <x v="9"/>
    <n v="0"/>
  </r>
  <r>
    <x v="16"/>
    <x v="21"/>
    <s v="Total Electric Power Industry"/>
    <x v="4"/>
    <n v="594935"/>
  </r>
  <r>
    <x v="16"/>
    <x v="21"/>
    <s v="Total Electric Power Industry"/>
    <x v="6"/>
    <n v="3684618"/>
  </r>
  <r>
    <x v="16"/>
    <x v="21"/>
    <s v="Electric Generators, Independent Power Producers"/>
    <x v="0"/>
    <n v="11090726"/>
  </r>
  <r>
    <x v="16"/>
    <x v="21"/>
    <s v="Electric Generators, Independent Power Producers"/>
    <x v="2"/>
    <n v="3499336"/>
  </r>
  <r>
    <x v="16"/>
    <x v="21"/>
    <s v="Electric Generators, Independent Power Producers"/>
    <x v="3"/>
    <n v="5868042"/>
  </r>
  <r>
    <x v="16"/>
    <x v="21"/>
    <s v="Electric Generators, Independent Power Producers"/>
    <x v="12"/>
    <n v="109514"/>
  </r>
  <r>
    <x v="16"/>
    <x v="21"/>
    <s v="Electric Generators, Independent Power Producers"/>
    <x v="8"/>
    <n v="139382"/>
  </r>
  <r>
    <x v="16"/>
    <x v="21"/>
    <s v="Electric Generators, Independent Power Producers"/>
    <x v="9"/>
    <n v="0"/>
  </r>
  <r>
    <x v="16"/>
    <x v="21"/>
    <s v="Electric Generators, Independent Power Producers"/>
    <x v="4"/>
    <n v="72147"/>
  </r>
  <r>
    <x v="16"/>
    <x v="21"/>
    <s v="Electric Generators, Independent Power Producers"/>
    <x v="6"/>
    <n v="1402305"/>
  </r>
  <r>
    <x v="16"/>
    <x v="21"/>
    <s v="Electric Generators, Electric Utilities"/>
    <x v="0"/>
    <n v="489"/>
  </r>
  <r>
    <x v="16"/>
    <x v="21"/>
    <s v="Electric Generators, Electric Utilities"/>
    <x v="4"/>
    <n v="489"/>
  </r>
  <r>
    <x v="16"/>
    <x v="21"/>
    <s v="Combined Heat and Power, Industrial Power"/>
    <x v="0"/>
    <n v="4851715"/>
  </r>
  <r>
    <x v="16"/>
    <x v="21"/>
    <s v="Combined Heat and Power, Industrial Power"/>
    <x v="1"/>
    <n v="163853"/>
  </r>
  <r>
    <x v="16"/>
    <x v="21"/>
    <s v="Combined Heat and Power, Industrial Power"/>
    <x v="2"/>
    <n v="778796"/>
  </r>
  <r>
    <x v="16"/>
    <x v="21"/>
    <s v="Combined Heat and Power, Industrial Power"/>
    <x v="3"/>
    <n v="1429418"/>
  </r>
  <r>
    <x v="16"/>
    <x v="21"/>
    <s v="Combined Heat and Power, Industrial Power"/>
    <x v="12"/>
    <n v="78783"/>
  </r>
  <r>
    <x v="16"/>
    <x v="21"/>
    <s v="Combined Heat and Power, Industrial Power"/>
    <x v="8"/>
    <n v="40150"/>
  </r>
  <r>
    <x v="16"/>
    <x v="21"/>
    <s v="Combined Heat and Power, Industrial Power"/>
    <x v="4"/>
    <n v="519441"/>
  </r>
  <r>
    <x v="16"/>
    <x v="21"/>
    <s v="Combined Heat and Power, Industrial Power"/>
    <x v="6"/>
    <n v="1841274"/>
  </r>
  <r>
    <x v="16"/>
    <x v="21"/>
    <s v="Combined Heat and Power, Electric Power"/>
    <x v="0"/>
    <n v="700901"/>
  </r>
  <r>
    <x v="16"/>
    <x v="21"/>
    <s v="Combined Heat and Power, Electric Power"/>
    <x v="1"/>
    <n v="157409"/>
  </r>
  <r>
    <x v="16"/>
    <x v="21"/>
    <s v="Combined Heat and Power, Electric Power"/>
    <x v="12"/>
    <n v="93115"/>
  </r>
  <r>
    <x v="16"/>
    <x v="21"/>
    <s v="Combined Heat and Power, Electric Power"/>
    <x v="8"/>
    <n v="8142"/>
  </r>
  <r>
    <x v="16"/>
    <x v="21"/>
    <s v="Combined Heat and Power, Electric Power"/>
    <x v="4"/>
    <n v="1196"/>
  </r>
  <r>
    <x v="16"/>
    <x v="21"/>
    <s v="Combined Heat and Power, Electric Power"/>
    <x v="6"/>
    <n v="441039"/>
  </r>
  <r>
    <x v="16"/>
    <x v="21"/>
    <s v="Combined Heat and Power, Commercial Power"/>
    <x v="0"/>
    <n v="172342"/>
  </r>
  <r>
    <x v="16"/>
    <x v="21"/>
    <s v="Combined Heat and Power, Commercial Power"/>
    <x v="3"/>
    <n v="396"/>
  </r>
  <r>
    <x v="16"/>
    <x v="21"/>
    <s v="Combined Heat and Power, Commercial Power"/>
    <x v="12"/>
    <n v="74925"/>
  </r>
  <r>
    <x v="16"/>
    <x v="21"/>
    <s v="Combined Heat and Power, Commercial Power"/>
    <x v="8"/>
    <n v="95359"/>
  </r>
  <r>
    <x v="16"/>
    <x v="21"/>
    <s v="Combined Heat and Power, Commercial Power"/>
    <x v="4"/>
    <n v="1662"/>
  </r>
  <r>
    <x v="16"/>
    <x v="21"/>
    <s v="Combined Heat and Power, Commercial Power"/>
    <x v="6"/>
    <n v="0"/>
  </r>
  <r>
    <x v="16"/>
    <x v="22"/>
    <s v="Total Electric Power Industry"/>
    <x v="0"/>
    <n v="112556738"/>
  </r>
  <r>
    <x v="16"/>
    <x v="22"/>
    <s v="Total Electric Power Industry"/>
    <x v="1"/>
    <n v="67780161"/>
  </r>
  <r>
    <x v="16"/>
    <x v="22"/>
    <s v="Total Electric Power Industry"/>
    <x v="2"/>
    <n v="1520353"/>
  </r>
  <r>
    <x v="16"/>
    <x v="22"/>
    <s v="Total Electric Power Industry"/>
    <x v="3"/>
    <n v="11409955"/>
  </r>
  <r>
    <x v="16"/>
    <x v="22"/>
    <s v="Total Electric Power Industry"/>
    <x v="7"/>
    <n v="29066165"/>
  </r>
  <r>
    <x v="16"/>
    <x v="22"/>
    <s v="Total Electric Power Industry"/>
    <x v="12"/>
    <n v="562522"/>
  </r>
  <r>
    <x v="16"/>
    <x v="22"/>
    <s v="Total Electric Power Industry"/>
    <x v="8"/>
    <n v="736823"/>
  </r>
  <r>
    <x v="16"/>
    <x v="22"/>
    <s v="Total Electric Power Industry"/>
    <x v="9"/>
    <n v="412347"/>
  </r>
  <r>
    <x v="16"/>
    <x v="22"/>
    <s v="Total Electric Power Industry"/>
    <x v="4"/>
    <n v="401887"/>
  </r>
  <r>
    <x v="16"/>
    <x v="22"/>
    <s v="Total Electric Power Industry"/>
    <x v="10"/>
    <n v="-1039210"/>
  </r>
  <r>
    <x v="16"/>
    <x v="22"/>
    <s v="Total Electric Power Industry"/>
    <x v="5"/>
    <n v="2212"/>
  </r>
  <r>
    <x v="16"/>
    <x v="22"/>
    <s v="Total Electric Power Industry"/>
    <x v="6"/>
    <n v="1703524"/>
  </r>
  <r>
    <x v="16"/>
    <x v="22"/>
    <s v="Electric Generators, Independent Power Producers"/>
    <x v="0"/>
    <n v="3859411"/>
  </r>
  <r>
    <x v="16"/>
    <x v="22"/>
    <s v="Electric Generators, Independent Power Producers"/>
    <x v="1"/>
    <n v="95258"/>
  </r>
  <r>
    <x v="16"/>
    <x v="22"/>
    <s v="Electric Generators, Independent Power Producers"/>
    <x v="2"/>
    <n v="107000"/>
  </r>
  <r>
    <x v="16"/>
    <x v="22"/>
    <s v="Electric Generators, Independent Power Producers"/>
    <x v="3"/>
    <n v="2036800"/>
  </r>
  <r>
    <x v="16"/>
    <x v="22"/>
    <s v="Electric Generators, Independent Power Producers"/>
    <x v="12"/>
    <n v="67645"/>
  </r>
  <r>
    <x v="16"/>
    <x v="22"/>
    <s v="Electric Generators, Independent Power Producers"/>
    <x v="8"/>
    <n v="515522"/>
  </r>
  <r>
    <x v="16"/>
    <x v="22"/>
    <s v="Electric Generators, Independent Power Producers"/>
    <x v="9"/>
    <n v="0"/>
  </r>
  <r>
    <x v="16"/>
    <x v="22"/>
    <s v="Electric Generators, Independent Power Producers"/>
    <x v="4"/>
    <n v="0"/>
  </r>
  <r>
    <x v="16"/>
    <x v="22"/>
    <s v="Electric Generators, Independent Power Producers"/>
    <x v="5"/>
    <n v="2212"/>
  </r>
  <r>
    <x v="16"/>
    <x v="22"/>
    <s v="Electric Generators, Independent Power Producers"/>
    <x v="6"/>
    <n v="1034974"/>
  </r>
  <r>
    <x v="16"/>
    <x v="22"/>
    <s v="Electric Generators, Electric Utilities"/>
    <x v="0"/>
    <n v="97373706"/>
  </r>
  <r>
    <x v="16"/>
    <x v="22"/>
    <s v="Electric Generators, Electric Utilities"/>
    <x v="1"/>
    <n v="66654737"/>
  </r>
  <r>
    <x v="16"/>
    <x v="22"/>
    <s v="Electric Generators, Electric Utilities"/>
    <x v="2"/>
    <n v="1381242"/>
  </r>
  <r>
    <x v="16"/>
    <x v="22"/>
    <s v="Electric Generators, Electric Utilities"/>
    <x v="3"/>
    <n v="982534"/>
  </r>
  <r>
    <x v="16"/>
    <x v="22"/>
    <s v="Electric Generators, Electric Utilities"/>
    <x v="7"/>
    <n v="29066165"/>
  </r>
  <r>
    <x v="16"/>
    <x v="22"/>
    <s v="Electric Generators, Electric Utilities"/>
    <x v="12"/>
    <n v="37278"/>
  </r>
  <r>
    <x v="16"/>
    <x v="22"/>
    <s v="Electric Generators, Electric Utilities"/>
    <x v="9"/>
    <n v="18854"/>
  </r>
  <r>
    <x v="16"/>
    <x v="22"/>
    <s v="Electric Generators, Electric Utilities"/>
    <x v="4"/>
    <n v="272106"/>
  </r>
  <r>
    <x v="16"/>
    <x v="22"/>
    <s v="Electric Generators, Electric Utilities"/>
    <x v="10"/>
    <n v="-1039210"/>
  </r>
  <r>
    <x v="16"/>
    <x v="22"/>
    <s v="Combined Heat and Power, Industrial Power"/>
    <x v="0"/>
    <n v="1730994"/>
  </r>
  <r>
    <x v="16"/>
    <x v="22"/>
    <s v="Combined Heat and Power, Industrial Power"/>
    <x v="1"/>
    <n v="446564"/>
  </r>
  <r>
    <x v="16"/>
    <x v="22"/>
    <s v="Combined Heat and Power, Industrial Power"/>
    <x v="2"/>
    <n v="32111"/>
  </r>
  <r>
    <x v="16"/>
    <x v="22"/>
    <s v="Combined Heat and Power, Industrial Power"/>
    <x v="3"/>
    <n v="207986"/>
  </r>
  <r>
    <x v="16"/>
    <x v="22"/>
    <s v="Combined Heat and Power, Industrial Power"/>
    <x v="12"/>
    <n v="273534"/>
  </r>
  <r>
    <x v="16"/>
    <x v="22"/>
    <s v="Combined Heat and Power, Industrial Power"/>
    <x v="8"/>
    <n v="1743"/>
  </r>
  <r>
    <x v="16"/>
    <x v="22"/>
    <s v="Combined Heat and Power, Industrial Power"/>
    <x v="9"/>
    <n v="92409"/>
  </r>
  <r>
    <x v="16"/>
    <x v="22"/>
    <s v="Combined Heat and Power, Industrial Power"/>
    <x v="4"/>
    <n v="38860"/>
  </r>
  <r>
    <x v="16"/>
    <x v="22"/>
    <s v="Combined Heat and Power, Industrial Power"/>
    <x v="6"/>
    <n v="637787"/>
  </r>
  <r>
    <x v="16"/>
    <x v="22"/>
    <s v="Combined Heat and Power, Electric Power"/>
    <x v="0"/>
    <n v="9077221"/>
  </r>
  <r>
    <x v="16"/>
    <x v="22"/>
    <s v="Combined Heat and Power, Electric Power"/>
    <x v="1"/>
    <n v="354340"/>
  </r>
  <r>
    <x v="16"/>
    <x v="22"/>
    <s v="Combined Heat and Power, Electric Power"/>
    <x v="3"/>
    <n v="8170777"/>
  </r>
  <r>
    <x v="16"/>
    <x v="22"/>
    <s v="Combined Heat and Power, Electric Power"/>
    <x v="12"/>
    <n v="64688"/>
  </r>
  <r>
    <x v="16"/>
    <x v="22"/>
    <s v="Combined Heat and Power, Electric Power"/>
    <x v="8"/>
    <n v="67631"/>
  </r>
  <r>
    <x v="16"/>
    <x v="22"/>
    <s v="Combined Heat and Power, Electric Power"/>
    <x v="9"/>
    <n v="301084"/>
  </r>
  <r>
    <x v="16"/>
    <x v="22"/>
    <s v="Combined Heat and Power, Electric Power"/>
    <x v="4"/>
    <n v="90708"/>
  </r>
  <r>
    <x v="16"/>
    <x v="22"/>
    <s v="Combined Heat and Power, Electric Power"/>
    <x v="6"/>
    <n v="27993"/>
  </r>
  <r>
    <x v="16"/>
    <x v="22"/>
    <s v="Combined Heat and Power, Commercial Power"/>
    <x v="0"/>
    <n v="515407"/>
  </r>
  <r>
    <x v="16"/>
    <x v="22"/>
    <s v="Combined Heat and Power, Commercial Power"/>
    <x v="1"/>
    <n v="229261"/>
  </r>
  <r>
    <x v="16"/>
    <x v="22"/>
    <s v="Combined Heat and Power, Commercial Power"/>
    <x v="3"/>
    <n v="11858"/>
  </r>
  <r>
    <x v="16"/>
    <x v="22"/>
    <s v="Combined Heat and Power, Commercial Power"/>
    <x v="12"/>
    <n v="119377"/>
  </r>
  <r>
    <x v="16"/>
    <x v="22"/>
    <s v="Combined Heat and Power, Commercial Power"/>
    <x v="8"/>
    <n v="151927"/>
  </r>
  <r>
    <x v="16"/>
    <x v="22"/>
    <s v="Combined Heat and Power, Commercial Power"/>
    <x v="4"/>
    <n v="214"/>
  </r>
  <r>
    <x v="16"/>
    <x v="22"/>
    <s v="Combined Heat and Power, Commercial Power"/>
    <x v="6"/>
    <n v="2769"/>
  </r>
  <r>
    <x v="16"/>
    <x v="23"/>
    <s v="Total Electric Power Industry"/>
    <x v="0"/>
    <n v="53237789"/>
  </r>
  <r>
    <x v="16"/>
    <x v="23"/>
    <s v="Total Electric Power Industry"/>
    <x v="1"/>
    <n v="33070451"/>
  </r>
  <r>
    <x v="16"/>
    <x v="23"/>
    <s v="Total Electric Power Industry"/>
    <x v="2"/>
    <n v="571730"/>
  </r>
  <r>
    <x v="16"/>
    <x v="23"/>
    <s v="Total Electric Power Industry"/>
    <x v="3"/>
    <n v="2560797"/>
  </r>
  <r>
    <x v="16"/>
    <x v="23"/>
    <s v="Total Electric Power Industry"/>
    <x v="7"/>
    <n v="13183418"/>
  </r>
  <r>
    <x v="16"/>
    <x v="23"/>
    <s v="Total Electric Power Industry"/>
    <x v="12"/>
    <n v="298320"/>
  </r>
  <r>
    <x v="16"/>
    <x v="23"/>
    <s v="Total Electric Power Industry"/>
    <x v="8"/>
    <n v="414266"/>
  </r>
  <r>
    <x v="16"/>
    <x v="23"/>
    <s v="Total Electric Power Industry"/>
    <x v="4"/>
    <n v="494188"/>
  </r>
  <r>
    <x v="16"/>
    <x v="23"/>
    <s v="Total Electric Power Industry"/>
    <x v="5"/>
    <n v="2054947"/>
  </r>
  <r>
    <x v="16"/>
    <x v="23"/>
    <s v="Total Electric Power Industry"/>
    <x v="6"/>
    <n v="589670"/>
  </r>
  <r>
    <x v="16"/>
    <x v="23"/>
    <s v="Electric Generators, Independent Power Producers"/>
    <x v="0"/>
    <n v="4135917"/>
  </r>
  <r>
    <x v="16"/>
    <x v="23"/>
    <s v="Electric Generators, Independent Power Producers"/>
    <x v="1"/>
    <n v="1465506"/>
  </r>
  <r>
    <x v="16"/>
    <x v="23"/>
    <s v="Electric Generators, Independent Power Producers"/>
    <x v="2"/>
    <n v="40566"/>
  </r>
  <r>
    <x v="16"/>
    <x v="23"/>
    <s v="Electric Generators, Independent Power Producers"/>
    <x v="3"/>
    <n v="286239"/>
  </r>
  <r>
    <x v="16"/>
    <x v="23"/>
    <s v="Electric Generators, Independent Power Producers"/>
    <x v="12"/>
    <n v="98760"/>
  </r>
  <r>
    <x v="16"/>
    <x v="23"/>
    <s v="Electric Generators, Independent Power Producers"/>
    <x v="8"/>
    <n v="203051"/>
  </r>
  <r>
    <x v="16"/>
    <x v="23"/>
    <s v="Electric Generators, Independent Power Producers"/>
    <x v="4"/>
    <n v="1365"/>
  </r>
  <r>
    <x v="16"/>
    <x v="23"/>
    <s v="Electric Generators, Independent Power Producers"/>
    <x v="5"/>
    <n v="2040430"/>
  </r>
  <r>
    <x v="16"/>
    <x v="23"/>
    <s v="Electric Generators, Electric Utilities"/>
    <x v="0"/>
    <n v="46710674"/>
  </r>
  <r>
    <x v="16"/>
    <x v="23"/>
    <s v="Electric Generators, Electric Utilities"/>
    <x v="1"/>
    <n v="30600302"/>
  </r>
  <r>
    <x v="16"/>
    <x v="23"/>
    <s v="Electric Generators, Electric Utilities"/>
    <x v="2"/>
    <n v="426960"/>
  </r>
  <r>
    <x v="16"/>
    <x v="23"/>
    <s v="Electric Generators, Electric Utilities"/>
    <x v="3"/>
    <n v="1629343"/>
  </r>
  <r>
    <x v="16"/>
    <x v="23"/>
    <s v="Electric Generators, Electric Utilities"/>
    <x v="7"/>
    <n v="13183418"/>
  </r>
  <r>
    <x v="16"/>
    <x v="23"/>
    <s v="Electric Generators, Electric Utilities"/>
    <x v="12"/>
    <n v="154987"/>
  </r>
  <r>
    <x v="16"/>
    <x v="23"/>
    <s v="Electric Generators, Electric Utilities"/>
    <x v="8"/>
    <n v="197256"/>
  </r>
  <r>
    <x v="16"/>
    <x v="23"/>
    <s v="Electric Generators, Electric Utilities"/>
    <x v="4"/>
    <n v="484235"/>
  </r>
  <r>
    <x v="16"/>
    <x v="23"/>
    <s v="Electric Generators, Electric Utilities"/>
    <x v="5"/>
    <n v="14517"/>
  </r>
  <r>
    <x v="16"/>
    <x v="23"/>
    <s v="Electric Generators, Electric Utilities"/>
    <x v="6"/>
    <n v="19656"/>
  </r>
  <r>
    <x v="16"/>
    <x v="23"/>
    <s v="Combined Heat and Power, Industrial Power"/>
    <x v="0"/>
    <n v="1648517"/>
  </r>
  <r>
    <x v="16"/>
    <x v="23"/>
    <s v="Combined Heat and Power, Industrial Power"/>
    <x v="1"/>
    <n v="965499"/>
  </r>
  <r>
    <x v="16"/>
    <x v="23"/>
    <s v="Combined Heat and Power, Industrial Power"/>
    <x v="2"/>
    <n v="96388"/>
  </r>
  <r>
    <x v="16"/>
    <x v="23"/>
    <s v="Combined Heat and Power, Industrial Power"/>
    <x v="3"/>
    <n v="53997"/>
  </r>
  <r>
    <x v="16"/>
    <x v="23"/>
    <s v="Combined Heat and Power, Industrial Power"/>
    <x v="12"/>
    <n v="35764"/>
  </r>
  <r>
    <x v="16"/>
    <x v="23"/>
    <s v="Combined Heat and Power, Industrial Power"/>
    <x v="8"/>
    <n v="2748"/>
  </r>
  <r>
    <x v="16"/>
    <x v="23"/>
    <s v="Combined Heat and Power, Industrial Power"/>
    <x v="4"/>
    <n v="1028"/>
  </r>
  <r>
    <x v="16"/>
    <x v="23"/>
    <s v="Combined Heat and Power, Industrial Power"/>
    <x v="6"/>
    <n v="493092"/>
  </r>
  <r>
    <x v="16"/>
    <x v="23"/>
    <s v="Combined Heat and Power, Electric Power"/>
    <x v="0"/>
    <n v="638659"/>
  </r>
  <r>
    <x v="16"/>
    <x v="23"/>
    <s v="Combined Heat and Power, Electric Power"/>
    <x v="1"/>
    <n v="39144"/>
  </r>
  <r>
    <x v="16"/>
    <x v="23"/>
    <s v="Combined Heat and Power, Electric Power"/>
    <x v="2"/>
    <n v="7816"/>
  </r>
  <r>
    <x v="16"/>
    <x v="23"/>
    <s v="Combined Heat and Power, Electric Power"/>
    <x v="3"/>
    <n v="514776"/>
  </r>
  <r>
    <x v="16"/>
    <x v="23"/>
    <s v="Combined Heat and Power, Electric Power"/>
    <x v="4"/>
    <n v="0"/>
  </r>
  <r>
    <x v="16"/>
    <x v="23"/>
    <s v="Combined Heat and Power, Electric Power"/>
    <x v="6"/>
    <n v="76922"/>
  </r>
  <r>
    <x v="16"/>
    <x v="23"/>
    <s v="Combined Heat and Power, Commercial Power"/>
    <x v="0"/>
    <n v="104022"/>
  </r>
  <r>
    <x v="16"/>
    <x v="23"/>
    <s v="Combined Heat and Power, Commercial Power"/>
    <x v="3"/>
    <n v="76441"/>
  </r>
  <r>
    <x v="16"/>
    <x v="23"/>
    <s v="Combined Heat and Power, Commercial Power"/>
    <x v="12"/>
    <n v="8809"/>
  </r>
  <r>
    <x v="16"/>
    <x v="23"/>
    <s v="Combined Heat and Power, Commercial Power"/>
    <x v="8"/>
    <n v="11212"/>
  </r>
  <r>
    <x v="16"/>
    <x v="23"/>
    <s v="Combined Heat and Power, Commercial Power"/>
    <x v="4"/>
    <n v="7560"/>
  </r>
  <r>
    <x v="16"/>
    <x v="24"/>
    <s v="Total Electric Power Industry"/>
    <x v="0"/>
    <n v="91686343"/>
  </r>
  <r>
    <x v="16"/>
    <x v="24"/>
    <s v="Total Electric Power Industry"/>
    <x v="1"/>
    <n v="77449604"/>
  </r>
  <r>
    <x v="16"/>
    <x v="24"/>
    <s v="Total Electric Power Industry"/>
    <x v="2"/>
    <n v="199214"/>
  </r>
  <r>
    <x v="16"/>
    <x v="24"/>
    <s v="Total Electric Power Industry"/>
    <x v="3"/>
    <n v="3729427"/>
  </r>
  <r>
    <x v="16"/>
    <x v="24"/>
    <s v="Total Electric Power Industry"/>
    <x v="7"/>
    <n v="10116660"/>
  </r>
  <r>
    <x v="16"/>
    <x v="24"/>
    <s v="Total Electric Power Industry"/>
    <x v="12"/>
    <n v="53800"/>
  </r>
  <r>
    <x v="16"/>
    <x v="24"/>
    <s v="Total Electric Power Industry"/>
    <x v="8"/>
    <n v="23875"/>
  </r>
  <r>
    <x v="16"/>
    <x v="24"/>
    <s v="Total Electric Power Industry"/>
    <x v="9"/>
    <n v="5091"/>
  </r>
  <r>
    <x v="16"/>
    <x v="24"/>
    <s v="Total Electric Power Industry"/>
    <x v="4"/>
    <n v="61024"/>
  </r>
  <r>
    <x v="16"/>
    <x v="24"/>
    <s v="Total Electric Power Industry"/>
    <x v="10"/>
    <n v="47552"/>
  </r>
  <r>
    <x v="16"/>
    <x v="24"/>
    <s v="Total Electric Power Industry"/>
    <x v="6"/>
    <n v="96"/>
  </r>
  <r>
    <x v="16"/>
    <x v="24"/>
    <s v="Electric Generators, Independent Power Producers"/>
    <x v="0"/>
    <n v="164770"/>
  </r>
  <r>
    <x v="16"/>
    <x v="24"/>
    <s v="Electric Generators, Independent Power Producers"/>
    <x v="3"/>
    <n v="164770"/>
  </r>
  <r>
    <x v="16"/>
    <x v="24"/>
    <s v="Electric Generators, Electric Utilities"/>
    <x v="0"/>
    <n v="91118304"/>
  </r>
  <r>
    <x v="16"/>
    <x v="24"/>
    <s v="Electric Generators, Electric Utilities"/>
    <x v="1"/>
    <n v="77113165"/>
  </r>
  <r>
    <x v="16"/>
    <x v="24"/>
    <s v="Electric Generators, Electric Utilities"/>
    <x v="2"/>
    <n v="199214"/>
  </r>
  <r>
    <x v="16"/>
    <x v="24"/>
    <s v="Electric Generators, Electric Utilities"/>
    <x v="3"/>
    <n v="3512299"/>
  </r>
  <r>
    <x v="16"/>
    <x v="24"/>
    <s v="Electric Generators, Electric Utilities"/>
    <x v="7"/>
    <n v="10116660"/>
  </r>
  <r>
    <x v="16"/>
    <x v="24"/>
    <s v="Electric Generators, Electric Utilities"/>
    <x v="12"/>
    <n v="49074"/>
  </r>
  <r>
    <x v="16"/>
    <x v="24"/>
    <s v="Electric Generators, Electric Utilities"/>
    <x v="8"/>
    <n v="15195"/>
  </r>
  <r>
    <x v="16"/>
    <x v="24"/>
    <s v="Electric Generators, Electric Utilities"/>
    <x v="9"/>
    <n v="5091"/>
  </r>
  <r>
    <x v="16"/>
    <x v="24"/>
    <s v="Electric Generators, Electric Utilities"/>
    <x v="4"/>
    <n v="59958"/>
  </r>
  <r>
    <x v="16"/>
    <x v="24"/>
    <s v="Electric Generators, Electric Utilities"/>
    <x v="10"/>
    <n v="47552"/>
  </r>
  <r>
    <x v="16"/>
    <x v="24"/>
    <s v="Electric Generators, Electric Utilities"/>
    <x v="6"/>
    <n v="96"/>
  </r>
  <r>
    <x v="16"/>
    <x v="24"/>
    <s v="Combined Heat and Power, Industrial Power"/>
    <x v="0"/>
    <n v="172114"/>
  </r>
  <r>
    <x v="16"/>
    <x v="24"/>
    <s v="Combined Heat and Power, Industrial Power"/>
    <x v="1"/>
    <n v="158457"/>
  </r>
  <r>
    <x v="16"/>
    <x v="24"/>
    <s v="Combined Heat and Power, Industrial Power"/>
    <x v="3"/>
    <n v="4375"/>
  </r>
  <r>
    <x v="16"/>
    <x v="24"/>
    <s v="Combined Heat and Power, Industrial Power"/>
    <x v="8"/>
    <n v="8680"/>
  </r>
  <r>
    <x v="16"/>
    <x v="24"/>
    <s v="Combined Heat and Power, Industrial Power"/>
    <x v="4"/>
    <n v="603"/>
  </r>
  <r>
    <x v="16"/>
    <x v="24"/>
    <s v="Combined Heat and Power, Electric Power"/>
    <x v="0"/>
    <n v="30407"/>
  </r>
  <r>
    <x v="16"/>
    <x v="24"/>
    <s v="Combined Heat and Power, Electric Power"/>
    <x v="3"/>
    <n v="30407"/>
  </r>
  <r>
    <x v="16"/>
    <x v="24"/>
    <s v="Combined Heat and Power, Commercial Power"/>
    <x v="0"/>
    <n v="200749"/>
  </r>
  <r>
    <x v="16"/>
    <x v="24"/>
    <s v="Combined Heat and Power, Commercial Power"/>
    <x v="1"/>
    <n v="177982"/>
  </r>
  <r>
    <x v="16"/>
    <x v="24"/>
    <s v="Combined Heat and Power, Commercial Power"/>
    <x v="3"/>
    <n v="17577"/>
  </r>
  <r>
    <x v="16"/>
    <x v="24"/>
    <s v="Combined Heat and Power, Commercial Power"/>
    <x v="12"/>
    <n v="4726"/>
  </r>
  <r>
    <x v="16"/>
    <x v="24"/>
    <s v="Combined Heat and Power, Commercial Power"/>
    <x v="4"/>
    <n v="464"/>
  </r>
  <r>
    <x v="16"/>
    <x v="25"/>
    <s v="Total Electric Power Industry"/>
    <x v="0"/>
    <n v="46228847"/>
  </r>
  <r>
    <x v="16"/>
    <x v="25"/>
    <s v="Total Electric Power Industry"/>
    <x v="1"/>
    <n v="18105333"/>
  </r>
  <r>
    <x v="16"/>
    <x v="25"/>
    <s v="Total Electric Power Industry"/>
    <x v="3"/>
    <n v="15705849"/>
  </r>
  <r>
    <x v="16"/>
    <x v="25"/>
    <s v="Total Electric Power Industry"/>
    <x v="7"/>
    <n v="10418586"/>
  </r>
  <r>
    <x v="16"/>
    <x v="25"/>
    <s v="Total Electric Power Industry"/>
    <x v="12"/>
    <n v="15566"/>
  </r>
  <r>
    <x v="16"/>
    <x v="25"/>
    <s v="Total Electric Power Industry"/>
    <x v="8"/>
    <n v="6480"/>
  </r>
  <r>
    <x v="16"/>
    <x v="25"/>
    <s v="Total Electric Power Industry"/>
    <x v="9"/>
    <n v="43723"/>
  </r>
  <r>
    <x v="16"/>
    <x v="25"/>
    <s v="Total Electric Power Industry"/>
    <x v="4"/>
    <n v="398709"/>
  </r>
  <r>
    <x v="16"/>
    <x v="25"/>
    <s v="Total Electric Power Industry"/>
    <x v="6"/>
    <n v="1534602"/>
  </r>
  <r>
    <x v="16"/>
    <x v="25"/>
    <s v="Electric Generators, Independent Power Producers"/>
    <x v="0"/>
    <n v="10182120"/>
  </r>
  <r>
    <x v="16"/>
    <x v="25"/>
    <s v="Electric Generators, Independent Power Producers"/>
    <x v="1"/>
    <n v="3188010"/>
  </r>
  <r>
    <x v="16"/>
    <x v="25"/>
    <s v="Electric Generators, Independent Power Producers"/>
    <x v="3"/>
    <n v="6984064"/>
  </r>
  <r>
    <x v="16"/>
    <x v="25"/>
    <s v="Electric Generators, Independent Power Producers"/>
    <x v="12"/>
    <n v="10046"/>
  </r>
  <r>
    <x v="16"/>
    <x v="25"/>
    <s v="Electric Generators, Electric Utilities"/>
    <x v="0"/>
    <n v="34158706"/>
  </r>
  <r>
    <x v="16"/>
    <x v="25"/>
    <s v="Electric Generators, Electric Utilities"/>
    <x v="1"/>
    <n v="14907777"/>
  </r>
  <r>
    <x v="16"/>
    <x v="25"/>
    <s v="Electric Generators, Electric Utilities"/>
    <x v="3"/>
    <n v="8437013"/>
  </r>
  <r>
    <x v="16"/>
    <x v="25"/>
    <s v="Electric Generators, Electric Utilities"/>
    <x v="7"/>
    <n v="10418586"/>
  </r>
  <r>
    <x v="16"/>
    <x v="25"/>
    <s v="Electric Generators, Electric Utilities"/>
    <x v="4"/>
    <n v="395330"/>
  </r>
  <r>
    <x v="16"/>
    <x v="25"/>
    <s v="Combined Heat and Power, Industrial Power"/>
    <x v="0"/>
    <n v="1881436"/>
  </r>
  <r>
    <x v="16"/>
    <x v="25"/>
    <s v="Combined Heat and Power, Industrial Power"/>
    <x v="1"/>
    <n v="9546"/>
  </r>
  <r>
    <x v="16"/>
    <x v="25"/>
    <s v="Combined Heat and Power, Industrial Power"/>
    <x v="3"/>
    <n v="278186"/>
  </r>
  <r>
    <x v="16"/>
    <x v="25"/>
    <s v="Combined Heat and Power, Industrial Power"/>
    <x v="12"/>
    <n v="5520"/>
  </r>
  <r>
    <x v="16"/>
    <x v="25"/>
    <s v="Combined Heat and Power, Industrial Power"/>
    <x v="8"/>
    <n v="6480"/>
  </r>
  <r>
    <x v="16"/>
    <x v="25"/>
    <s v="Combined Heat and Power, Industrial Power"/>
    <x v="9"/>
    <n v="43723"/>
  </r>
  <r>
    <x v="16"/>
    <x v="25"/>
    <s v="Combined Heat and Power, Industrial Power"/>
    <x v="4"/>
    <n v="3379"/>
  </r>
  <r>
    <x v="16"/>
    <x v="25"/>
    <s v="Combined Heat and Power, Industrial Power"/>
    <x v="6"/>
    <n v="1534602"/>
  </r>
  <r>
    <x v="16"/>
    <x v="25"/>
    <s v="Combined Heat and Power, Commercial Power"/>
    <x v="0"/>
    <n v="6586"/>
  </r>
  <r>
    <x v="16"/>
    <x v="25"/>
    <s v="Combined Heat and Power, Commercial Power"/>
    <x v="3"/>
    <n v="6586"/>
  </r>
  <r>
    <x v="16"/>
    <x v="26"/>
    <s v="Total Electric Power Industry"/>
    <x v="0"/>
    <n v="28243536"/>
  </r>
  <r>
    <x v="16"/>
    <x v="26"/>
    <s v="Total Electric Power Industry"/>
    <x v="1"/>
    <n v="17085080"/>
  </r>
  <r>
    <x v="16"/>
    <x v="26"/>
    <s v="Total Electric Power Industry"/>
    <x v="2"/>
    <n v="10130161"/>
  </r>
  <r>
    <x v="16"/>
    <x v="26"/>
    <s v="Total Electric Power Industry"/>
    <x v="3"/>
    <n v="67580"/>
  </r>
  <r>
    <x v="16"/>
    <x v="26"/>
    <s v="Total Electric Power Industry"/>
    <x v="9"/>
    <n v="11207"/>
  </r>
  <r>
    <x v="16"/>
    <x v="26"/>
    <s v="Total Electric Power Industry"/>
    <x v="4"/>
    <n v="419124"/>
  </r>
  <r>
    <x v="16"/>
    <x v="26"/>
    <s v="Total Electric Power Industry"/>
    <x v="5"/>
    <n v="435970"/>
  </r>
  <r>
    <x v="16"/>
    <x v="26"/>
    <s v="Total Electric Power Industry"/>
    <x v="6"/>
    <n v="94415"/>
  </r>
  <r>
    <x v="16"/>
    <x v="26"/>
    <s v="Electric Generators, Independent Power Producers"/>
    <x v="0"/>
    <n v="20763611"/>
  </r>
  <r>
    <x v="16"/>
    <x v="26"/>
    <s v="Electric Generators, Independent Power Producers"/>
    <x v="1"/>
    <n v="16748756"/>
  </r>
  <r>
    <x v="16"/>
    <x v="26"/>
    <s v="Electric Generators, Independent Power Producers"/>
    <x v="2"/>
    <n v="3518868"/>
  </r>
  <r>
    <x v="16"/>
    <x v="26"/>
    <s v="Electric Generators, Independent Power Producers"/>
    <x v="3"/>
    <n v="42084"/>
  </r>
  <r>
    <x v="16"/>
    <x v="26"/>
    <s v="Electric Generators, Independent Power Producers"/>
    <x v="4"/>
    <n v="17933"/>
  </r>
  <r>
    <x v="16"/>
    <x v="26"/>
    <s v="Electric Generators, Independent Power Producers"/>
    <x v="5"/>
    <n v="435970"/>
  </r>
  <r>
    <x v="16"/>
    <x v="26"/>
    <s v="Electric Generators, Electric Utilities"/>
    <x v="0"/>
    <n v="6956390"/>
  </r>
  <r>
    <x v="16"/>
    <x v="26"/>
    <s v="Electric Generators, Electric Utilities"/>
    <x v="1"/>
    <n v="336324"/>
  </r>
  <r>
    <x v="16"/>
    <x v="26"/>
    <s v="Electric Generators, Electric Utilities"/>
    <x v="2"/>
    <n v="6611293"/>
  </r>
  <r>
    <x v="16"/>
    <x v="26"/>
    <s v="Electric Generators, Electric Utilities"/>
    <x v="3"/>
    <n v="8347"/>
  </r>
  <r>
    <x v="16"/>
    <x v="26"/>
    <s v="Electric Generators, Electric Utilities"/>
    <x v="4"/>
    <n v="426"/>
  </r>
  <r>
    <x v="16"/>
    <x v="26"/>
    <s v="Combined Heat and Power, Industrial Power"/>
    <x v="0"/>
    <n v="115505"/>
  </r>
  <r>
    <x v="16"/>
    <x v="26"/>
    <s v="Combined Heat and Power, Industrial Power"/>
    <x v="3"/>
    <n v="17149"/>
  </r>
  <r>
    <x v="16"/>
    <x v="26"/>
    <s v="Combined Heat and Power, Industrial Power"/>
    <x v="4"/>
    <n v="3941"/>
  </r>
  <r>
    <x v="16"/>
    <x v="26"/>
    <s v="Combined Heat and Power, Industrial Power"/>
    <x v="6"/>
    <n v="94415"/>
  </r>
  <r>
    <x v="16"/>
    <x v="26"/>
    <s v="Combined Heat and Power, Electric Power"/>
    <x v="0"/>
    <n v="408031"/>
  </r>
  <r>
    <x v="16"/>
    <x v="26"/>
    <s v="Combined Heat and Power, Electric Power"/>
    <x v="9"/>
    <n v="11207"/>
  </r>
  <r>
    <x v="16"/>
    <x v="26"/>
    <s v="Combined Heat and Power, Electric Power"/>
    <x v="4"/>
    <n v="396824"/>
  </r>
  <r>
    <x v="16"/>
    <x v="27"/>
    <s v="Total Electric Power Industry"/>
    <x v="0"/>
    <n v="125214784"/>
  </r>
  <r>
    <x v="16"/>
    <x v="27"/>
    <s v="Total Electric Power Industry"/>
    <x v="1"/>
    <n v="75487005"/>
  </r>
  <r>
    <x v="16"/>
    <x v="27"/>
    <s v="Total Electric Power Industry"/>
    <x v="2"/>
    <n v="3839012"/>
  </r>
  <r>
    <x v="16"/>
    <x v="27"/>
    <s v="Total Electric Power Industry"/>
    <x v="3"/>
    <n v="3195563"/>
  </r>
  <r>
    <x v="16"/>
    <x v="27"/>
    <s v="Total Electric Power Industry"/>
    <x v="7"/>
    <n v="39963184"/>
  </r>
  <r>
    <x v="16"/>
    <x v="27"/>
    <s v="Total Electric Power Industry"/>
    <x v="12"/>
    <n v="319235"/>
  </r>
  <r>
    <x v="16"/>
    <x v="27"/>
    <s v="Total Electric Power Industry"/>
    <x v="8"/>
    <n v="91740"/>
  </r>
  <r>
    <x v="16"/>
    <x v="27"/>
    <s v="Total Electric Power Industry"/>
    <x v="9"/>
    <n v="0"/>
  </r>
  <r>
    <x v="16"/>
    <x v="27"/>
    <s v="Total Electric Power Industry"/>
    <x v="4"/>
    <n v="451138"/>
  </r>
  <r>
    <x v="16"/>
    <x v="27"/>
    <s v="Total Electric Power Industry"/>
    <x v="10"/>
    <n v="131342"/>
  </r>
  <r>
    <x v="16"/>
    <x v="27"/>
    <s v="Total Electric Power Industry"/>
    <x v="6"/>
    <n v="1736565"/>
  </r>
  <r>
    <x v="16"/>
    <x v="27"/>
    <s v="Electric Generators, Independent Power Producers"/>
    <x v="0"/>
    <n v="1815202"/>
  </r>
  <r>
    <x v="16"/>
    <x v="27"/>
    <s v="Electric Generators, Independent Power Producers"/>
    <x v="2"/>
    <n v="637341"/>
  </r>
  <r>
    <x v="16"/>
    <x v="27"/>
    <s v="Electric Generators, Independent Power Producers"/>
    <x v="3"/>
    <n v="696942"/>
  </r>
  <r>
    <x v="16"/>
    <x v="27"/>
    <s v="Electric Generators, Independent Power Producers"/>
    <x v="12"/>
    <n v="13778"/>
  </r>
  <r>
    <x v="16"/>
    <x v="27"/>
    <s v="Electric Generators, Independent Power Producers"/>
    <x v="8"/>
    <n v="70097"/>
  </r>
  <r>
    <x v="16"/>
    <x v="27"/>
    <s v="Electric Generators, Independent Power Producers"/>
    <x v="9"/>
    <n v="0"/>
  </r>
  <r>
    <x v="16"/>
    <x v="27"/>
    <s v="Electric Generators, Independent Power Producers"/>
    <x v="4"/>
    <n v="1333"/>
  </r>
  <r>
    <x v="16"/>
    <x v="27"/>
    <s v="Electric Generators, Independent Power Producers"/>
    <x v="6"/>
    <n v="395711"/>
  </r>
  <r>
    <x v="16"/>
    <x v="27"/>
    <s v="Electric Generators, Electric Utilities"/>
    <x v="0"/>
    <n v="117797331"/>
  </r>
  <r>
    <x v="16"/>
    <x v="27"/>
    <s v="Electric Generators, Electric Utilities"/>
    <x v="1"/>
    <n v="72311023"/>
  </r>
  <r>
    <x v="16"/>
    <x v="27"/>
    <s v="Electric Generators, Electric Utilities"/>
    <x v="2"/>
    <n v="2695832"/>
  </r>
  <r>
    <x v="16"/>
    <x v="27"/>
    <s v="Electric Generators, Electric Utilities"/>
    <x v="3"/>
    <n v="2476836"/>
  </r>
  <r>
    <x v="16"/>
    <x v="27"/>
    <s v="Electric Generators, Electric Utilities"/>
    <x v="7"/>
    <n v="39963184"/>
  </r>
  <r>
    <x v="16"/>
    <x v="27"/>
    <s v="Electric Generators, Electric Utilities"/>
    <x v="4"/>
    <n v="219114"/>
  </r>
  <r>
    <x v="16"/>
    <x v="27"/>
    <s v="Electric Generators, Electric Utilities"/>
    <x v="10"/>
    <n v="131342"/>
  </r>
  <r>
    <x v="16"/>
    <x v="27"/>
    <s v="Combined Heat and Power, Industrial Power"/>
    <x v="0"/>
    <n v="2647550"/>
  </r>
  <r>
    <x v="16"/>
    <x v="27"/>
    <s v="Combined Heat and Power, Industrial Power"/>
    <x v="1"/>
    <n v="370674"/>
  </r>
  <r>
    <x v="16"/>
    <x v="27"/>
    <s v="Combined Heat and Power, Industrial Power"/>
    <x v="2"/>
    <n v="493869"/>
  </r>
  <r>
    <x v="16"/>
    <x v="27"/>
    <s v="Combined Heat and Power, Industrial Power"/>
    <x v="3"/>
    <n v="21127"/>
  </r>
  <r>
    <x v="16"/>
    <x v="27"/>
    <s v="Combined Heat and Power, Industrial Power"/>
    <x v="12"/>
    <n v="240786"/>
  </r>
  <r>
    <x v="16"/>
    <x v="27"/>
    <s v="Combined Heat and Power, Industrial Power"/>
    <x v="8"/>
    <n v="3631"/>
  </r>
  <r>
    <x v="16"/>
    <x v="27"/>
    <s v="Combined Heat and Power, Industrial Power"/>
    <x v="4"/>
    <n v="228731"/>
  </r>
  <r>
    <x v="16"/>
    <x v="27"/>
    <s v="Combined Heat and Power, Industrial Power"/>
    <x v="6"/>
    <n v="1288732"/>
  </r>
  <r>
    <x v="16"/>
    <x v="27"/>
    <s v="Combined Heat and Power, Electric Power"/>
    <x v="0"/>
    <n v="2853993"/>
  </r>
  <r>
    <x v="16"/>
    <x v="27"/>
    <s v="Combined Heat and Power, Electric Power"/>
    <x v="1"/>
    <n v="2717434"/>
  </r>
  <r>
    <x v="16"/>
    <x v="27"/>
    <s v="Combined Heat and Power, Electric Power"/>
    <x v="12"/>
    <n v="64672"/>
  </r>
  <r>
    <x v="16"/>
    <x v="27"/>
    <s v="Combined Heat and Power, Electric Power"/>
    <x v="8"/>
    <n v="18012"/>
  </r>
  <r>
    <x v="16"/>
    <x v="27"/>
    <s v="Combined Heat and Power, Electric Power"/>
    <x v="4"/>
    <n v="1752"/>
  </r>
  <r>
    <x v="16"/>
    <x v="27"/>
    <s v="Combined Heat and Power, Electric Power"/>
    <x v="6"/>
    <n v="52122"/>
  </r>
  <r>
    <x v="16"/>
    <x v="27"/>
    <s v="Combined Heat and Power, Commercial Power"/>
    <x v="0"/>
    <n v="100709"/>
  </r>
  <r>
    <x v="16"/>
    <x v="27"/>
    <s v="Combined Heat and Power, Commercial Power"/>
    <x v="1"/>
    <n v="87874"/>
  </r>
  <r>
    <x v="16"/>
    <x v="27"/>
    <s v="Combined Heat and Power, Commercial Power"/>
    <x v="2"/>
    <n v="11970"/>
  </r>
  <r>
    <x v="16"/>
    <x v="27"/>
    <s v="Combined Heat and Power, Commercial Power"/>
    <x v="3"/>
    <n v="658"/>
  </r>
  <r>
    <x v="16"/>
    <x v="27"/>
    <s v="Combined Heat and Power, Commercial Power"/>
    <x v="4"/>
    <n v="208"/>
  </r>
  <r>
    <x v="16"/>
    <x v="28"/>
    <s v="Total Electric Power Industry"/>
    <x v="0"/>
    <n v="30881137"/>
  </r>
  <r>
    <x v="16"/>
    <x v="28"/>
    <s v="Total Electric Power Industry"/>
    <x v="1"/>
    <n v="28878991"/>
  </r>
  <r>
    <x v="16"/>
    <x v="28"/>
    <s v="Total Electric Power Industry"/>
    <x v="2"/>
    <n v="1521034"/>
  </r>
  <r>
    <x v="16"/>
    <x v="28"/>
    <s v="Total Electric Power Industry"/>
    <x v="3"/>
    <n v="7065"/>
  </r>
  <r>
    <x v="16"/>
    <x v="28"/>
    <s v="Total Electric Power Industry"/>
    <x v="8"/>
    <n v="3544"/>
  </r>
  <r>
    <x v="16"/>
    <x v="28"/>
    <s v="Total Electric Power Industry"/>
    <x v="9"/>
    <n v="58939"/>
  </r>
  <r>
    <x v="16"/>
    <x v="28"/>
    <s v="Total Electric Power Industry"/>
    <x v="4"/>
    <n v="42079"/>
  </r>
  <r>
    <x v="16"/>
    <x v="28"/>
    <s v="Total Electric Power Industry"/>
    <x v="5"/>
    <n v="369485"/>
  </r>
  <r>
    <x v="16"/>
    <x v="28"/>
    <s v="Electric Generators, Independent Power Producers"/>
    <x v="0"/>
    <n v="363282"/>
  </r>
  <r>
    <x v="16"/>
    <x v="28"/>
    <s v="Electric Generators, Independent Power Producers"/>
    <x v="5"/>
    <n v="363282"/>
  </r>
  <r>
    <x v="16"/>
    <x v="28"/>
    <s v="Electric Generators, Electric Utilities"/>
    <x v="0"/>
    <n v="30328375"/>
  </r>
  <r>
    <x v="16"/>
    <x v="28"/>
    <s v="Electric Generators, Electric Utilities"/>
    <x v="1"/>
    <n v="28761820"/>
  </r>
  <r>
    <x v="16"/>
    <x v="28"/>
    <s v="Electric Generators, Electric Utilities"/>
    <x v="2"/>
    <n v="1521034"/>
  </r>
  <r>
    <x v="16"/>
    <x v="28"/>
    <s v="Electric Generators, Electric Utilities"/>
    <x v="3"/>
    <n v="49"/>
  </r>
  <r>
    <x v="16"/>
    <x v="28"/>
    <s v="Electric Generators, Electric Utilities"/>
    <x v="4"/>
    <n v="39269"/>
  </r>
  <r>
    <x v="16"/>
    <x v="28"/>
    <s v="Electric Generators, Electric Utilities"/>
    <x v="5"/>
    <n v="6203"/>
  </r>
  <r>
    <x v="16"/>
    <x v="28"/>
    <s v="Combined Heat and Power, Industrial Power"/>
    <x v="0"/>
    <n v="189480"/>
  </r>
  <r>
    <x v="16"/>
    <x v="28"/>
    <s v="Combined Heat and Power, Industrial Power"/>
    <x v="1"/>
    <n v="117171"/>
  </r>
  <r>
    <x v="16"/>
    <x v="28"/>
    <s v="Combined Heat and Power, Industrial Power"/>
    <x v="3"/>
    <n v="7016"/>
  </r>
  <r>
    <x v="16"/>
    <x v="28"/>
    <s v="Combined Heat and Power, Industrial Power"/>
    <x v="8"/>
    <n v="3544"/>
  </r>
  <r>
    <x v="16"/>
    <x v="28"/>
    <s v="Combined Heat and Power, Industrial Power"/>
    <x v="9"/>
    <n v="58939"/>
  </r>
  <r>
    <x v="16"/>
    <x v="28"/>
    <s v="Combined Heat and Power, Industrial Power"/>
    <x v="4"/>
    <n v="2810"/>
  </r>
  <r>
    <x v="16"/>
    <x v="29"/>
    <s v="Total Electric Power Industry"/>
    <x v="0"/>
    <n v="31669969"/>
  </r>
  <r>
    <x v="16"/>
    <x v="29"/>
    <s v="Total Electric Power Industry"/>
    <x v="1"/>
    <n v="20682548"/>
  </r>
  <r>
    <x v="16"/>
    <x v="29"/>
    <s v="Total Electric Power Industry"/>
    <x v="2"/>
    <n v="893386"/>
  </r>
  <r>
    <x v="16"/>
    <x v="29"/>
    <s v="Total Electric Power Industry"/>
    <x v="3"/>
    <n v="758801"/>
  </r>
  <r>
    <x v="16"/>
    <x v="29"/>
    <s v="Total Electric Power Industry"/>
    <x v="7"/>
    <n v="9002656"/>
  </r>
  <r>
    <x v="16"/>
    <x v="29"/>
    <s v="Total Electric Power Industry"/>
    <x v="8"/>
    <n v="52014"/>
  </r>
  <r>
    <x v="16"/>
    <x v="29"/>
    <s v="Total Electric Power Industry"/>
    <x v="9"/>
    <n v="0"/>
  </r>
  <r>
    <x v="16"/>
    <x v="29"/>
    <s v="Total Electric Power Industry"/>
    <x v="4"/>
    <n v="19317"/>
  </r>
  <r>
    <x v="16"/>
    <x v="29"/>
    <s v="Total Electric Power Industry"/>
    <x v="5"/>
    <n v="261247"/>
  </r>
  <r>
    <x v="16"/>
    <x v="29"/>
    <s v="Electric Generators, Electric Utilities"/>
    <x v="0"/>
    <n v="31599046"/>
  </r>
  <r>
    <x v="16"/>
    <x v="29"/>
    <s v="Electric Generators, Electric Utilities"/>
    <x v="1"/>
    <n v="20632855"/>
  </r>
  <r>
    <x v="16"/>
    <x v="29"/>
    <s v="Electric Generators, Electric Utilities"/>
    <x v="2"/>
    <n v="893386"/>
  </r>
  <r>
    <x v="16"/>
    <x v="29"/>
    <s v="Electric Generators, Electric Utilities"/>
    <x v="3"/>
    <n v="752584"/>
  </r>
  <r>
    <x v="16"/>
    <x v="29"/>
    <s v="Electric Generators, Electric Utilities"/>
    <x v="7"/>
    <n v="9002656"/>
  </r>
  <r>
    <x v="16"/>
    <x v="29"/>
    <s v="Electric Generators, Electric Utilities"/>
    <x v="8"/>
    <n v="37404"/>
  </r>
  <r>
    <x v="16"/>
    <x v="29"/>
    <s v="Electric Generators, Electric Utilities"/>
    <x v="9"/>
    <n v="0"/>
  </r>
  <r>
    <x v="16"/>
    <x v="29"/>
    <s v="Electric Generators, Electric Utilities"/>
    <x v="4"/>
    <n v="18914"/>
  </r>
  <r>
    <x v="16"/>
    <x v="29"/>
    <s v="Electric Generators, Electric Utilities"/>
    <x v="5"/>
    <n v="261247"/>
  </r>
  <r>
    <x v="16"/>
    <x v="29"/>
    <s v="Combined Heat and Power, Industrial Power"/>
    <x v="0"/>
    <n v="49693"/>
  </r>
  <r>
    <x v="16"/>
    <x v="29"/>
    <s v="Combined Heat and Power, Industrial Power"/>
    <x v="1"/>
    <n v="49693"/>
  </r>
  <r>
    <x v="16"/>
    <x v="29"/>
    <s v="Combined Heat and Power, Electric Power"/>
    <x v="0"/>
    <n v="4485"/>
  </r>
  <r>
    <x v="16"/>
    <x v="29"/>
    <s v="Combined Heat and Power, Electric Power"/>
    <x v="3"/>
    <n v="1348"/>
  </r>
  <r>
    <x v="16"/>
    <x v="29"/>
    <s v="Combined Heat and Power, Electric Power"/>
    <x v="8"/>
    <n v="3138"/>
  </r>
  <r>
    <x v="16"/>
    <x v="29"/>
    <s v="Combined Heat and Power, Commercial Power"/>
    <x v="0"/>
    <n v="16744"/>
  </r>
  <r>
    <x v="16"/>
    <x v="29"/>
    <s v="Combined Heat and Power, Commercial Power"/>
    <x v="3"/>
    <n v="4869"/>
  </r>
  <r>
    <x v="16"/>
    <x v="29"/>
    <s v="Combined Heat and Power, Commercial Power"/>
    <x v="8"/>
    <n v="11472"/>
  </r>
  <r>
    <x v="16"/>
    <x v="29"/>
    <s v="Combined Heat and Power, Commercial Power"/>
    <x v="4"/>
    <n v="403"/>
  </r>
  <r>
    <x v="16"/>
    <x v="30"/>
    <s v="Total Electric Power Industry"/>
    <x v="0"/>
    <n v="22063695"/>
  </r>
  <r>
    <x v="16"/>
    <x v="30"/>
    <s v="Total Electric Power Industry"/>
    <x v="1"/>
    <n v="3885433"/>
  </r>
  <r>
    <x v="16"/>
    <x v="30"/>
    <s v="Total Electric Power Industry"/>
    <x v="2"/>
    <n v="1528910"/>
  </r>
  <r>
    <x v="16"/>
    <x v="30"/>
    <s v="Total Electric Power Industry"/>
    <x v="3"/>
    <n v="6006606"/>
  </r>
  <r>
    <x v="16"/>
    <x v="30"/>
    <s v="Total Electric Power Industry"/>
    <x v="7"/>
    <n v="9397856"/>
  </r>
  <r>
    <x v="16"/>
    <x v="30"/>
    <s v="Total Electric Power Industry"/>
    <x v="12"/>
    <n v="59317"/>
  </r>
  <r>
    <x v="16"/>
    <x v="30"/>
    <s v="Total Electric Power Industry"/>
    <x v="8"/>
    <n v="156399"/>
  </r>
  <r>
    <x v="16"/>
    <x v="30"/>
    <s v="Total Electric Power Industry"/>
    <x v="4"/>
    <n v="439193"/>
  </r>
  <r>
    <x v="16"/>
    <x v="30"/>
    <s v="Total Electric Power Industry"/>
    <x v="6"/>
    <n v="589981"/>
  </r>
  <r>
    <x v="16"/>
    <x v="30"/>
    <s v="Electric Generators, Independent Power Producers"/>
    <x v="0"/>
    <n v="17297320"/>
  </r>
  <r>
    <x v="16"/>
    <x v="30"/>
    <s v="Electric Generators, Independent Power Producers"/>
    <x v="2"/>
    <n v="1181406"/>
  </r>
  <r>
    <x v="16"/>
    <x v="30"/>
    <s v="Electric Generators, Independent Power Producers"/>
    <x v="3"/>
    <n v="5840921"/>
  </r>
  <r>
    <x v="16"/>
    <x v="30"/>
    <s v="Electric Generators, Independent Power Producers"/>
    <x v="7"/>
    <n v="9397856"/>
  </r>
  <r>
    <x v="16"/>
    <x v="30"/>
    <s v="Electric Generators, Independent Power Producers"/>
    <x v="12"/>
    <n v="59317"/>
  </r>
  <r>
    <x v="16"/>
    <x v="30"/>
    <s v="Electric Generators, Independent Power Producers"/>
    <x v="8"/>
    <n v="156399"/>
  </r>
  <r>
    <x v="16"/>
    <x v="30"/>
    <s v="Electric Generators, Independent Power Producers"/>
    <x v="4"/>
    <n v="136316"/>
  </r>
  <r>
    <x v="16"/>
    <x v="30"/>
    <s v="Electric Generators, Independent Power Producers"/>
    <x v="6"/>
    <n v="525105"/>
  </r>
  <r>
    <x v="16"/>
    <x v="30"/>
    <s v="Electric Generators, Electric Utilities"/>
    <x v="0"/>
    <n v="4574520"/>
  </r>
  <r>
    <x v="16"/>
    <x v="30"/>
    <s v="Electric Generators, Electric Utilities"/>
    <x v="1"/>
    <n v="3885433"/>
  </r>
  <r>
    <x v="16"/>
    <x v="30"/>
    <s v="Electric Generators, Electric Utilities"/>
    <x v="2"/>
    <n v="342231"/>
  </r>
  <r>
    <x v="16"/>
    <x v="30"/>
    <s v="Electric Generators, Electric Utilities"/>
    <x v="3"/>
    <n v="61054"/>
  </r>
  <r>
    <x v="16"/>
    <x v="30"/>
    <s v="Electric Generators, Electric Utilities"/>
    <x v="4"/>
    <n v="230474"/>
  </r>
  <r>
    <x v="16"/>
    <x v="30"/>
    <s v="Electric Generators, Electric Utilities"/>
    <x v="6"/>
    <n v="55328"/>
  </r>
  <r>
    <x v="16"/>
    <x v="30"/>
    <s v="Combined Heat and Power, Industrial Power"/>
    <x v="0"/>
    <n v="166691"/>
  </r>
  <r>
    <x v="16"/>
    <x v="30"/>
    <s v="Combined Heat and Power, Industrial Power"/>
    <x v="2"/>
    <n v="5273"/>
  </r>
  <r>
    <x v="16"/>
    <x v="30"/>
    <s v="Combined Heat and Power, Industrial Power"/>
    <x v="3"/>
    <n v="104631"/>
  </r>
  <r>
    <x v="16"/>
    <x v="30"/>
    <s v="Combined Heat and Power, Industrial Power"/>
    <x v="4"/>
    <n v="47239"/>
  </r>
  <r>
    <x v="16"/>
    <x v="30"/>
    <s v="Combined Heat and Power, Industrial Power"/>
    <x v="6"/>
    <n v="9548"/>
  </r>
  <r>
    <x v="16"/>
    <x v="30"/>
    <s v="Combined Heat and Power, Commercial Power"/>
    <x v="0"/>
    <n v="25164"/>
  </r>
  <r>
    <x v="16"/>
    <x v="30"/>
    <s v="Combined Heat and Power, Commercial Power"/>
    <x v="4"/>
    <n v="25164"/>
  </r>
  <r>
    <x v="16"/>
    <x v="31"/>
    <s v="Total Electric Power Industry"/>
    <x v="0"/>
    <n v="60700139"/>
  </r>
  <r>
    <x v="16"/>
    <x v="31"/>
    <s v="Total Electric Power Industry"/>
    <x v="1"/>
    <n v="10861925"/>
  </r>
  <r>
    <x v="16"/>
    <x v="31"/>
    <s v="Total Electric Power Industry"/>
    <x v="2"/>
    <n v="35436"/>
  </r>
  <r>
    <x v="16"/>
    <x v="31"/>
    <s v="Total Electric Power Industry"/>
    <x v="3"/>
    <n v="15668374"/>
  </r>
  <r>
    <x v="16"/>
    <x v="31"/>
    <s v="Total Electric Power Industry"/>
    <x v="7"/>
    <n v="32567885"/>
  </r>
  <r>
    <x v="16"/>
    <x v="31"/>
    <s v="Total Electric Power Industry"/>
    <x v="12"/>
    <n v="568551"/>
  </r>
  <r>
    <x v="16"/>
    <x v="31"/>
    <s v="Total Electric Power Industry"/>
    <x v="8"/>
    <n v="900792"/>
  </r>
  <r>
    <x v="16"/>
    <x v="31"/>
    <s v="Total Electric Power Industry"/>
    <x v="9"/>
    <n v="110265"/>
  </r>
  <r>
    <x v="16"/>
    <x v="31"/>
    <s v="Total Electric Power Industry"/>
    <x v="4"/>
    <n v="269519"/>
  </r>
  <r>
    <x v="16"/>
    <x v="31"/>
    <s v="Total Electric Power Industry"/>
    <x v="10"/>
    <n v="-298601"/>
  </r>
  <r>
    <x v="16"/>
    <x v="31"/>
    <s v="Total Electric Power Industry"/>
    <x v="5"/>
    <n v="15991"/>
  </r>
  <r>
    <x v="16"/>
    <x v="31"/>
    <s v="Electric Generators, Independent Power Producers"/>
    <x v="0"/>
    <n v="48723256"/>
  </r>
  <r>
    <x v="16"/>
    <x v="31"/>
    <s v="Electric Generators, Independent Power Producers"/>
    <x v="1"/>
    <n v="6148006"/>
  </r>
  <r>
    <x v="16"/>
    <x v="31"/>
    <s v="Electric Generators, Independent Power Producers"/>
    <x v="2"/>
    <n v="34076"/>
  </r>
  <r>
    <x v="16"/>
    <x v="31"/>
    <s v="Electric Generators, Independent Power Producers"/>
    <x v="3"/>
    <n v="8457047"/>
  </r>
  <r>
    <x v="16"/>
    <x v="31"/>
    <s v="Electric Generators, Independent Power Producers"/>
    <x v="7"/>
    <n v="32567885"/>
  </r>
  <r>
    <x v="16"/>
    <x v="31"/>
    <s v="Electric Generators, Independent Power Producers"/>
    <x v="12"/>
    <n v="499028"/>
  </r>
  <r>
    <x v="16"/>
    <x v="31"/>
    <s v="Electric Generators, Independent Power Producers"/>
    <x v="8"/>
    <n v="897904"/>
  </r>
  <r>
    <x v="16"/>
    <x v="31"/>
    <s v="Electric Generators, Independent Power Producers"/>
    <x v="4"/>
    <n v="103319"/>
  </r>
  <r>
    <x v="16"/>
    <x v="31"/>
    <s v="Electric Generators, Independent Power Producers"/>
    <x v="5"/>
    <n v="15991"/>
  </r>
  <r>
    <x v="16"/>
    <x v="31"/>
    <s v="Electric Generators, Electric Utilities"/>
    <x v="0"/>
    <n v="1042511"/>
  </r>
  <r>
    <x v="16"/>
    <x v="31"/>
    <s v="Electric Generators, Electric Utilities"/>
    <x v="1"/>
    <n v="1213235"/>
  </r>
  <r>
    <x v="16"/>
    <x v="31"/>
    <s v="Electric Generators, Electric Utilities"/>
    <x v="3"/>
    <n v="29272"/>
  </r>
  <r>
    <x v="16"/>
    <x v="31"/>
    <s v="Electric Generators, Electric Utilities"/>
    <x v="4"/>
    <n v="98605"/>
  </r>
  <r>
    <x v="16"/>
    <x v="31"/>
    <s v="Electric Generators, Electric Utilities"/>
    <x v="10"/>
    <n v="-298601"/>
  </r>
  <r>
    <x v="16"/>
    <x v="31"/>
    <s v="Combined Heat and Power, Industrial Power"/>
    <x v="0"/>
    <n v="820180"/>
  </r>
  <r>
    <x v="16"/>
    <x v="31"/>
    <s v="Combined Heat and Power, Industrial Power"/>
    <x v="2"/>
    <n v="1360"/>
  </r>
  <r>
    <x v="16"/>
    <x v="31"/>
    <s v="Combined Heat and Power, Industrial Power"/>
    <x v="3"/>
    <n v="634933"/>
  </r>
  <r>
    <x v="16"/>
    <x v="31"/>
    <s v="Combined Heat and Power, Industrial Power"/>
    <x v="12"/>
    <n v="69523"/>
  </r>
  <r>
    <x v="16"/>
    <x v="31"/>
    <s v="Combined Heat and Power, Industrial Power"/>
    <x v="8"/>
    <n v="2889"/>
  </r>
  <r>
    <x v="16"/>
    <x v="31"/>
    <s v="Combined Heat and Power, Industrial Power"/>
    <x v="9"/>
    <n v="110265"/>
  </r>
  <r>
    <x v="16"/>
    <x v="31"/>
    <s v="Combined Heat and Power, Industrial Power"/>
    <x v="4"/>
    <n v="1209"/>
  </r>
  <r>
    <x v="16"/>
    <x v="31"/>
    <s v="Combined Heat and Power, Electric Power"/>
    <x v="0"/>
    <n v="9999001"/>
  </r>
  <r>
    <x v="16"/>
    <x v="31"/>
    <s v="Combined Heat and Power, Electric Power"/>
    <x v="1"/>
    <n v="3500684"/>
  </r>
  <r>
    <x v="16"/>
    <x v="31"/>
    <s v="Combined Heat and Power, Electric Power"/>
    <x v="3"/>
    <n v="6432540"/>
  </r>
  <r>
    <x v="16"/>
    <x v="31"/>
    <s v="Combined Heat and Power, Electric Power"/>
    <x v="9"/>
    <n v="0"/>
  </r>
  <r>
    <x v="16"/>
    <x v="31"/>
    <s v="Combined Heat and Power, Electric Power"/>
    <x v="4"/>
    <n v="65777"/>
  </r>
  <r>
    <x v="16"/>
    <x v="31"/>
    <s v="Combined Heat and Power, Commercial Power"/>
    <x v="0"/>
    <n v="115191"/>
  </r>
  <r>
    <x v="16"/>
    <x v="31"/>
    <s v="Combined Heat and Power, Commercial Power"/>
    <x v="3"/>
    <n v="114582"/>
  </r>
  <r>
    <x v="16"/>
    <x v="31"/>
    <s v="Combined Heat and Power, Commercial Power"/>
    <x v="8"/>
    <n v="0"/>
  </r>
  <r>
    <x v="16"/>
    <x v="31"/>
    <s v="Combined Heat and Power, Commercial Power"/>
    <x v="4"/>
    <n v="609"/>
  </r>
  <r>
    <x v="16"/>
    <x v="32"/>
    <s v="Total Electric Power Industry"/>
    <x v="0"/>
    <n v="37265625"/>
  </r>
  <r>
    <x v="16"/>
    <x v="32"/>
    <s v="Total Electric Power Industry"/>
    <x v="1"/>
    <n v="29859008"/>
  </r>
  <r>
    <x v="16"/>
    <x v="32"/>
    <s v="Total Electric Power Industry"/>
    <x v="2"/>
    <n v="198211"/>
  </r>
  <r>
    <x v="16"/>
    <x v="32"/>
    <s v="Total Electric Power Industry"/>
    <x v="3"/>
    <n v="5889599"/>
  </r>
  <r>
    <x v="16"/>
    <x v="32"/>
    <s v="Total Electric Power Industry"/>
    <x v="8"/>
    <n v="21885"/>
  </r>
  <r>
    <x v="16"/>
    <x v="32"/>
    <s v="Total Electric Power Industry"/>
    <x v="4"/>
    <n v="41486"/>
  </r>
  <r>
    <x v="16"/>
    <x v="32"/>
    <s v="Total Electric Power Industry"/>
    <x v="5"/>
    <n v="1255436"/>
  </r>
  <r>
    <x v="16"/>
    <x v="32"/>
    <s v="Electric Generators, Independent Power Producers"/>
    <x v="0"/>
    <n v="1290509"/>
  </r>
  <r>
    <x v="16"/>
    <x v="32"/>
    <s v="Electric Generators, Independent Power Producers"/>
    <x v="3"/>
    <n v="34278"/>
  </r>
  <r>
    <x v="16"/>
    <x v="32"/>
    <s v="Electric Generators, Independent Power Producers"/>
    <x v="4"/>
    <n v="795"/>
  </r>
  <r>
    <x v="16"/>
    <x v="32"/>
    <s v="Electric Generators, Independent Power Producers"/>
    <x v="5"/>
    <n v="1255436"/>
  </r>
  <r>
    <x v="16"/>
    <x v="32"/>
    <s v="Electric Generators, Electric Utilities"/>
    <x v="0"/>
    <n v="35411074"/>
  </r>
  <r>
    <x v="16"/>
    <x v="32"/>
    <s v="Electric Generators, Electric Utilities"/>
    <x v="1"/>
    <n v="29859008"/>
  </r>
  <r>
    <x v="16"/>
    <x v="32"/>
    <s v="Electric Generators, Electric Utilities"/>
    <x v="2"/>
    <n v="198211"/>
  </r>
  <r>
    <x v="16"/>
    <x v="32"/>
    <s v="Electric Generators, Electric Utilities"/>
    <x v="3"/>
    <n v="5313221"/>
  </r>
  <r>
    <x v="16"/>
    <x v="32"/>
    <s v="Electric Generators, Electric Utilities"/>
    <x v="4"/>
    <n v="40634"/>
  </r>
  <r>
    <x v="16"/>
    <x v="32"/>
    <s v="Combined Heat and Power, Industrial Power"/>
    <x v="0"/>
    <n v="35472"/>
  </r>
  <r>
    <x v="16"/>
    <x v="32"/>
    <s v="Combined Heat and Power, Industrial Power"/>
    <x v="3"/>
    <n v="35415"/>
  </r>
  <r>
    <x v="16"/>
    <x v="32"/>
    <s v="Combined Heat and Power, Industrial Power"/>
    <x v="4"/>
    <n v="57"/>
  </r>
  <r>
    <x v="16"/>
    <x v="32"/>
    <s v="Combined Heat and Power, Electric Power"/>
    <x v="0"/>
    <n v="479405"/>
  </r>
  <r>
    <x v="16"/>
    <x v="32"/>
    <s v="Combined Heat and Power, Electric Power"/>
    <x v="3"/>
    <n v="457521"/>
  </r>
  <r>
    <x v="16"/>
    <x v="32"/>
    <s v="Combined Heat and Power, Electric Power"/>
    <x v="8"/>
    <n v="21885"/>
  </r>
  <r>
    <x v="16"/>
    <x v="32"/>
    <s v="Combined Heat and Power, Commercial Power"/>
    <x v="0"/>
    <n v="49165"/>
  </r>
  <r>
    <x v="16"/>
    <x v="32"/>
    <s v="Combined Heat and Power, Commercial Power"/>
    <x v="3"/>
    <n v="49165"/>
  </r>
  <r>
    <x v="16"/>
    <x v="33"/>
    <s v="Total Electric Power Industry"/>
    <x v="0"/>
    <n v="31860022"/>
  </r>
  <r>
    <x v="16"/>
    <x v="33"/>
    <s v="Total Electric Power Industry"/>
    <x v="1"/>
    <n v="7253521"/>
  </r>
  <r>
    <x v="16"/>
    <x v="33"/>
    <s v="Total Electric Power Industry"/>
    <x v="11"/>
    <n v="1343711"/>
  </r>
  <r>
    <x v="16"/>
    <x v="33"/>
    <s v="Total Electric Power Industry"/>
    <x v="2"/>
    <n v="2057626"/>
  </r>
  <r>
    <x v="16"/>
    <x v="33"/>
    <s v="Total Electric Power Industry"/>
    <x v="3"/>
    <n v="21184135"/>
  </r>
  <r>
    <x v="16"/>
    <x v="33"/>
    <s v="Total Electric Power Industry"/>
    <x v="9"/>
    <n v="3682"/>
  </r>
  <r>
    <x v="16"/>
    <x v="33"/>
    <s v="Total Electric Power Industry"/>
    <x v="4"/>
    <n v="17347"/>
  </r>
  <r>
    <x v="16"/>
    <x v="33"/>
    <s v="Electric Generators, Independent Power Producers"/>
    <x v="0"/>
    <n v="9546359"/>
  </r>
  <r>
    <x v="16"/>
    <x v="33"/>
    <s v="Electric Generators, Independent Power Producers"/>
    <x v="11"/>
    <n v="1343711"/>
  </r>
  <r>
    <x v="16"/>
    <x v="33"/>
    <s v="Electric Generators, Independent Power Producers"/>
    <x v="3"/>
    <n v="8202648"/>
  </r>
  <r>
    <x v="16"/>
    <x v="33"/>
    <s v="Electric Generators, Independent Power Producers"/>
    <x v="4"/>
    <n v="0"/>
  </r>
  <r>
    <x v="16"/>
    <x v="33"/>
    <s v="Electric Generators, Electric Utilities"/>
    <x v="0"/>
    <n v="19686302"/>
  </r>
  <r>
    <x v="16"/>
    <x v="33"/>
    <s v="Electric Generators, Electric Utilities"/>
    <x v="1"/>
    <n v="7253521"/>
  </r>
  <r>
    <x v="16"/>
    <x v="33"/>
    <s v="Electric Generators, Electric Utilities"/>
    <x v="2"/>
    <n v="2057626"/>
  </r>
  <r>
    <x v="16"/>
    <x v="33"/>
    <s v="Electric Generators, Electric Utilities"/>
    <x v="3"/>
    <n v="10357808"/>
  </r>
  <r>
    <x v="16"/>
    <x v="33"/>
    <s v="Electric Generators, Electric Utilities"/>
    <x v="4"/>
    <n v="17347"/>
  </r>
  <r>
    <x v="16"/>
    <x v="33"/>
    <s v="Combined Heat and Power, Industrial Power"/>
    <x v="0"/>
    <n v="345365"/>
  </r>
  <r>
    <x v="16"/>
    <x v="33"/>
    <s v="Combined Heat and Power, Industrial Power"/>
    <x v="3"/>
    <n v="345365"/>
  </r>
  <r>
    <x v="16"/>
    <x v="33"/>
    <s v="Combined Heat and Power, Electric Power"/>
    <x v="0"/>
    <n v="2281996"/>
  </r>
  <r>
    <x v="16"/>
    <x v="33"/>
    <s v="Combined Heat and Power, Electric Power"/>
    <x v="3"/>
    <n v="2278314"/>
  </r>
  <r>
    <x v="16"/>
    <x v="33"/>
    <s v="Combined Heat and Power, Electric Power"/>
    <x v="9"/>
    <n v="3682"/>
  </r>
  <r>
    <x v="16"/>
    <x v="33"/>
    <s v="Combined Heat and Power, Electric Power"/>
    <x v="4"/>
    <n v="0"/>
  </r>
  <r>
    <x v="16"/>
    <x v="34"/>
    <s v="Total Electric Power Industry"/>
    <x v="0"/>
    <n v="142265432"/>
  </r>
  <r>
    <x v="16"/>
    <x v="34"/>
    <s v="Total Electric Power Industry"/>
    <x v="1"/>
    <n v="20967840"/>
  </r>
  <r>
    <x v="16"/>
    <x v="34"/>
    <s v="Total Electric Power Industry"/>
    <x v="2"/>
    <n v="27344655"/>
  </r>
  <r>
    <x v="16"/>
    <x v="34"/>
    <s v="Total Electric Power Industry"/>
    <x v="3"/>
    <n v="42133878"/>
  </r>
  <r>
    <x v="16"/>
    <x v="34"/>
    <s v="Total Electric Power Industry"/>
    <x v="7"/>
    <n v="42223899"/>
  </r>
  <r>
    <x v="16"/>
    <x v="34"/>
    <s v="Total Electric Power Industry"/>
    <x v="12"/>
    <n v="976636"/>
  </r>
  <r>
    <x v="16"/>
    <x v="34"/>
    <s v="Total Electric Power Industry"/>
    <x v="8"/>
    <n v="1419441"/>
  </r>
  <r>
    <x v="16"/>
    <x v="34"/>
    <s v="Total Electric Power Industry"/>
    <x v="4"/>
    <n v="6778039"/>
  </r>
  <r>
    <x v="16"/>
    <x v="34"/>
    <s v="Total Electric Power Industry"/>
    <x v="10"/>
    <n v="-756156"/>
  </r>
  <r>
    <x v="16"/>
    <x v="34"/>
    <s v="Total Electric Power Industry"/>
    <x v="5"/>
    <n v="655371"/>
  </r>
  <r>
    <x v="16"/>
    <x v="34"/>
    <s v="Total Electric Power Industry"/>
    <x v="6"/>
    <n v="521829"/>
  </r>
  <r>
    <x v="16"/>
    <x v="34"/>
    <s v="Electric Generators, Independent Power Producers"/>
    <x v="0"/>
    <n v="86965002"/>
  </r>
  <r>
    <x v="16"/>
    <x v="34"/>
    <s v="Electric Generators, Independent Power Producers"/>
    <x v="1"/>
    <n v="18357923"/>
  </r>
  <r>
    <x v="16"/>
    <x v="34"/>
    <s v="Electric Generators, Independent Power Producers"/>
    <x v="2"/>
    <n v="5460808"/>
  </r>
  <r>
    <x v="16"/>
    <x v="34"/>
    <s v="Electric Generators, Independent Power Producers"/>
    <x v="3"/>
    <n v="15611872"/>
  </r>
  <r>
    <x v="16"/>
    <x v="34"/>
    <s v="Electric Generators, Independent Power Producers"/>
    <x v="7"/>
    <n v="42223899"/>
  </r>
  <r>
    <x v="16"/>
    <x v="34"/>
    <s v="Electric Generators, Independent Power Producers"/>
    <x v="12"/>
    <n v="762087"/>
  </r>
  <r>
    <x v="16"/>
    <x v="34"/>
    <s v="Electric Generators, Independent Power Producers"/>
    <x v="8"/>
    <n v="1136766"/>
  </r>
  <r>
    <x v="16"/>
    <x v="34"/>
    <s v="Electric Generators, Independent Power Producers"/>
    <x v="4"/>
    <n v="2614504"/>
  </r>
  <r>
    <x v="16"/>
    <x v="34"/>
    <s v="Electric Generators, Independent Power Producers"/>
    <x v="5"/>
    <n v="655371"/>
  </r>
  <r>
    <x v="16"/>
    <x v="34"/>
    <s v="Electric Generators, Independent Power Producers"/>
    <x v="6"/>
    <n v="141772"/>
  </r>
  <r>
    <x v="16"/>
    <x v="34"/>
    <s v="Electric Generators, Electric Utilities"/>
    <x v="0"/>
    <n v="41598844"/>
  </r>
  <r>
    <x v="16"/>
    <x v="34"/>
    <s v="Electric Generators, Electric Utilities"/>
    <x v="1"/>
    <n v="1211432"/>
  </r>
  <r>
    <x v="16"/>
    <x v="34"/>
    <s v="Electric Generators, Electric Utilities"/>
    <x v="2"/>
    <n v="21791238"/>
  </r>
  <r>
    <x v="16"/>
    <x v="34"/>
    <s v="Electric Generators, Electric Utilities"/>
    <x v="3"/>
    <n v="15424911"/>
  </r>
  <r>
    <x v="16"/>
    <x v="34"/>
    <s v="Electric Generators, Electric Utilities"/>
    <x v="4"/>
    <n v="3927419"/>
  </r>
  <r>
    <x v="16"/>
    <x v="34"/>
    <s v="Electric Generators, Electric Utilities"/>
    <x v="10"/>
    <n v="-756156"/>
  </r>
  <r>
    <x v="16"/>
    <x v="34"/>
    <s v="Combined Heat and Power, Industrial Power"/>
    <x v="0"/>
    <n v="1350932"/>
  </r>
  <r>
    <x v="16"/>
    <x v="34"/>
    <s v="Combined Heat and Power, Industrial Power"/>
    <x v="1"/>
    <n v="624504"/>
  </r>
  <r>
    <x v="16"/>
    <x v="34"/>
    <s v="Combined Heat and Power, Industrial Power"/>
    <x v="2"/>
    <n v="87438"/>
  </r>
  <r>
    <x v="16"/>
    <x v="34"/>
    <s v="Combined Heat and Power, Industrial Power"/>
    <x v="3"/>
    <n v="264715"/>
  </r>
  <r>
    <x v="16"/>
    <x v="34"/>
    <s v="Combined Heat and Power, Industrial Power"/>
    <x v="4"/>
    <n v="144812"/>
  </r>
  <r>
    <x v="16"/>
    <x v="34"/>
    <s v="Combined Heat and Power, Industrial Power"/>
    <x v="6"/>
    <n v="229463"/>
  </r>
  <r>
    <x v="16"/>
    <x v="34"/>
    <s v="Combined Heat and Power, Electric Power"/>
    <x v="0"/>
    <n v="11623555"/>
  </r>
  <r>
    <x v="16"/>
    <x v="34"/>
    <s v="Combined Heat and Power, Electric Power"/>
    <x v="1"/>
    <n v="751577"/>
  </r>
  <r>
    <x v="16"/>
    <x v="34"/>
    <s v="Combined Heat and Power, Electric Power"/>
    <x v="3"/>
    <n v="10443510"/>
  </r>
  <r>
    <x v="16"/>
    <x v="34"/>
    <s v="Combined Heat and Power, Electric Power"/>
    <x v="12"/>
    <n v="109449"/>
  </r>
  <r>
    <x v="16"/>
    <x v="34"/>
    <s v="Combined Heat and Power, Electric Power"/>
    <x v="8"/>
    <n v="148912"/>
  </r>
  <r>
    <x v="16"/>
    <x v="34"/>
    <s v="Combined Heat and Power, Electric Power"/>
    <x v="4"/>
    <n v="19514"/>
  </r>
  <r>
    <x v="16"/>
    <x v="34"/>
    <s v="Combined Heat and Power, Electric Power"/>
    <x v="6"/>
    <n v="150594"/>
  </r>
  <r>
    <x v="16"/>
    <x v="34"/>
    <s v="Combined Heat and Power, Commercial Power"/>
    <x v="0"/>
    <n v="727099"/>
  </r>
  <r>
    <x v="16"/>
    <x v="34"/>
    <s v="Combined Heat and Power, Commercial Power"/>
    <x v="1"/>
    <n v="22404"/>
  </r>
  <r>
    <x v="16"/>
    <x v="34"/>
    <s v="Combined Heat and Power, Commercial Power"/>
    <x v="2"/>
    <n v="5171"/>
  </r>
  <r>
    <x v="16"/>
    <x v="34"/>
    <s v="Combined Heat and Power, Commercial Power"/>
    <x v="3"/>
    <n v="388870"/>
  </r>
  <r>
    <x v="16"/>
    <x v="34"/>
    <s v="Combined Heat and Power, Commercial Power"/>
    <x v="12"/>
    <n v="105100"/>
  </r>
  <r>
    <x v="16"/>
    <x v="34"/>
    <s v="Combined Heat and Power, Commercial Power"/>
    <x v="8"/>
    <n v="133763"/>
  </r>
  <r>
    <x v="16"/>
    <x v="34"/>
    <s v="Combined Heat and Power, Commercial Power"/>
    <x v="4"/>
    <n v="71791"/>
  </r>
  <r>
    <x v="16"/>
    <x v="35"/>
    <s v="Total Electric Power Industry"/>
    <x v="0"/>
    <n v="155434075"/>
  </r>
  <r>
    <x v="16"/>
    <x v="35"/>
    <s v="Total Electric Power Industry"/>
    <x v="1"/>
    <n v="133400156"/>
  </r>
  <r>
    <x v="16"/>
    <x v="35"/>
    <s v="Total Electric Power Industry"/>
    <x v="2"/>
    <n v="631936"/>
  </r>
  <r>
    <x v="16"/>
    <x v="35"/>
    <s v="Total Electric Power Industry"/>
    <x v="3"/>
    <n v="2379062"/>
  </r>
  <r>
    <x v="16"/>
    <x v="35"/>
    <s v="Total Electric Power Industry"/>
    <x v="7"/>
    <n v="16846939"/>
  </r>
  <r>
    <x v="16"/>
    <x v="35"/>
    <s v="Total Electric Power Industry"/>
    <x v="12"/>
    <n v="2805"/>
  </r>
  <r>
    <x v="16"/>
    <x v="35"/>
    <s v="Total Electric Power Industry"/>
    <x v="8"/>
    <n v="34121"/>
  </r>
  <r>
    <x v="16"/>
    <x v="35"/>
    <s v="Total Electric Power Industry"/>
    <x v="9"/>
    <n v="360007"/>
  </r>
  <r>
    <x v="16"/>
    <x v="35"/>
    <s v="Total Electric Power Industry"/>
    <x v="4"/>
    <n v="1354555"/>
  </r>
  <r>
    <x v="16"/>
    <x v="35"/>
    <s v="Total Electric Power Industry"/>
    <x v="5"/>
    <n v="14401"/>
  </r>
  <r>
    <x v="16"/>
    <x v="35"/>
    <s v="Total Electric Power Industry"/>
    <x v="6"/>
    <n v="410093"/>
  </r>
  <r>
    <x v="16"/>
    <x v="35"/>
    <s v="Electric Generators, Independent Power Producers"/>
    <x v="0"/>
    <n v="55835704"/>
  </r>
  <r>
    <x v="16"/>
    <x v="35"/>
    <s v="Electric Generators, Independent Power Producers"/>
    <x v="1"/>
    <n v="36270579"/>
  </r>
  <r>
    <x v="16"/>
    <x v="35"/>
    <s v="Electric Generators, Independent Power Producers"/>
    <x v="3"/>
    <n v="1606267"/>
  </r>
  <r>
    <x v="16"/>
    <x v="35"/>
    <s v="Electric Generators, Independent Power Producers"/>
    <x v="7"/>
    <n v="16846939"/>
  </r>
  <r>
    <x v="16"/>
    <x v="35"/>
    <s v="Electric Generators, Independent Power Producers"/>
    <x v="8"/>
    <n v="23653"/>
  </r>
  <r>
    <x v="16"/>
    <x v="35"/>
    <s v="Electric Generators, Independent Power Producers"/>
    <x v="4"/>
    <n v="1088266"/>
  </r>
  <r>
    <x v="16"/>
    <x v="35"/>
    <s v="Electric Generators, Electric Utilities"/>
    <x v="0"/>
    <n v="98159139"/>
  </r>
  <r>
    <x v="16"/>
    <x v="35"/>
    <s v="Electric Generators, Electric Utilities"/>
    <x v="1"/>
    <n v="96674346"/>
  </r>
  <r>
    <x v="16"/>
    <x v="35"/>
    <s v="Electric Generators, Electric Utilities"/>
    <x v="2"/>
    <n v="631936"/>
  </r>
  <r>
    <x v="16"/>
    <x v="35"/>
    <s v="Electric Generators, Electric Utilities"/>
    <x v="3"/>
    <n v="592505"/>
  </r>
  <r>
    <x v="16"/>
    <x v="35"/>
    <s v="Electric Generators, Electric Utilities"/>
    <x v="4"/>
    <n v="245951"/>
  </r>
  <r>
    <x v="16"/>
    <x v="35"/>
    <s v="Electric Generators, Electric Utilities"/>
    <x v="5"/>
    <n v="14401"/>
  </r>
  <r>
    <x v="16"/>
    <x v="35"/>
    <s v="Electric Generators, Electric Utilities"/>
    <x v="6"/>
    <n v="0"/>
  </r>
  <r>
    <x v="16"/>
    <x v="35"/>
    <s v="Combined Heat and Power, Industrial Power"/>
    <x v="0"/>
    <n v="1117355"/>
  </r>
  <r>
    <x v="16"/>
    <x v="35"/>
    <s v="Combined Heat and Power, Industrial Power"/>
    <x v="1"/>
    <n v="455231"/>
  </r>
  <r>
    <x v="16"/>
    <x v="35"/>
    <s v="Combined Heat and Power, Industrial Power"/>
    <x v="3"/>
    <n v="32824"/>
  </r>
  <r>
    <x v="16"/>
    <x v="35"/>
    <s v="Combined Heat and Power, Industrial Power"/>
    <x v="12"/>
    <n v="2805"/>
  </r>
  <r>
    <x v="16"/>
    <x v="35"/>
    <s v="Combined Heat and Power, Industrial Power"/>
    <x v="8"/>
    <n v="10468"/>
  </r>
  <r>
    <x v="16"/>
    <x v="35"/>
    <s v="Combined Heat and Power, Industrial Power"/>
    <x v="9"/>
    <n v="223479"/>
  </r>
  <r>
    <x v="16"/>
    <x v="35"/>
    <s v="Combined Heat and Power, Industrial Power"/>
    <x v="4"/>
    <n v="20338"/>
  </r>
  <r>
    <x v="16"/>
    <x v="35"/>
    <s v="Combined Heat and Power, Industrial Power"/>
    <x v="6"/>
    <n v="372209"/>
  </r>
  <r>
    <x v="16"/>
    <x v="35"/>
    <s v="Combined Heat and Power, Electric Power"/>
    <x v="0"/>
    <n v="321877"/>
  </r>
  <r>
    <x v="16"/>
    <x v="35"/>
    <s v="Combined Heat and Power, Electric Power"/>
    <x v="3"/>
    <n v="147465"/>
  </r>
  <r>
    <x v="16"/>
    <x v="35"/>
    <s v="Combined Heat and Power, Electric Power"/>
    <x v="9"/>
    <n v="136528"/>
  </r>
  <r>
    <x v="16"/>
    <x v="35"/>
    <s v="Combined Heat and Power, Electric Power"/>
    <x v="6"/>
    <n v="37883"/>
  </r>
  <r>
    <x v="16"/>
    <x v="35"/>
    <s v="Combined Heat and Power, Commercial Power"/>
    <x v="0"/>
    <n v="0"/>
  </r>
  <r>
    <x v="16"/>
    <x v="35"/>
    <s v="Combined Heat and Power, Commercial Power"/>
    <x v="1"/>
    <n v="0"/>
  </r>
  <r>
    <x v="16"/>
    <x v="35"/>
    <s v="Combined Heat and Power, Commercial Power"/>
    <x v="3"/>
    <n v="0"/>
  </r>
  <r>
    <x v="16"/>
    <x v="36"/>
    <s v="Total Electric Power Industry"/>
    <x v="0"/>
    <n v="70614880"/>
  </r>
  <r>
    <x v="16"/>
    <x v="36"/>
    <s v="Total Electric Power Industry"/>
    <x v="1"/>
    <n v="35032023"/>
  </r>
  <r>
    <x v="16"/>
    <x v="36"/>
    <s v="Total Electric Power Industry"/>
    <x v="2"/>
    <n v="623579"/>
  </r>
  <r>
    <x v="16"/>
    <x v="36"/>
    <s v="Total Electric Power Industry"/>
    <x v="3"/>
    <n v="32980690"/>
  </r>
  <r>
    <x v="16"/>
    <x v="36"/>
    <s v="Total Electric Power Industry"/>
    <x v="12"/>
    <n v="5445"/>
  </r>
  <r>
    <x v="16"/>
    <x v="36"/>
    <s v="Total Electric Power Industry"/>
    <x v="8"/>
    <n v="0"/>
  </r>
  <r>
    <x v="16"/>
    <x v="36"/>
    <s v="Total Electric Power Industry"/>
    <x v="9"/>
    <n v="16143"/>
  </r>
  <r>
    <x v="16"/>
    <x v="36"/>
    <s v="Total Electric Power Industry"/>
    <x v="4"/>
    <n v="63750"/>
  </r>
  <r>
    <x v="16"/>
    <x v="36"/>
    <s v="Total Electric Power Industry"/>
    <x v="10"/>
    <n v="-116473"/>
  </r>
  <r>
    <x v="16"/>
    <x v="36"/>
    <s v="Total Electric Power Industry"/>
    <x v="5"/>
    <n v="1712441"/>
  </r>
  <r>
    <x v="16"/>
    <x v="36"/>
    <s v="Total Electric Power Industry"/>
    <x v="6"/>
    <n v="297283"/>
  </r>
  <r>
    <x v="16"/>
    <x v="36"/>
    <s v="Electric Generators, Independent Power Producers"/>
    <x v="0"/>
    <n v="14784377"/>
  </r>
  <r>
    <x v="16"/>
    <x v="36"/>
    <s v="Electric Generators, Independent Power Producers"/>
    <x v="3"/>
    <n v="13075093"/>
  </r>
  <r>
    <x v="16"/>
    <x v="36"/>
    <s v="Electric Generators, Independent Power Producers"/>
    <x v="5"/>
    <n v="1709284"/>
  </r>
  <r>
    <x v="16"/>
    <x v="36"/>
    <s v="Electric Generators, Electric Utilities"/>
    <x v="0"/>
    <n v="51917155"/>
  </r>
  <r>
    <x v="16"/>
    <x v="36"/>
    <s v="Electric Generators, Electric Utilities"/>
    <x v="1"/>
    <n v="32324391"/>
  </r>
  <r>
    <x v="16"/>
    <x v="36"/>
    <s v="Electric Generators, Electric Utilities"/>
    <x v="2"/>
    <n v="623579"/>
  </r>
  <r>
    <x v="16"/>
    <x v="36"/>
    <s v="Electric Generators, Electric Utilities"/>
    <x v="3"/>
    <n v="19058314"/>
  </r>
  <r>
    <x v="16"/>
    <x v="36"/>
    <s v="Electric Generators, Electric Utilities"/>
    <x v="4"/>
    <n v="24187"/>
  </r>
  <r>
    <x v="16"/>
    <x v="36"/>
    <s v="Electric Generators, Electric Utilities"/>
    <x v="10"/>
    <n v="-116473"/>
  </r>
  <r>
    <x v="16"/>
    <x v="36"/>
    <s v="Electric Generators, Electric Utilities"/>
    <x v="5"/>
    <n v="3157"/>
  </r>
  <r>
    <x v="16"/>
    <x v="36"/>
    <s v="Combined Heat and Power, Industrial Power"/>
    <x v="0"/>
    <n v="1246164"/>
  </r>
  <r>
    <x v="16"/>
    <x v="36"/>
    <s v="Combined Heat and Power, Industrial Power"/>
    <x v="1"/>
    <n v="439454"/>
  </r>
  <r>
    <x v="16"/>
    <x v="36"/>
    <s v="Combined Heat and Power, Industrial Power"/>
    <x v="3"/>
    <n v="448684"/>
  </r>
  <r>
    <x v="16"/>
    <x v="36"/>
    <s v="Combined Heat and Power, Industrial Power"/>
    <x v="12"/>
    <n v="5445"/>
  </r>
  <r>
    <x v="16"/>
    <x v="36"/>
    <s v="Combined Heat and Power, Industrial Power"/>
    <x v="8"/>
    <n v="0"/>
  </r>
  <r>
    <x v="16"/>
    <x v="36"/>
    <s v="Combined Heat and Power, Industrial Power"/>
    <x v="9"/>
    <n v="16143"/>
  </r>
  <r>
    <x v="16"/>
    <x v="36"/>
    <s v="Combined Heat and Power, Industrial Power"/>
    <x v="4"/>
    <n v="39155"/>
  </r>
  <r>
    <x v="16"/>
    <x v="36"/>
    <s v="Combined Heat and Power, Industrial Power"/>
    <x v="6"/>
    <n v="297283"/>
  </r>
  <r>
    <x v="16"/>
    <x v="36"/>
    <s v="Combined Heat and Power, Electric Power"/>
    <x v="0"/>
    <n v="2642147"/>
  </r>
  <r>
    <x v="16"/>
    <x v="36"/>
    <s v="Combined Heat and Power, Electric Power"/>
    <x v="1"/>
    <n v="2268178"/>
  </r>
  <r>
    <x v="16"/>
    <x v="36"/>
    <s v="Combined Heat and Power, Electric Power"/>
    <x v="3"/>
    <n v="373969"/>
  </r>
  <r>
    <x v="16"/>
    <x v="36"/>
    <s v="Combined Heat and Power, Commercial Power"/>
    <x v="0"/>
    <n v="25038"/>
  </r>
  <r>
    <x v="16"/>
    <x v="36"/>
    <s v="Combined Heat and Power, Commercial Power"/>
    <x v="3"/>
    <n v="24630"/>
  </r>
  <r>
    <x v="16"/>
    <x v="36"/>
    <s v="Combined Heat and Power, Commercial Power"/>
    <x v="4"/>
    <n v="408"/>
  </r>
  <r>
    <x v="16"/>
    <x v="37"/>
    <s v="Total Electric Power Industry"/>
    <x v="0"/>
    <n v="53340695"/>
  </r>
  <r>
    <x v="16"/>
    <x v="37"/>
    <s v="Total Electric Power Industry"/>
    <x v="1"/>
    <n v="2370628"/>
  </r>
  <r>
    <x v="16"/>
    <x v="37"/>
    <s v="Total Electric Power Industry"/>
    <x v="2"/>
    <n v="37850297"/>
  </r>
  <r>
    <x v="16"/>
    <x v="37"/>
    <s v="Total Electric Power Industry"/>
    <x v="3"/>
    <n v="11238642"/>
  </r>
  <r>
    <x v="16"/>
    <x v="37"/>
    <s v="Total Electric Power Industry"/>
    <x v="12"/>
    <n v="40320"/>
  </r>
  <r>
    <x v="16"/>
    <x v="37"/>
    <s v="Total Electric Power Industry"/>
    <x v="8"/>
    <n v="98977"/>
  </r>
  <r>
    <x v="16"/>
    <x v="37"/>
    <s v="Total Electric Power Industry"/>
    <x v="4"/>
    <n v="11820"/>
  </r>
  <r>
    <x v="16"/>
    <x v="37"/>
    <s v="Total Electric Power Industry"/>
    <x v="5"/>
    <n v="931219"/>
  </r>
  <r>
    <x v="16"/>
    <x v="37"/>
    <s v="Total Electric Power Industry"/>
    <x v="6"/>
    <n v="798793"/>
  </r>
  <r>
    <x v="16"/>
    <x v="37"/>
    <s v="Electric Generators, Independent Power Producers"/>
    <x v="0"/>
    <n v="4054891"/>
  </r>
  <r>
    <x v="16"/>
    <x v="37"/>
    <s v="Electric Generators, Independent Power Producers"/>
    <x v="2"/>
    <n v="246496"/>
  </r>
  <r>
    <x v="16"/>
    <x v="37"/>
    <s v="Electric Generators, Independent Power Producers"/>
    <x v="3"/>
    <n v="2944726"/>
  </r>
  <r>
    <x v="16"/>
    <x v="37"/>
    <s v="Electric Generators, Independent Power Producers"/>
    <x v="5"/>
    <n v="863669"/>
  </r>
  <r>
    <x v="16"/>
    <x v="37"/>
    <s v="Electric Generators, Electric Utilities"/>
    <x v="0"/>
    <n v="43068822"/>
  </r>
  <r>
    <x v="16"/>
    <x v="37"/>
    <s v="Electric Generators, Electric Utilities"/>
    <x v="1"/>
    <n v="2370628"/>
  </r>
  <r>
    <x v="16"/>
    <x v="37"/>
    <s v="Electric Generators, Electric Utilities"/>
    <x v="2"/>
    <n v="37603801"/>
  </r>
  <r>
    <x v="16"/>
    <x v="37"/>
    <s v="Electric Generators, Electric Utilities"/>
    <x v="3"/>
    <n v="2988707"/>
  </r>
  <r>
    <x v="16"/>
    <x v="37"/>
    <s v="Electric Generators, Electric Utilities"/>
    <x v="8"/>
    <n v="33813"/>
  </r>
  <r>
    <x v="16"/>
    <x v="37"/>
    <s v="Electric Generators, Electric Utilities"/>
    <x v="4"/>
    <n v="4323"/>
  </r>
  <r>
    <x v="16"/>
    <x v="37"/>
    <s v="Electric Generators, Electric Utilities"/>
    <x v="5"/>
    <n v="67550"/>
  </r>
  <r>
    <x v="16"/>
    <x v="37"/>
    <s v="Combined Heat and Power, Industrial Power"/>
    <x v="0"/>
    <n v="1381711"/>
  </r>
  <r>
    <x v="16"/>
    <x v="37"/>
    <s v="Combined Heat and Power, Industrial Power"/>
    <x v="3"/>
    <n v="851810"/>
  </r>
  <r>
    <x v="16"/>
    <x v="37"/>
    <s v="Combined Heat and Power, Industrial Power"/>
    <x v="8"/>
    <n v="13847"/>
  </r>
  <r>
    <x v="16"/>
    <x v="37"/>
    <s v="Combined Heat and Power, Industrial Power"/>
    <x v="4"/>
    <n v="7486"/>
  </r>
  <r>
    <x v="16"/>
    <x v="37"/>
    <s v="Combined Heat and Power, Industrial Power"/>
    <x v="6"/>
    <n v="508568"/>
  </r>
  <r>
    <x v="16"/>
    <x v="37"/>
    <s v="Combined Heat and Power, Electric Power"/>
    <x v="0"/>
    <n v="4831305"/>
  </r>
  <r>
    <x v="16"/>
    <x v="37"/>
    <s v="Combined Heat and Power, Electric Power"/>
    <x v="3"/>
    <n v="4449443"/>
  </r>
  <r>
    <x v="16"/>
    <x v="37"/>
    <s v="Combined Heat and Power, Electric Power"/>
    <x v="12"/>
    <n v="40320"/>
  </r>
  <r>
    <x v="16"/>
    <x v="37"/>
    <s v="Combined Heat and Power, Electric Power"/>
    <x v="8"/>
    <n v="51316"/>
  </r>
  <r>
    <x v="16"/>
    <x v="37"/>
    <s v="Combined Heat and Power, Electric Power"/>
    <x v="6"/>
    <n v="290225"/>
  </r>
  <r>
    <x v="16"/>
    <x v="37"/>
    <s v="Combined Heat and Power, Commercial Power"/>
    <x v="0"/>
    <n v="3966"/>
  </r>
  <r>
    <x v="16"/>
    <x v="37"/>
    <s v="Combined Heat and Power, Commercial Power"/>
    <x v="3"/>
    <n v="3955"/>
  </r>
  <r>
    <x v="16"/>
    <x v="37"/>
    <s v="Combined Heat and Power, Commercial Power"/>
    <x v="4"/>
    <n v="11"/>
  </r>
  <r>
    <x v="16"/>
    <x v="38"/>
    <s v="Total Electric Power Industry"/>
    <x v="0"/>
    <n v="218811595"/>
  </r>
  <r>
    <x v="16"/>
    <x v="38"/>
    <s v="Total Electric Power Industry"/>
    <x v="1"/>
    <n v="122557903"/>
  </r>
  <r>
    <x v="16"/>
    <x v="38"/>
    <s v="Total Electric Power Industry"/>
    <x v="2"/>
    <n v="2844142"/>
  </r>
  <r>
    <x v="16"/>
    <x v="38"/>
    <s v="Total Electric Power Industry"/>
    <x v="3"/>
    <n v="13541728"/>
  </r>
  <r>
    <x v="16"/>
    <x v="38"/>
    <s v="Total Electric Power Industry"/>
    <x v="7"/>
    <n v="75297632"/>
  </r>
  <r>
    <x v="16"/>
    <x v="38"/>
    <s v="Total Electric Power Industry"/>
    <x v="12"/>
    <n v="722532"/>
  </r>
  <r>
    <x v="16"/>
    <x v="38"/>
    <s v="Total Electric Power Industry"/>
    <x v="8"/>
    <n v="1428708"/>
  </r>
  <r>
    <x v="16"/>
    <x v="38"/>
    <s v="Total Electric Power Industry"/>
    <x v="9"/>
    <n v="554432"/>
  </r>
  <r>
    <x v="16"/>
    <x v="38"/>
    <s v="Total Electric Power Industry"/>
    <x v="4"/>
    <n v="1518457"/>
  </r>
  <r>
    <x v="16"/>
    <x v="38"/>
    <s v="Total Electric Power Industry"/>
    <x v="10"/>
    <n v="-698177"/>
  </r>
  <r>
    <x v="16"/>
    <x v="38"/>
    <s v="Total Electric Power Industry"/>
    <x v="5"/>
    <n v="361108"/>
  </r>
  <r>
    <x v="16"/>
    <x v="38"/>
    <s v="Total Electric Power Industry"/>
    <x v="6"/>
    <n v="683130"/>
  </r>
  <r>
    <x v="16"/>
    <x v="38"/>
    <s v="Electric Generators, Independent Power Producers"/>
    <x v="0"/>
    <n v="205075244"/>
  </r>
  <r>
    <x v="16"/>
    <x v="38"/>
    <s v="Electric Generators, Independent Power Producers"/>
    <x v="1"/>
    <n v="115620874"/>
  </r>
  <r>
    <x v="16"/>
    <x v="38"/>
    <s v="Electric Generators, Independent Power Producers"/>
    <x v="2"/>
    <n v="1549573"/>
  </r>
  <r>
    <x v="16"/>
    <x v="38"/>
    <s v="Electric Generators, Independent Power Producers"/>
    <x v="3"/>
    <n v="10092906"/>
  </r>
  <r>
    <x v="16"/>
    <x v="38"/>
    <s v="Electric Generators, Independent Power Producers"/>
    <x v="7"/>
    <n v="75297632"/>
  </r>
  <r>
    <x v="16"/>
    <x v="38"/>
    <s v="Electric Generators, Independent Power Producers"/>
    <x v="12"/>
    <n v="619050"/>
  </r>
  <r>
    <x v="16"/>
    <x v="38"/>
    <s v="Electric Generators, Independent Power Producers"/>
    <x v="8"/>
    <n v="1021236"/>
  </r>
  <r>
    <x v="16"/>
    <x v="38"/>
    <s v="Electric Generators, Independent Power Producers"/>
    <x v="9"/>
    <n v="1326"/>
  </r>
  <r>
    <x v="16"/>
    <x v="38"/>
    <s v="Electric Generators, Independent Power Producers"/>
    <x v="4"/>
    <n v="1209716"/>
  </r>
  <r>
    <x v="16"/>
    <x v="38"/>
    <s v="Electric Generators, Independent Power Producers"/>
    <x v="10"/>
    <n v="-698177"/>
  </r>
  <r>
    <x v="16"/>
    <x v="38"/>
    <s v="Electric Generators, Independent Power Producers"/>
    <x v="5"/>
    <n v="361108"/>
  </r>
  <r>
    <x v="16"/>
    <x v="38"/>
    <s v="Electric Generators, Independent Power Producers"/>
    <x v="6"/>
    <n v="0"/>
  </r>
  <r>
    <x v="16"/>
    <x v="38"/>
    <s v="Electric Generators, Electric Utilities"/>
    <x v="0"/>
    <n v="1311434"/>
  </r>
  <r>
    <x v="16"/>
    <x v="38"/>
    <s v="Electric Generators, Electric Utilities"/>
    <x v="2"/>
    <n v="1294569"/>
  </r>
  <r>
    <x v="16"/>
    <x v="38"/>
    <s v="Electric Generators, Electric Utilities"/>
    <x v="3"/>
    <n v="13923"/>
  </r>
  <r>
    <x v="16"/>
    <x v="38"/>
    <s v="Electric Generators, Electric Utilities"/>
    <x v="4"/>
    <n v="2942"/>
  </r>
  <r>
    <x v="16"/>
    <x v="38"/>
    <s v="Combined Heat and Power, Industrial Power"/>
    <x v="0"/>
    <n v="3171719"/>
  </r>
  <r>
    <x v="16"/>
    <x v="38"/>
    <s v="Combined Heat and Power, Industrial Power"/>
    <x v="1"/>
    <n v="1284981"/>
  </r>
  <r>
    <x v="16"/>
    <x v="38"/>
    <s v="Combined Heat and Power, Industrial Power"/>
    <x v="3"/>
    <n v="611108"/>
  </r>
  <r>
    <x v="16"/>
    <x v="38"/>
    <s v="Combined Heat and Power, Industrial Power"/>
    <x v="8"/>
    <n v="3420"/>
  </r>
  <r>
    <x v="16"/>
    <x v="38"/>
    <s v="Combined Heat and Power, Industrial Power"/>
    <x v="9"/>
    <n v="547460"/>
  </r>
  <r>
    <x v="16"/>
    <x v="38"/>
    <s v="Combined Heat and Power, Industrial Power"/>
    <x v="4"/>
    <n v="235092"/>
  </r>
  <r>
    <x v="16"/>
    <x v="38"/>
    <s v="Combined Heat and Power, Industrial Power"/>
    <x v="6"/>
    <n v="489658"/>
  </r>
  <r>
    <x v="16"/>
    <x v="38"/>
    <s v="Combined Heat and Power, Electric Power"/>
    <x v="0"/>
    <n v="8853567"/>
  </r>
  <r>
    <x v="16"/>
    <x v="38"/>
    <s v="Combined Heat and Power, Electric Power"/>
    <x v="1"/>
    <n v="5642270"/>
  </r>
  <r>
    <x v="16"/>
    <x v="38"/>
    <s v="Combined Heat and Power, Electric Power"/>
    <x v="3"/>
    <n v="2642583"/>
  </r>
  <r>
    <x v="16"/>
    <x v="38"/>
    <s v="Combined Heat and Power, Electric Power"/>
    <x v="12"/>
    <n v="14428"/>
  </r>
  <r>
    <x v="16"/>
    <x v="38"/>
    <s v="Combined Heat and Power, Electric Power"/>
    <x v="8"/>
    <n v="290711"/>
  </r>
  <r>
    <x v="16"/>
    <x v="38"/>
    <s v="Combined Heat and Power, Electric Power"/>
    <x v="9"/>
    <n v="5646"/>
  </r>
  <r>
    <x v="16"/>
    <x v="38"/>
    <s v="Combined Heat and Power, Electric Power"/>
    <x v="4"/>
    <n v="64457"/>
  </r>
  <r>
    <x v="16"/>
    <x v="38"/>
    <s v="Combined Heat and Power, Electric Power"/>
    <x v="6"/>
    <n v="193472"/>
  </r>
  <r>
    <x v="16"/>
    <x v="38"/>
    <s v="Combined Heat and Power, Commercial Power"/>
    <x v="0"/>
    <n v="399631"/>
  </r>
  <r>
    <x v="16"/>
    <x v="38"/>
    <s v="Combined Heat and Power, Commercial Power"/>
    <x v="1"/>
    <n v="9778"/>
  </r>
  <r>
    <x v="16"/>
    <x v="38"/>
    <s v="Combined Heat and Power, Commercial Power"/>
    <x v="3"/>
    <n v="181209"/>
  </r>
  <r>
    <x v="16"/>
    <x v="38"/>
    <s v="Combined Heat and Power, Commercial Power"/>
    <x v="12"/>
    <n v="89054"/>
  </r>
  <r>
    <x v="16"/>
    <x v="38"/>
    <s v="Combined Heat and Power, Commercial Power"/>
    <x v="8"/>
    <n v="113341"/>
  </r>
  <r>
    <x v="16"/>
    <x v="38"/>
    <s v="Combined Heat and Power, Commercial Power"/>
    <x v="4"/>
    <n v="6250"/>
  </r>
  <r>
    <x v="16"/>
    <x v="39"/>
    <s v="Total Electric Power Industry"/>
    <x v="0"/>
    <n v="5967725"/>
  </r>
  <r>
    <x v="16"/>
    <x v="39"/>
    <s v="Total Electric Power Industry"/>
    <x v="2"/>
    <n v="5909"/>
  </r>
  <r>
    <x v="16"/>
    <x v="39"/>
    <s v="Total Electric Power Industry"/>
    <x v="3"/>
    <n v="5780227"/>
  </r>
  <r>
    <x v="16"/>
    <x v="39"/>
    <s v="Total Electric Power Industry"/>
    <x v="8"/>
    <n v="148913"/>
  </r>
  <r>
    <x v="16"/>
    <x v="39"/>
    <s v="Total Electric Power Industry"/>
    <x v="4"/>
    <n v="32676"/>
  </r>
  <r>
    <x v="16"/>
    <x v="39"/>
    <s v="Electric Generators, Independent Power Producers"/>
    <x v="0"/>
    <n v="5875320"/>
  </r>
  <r>
    <x v="16"/>
    <x v="39"/>
    <s v="Electric Generators, Independent Power Producers"/>
    <x v="2"/>
    <n v="5909"/>
  </r>
  <r>
    <x v="16"/>
    <x v="39"/>
    <s v="Electric Generators, Independent Power Producers"/>
    <x v="3"/>
    <n v="5720498"/>
  </r>
  <r>
    <x v="16"/>
    <x v="39"/>
    <s v="Electric Generators, Independent Power Producers"/>
    <x v="8"/>
    <n v="148913"/>
  </r>
  <r>
    <x v="16"/>
    <x v="39"/>
    <s v="Electric Generators, Independent Power Producers"/>
    <x v="4"/>
    <n v="0"/>
  </r>
  <r>
    <x v="16"/>
    <x v="39"/>
    <s v="Electric Generators, Electric Utilities"/>
    <x v="0"/>
    <n v="11008"/>
  </r>
  <r>
    <x v="16"/>
    <x v="39"/>
    <s v="Electric Generators, Electric Utilities"/>
    <x v="4"/>
    <n v="11008"/>
  </r>
  <r>
    <x v="16"/>
    <x v="39"/>
    <s v="Combined Heat and Power, Industrial Power"/>
    <x v="0"/>
    <n v="1461"/>
  </r>
  <r>
    <x v="16"/>
    <x v="39"/>
    <s v="Combined Heat and Power, Industrial Power"/>
    <x v="4"/>
    <n v="1461"/>
  </r>
  <r>
    <x v="16"/>
    <x v="39"/>
    <s v="Combined Heat and Power, Electric Power"/>
    <x v="0"/>
    <n v="17876"/>
  </r>
  <r>
    <x v="16"/>
    <x v="39"/>
    <s v="Combined Heat and Power, Electric Power"/>
    <x v="3"/>
    <n v="16536"/>
  </r>
  <r>
    <x v="16"/>
    <x v="39"/>
    <s v="Combined Heat and Power, Electric Power"/>
    <x v="4"/>
    <n v="1341"/>
  </r>
  <r>
    <x v="16"/>
    <x v="39"/>
    <s v="Combined Heat and Power, Commercial Power"/>
    <x v="0"/>
    <n v="62059"/>
  </r>
  <r>
    <x v="16"/>
    <x v="39"/>
    <s v="Combined Heat and Power, Commercial Power"/>
    <x v="3"/>
    <n v="43193"/>
  </r>
  <r>
    <x v="16"/>
    <x v="39"/>
    <s v="Combined Heat and Power, Commercial Power"/>
    <x v="4"/>
    <n v="18866"/>
  </r>
  <r>
    <x v="16"/>
    <x v="40"/>
    <s v="Total Electric Power Industry"/>
    <x v="0"/>
    <n v="99267606"/>
  </r>
  <r>
    <x v="16"/>
    <x v="40"/>
    <s v="Total Electric Power Industry"/>
    <x v="1"/>
    <n v="39472846"/>
  </r>
  <r>
    <x v="16"/>
    <x v="40"/>
    <s v="Total Electric Power Industry"/>
    <x v="2"/>
    <n v="1806948"/>
  </r>
  <r>
    <x v="16"/>
    <x v="40"/>
    <s v="Total Electric Power Industry"/>
    <x v="3"/>
    <n v="6068061"/>
  </r>
  <r>
    <x v="16"/>
    <x v="40"/>
    <s v="Total Electric Power Industry"/>
    <x v="7"/>
    <n v="50797372"/>
  </r>
  <r>
    <x v="16"/>
    <x v="40"/>
    <s v="Total Electric Power Industry"/>
    <x v="12"/>
    <n v="94908"/>
  </r>
  <r>
    <x v="16"/>
    <x v="40"/>
    <s v="Total Electric Power Industry"/>
    <x v="8"/>
    <n v="106053"/>
  </r>
  <r>
    <x v="16"/>
    <x v="40"/>
    <s v="Total Electric Power Industry"/>
    <x v="9"/>
    <n v="16"/>
  </r>
  <r>
    <x v="16"/>
    <x v="40"/>
    <s v="Total Electric Power Industry"/>
    <x v="4"/>
    <n v="236917"/>
  </r>
  <r>
    <x v="16"/>
    <x v="40"/>
    <s v="Total Electric Power Industry"/>
    <x v="10"/>
    <n v="-1119899"/>
  </r>
  <r>
    <x v="16"/>
    <x v="40"/>
    <s v="Total Electric Power Industry"/>
    <x v="6"/>
    <n v="1804384"/>
  </r>
  <r>
    <x v="16"/>
    <x v="40"/>
    <s v="Electric Generators, Independent Power Producers"/>
    <x v="0"/>
    <n v="729981"/>
  </r>
  <r>
    <x v="16"/>
    <x v="40"/>
    <s v="Electric Generators, Independent Power Producers"/>
    <x v="2"/>
    <n v="38857"/>
  </r>
  <r>
    <x v="16"/>
    <x v="40"/>
    <s v="Electric Generators, Independent Power Producers"/>
    <x v="3"/>
    <n v="691124"/>
  </r>
  <r>
    <x v="16"/>
    <x v="40"/>
    <s v="Electric Generators, Independent Power Producers"/>
    <x v="4"/>
    <n v="0"/>
  </r>
  <r>
    <x v="16"/>
    <x v="40"/>
    <s v="Electric Generators, Electric Utilities"/>
    <x v="0"/>
    <n v="95872763"/>
  </r>
  <r>
    <x v="16"/>
    <x v="40"/>
    <s v="Electric Generators, Electric Utilities"/>
    <x v="1"/>
    <n v="39140908"/>
  </r>
  <r>
    <x v="16"/>
    <x v="40"/>
    <s v="Electric Generators, Electric Utilities"/>
    <x v="2"/>
    <n v="1766438"/>
  </r>
  <r>
    <x v="16"/>
    <x v="40"/>
    <s v="Electric Generators, Electric Utilities"/>
    <x v="3"/>
    <n v="4742493"/>
  </r>
  <r>
    <x v="16"/>
    <x v="40"/>
    <s v="Electric Generators, Electric Utilities"/>
    <x v="7"/>
    <n v="50797372"/>
  </r>
  <r>
    <x v="16"/>
    <x v="40"/>
    <s v="Electric Generators, Electric Utilities"/>
    <x v="8"/>
    <n v="61042"/>
  </r>
  <r>
    <x v="16"/>
    <x v="40"/>
    <s v="Electric Generators, Electric Utilities"/>
    <x v="4"/>
    <n v="135522"/>
  </r>
  <r>
    <x v="16"/>
    <x v="40"/>
    <s v="Electric Generators, Electric Utilities"/>
    <x v="10"/>
    <n v="-1119899"/>
  </r>
  <r>
    <x v="16"/>
    <x v="40"/>
    <s v="Electric Generators, Electric Utilities"/>
    <x v="6"/>
    <n v="348887"/>
  </r>
  <r>
    <x v="16"/>
    <x v="40"/>
    <s v="Combined Heat and Power, Industrial Power"/>
    <x v="0"/>
    <n v="1958471"/>
  </r>
  <r>
    <x v="16"/>
    <x v="40"/>
    <s v="Combined Heat and Power, Industrial Power"/>
    <x v="1"/>
    <n v="331938"/>
  </r>
  <r>
    <x v="16"/>
    <x v="40"/>
    <s v="Combined Heat and Power, Industrial Power"/>
    <x v="3"/>
    <n v="11255"/>
  </r>
  <r>
    <x v="16"/>
    <x v="40"/>
    <s v="Combined Heat and Power, Industrial Power"/>
    <x v="12"/>
    <n v="59544"/>
  </r>
  <r>
    <x v="16"/>
    <x v="40"/>
    <s v="Combined Heat and Power, Industrial Power"/>
    <x v="9"/>
    <n v="16"/>
  </r>
  <r>
    <x v="16"/>
    <x v="40"/>
    <s v="Combined Heat and Power, Industrial Power"/>
    <x v="4"/>
    <n v="100223"/>
  </r>
  <r>
    <x v="16"/>
    <x v="40"/>
    <s v="Combined Heat and Power, Industrial Power"/>
    <x v="6"/>
    <n v="1455497"/>
  </r>
  <r>
    <x v="16"/>
    <x v="40"/>
    <s v="Combined Heat and Power, Electric Power"/>
    <x v="0"/>
    <n v="622501"/>
  </r>
  <r>
    <x v="16"/>
    <x v="40"/>
    <s v="Combined Heat and Power, Electric Power"/>
    <x v="3"/>
    <n v="622501"/>
  </r>
  <r>
    <x v="16"/>
    <x v="40"/>
    <s v="Combined Heat and Power, Electric Power"/>
    <x v="4"/>
    <n v="0"/>
  </r>
  <r>
    <x v="16"/>
    <x v="40"/>
    <s v="Combined Heat and Power, Commercial Power"/>
    <x v="0"/>
    <n v="83889"/>
  </r>
  <r>
    <x v="16"/>
    <x v="40"/>
    <s v="Combined Heat and Power, Commercial Power"/>
    <x v="2"/>
    <n v="1653"/>
  </r>
  <r>
    <x v="16"/>
    <x v="40"/>
    <s v="Combined Heat and Power, Commercial Power"/>
    <x v="3"/>
    <n v="688"/>
  </r>
  <r>
    <x v="16"/>
    <x v="40"/>
    <s v="Combined Heat and Power, Commercial Power"/>
    <x v="12"/>
    <n v="35364"/>
  </r>
  <r>
    <x v="16"/>
    <x v="40"/>
    <s v="Combined Heat and Power, Commercial Power"/>
    <x v="8"/>
    <n v="45011"/>
  </r>
  <r>
    <x v="16"/>
    <x v="40"/>
    <s v="Combined Heat and Power, Commercial Power"/>
    <x v="4"/>
    <n v="1173"/>
  </r>
  <r>
    <x v="16"/>
    <x v="41"/>
    <s v="Total Electric Power Industry"/>
    <x v="0"/>
    <n v="7132243"/>
  </r>
  <r>
    <x v="16"/>
    <x v="41"/>
    <s v="Total Electric Power Industry"/>
    <x v="1"/>
    <n v="3315911"/>
  </r>
  <r>
    <x v="16"/>
    <x v="41"/>
    <s v="Total Electric Power Industry"/>
    <x v="2"/>
    <n v="3396833"/>
  </r>
  <r>
    <x v="16"/>
    <x v="41"/>
    <s v="Total Electric Power Industry"/>
    <x v="3"/>
    <n v="265817"/>
  </r>
  <r>
    <x v="16"/>
    <x v="41"/>
    <s v="Total Electric Power Industry"/>
    <x v="12"/>
    <n v="57"/>
  </r>
  <r>
    <x v="16"/>
    <x v="41"/>
    <s v="Total Electric Power Industry"/>
    <x v="4"/>
    <n v="4660"/>
  </r>
  <r>
    <x v="16"/>
    <x v="41"/>
    <s v="Total Electric Power Industry"/>
    <x v="5"/>
    <n v="148965"/>
  </r>
  <r>
    <x v="16"/>
    <x v="41"/>
    <s v="Electric Generators, Independent Power Producers"/>
    <x v="0"/>
    <n v="143181"/>
  </r>
  <r>
    <x v="16"/>
    <x v="41"/>
    <s v="Electric Generators, Independent Power Producers"/>
    <x v="5"/>
    <n v="143181"/>
  </r>
  <r>
    <x v="16"/>
    <x v="41"/>
    <s v="Electric Generators, Electric Utilities"/>
    <x v="0"/>
    <n v="6989062"/>
  </r>
  <r>
    <x v="16"/>
    <x v="41"/>
    <s v="Electric Generators, Electric Utilities"/>
    <x v="1"/>
    <n v="3315911"/>
  </r>
  <r>
    <x v="16"/>
    <x v="41"/>
    <s v="Electric Generators, Electric Utilities"/>
    <x v="2"/>
    <n v="3396833"/>
  </r>
  <r>
    <x v="16"/>
    <x v="41"/>
    <s v="Electric Generators, Electric Utilities"/>
    <x v="3"/>
    <n v="265817"/>
  </r>
  <r>
    <x v="16"/>
    <x v="41"/>
    <s v="Electric Generators, Electric Utilities"/>
    <x v="12"/>
    <n v="57"/>
  </r>
  <r>
    <x v="16"/>
    <x v="41"/>
    <s v="Electric Generators, Electric Utilities"/>
    <x v="4"/>
    <n v="4660"/>
  </r>
  <r>
    <x v="16"/>
    <x v="41"/>
    <s v="Electric Generators, Electric Utilities"/>
    <x v="5"/>
    <n v="5784"/>
  </r>
  <r>
    <x v="16"/>
    <x v="42"/>
    <s v="Total Electric Power Industry"/>
    <x v="0"/>
    <n v="93911102"/>
  </r>
  <r>
    <x v="16"/>
    <x v="42"/>
    <s v="Total Electric Power Industry"/>
    <x v="1"/>
    <n v="60497846"/>
  </r>
  <r>
    <x v="16"/>
    <x v="42"/>
    <s v="Total Electric Power Industry"/>
    <x v="2"/>
    <n v="7748650"/>
  </r>
  <r>
    <x v="16"/>
    <x v="42"/>
    <s v="Total Electric Power Industry"/>
    <x v="3"/>
    <n v="664274"/>
  </r>
  <r>
    <x v="16"/>
    <x v="42"/>
    <s v="Total Electric Power Industry"/>
    <x v="7"/>
    <n v="24678777"/>
  </r>
  <r>
    <x v="16"/>
    <x v="42"/>
    <s v="Total Electric Power Industry"/>
    <x v="12"/>
    <n v="4637"/>
  </r>
  <r>
    <x v="16"/>
    <x v="42"/>
    <s v="Total Electric Power Industry"/>
    <x v="8"/>
    <n v="58183"/>
  </r>
  <r>
    <x v="16"/>
    <x v="42"/>
    <s v="Total Electric Power Industry"/>
    <x v="9"/>
    <n v="13635"/>
  </r>
  <r>
    <x v="16"/>
    <x v="42"/>
    <s v="Total Electric Power Industry"/>
    <x v="4"/>
    <n v="160224"/>
  </r>
  <r>
    <x v="16"/>
    <x v="42"/>
    <s v="Total Electric Power Industry"/>
    <x v="10"/>
    <n v="-667540"/>
  </r>
  <r>
    <x v="16"/>
    <x v="42"/>
    <s v="Total Electric Power Industry"/>
    <x v="5"/>
    <n v="54598"/>
  </r>
  <r>
    <x v="16"/>
    <x v="42"/>
    <s v="Total Electric Power Industry"/>
    <x v="6"/>
    <n v="697819"/>
  </r>
  <r>
    <x v="16"/>
    <x v="42"/>
    <s v="Electric Generators, Independent Power Producers"/>
    <x v="0"/>
    <n v="119093"/>
  </r>
  <r>
    <x v="16"/>
    <x v="42"/>
    <s v="Electric Generators, Independent Power Producers"/>
    <x v="3"/>
    <n v="43376"/>
  </r>
  <r>
    <x v="16"/>
    <x v="42"/>
    <s v="Electric Generators, Independent Power Producers"/>
    <x v="8"/>
    <n v="23675"/>
  </r>
  <r>
    <x v="16"/>
    <x v="42"/>
    <s v="Electric Generators, Independent Power Producers"/>
    <x v="5"/>
    <n v="52042"/>
  </r>
  <r>
    <x v="16"/>
    <x v="42"/>
    <s v="Electric Generators, Electric Utilities"/>
    <x v="0"/>
    <n v="90960035"/>
  </r>
  <r>
    <x v="16"/>
    <x v="42"/>
    <s v="Electric Generators, Electric Utilities"/>
    <x v="1"/>
    <n v="59146323"/>
  </r>
  <r>
    <x v="16"/>
    <x v="42"/>
    <s v="Electric Generators, Electric Utilities"/>
    <x v="2"/>
    <n v="7167342"/>
  </r>
  <r>
    <x v="16"/>
    <x v="42"/>
    <s v="Electric Generators, Electric Utilities"/>
    <x v="3"/>
    <n v="494104"/>
  </r>
  <r>
    <x v="16"/>
    <x v="42"/>
    <s v="Electric Generators, Electric Utilities"/>
    <x v="7"/>
    <n v="24678777"/>
  </r>
  <r>
    <x v="16"/>
    <x v="42"/>
    <s v="Electric Generators, Electric Utilities"/>
    <x v="8"/>
    <n v="1286"/>
  </r>
  <r>
    <x v="16"/>
    <x v="42"/>
    <s v="Electric Generators, Electric Utilities"/>
    <x v="4"/>
    <n v="137187"/>
  </r>
  <r>
    <x v="16"/>
    <x v="42"/>
    <s v="Electric Generators, Electric Utilities"/>
    <x v="10"/>
    <n v="-667540"/>
  </r>
  <r>
    <x v="16"/>
    <x v="42"/>
    <s v="Electric Generators, Electric Utilities"/>
    <x v="5"/>
    <n v="2556"/>
  </r>
  <r>
    <x v="16"/>
    <x v="42"/>
    <s v="Combined Heat and Power, Industrial Power"/>
    <x v="0"/>
    <n v="2723970"/>
  </r>
  <r>
    <x v="16"/>
    <x v="42"/>
    <s v="Combined Heat and Power, Industrial Power"/>
    <x v="1"/>
    <n v="1317923"/>
  </r>
  <r>
    <x v="16"/>
    <x v="42"/>
    <s v="Combined Heat and Power, Industrial Power"/>
    <x v="2"/>
    <n v="581308"/>
  </r>
  <r>
    <x v="16"/>
    <x v="42"/>
    <s v="Combined Heat and Power, Industrial Power"/>
    <x v="3"/>
    <n v="52390"/>
  </r>
  <r>
    <x v="16"/>
    <x v="42"/>
    <s v="Combined Heat and Power, Industrial Power"/>
    <x v="12"/>
    <n v="4637"/>
  </r>
  <r>
    <x v="16"/>
    <x v="42"/>
    <s v="Combined Heat and Power, Industrial Power"/>
    <x v="8"/>
    <n v="33222"/>
  </r>
  <r>
    <x v="16"/>
    <x v="42"/>
    <s v="Combined Heat and Power, Industrial Power"/>
    <x v="9"/>
    <n v="13635"/>
  </r>
  <r>
    <x v="16"/>
    <x v="42"/>
    <s v="Combined Heat and Power, Industrial Power"/>
    <x v="4"/>
    <n v="23037"/>
  </r>
  <r>
    <x v="16"/>
    <x v="42"/>
    <s v="Combined Heat and Power, Industrial Power"/>
    <x v="6"/>
    <n v="697819"/>
  </r>
  <r>
    <x v="16"/>
    <x v="42"/>
    <s v="Combined Heat and Power, Commercial Power"/>
    <x v="0"/>
    <n v="108004"/>
  </r>
  <r>
    <x v="16"/>
    <x v="42"/>
    <s v="Combined Heat and Power, Commercial Power"/>
    <x v="1"/>
    <n v="33600"/>
  </r>
  <r>
    <x v="16"/>
    <x v="42"/>
    <s v="Combined Heat and Power, Commercial Power"/>
    <x v="3"/>
    <n v="74404"/>
  </r>
  <r>
    <x v="16"/>
    <x v="43"/>
    <s v="Total Electric Power Industry"/>
    <x v="0"/>
    <n v="400582878"/>
  </r>
  <r>
    <x v="16"/>
    <x v="43"/>
    <s v="Total Electric Power Industry"/>
    <x v="1"/>
    <n v="146391341"/>
  </r>
  <r>
    <x v="16"/>
    <x v="43"/>
    <s v="Total Electric Power Industry"/>
    <x v="2"/>
    <n v="661971"/>
  </r>
  <r>
    <x v="16"/>
    <x v="43"/>
    <s v="Total Electric Power Industry"/>
    <x v="3"/>
    <n v="197870233"/>
  </r>
  <r>
    <x v="16"/>
    <x v="43"/>
    <s v="Total Electric Power Industry"/>
    <x v="7"/>
    <n v="41264278"/>
  </r>
  <r>
    <x v="16"/>
    <x v="43"/>
    <s v="Total Electric Power Industry"/>
    <x v="12"/>
    <n v="989208"/>
  </r>
  <r>
    <x v="16"/>
    <x v="43"/>
    <s v="Total Electric Power Industry"/>
    <x v="8"/>
    <n v="255701"/>
  </r>
  <r>
    <x v="16"/>
    <x v="43"/>
    <s v="Total Electric Power Industry"/>
    <x v="9"/>
    <n v="3798403"/>
  </r>
  <r>
    <x v="16"/>
    <x v="43"/>
    <s v="Total Electric Power Industry"/>
    <x v="4"/>
    <n v="1789183"/>
  </r>
  <r>
    <x v="16"/>
    <x v="43"/>
    <s v="Total Electric Power Industry"/>
    <x v="5"/>
    <n v="6670515"/>
  </r>
  <r>
    <x v="16"/>
    <x v="43"/>
    <s v="Total Electric Power Industry"/>
    <x v="6"/>
    <n v="892044"/>
  </r>
  <r>
    <x v="16"/>
    <x v="43"/>
    <s v="Electric Generators, Independent Power Producers"/>
    <x v="0"/>
    <n v="224749473"/>
  </r>
  <r>
    <x v="16"/>
    <x v="43"/>
    <s v="Electric Generators, Independent Power Producers"/>
    <x v="1"/>
    <n v="84423105"/>
  </r>
  <r>
    <x v="16"/>
    <x v="43"/>
    <s v="Electric Generators, Independent Power Producers"/>
    <x v="2"/>
    <n v="50480"/>
  </r>
  <r>
    <x v="16"/>
    <x v="43"/>
    <s v="Electric Generators, Independent Power Producers"/>
    <x v="3"/>
    <n v="91836525"/>
  </r>
  <r>
    <x v="16"/>
    <x v="43"/>
    <s v="Electric Generators, Independent Power Producers"/>
    <x v="7"/>
    <n v="41264278"/>
  </r>
  <r>
    <x v="16"/>
    <x v="43"/>
    <s v="Electric Generators, Independent Power Producers"/>
    <x v="8"/>
    <n v="201073"/>
  </r>
  <r>
    <x v="16"/>
    <x v="43"/>
    <s v="Electric Generators, Independent Power Producers"/>
    <x v="9"/>
    <n v="0"/>
  </r>
  <r>
    <x v="16"/>
    <x v="43"/>
    <s v="Electric Generators, Independent Power Producers"/>
    <x v="4"/>
    <n v="303890"/>
  </r>
  <r>
    <x v="16"/>
    <x v="43"/>
    <s v="Electric Generators, Independent Power Producers"/>
    <x v="5"/>
    <n v="6670122"/>
  </r>
  <r>
    <x v="16"/>
    <x v="43"/>
    <s v="Electric Generators, Electric Utilities"/>
    <x v="0"/>
    <n v="94637956"/>
  </r>
  <r>
    <x v="16"/>
    <x v="43"/>
    <s v="Electric Generators, Electric Utilities"/>
    <x v="1"/>
    <n v="59478349"/>
  </r>
  <r>
    <x v="16"/>
    <x v="43"/>
    <s v="Electric Generators, Electric Utilities"/>
    <x v="2"/>
    <n v="611491"/>
  </r>
  <r>
    <x v="16"/>
    <x v="43"/>
    <s v="Electric Generators, Electric Utilities"/>
    <x v="3"/>
    <n v="34131142"/>
  </r>
  <r>
    <x v="16"/>
    <x v="43"/>
    <s v="Electric Generators, Electric Utilities"/>
    <x v="12"/>
    <n v="343968"/>
  </r>
  <r>
    <x v="16"/>
    <x v="43"/>
    <s v="Electric Generators, Electric Utilities"/>
    <x v="4"/>
    <n v="72613"/>
  </r>
  <r>
    <x v="16"/>
    <x v="43"/>
    <s v="Electric Generators, Electric Utilities"/>
    <x v="5"/>
    <n v="393"/>
  </r>
  <r>
    <x v="16"/>
    <x v="43"/>
    <s v="Combined Heat and Power, Industrial Power"/>
    <x v="0"/>
    <n v="39387888"/>
  </r>
  <r>
    <x v="16"/>
    <x v="43"/>
    <s v="Combined Heat and Power, Industrial Power"/>
    <x v="1"/>
    <n v="2489887"/>
  </r>
  <r>
    <x v="16"/>
    <x v="43"/>
    <s v="Combined Heat and Power, Industrial Power"/>
    <x v="3"/>
    <n v="33672814"/>
  </r>
  <r>
    <x v="16"/>
    <x v="43"/>
    <s v="Combined Heat and Power, Industrial Power"/>
    <x v="12"/>
    <n v="632638"/>
  </r>
  <r>
    <x v="16"/>
    <x v="43"/>
    <s v="Combined Heat and Power, Industrial Power"/>
    <x v="8"/>
    <n v="17134"/>
  </r>
  <r>
    <x v="16"/>
    <x v="43"/>
    <s v="Combined Heat and Power, Industrial Power"/>
    <x v="9"/>
    <n v="1482123"/>
  </r>
  <r>
    <x v="16"/>
    <x v="43"/>
    <s v="Combined Heat and Power, Industrial Power"/>
    <x v="4"/>
    <n v="201249"/>
  </r>
  <r>
    <x v="16"/>
    <x v="43"/>
    <s v="Combined Heat and Power, Industrial Power"/>
    <x v="6"/>
    <n v="892044"/>
  </r>
  <r>
    <x v="16"/>
    <x v="43"/>
    <s v="Combined Heat and Power, Electric Power"/>
    <x v="0"/>
    <n v="41286411"/>
  </r>
  <r>
    <x v="16"/>
    <x v="43"/>
    <s v="Combined Heat and Power, Electric Power"/>
    <x v="3"/>
    <n v="37746018"/>
  </r>
  <r>
    <x v="16"/>
    <x v="43"/>
    <s v="Combined Heat and Power, Electric Power"/>
    <x v="12"/>
    <n v="12603"/>
  </r>
  <r>
    <x v="16"/>
    <x v="43"/>
    <s v="Combined Heat and Power, Electric Power"/>
    <x v="8"/>
    <n v="2023"/>
  </r>
  <r>
    <x v="16"/>
    <x v="43"/>
    <s v="Combined Heat and Power, Electric Power"/>
    <x v="9"/>
    <n v="2316281"/>
  </r>
  <r>
    <x v="16"/>
    <x v="43"/>
    <s v="Combined Heat and Power, Electric Power"/>
    <x v="4"/>
    <n v="1209486"/>
  </r>
  <r>
    <x v="16"/>
    <x v="43"/>
    <s v="Combined Heat and Power, Commercial Power"/>
    <x v="0"/>
    <n v="521150"/>
  </r>
  <r>
    <x v="16"/>
    <x v="43"/>
    <s v="Combined Heat and Power, Commercial Power"/>
    <x v="3"/>
    <n v="483735"/>
  </r>
  <r>
    <x v="16"/>
    <x v="43"/>
    <s v="Combined Heat and Power, Commercial Power"/>
    <x v="8"/>
    <n v="35471"/>
  </r>
  <r>
    <x v="16"/>
    <x v="43"/>
    <s v="Combined Heat and Power, Commercial Power"/>
    <x v="4"/>
    <n v="1944"/>
  </r>
  <r>
    <x v="16"/>
    <x v="44"/>
    <s v="Total Electric Power Industry"/>
    <x v="0"/>
    <n v="4064702227"/>
  </r>
  <r>
    <x v="16"/>
    <x v="44"/>
    <s v="Total Electric Power Industry"/>
    <x v="1"/>
    <n v="1990511135"/>
  </r>
  <r>
    <x v="16"/>
    <x v="44"/>
    <s v="Total Electric Power Industry"/>
    <x v="11"/>
    <n v="14568029"/>
  </r>
  <r>
    <x v="16"/>
    <x v="44"/>
    <s v="Total Electric Power Industry"/>
    <x v="2"/>
    <n v="289246416"/>
  </r>
  <r>
    <x v="16"/>
    <x v="44"/>
    <s v="Total Electric Power Industry"/>
    <x v="3"/>
    <n v="816440770"/>
  </r>
  <r>
    <x v="16"/>
    <x v="44"/>
    <s v="Total Electric Power Industry"/>
    <x v="7"/>
    <n v="787218636"/>
  </r>
  <r>
    <x v="16"/>
    <x v="44"/>
    <s v="Total Electric Power Industry"/>
    <x v="12"/>
    <n v="12974399"/>
  </r>
  <r>
    <x v="16"/>
    <x v="44"/>
    <s v="Total Electric Power Industry"/>
    <x v="8"/>
    <n v="16098525"/>
  </r>
  <r>
    <x v="16"/>
    <x v="44"/>
    <s v="Total Electric Power Industry"/>
    <x v="9"/>
    <n v="14176808"/>
  </r>
  <r>
    <x v="16"/>
    <x v="44"/>
    <s v="Total Electric Power Industry"/>
    <x v="4"/>
    <n v="64166414"/>
  </r>
  <r>
    <x v="16"/>
    <x v="44"/>
    <s v="Total Electric Power Industry"/>
    <x v="10"/>
    <n v="-6557842"/>
  </r>
  <r>
    <x v="16"/>
    <x v="44"/>
    <s v="Total Electric Power Industry"/>
    <x v="13"/>
    <n v="507706"/>
  </r>
  <r>
    <x v="16"/>
    <x v="44"/>
    <s v="Total Electric Power Industry"/>
    <x v="5"/>
    <n v="26589137"/>
  </r>
  <r>
    <x v="16"/>
    <x v="44"/>
    <s v="Total Electric Power Industry"/>
    <x v="6"/>
    <n v="38762096"/>
  </r>
  <r>
    <x v="16"/>
    <x v="44"/>
    <s v="Electric Generators, Independent Power Producers"/>
    <x v="0"/>
    <n v="1259062013"/>
  </r>
  <r>
    <x v="16"/>
    <x v="44"/>
    <s v="Electric Generators, Independent Power Producers"/>
    <x v="1"/>
    <n v="462302301"/>
  </r>
  <r>
    <x v="16"/>
    <x v="44"/>
    <s v="Electric Generators, Independent Power Producers"/>
    <x v="11"/>
    <n v="13405694"/>
  </r>
  <r>
    <x v="16"/>
    <x v="44"/>
    <s v="Electric Generators, Independent Power Producers"/>
    <x v="2"/>
    <n v="24382504"/>
  </r>
  <r>
    <x v="16"/>
    <x v="44"/>
    <s v="Electric Generators, Independent Power Producers"/>
    <x v="3"/>
    <n v="335898068"/>
  </r>
  <r>
    <x v="16"/>
    <x v="44"/>
    <s v="Electric Generators, Independent Power Producers"/>
    <x v="7"/>
    <n v="361877208"/>
  </r>
  <r>
    <x v="16"/>
    <x v="44"/>
    <s v="Electric Generators, Independent Power Producers"/>
    <x v="12"/>
    <n v="5646417"/>
  </r>
  <r>
    <x v="16"/>
    <x v="44"/>
    <s v="Electric Generators, Independent Power Producers"/>
    <x v="8"/>
    <n v="11379000"/>
  </r>
  <r>
    <x v="16"/>
    <x v="44"/>
    <s v="Electric Generators, Independent Power Producers"/>
    <x v="9"/>
    <n v="2990"/>
  </r>
  <r>
    <x v="16"/>
    <x v="44"/>
    <s v="Electric Generators, Independent Power Producers"/>
    <x v="4"/>
    <n v="14339991"/>
  </r>
  <r>
    <x v="16"/>
    <x v="44"/>
    <s v="Electric Generators, Independent Power Producers"/>
    <x v="10"/>
    <n v="-1277075"/>
  </r>
  <r>
    <x v="16"/>
    <x v="44"/>
    <s v="Electric Generators, Independent Power Producers"/>
    <x v="13"/>
    <n v="492624"/>
  </r>
  <r>
    <x v="16"/>
    <x v="44"/>
    <s v="Electric Generators, Independent Power Producers"/>
    <x v="5"/>
    <n v="24238315"/>
  </r>
  <r>
    <x v="16"/>
    <x v="44"/>
    <s v="Electric Generators, Independent Power Producers"/>
    <x v="6"/>
    <n v="6373976"/>
  </r>
  <r>
    <x v="16"/>
    <x v="44"/>
    <s v="Electric Generators, Electric Utilities"/>
    <x v="0"/>
    <n v="2483655548"/>
  </r>
  <r>
    <x v="16"/>
    <x v="44"/>
    <s v="Electric Generators, Electric Utilities"/>
    <x v="1"/>
    <n v="1471421060"/>
  </r>
  <r>
    <x v="16"/>
    <x v="44"/>
    <s v="Electric Generators, Electric Utilities"/>
    <x v="11"/>
    <n v="1162335"/>
  </r>
  <r>
    <x v="16"/>
    <x v="44"/>
    <s v="Electric Generators, Electric Utilities"/>
    <x v="2"/>
    <n v="261863602"/>
  </r>
  <r>
    <x v="16"/>
    <x v="44"/>
    <s v="Electric Generators, Electric Utilities"/>
    <x v="3"/>
    <n v="282088323"/>
  </r>
  <r>
    <x v="16"/>
    <x v="44"/>
    <s v="Electric Generators, Electric Utilities"/>
    <x v="7"/>
    <n v="425341428"/>
  </r>
  <r>
    <x v="16"/>
    <x v="44"/>
    <s v="Electric Generators, Electric Utilities"/>
    <x v="12"/>
    <n v="700374"/>
  </r>
  <r>
    <x v="16"/>
    <x v="44"/>
    <s v="Electric Generators, Electric Utilities"/>
    <x v="8"/>
    <n v="1122855"/>
  </r>
  <r>
    <x v="16"/>
    <x v="44"/>
    <s v="Electric Generators, Electric Utilities"/>
    <x v="9"/>
    <n v="30300"/>
  </r>
  <r>
    <x v="16"/>
    <x v="44"/>
    <s v="Electric Generators, Electric Utilities"/>
    <x v="4"/>
    <n v="40902849"/>
  </r>
  <r>
    <x v="16"/>
    <x v="44"/>
    <s v="Electric Generators, Electric Utilities"/>
    <x v="10"/>
    <n v="-5280767"/>
  </r>
  <r>
    <x v="16"/>
    <x v="44"/>
    <s v="Electric Generators, Electric Utilities"/>
    <x v="13"/>
    <n v="15082"/>
  </r>
  <r>
    <x v="16"/>
    <x v="44"/>
    <s v="Electric Generators, Electric Utilities"/>
    <x v="5"/>
    <n v="2350822"/>
  </r>
  <r>
    <x v="16"/>
    <x v="44"/>
    <s v="Electric Generators, Electric Utilities"/>
    <x v="6"/>
    <n v="1937285"/>
  </r>
  <r>
    <x v="16"/>
    <x v="44"/>
    <s v="Combined Heat and Power, Industrial Power"/>
    <x v="0"/>
    <n v="148254269"/>
  </r>
  <r>
    <x v="16"/>
    <x v="44"/>
    <s v="Combined Heat and Power, Industrial Power"/>
    <x v="1"/>
    <n v="19463843"/>
  </r>
  <r>
    <x v="16"/>
    <x v="44"/>
    <s v="Combined Heat and Power, Industrial Power"/>
    <x v="2"/>
    <n v="2899048"/>
  </r>
  <r>
    <x v="16"/>
    <x v="44"/>
    <s v="Combined Heat and Power, Industrial Power"/>
    <x v="3"/>
    <n v="77669287"/>
  </r>
  <r>
    <x v="16"/>
    <x v="44"/>
    <s v="Combined Heat and Power, Industrial Power"/>
    <x v="12"/>
    <n v="5103173"/>
  </r>
  <r>
    <x v="16"/>
    <x v="44"/>
    <s v="Combined Heat and Power, Industrial Power"/>
    <x v="8"/>
    <n v="572447"/>
  </r>
  <r>
    <x v="16"/>
    <x v="44"/>
    <s v="Combined Heat and Power, Industrial Power"/>
    <x v="9"/>
    <n v="9923239"/>
  </r>
  <r>
    <x v="16"/>
    <x v="44"/>
    <s v="Combined Heat and Power, Industrial Power"/>
    <x v="4"/>
    <n v="4223217"/>
  </r>
  <r>
    <x v="16"/>
    <x v="44"/>
    <s v="Combined Heat and Power, Industrial Power"/>
    <x v="6"/>
    <n v="28400016"/>
  </r>
  <r>
    <x v="16"/>
    <x v="44"/>
    <s v="Combined Heat and Power, Electric Power"/>
    <x v="0"/>
    <n v="165359484"/>
  </r>
  <r>
    <x v="16"/>
    <x v="44"/>
    <s v="Combined Heat and Power, Electric Power"/>
    <x v="1"/>
    <n v="36013785"/>
  </r>
  <r>
    <x v="16"/>
    <x v="44"/>
    <s v="Combined Heat and Power, Electric Power"/>
    <x v="2"/>
    <n v="7816"/>
  </r>
  <r>
    <x v="16"/>
    <x v="44"/>
    <s v="Combined Heat and Power, Electric Power"/>
    <x v="3"/>
    <n v="116430481"/>
  </r>
  <r>
    <x v="16"/>
    <x v="44"/>
    <s v="Combined Heat and Power, Electric Power"/>
    <x v="12"/>
    <n v="765971"/>
  </r>
  <r>
    <x v="16"/>
    <x v="44"/>
    <s v="Combined Heat and Power, Electric Power"/>
    <x v="8"/>
    <n v="1425577"/>
  </r>
  <r>
    <x v="16"/>
    <x v="44"/>
    <s v="Combined Heat and Power, Electric Power"/>
    <x v="9"/>
    <n v="4220238"/>
  </r>
  <r>
    <x v="16"/>
    <x v="44"/>
    <s v="Combined Heat and Power, Electric Power"/>
    <x v="4"/>
    <n v="4465397"/>
  </r>
  <r>
    <x v="16"/>
    <x v="44"/>
    <s v="Combined Heat and Power, Electric Power"/>
    <x v="6"/>
    <n v="2030220"/>
  </r>
  <r>
    <x v="16"/>
    <x v="44"/>
    <s v="Combined Heat and Power, Commercial Power"/>
    <x v="0"/>
    <n v="8370912"/>
  </r>
  <r>
    <x v="16"/>
    <x v="44"/>
    <s v="Combined Heat and Power, Commercial Power"/>
    <x v="1"/>
    <n v="1310146"/>
  </r>
  <r>
    <x v="16"/>
    <x v="44"/>
    <s v="Combined Heat and Power, Commercial Power"/>
    <x v="2"/>
    <n v="93446"/>
  </r>
  <r>
    <x v="16"/>
    <x v="44"/>
    <s v="Combined Heat and Power, Commercial Power"/>
    <x v="3"/>
    <n v="4354610"/>
  </r>
  <r>
    <x v="16"/>
    <x v="44"/>
    <s v="Combined Heat and Power, Commercial Power"/>
    <x v="12"/>
    <n v="758464"/>
  </r>
  <r>
    <x v="16"/>
    <x v="44"/>
    <s v="Combined Heat and Power, Commercial Power"/>
    <x v="8"/>
    <n v="1598646"/>
  </r>
  <r>
    <x v="16"/>
    <x v="44"/>
    <s v="Combined Heat and Power, Commercial Power"/>
    <x v="9"/>
    <n v="41"/>
  </r>
  <r>
    <x v="16"/>
    <x v="44"/>
    <s v="Combined Heat and Power, Commercial Power"/>
    <x v="4"/>
    <n v="234960"/>
  </r>
  <r>
    <x v="16"/>
    <x v="44"/>
    <s v="Combined Heat and Power, Commercial Power"/>
    <x v="6"/>
    <n v="20599"/>
  </r>
  <r>
    <x v="16"/>
    <x v="45"/>
    <s v="Total Electric Power Industry"/>
    <x v="0"/>
    <n v="41263324"/>
  </r>
  <r>
    <x v="16"/>
    <x v="45"/>
    <s v="Total Electric Power Industry"/>
    <x v="1"/>
    <n v="36855550"/>
  </r>
  <r>
    <x v="16"/>
    <x v="45"/>
    <s v="Total Electric Power Industry"/>
    <x v="11"/>
    <n v="190608"/>
  </r>
  <r>
    <x v="16"/>
    <x v="45"/>
    <s v="Total Electric Power Industry"/>
    <x v="2"/>
    <n v="746783"/>
  </r>
  <r>
    <x v="16"/>
    <x v="45"/>
    <s v="Total Electric Power Industry"/>
    <x v="3"/>
    <n v="3388550"/>
  </r>
  <r>
    <x v="16"/>
    <x v="45"/>
    <s v="Total Electric Power Industry"/>
    <x v="12"/>
    <n v="4838"/>
  </r>
  <r>
    <x v="16"/>
    <x v="45"/>
    <s v="Total Electric Power Industry"/>
    <x v="8"/>
    <n v="14868"/>
  </r>
  <r>
    <x v="16"/>
    <x v="45"/>
    <s v="Total Electric Power Industry"/>
    <x v="9"/>
    <n v="0"/>
  </r>
  <r>
    <x v="16"/>
    <x v="45"/>
    <s v="Total Electric Power Industry"/>
    <x v="4"/>
    <n v="62126"/>
  </r>
  <r>
    <x v="16"/>
    <x v="45"/>
    <s v="Electric Generators, Independent Power Producers"/>
    <x v="0"/>
    <n v="828602"/>
  </r>
  <r>
    <x v="16"/>
    <x v="45"/>
    <s v="Electric Generators, Independent Power Producers"/>
    <x v="1"/>
    <n v="386149"/>
  </r>
  <r>
    <x v="16"/>
    <x v="45"/>
    <s v="Electric Generators, Independent Power Producers"/>
    <x v="2"/>
    <n v="9124"/>
  </r>
  <r>
    <x v="16"/>
    <x v="45"/>
    <s v="Electric Generators, Independent Power Producers"/>
    <x v="3"/>
    <n v="400860"/>
  </r>
  <r>
    <x v="16"/>
    <x v="45"/>
    <s v="Electric Generators, Independent Power Producers"/>
    <x v="4"/>
    <n v="32469"/>
  </r>
  <r>
    <x v="16"/>
    <x v="45"/>
    <s v="Electric Generators, Electric Utilities"/>
    <x v="0"/>
    <n v="39590509"/>
  </r>
  <r>
    <x v="16"/>
    <x v="45"/>
    <s v="Electric Generators, Electric Utilities"/>
    <x v="1"/>
    <n v="35667551"/>
  </r>
  <r>
    <x v="16"/>
    <x v="45"/>
    <s v="Electric Generators, Electric Utilities"/>
    <x v="11"/>
    <n v="190608"/>
  </r>
  <r>
    <x v="16"/>
    <x v="45"/>
    <s v="Electric Generators, Electric Utilities"/>
    <x v="2"/>
    <n v="737659"/>
  </r>
  <r>
    <x v="16"/>
    <x v="45"/>
    <s v="Electric Generators, Electric Utilities"/>
    <x v="3"/>
    <n v="2965072"/>
  </r>
  <r>
    <x v="16"/>
    <x v="45"/>
    <s v="Electric Generators, Electric Utilities"/>
    <x v="4"/>
    <n v="29619"/>
  </r>
  <r>
    <x v="16"/>
    <x v="45"/>
    <s v="Combined Heat and Power, Industrial Power"/>
    <x v="0"/>
    <n v="804681"/>
  </r>
  <r>
    <x v="16"/>
    <x v="45"/>
    <s v="Combined Heat and Power, Industrial Power"/>
    <x v="1"/>
    <n v="801850"/>
  </r>
  <r>
    <x v="16"/>
    <x v="45"/>
    <s v="Combined Heat and Power, Industrial Power"/>
    <x v="3"/>
    <n v="2831"/>
  </r>
  <r>
    <x v="16"/>
    <x v="45"/>
    <s v="Combined Heat and Power, Industrial Power"/>
    <x v="12"/>
    <n v="0"/>
  </r>
  <r>
    <x v="16"/>
    <x v="45"/>
    <s v="Combined Heat and Power, Electric Power"/>
    <x v="0"/>
    <n v="11035"/>
  </r>
  <r>
    <x v="16"/>
    <x v="45"/>
    <s v="Combined Heat and Power, Electric Power"/>
    <x v="3"/>
    <n v="0"/>
  </r>
  <r>
    <x v="16"/>
    <x v="45"/>
    <s v="Combined Heat and Power, Electric Power"/>
    <x v="12"/>
    <n v="4838"/>
  </r>
  <r>
    <x v="16"/>
    <x v="45"/>
    <s v="Combined Heat and Power, Electric Power"/>
    <x v="8"/>
    <n v="6158"/>
  </r>
  <r>
    <x v="16"/>
    <x v="45"/>
    <s v="Combined Heat and Power, Electric Power"/>
    <x v="4"/>
    <n v="38"/>
  </r>
  <r>
    <x v="16"/>
    <x v="45"/>
    <s v="Combined Heat and Power, Commercial Power"/>
    <x v="0"/>
    <n v="28497"/>
  </r>
  <r>
    <x v="16"/>
    <x v="45"/>
    <s v="Combined Heat and Power, Commercial Power"/>
    <x v="3"/>
    <n v="19787"/>
  </r>
  <r>
    <x v="16"/>
    <x v="45"/>
    <s v="Combined Heat and Power, Commercial Power"/>
    <x v="8"/>
    <n v="8710"/>
  </r>
  <r>
    <x v="16"/>
    <x v="45"/>
    <s v="Combined Heat and Power, Commercial Power"/>
    <x v="9"/>
    <n v="0"/>
  </r>
  <r>
    <x v="16"/>
    <x v="46"/>
    <s v="Total Electric Power Industry"/>
    <x v="0"/>
    <n v="73069537"/>
  </r>
  <r>
    <x v="16"/>
    <x v="46"/>
    <s v="Total Electric Power Industry"/>
    <x v="1"/>
    <n v="34288141"/>
  </r>
  <r>
    <x v="16"/>
    <x v="46"/>
    <s v="Total Electric Power Industry"/>
    <x v="2"/>
    <n v="1351194"/>
  </r>
  <r>
    <x v="16"/>
    <x v="46"/>
    <s v="Total Electric Power Industry"/>
    <x v="3"/>
    <n v="7215450"/>
  </r>
  <r>
    <x v="16"/>
    <x v="46"/>
    <s v="Total Electric Power Industry"/>
    <x v="7"/>
    <n v="27593516"/>
  </r>
  <r>
    <x v="16"/>
    <x v="46"/>
    <s v="Total Electric Power Industry"/>
    <x v="12"/>
    <n v="491019"/>
  </r>
  <r>
    <x v="16"/>
    <x v="46"/>
    <s v="Total Electric Power Industry"/>
    <x v="8"/>
    <n v="678408"/>
  </r>
  <r>
    <x v="16"/>
    <x v="46"/>
    <s v="Total Electric Power Industry"/>
    <x v="4"/>
    <n v="839212"/>
  </r>
  <r>
    <x v="16"/>
    <x v="46"/>
    <s v="Total Electric Power Industry"/>
    <x v="10"/>
    <n v="-1167444"/>
  </r>
  <r>
    <x v="16"/>
    <x v="46"/>
    <s v="Total Electric Power Industry"/>
    <x v="6"/>
    <n v="1780043"/>
  </r>
  <r>
    <x v="16"/>
    <x v="46"/>
    <s v="Electric Generators, Independent Power Producers"/>
    <x v="0"/>
    <n v="4635550"/>
  </r>
  <r>
    <x v="16"/>
    <x v="46"/>
    <s v="Electric Generators, Independent Power Producers"/>
    <x v="1"/>
    <n v="1069989"/>
  </r>
  <r>
    <x v="16"/>
    <x v="46"/>
    <s v="Electric Generators, Independent Power Producers"/>
    <x v="2"/>
    <n v="74183"/>
  </r>
  <r>
    <x v="16"/>
    <x v="46"/>
    <s v="Electric Generators, Independent Power Producers"/>
    <x v="3"/>
    <n v="2715390"/>
  </r>
  <r>
    <x v="16"/>
    <x v="46"/>
    <s v="Electric Generators, Independent Power Producers"/>
    <x v="12"/>
    <n v="270331"/>
  </r>
  <r>
    <x v="16"/>
    <x v="46"/>
    <s v="Electric Generators, Independent Power Producers"/>
    <x v="8"/>
    <n v="443218"/>
  </r>
  <r>
    <x v="16"/>
    <x v="46"/>
    <s v="Electric Generators, Independent Power Producers"/>
    <x v="4"/>
    <n v="62439"/>
  </r>
  <r>
    <x v="16"/>
    <x v="46"/>
    <s v="Electric Generators, Electric Utilities"/>
    <x v="0"/>
    <n v="61176351"/>
  </r>
  <r>
    <x v="16"/>
    <x v="46"/>
    <s v="Electric Generators, Electric Utilities"/>
    <x v="1"/>
    <n v="28553670"/>
  </r>
  <r>
    <x v="16"/>
    <x v="46"/>
    <s v="Electric Generators, Electric Utilities"/>
    <x v="2"/>
    <n v="1270707"/>
  </r>
  <r>
    <x v="16"/>
    <x v="46"/>
    <s v="Electric Generators, Electric Utilities"/>
    <x v="3"/>
    <n v="3781091"/>
  </r>
  <r>
    <x v="16"/>
    <x v="46"/>
    <s v="Electric Generators, Electric Utilities"/>
    <x v="7"/>
    <n v="27593516"/>
  </r>
  <r>
    <x v="16"/>
    <x v="46"/>
    <s v="Electric Generators, Electric Utilities"/>
    <x v="8"/>
    <n v="0"/>
  </r>
  <r>
    <x v="16"/>
    <x v="46"/>
    <s v="Electric Generators, Electric Utilities"/>
    <x v="4"/>
    <n v="662100"/>
  </r>
  <r>
    <x v="16"/>
    <x v="46"/>
    <s v="Electric Generators, Electric Utilities"/>
    <x v="10"/>
    <n v="-1167444"/>
  </r>
  <r>
    <x v="16"/>
    <x v="46"/>
    <s v="Electric Generators, Electric Utilities"/>
    <x v="6"/>
    <n v="482711"/>
  </r>
  <r>
    <x v="16"/>
    <x v="46"/>
    <s v="Combined Heat and Power, Industrial Power"/>
    <x v="0"/>
    <n v="2501710"/>
  </r>
  <r>
    <x v="16"/>
    <x v="46"/>
    <s v="Combined Heat and Power, Industrial Power"/>
    <x v="1"/>
    <n v="841705"/>
  </r>
  <r>
    <x v="16"/>
    <x v="46"/>
    <s v="Combined Heat and Power, Industrial Power"/>
    <x v="2"/>
    <n v="6304"/>
  </r>
  <r>
    <x v="16"/>
    <x v="46"/>
    <s v="Combined Heat and Power, Industrial Power"/>
    <x v="3"/>
    <n v="209088"/>
  </r>
  <r>
    <x v="16"/>
    <x v="46"/>
    <s v="Combined Heat and Power, Industrial Power"/>
    <x v="12"/>
    <n v="19509"/>
  </r>
  <r>
    <x v="16"/>
    <x v="46"/>
    <s v="Combined Heat and Power, Industrial Power"/>
    <x v="8"/>
    <n v="41409"/>
  </r>
  <r>
    <x v="16"/>
    <x v="46"/>
    <s v="Combined Heat and Power, Industrial Power"/>
    <x v="4"/>
    <n v="86363"/>
  </r>
  <r>
    <x v="16"/>
    <x v="46"/>
    <s v="Combined Heat and Power, Industrial Power"/>
    <x v="6"/>
    <n v="1297332"/>
  </r>
  <r>
    <x v="16"/>
    <x v="46"/>
    <s v="Combined Heat and Power, Electric Power"/>
    <x v="0"/>
    <n v="4409041"/>
  </r>
  <r>
    <x v="16"/>
    <x v="46"/>
    <s v="Combined Heat and Power, Electric Power"/>
    <x v="1"/>
    <n v="3822777"/>
  </r>
  <r>
    <x v="16"/>
    <x v="46"/>
    <s v="Combined Heat and Power, Electric Power"/>
    <x v="3"/>
    <n v="509880"/>
  </r>
  <r>
    <x v="16"/>
    <x v="46"/>
    <s v="Combined Heat and Power, Electric Power"/>
    <x v="12"/>
    <n v="48923"/>
  </r>
  <r>
    <x v="16"/>
    <x v="46"/>
    <s v="Combined Heat and Power, Electric Power"/>
    <x v="4"/>
    <n v="27461"/>
  </r>
  <r>
    <x v="16"/>
    <x v="46"/>
    <s v="Combined Heat and Power, Commercial Power"/>
    <x v="0"/>
    <n v="346884"/>
  </r>
  <r>
    <x v="16"/>
    <x v="46"/>
    <s v="Combined Heat and Power, Commercial Power"/>
    <x v="1"/>
    <n v="0"/>
  </r>
  <r>
    <x v="16"/>
    <x v="46"/>
    <s v="Combined Heat and Power, Commercial Power"/>
    <x v="12"/>
    <n v="152256"/>
  </r>
  <r>
    <x v="16"/>
    <x v="46"/>
    <s v="Combined Heat and Power, Commercial Power"/>
    <x v="8"/>
    <n v="193780"/>
  </r>
  <r>
    <x v="16"/>
    <x v="46"/>
    <s v="Combined Heat and Power, Commercial Power"/>
    <x v="4"/>
    <n v="849"/>
  </r>
  <r>
    <x v="16"/>
    <x v="47"/>
    <s v="Total Electric Power Industry"/>
    <x v="0"/>
    <n v="7084344"/>
  </r>
  <r>
    <x v="16"/>
    <x v="47"/>
    <s v="Total Electric Power Industry"/>
    <x v="2"/>
    <n v="1518665"/>
  </r>
  <r>
    <x v="16"/>
    <x v="47"/>
    <s v="Total Electric Power Industry"/>
    <x v="3"/>
    <n v="1875"/>
  </r>
  <r>
    <x v="16"/>
    <x v="47"/>
    <s v="Total Electric Power Industry"/>
    <x v="7"/>
    <n v="5106523"/>
  </r>
  <r>
    <x v="16"/>
    <x v="47"/>
    <s v="Total Electric Power Industry"/>
    <x v="4"/>
    <n v="7371"/>
  </r>
  <r>
    <x v="16"/>
    <x v="47"/>
    <s v="Total Electric Power Industry"/>
    <x v="5"/>
    <n v="10688"/>
  </r>
  <r>
    <x v="16"/>
    <x v="47"/>
    <s v="Total Electric Power Industry"/>
    <x v="6"/>
    <n v="439222"/>
  </r>
  <r>
    <x v="16"/>
    <x v="47"/>
    <s v="Electric Generators, Independent Power Producers"/>
    <x v="0"/>
    <n v="6256469"/>
  </r>
  <r>
    <x v="16"/>
    <x v="47"/>
    <s v="Electric Generators, Independent Power Producers"/>
    <x v="2"/>
    <n v="976987"/>
  </r>
  <r>
    <x v="16"/>
    <x v="47"/>
    <s v="Electric Generators, Independent Power Producers"/>
    <x v="7"/>
    <n v="5106523"/>
  </r>
  <r>
    <x v="16"/>
    <x v="47"/>
    <s v="Electric Generators, Independent Power Producers"/>
    <x v="4"/>
    <n v="0"/>
  </r>
  <r>
    <x v="16"/>
    <x v="47"/>
    <s v="Electric Generators, Independent Power Producers"/>
    <x v="6"/>
    <n v="172959"/>
  </r>
  <r>
    <x v="16"/>
    <x v="47"/>
    <s v="Electric Generators, Electric Utilities"/>
    <x v="0"/>
    <n v="802680"/>
  </r>
  <r>
    <x v="16"/>
    <x v="47"/>
    <s v="Electric Generators, Electric Utilities"/>
    <x v="2"/>
    <n v="520077"/>
  </r>
  <r>
    <x v="16"/>
    <x v="47"/>
    <s v="Electric Generators, Electric Utilities"/>
    <x v="3"/>
    <n v="1875"/>
  </r>
  <r>
    <x v="16"/>
    <x v="47"/>
    <s v="Electric Generators, Electric Utilities"/>
    <x v="4"/>
    <n v="7371"/>
  </r>
  <r>
    <x v="16"/>
    <x v="47"/>
    <s v="Electric Generators, Electric Utilities"/>
    <x v="5"/>
    <n v="10688"/>
  </r>
  <r>
    <x v="16"/>
    <x v="47"/>
    <s v="Electric Generators, Electric Utilities"/>
    <x v="6"/>
    <n v="262669"/>
  </r>
  <r>
    <x v="16"/>
    <x v="47"/>
    <s v="Combined Heat and Power, Industrial Power"/>
    <x v="0"/>
    <n v="25195"/>
  </r>
  <r>
    <x v="16"/>
    <x v="47"/>
    <s v="Combined Heat and Power, Industrial Power"/>
    <x v="2"/>
    <n v="21601"/>
  </r>
  <r>
    <x v="16"/>
    <x v="47"/>
    <s v="Combined Heat and Power, Industrial Power"/>
    <x v="6"/>
    <n v="3594"/>
  </r>
  <r>
    <x v="16"/>
    <x v="48"/>
    <s v="Total Electric Power Industry"/>
    <x v="0"/>
    <n v="108203155"/>
  </r>
  <r>
    <x v="16"/>
    <x v="48"/>
    <s v="Total Electric Power Industry"/>
    <x v="1"/>
    <n v="6372823"/>
  </r>
  <r>
    <x v="16"/>
    <x v="48"/>
    <s v="Total Electric Power Industry"/>
    <x v="2"/>
    <n v="82007629"/>
  </r>
  <r>
    <x v="16"/>
    <x v="48"/>
    <s v="Total Electric Power Industry"/>
    <x v="3"/>
    <n v="7495410"/>
  </r>
  <r>
    <x v="16"/>
    <x v="48"/>
    <s v="Total Electric Power Industry"/>
    <x v="7"/>
    <n v="9328277"/>
  </r>
  <r>
    <x v="16"/>
    <x v="48"/>
    <s v="Total Electric Power Industry"/>
    <x v="12"/>
    <n v="62185"/>
  </r>
  <r>
    <x v="16"/>
    <x v="48"/>
    <s v="Total Electric Power Industry"/>
    <x v="8"/>
    <n v="184014"/>
  </r>
  <r>
    <x v="16"/>
    <x v="48"/>
    <s v="Total Electric Power Industry"/>
    <x v="9"/>
    <n v="348649"/>
  </r>
  <r>
    <x v="16"/>
    <x v="48"/>
    <s v="Total Electric Power Industry"/>
    <x v="4"/>
    <n v="38230"/>
  </r>
  <r>
    <x v="16"/>
    <x v="48"/>
    <s v="Total Electric Power Industry"/>
    <x v="10"/>
    <n v="47099"/>
  </r>
  <r>
    <x v="16"/>
    <x v="48"/>
    <s v="Total Electric Power Industry"/>
    <x v="5"/>
    <n v="1037651"/>
  </r>
  <r>
    <x v="16"/>
    <x v="48"/>
    <s v="Total Electric Power Industry"/>
    <x v="6"/>
    <n v="1281189"/>
  </r>
  <r>
    <x v="16"/>
    <x v="48"/>
    <s v="Electric Generators, Independent Power Producers"/>
    <x v="0"/>
    <n v="10886889"/>
  </r>
  <r>
    <x v="16"/>
    <x v="48"/>
    <s v="Electric Generators, Independent Power Producers"/>
    <x v="1"/>
    <n v="6349054"/>
  </r>
  <r>
    <x v="16"/>
    <x v="48"/>
    <s v="Electric Generators, Independent Power Producers"/>
    <x v="2"/>
    <n v="152730"/>
  </r>
  <r>
    <x v="16"/>
    <x v="48"/>
    <s v="Electric Generators, Independent Power Producers"/>
    <x v="3"/>
    <n v="3731243"/>
  </r>
  <r>
    <x v="16"/>
    <x v="48"/>
    <s v="Electric Generators, Independent Power Producers"/>
    <x v="12"/>
    <n v="62185"/>
  </r>
  <r>
    <x v="16"/>
    <x v="48"/>
    <s v="Electric Generators, Independent Power Producers"/>
    <x v="8"/>
    <n v="83558"/>
  </r>
  <r>
    <x v="16"/>
    <x v="48"/>
    <s v="Electric Generators, Independent Power Producers"/>
    <x v="4"/>
    <n v="7807"/>
  </r>
  <r>
    <x v="16"/>
    <x v="48"/>
    <s v="Electric Generators, Independent Power Producers"/>
    <x v="5"/>
    <n v="500312"/>
  </r>
  <r>
    <x v="16"/>
    <x v="48"/>
    <s v="Electric Generators, Electric Utilities"/>
    <x v="0"/>
    <n v="94067080"/>
  </r>
  <r>
    <x v="16"/>
    <x v="48"/>
    <s v="Electric Generators, Electric Utilities"/>
    <x v="2"/>
    <n v="81791115"/>
  </r>
  <r>
    <x v="16"/>
    <x v="48"/>
    <s v="Electric Generators, Electric Utilities"/>
    <x v="3"/>
    <n v="1672572"/>
  </r>
  <r>
    <x v="16"/>
    <x v="48"/>
    <s v="Electric Generators, Electric Utilities"/>
    <x v="7"/>
    <n v="9328277"/>
  </r>
  <r>
    <x v="16"/>
    <x v="48"/>
    <s v="Electric Generators, Electric Utilities"/>
    <x v="8"/>
    <n v="81938"/>
  </r>
  <r>
    <x v="16"/>
    <x v="48"/>
    <s v="Electric Generators, Electric Utilities"/>
    <x v="4"/>
    <n v="8517"/>
  </r>
  <r>
    <x v="16"/>
    <x v="48"/>
    <s v="Electric Generators, Electric Utilities"/>
    <x v="10"/>
    <n v="47099"/>
  </r>
  <r>
    <x v="16"/>
    <x v="48"/>
    <s v="Electric Generators, Electric Utilities"/>
    <x v="5"/>
    <n v="537339"/>
  </r>
  <r>
    <x v="16"/>
    <x v="48"/>
    <s v="Electric Generators, Electric Utilities"/>
    <x v="6"/>
    <n v="600223"/>
  </r>
  <r>
    <x v="16"/>
    <x v="48"/>
    <s v="Combined Heat and Power, Industrial Power"/>
    <x v="0"/>
    <n v="786012"/>
  </r>
  <r>
    <x v="16"/>
    <x v="48"/>
    <s v="Combined Heat and Power, Industrial Power"/>
    <x v="1"/>
    <n v="23769"/>
  </r>
  <r>
    <x v="16"/>
    <x v="48"/>
    <s v="Combined Heat and Power, Industrial Power"/>
    <x v="2"/>
    <n v="1829"/>
  </r>
  <r>
    <x v="16"/>
    <x v="48"/>
    <s v="Combined Heat and Power, Industrial Power"/>
    <x v="3"/>
    <n v="46863"/>
  </r>
  <r>
    <x v="16"/>
    <x v="48"/>
    <s v="Combined Heat and Power, Industrial Power"/>
    <x v="8"/>
    <n v="11674"/>
  </r>
  <r>
    <x v="16"/>
    <x v="48"/>
    <s v="Combined Heat and Power, Industrial Power"/>
    <x v="4"/>
    <n v="20910"/>
  </r>
  <r>
    <x v="16"/>
    <x v="48"/>
    <s v="Combined Heat and Power, Industrial Power"/>
    <x v="6"/>
    <n v="680966"/>
  </r>
  <r>
    <x v="16"/>
    <x v="48"/>
    <s v="Combined Heat and Power, Electric Power"/>
    <x v="0"/>
    <n v="2385142"/>
  </r>
  <r>
    <x v="16"/>
    <x v="48"/>
    <s v="Combined Heat and Power, Electric Power"/>
    <x v="3"/>
    <n v="2029226"/>
  </r>
  <r>
    <x v="16"/>
    <x v="48"/>
    <s v="Combined Heat and Power, Electric Power"/>
    <x v="8"/>
    <n v="6843"/>
  </r>
  <r>
    <x v="16"/>
    <x v="48"/>
    <s v="Combined Heat and Power, Electric Power"/>
    <x v="9"/>
    <n v="348649"/>
  </r>
  <r>
    <x v="16"/>
    <x v="48"/>
    <s v="Combined Heat and Power, Electric Power"/>
    <x v="4"/>
    <n v="424"/>
  </r>
  <r>
    <x v="16"/>
    <x v="48"/>
    <s v="Combined Heat and Power, Commercial Power"/>
    <x v="0"/>
    <n v="78033"/>
  </r>
  <r>
    <x v="16"/>
    <x v="48"/>
    <s v="Combined Heat and Power, Commercial Power"/>
    <x v="2"/>
    <n v="61955"/>
  </r>
  <r>
    <x v="16"/>
    <x v="48"/>
    <s v="Combined Heat and Power, Commercial Power"/>
    <x v="3"/>
    <n v="15505"/>
  </r>
  <r>
    <x v="16"/>
    <x v="48"/>
    <s v="Combined Heat and Power, Commercial Power"/>
    <x v="4"/>
    <n v="572"/>
  </r>
  <r>
    <x v="16"/>
    <x v="49"/>
    <s v="Total Electric Power Industry"/>
    <x v="0"/>
    <n v="61639843"/>
  </r>
  <r>
    <x v="16"/>
    <x v="49"/>
    <s v="Total Electric Power Industry"/>
    <x v="1"/>
    <n v="40116490"/>
  </r>
  <r>
    <x v="16"/>
    <x v="49"/>
    <s v="Total Electric Power Industry"/>
    <x v="2"/>
    <n v="1678598"/>
  </r>
  <r>
    <x v="16"/>
    <x v="49"/>
    <s v="Total Electric Power Industry"/>
    <x v="3"/>
    <n v="5358482"/>
  </r>
  <r>
    <x v="16"/>
    <x v="49"/>
    <s v="Total Electric Power Industry"/>
    <x v="7"/>
    <n v="12233515"/>
  </r>
  <r>
    <x v="16"/>
    <x v="49"/>
    <s v="Total Electric Power Industry"/>
    <x v="12"/>
    <n v="109950"/>
  </r>
  <r>
    <x v="16"/>
    <x v="49"/>
    <s v="Total Electric Power Industry"/>
    <x v="8"/>
    <n v="390384"/>
  </r>
  <r>
    <x v="16"/>
    <x v="49"/>
    <s v="Total Electric Power Industry"/>
    <x v="4"/>
    <n v="877186"/>
  </r>
  <r>
    <x v="16"/>
    <x v="49"/>
    <s v="Total Electric Power Industry"/>
    <x v="5"/>
    <n v="101376"/>
  </r>
  <r>
    <x v="16"/>
    <x v="49"/>
    <s v="Total Electric Power Industry"/>
    <x v="6"/>
    <n v="773863"/>
  </r>
  <r>
    <x v="16"/>
    <x v="49"/>
    <s v="Electric Generators, Independent Power Producers"/>
    <x v="0"/>
    <n v="6373132"/>
  </r>
  <r>
    <x v="16"/>
    <x v="49"/>
    <s v="Electric Generators, Independent Power Producers"/>
    <x v="1"/>
    <n v="38380"/>
  </r>
  <r>
    <x v="16"/>
    <x v="49"/>
    <s v="Electric Generators, Independent Power Producers"/>
    <x v="2"/>
    <n v="28500"/>
  </r>
  <r>
    <x v="16"/>
    <x v="49"/>
    <s v="Electric Generators, Independent Power Producers"/>
    <x v="3"/>
    <n v="2255222"/>
  </r>
  <r>
    <x v="16"/>
    <x v="49"/>
    <s v="Electric Generators, Independent Power Producers"/>
    <x v="7"/>
    <n v="3673099"/>
  </r>
  <r>
    <x v="16"/>
    <x v="49"/>
    <s v="Electric Generators, Independent Power Producers"/>
    <x v="8"/>
    <n v="314251"/>
  </r>
  <r>
    <x v="16"/>
    <x v="49"/>
    <s v="Electric Generators, Independent Power Producers"/>
    <x v="4"/>
    <n v="1238"/>
  </r>
  <r>
    <x v="16"/>
    <x v="49"/>
    <s v="Electric Generators, Independent Power Producers"/>
    <x v="5"/>
    <n v="62442"/>
  </r>
  <r>
    <x v="16"/>
    <x v="49"/>
    <s v="Electric Generators, Electric Utilities"/>
    <x v="0"/>
    <n v="51914755"/>
  </r>
  <r>
    <x v="16"/>
    <x v="49"/>
    <s v="Electric Generators, Electric Utilities"/>
    <x v="1"/>
    <n v="38866178"/>
  </r>
  <r>
    <x v="16"/>
    <x v="49"/>
    <s v="Electric Generators, Electric Utilities"/>
    <x v="2"/>
    <n v="1446192"/>
  </r>
  <r>
    <x v="16"/>
    <x v="49"/>
    <s v="Electric Generators, Electric Utilities"/>
    <x v="3"/>
    <n v="2114624"/>
  </r>
  <r>
    <x v="16"/>
    <x v="49"/>
    <s v="Electric Generators, Electric Utilities"/>
    <x v="7"/>
    <n v="8560416"/>
  </r>
  <r>
    <x v="16"/>
    <x v="49"/>
    <s v="Electric Generators, Electric Utilities"/>
    <x v="12"/>
    <n v="76451"/>
  </r>
  <r>
    <x v="16"/>
    <x v="49"/>
    <s v="Electric Generators, Electric Utilities"/>
    <x v="8"/>
    <n v="52759"/>
  </r>
  <r>
    <x v="16"/>
    <x v="49"/>
    <s v="Electric Generators, Electric Utilities"/>
    <x v="4"/>
    <n v="591486"/>
  </r>
  <r>
    <x v="16"/>
    <x v="49"/>
    <s v="Electric Generators, Electric Utilities"/>
    <x v="5"/>
    <n v="38934"/>
  </r>
  <r>
    <x v="16"/>
    <x v="49"/>
    <s v="Electric Generators, Electric Utilities"/>
    <x v="6"/>
    <n v="167715"/>
  </r>
  <r>
    <x v="16"/>
    <x v="49"/>
    <s v="Combined Heat and Power, Industrial Power"/>
    <x v="0"/>
    <n v="2457267"/>
  </r>
  <r>
    <x v="16"/>
    <x v="49"/>
    <s v="Combined Heat and Power, Industrial Power"/>
    <x v="1"/>
    <n v="1166926"/>
  </r>
  <r>
    <x v="16"/>
    <x v="49"/>
    <s v="Combined Heat and Power, Industrial Power"/>
    <x v="2"/>
    <n v="203895"/>
  </r>
  <r>
    <x v="16"/>
    <x v="49"/>
    <s v="Combined Heat and Power, Industrial Power"/>
    <x v="3"/>
    <n v="165374"/>
  </r>
  <r>
    <x v="16"/>
    <x v="49"/>
    <s v="Combined Heat and Power, Industrial Power"/>
    <x v="12"/>
    <n v="30845"/>
  </r>
  <r>
    <x v="16"/>
    <x v="49"/>
    <s v="Combined Heat and Power, Industrial Power"/>
    <x v="8"/>
    <n v="13845"/>
  </r>
  <r>
    <x v="16"/>
    <x v="49"/>
    <s v="Combined Heat and Power, Industrial Power"/>
    <x v="4"/>
    <n v="270743"/>
  </r>
  <r>
    <x v="16"/>
    <x v="49"/>
    <s v="Combined Heat and Power, Industrial Power"/>
    <x v="6"/>
    <n v="605640"/>
  </r>
  <r>
    <x v="16"/>
    <x v="49"/>
    <s v="Combined Heat and Power, Electric Power"/>
    <x v="0"/>
    <n v="784894"/>
  </r>
  <r>
    <x v="16"/>
    <x v="49"/>
    <s v="Combined Heat and Power, Electric Power"/>
    <x v="3"/>
    <n v="769534"/>
  </r>
  <r>
    <x v="16"/>
    <x v="49"/>
    <s v="Combined Heat and Power, Electric Power"/>
    <x v="8"/>
    <n v="1662"/>
  </r>
  <r>
    <x v="16"/>
    <x v="49"/>
    <s v="Combined Heat and Power, Electric Power"/>
    <x v="4"/>
    <n v="13698"/>
  </r>
  <r>
    <x v="16"/>
    <x v="49"/>
    <s v="Combined Heat and Power, Commercial Power"/>
    <x v="0"/>
    <n v="109795"/>
  </r>
  <r>
    <x v="16"/>
    <x v="49"/>
    <s v="Combined Heat and Power, Commercial Power"/>
    <x v="1"/>
    <n v="45006"/>
  </r>
  <r>
    <x v="16"/>
    <x v="49"/>
    <s v="Combined Heat and Power, Commercial Power"/>
    <x v="2"/>
    <n v="11"/>
  </r>
  <r>
    <x v="16"/>
    <x v="49"/>
    <s v="Combined Heat and Power, Commercial Power"/>
    <x v="3"/>
    <n v="53727"/>
  </r>
  <r>
    <x v="16"/>
    <x v="49"/>
    <s v="Combined Heat and Power, Commercial Power"/>
    <x v="12"/>
    <n v="2654"/>
  </r>
  <r>
    <x v="16"/>
    <x v="49"/>
    <s v="Combined Heat and Power, Commercial Power"/>
    <x v="8"/>
    <n v="7868"/>
  </r>
  <r>
    <x v="16"/>
    <x v="49"/>
    <s v="Combined Heat and Power, Commercial Power"/>
    <x v="4"/>
    <n v="21"/>
  </r>
  <r>
    <x v="16"/>
    <x v="49"/>
    <s v="Combined Heat and Power, Commercial Power"/>
    <x v="6"/>
    <n v="508"/>
  </r>
  <r>
    <x v="16"/>
    <x v="50"/>
    <s v="Total Electric Power Industry"/>
    <x v="0"/>
    <n v="93815804"/>
  </r>
  <r>
    <x v="16"/>
    <x v="50"/>
    <s v="Total Electric Power Industry"/>
    <x v="1"/>
    <n v="91473321"/>
  </r>
  <r>
    <x v="16"/>
    <x v="50"/>
    <s v="Total Electric Power Industry"/>
    <x v="2"/>
    <n v="1572433"/>
  </r>
  <r>
    <x v="16"/>
    <x v="50"/>
    <s v="Total Electric Power Industry"/>
    <x v="3"/>
    <n v="361837"/>
  </r>
  <r>
    <x v="16"/>
    <x v="50"/>
    <s v="Total Electric Power Industry"/>
    <x v="12"/>
    <n v="6478"/>
  </r>
  <r>
    <x v="16"/>
    <x v="50"/>
    <s v="Total Electric Power Industry"/>
    <x v="8"/>
    <n v="296"/>
  </r>
  <r>
    <x v="16"/>
    <x v="50"/>
    <s v="Total Electric Power Industry"/>
    <x v="9"/>
    <n v="52797"/>
  </r>
  <r>
    <x v="16"/>
    <x v="50"/>
    <s v="Total Electric Power Industry"/>
    <x v="4"/>
    <n v="174886"/>
  </r>
  <r>
    <x v="16"/>
    <x v="50"/>
    <s v="Total Electric Power Industry"/>
    <x v="5"/>
    <n v="173757"/>
  </r>
  <r>
    <x v="16"/>
    <x v="50"/>
    <s v="Total Electric Power Industry"/>
    <x v="6"/>
    <n v="0"/>
  </r>
  <r>
    <x v="16"/>
    <x v="50"/>
    <s v="Electric Generators, Independent Power Producers"/>
    <x v="0"/>
    <n v="23958597"/>
  </r>
  <r>
    <x v="16"/>
    <x v="50"/>
    <s v="Electric Generators, Independent Power Producers"/>
    <x v="1"/>
    <n v="23040044"/>
  </r>
  <r>
    <x v="16"/>
    <x v="50"/>
    <s v="Electric Generators, Independent Power Producers"/>
    <x v="2"/>
    <n v="502434"/>
  </r>
  <r>
    <x v="16"/>
    <x v="50"/>
    <s v="Electric Generators, Independent Power Producers"/>
    <x v="3"/>
    <n v="239174"/>
  </r>
  <r>
    <x v="16"/>
    <x v="50"/>
    <s v="Electric Generators, Independent Power Producers"/>
    <x v="12"/>
    <n v="0"/>
  </r>
  <r>
    <x v="16"/>
    <x v="50"/>
    <s v="Electric Generators, Independent Power Producers"/>
    <x v="4"/>
    <n v="3188"/>
  </r>
  <r>
    <x v="16"/>
    <x v="50"/>
    <s v="Electric Generators, Independent Power Producers"/>
    <x v="5"/>
    <n v="173757"/>
  </r>
  <r>
    <x v="16"/>
    <x v="50"/>
    <s v="Electric Generators, Electric Utilities"/>
    <x v="0"/>
    <n v="68163826"/>
  </r>
  <r>
    <x v="16"/>
    <x v="50"/>
    <s v="Electric Generators, Electric Utilities"/>
    <x v="1"/>
    <n v="67391989"/>
  </r>
  <r>
    <x v="16"/>
    <x v="50"/>
    <s v="Electric Generators, Electric Utilities"/>
    <x v="2"/>
    <n v="546033"/>
  </r>
  <r>
    <x v="16"/>
    <x v="50"/>
    <s v="Electric Generators, Electric Utilities"/>
    <x v="3"/>
    <n v="86926"/>
  </r>
  <r>
    <x v="16"/>
    <x v="50"/>
    <s v="Electric Generators, Electric Utilities"/>
    <x v="12"/>
    <n v="6478"/>
  </r>
  <r>
    <x v="16"/>
    <x v="50"/>
    <s v="Electric Generators, Electric Utilities"/>
    <x v="8"/>
    <n v="0"/>
  </r>
  <r>
    <x v="16"/>
    <x v="50"/>
    <s v="Electric Generators, Electric Utilities"/>
    <x v="4"/>
    <n v="132400"/>
  </r>
  <r>
    <x v="16"/>
    <x v="50"/>
    <s v="Electric Generators, Electric Utilities"/>
    <x v="6"/>
    <n v="0"/>
  </r>
  <r>
    <x v="16"/>
    <x v="50"/>
    <s v="Combined Heat and Power, Industrial Power"/>
    <x v="0"/>
    <n v="1222904"/>
  </r>
  <r>
    <x v="16"/>
    <x v="50"/>
    <s v="Combined Heat and Power, Industrial Power"/>
    <x v="1"/>
    <n v="573682"/>
  </r>
  <r>
    <x v="16"/>
    <x v="50"/>
    <s v="Combined Heat and Power, Industrial Power"/>
    <x v="2"/>
    <n v="523966"/>
  </r>
  <r>
    <x v="16"/>
    <x v="50"/>
    <s v="Combined Heat and Power, Industrial Power"/>
    <x v="3"/>
    <n v="32865"/>
  </r>
  <r>
    <x v="16"/>
    <x v="50"/>
    <s v="Combined Heat and Power, Industrial Power"/>
    <x v="8"/>
    <n v="296"/>
  </r>
  <r>
    <x v="16"/>
    <x v="50"/>
    <s v="Combined Heat and Power, Industrial Power"/>
    <x v="9"/>
    <n v="52797"/>
  </r>
  <r>
    <x v="16"/>
    <x v="50"/>
    <s v="Combined Heat and Power, Industrial Power"/>
    <x v="4"/>
    <n v="39298"/>
  </r>
  <r>
    <x v="16"/>
    <x v="50"/>
    <s v="Combined Heat and Power, Electric Power"/>
    <x v="0"/>
    <n v="470477"/>
  </r>
  <r>
    <x v="16"/>
    <x v="50"/>
    <s v="Combined Heat and Power, Electric Power"/>
    <x v="1"/>
    <n v="467605"/>
  </r>
  <r>
    <x v="16"/>
    <x v="50"/>
    <s v="Combined Heat and Power, Electric Power"/>
    <x v="3"/>
    <n v="2872"/>
  </r>
  <r>
    <x v="16"/>
    <x v="51"/>
    <s v="Total Electric Power Industry"/>
    <x v="0"/>
    <n v="45400370"/>
  </r>
  <r>
    <x v="16"/>
    <x v="51"/>
    <s v="Total Electric Power Industry"/>
    <x v="1"/>
    <n v="42891827"/>
  </r>
  <r>
    <x v="16"/>
    <x v="51"/>
    <s v="Total Electric Power Industry"/>
    <x v="2"/>
    <n v="843316"/>
  </r>
  <r>
    <x v="16"/>
    <x v="51"/>
    <s v="Total Electric Power Industry"/>
    <x v="3"/>
    <n v="501270"/>
  </r>
  <r>
    <x v="16"/>
    <x v="51"/>
    <s v="Total Electric Power Industry"/>
    <x v="12"/>
    <n v="49032"/>
  </r>
  <r>
    <x v="16"/>
    <x v="51"/>
    <s v="Total Electric Power Industry"/>
    <x v="9"/>
    <n v="309927"/>
  </r>
  <r>
    <x v="16"/>
    <x v="51"/>
    <s v="Total Electric Power Industry"/>
    <x v="4"/>
    <n v="45937"/>
  </r>
  <r>
    <x v="16"/>
    <x v="51"/>
    <s v="Total Electric Power Industry"/>
    <x v="5"/>
    <n v="759061"/>
  </r>
  <r>
    <x v="16"/>
    <x v="51"/>
    <s v="Electric Generators, Independent Power Producers"/>
    <x v="0"/>
    <n v="1483625"/>
  </r>
  <r>
    <x v="16"/>
    <x v="51"/>
    <s v="Electric Generators, Independent Power Producers"/>
    <x v="1"/>
    <n v="713472"/>
  </r>
  <r>
    <x v="16"/>
    <x v="51"/>
    <s v="Electric Generators, Independent Power Producers"/>
    <x v="3"/>
    <n v="31194"/>
  </r>
  <r>
    <x v="16"/>
    <x v="51"/>
    <s v="Electric Generators, Independent Power Producers"/>
    <x v="4"/>
    <n v="333"/>
  </r>
  <r>
    <x v="16"/>
    <x v="51"/>
    <s v="Electric Generators, Independent Power Producers"/>
    <x v="5"/>
    <n v="738626"/>
  </r>
  <r>
    <x v="16"/>
    <x v="51"/>
    <s v="Electric Generators, Electric Utilities"/>
    <x v="0"/>
    <n v="42905244"/>
  </r>
  <r>
    <x v="16"/>
    <x v="51"/>
    <s v="Electric Generators, Electric Utilities"/>
    <x v="1"/>
    <n v="41948761"/>
  </r>
  <r>
    <x v="16"/>
    <x v="51"/>
    <s v="Electric Generators, Electric Utilities"/>
    <x v="2"/>
    <n v="843316"/>
  </r>
  <r>
    <x v="16"/>
    <x v="51"/>
    <s v="Electric Generators, Electric Utilities"/>
    <x v="3"/>
    <n v="48492"/>
  </r>
  <r>
    <x v="16"/>
    <x v="51"/>
    <s v="Electric Generators, Electric Utilities"/>
    <x v="4"/>
    <n v="44240"/>
  </r>
  <r>
    <x v="16"/>
    <x v="51"/>
    <s v="Electric Generators, Electric Utilities"/>
    <x v="5"/>
    <n v="20435"/>
  </r>
  <r>
    <x v="16"/>
    <x v="51"/>
    <s v="Combined Heat and Power, Industrial Power"/>
    <x v="0"/>
    <n v="1011501"/>
  </r>
  <r>
    <x v="16"/>
    <x v="51"/>
    <s v="Combined Heat and Power, Industrial Power"/>
    <x v="1"/>
    <n v="229594"/>
  </r>
  <r>
    <x v="16"/>
    <x v="51"/>
    <s v="Combined Heat and Power, Industrial Power"/>
    <x v="3"/>
    <n v="421584"/>
  </r>
  <r>
    <x v="16"/>
    <x v="51"/>
    <s v="Combined Heat and Power, Industrial Power"/>
    <x v="12"/>
    <n v="49032"/>
  </r>
  <r>
    <x v="16"/>
    <x v="51"/>
    <s v="Combined Heat and Power, Industrial Power"/>
    <x v="9"/>
    <n v="309927"/>
  </r>
  <r>
    <x v="16"/>
    <x v="51"/>
    <s v="Combined Heat and Power, Industrial Power"/>
    <x v="4"/>
    <n v="1364"/>
  </r>
  <r>
    <x v="17"/>
    <x v="0"/>
    <s v="Total Electric Power Industry"/>
    <x v="0"/>
    <n v="6821392"/>
  </r>
  <r>
    <x v="17"/>
    <x v="0"/>
    <s v="Total Electric Power Industry"/>
    <x v="1"/>
    <n v="641409"/>
  </r>
  <r>
    <x v="17"/>
    <x v="0"/>
    <s v="Total Electric Power Industry"/>
    <x v="2"/>
    <n v="1291223"/>
  </r>
  <r>
    <x v="17"/>
    <x v="0"/>
    <s v="Total Electric Power Industry"/>
    <x v="3"/>
    <n v="3867539"/>
  </r>
  <r>
    <x v="17"/>
    <x v="0"/>
    <s v="Total Electric Power Industry"/>
    <x v="8"/>
    <n v="10196"/>
  </r>
  <r>
    <x v="17"/>
    <x v="0"/>
    <s v="Total Electric Power Industry"/>
    <x v="4"/>
    <n v="1009990"/>
  </r>
  <r>
    <x v="17"/>
    <x v="0"/>
    <s v="Total Electric Power Industry"/>
    <x v="5"/>
    <n v="1012"/>
  </r>
  <r>
    <x v="17"/>
    <x v="0"/>
    <s v="Total Electric Power Industry"/>
    <x v="6"/>
    <n v="22"/>
  </r>
  <r>
    <x v="17"/>
    <x v="0"/>
    <s v="Electric Generators, Independent Power Producers"/>
    <x v="0"/>
    <n v="80133"/>
  </r>
  <r>
    <x v="17"/>
    <x v="0"/>
    <s v="Electric Generators, Independent Power Producers"/>
    <x v="4"/>
    <n v="79121"/>
  </r>
  <r>
    <x v="17"/>
    <x v="0"/>
    <s v="Electric Generators, Independent Power Producers"/>
    <x v="5"/>
    <n v="1012"/>
  </r>
  <r>
    <x v="17"/>
    <x v="0"/>
    <s v="Electric Generators, Electric Utilities"/>
    <x v="0"/>
    <n v="6146078"/>
  </r>
  <r>
    <x v="17"/>
    <x v="0"/>
    <s v="Electric Generators, Electric Utilities"/>
    <x v="1"/>
    <n v="213648"/>
  </r>
  <r>
    <x v="17"/>
    <x v="0"/>
    <s v="Electric Generators, Electric Utilities"/>
    <x v="2"/>
    <n v="1291223"/>
  </r>
  <r>
    <x v="17"/>
    <x v="0"/>
    <s v="Electric Generators, Electric Utilities"/>
    <x v="3"/>
    <n v="3788325"/>
  </r>
  <r>
    <x v="17"/>
    <x v="0"/>
    <s v="Electric Generators, Electric Utilities"/>
    <x v="4"/>
    <n v="852882"/>
  </r>
  <r>
    <x v="17"/>
    <x v="0"/>
    <s v="Combined Heat and Power, Industrial Power"/>
    <x v="0"/>
    <n v="147405"/>
  </r>
  <r>
    <x v="17"/>
    <x v="0"/>
    <s v="Combined Heat and Power, Industrial Power"/>
    <x v="3"/>
    <n v="78778"/>
  </r>
  <r>
    <x v="17"/>
    <x v="0"/>
    <s v="Combined Heat and Power, Industrial Power"/>
    <x v="8"/>
    <n v="10196"/>
  </r>
  <r>
    <x v="17"/>
    <x v="0"/>
    <s v="Combined Heat and Power, Industrial Power"/>
    <x v="4"/>
    <n v="58431"/>
  </r>
  <r>
    <x v="17"/>
    <x v="0"/>
    <s v="Combined Heat and Power, Electric Power"/>
    <x v="0"/>
    <n v="210155"/>
  </r>
  <r>
    <x v="17"/>
    <x v="0"/>
    <s v="Combined Heat and Power, Electric Power"/>
    <x v="1"/>
    <n v="199914"/>
  </r>
  <r>
    <x v="17"/>
    <x v="0"/>
    <s v="Combined Heat and Power, Electric Power"/>
    <x v="4"/>
    <n v="10241"/>
  </r>
  <r>
    <x v="17"/>
    <x v="0"/>
    <s v="Combined Heat and Power, Commercial Power"/>
    <x v="0"/>
    <n v="237621"/>
  </r>
  <r>
    <x v="17"/>
    <x v="0"/>
    <s v="Combined Heat and Power, Commercial Power"/>
    <x v="1"/>
    <n v="227848"/>
  </r>
  <r>
    <x v="17"/>
    <x v="0"/>
    <s v="Combined Heat and Power, Commercial Power"/>
    <x v="3"/>
    <n v="437"/>
  </r>
  <r>
    <x v="17"/>
    <x v="0"/>
    <s v="Combined Heat and Power, Commercial Power"/>
    <x v="4"/>
    <n v="9315"/>
  </r>
  <r>
    <x v="17"/>
    <x v="0"/>
    <s v="Combined Heat and Power, Commercial Power"/>
    <x v="6"/>
    <n v="22"/>
  </r>
  <r>
    <x v="17"/>
    <x v="1"/>
    <s v="Total Electric Power Industry"/>
    <x v="0"/>
    <n v="143826271"/>
  </r>
  <r>
    <x v="17"/>
    <x v="1"/>
    <s v="Total Electric Power Industry"/>
    <x v="1"/>
    <n v="77993760"/>
  </r>
  <r>
    <x v="17"/>
    <x v="1"/>
    <s v="Total Electric Power Industry"/>
    <x v="2"/>
    <n v="4136114"/>
  </r>
  <r>
    <x v="17"/>
    <x v="1"/>
    <s v="Total Electric Power Industry"/>
    <x v="3"/>
    <n v="23231776"/>
  </r>
  <r>
    <x v="17"/>
    <x v="1"/>
    <s v="Total Electric Power Industry"/>
    <x v="7"/>
    <n v="34325127"/>
  </r>
  <r>
    <x v="17"/>
    <x v="1"/>
    <s v="Total Electric Power Industry"/>
    <x v="12"/>
    <n v="3583"/>
  </r>
  <r>
    <x v="17"/>
    <x v="1"/>
    <s v="Total Electric Power Industry"/>
    <x v="8"/>
    <n v="16738"/>
  </r>
  <r>
    <x v="17"/>
    <x v="1"/>
    <s v="Total Electric Power Industry"/>
    <x v="9"/>
    <n v="178368"/>
  </r>
  <r>
    <x v="17"/>
    <x v="1"/>
    <s v="Total Electric Power Industry"/>
    <x v="4"/>
    <n v="156922"/>
  </r>
  <r>
    <x v="17"/>
    <x v="1"/>
    <s v="Total Electric Power Industry"/>
    <x v="6"/>
    <n v="3783882"/>
  </r>
  <r>
    <x v="17"/>
    <x v="1"/>
    <s v="Electric Generators, Independent Power Producers"/>
    <x v="0"/>
    <n v="9201656"/>
  </r>
  <r>
    <x v="17"/>
    <x v="1"/>
    <s v="Electric Generators, Independent Power Producers"/>
    <x v="3"/>
    <n v="9198470"/>
  </r>
  <r>
    <x v="17"/>
    <x v="1"/>
    <s v="Electric Generators, Independent Power Producers"/>
    <x v="4"/>
    <n v="3186"/>
  </r>
  <r>
    <x v="17"/>
    <x v="1"/>
    <s v="Electric Generators, Electric Utilities"/>
    <x v="0"/>
    <n v="124273167"/>
  </r>
  <r>
    <x v="17"/>
    <x v="1"/>
    <s v="Electric Generators, Electric Utilities"/>
    <x v="1"/>
    <n v="77575448"/>
  </r>
  <r>
    <x v="17"/>
    <x v="1"/>
    <s v="Electric Generators, Electric Utilities"/>
    <x v="2"/>
    <n v="4136114"/>
  </r>
  <r>
    <x v="17"/>
    <x v="1"/>
    <s v="Electric Generators, Electric Utilities"/>
    <x v="3"/>
    <n v="8162908"/>
  </r>
  <r>
    <x v="17"/>
    <x v="1"/>
    <s v="Electric Generators, Electric Utilities"/>
    <x v="7"/>
    <n v="34325127"/>
  </r>
  <r>
    <x v="17"/>
    <x v="1"/>
    <s v="Electric Generators, Electric Utilities"/>
    <x v="8"/>
    <n v="0"/>
  </r>
  <r>
    <x v="17"/>
    <x v="1"/>
    <s v="Electric Generators, Electric Utilities"/>
    <x v="4"/>
    <n v="73570"/>
  </r>
  <r>
    <x v="17"/>
    <x v="1"/>
    <s v="Combined Heat and Power, Industrial Power"/>
    <x v="0"/>
    <n v="4646377"/>
  </r>
  <r>
    <x v="17"/>
    <x v="1"/>
    <s v="Combined Heat and Power, Industrial Power"/>
    <x v="1"/>
    <n v="226214"/>
  </r>
  <r>
    <x v="17"/>
    <x v="1"/>
    <s v="Combined Heat and Power, Industrial Power"/>
    <x v="3"/>
    <n v="566653"/>
  </r>
  <r>
    <x v="17"/>
    <x v="1"/>
    <s v="Combined Heat and Power, Industrial Power"/>
    <x v="12"/>
    <n v="3583"/>
  </r>
  <r>
    <x v="17"/>
    <x v="1"/>
    <s v="Combined Heat and Power, Industrial Power"/>
    <x v="8"/>
    <n v="16738"/>
  </r>
  <r>
    <x v="17"/>
    <x v="1"/>
    <s v="Combined Heat and Power, Industrial Power"/>
    <x v="9"/>
    <n v="178368"/>
  </r>
  <r>
    <x v="17"/>
    <x v="1"/>
    <s v="Combined Heat and Power, Industrial Power"/>
    <x v="4"/>
    <n v="80166"/>
  </r>
  <r>
    <x v="17"/>
    <x v="1"/>
    <s v="Combined Heat and Power, Industrial Power"/>
    <x v="6"/>
    <n v="3574655"/>
  </r>
  <r>
    <x v="17"/>
    <x v="1"/>
    <s v="Combined Heat and Power, Electric Power"/>
    <x v="0"/>
    <n v="5705071"/>
  </r>
  <r>
    <x v="17"/>
    <x v="1"/>
    <s v="Combined Heat and Power, Electric Power"/>
    <x v="1"/>
    <n v="192099"/>
  </r>
  <r>
    <x v="17"/>
    <x v="1"/>
    <s v="Combined Heat and Power, Electric Power"/>
    <x v="3"/>
    <n v="5303745"/>
  </r>
  <r>
    <x v="17"/>
    <x v="1"/>
    <s v="Combined Heat and Power, Electric Power"/>
    <x v="6"/>
    <n v="209227"/>
  </r>
  <r>
    <x v="17"/>
    <x v="2"/>
    <s v="Total Electric Power Industry"/>
    <x v="0"/>
    <n v="54596236"/>
  </r>
  <r>
    <x v="17"/>
    <x v="2"/>
    <s v="Total Electric Power Industry"/>
    <x v="1"/>
    <n v="25744180"/>
  </r>
  <r>
    <x v="17"/>
    <x v="2"/>
    <s v="Total Electric Power Industry"/>
    <x v="2"/>
    <n v="3236753"/>
  </r>
  <r>
    <x v="17"/>
    <x v="2"/>
    <s v="Total Electric Power Industry"/>
    <x v="3"/>
    <n v="8364251"/>
  </r>
  <r>
    <x v="17"/>
    <x v="2"/>
    <s v="Total Electric Power Industry"/>
    <x v="7"/>
    <n v="15486102"/>
  </r>
  <r>
    <x v="17"/>
    <x v="2"/>
    <s v="Total Electric Power Industry"/>
    <x v="12"/>
    <n v="17449"/>
  </r>
  <r>
    <x v="17"/>
    <x v="2"/>
    <s v="Total Electric Power Industry"/>
    <x v="8"/>
    <n v="42941"/>
  </r>
  <r>
    <x v="17"/>
    <x v="2"/>
    <s v="Total Electric Power Industry"/>
    <x v="4"/>
    <n v="94153"/>
  </r>
  <r>
    <x v="17"/>
    <x v="2"/>
    <s v="Total Electric Power Industry"/>
    <x v="10"/>
    <n v="29604"/>
  </r>
  <r>
    <x v="17"/>
    <x v="2"/>
    <s v="Total Electric Power Industry"/>
    <x v="6"/>
    <n v="1580803"/>
  </r>
  <r>
    <x v="17"/>
    <x v="2"/>
    <s v="Electric Generators, Independent Power Producers"/>
    <x v="0"/>
    <n v="6311131"/>
  </r>
  <r>
    <x v="17"/>
    <x v="2"/>
    <s v="Electric Generators, Independent Power Producers"/>
    <x v="3"/>
    <n v="6277693"/>
  </r>
  <r>
    <x v="17"/>
    <x v="2"/>
    <s v="Electric Generators, Independent Power Producers"/>
    <x v="8"/>
    <n v="33438"/>
  </r>
  <r>
    <x v="17"/>
    <x v="2"/>
    <s v="Electric Generators, Electric Utilities"/>
    <x v="0"/>
    <n v="45522928"/>
  </r>
  <r>
    <x v="17"/>
    <x v="2"/>
    <s v="Electric Generators, Electric Utilities"/>
    <x v="1"/>
    <n v="25642175"/>
  </r>
  <r>
    <x v="17"/>
    <x v="2"/>
    <s v="Electric Generators, Electric Utilities"/>
    <x v="2"/>
    <n v="3236203"/>
  </r>
  <r>
    <x v="17"/>
    <x v="2"/>
    <s v="Electric Generators, Electric Utilities"/>
    <x v="3"/>
    <n v="1052632"/>
  </r>
  <r>
    <x v="17"/>
    <x v="2"/>
    <s v="Electric Generators, Electric Utilities"/>
    <x v="7"/>
    <n v="15486102"/>
  </r>
  <r>
    <x v="17"/>
    <x v="2"/>
    <s v="Electric Generators, Electric Utilities"/>
    <x v="4"/>
    <n v="76212"/>
  </r>
  <r>
    <x v="17"/>
    <x v="2"/>
    <s v="Electric Generators, Electric Utilities"/>
    <x v="10"/>
    <n v="29604"/>
  </r>
  <r>
    <x v="17"/>
    <x v="2"/>
    <s v="Combined Heat and Power, Industrial Power"/>
    <x v="0"/>
    <n v="1913082"/>
  </r>
  <r>
    <x v="17"/>
    <x v="2"/>
    <s v="Combined Heat and Power, Industrial Power"/>
    <x v="1"/>
    <n v="102005"/>
  </r>
  <r>
    <x v="17"/>
    <x v="2"/>
    <s v="Combined Heat and Power, Industrial Power"/>
    <x v="3"/>
    <n v="192434"/>
  </r>
  <r>
    <x v="17"/>
    <x v="2"/>
    <s v="Combined Heat and Power, Industrial Power"/>
    <x v="12"/>
    <n v="17449"/>
  </r>
  <r>
    <x v="17"/>
    <x v="2"/>
    <s v="Combined Heat and Power, Industrial Power"/>
    <x v="8"/>
    <n v="2451"/>
  </r>
  <r>
    <x v="17"/>
    <x v="2"/>
    <s v="Combined Heat and Power, Industrial Power"/>
    <x v="4"/>
    <n v="17941"/>
  </r>
  <r>
    <x v="17"/>
    <x v="2"/>
    <s v="Combined Heat and Power, Industrial Power"/>
    <x v="6"/>
    <n v="1580803"/>
  </r>
  <r>
    <x v="17"/>
    <x v="2"/>
    <s v="Combined Heat and Power, Electric Power"/>
    <x v="0"/>
    <n v="846958"/>
  </r>
  <r>
    <x v="17"/>
    <x v="2"/>
    <s v="Combined Heat and Power, Electric Power"/>
    <x v="2"/>
    <n v="550"/>
  </r>
  <r>
    <x v="17"/>
    <x v="2"/>
    <s v="Combined Heat and Power, Electric Power"/>
    <x v="3"/>
    <n v="841317"/>
  </r>
  <r>
    <x v="17"/>
    <x v="2"/>
    <s v="Combined Heat and Power, Electric Power"/>
    <x v="8"/>
    <n v="5091"/>
  </r>
  <r>
    <x v="17"/>
    <x v="2"/>
    <s v="Combined Heat and Power, Electric Power"/>
    <x v="4"/>
    <n v="0"/>
  </r>
  <r>
    <x v="17"/>
    <x v="2"/>
    <s v="Combined Heat and Power, Commercial Power"/>
    <x v="0"/>
    <n v="2136"/>
  </r>
  <r>
    <x v="17"/>
    <x v="2"/>
    <s v="Combined Heat and Power, Commercial Power"/>
    <x v="3"/>
    <n v="175"/>
  </r>
  <r>
    <x v="17"/>
    <x v="2"/>
    <s v="Combined Heat and Power, Commercial Power"/>
    <x v="8"/>
    <n v="1961"/>
  </r>
  <r>
    <x v="17"/>
    <x v="3"/>
    <s v="Total Electric Power Industry"/>
    <x v="0"/>
    <n v="113340970"/>
  </r>
  <r>
    <x v="17"/>
    <x v="3"/>
    <s v="Total Electric Power Industry"/>
    <x v="1"/>
    <n v="41275362"/>
  </r>
  <r>
    <x v="17"/>
    <x v="3"/>
    <s v="Total Electric Power Industry"/>
    <x v="2"/>
    <n v="6597671"/>
  </r>
  <r>
    <x v="17"/>
    <x v="3"/>
    <s v="Total Electric Power Industry"/>
    <x v="3"/>
    <n v="38469221"/>
  </r>
  <r>
    <x v="17"/>
    <x v="3"/>
    <s v="Total Electric Power Industry"/>
    <x v="7"/>
    <n v="26782391"/>
  </r>
  <r>
    <x v="17"/>
    <x v="3"/>
    <s v="Total Electric Power Industry"/>
    <x v="8"/>
    <n v="32990"/>
  </r>
  <r>
    <x v="17"/>
    <x v="3"/>
    <s v="Total Electric Power Industry"/>
    <x v="4"/>
    <n v="49276"/>
  </r>
  <r>
    <x v="17"/>
    <x v="3"/>
    <s v="Total Electric Power Industry"/>
    <x v="10"/>
    <n v="125411"/>
  </r>
  <r>
    <x v="17"/>
    <x v="3"/>
    <s v="Total Electric Power Industry"/>
    <x v="13"/>
    <n v="8649"/>
  </r>
  <r>
    <x v="17"/>
    <x v="3"/>
    <s v="Electric Generators, Independent Power Producers"/>
    <x v="0"/>
    <n v="22209365"/>
  </r>
  <r>
    <x v="17"/>
    <x v="3"/>
    <s v="Electric Generators, Independent Power Producers"/>
    <x v="3"/>
    <n v="22209365"/>
  </r>
  <r>
    <x v="17"/>
    <x v="3"/>
    <s v="Electric Generators, Electric Utilities"/>
    <x v="0"/>
    <n v="88825573"/>
  </r>
  <r>
    <x v="17"/>
    <x v="3"/>
    <s v="Electric Generators, Electric Utilities"/>
    <x v="1"/>
    <n v="40911234"/>
  </r>
  <r>
    <x v="17"/>
    <x v="3"/>
    <s v="Electric Generators, Electric Utilities"/>
    <x v="2"/>
    <n v="6597671"/>
  </r>
  <r>
    <x v="17"/>
    <x v="3"/>
    <s v="Electric Generators, Electric Utilities"/>
    <x v="3"/>
    <n v="14325573"/>
  </r>
  <r>
    <x v="17"/>
    <x v="3"/>
    <s v="Electric Generators, Electric Utilities"/>
    <x v="7"/>
    <n v="26782391"/>
  </r>
  <r>
    <x v="17"/>
    <x v="3"/>
    <s v="Electric Generators, Electric Utilities"/>
    <x v="8"/>
    <n v="28507"/>
  </r>
  <r>
    <x v="17"/>
    <x v="3"/>
    <s v="Electric Generators, Electric Utilities"/>
    <x v="4"/>
    <n v="46137"/>
  </r>
  <r>
    <x v="17"/>
    <x v="3"/>
    <s v="Electric Generators, Electric Utilities"/>
    <x v="10"/>
    <n v="125411"/>
  </r>
  <r>
    <x v="17"/>
    <x v="3"/>
    <s v="Electric Generators, Electric Utilities"/>
    <x v="13"/>
    <n v="8649"/>
  </r>
  <r>
    <x v="17"/>
    <x v="3"/>
    <s v="Combined Heat and Power, Industrial Power"/>
    <x v="0"/>
    <n v="382365"/>
  </r>
  <r>
    <x v="17"/>
    <x v="3"/>
    <s v="Combined Heat and Power, Industrial Power"/>
    <x v="1"/>
    <n v="364128"/>
  </r>
  <r>
    <x v="17"/>
    <x v="3"/>
    <s v="Combined Heat and Power, Industrial Power"/>
    <x v="3"/>
    <n v="15241"/>
  </r>
  <r>
    <x v="17"/>
    <x v="3"/>
    <s v="Combined Heat and Power, Industrial Power"/>
    <x v="4"/>
    <n v="2996"/>
  </r>
  <r>
    <x v="17"/>
    <x v="3"/>
    <s v="Combined Heat and Power, Electric Power"/>
    <x v="0"/>
    <n v="1853067"/>
  </r>
  <r>
    <x v="17"/>
    <x v="3"/>
    <s v="Combined Heat and Power, Electric Power"/>
    <x v="3"/>
    <n v="1853067"/>
  </r>
  <r>
    <x v="17"/>
    <x v="3"/>
    <s v="Combined Heat and Power, Commercial Power"/>
    <x v="0"/>
    <n v="70600"/>
  </r>
  <r>
    <x v="17"/>
    <x v="3"/>
    <s v="Combined Heat and Power, Commercial Power"/>
    <x v="3"/>
    <n v="65975"/>
  </r>
  <r>
    <x v="17"/>
    <x v="3"/>
    <s v="Combined Heat and Power, Commercial Power"/>
    <x v="8"/>
    <n v="4483"/>
  </r>
  <r>
    <x v="17"/>
    <x v="3"/>
    <s v="Combined Heat and Power, Commercial Power"/>
    <x v="4"/>
    <n v="143"/>
  </r>
  <r>
    <x v="17"/>
    <x v="4"/>
    <s v="Total Electric Power Industry"/>
    <x v="0"/>
    <n v="210847581"/>
  </r>
  <r>
    <x v="17"/>
    <x v="4"/>
    <s v="Total Electric Power Industry"/>
    <x v="1"/>
    <n v="2298306"/>
  </r>
  <r>
    <x v="17"/>
    <x v="4"/>
    <s v="Total Electric Power Industry"/>
    <x v="11"/>
    <n v="12990711"/>
  </r>
  <r>
    <x v="17"/>
    <x v="4"/>
    <s v="Total Electric Power Industry"/>
    <x v="2"/>
    <n v="27327751"/>
  </r>
  <r>
    <x v="17"/>
    <x v="4"/>
    <s v="Total Electric Power Industry"/>
    <x v="3"/>
    <n v="115700470"/>
  </r>
  <r>
    <x v="17"/>
    <x v="4"/>
    <s v="Total Electric Power Industry"/>
    <x v="7"/>
    <n v="35792490"/>
  </r>
  <r>
    <x v="17"/>
    <x v="4"/>
    <s v="Total Electric Power Industry"/>
    <x v="12"/>
    <n v="421447"/>
  </r>
  <r>
    <x v="17"/>
    <x v="4"/>
    <s v="Total Electric Power Industry"/>
    <x v="8"/>
    <n v="2305228"/>
  </r>
  <r>
    <x v="17"/>
    <x v="4"/>
    <s v="Total Electric Power Industry"/>
    <x v="9"/>
    <n v="1818106"/>
  </r>
  <r>
    <x v="17"/>
    <x v="4"/>
    <s v="Total Electric Power Industry"/>
    <x v="4"/>
    <n v="2333974"/>
  </r>
  <r>
    <x v="17"/>
    <x v="4"/>
    <s v="Total Electric Power Industry"/>
    <x v="10"/>
    <n v="309779"/>
  </r>
  <r>
    <x v="17"/>
    <x v="4"/>
    <s v="Total Electric Power Industry"/>
    <x v="13"/>
    <n v="556969"/>
  </r>
  <r>
    <x v="17"/>
    <x v="4"/>
    <s v="Total Electric Power Industry"/>
    <x v="5"/>
    <n v="5584933"/>
  </r>
  <r>
    <x v="17"/>
    <x v="4"/>
    <s v="Total Electric Power Industry"/>
    <x v="6"/>
    <n v="3407416"/>
  </r>
  <r>
    <x v="17"/>
    <x v="4"/>
    <s v="Electric Generators, Independent Power Producers"/>
    <x v="0"/>
    <n v="82490841"/>
  </r>
  <r>
    <x v="17"/>
    <x v="4"/>
    <s v="Electric Generators, Independent Power Producers"/>
    <x v="1"/>
    <n v="0"/>
  </r>
  <r>
    <x v="17"/>
    <x v="4"/>
    <s v="Electric Generators, Independent Power Producers"/>
    <x v="11"/>
    <n v="12015569"/>
  </r>
  <r>
    <x v="17"/>
    <x v="4"/>
    <s v="Electric Generators, Independent Power Producers"/>
    <x v="2"/>
    <n v="387702"/>
  </r>
  <r>
    <x v="17"/>
    <x v="4"/>
    <s v="Electric Generators, Independent Power Producers"/>
    <x v="3"/>
    <n v="59094303"/>
  </r>
  <r>
    <x v="17"/>
    <x v="4"/>
    <s v="Electric Generators, Independent Power Producers"/>
    <x v="12"/>
    <n v="86441"/>
  </r>
  <r>
    <x v="17"/>
    <x v="4"/>
    <s v="Electric Generators, Independent Power Producers"/>
    <x v="8"/>
    <n v="1453499"/>
  </r>
  <r>
    <x v="17"/>
    <x v="4"/>
    <s v="Electric Generators, Independent Power Producers"/>
    <x v="9"/>
    <n v="0"/>
  </r>
  <r>
    <x v="17"/>
    <x v="4"/>
    <s v="Electric Generators, Independent Power Producers"/>
    <x v="4"/>
    <n v="1108302"/>
  </r>
  <r>
    <x v="17"/>
    <x v="4"/>
    <s v="Electric Generators, Independent Power Producers"/>
    <x v="13"/>
    <n v="554920"/>
  </r>
  <r>
    <x v="17"/>
    <x v="4"/>
    <s v="Electric Generators, Independent Power Producers"/>
    <x v="5"/>
    <n v="5467736"/>
  </r>
  <r>
    <x v="17"/>
    <x v="4"/>
    <s v="Electric Generators, Independent Power Producers"/>
    <x v="6"/>
    <n v="2322370"/>
  </r>
  <r>
    <x v="17"/>
    <x v="4"/>
    <s v="Electric Generators, Electric Utilities"/>
    <x v="0"/>
    <n v="87348589"/>
  </r>
  <r>
    <x v="17"/>
    <x v="4"/>
    <s v="Electric Generators, Electric Utilities"/>
    <x v="11"/>
    <n v="975142"/>
  </r>
  <r>
    <x v="17"/>
    <x v="4"/>
    <s v="Electric Generators, Electric Utilities"/>
    <x v="2"/>
    <n v="26926661"/>
  </r>
  <r>
    <x v="17"/>
    <x v="4"/>
    <s v="Electric Generators, Electric Utilities"/>
    <x v="3"/>
    <n v="22896497"/>
  </r>
  <r>
    <x v="17"/>
    <x v="4"/>
    <s v="Electric Generators, Electric Utilities"/>
    <x v="7"/>
    <n v="35792490"/>
  </r>
  <r>
    <x v="17"/>
    <x v="4"/>
    <s v="Electric Generators, Electric Utilities"/>
    <x v="12"/>
    <n v="0"/>
  </r>
  <r>
    <x v="17"/>
    <x v="4"/>
    <s v="Electric Generators, Electric Utilities"/>
    <x v="8"/>
    <n v="263478"/>
  </r>
  <r>
    <x v="17"/>
    <x v="4"/>
    <s v="Electric Generators, Electric Utilities"/>
    <x v="4"/>
    <n v="65296"/>
  </r>
  <r>
    <x v="17"/>
    <x v="4"/>
    <s v="Electric Generators, Electric Utilities"/>
    <x v="10"/>
    <n v="309779"/>
  </r>
  <r>
    <x v="17"/>
    <x v="4"/>
    <s v="Electric Generators, Electric Utilities"/>
    <x v="13"/>
    <n v="2049"/>
  </r>
  <r>
    <x v="17"/>
    <x v="4"/>
    <s v="Electric Generators, Electric Utilities"/>
    <x v="5"/>
    <n v="117197"/>
  </r>
  <r>
    <x v="17"/>
    <x v="4"/>
    <s v="Combined Heat and Power, Industrial Power"/>
    <x v="0"/>
    <n v="16535739"/>
  </r>
  <r>
    <x v="17"/>
    <x v="4"/>
    <s v="Combined Heat and Power, Industrial Power"/>
    <x v="1"/>
    <n v="454201"/>
  </r>
  <r>
    <x v="17"/>
    <x v="4"/>
    <s v="Combined Heat and Power, Industrial Power"/>
    <x v="3"/>
    <n v="12621688"/>
  </r>
  <r>
    <x v="17"/>
    <x v="4"/>
    <s v="Combined Heat and Power, Industrial Power"/>
    <x v="12"/>
    <n v="213166"/>
  </r>
  <r>
    <x v="17"/>
    <x v="4"/>
    <s v="Combined Heat and Power, Industrial Power"/>
    <x v="9"/>
    <n v="1805984"/>
  </r>
  <r>
    <x v="17"/>
    <x v="4"/>
    <s v="Combined Heat and Power, Industrial Power"/>
    <x v="4"/>
    <n v="569809"/>
  </r>
  <r>
    <x v="17"/>
    <x v="4"/>
    <s v="Combined Heat and Power, Industrial Power"/>
    <x v="6"/>
    <n v="870891"/>
  </r>
  <r>
    <x v="17"/>
    <x v="4"/>
    <s v="Combined Heat and Power, Electric Power"/>
    <x v="0"/>
    <n v="22341666"/>
  </r>
  <r>
    <x v="17"/>
    <x v="4"/>
    <s v="Combined Heat and Power, Electric Power"/>
    <x v="1"/>
    <n v="1844104"/>
  </r>
  <r>
    <x v="17"/>
    <x v="4"/>
    <s v="Combined Heat and Power, Electric Power"/>
    <x v="3"/>
    <n v="19392596"/>
  </r>
  <r>
    <x v="17"/>
    <x v="4"/>
    <s v="Combined Heat and Power, Electric Power"/>
    <x v="12"/>
    <n v="120379"/>
  </r>
  <r>
    <x v="17"/>
    <x v="4"/>
    <s v="Combined Heat and Power, Electric Power"/>
    <x v="8"/>
    <n v="168061"/>
  </r>
  <r>
    <x v="17"/>
    <x v="4"/>
    <s v="Combined Heat and Power, Electric Power"/>
    <x v="9"/>
    <n v="12123"/>
  </r>
  <r>
    <x v="17"/>
    <x v="4"/>
    <s v="Combined Heat and Power, Electric Power"/>
    <x v="4"/>
    <n v="590248"/>
  </r>
  <r>
    <x v="17"/>
    <x v="4"/>
    <s v="Combined Heat and Power, Electric Power"/>
    <x v="6"/>
    <n v="214155"/>
  </r>
  <r>
    <x v="17"/>
    <x v="4"/>
    <s v="Combined Heat and Power, Commercial Power"/>
    <x v="0"/>
    <n v="2130746"/>
  </r>
  <r>
    <x v="17"/>
    <x v="4"/>
    <s v="Combined Heat and Power, Commercial Power"/>
    <x v="2"/>
    <n v="13388"/>
  </r>
  <r>
    <x v="17"/>
    <x v="4"/>
    <s v="Combined Heat and Power, Commercial Power"/>
    <x v="3"/>
    <n v="1695388"/>
  </r>
  <r>
    <x v="17"/>
    <x v="4"/>
    <s v="Combined Heat and Power, Commercial Power"/>
    <x v="12"/>
    <n v="1462"/>
  </r>
  <r>
    <x v="17"/>
    <x v="4"/>
    <s v="Combined Heat and Power, Commercial Power"/>
    <x v="8"/>
    <n v="420190"/>
  </r>
  <r>
    <x v="17"/>
    <x v="4"/>
    <s v="Combined Heat and Power, Commercial Power"/>
    <x v="9"/>
    <n v="0"/>
  </r>
  <r>
    <x v="17"/>
    <x v="4"/>
    <s v="Combined Heat and Power, Commercial Power"/>
    <x v="4"/>
    <n v="319"/>
  </r>
  <r>
    <x v="17"/>
    <x v="5"/>
    <s v="Total Electric Power Industry"/>
    <x v="0"/>
    <n v="53907492"/>
  </r>
  <r>
    <x v="17"/>
    <x v="5"/>
    <s v="Total Electric Power Industry"/>
    <x v="1"/>
    <n v="35935739"/>
  </r>
  <r>
    <x v="17"/>
    <x v="5"/>
    <s v="Total Electric Power Industry"/>
    <x v="2"/>
    <n v="1729533"/>
  </r>
  <r>
    <x v="17"/>
    <x v="5"/>
    <s v="Total Electric Power Industry"/>
    <x v="3"/>
    <n v="15013901"/>
  </r>
  <r>
    <x v="17"/>
    <x v="5"/>
    <s v="Total Electric Power Industry"/>
    <x v="12"/>
    <n v="41190"/>
  </r>
  <r>
    <x v="17"/>
    <x v="5"/>
    <s v="Total Electric Power Industry"/>
    <x v="8"/>
    <n v="31105"/>
  </r>
  <r>
    <x v="17"/>
    <x v="5"/>
    <s v="Total Electric Power Industry"/>
    <x v="9"/>
    <n v="1911"/>
  </r>
  <r>
    <x v="17"/>
    <x v="5"/>
    <s v="Total Electric Power Industry"/>
    <x v="4"/>
    <n v="28450"/>
  </r>
  <r>
    <x v="17"/>
    <x v="5"/>
    <s v="Total Electric Power Industry"/>
    <x v="10"/>
    <n v="-168061"/>
  </r>
  <r>
    <x v="17"/>
    <x v="5"/>
    <s v="Total Electric Power Industry"/>
    <x v="13"/>
    <n v="2208"/>
  </r>
  <r>
    <x v="17"/>
    <x v="5"/>
    <s v="Total Electric Power Industry"/>
    <x v="5"/>
    <n v="1291516"/>
  </r>
  <r>
    <x v="17"/>
    <x v="5"/>
    <s v="Total Electric Power Industry"/>
    <x v="6"/>
    <n v="0"/>
  </r>
  <r>
    <x v="17"/>
    <x v="5"/>
    <s v="Electric Generators, Independent Power Producers"/>
    <x v="0"/>
    <n v="9680147"/>
  </r>
  <r>
    <x v="17"/>
    <x v="5"/>
    <s v="Electric Generators, Independent Power Producers"/>
    <x v="2"/>
    <n v="103989"/>
  </r>
  <r>
    <x v="17"/>
    <x v="5"/>
    <s v="Electric Generators, Independent Power Producers"/>
    <x v="3"/>
    <n v="8328089"/>
  </r>
  <r>
    <x v="17"/>
    <x v="5"/>
    <s v="Electric Generators, Independent Power Producers"/>
    <x v="4"/>
    <n v="13176"/>
  </r>
  <r>
    <x v="17"/>
    <x v="5"/>
    <s v="Electric Generators, Independent Power Producers"/>
    <x v="13"/>
    <n v="2208"/>
  </r>
  <r>
    <x v="17"/>
    <x v="5"/>
    <s v="Electric Generators, Independent Power Producers"/>
    <x v="5"/>
    <n v="1232685"/>
  </r>
  <r>
    <x v="17"/>
    <x v="5"/>
    <s v="Electric Generators, Electric Utilities"/>
    <x v="0"/>
    <n v="42353281"/>
  </r>
  <r>
    <x v="17"/>
    <x v="5"/>
    <s v="Electric Generators, Electric Utilities"/>
    <x v="1"/>
    <n v="35722617"/>
  </r>
  <r>
    <x v="17"/>
    <x v="5"/>
    <s v="Electric Generators, Electric Utilities"/>
    <x v="2"/>
    <n v="1625544"/>
  </r>
  <r>
    <x v="17"/>
    <x v="5"/>
    <s v="Electric Generators, Electric Utilities"/>
    <x v="3"/>
    <n v="5097690"/>
  </r>
  <r>
    <x v="17"/>
    <x v="5"/>
    <s v="Electric Generators, Electric Utilities"/>
    <x v="9"/>
    <n v="1911"/>
  </r>
  <r>
    <x v="17"/>
    <x v="5"/>
    <s v="Electric Generators, Electric Utilities"/>
    <x v="4"/>
    <n v="14748"/>
  </r>
  <r>
    <x v="17"/>
    <x v="5"/>
    <s v="Electric Generators, Electric Utilities"/>
    <x v="10"/>
    <n v="-168061"/>
  </r>
  <r>
    <x v="17"/>
    <x v="5"/>
    <s v="Electric Generators, Electric Utilities"/>
    <x v="5"/>
    <n v="58831"/>
  </r>
  <r>
    <x v="17"/>
    <x v="5"/>
    <s v="Electric Generators, Electric Utilities"/>
    <x v="6"/>
    <n v="0"/>
  </r>
  <r>
    <x v="17"/>
    <x v="5"/>
    <s v="Combined Heat and Power, Industrial Power"/>
    <x v="0"/>
    <n v="64189"/>
  </r>
  <r>
    <x v="17"/>
    <x v="5"/>
    <s v="Combined Heat and Power, Industrial Power"/>
    <x v="3"/>
    <n v="22935"/>
  </r>
  <r>
    <x v="17"/>
    <x v="5"/>
    <s v="Combined Heat and Power, Industrial Power"/>
    <x v="12"/>
    <n v="41190"/>
  </r>
  <r>
    <x v="17"/>
    <x v="5"/>
    <s v="Combined Heat and Power, Industrial Power"/>
    <x v="4"/>
    <n v="64"/>
  </r>
  <r>
    <x v="17"/>
    <x v="5"/>
    <s v="Combined Heat and Power, Electric Power"/>
    <x v="0"/>
    <n v="1782107"/>
  </r>
  <r>
    <x v="17"/>
    <x v="5"/>
    <s v="Combined Heat and Power, Electric Power"/>
    <x v="1"/>
    <n v="213122"/>
  </r>
  <r>
    <x v="17"/>
    <x v="5"/>
    <s v="Combined Heat and Power, Electric Power"/>
    <x v="3"/>
    <n v="1537417"/>
  </r>
  <r>
    <x v="17"/>
    <x v="5"/>
    <s v="Combined Heat and Power, Electric Power"/>
    <x v="8"/>
    <n v="31105"/>
  </r>
  <r>
    <x v="17"/>
    <x v="5"/>
    <s v="Combined Heat and Power, Electric Power"/>
    <x v="9"/>
    <n v="0"/>
  </r>
  <r>
    <x v="17"/>
    <x v="5"/>
    <s v="Combined Heat and Power, Electric Power"/>
    <x v="4"/>
    <n v="462"/>
  </r>
  <r>
    <x v="17"/>
    <x v="5"/>
    <s v="Combined Heat and Power, Commercial Power"/>
    <x v="0"/>
    <n v="27769"/>
  </r>
  <r>
    <x v="17"/>
    <x v="5"/>
    <s v="Combined Heat and Power, Commercial Power"/>
    <x v="3"/>
    <n v="27769"/>
  </r>
  <r>
    <x v="17"/>
    <x v="5"/>
    <s v="Combined Heat and Power, Commercial Power"/>
    <x v="4"/>
    <n v="0"/>
  </r>
  <r>
    <x v="17"/>
    <x v="6"/>
    <s v="Total Electric Power Industry"/>
    <x v="0"/>
    <n v="33171209"/>
  </r>
  <r>
    <x v="17"/>
    <x v="6"/>
    <s v="Total Electric Power Industry"/>
    <x v="1"/>
    <n v="3738723"/>
  </r>
  <r>
    <x v="17"/>
    <x v="6"/>
    <s v="Total Electric Power Industry"/>
    <x v="2"/>
    <n v="363261"/>
  </r>
  <r>
    <x v="17"/>
    <x v="6"/>
    <s v="Total Electric Power Industry"/>
    <x v="3"/>
    <n v="9929559"/>
  </r>
  <r>
    <x v="17"/>
    <x v="6"/>
    <s v="Total Electric Power Industry"/>
    <x v="7"/>
    <n v="16386142"/>
  </r>
  <r>
    <x v="17"/>
    <x v="6"/>
    <s v="Total Electric Power Industry"/>
    <x v="12"/>
    <n v="725586"/>
  </r>
  <r>
    <x v="17"/>
    <x v="6"/>
    <s v="Total Electric Power Industry"/>
    <x v="8"/>
    <n v="728164"/>
  </r>
  <r>
    <x v="17"/>
    <x v="6"/>
    <s v="Total Electric Power Industry"/>
    <x v="9"/>
    <n v="2196"/>
  </r>
  <r>
    <x v="17"/>
    <x v="6"/>
    <s v="Total Electric Power Industry"/>
    <x v="4"/>
    <n v="1311259"/>
  </r>
  <r>
    <x v="17"/>
    <x v="6"/>
    <s v="Total Electric Power Industry"/>
    <x v="10"/>
    <n v="-15355"/>
  </r>
  <r>
    <x v="17"/>
    <x v="6"/>
    <s v="Total Electric Power Industry"/>
    <x v="6"/>
    <n v="1676"/>
  </r>
  <r>
    <x v="17"/>
    <x v="6"/>
    <s v="Electric Generators, Independent Power Producers"/>
    <x v="0"/>
    <n v="31087013"/>
  </r>
  <r>
    <x v="17"/>
    <x v="6"/>
    <s v="Electric Generators, Independent Power Producers"/>
    <x v="1"/>
    <n v="2319157"/>
  </r>
  <r>
    <x v="17"/>
    <x v="6"/>
    <s v="Electric Generators, Independent Power Producers"/>
    <x v="2"/>
    <n v="335287"/>
  </r>
  <r>
    <x v="17"/>
    <x v="6"/>
    <s v="Electric Generators, Independent Power Producers"/>
    <x v="3"/>
    <n v="9329164"/>
  </r>
  <r>
    <x v="17"/>
    <x v="6"/>
    <s v="Electric Generators, Independent Power Producers"/>
    <x v="7"/>
    <n v="16386142"/>
  </r>
  <r>
    <x v="17"/>
    <x v="6"/>
    <s v="Electric Generators, Independent Power Producers"/>
    <x v="12"/>
    <n v="712266"/>
  </r>
  <r>
    <x v="17"/>
    <x v="6"/>
    <s v="Electric Generators, Independent Power Producers"/>
    <x v="8"/>
    <n v="728164"/>
  </r>
  <r>
    <x v="17"/>
    <x v="6"/>
    <s v="Electric Generators, Independent Power Producers"/>
    <x v="9"/>
    <n v="2196"/>
  </r>
  <r>
    <x v="17"/>
    <x v="6"/>
    <s v="Electric Generators, Independent Power Producers"/>
    <x v="4"/>
    <n v="1288318"/>
  </r>
  <r>
    <x v="17"/>
    <x v="6"/>
    <s v="Electric Generators, Independent Power Producers"/>
    <x v="10"/>
    <n v="-15355"/>
  </r>
  <r>
    <x v="17"/>
    <x v="6"/>
    <s v="Electric Generators, Independent Power Producers"/>
    <x v="6"/>
    <n v="1676"/>
  </r>
  <r>
    <x v="17"/>
    <x v="6"/>
    <s v="Electric Generators, Electric Utilities"/>
    <x v="0"/>
    <n v="37217"/>
  </r>
  <r>
    <x v="17"/>
    <x v="6"/>
    <s v="Electric Generators, Electric Utilities"/>
    <x v="2"/>
    <n v="27974"/>
  </r>
  <r>
    <x v="17"/>
    <x v="6"/>
    <s v="Electric Generators, Electric Utilities"/>
    <x v="3"/>
    <n v="5919"/>
  </r>
  <r>
    <x v="17"/>
    <x v="6"/>
    <s v="Electric Generators, Electric Utilities"/>
    <x v="4"/>
    <n v="3325"/>
  </r>
  <r>
    <x v="17"/>
    <x v="6"/>
    <s v="Combined Heat and Power, Industrial Power"/>
    <x v="0"/>
    <n v="172176"/>
  </r>
  <r>
    <x v="17"/>
    <x v="6"/>
    <s v="Combined Heat and Power, Industrial Power"/>
    <x v="3"/>
    <n v="142161"/>
  </r>
  <r>
    <x v="17"/>
    <x v="6"/>
    <s v="Combined Heat and Power, Industrial Power"/>
    <x v="12"/>
    <n v="13320"/>
  </r>
  <r>
    <x v="17"/>
    <x v="6"/>
    <s v="Combined Heat and Power, Industrial Power"/>
    <x v="4"/>
    <n v="16695"/>
  </r>
  <r>
    <x v="17"/>
    <x v="6"/>
    <s v="Combined Heat and Power, Electric Power"/>
    <x v="0"/>
    <n v="1831289"/>
  </r>
  <r>
    <x v="17"/>
    <x v="6"/>
    <s v="Combined Heat and Power, Electric Power"/>
    <x v="1"/>
    <n v="1419566"/>
  </r>
  <r>
    <x v="17"/>
    <x v="6"/>
    <s v="Combined Heat and Power, Electric Power"/>
    <x v="3"/>
    <n v="408803"/>
  </r>
  <r>
    <x v="17"/>
    <x v="6"/>
    <s v="Combined Heat and Power, Electric Power"/>
    <x v="4"/>
    <n v="2920"/>
  </r>
  <r>
    <x v="17"/>
    <x v="6"/>
    <s v="Combined Heat and Power, Commercial Power"/>
    <x v="0"/>
    <n v="43514"/>
  </r>
  <r>
    <x v="17"/>
    <x v="6"/>
    <s v="Combined Heat and Power, Commercial Power"/>
    <x v="3"/>
    <n v="43513"/>
  </r>
  <r>
    <x v="17"/>
    <x v="6"/>
    <s v="Combined Heat and Power, Commercial Power"/>
    <x v="4"/>
    <n v="1"/>
  </r>
  <r>
    <x v="17"/>
    <x v="7"/>
    <s v="Total Electric Power Industry"/>
    <x v="0"/>
    <n v="75251"/>
  </r>
  <r>
    <x v="17"/>
    <x v="7"/>
    <s v="Total Electric Power Industry"/>
    <x v="4"/>
    <n v="75251"/>
  </r>
  <r>
    <x v="17"/>
    <x v="7"/>
    <s v="Electric Generators, Independent Power Producers"/>
    <x v="0"/>
    <n v="75251"/>
  </r>
  <r>
    <x v="17"/>
    <x v="7"/>
    <s v="Electric Generators, Independent Power Producers"/>
    <x v="4"/>
    <n v="75251"/>
  </r>
  <r>
    <x v="17"/>
    <x v="8"/>
    <s v="Total Electric Power Industry"/>
    <x v="0"/>
    <n v="8534163"/>
  </r>
  <r>
    <x v="17"/>
    <x v="8"/>
    <s v="Total Electric Power Industry"/>
    <x v="1"/>
    <n v="5621822"/>
  </r>
  <r>
    <x v="17"/>
    <x v="8"/>
    <s v="Total Electric Power Industry"/>
    <x v="3"/>
    <n v="1901984"/>
  </r>
  <r>
    <x v="17"/>
    <x v="8"/>
    <s v="Total Electric Power Industry"/>
    <x v="8"/>
    <n v="48116"/>
  </r>
  <r>
    <x v="17"/>
    <x v="8"/>
    <s v="Total Electric Power Industry"/>
    <x v="9"/>
    <n v="721105"/>
  </r>
  <r>
    <x v="17"/>
    <x v="8"/>
    <s v="Total Electric Power Industry"/>
    <x v="4"/>
    <n v="241136"/>
  </r>
  <r>
    <x v="17"/>
    <x v="8"/>
    <s v="Electric Generators, Independent Power Producers"/>
    <x v="0"/>
    <n v="7283078"/>
  </r>
  <r>
    <x v="17"/>
    <x v="8"/>
    <s v="Electric Generators, Independent Power Producers"/>
    <x v="1"/>
    <n v="5413466"/>
  </r>
  <r>
    <x v="17"/>
    <x v="8"/>
    <s v="Electric Generators, Independent Power Producers"/>
    <x v="3"/>
    <n v="1624420"/>
  </r>
  <r>
    <x v="17"/>
    <x v="8"/>
    <s v="Electric Generators, Independent Power Producers"/>
    <x v="8"/>
    <n v="48116"/>
  </r>
  <r>
    <x v="17"/>
    <x v="8"/>
    <s v="Electric Generators, Independent Power Producers"/>
    <x v="4"/>
    <n v="197076"/>
  </r>
  <r>
    <x v="17"/>
    <x v="8"/>
    <s v="Electric Generators, Electric Utilities"/>
    <x v="0"/>
    <n v="47830"/>
  </r>
  <r>
    <x v="17"/>
    <x v="8"/>
    <s v="Electric Generators, Electric Utilities"/>
    <x v="3"/>
    <n v="43698"/>
  </r>
  <r>
    <x v="17"/>
    <x v="8"/>
    <s v="Electric Generators, Electric Utilities"/>
    <x v="4"/>
    <n v="4132"/>
  </r>
  <r>
    <x v="17"/>
    <x v="8"/>
    <s v="Combined Heat and Power, Industrial Power"/>
    <x v="0"/>
    <n v="1071164"/>
  </r>
  <r>
    <x v="17"/>
    <x v="8"/>
    <s v="Combined Heat and Power, Industrial Power"/>
    <x v="1"/>
    <n v="95793"/>
  </r>
  <r>
    <x v="17"/>
    <x v="8"/>
    <s v="Combined Heat and Power, Industrial Power"/>
    <x v="3"/>
    <n v="215661"/>
  </r>
  <r>
    <x v="17"/>
    <x v="8"/>
    <s v="Combined Heat and Power, Industrial Power"/>
    <x v="9"/>
    <n v="721105"/>
  </r>
  <r>
    <x v="17"/>
    <x v="8"/>
    <s v="Combined Heat and Power, Industrial Power"/>
    <x v="4"/>
    <n v="38605"/>
  </r>
  <r>
    <x v="17"/>
    <x v="8"/>
    <s v="Combined Heat and Power, Electric Power"/>
    <x v="0"/>
    <n v="132091"/>
  </r>
  <r>
    <x v="17"/>
    <x v="8"/>
    <s v="Combined Heat and Power, Electric Power"/>
    <x v="1"/>
    <n v="112563"/>
  </r>
  <r>
    <x v="17"/>
    <x v="8"/>
    <s v="Combined Heat and Power, Electric Power"/>
    <x v="3"/>
    <n v="18204"/>
  </r>
  <r>
    <x v="17"/>
    <x v="8"/>
    <s v="Combined Heat and Power, Electric Power"/>
    <x v="4"/>
    <n v="1324"/>
  </r>
  <r>
    <x v="17"/>
    <x v="9"/>
    <s v="Total Electric Power Industry"/>
    <x v="0"/>
    <n v="225416060"/>
  </r>
  <r>
    <x v="17"/>
    <x v="9"/>
    <s v="Total Electric Power Industry"/>
    <x v="1"/>
    <n v="67908115"/>
  </r>
  <r>
    <x v="17"/>
    <x v="9"/>
    <s v="Total Electric Power Industry"/>
    <x v="2"/>
    <n v="154446"/>
  </r>
  <r>
    <x v="17"/>
    <x v="9"/>
    <s v="Total Electric Power Industry"/>
    <x v="3"/>
    <n v="100307183"/>
  </r>
  <r>
    <x v="17"/>
    <x v="9"/>
    <s v="Total Electric Power Industry"/>
    <x v="7"/>
    <n v="29289289"/>
  </r>
  <r>
    <x v="17"/>
    <x v="9"/>
    <s v="Total Electric Power Industry"/>
    <x v="12"/>
    <n v="3236180"/>
  </r>
  <r>
    <x v="17"/>
    <x v="9"/>
    <s v="Total Electric Power Industry"/>
    <x v="8"/>
    <n v="2373019"/>
  </r>
  <r>
    <x v="17"/>
    <x v="9"/>
    <s v="Total Electric Power Industry"/>
    <x v="9"/>
    <n v="15162"/>
  </r>
  <r>
    <x v="17"/>
    <x v="9"/>
    <s v="Total Electric Power Industry"/>
    <x v="4"/>
    <n v="20202867"/>
  </r>
  <r>
    <x v="17"/>
    <x v="9"/>
    <s v="Total Electric Power Industry"/>
    <x v="6"/>
    <n v="1929798"/>
  </r>
  <r>
    <x v="17"/>
    <x v="9"/>
    <s v="Electric Generators, Independent Power Producers"/>
    <x v="0"/>
    <n v="11499635"/>
  </r>
  <r>
    <x v="17"/>
    <x v="9"/>
    <s v="Electric Generators, Independent Power Producers"/>
    <x v="3"/>
    <n v="8172762"/>
  </r>
  <r>
    <x v="17"/>
    <x v="9"/>
    <s v="Electric Generators, Independent Power Producers"/>
    <x v="12"/>
    <n v="1261198"/>
  </r>
  <r>
    <x v="17"/>
    <x v="9"/>
    <s v="Electric Generators, Independent Power Producers"/>
    <x v="8"/>
    <n v="1695980"/>
  </r>
  <r>
    <x v="17"/>
    <x v="9"/>
    <s v="Electric Generators, Independent Power Producers"/>
    <x v="9"/>
    <n v="19"/>
  </r>
  <r>
    <x v="17"/>
    <x v="9"/>
    <s v="Electric Generators, Independent Power Producers"/>
    <x v="4"/>
    <n v="154074"/>
  </r>
  <r>
    <x v="17"/>
    <x v="9"/>
    <s v="Electric Generators, Independent Power Producers"/>
    <x v="6"/>
    <n v="215600"/>
  </r>
  <r>
    <x v="17"/>
    <x v="9"/>
    <s v="Electric Generators, Electric Utilities"/>
    <x v="0"/>
    <n v="200533885"/>
  </r>
  <r>
    <x v="17"/>
    <x v="9"/>
    <s v="Electric Generators, Electric Utilities"/>
    <x v="1"/>
    <n v="62633944"/>
  </r>
  <r>
    <x v="17"/>
    <x v="9"/>
    <s v="Electric Generators, Electric Utilities"/>
    <x v="2"/>
    <n v="154446"/>
  </r>
  <r>
    <x v="17"/>
    <x v="9"/>
    <s v="Electric Generators, Electric Utilities"/>
    <x v="3"/>
    <n v="88542291"/>
  </r>
  <r>
    <x v="17"/>
    <x v="9"/>
    <s v="Electric Generators, Electric Utilities"/>
    <x v="7"/>
    <n v="29289289"/>
  </r>
  <r>
    <x v="17"/>
    <x v="9"/>
    <s v="Electric Generators, Electric Utilities"/>
    <x v="12"/>
    <n v="0"/>
  </r>
  <r>
    <x v="17"/>
    <x v="9"/>
    <s v="Electric Generators, Electric Utilities"/>
    <x v="8"/>
    <n v="72890"/>
  </r>
  <r>
    <x v="17"/>
    <x v="9"/>
    <s v="Electric Generators, Electric Utilities"/>
    <x v="4"/>
    <n v="19841026"/>
  </r>
  <r>
    <x v="17"/>
    <x v="9"/>
    <s v="Electric Generators, Electric Utilities"/>
    <x v="6"/>
    <n v="0"/>
  </r>
  <r>
    <x v="17"/>
    <x v="9"/>
    <s v="Combined Heat and Power, Industrial Power"/>
    <x v="0"/>
    <n v="4880923"/>
  </r>
  <r>
    <x v="17"/>
    <x v="9"/>
    <s v="Combined Heat and Power, Industrial Power"/>
    <x v="1"/>
    <n v="268251"/>
  </r>
  <r>
    <x v="17"/>
    <x v="9"/>
    <s v="Combined Heat and Power, Industrial Power"/>
    <x v="3"/>
    <n v="665110"/>
  </r>
  <r>
    <x v="17"/>
    <x v="9"/>
    <s v="Combined Heat and Power, Industrial Power"/>
    <x v="12"/>
    <n v="1955954"/>
  </r>
  <r>
    <x v="17"/>
    <x v="9"/>
    <s v="Combined Heat and Power, Industrial Power"/>
    <x v="8"/>
    <n v="259630"/>
  </r>
  <r>
    <x v="17"/>
    <x v="9"/>
    <s v="Combined Heat and Power, Industrial Power"/>
    <x v="9"/>
    <n v="14934"/>
  </r>
  <r>
    <x v="17"/>
    <x v="9"/>
    <s v="Combined Heat and Power, Industrial Power"/>
    <x v="4"/>
    <n v="197154"/>
  </r>
  <r>
    <x v="17"/>
    <x v="9"/>
    <s v="Combined Heat and Power, Industrial Power"/>
    <x v="6"/>
    <n v="1519891"/>
  </r>
  <r>
    <x v="17"/>
    <x v="9"/>
    <s v="Combined Heat and Power, Electric Power"/>
    <x v="0"/>
    <n v="8419540"/>
  </r>
  <r>
    <x v="17"/>
    <x v="9"/>
    <s v="Combined Heat and Power, Electric Power"/>
    <x v="1"/>
    <n v="5005920"/>
  </r>
  <r>
    <x v="17"/>
    <x v="9"/>
    <s v="Combined Heat and Power, Electric Power"/>
    <x v="3"/>
    <n v="2884180"/>
  </r>
  <r>
    <x v="17"/>
    <x v="9"/>
    <s v="Combined Heat and Power, Electric Power"/>
    <x v="12"/>
    <n v="19027"/>
  </r>
  <r>
    <x v="17"/>
    <x v="9"/>
    <s v="Combined Heat and Power, Electric Power"/>
    <x v="8"/>
    <n v="305283"/>
  </r>
  <r>
    <x v="17"/>
    <x v="9"/>
    <s v="Combined Heat and Power, Electric Power"/>
    <x v="9"/>
    <n v="209"/>
  </r>
  <r>
    <x v="17"/>
    <x v="9"/>
    <s v="Combined Heat and Power, Electric Power"/>
    <x v="4"/>
    <n v="10613"/>
  </r>
  <r>
    <x v="17"/>
    <x v="9"/>
    <s v="Combined Heat and Power, Electric Power"/>
    <x v="6"/>
    <n v="194308"/>
  </r>
  <r>
    <x v="17"/>
    <x v="9"/>
    <s v="Combined Heat and Power, Commercial Power"/>
    <x v="0"/>
    <n v="82076"/>
  </r>
  <r>
    <x v="17"/>
    <x v="9"/>
    <s v="Combined Heat and Power, Commercial Power"/>
    <x v="3"/>
    <n v="42840"/>
  </r>
  <r>
    <x v="17"/>
    <x v="9"/>
    <s v="Combined Heat and Power, Commercial Power"/>
    <x v="8"/>
    <n v="39236"/>
  </r>
  <r>
    <x v="17"/>
    <x v="9"/>
    <s v="Combined Heat and Power, Commercial Power"/>
    <x v="4"/>
    <n v="0"/>
  </r>
  <r>
    <x v="17"/>
    <x v="10"/>
    <s v="Total Electric Power Industry"/>
    <x v="0"/>
    <n v="145155158"/>
  </r>
  <r>
    <x v="17"/>
    <x v="10"/>
    <s v="Total Electric Power Industry"/>
    <x v="1"/>
    <n v="90297529"/>
  </r>
  <r>
    <x v="17"/>
    <x v="10"/>
    <s v="Total Electric Power Industry"/>
    <x v="2"/>
    <n v="2236188"/>
  </r>
  <r>
    <x v="17"/>
    <x v="10"/>
    <s v="Total Electric Power Industry"/>
    <x v="3"/>
    <n v="16078944"/>
  </r>
  <r>
    <x v="17"/>
    <x v="10"/>
    <s v="Total Electric Power Industry"/>
    <x v="7"/>
    <n v="32544998"/>
  </r>
  <r>
    <x v="17"/>
    <x v="10"/>
    <s v="Total Electric Power Industry"/>
    <x v="12"/>
    <n v="115499"/>
  </r>
  <r>
    <x v="17"/>
    <x v="10"/>
    <s v="Total Electric Power Industry"/>
    <x v="8"/>
    <n v="53324"/>
  </r>
  <r>
    <x v="17"/>
    <x v="10"/>
    <s v="Total Electric Power Industry"/>
    <x v="4"/>
    <n v="788227"/>
  </r>
  <r>
    <x v="17"/>
    <x v="10"/>
    <s v="Total Electric Power Industry"/>
    <x v="10"/>
    <n v="-321649"/>
  </r>
  <r>
    <x v="17"/>
    <x v="10"/>
    <s v="Total Electric Power Industry"/>
    <x v="6"/>
    <n v="3362097"/>
  </r>
  <r>
    <x v="17"/>
    <x v="10"/>
    <s v="Electric Generators, Independent Power Producers"/>
    <x v="0"/>
    <n v="6842949"/>
  </r>
  <r>
    <x v="17"/>
    <x v="10"/>
    <s v="Electric Generators, Independent Power Producers"/>
    <x v="2"/>
    <n v="1237"/>
  </r>
  <r>
    <x v="17"/>
    <x v="10"/>
    <s v="Electric Generators, Independent Power Producers"/>
    <x v="3"/>
    <n v="6826855"/>
  </r>
  <r>
    <x v="17"/>
    <x v="10"/>
    <s v="Electric Generators, Independent Power Producers"/>
    <x v="8"/>
    <n v="12808"/>
  </r>
  <r>
    <x v="17"/>
    <x v="10"/>
    <s v="Electric Generators, Independent Power Producers"/>
    <x v="4"/>
    <n v="2049"/>
  </r>
  <r>
    <x v="17"/>
    <x v="10"/>
    <s v="Electric Generators, Electric Utilities"/>
    <x v="0"/>
    <n v="132831987"/>
  </r>
  <r>
    <x v="17"/>
    <x v="10"/>
    <s v="Electric Generators, Electric Utilities"/>
    <x v="1"/>
    <n v="89532913"/>
  </r>
  <r>
    <x v="17"/>
    <x v="10"/>
    <s v="Electric Generators, Electric Utilities"/>
    <x v="2"/>
    <n v="2215776"/>
  </r>
  <r>
    <x v="17"/>
    <x v="10"/>
    <s v="Electric Generators, Electric Utilities"/>
    <x v="3"/>
    <n v="8777568"/>
  </r>
  <r>
    <x v="17"/>
    <x v="10"/>
    <s v="Electric Generators, Electric Utilities"/>
    <x v="7"/>
    <n v="32544998"/>
  </r>
  <r>
    <x v="17"/>
    <x v="10"/>
    <s v="Electric Generators, Electric Utilities"/>
    <x v="4"/>
    <n v="82380"/>
  </r>
  <r>
    <x v="17"/>
    <x v="10"/>
    <s v="Electric Generators, Electric Utilities"/>
    <x v="10"/>
    <n v="-321649"/>
  </r>
  <r>
    <x v="17"/>
    <x v="10"/>
    <s v="Combined Heat and Power, Industrial Power"/>
    <x v="0"/>
    <n v="5201763"/>
  </r>
  <r>
    <x v="17"/>
    <x v="10"/>
    <s v="Combined Heat and Power, Industrial Power"/>
    <x v="1"/>
    <n v="764616"/>
  </r>
  <r>
    <x v="17"/>
    <x v="10"/>
    <s v="Combined Heat and Power, Industrial Power"/>
    <x v="2"/>
    <n v="19175"/>
  </r>
  <r>
    <x v="17"/>
    <x v="10"/>
    <s v="Combined Heat and Power, Industrial Power"/>
    <x v="3"/>
    <n v="200242"/>
  </r>
  <r>
    <x v="17"/>
    <x v="10"/>
    <s v="Combined Heat and Power, Industrial Power"/>
    <x v="12"/>
    <n v="115499"/>
  </r>
  <r>
    <x v="17"/>
    <x v="10"/>
    <s v="Combined Heat and Power, Industrial Power"/>
    <x v="8"/>
    <n v="40516"/>
  </r>
  <r>
    <x v="17"/>
    <x v="10"/>
    <s v="Combined Heat and Power, Industrial Power"/>
    <x v="4"/>
    <n v="699618"/>
  </r>
  <r>
    <x v="17"/>
    <x v="10"/>
    <s v="Combined Heat and Power, Industrial Power"/>
    <x v="6"/>
    <n v="3362097"/>
  </r>
  <r>
    <x v="17"/>
    <x v="10"/>
    <s v="Combined Heat and Power, Electric Power"/>
    <x v="0"/>
    <n v="274279"/>
  </r>
  <r>
    <x v="17"/>
    <x v="10"/>
    <s v="Combined Heat and Power, Electric Power"/>
    <x v="3"/>
    <n v="274279"/>
  </r>
  <r>
    <x v="17"/>
    <x v="10"/>
    <s v="Combined Heat and Power, Electric Power"/>
    <x v="4"/>
    <n v="0"/>
  </r>
  <r>
    <x v="17"/>
    <x v="10"/>
    <s v="Combined Heat and Power, Commercial Power"/>
    <x v="0"/>
    <n v="4180"/>
  </r>
  <r>
    <x v="17"/>
    <x v="10"/>
    <s v="Combined Heat and Power, Commercial Power"/>
    <x v="3"/>
    <n v="0"/>
  </r>
  <r>
    <x v="17"/>
    <x v="10"/>
    <s v="Combined Heat and Power, Commercial Power"/>
    <x v="4"/>
    <n v="4180"/>
  </r>
  <r>
    <x v="17"/>
    <x v="11"/>
    <s v="Total Electric Power Industry"/>
    <x v="0"/>
    <n v="11533350"/>
  </r>
  <r>
    <x v="17"/>
    <x v="11"/>
    <s v="Total Electric Power Industry"/>
    <x v="1"/>
    <n v="1578931"/>
  </r>
  <r>
    <x v="17"/>
    <x v="11"/>
    <s v="Total Electric Power Industry"/>
    <x v="11"/>
    <n v="229886"/>
  </r>
  <r>
    <x v="17"/>
    <x v="11"/>
    <s v="Total Electric Power Industry"/>
    <x v="2"/>
    <n v="92343"/>
  </r>
  <r>
    <x v="17"/>
    <x v="11"/>
    <s v="Total Electric Power Industry"/>
    <x v="12"/>
    <n v="149295"/>
  </r>
  <r>
    <x v="17"/>
    <x v="11"/>
    <s v="Total Electric Power Industry"/>
    <x v="8"/>
    <n v="285277"/>
  </r>
  <r>
    <x v="17"/>
    <x v="11"/>
    <s v="Total Electric Power Industry"/>
    <x v="9"/>
    <n v="45226"/>
  </r>
  <r>
    <x v="17"/>
    <x v="11"/>
    <s v="Total Electric Power Industry"/>
    <x v="4"/>
    <n v="8914207"/>
  </r>
  <r>
    <x v="17"/>
    <x v="11"/>
    <s v="Total Electric Power Industry"/>
    <x v="5"/>
    <n v="238184"/>
  </r>
  <r>
    <x v="17"/>
    <x v="11"/>
    <s v="Electric Generators, Independent Power Producers"/>
    <x v="0"/>
    <n v="507515"/>
  </r>
  <r>
    <x v="17"/>
    <x v="11"/>
    <s v="Electric Generators, Independent Power Producers"/>
    <x v="11"/>
    <n v="229886"/>
  </r>
  <r>
    <x v="17"/>
    <x v="11"/>
    <s v="Electric Generators, Independent Power Producers"/>
    <x v="2"/>
    <n v="39882"/>
  </r>
  <r>
    <x v="17"/>
    <x v="11"/>
    <s v="Electric Generators, Independent Power Producers"/>
    <x v="5"/>
    <n v="237747"/>
  </r>
  <r>
    <x v="17"/>
    <x v="11"/>
    <s v="Electric Generators, Electric Utilities"/>
    <x v="0"/>
    <n v="6928397"/>
  </r>
  <r>
    <x v="17"/>
    <x v="11"/>
    <s v="Electric Generators, Electric Utilities"/>
    <x v="2"/>
    <n v="14729"/>
  </r>
  <r>
    <x v="17"/>
    <x v="11"/>
    <s v="Electric Generators, Electric Utilities"/>
    <x v="4"/>
    <n v="6913231"/>
  </r>
  <r>
    <x v="17"/>
    <x v="11"/>
    <s v="Electric Generators, Electric Utilities"/>
    <x v="5"/>
    <n v="437"/>
  </r>
  <r>
    <x v="17"/>
    <x v="11"/>
    <s v="Combined Heat and Power, Industrial Power"/>
    <x v="0"/>
    <n v="268417"/>
  </r>
  <r>
    <x v="17"/>
    <x v="11"/>
    <s v="Combined Heat and Power, Industrial Power"/>
    <x v="2"/>
    <n v="37733"/>
  </r>
  <r>
    <x v="17"/>
    <x v="11"/>
    <s v="Combined Heat and Power, Industrial Power"/>
    <x v="8"/>
    <n v="6590"/>
  </r>
  <r>
    <x v="17"/>
    <x v="11"/>
    <s v="Combined Heat and Power, Industrial Power"/>
    <x v="9"/>
    <n v="45226"/>
  </r>
  <r>
    <x v="17"/>
    <x v="11"/>
    <s v="Combined Heat and Power, Industrial Power"/>
    <x v="4"/>
    <n v="178868"/>
  </r>
  <r>
    <x v="17"/>
    <x v="11"/>
    <s v="Combined Heat and Power, Electric Power"/>
    <x v="0"/>
    <n v="3524900"/>
  </r>
  <r>
    <x v="17"/>
    <x v="11"/>
    <s v="Combined Heat and Power, Electric Power"/>
    <x v="1"/>
    <n v="1578931"/>
  </r>
  <r>
    <x v="17"/>
    <x v="11"/>
    <s v="Combined Heat and Power, Electric Power"/>
    <x v="12"/>
    <n v="16156"/>
  </r>
  <r>
    <x v="17"/>
    <x v="11"/>
    <s v="Combined Heat and Power, Electric Power"/>
    <x v="8"/>
    <n v="109237"/>
  </r>
  <r>
    <x v="17"/>
    <x v="11"/>
    <s v="Combined Heat and Power, Electric Power"/>
    <x v="4"/>
    <n v="1820576"/>
  </r>
  <r>
    <x v="17"/>
    <x v="11"/>
    <s v="Combined Heat and Power, Commercial Power"/>
    <x v="0"/>
    <n v="304121"/>
  </r>
  <r>
    <x v="17"/>
    <x v="11"/>
    <s v="Combined Heat and Power, Commercial Power"/>
    <x v="12"/>
    <n v="133139"/>
  </r>
  <r>
    <x v="17"/>
    <x v="11"/>
    <s v="Combined Heat and Power, Commercial Power"/>
    <x v="8"/>
    <n v="169450"/>
  </r>
  <r>
    <x v="17"/>
    <x v="11"/>
    <s v="Combined Heat and Power, Commercial Power"/>
    <x v="4"/>
    <n v="1532"/>
  </r>
  <r>
    <x v="17"/>
    <x v="12"/>
    <s v="Total Electric Power Industry"/>
    <x v="0"/>
    <n v="49789217"/>
  </r>
  <r>
    <x v="17"/>
    <x v="12"/>
    <s v="Total Electric Power Industry"/>
    <x v="1"/>
    <n v="37985566"/>
  </r>
  <r>
    <x v="17"/>
    <x v="12"/>
    <s v="Total Electric Power Industry"/>
    <x v="2"/>
    <n v="962346"/>
  </r>
  <r>
    <x v="17"/>
    <x v="12"/>
    <s v="Total Electric Power Industry"/>
    <x v="3"/>
    <n v="3090879"/>
  </r>
  <r>
    <x v="17"/>
    <x v="12"/>
    <s v="Total Electric Power Industry"/>
    <x v="7"/>
    <n v="4518875"/>
  </r>
  <r>
    <x v="17"/>
    <x v="12"/>
    <s v="Total Electric Power Industry"/>
    <x v="12"/>
    <n v="11861"/>
  </r>
  <r>
    <x v="17"/>
    <x v="12"/>
    <s v="Total Electric Power Industry"/>
    <x v="8"/>
    <n v="151084"/>
  </r>
  <r>
    <x v="17"/>
    <x v="12"/>
    <s v="Total Electric Power Industry"/>
    <x v="4"/>
    <n v="311915"/>
  </r>
  <r>
    <x v="17"/>
    <x v="12"/>
    <s v="Total Electric Power Industry"/>
    <x v="5"/>
    <n v="2756676"/>
  </r>
  <r>
    <x v="17"/>
    <x v="12"/>
    <s v="Total Electric Power Industry"/>
    <x v="6"/>
    <n v="16"/>
  </r>
  <r>
    <x v="17"/>
    <x v="12"/>
    <s v="Electric Generators, Independent Power Producers"/>
    <x v="0"/>
    <n v="5847162"/>
  </r>
  <r>
    <x v="17"/>
    <x v="12"/>
    <s v="Electric Generators, Independent Power Producers"/>
    <x v="2"/>
    <n v="470"/>
  </r>
  <r>
    <x v="17"/>
    <x v="12"/>
    <s v="Electric Generators, Independent Power Producers"/>
    <x v="3"/>
    <n v="83"/>
  </r>
  <r>
    <x v="17"/>
    <x v="12"/>
    <s v="Electric Generators, Independent Power Producers"/>
    <x v="7"/>
    <n v="4518875"/>
  </r>
  <r>
    <x v="17"/>
    <x v="12"/>
    <s v="Electric Generators, Independent Power Producers"/>
    <x v="8"/>
    <n v="95594"/>
  </r>
  <r>
    <x v="17"/>
    <x v="12"/>
    <s v="Electric Generators, Independent Power Producers"/>
    <x v="4"/>
    <n v="5939"/>
  </r>
  <r>
    <x v="17"/>
    <x v="12"/>
    <s v="Electric Generators, Independent Power Producers"/>
    <x v="5"/>
    <n v="1226201"/>
  </r>
  <r>
    <x v="17"/>
    <x v="12"/>
    <s v="Electric Generators, Electric Utilities"/>
    <x v="0"/>
    <n v="42383472"/>
  </r>
  <r>
    <x v="17"/>
    <x v="12"/>
    <s v="Electric Generators, Electric Utilities"/>
    <x v="1"/>
    <n v="36470450"/>
  </r>
  <r>
    <x v="17"/>
    <x v="12"/>
    <s v="Electric Generators, Electric Utilities"/>
    <x v="2"/>
    <n v="961876"/>
  </r>
  <r>
    <x v="17"/>
    <x v="12"/>
    <s v="Electric Generators, Electric Utilities"/>
    <x v="3"/>
    <n v="3085253"/>
  </r>
  <r>
    <x v="17"/>
    <x v="12"/>
    <s v="Electric Generators, Electric Utilities"/>
    <x v="12"/>
    <n v="11861"/>
  </r>
  <r>
    <x v="17"/>
    <x v="12"/>
    <s v="Electric Generators, Electric Utilities"/>
    <x v="8"/>
    <n v="27121"/>
  </r>
  <r>
    <x v="17"/>
    <x v="12"/>
    <s v="Electric Generators, Electric Utilities"/>
    <x v="4"/>
    <n v="296436"/>
  </r>
  <r>
    <x v="17"/>
    <x v="12"/>
    <s v="Electric Generators, Electric Utilities"/>
    <x v="5"/>
    <n v="1530475"/>
  </r>
  <r>
    <x v="17"/>
    <x v="12"/>
    <s v="Combined Heat and Power, Industrial Power"/>
    <x v="0"/>
    <n v="1302850"/>
  </r>
  <r>
    <x v="17"/>
    <x v="12"/>
    <s v="Combined Heat and Power, Industrial Power"/>
    <x v="1"/>
    <n v="1302733"/>
  </r>
  <r>
    <x v="17"/>
    <x v="12"/>
    <s v="Combined Heat and Power, Industrial Power"/>
    <x v="3"/>
    <n v="0"/>
  </r>
  <r>
    <x v="17"/>
    <x v="12"/>
    <s v="Combined Heat and Power, Industrial Power"/>
    <x v="4"/>
    <n v="117"/>
  </r>
  <r>
    <x v="17"/>
    <x v="12"/>
    <s v="Combined Heat and Power, Commercial Power"/>
    <x v="0"/>
    <n v="255734"/>
  </r>
  <r>
    <x v="17"/>
    <x v="12"/>
    <s v="Combined Heat and Power, Commercial Power"/>
    <x v="1"/>
    <n v="212384"/>
  </r>
  <r>
    <x v="17"/>
    <x v="12"/>
    <s v="Combined Heat and Power, Commercial Power"/>
    <x v="3"/>
    <n v="5543"/>
  </r>
  <r>
    <x v="17"/>
    <x v="12"/>
    <s v="Combined Heat and Power, Commercial Power"/>
    <x v="8"/>
    <n v="28368"/>
  </r>
  <r>
    <x v="17"/>
    <x v="12"/>
    <s v="Combined Heat and Power, Commercial Power"/>
    <x v="4"/>
    <n v="9423"/>
  </r>
  <r>
    <x v="17"/>
    <x v="12"/>
    <s v="Combined Heat and Power, Commercial Power"/>
    <x v="6"/>
    <n v="16"/>
  </r>
  <r>
    <x v="17"/>
    <x v="13"/>
    <s v="Total Electric Power Industry"/>
    <x v="0"/>
    <n v="11484091"/>
  </r>
  <r>
    <x v="17"/>
    <x v="13"/>
    <s v="Total Electric Power Industry"/>
    <x v="1"/>
    <n v="83564"/>
  </r>
  <r>
    <x v="17"/>
    <x v="13"/>
    <s v="Total Electric Power Industry"/>
    <x v="2"/>
    <n v="9021690"/>
  </r>
  <r>
    <x v="17"/>
    <x v="13"/>
    <s v="Total Electric Power Industry"/>
    <x v="3"/>
    <n v="1657255"/>
  </r>
  <r>
    <x v="17"/>
    <x v="13"/>
    <s v="Total Electric Power Industry"/>
    <x v="12"/>
    <n v="68599"/>
  </r>
  <r>
    <x v="17"/>
    <x v="13"/>
    <s v="Total Electric Power Industry"/>
    <x v="4"/>
    <n v="134"/>
  </r>
  <r>
    <x v="17"/>
    <x v="13"/>
    <s v="Total Electric Power Industry"/>
    <x v="5"/>
    <n v="172267"/>
  </r>
  <r>
    <x v="17"/>
    <x v="13"/>
    <s v="Total Electric Power Industry"/>
    <x v="6"/>
    <n v="480582"/>
  </r>
  <r>
    <x v="17"/>
    <x v="13"/>
    <s v="Electric Generators, Independent Power Producers"/>
    <x v="0"/>
    <n v="2098489"/>
  </r>
  <r>
    <x v="17"/>
    <x v="13"/>
    <s v="Electric Generators, Independent Power Producers"/>
    <x v="2"/>
    <n v="650438"/>
  </r>
  <r>
    <x v="17"/>
    <x v="13"/>
    <s v="Electric Generators, Independent Power Producers"/>
    <x v="3"/>
    <n v="1275784"/>
  </r>
  <r>
    <x v="17"/>
    <x v="13"/>
    <s v="Electric Generators, Independent Power Producers"/>
    <x v="5"/>
    <n v="172267"/>
  </r>
  <r>
    <x v="17"/>
    <x v="13"/>
    <s v="Electric Generators, Electric Utilities"/>
    <x v="0"/>
    <n v="8611890"/>
  </r>
  <r>
    <x v="17"/>
    <x v="13"/>
    <s v="Electric Generators, Electric Utilities"/>
    <x v="2"/>
    <n v="8371252"/>
  </r>
  <r>
    <x v="17"/>
    <x v="13"/>
    <s v="Electric Generators, Electric Utilities"/>
    <x v="3"/>
    <n v="240504"/>
  </r>
  <r>
    <x v="17"/>
    <x v="13"/>
    <s v="Electric Generators, Electric Utilities"/>
    <x v="4"/>
    <n v="134"/>
  </r>
  <r>
    <x v="17"/>
    <x v="13"/>
    <s v="Combined Heat and Power, Industrial Power"/>
    <x v="0"/>
    <n v="596380"/>
  </r>
  <r>
    <x v="17"/>
    <x v="13"/>
    <s v="Combined Heat and Power, Industrial Power"/>
    <x v="1"/>
    <n v="83564"/>
  </r>
  <r>
    <x v="17"/>
    <x v="13"/>
    <s v="Combined Heat and Power, Industrial Power"/>
    <x v="3"/>
    <n v="38920"/>
  </r>
  <r>
    <x v="17"/>
    <x v="13"/>
    <s v="Combined Heat and Power, Industrial Power"/>
    <x v="12"/>
    <n v="68599"/>
  </r>
  <r>
    <x v="17"/>
    <x v="13"/>
    <s v="Combined Heat and Power, Industrial Power"/>
    <x v="4"/>
    <n v="0"/>
  </r>
  <r>
    <x v="17"/>
    <x v="13"/>
    <s v="Combined Heat and Power, Industrial Power"/>
    <x v="6"/>
    <n v="405297"/>
  </r>
  <r>
    <x v="17"/>
    <x v="13"/>
    <s v="Combined Heat and Power, Electric Power"/>
    <x v="0"/>
    <n v="177332"/>
  </r>
  <r>
    <x v="17"/>
    <x v="13"/>
    <s v="Combined Heat and Power, Electric Power"/>
    <x v="3"/>
    <n v="102047"/>
  </r>
  <r>
    <x v="17"/>
    <x v="13"/>
    <s v="Combined Heat and Power, Electric Power"/>
    <x v="6"/>
    <n v="75285"/>
  </r>
  <r>
    <x v="17"/>
    <x v="14"/>
    <s v="Total Electric Power Industry"/>
    <x v="0"/>
    <n v="200260681"/>
  </r>
  <r>
    <x v="17"/>
    <x v="14"/>
    <s v="Total Electric Power Industry"/>
    <x v="1"/>
    <n v="95264914"/>
  </r>
  <r>
    <x v="17"/>
    <x v="14"/>
    <s v="Total Electric Power Industry"/>
    <x v="2"/>
    <n v="153727"/>
  </r>
  <r>
    <x v="17"/>
    <x v="14"/>
    <s v="Total Electric Power Industry"/>
    <x v="3"/>
    <n v="7541527"/>
  </r>
  <r>
    <x v="17"/>
    <x v="14"/>
    <s v="Total Electric Power Industry"/>
    <x v="7"/>
    <n v="95728845"/>
  </r>
  <r>
    <x v="17"/>
    <x v="14"/>
    <s v="Total Electric Power Industry"/>
    <x v="12"/>
    <n v="20978"/>
  </r>
  <r>
    <x v="17"/>
    <x v="14"/>
    <s v="Total Electric Power Industry"/>
    <x v="8"/>
    <n v="620325"/>
  </r>
  <r>
    <x v="17"/>
    <x v="14"/>
    <s v="Total Electric Power Industry"/>
    <x v="9"/>
    <n v="134271"/>
  </r>
  <r>
    <x v="17"/>
    <x v="14"/>
    <s v="Total Electric Power Industry"/>
    <x v="4"/>
    <n v="131667"/>
  </r>
  <r>
    <x v="17"/>
    <x v="14"/>
    <s v="Total Electric Power Industry"/>
    <x v="5"/>
    <n v="664427"/>
  </r>
  <r>
    <x v="17"/>
    <x v="14"/>
    <s v="Electric Generators, Independent Power Producers"/>
    <x v="0"/>
    <n v="186235428"/>
  </r>
  <r>
    <x v="17"/>
    <x v="14"/>
    <s v="Electric Generators, Independent Power Producers"/>
    <x v="1"/>
    <n v="83586667"/>
  </r>
  <r>
    <x v="17"/>
    <x v="14"/>
    <s v="Electric Generators, Independent Power Producers"/>
    <x v="2"/>
    <n v="85777"/>
  </r>
  <r>
    <x v="17"/>
    <x v="14"/>
    <s v="Electric Generators, Independent Power Producers"/>
    <x v="3"/>
    <n v="5462984"/>
  </r>
  <r>
    <x v="17"/>
    <x v="14"/>
    <s v="Electric Generators, Independent Power Producers"/>
    <x v="7"/>
    <n v="95728845"/>
  </r>
  <r>
    <x v="17"/>
    <x v="14"/>
    <s v="Electric Generators, Independent Power Producers"/>
    <x v="12"/>
    <n v="1384"/>
  </r>
  <r>
    <x v="17"/>
    <x v="14"/>
    <s v="Electric Generators, Independent Power Producers"/>
    <x v="8"/>
    <n v="603225"/>
  </r>
  <r>
    <x v="17"/>
    <x v="14"/>
    <s v="Electric Generators, Independent Power Producers"/>
    <x v="4"/>
    <n v="105984"/>
  </r>
  <r>
    <x v="17"/>
    <x v="14"/>
    <s v="Electric Generators, Independent Power Producers"/>
    <x v="5"/>
    <n v="660563"/>
  </r>
  <r>
    <x v="17"/>
    <x v="14"/>
    <s v="Electric Generators, Electric Utilities"/>
    <x v="0"/>
    <n v="9977633"/>
  </r>
  <r>
    <x v="17"/>
    <x v="14"/>
    <s v="Electric Generators, Electric Utilities"/>
    <x v="1"/>
    <n v="9150501"/>
  </r>
  <r>
    <x v="17"/>
    <x v="14"/>
    <s v="Electric Generators, Electric Utilities"/>
    <x v="2"/>
    <n v="67950"/>
  </r>
  <r>
    <x v="17"/>
    <x v="14"/>
    <s v="Electric Generators, Electric Utilities"/>
    <x v="3"/>
    <n v="713867"/>
  </r>
  <r>
    <x v="17"/>
    <x v="14"/>
    <s v="Electric Generators, Electric Utilities"/>
    <x v="8"/>
    <n v="16323"/>
  </r>
  <r>
    <x v="17"/>
    <x v="14"/>
    <s v="Electric Generators, Electric Utilities"/>
    <x v="4"/>
    <n v="25128"/>
  </r>
  <r>
    <x v="17"/>
    <x v="14"/>
    <s v="Electric Generators, Electric Utilities"/>
    <x v="5"/>
    <n v="3864"/>
  </r>
  <r>
    <x v="17"/>
    <x v="14"/>
    <s v="Combined Heat and Power, Industrial Power"/>
    <x v="0"/>
    <n v="2893587"/>
  </r>
  <r>
    <x v="17"/>
    <x v="14"/>
    <s v="Combined Heat and Power, Industrial Power"/>
    <x v="1"/>
    <n v="2346449"/>
  </r>
  <r>
    <x v="17"/>
    <x v="14"/>
    <s v="Combined Heat and Power, Industrial Power"/>
    <x v="3"/>
    <n v="419958"/>
  </r>
  <r>
    <x v="17"/>
    <x v="14"/>
    <s v="Combined Heat and Power, Industrial Power"/>
    <x v="12"/>
    <n v="19594"/>
  </r>
  <r>
    <x v="17"/>
    <x v="14"/>
    <s v="Combined Heat and Power, Industrial Power"/>
    <x v="9"/>
    <n v="107579"/>
  </r>
  <r>
    <x v="17"/>
    <x v="14"/>
    <s v="Combined Heat and Power, Industrial Power"/>
    <x v="4"/>
    <n v="6"/>
  </r>
  <r>
    <x v="17"/>
    <x v="14"/>
    <s v="Combined Heat and Power, Electric Power"/>
    <x v="0"/>
    <n v="618522"/>
  </r>
  <r>
    <x v="17"/>
    <x v="14"/>
    <s v="Combined Heat and Power, Electric Power"/>
    <x v="1"/>
    <n v="78739"/>
  </r>
  <r>
    <x v="17"/>
    <x v="14"/>
    <s v="Combined Heat and Power, Electric Power"/>
    <x v="3"/>
    <n v="513066"/>
  </r>
  <r>
    <x v="17"/>
    <x v="14"/>
    <s v="Combined Heat and Power, Electric Power"/>
    <x v="8"/>
    <n v="25"/>
  </r>
  <r>
    <x v="17"/>
    <x v="14"/>
    <s v="Combined Heat and Power, Electric Power"/>
    <x v="9"/>
    <n v="26691"/>
  </r>
  <r>
    <x v="17"/>
    <x v="14"/>
    <s v="Combined Heat and Power, Commercial Power"/>
    <x v="0"/>
    <n v="535511"/>
  </r>
  <r>
    <x v="17"/>
    <x v="14"/>
    <s v="Combined Heat and Power, Commercial Power"/>
    <x v="1"/>
    <n v="102557"/>
  </r>
  <r>
    <x v="17"/>
    <x v="14"/>
    <s v="Combined Heat and Power, Commercial Power"/>
    <x v="3"/>
    <n v="431653"/>
  </r>
  <r>
    <x v="17"/>
    <x v="14"/>
    <s v="Combined Heat and Power, Commercial Power"/>
    <x v="8"/>
    <n v="752"/>
  </r>
  <r>
    <x v="17"/>
    <x v="14"/>
    <s v="Combined Heat and Power, Commercial Power"/>
    <x v="4"/>
    <n v="549"/>
  </r>
  <r>
    <x v="17"/>
    <x v="15"/>
    <s v="Total Electric Power Industry"/>
    <x v="0"/>
    <n v="130637999"/>
  </r>
  <r>
    <x v="17"/>
    <x v="15"/>
    <s v="Total Electric Power Industry"/>
    <x v="1"/>
    <n v="122802897"/>
  </r>
  <r>
    <x v="17"/>
    <x v="15"/>
    <s v="Total Electric Power Industry"/>
    <x v="2"/>
    <n v="449936"/>
  </r>
  <r>
    <x v="17"/>
    <x v="15"/>
    <s v="Total Electric Power Industry"/>
    <x v="3"/>
    <n v="4011824"/>
  </r>
  <r>
    <x v="17"/>
    <x v="15"/>
    <s v="Total Electric Power Industry"/>
    <x v="12"/>
    <n v="380711"/>
  </r>
  <r>
    <x v="17"/>
    <x v="15"/>
    <s v="Total Electric Power Industry"/>
    <x v="8"/>
    <n v="231247"/>
  </r>
  <r>
    <x v="17"/>
    <x v="15"/>
    <s v="Total Electric Power Industry"/>
    <x v="9"/>
    <n v="2591406"/>
  </r>
  <r>
    <x v="17"/>
    <x v="15"/>
    <s v="Total Electric Power Industry"/>
    <x v="4"/>
    <n v="169977"/>
  </r>
  <r>
    <x v="17"/>
    <x v="15"/>
    <s v="Electric Generators, Independent Power Producers"/>
    <x v="0"/>
    <n v="4518088"/>
  </r>
  <r>
    <x v="17"/>
    <x v="15"/>
    <s v="Electric Generators, Independent Power Producers"/>
    <x v="1"/>
    <n v="3102953"/>
  </r>
  <r>
    <x v="17"/>
    <x v="15"/>
    <s v="Electric Generators, Independent Power Producers"/>
    <x v="3"/>
    <n v="1415135"/>
  </r>
  <r>
    <x v="17"/>
    <x v="15"/>
    <s v="Electric Generators, Electric Utilities"/>
    <x v="0"/>
    <n v="116727908"/>
  </r>
  <r>
    <x v="17"/>
    <x v="15"/>
    <s v="Electric Generators, Electric Utilities"/>
    <x v="1"/>
    <n v="114974642"/>
  </r>
  <r>
    <x v="17"/>
    <x v="15"/>
    <s v="Electric Generators, Electric Utilities"/>
    <x v="2"/>
    <n v="449936"/>
  </r>
  <r>
    <x v="17"/>
    <x v="15"/>
    <s v="Electric Generators, Electric Utilities"/>
    <x v="3"/>
    <n v="958345"/>
  </r>
  <r>
    <x v="17"/>
    <x v="15"/>
    <s v="Electric Generators, Electric Utilities"/>
    <x v="8"/>
    <n v="189853"/>
  </r>
  <r>
    <x v="17"/>
    <x v="15"/>
    <s v="Electric Generators, Electric Utilities"/>
    <x v="4"/>
    <n v="155132"/>
  </r>
  <r>
    <x v="17"/>
    <x v="15"/>
    <s v="Combined Heat and Power, Industrial Power"/>
    <x v="0"/>
    <n v="3262881"/>
  </r>
  <r>
    <x v="17"/>
    <x v="15"/>
    <s v="Combined Heat and Power, Industrial Power"/>
    <x v="1"/>
    <n v="52195"/>
  </r>
  <r>
    <x v="17"/>
    <x v="15"/>
    <s v="Combined Heat and Power, Industrial Power"/>
    <x v="3"/>
    <n v="218190"/>
  </r>
  <r>
    <x v="17"/>
    <x v="15"/>
    <s v="Combined Heat and Power, Industrial Power"/>
    <x v="12"/>
    <n v="365601"/>
  </r>
  <r>
    <x v="17"/>
    <x v="15"/>
    <s v="Combined Heat and Power, Industrial Power"/>
    <x v="8"/>
    <n v="22162"/>
  </r>
  <r>
    <x v="17"/>
    <x v="15"/>
    <s v="Combined Heat and Power, Industrial Power"/>
    <x v="9"/>
    <n v="2591065"/>
  </r>
  <r>
    <x v="17"/>
    <x v="15"/>
    <s v="Combined Heat and Power, Industrial Power"/>
    <x v="4"/>
    <n v="13668"/>
  </r>
  <r>
    <x v="17"/>
    <x v="15"/>
    <s v="Combined Heat and Power, Electric Power"/>
    <x v="0"/>
    <n v="5915341"/>
  </r>
  <r>
    <x v="17"/>
    <x v="15"/>
    <s v="Combined Heat and Power, Electric Power"/>
    <x v="1"/>
    <n v="4511775"/>
  </r>
  <r>
    <x v="17"/>
    <x v="15"/>
    <s v="Combined Heat and Power, Electric Power"/>
    <x v="3"/>
    <n v="1403213"/>
  </r>
  <r>
    <x v="17"/>
    <x v="15"/>
    <s v="Combined Heat and Power, Electric Power"/>
    <x v="9"/>
    <n v="341"/>
  </r>
  <r>
    <x v="17"/>
    <x v="15"/>
    <s v="Combined Heat and Power, Electric Power"/>
    <x v="4"/>
    <n v="12"/>
  </r>
  <r>
    <x v="17"/>
    <x v="15"/>
    <s v="Combined Heat and Power, Commercial Power"/>
    <x v="0"/>
    <n v="213780"/>
  </r>
  <r>
    <x v="17"/>
    <x v="15"/>
    <s v="Combined Heat and Power, Commercial Power"/>
    <x v="1"/>
    <n v="161332"/>
  </r>
  <r>
    <x v="17"/>
    <x v="15"/>
    <s v="Combined Heat and Power, Commercial Power"/>
    <x v="3"/>
    <n v="16942"/>
  </r>
  <r>
    <x v="17"/>
    <x v="15"/>
    <s v="Combined Heat and Power, Commercial Power"/>
    <x v="12"/>
    <n v="15110"/>
  </r>
  <r>
    <x v="17"/>
    <x v="15"/>
    <s v="Combined Heat and Power, Commercial Power"/>
    <x v="8"/>
    <n v="19232"/>
  </r>
  <r>
    <x v="17"/>
    <x v="15"/>
    <s v="Combined Heat and Power, Commercial Power"/>
    <x v="4"/>
    <n v="1164"/>
  </r>
  <r>
    <x v="17"/>
    <x v="16"/>
    <s v="Total Electric Power Industry"/>
    <x v="0"/>
    <n v="50122196"/>
  </r>
  <r>
    <x v="17"/>
    <x v="16"/>
    <s v="Total Electric Power Industry"/>
    <x v="1"/>
    <n v="36250263"/>
  </r>
  <r>
    <x v="17"/>
    <x v="16"/>
    <s v="Total Electric Power Industry"/>
    <x v="2"/>
    <n v="10501"/>
  </r>
  <r>
    <x v="17"/>
    <x v="16"/>
    <s v="Total Electric Power Industry"/>
    <x v="3"/>
    <n v="2132609"/>
  </r>
  <r>
    <x v="17"/>
    <x v="16"/>
    <s v="Total Electric Power Industry"/>
    <x v="7"/>
    <n v="10369136"/>
  </r>
  <r>
    <x v="17"/>
    <x v="16"/>
    <s v="Total Electric Power Industry"/>
    <x v="4"/>
    <n v="207149"/>
  </r>
  <r>
    <x v="17"/>
    <x v="16"/>
    <s v="Total Electric Power Industry"/>
    <x v="5"/>
    <n v="1152538"/>
  </r>
  <r>
    <x v="17"/>
    <x v="16"/>
    <s v="Electric Generators, Independent Power Producers"/>
    <x v="0"/>
    <n v="857222"/>
  </r>
  <r>
    <x v="17"/>
    <x v="16"/>
    <s v="Electric Generators, Independent Power Producers"/>
    <x v="2"/>
    <n v="10501"/>
  </r>
  <r>
    <x v="17"/>
    <x v="16"/>
    <s v="Electric Generators, Independent Power Producers"/>
    <x v="5"/>
    <n v="846721"/>
  </r>
  <r>
    <x v="17"/>
    <x v="16"/>
    <s v="Electric Generators, Electric Utilities"/>
    <x v="0"/>
    <n v="49256450"/>
  </r>
  <r>
    <x v="17"/>
    <x v="16"/>
    <s v="Electric Generators, Electric Utilities"/>
    <x v="1"/>
    <n v="36250263"/>
  </r>
  <r>
    <x v="17"/>
    <x v="16"/>
    <s v="Electric Generators, Electric Utilities"/>
    <x v="3"/>
    <n v="2124086"/>
  </r>
  <r>
    <x v="17"/>
    <x v="16"/>
    <s v="Electric Generators, Electric Utilities"/>
    <x v="7"/>
    <n v="10369136"/>
  </r>
  <r>
    <x v="17"/>
    <x v="16"/>
    <s v="Electric Generators, Electric Utilities"/>
    <x v="4"/>
    <n v="207149"/>
  </r>
  <r>
    <x v="17"/>
    <x v="16"/>
    <s v="Electric Generators, Electric Utilities"/>
    <x v="5"/>
    <n v="305817"/>
  </r>
  <r>
    <x v="17"/>
    <x v="16"/>
    <s v="Combined Heat and Power, Industrial Power"/>
    <x v="0"/>
    <n v="8523"/>
  </r>
  <r>
    <x v="17"/>
    <x v="16"/>
    <s v="Combined Heat and Power, Industrial Power"/>
    <x v="3"/>
    <n v="8523"/>
  </r>
  <r>
    <x v="17"/>
    <x v="16"/>
    <s v="Combined Heat and Power, Commercial Power"/>
    <x v="0"/>
    <n v="0"/>
  </r>
  <r>
    <x v="17"/>
    <x v="16"/>
    <s v="Combined Heat and Power, Commercial Power"/>
    <x v="3"/>
    <n v="0"/>
  </r>
  <r>
    <x v="17"/>
    <x v="16"/>
    <s v="Combined Heat and Power, Commercial Power"/>
    <x v="4"/>
    <n v="0"/>
  </r>
  <r>
    <x v="17"/>
    <x v="17"/>
    <s v="Total Electric Power Industry"/>
    <x v="0"/>
    <n v="97225319"/>
  </r>
  <r>
    <x v="17"/>
    <x v="17"/>
    <s v="Total Electric Power Industry"/>
    <x v="1"/>
    <n v="90483059"/>
  </r>
  <r>
    <x v="17"/>
    <x v="17"/>
    <s v="Total Electric Power Industry"/>
    <x v="2"/>
    <n v="1668587"/>
  </r>
  <r>
    <x v="17"/>
    <x v="17"/>
    <s v="Total Electric Power Industry"/>
    <x v="3"/>
    <n v="1796337"/>
  </r>
  <r>
    <x v="17"/>
    <x v="17"/>
    <s v="Total Electric Power Industry"/>
    <x v="12"/>
    <n v="15669"/>
  </r>
  <r>
    <x v="17"/>
    <x v="17"/>
    <s v="Total Electric Power Industry"/>
    <x v="8"/>
    <n v="95413"/>
  </r>
  <r>
    <x v="17"/>
    <x v="17"/>
    <s v="Total Electric Power Industry"/>
    <x v="9"/>
    <n v="4745"/>
  </r>
  <r>
    <x v="17"/>
    <x v="17"/>
    <s v="Total Electric Power Industry"/>
    <x v="4"/>
    <n v="2791299"/>
  </r>
  <r>
    <x v="17"/>
    <x v="17"/>
    <s v="Total Electric Power Industry"/>
    <x v="6"/>
    <n v="370210"/>
  </r>
  <r>
    <x v="17"/>
    <x v="17"/>
    <s v="Electric Generators, Independent Power Producers"/>
    <x v="0"/>
    <n v="11397411"/>
  </r>
  <r>
    <x v="17"/>
    <x v="17"/>
    <s v="Electric Generators, Independent Power Producers"/>
    <x v="1"/>
    <n v="8605726"/>
  </r>
  <r>
    <x v="17"/>
    <x v="17"/>
    <s v="Electric Generators, Independent Power Producers"/>
    <x v="2"/>
    <n v="2350"/>
  </r>
  <r>
    <x v="17"/>
    <x v="17"/>
    <s v="Electric Generators, Independent Power Producers"/>
    <x v="3"/>
    <n v="94769"/>
  </r>
  <r>
    <x v="17"/>
    <x v="17"/>
    <s v="Electric Generators, Independent Power Producers"/>
    <x v="4"/>
    <n v="2694566"/>
  </r>
  <r>
    <x v="17"/>
    <x v="17"/>
    <s v="Electric Generators, Electric Utilities"/>
    <x v="0"/>
    <n v="85259079"/>
  </r>
  <r>
    <x v="17"/>
    <x v="17"/>
    <s v="Electric Generators, Electric Utilities"/>
    <x v="1"/>
    <n v="81877334"/>
  </r>
  <r>
    <x v="17"/>
    <x v="17"/>
    <s v="Electric Generators, Electric Utilities"/>
    <x v="2"/>
    <n v="1666237"/>
  </r>
  <r>
    <x v="17"/>
    <x v="17"/>
    <s v="Electric Generators, Electric Utilities"/>
    <x v="3"/>
    <n v="1504922"/>
  </r>
  <r>
    <x v="17"/>
    <x v="17"/>
    <s v="Electric Generators, Electric Utilities"/>
    <x v="12"/>
    <n v="15669"/>
  </r>
  <r>
    <x v="17"/>
    <x v="17"/>
    <s v="Electric Generators, Electric Utilities"/>
    <x v="8"/>
    <n v="93440"/>
  </r>
  <r>
    <x v="17"/>
    <x v="17"/>
    <s v="Electric Generators, Electric Utilities"/>
    <x v="9"/>
    <n v="4745"/>
  </r>
  <r>
    <x v="17"/>
    <x v="17"/>
    <s v="Electric Generators, Electric Utilities"/>
    <x v="4"/>
    <n v="96733"/>
  </r>
  <r>
    <x v="17"/>
    <x v="17"/>
    <s v="Combined Heat and Power, Industrial Power"/>
    <x v="0"/>
    <n v="568829"/>
  </r>
  <r>
    <x v="17"/>
    <x v="17"/>
    <s v="Combined Heat and Power, Industrial Power"/>
    <x v="3"/>
    <n v="196646"/>
  </r>
  <r>
    <x v="17"/>
    <x v="17"/>
    <s v="Combined Heat and Power, Industrial Power"/>
    <x v="8"/>
    <n v="1973"/>
  </r>
  <r>
    <x v="17"/>
    <x v="17"/>
    <s v="Combined Heat and Power, Industrial Power"/>
    <x v="6"/>
    <n v="370210"/>
  </r>
  <r>
    <x v="17"/>
    <x v="18"/>
    <s v="Total Electric Power Industry"/>
    <x v="0"/>
    <n v="92578329"/>
  </r>
  <r>
    <x v="17"/>
    <x v="18"/>
    <s v="Total Electric Power Industry"/>
    <x v="1"/>
    <n v="23051183"/>
  </r>
  <r>
    <x v="17"/>
    <x v="18"/>
    <s v="Total Electric Power Industry"/>
    <x v="2"/>
    <n v="826642"/>
  </r>
  <r>
    <x v="17"/>
    <x v="18"/>
    <s v="Total Electric Power Industry"/>
    <x v="3"/>
    <n v="43915015"/>
  </r>
  <r>
    <x v="17"/>
    <x v="18"/>
    <s v="Total Electric Power Industry"/>
    <x v="7"/>
    <n v="17077572"/>
  </r>
  <r>
    <x v="17"/>
    <x v="18"/>
    <s v="Total Electric Power Industry"/>
    <x v="12"/>
    <n v="666404"/>
  </r>
  <r>
    <x v="17"/>
    <x v="18"/>
    <s v="Total Electric Power Industry"/>
    <x v="8"/>
    <n v="81512"/>
  </r>
  <r>
    <x v="17"/>
    <x v="18"/>
    <s v="Total Electric Power Industry"/>
    <x v="9"/>
    <n v="1810997"/>
  </r>
  <r>
    <x v="17"/>
    <x v="18"/>
    <s v="Total Electric Power Industry"/>
    <x v="4"/>
    <n v="2250633"/>
  </r>
  <r>
    <x v="17"/>
    <x v="18"/>
    <s v="Total Electric Power Industry"/>
    <x v="6"/>
    <n v="2898371"/>
  </r>
  <r>
    <x v="17"/>
    <x v="18"/>
    <s v="Electric Generators, Independent Power Producers"/>
    <x v="0"/>
    <n v="17734541"/>
  </r>
  <r>
    <x v="17"/>
    <x v="18"/>
    <s v="Electric Generators, Independent Power Producers"/>
    <x v="1"/>
    <n v="12407139"/>
  </r>
  <r>
    <x v="17"/>
    <x v="18"/>
    <s v="Electric Generators, Independent Power Producers"/>
    <x v="2"/>
    <n v="826642"/>
  </r>
  <r>
    <x v="17"/>
    <x v="18"/>
    <s v="Electric Generators, Independent Power Producers"/>
    <x v="3"/>
    <n v="4409243"/>
  </r>
  <r>
    <x v="17"/>
    <x v="18"/>
    <s v="Electric Generators, Independent Power Producers"/>
    <x v="8"/>
    <n v="74988"/>
  </r>
  <r>
    <x v="17"/>
    <x v="18"/>
    <s v="Electric Generators, Independent Power Producers"/>
    <x v="4"/>
    <n v="16529"/>
  </r>
  <r>
    <x v="17"/>
    <x v="18"/>
    <s v="Electric Generators, Electric Utilities"/>
    <x v="0"/>
    <n v="43523037"/>
  </r>
  <r>
    <x v="17"/>
    <x v="18"/>
    <s v="Electric Generators, Electric Utilities"/>
    <x v="1"/>
    <n v="10596391"/>
  </r>
  <r>
    <x v="17"/>
    <x v="18"/>
    <s v="Electric Generators, Electric Utilities"/>
    <x v="3"/>
    <n v="13872177"/>
  </r>
  <r>
    <x v="17"/>
    <x v="18"/>
    <s v="Electric Generators, Electric Utilities"/>
    <x v="7"/>
    <n v="17077572"/>
  </r>
  <r>
    <x v="17"/>
    <x v="18"/>
    <s v="Electric Generators, Electric Utilities"/>
    <x v="4"/>
    <n v="1976897"/>
  </r>
  <r>
    <x v="17"/>
    <x v="18"/>
    <s v="Combined Heat and Power, Industrial Power"/>
    <x v="0"/>
    <n v="26861693"/>
  </r>
  <r>
    <x v="17"/>
    <x v="18"/>
    <s v="Combined Heat and Power, Industrial Power"/>
    <x v="1"/>
    <n v="47653"/>
  </r>
  <r>
    <x v="17"/>
    <x v="18"/>
    <s v="Combined Heat and Power, Industrial Power"/>
    <x v="3"/>
    <n v="21849321"/>
  </r>
  <r>
    <x v="17"/>
    <x v="18"/>
    <s v="Combined Heat and Power, Industrial Power"/>
    <x v="12"/>
    <n v="666404"/>
  </r>
  <r>
    <x v="17"/>
    <x v="18"/>
    <s v="Combined Heat and Power, Industrial Power"/>
    <x v="8"/>
    <n v="6524"/>
  </r>
  <r>
    <x v="17"/>
    <x v="18"/>
    <s v="Combined Heat and Power, Industrial Power"/>
    <x v="9"/>
    <n v="1136213"/>
  </r>
  <r>
    <x v="17"/>
    <x v="18"/>
    <s v="Combined Heat and Power, Industrial Power"/>
    <x v="4"/>
    <n v="257207"/>
  </r>
  <r>
    <x v="17"/>
    <x v="18"/>
    <s v="Combined Heat and Power, Industrial Power"/>
    <x v="6"/>
    <n v="2898371"/>
  </r>
  <r>
    <x v="17"/>
    <x v="18"/>
    <s v="Combined Heat and Power, Electric Power"/>
    <x v="0"/>
    <n v="4416107"/>
  </r>
  <r>
    <x v="17"/>
    <x v="18"/>
    <s v="Combined Heat and Power, Electric Power"/>
    <x v="3"/>
    <n v="3741323"/>
  </r>
  <r>
    <x v="17"/>
    <x v="18"/>
    <s v="Combined Heat and Power, Electric Power"/>
    <x v="9"/>
    <n v="674784"/>
  </r>
  <r>
    <x v="17"/>
    <x v="18"/>
    <s v="Combined Heat and Power, Commercial Power"/>
    <x v="0"/>
    <n v="42950"/>
  </r>
  <r>
    <x v="17"/>
    <x v="18"/>
    <s v="Combined Heat and Power, Commercial Power"/>
    <x v="3"/>
    <n v="42950"/>
  </r>
  <r>
    <x v="17"/>
    <x v="19"/>
    <s v="Total Electric Power Industry"/>
    <x v="0"/>
    <n v="47075975"/>
  </r>
  <r>
    <x v="17"/>
    <x v="19"/>
    <s v="Total Electric Power Industry"/>
    <x v="1"/>
    <n v="12024347"/>
  </r>
  <r>
    <x v="17"/>
    <x v="19"/>
    <s v="Total Electric Power Industry"/>
    <x v="2"/>
    <n v="797482"/>
  </r>
  <r>
    <x v="17"/>
    <x v="19"/>
    <s v="Total Electric Power Industry"/>
    <x v="3"/>
    <n v="24925043"/>
  </r>
  <r>
    <x v="17"/>
    <x v="19"/>
    <s v="Total Electric Power Industry"/>
    <x v="7"/>
    <n v="5119789"/>
  </r>
  <r>
    <x v="17"/>
    <x v="19"/>
    <s v="Total Electric Power Industry"/>
    <x v="12"/>
    <n v="748033"/>
  </r>
  <r>
    <x v="17"/>
    <x v="19"/>
    <s v="Total Electric Power Industry"/>
    <x v="8"/>
    <n v="1121067"/>
  </r>
  <r>
    <x v="17"/>
    <x v="19"/>
    <s v="Total Electric Power Industry"/>
    <x v="4"/>
    <n v="3051604"/>
  </r>
  <r>
    <x v="17"/>
    <x v="19"/>
    <s v="Total Electric Power Industry"/>
    <x v="10"/>
    <n v="-830547"/>
  </r>
  <r>
    <x v="17"/>
    <x v="19"/>
    <s v="Total Electric Power Industry"/>
    <x v="6"/>
    <n v="119157"/>
  </r>
  <r>
    <x v="17"/>
    <x v="19"/>
    <s v="Electric Generators, Independent Power Producers"/>
    <x v="0"/>
    <n v="43405931"/>
  </r>
  <r>
    <x v="17"/>
    <x v="19"/>
    <s v="Electric Generators, Independent Power Producers"/>
    <x v="1"/>
    <n v="11977870"/>
  </r>
  <r>
    <x v="17"/>
    <x v="19"/>
    <s v="Electric Generators, Independent Power Producers"/>
    <x v="2"/>
    <n v="593063"/>
  </r>
  <r>
    <x v="17"/>
    <x v="19"/>
    <s v="Electric Generators, Independent Power Producers"/>
    <x v="3"/>
    <n v="21690390"/>
  </r>
  <r>
    <x v="17"/>
    <x v="19"/>
    <s v="Electric Generators, Independent Power Producers"/>
    <x v="7"/>
    <n v="5119789"/>
  </r>
  <r>
    <x v="17"/>
    <x v="19"/>
    <s v="Electric Generators, Independent Power Producers"/>
    <x v="12"/>
    <n v="748033"/>
  </r>
  <r>
    <x v="17"/>
    <x v="19"/>
    <s v="Electric Generators, Independent Power Producers"/>
    <x v="8"/>
    <n v="1094431"/>
  </r>
  <r>
    <x v="17"/>
    <x v="19"/>
    <s v="Electric Generators, Independent Power Producers"/>
    <x v="4"/>
    <n v="2893745"/>
  </r>
  <r>
    <x v="17"/>
    <x v="19"/>
    <s v="Electric Generators, Independent Power Producers"/>
    <x v="10"/>
    <n v="-830547"/>
  </r>
  <r>
    <x v="17"/>
    <x v="19"/>
    <s v="Electric Generators, Independent Power Producers"/>
    <x v="6"/>
    <n v="119157"/>
  </r>
  <r>
    <x v="17"/>
    <x v="19"/>
    <s v="Electric Generators, Electric Utilities"/>
    <x v="0"/>
    <n v="493885"/>
  </r>
  <r>
    <x v="17"/>
    <x v="19"/>
    <s v="Electric Generators, Electric Utilities"/>
    <x v="2"/>
    <n v="185169"/>
  </r>
  <r>
    <x v="17"/>
    <x v="19"/>
    <s v="Electric Generators, Electric Utilities"/>
    <x v="3"/>
    <n v="250259"/>
  </r>
  <r>
    <x v="17"/>
    <x v="19"/>
    <s v="Electric Generators, Electric Utilities"/>
    <x v="4"/>
    <n v="58456"/>
  </r>
  <r>
    <x v="17"/>
    <x v="19"/>
    <s v="Combined Heat and Power, Industrial Power"/>
    <x v="0"/>
    <n v="273233"/>
  </r>
  <r>
    <x v="17"/>
    <x v="19"/>
    <s v="Combined Heat and Power, Industrial Power"/>
    <x v="1"/>
    <n v="46477"/>
  </r>
  <r>
    <x v="17"/>
    <x v="19"/>
    <s v="Combined Heat and Power, Industrial Power"/>
    <x v="2"/>
    <n v="13627"/>
  </r>
  <r>
    <x v="17"/>
    <x v="19"/>
    <s v="Combined Heat and Power, Industrial Power"/>
    <x v="3"/>
    <n v="141646"/>
  </r>
  <r>
    <x v="17"/>
    <x v="19"/>
    <s v="Combined Heat and Power, Industrial Power"/>
    <x v="12"/>
    <n v="0"/>
  </r>
  <r>
    <x v="17"/>
    <x v="19"/>
    <s v="Combined Heat and Power, Industrial Power"/>
    <x v="4"/>
    <n v="71484"/>
  </r>
  <r>
    <x v="17"/>
    <x v="19"/>
    <s v="Combined Heat and Power, Electric Power"/>
    <x v="0"/>
    <n v="2399988"/>
  </r>
  <r>
    <x v="17"/>
    <x v="19"/>
    <s v="Combined Heat and Power, Electric Power"/>
    <x v="3"/>
    <n v="2396992"/>
  </r>
  <r>
    <x v="17"/>
    <x v="19"/>
    <s v="Combined Heat and Power, Electric Power"/>
    <x v="4"/>
    <n v="2996"/>
  </r>
  <r>
    <x v="17"/>
    <x v="19"/>
    <s v="Combined Heat and Power, Commercial Power"/>
    <x v="0"/>
    <n v="502938"/>
  </r>
  <r>
    <x v="17"/>
    <x v="19"/>
    <s v="Combined Heat and Power, Commercial Power"/>
    <x v="1"/>
    <n v="0"/>
  </r>
  <r>
    <x v="17"/>
    <x v="19"/>
    <s v="Combined Heat and Power, Commercial Power"/>
    <x v="2"/>
    <n v="5623"/>
  </r>
  <r>
    <x v="17"/>
    <x v="19"/>
    <s v="Combined Heat and Power, Commercial Power"/>
    <x v="3"/>
    <n v="445755"/>
  </r>
  <r>
    <x v="17"/>
    <x v="19"/>
    <s v="Combined Heat and Power, Commercial Power"/>
    <x v="8"/>
    <n v="26636"/>
  </r>
  <r>
    <x v="17"/>
    <x v="19"/>
    <s v="Combined Heat and Power, Commercial Power"/>
    <x v="4"/>
    <n v="24923"/>
  </r>
  <r>
    <x v="17"/>
    <x v="20"/>
    <s v="Total Electric Power Industry"/>
    <x v="0"/>
    <n v="50197924"/>
  </r>
  <r>
    <x v="17"/>
    <x v="20"/>
    <s v="Total Electric Power Industry"/>
    <x v="1"/>
    <n v="29699186"/>
  </r>
  <r>
    <x v="17"/>
    <x v="20"/>
    <s v="Total Electric Power Industry"/>
    <x v="2"/>
    <n v="1652216"/>
  </r>
  <r>
    <x v="17"/>
    <x v="20"/>
    <s v="Total Electric Power Industry"/>
    <x v="3"/>
    <n v="2240927"/>
  </r>
  <r>
    <x v="17"/>
    <x v="20"/>
    <s v="Total Electric Power Industry"/>
    <x v="7"/>
    <n v="14353192"/>
  </r>
  <r>
    <x v="17"/>
    <x v="20"/>
    <s v="Total Electric Power Industry"/>
    <x v="12"/>
    <n v="286550"/>
  </r>
  <r>
    <x v="17"/>
    <x v="20"/>
    <s v="Total Electric Power Industry"/>
    <x v="8"/>
    <n v="400364"/>
  </r>
  <r>
    <x v="17"/>
    <x v="20"/>
    <s v="Total Electric Power Industry"/>
    <x v="9"/>
    <n v="377560"/>
  </r>
  <r>
    <x v="17"/>
    <x v="20"/>
    <s v="Total Electric Power Industry"/>
    <x v="4"/>
    <n v="984831"/>
  </r>
  <r>
    <x v="17"/>
    <x v="20"/>
    <s v="Total Electric Power Industry"/>
    <x v="6"/>
    <n v="203097"/>
  </r>
  <r>
    <x v="17"/>
    <x v="20"/>
    <s v="Electric Generators, Independent Power Producers"/>
    <x v="0"/>
    <n v="46274482"/>
  </r>
  <r>
    <x v="17"/>
    <x v="20"/>
    <s v="Electric Generators, Independent Power Producers"/>
    <x v="1"/>
    <n v="27862534"/>
  </r>
  <r>
    <x v="17"/>
    <x v="20"/>
    <s v="Electric Generators, Independent Power Producers"/>
    <x v="2"/>
    <n v="1652216"/>
  </r>
  <r>
    <x v="17"/>
    <x v="20"/>
    <s v="Electric Generators, Independent Power Producers"/>
    <x v="3"/>
    <n v="1145380"/>
  </r>
  <r>
    <x v="17"/>
    <x v="20"/>
    <s v="Electric Generators, Independent Power Producers"/>
    <x v="7"/>
    <n v="14353192"/>
  </r>
  <r>
    <x v="17"/>
    <x v="20"/>
    <s v="Electric Generators, Independent Power Producers"/>
    <x v="12"/>
    <n v="150381"/>
  </r>
  <r>
    <x v="17"/>
    <x v="20"/>
    <s v="Electric Generators, Independent Power Producers"/>
    <x v="8"/>
    <n v="210671"/>
  </r>
  <r>
    <x v="17"/>
    <x v="20"/>
    <s v="Electric Generators, Independent Power Producers"/>
    <x v="4"/>
    <n v="900109"/>
  </r>
  <r>
    <x v="17"/>
    <x v="20"/>
    <s v="Electric Generators, Electric Utilities"/>
    <x v="0"/>
    <n v="23712"/>
  </r>
  <r>
    <x v="17"/>
    <x v="20"/>
    <s v="Electric Generators, Electric Utilities"/>
    <x v="3"/>
    <n v="0"/>
  </r>
  <r>
    <x v="17"/>
    <x v="20"/>
    <s v="Electric Generators, Electric Utilities"/>
    <x v="4"/>
    <n v="23712"/>
  </r>
  <r>
    <x v="17"/>
    <x v="20"/>
    <s v="Combined Heat and Power, Industrial Power"/>
    <x v="0"/>
    <n v="597006"/>
  </r>
  <r>
    <x v="17"/>
    <x v="20"/>
    <s v="Combined Heat and Power, Industrial Power"/>
    <x v="1"/>
    <n v="270821"/>
  </r>
  <r>
    <x v="17"/>
    <x v="20"/>
    <s v="Combined Heat and Power, Industrial Power"/>
    <x v="3"/>
    <n v="113492"/>
  </r>
  <r>
    <x v="17"/>
    <x v="20"/>
    <s v="Combined Heat and Power, Industrial Power"/>
    <x v="4"/>
    <n v="20984"/>
  </r>
  <r>
    <x v="17"/>
    <x v="20"/>
    <s v="Combined Heat and Power, Industrial Power"/>
    <x v="6"/>
    <n v="191709"/>
  </r>
  <r>
    <x v="17"/>
    <x v="20"/>
    <s v="Combined Heat and Power, Electric Power"/>
    <x v="0"/>
    <n v="3274842"/>
  </r>
  <r>
    <x v="17"/>
    <x v="20"/>
    <s v="Combined Heat and Power, Electric Power"/>
    <x v="1"/>
    <n v="1565831"/>
  </r>
  <r>
    <x v="17"/>
    <x v="20"/>
    <s v="Combined Heat and Power, Electric Power"/>
    <x v="3"/>
    <n v="982050"/>
  </r>
  <r>
    <x v="17"/>
    <x v="20"/>
    <s v="Combined Heat and Power, Electric Power"/>
    <x v="12"/>
    <n v="136170"/>
  </r>
  <r>
    <x v="17"/>
    <x v="20"/>
    <s v="Combined Heat and Power, Electric Power"/>
    <x v="8"/>
    <n v="173303"/>
  </r>
  <r>
    <x v="17"/>
    <x v="20"/>
    <s v="Combined Heat and Power, Electric Power"/>
    <x v="9"/>
    <n v="377560"/>
  </r>
  <r>
    <x v="17"/>
    <x v="20"/>
    <s v="Combined Heat and Power, Electric Power"/>
    <x v="4"/>
    <n v="39928"/>
  </r>
  <r>
    <x v="17"/>
    <x v="20"/>
    <s v="Combined Heat and Power, Commercial Power"/>
    <x v="0"/>
    <n v="27881"/>
  </r>
  <r>
    <x v="17"/>
    <x v="20"/>
    <s v="Combined Heat and Power, Commercial Power"/>
    <x v="1"/>
    <n v="0"/>
  </r>
  <r>
    <x v="17"/>
    <x v="20"/>
    <s v="Combined Heat and Power, Commercial Power"/>
    <x v="3"/>
    <n v="5"/>
  </r>
  <r>
    <x v="17"/>
    <x v="20"/>
    <s v="Combined Heat and Power, Commercial Power"/>
    <x v="12"/>
    <n v="0"/>
  </r>
  <r>
    <x v="17"/>
    <x v="20"/>
    <s v="Combined Heat and Power, Commercial Power"/>
    <x v="8"/>
    <n v="16390"/>
  </r>
  <r>
    <x v="17"/>
    <x v="20"/>
    <s v="Combined Heat and Power, Commercial Power"/>
    <x v="4"/>
    <n v="98"/>
  </r>
  <r>
    <x v="17"/>
    <x v="20"/>
    <s v="Combined Heat and Power, Commercial Power"/>
    <x v="6"/>
    <n v="11388"/>
  </r>
  <r>
    <x v="17"/>
    <x v="21"/>
    <s v="Total Electric Power Industry"/>
    <x v="0"/>
    <n v="16128567"/>
  </r>
  <r>
    <x v="17"/>
    <x v="21"/>
    <s v="Total Electric Power Industry"/>
    <x v="1"/>
    <n v="375577"/>
  </r>
  <r>
    <x v="17"/>
    <x v="21"/>
    <s v="Total Electric Power Industry"/>
    <x v="2"/>
    <n v="3738168"/>
  </r>
  <r>
    <x v="17"/>
    <x v="21"/>
    <s v="Total Electric Power Industry"/>
    <x v="3"/>
    <n v="6674594"/>
  </r>
  <r>
    <x v="17"/>
    <x v="21"/>
    <s v="Total Electric Power Industry"/>
    <x v="12"/>
    <n v="314872"/>
  </r>
  <r>
    <x v="17"/>
    <x v="21"/>
    <s v="Total Electric Power Industry"/>
    <x v="8"/>
    <n v="260343"/>
  </r>
  <r>
    <x v="17"/>
    <x v="21"/>
    <s v="Total Electric Power Industry"/>
    <x v="4"/>
    <n v="818377"/>
  </r>
  <r>
    <x v="17"/>
    <x v="21"/>
    <s v="Total Electric Power Industry"/>
    <x v="5"/>
    <n v="99071"/>
  </r>
  <r>
    <x v="17"/>
    <x v="21"/>
    <s v="Total Electric Power Industry"/>
    <x v="6"/>
    <n v="3847566"/>
  </r>
  <r>
    <x v="17"/>
    <x v="21"/>
    <s v="Electric Generators, Independent Power Producers"/>
    <x v="0"/>
    <n v="10153675"/>
  </r>
  <r>
    <x v="17"/>
    <x v="21"/>
    <s v="Electric Generators, Independent Power Producers"/>
    <x v="2"/>
    <n v="3043827"/>
  </r>
  <r>
    <x v="17"/>
    <x v="21"/>
    <s v="Electric Generators, Independent Power Producers"/>
    <x v="3"/>
    <n v="4957347"/>
  </r>
  <r>
    <x v="17"/>
    <x v="21"/>
    <s v="Electric Generators, Independent Power Producers"/>
    <x v="12"/>
    <n v="89229"/>
  </r>
  <r>
    <x v="17"/>
    <x v="21"/>
    <s v="Electric Generators, Independent Power Producers"/>
    <x v="8"/>
    <n v="113562"/>
  </r>
  <r>
    <x v="17"/>
    <x v="21"/>
    <s v="Electric Generators, Independent Power Producers"/>
    <x v="4"/>
    <n v="384767"/>
  </r>
  <r>
    <x v="17"/>
    <x v="21"/>
    <s v="Electric Generators, Independent Power Producers"/>
    <x v="5"/>
    <n v="99071"/>
  </r>
  <r>
    <x v="17"/>
    <x v="21"/>
    <s v="Electric Generators, Independent Power Producers"/>
    <x v="6"/>
    <n v="1465872"/>
  </r>
  <r>
    <x v="17"/>
    <x v="21"/>
    <s v="Electric Generators, Electric Utilities"/>
    <x v="0"/>
    <n v="1317"/>
  </r>
  <r>
    <x v="17"/>
    <x v="21"/>
    <s v="Electric Generators, Electric Utilities"/>
    <x v="4"/>
    <n v="1317"/>
  </r>
  <r>
    <x v="17"/>
    <x v="21"/>
    <s v="Combined Heat and Power, Industrial Power"/>
    <x v="0"/>
    <n v="5098599"/>
  </r>
  <r>
    <x v="17"/>
    <x v="21"/>
    <s v="Combined Heat and Power, Industrial Power"/>
    <x v="1"/>
    <n v="228824"/>
  </r>
  <r>
    <x v="17"/>
    <x v="21"/>
    <s v="Combined Heat and Power, Industrial Power"/>
    <x v="2"/>
    <n v="694340"/>
  </r>
  <r>
    <x v="17"/>
    <x v="21"/>
    <s v="Combined Heat and Power, Industrial Power"/>
    <x v="3"/>
    <n v="1716803"/>
  </r>
  <r>
    <x v="17"/>
    <x v="21"/>
    <s v="Combined Heat and Power, Industrial Power"/>
    <x v="12"/>
    <n v="54774"/>
  </r>
  <r>
    <x v="17"/>
    <x v="21"/>
    <s v="Combined Heat and Power, Industrial Power"/>
    <x v="8"/>
    <n v="39236"/>
  </r>
  <r>
    <x v="17"/>
    <x v="21"/>
    <s v="Combined Heat and Power, Industrial Power"/>
    <x v="4"/>
    <n v="429250"/>
  </r>
  <r>
    <x v="17"/>
    <x v="21"/>
    <s v="Combined Heat and Power, Industrial Power"/>
    <x v="6"/>
    <n v="1935372"/>
  </r>
  <r>
    <x v="17"/>
    <x v="21"/>
    <s v="Combined Heat and Power, Electric Power"/>
    <x v="0"/>
    <n v="701780"/>
  </r>
  <r>
    <x v="17"/>
    <x v="21"/>
    <s v="Combined Heat and Power, Electric Power"/>
    <x v="1"/>
    <n v="146753"/>
  </r>
  <r>
    <x v="17"/>
    <x v="21"/>
    <s v="Combined Heat and Power, Electric Power"/>
    <x v="12"/>
    <n v="96605"/>
  </r>
  <r>
    <x v="17"/>
    <x v="21"/>
    <s v="Combined Heat and Power, Electric Power"/>
    <x v="8"/>
    <n v="13026"/>
  </r>
  <r>
    <x v="17"/>
    <x v="21"/>
    <s v="Combined Heat and Power, Electric Power"/>
    <x v="4"/>
    <n v="627"/>
  </r>
  <r>
    <x v="17"/>
    <x v="21"/>
    <s v="Combined Heat and Power, Electric Power"/>
    <x v="6"/>
    <n v="444769"/>
  </r>
  <r>
    <x v="17"/>
    <x v="21"/>
    <s v="Combined Heat and Power, Commercial Power"/>
    <x v="0"/>
    <n v="173197"/>
  </r>
  <r>
    <x v="17"/>
    <x v="21"/>
    <s v="Combined Heat and Power, Commercial Power"/>
    <x v="3"/>
    <n v="444"/>
  </r>
  <r>
    <x v="17"/>
    <x v="21"/>
    <s v="Combined Heat and Power, Commercial Power"/>
    <x v="12"/>
    <n v="74265"/>
  </r>
  <r>
    <x v="17"/>
    <x v="21"/>
    <s v="Combined Heat and Power, Commercial Power"/>
    <x v="8"/>
    <n v="94519"/>
  </r>
  <r>
    <x v="17"/>
    <x v="21"/>
    <s v="Combined Heat and Power, Commercial Power"/>
    <x v="4"/>
    <n v="2417"/>
  </r>
  <r>
    <x v="17"/>
    <x v="21"/>
    <s v="Combined Heat and Power, Commercial Power"/>
    <x v="6"/>
    <n v="1553"/>
  </r>
  <r>
    <x v="17"/>
    <x v="22"/>
    <s v="Total Electric Power Industry"/>
    <x v="0"/>
    <n v="119309936"/>
  </r>
  <r>
    <x v="17"/>
    <x v="22"/>
    <s v="Total Electric Power Industry"/>
    <x v="1"/>
    <n v="70810599"/>
  </r>
  <r>
    <x v="17"/>
    <x v="22"/>
    <s v="Total Electric Power Industry"/>
    <x v="2"/>
    <n v="1269989"/>
  </r>
  <r>
    <x v="17"/>
    <x v="22"/>
    <s v="Total Electric Power Industry"/>
    <x v="3"/>
    <n v="13140984"/>
  </r>
  <r>
    <x v="17"/>
    <x v="22"/>
    <s v="Total Electric Power Industry"/>
    <x v="7"/>
    <n v="31516953"/>
  </r>
  <r>
    <x v="17"/>
    <x v="22"/>
    <s v="Total Electric Power Industry"/>
    <x v="12"/>
    <n v="302966"/>
  </r>
  <r>
    <x v="17"/>
    <x v="22"/>
    <s v="Total Electric Power Industry"/>
    <x v="8"/>
    <n v="721822"/>
  </r>
  <r>
    <x v="17"/>
    <x v="22"/>
    <s v="Total Electric Power Industry"/>
    <x v="9"/>
    <n v="282414"/>
  </r>
  <r>
    <x v="17"/>
    <x v="22"/>
    <s v="Total Electric Power Industry"/>
    <x v="4"/>
    <n v="698525"/>
  </r>
  <r>
    <x v="17"/>
    <x v="22"/>
    <s v="Total Electric Power Industry"/>
    <x v="10"/>
    <n v="-1129241"/>
  </r>
  <r>
    <x v="17"/>
    <x v="22"/>
    <s v="Total Electric Power Industry"/>
    <x v="5"/>
    <n v="2723"/>
  </r>
  <r>
    <x v="17"/>
    <x v="22"/>
    <s v="Total Electric Power Industry"/>
    <x v="6"/>
    <n v="1692202"/>
  </r>
  <r>
    <x v="17"/>
    <x v="22"/>
    <s v="Electric Generators, Independent Power Producers"/>
    <x v="0"/>
    <n v="11027611"/>
  </r>
  <r>
    <x v="17"/>
    <x v="22"/>
    <s v="Electric Generators, Independent Power Producers"/>
    <x v="1"/>
    <n v="184387"/>
  </r>
  <r>
    <x v="17"/>
    <x v="22"/>
    <s v="Electric Generators, Independent Power Producers"/>
    <x v="2"/>
    <n v="97135"/>
  </r>
  <r>
    <x v="17"/>
    <x v="22"/>
    <s v="Electric Generators, Independent Power Producers"/>
    <x v="3"/>
    <n v="3368878"/>
  </r>
  <r>
    <x v="17"/>
    <x v="22"/>
    <s v="Electric Generators, Independent Power Producers"/>
    <x v="7"/>
    <n v="5826015"/>
  </r>
  <r>
    <x v="17"/>
    <x v="22"/>
    <s v="Electric Generators, Independent Power Producers"/>
    <x v="12"/>
    <n v="74407"/>
  </r>
  <r>
    <x v="17"/>
    <x v="22"/>
    <s v="Electric Generators, Independent Power Producers"/>
    <x v="8"/>
    <n v="494063"/>
  </r>
  <r>
    <x v="17"/>
    <x v="22"/>
    <s v="Electric Generators, Independent Power Producers"/>
    <x v="9"/>
    <n v="0"/>
  </r>
  <r>
    <x v="17"/>
    <x v="22"/>
    <s v="Electric Generators, Independent Power Producers"/>
    <x v="4"/>
    <n v="116"/>
  </r>
  <r>
    <x v="17"/>
    <x v="22"/>
    <s v="Electric Generators, Independent Power Producers"/>
    <x v="5"/>
    <n v="2723"/>
  </r>
  <r>
    <x v="17"/>
    <x v="22"/>
    <s v="Electric Generators, Independent Power Producers"/>
    <x v="6"/>
    <n v="979886"/>
  </r>
  <r>
    <x v="17"/>
    <x v="22"/>
    <s v="Electric Generators, Electric Utilities"/>
    <x v="0"/>
    <n v="96785842"/>
  </r>
  <r>
    <x v="17"/>
    <x v="22"/>
    <s v="Electric Generators, Electric Utilities"/>
    <x v="1"/>
    <n v="69406550"/>
  </r>
  <r>
    <x v="17"/>
    <x v="22"/>
    <s v="Electric Generators, Electric Utilities"/>
    <x v="2"/>
    <n v="1146768"/>
  </r>
  <r>
    <x v="17"/>
    <x v="22"/>
    <s v="Electric Generators, Electric Utilities"/>
    <x v="3"/>
    <n v="1079596"/>
  </r>
  <r>
    <x v="17"/>
    <x v="22"/>
    <s v="Electric Generators, Electric Utilities"/>
    <x v="7"/>
    <n v="25690938"/>
  </r>
  <r>
    <x v="17"/>
    <x v="22"/>
    <s v="Electric Generators, Electric Utilities"/>
    <x v="12"/>
    <n v="40131"/>
  </r>
  <r>
    <x v="17"/>
    <x v="22"/>
    <s v="Electric Generators, Electric Utilities"/>
    <x v="8"/>
    <n v="54"/>
  </r>
  <r>
    <x v="17"/>
    <x v="22"/>
    <s v="Electric Generators, Electric Utilities"/>
    <x v="9"/>
    <n v="105130"/>
  </r>
  <r>
    <x v="17"/>
    <x v="22"/>
    <s v="Electric Generators, Electric Utilities"/>
    <x v="4"/>
    <n v="445915"/>
  </r>
  <r>
    <x v="17"/>
    <x v="22"/>
    <s v="Electric Generators, Electric Utilities"/>
    <x v="10"/>
    <n v="-1129241"/>
  </r>
  <r>
    <x v="17"/>
    <x v="22"/>
    <s v="Combined Heat and Power, Industrial Power"/>
    <x v="0"/>
    <n v="1542101"/>
  </r>
  <r>
    <x v="17"/>
    <x v="22"/>
    <s v="Combined Heat and Power, Industrial Power"/>
    <x v="1"/>
    <n v="560776"/>
  </r>
  <r>
    <x v="17"/>
    <x v="22"/>
    <s v="Combined Heat and Power, Industrial Power"/>
    <x v="2"/>
    <n v="26086"/>
  </r>
  <r>
    <x v="17"/>
    <x v="22"/>
    <s v="Combined Heat and Power, Industrial Power"/>
    <x v="3"/>
    <n v="108307"/>
  </r>
  <r>
    <x v="17"/>
    <x v="22"/>
    <s v="Combined Heat and Power, Industrial Power"/>
    <x v="8"/>
    <n v="484"/>
  </r>
  <r>
    <x v="17"/>
    <x v="22"/>
    <s v="Combined Heat and Power, Industrial Power"/>
    <x v="4"/>
    <n v="170508"/>
  </r>
  <r>
    <x v="17"/>
    <x v="22"/>
    <s v="Combined Heat and Power, Industrial Power"/>
    <x v="6"/>
    <n v="675941"/>
  </r>
  <r>
    <x v="17"/>
    <x v="22"/>
    <s v="Combined Heat and Power, Electric Power"/>
    <x v="0"/>
    <n v="9327166"/>
  </r>
  <r>
    <x v="17"/>
    <x v="22"/>
    <s v="Combined Heat and Power, Electric Power"/>
    <x v="1"/>
    <n v="353095"/>
  </r>
  <r>
    <x v="17"/>
    <x v="22"/>
    <s v="Combined Heat and Power, Electric Power"/>
    <x v="3"/>
    <n v="8560327"/>
  </r>
  <r>
    <x v="17"/>
    <x v="22"/>
    <s v="Combined Heat and Power, Electric Power"/>
    <x v="12"/>
    <n v="58416"/>
  </r>
  <r>
    <x v="17"/>
    <x v="22"/>
    <s v="Combined Heat and Power, Electric Power"/>
    <x v="8"/>
    <n v="61761"/>
  </r>
  <r>
    <x v="17"/>
    <x v="22"/>
    <s v="Combined Heat and Power, Electric Power"/>
    <x v="9"/>
    <n v="177284"/>
  </r>
  <r>
    <x v="17"/>
    <x v="22"/>
    <s v="Combined Heat and Power, Electric Power"/>
    <x v="4"/>
    <n v="81792"/>
  </r>
  <r>
    <x v="17"/>
    <x v="22"/>
    <s v="Combined Heat and Power, Electric Power"/>
    <x v="6"/>
    <n v="34491"/>
  </r>
  <r>
    <x v="17"/>
    <x v="22"/>
    <s v="Combined Heat and Power, Commercial Power"/>
    <x v="0"/>
    <n v="627216"/>
  </r>
  <r>
    <x v="17"/>
    <x v="22"/>
    <s v="Combined Heat and Power, Commercial Power"/>
    <x v="1"/>
    <n v="305790"/>
  </r>
  <r>
    <x v="17"/>
    <x v="22"/>
    <s v="Combined Heat and Power, Commercial Power"/>
    <x v="3"/>
    <n v="23877"/>
  </r>
  <r>
    <x v="17"/>
    <x v="22"/>
    <s v="Combined Heat and Power, Commercial Power"/>
    <x v="12"/>
    <n v="130012"/>
  </r>
  <r>
    <x v="17"/>
    <x v="22"/>
    <s v="Combined Heat and Power, Commercial Power"/>
    <x v="8"/>
    <n v="165460"/>
  </r>
  <r>
    <x v="17"/>
    <x v="22"/>
    <s v="Combined Heat and Power, Commercial Power"/>
    <x v="4"/>
    <n v="194"/>
  </r>
  <r>
    <x v="17"/>
    <x v="22"/>
    <s v="Combined Heat and Power, Commercial Power"/>
    <x v="6"/>
    <n v="1884"/>
  </r>
  <r>
    <x v="17"/>
    <x v="23"/>
    <s v="Total Electric Power Industry"/>
    <x v="0"/>
    <n v="54477646"/>
  </r>
  <r>
    <x v="17"/>
    <x v="23"/>
    <s v="Total Electric Power Industry"/>
    <x v="1"/>
    <n v="32190373"/>
  </r>
  <r>
    <x v="17"/>
    <x v="23"/>
    <s v="Total Electric Power Industry"/>
    <x v="2"/>
    <n v="653822"/>
  </r>
  <r>
    <x v="17"/>
    <x v="23"/>
    <s v="Total Electric Power Industry"/>
    <x v="3"/>
    <n v="3842477"/>
  </r>
  <r>
    <x v="17"/>
    <x v="23"/>
    <s v="Total Electric Power Industry"/>
    <x v="7"/>
    <n v="13103000"/>
  </r>
  <r>
    <x v="17"/>
    <x v="23"/>
    <s v="Total Electric Power Industry"/>
    <x v="12"/>
    <n v="324895"/>
  </r>
  <r>
    <x v="17"/>
    <x v="23"/>
    <s v="Total Electric Power Industry"/>
    <x v="8"/>
    <n v="566371"/>
  </r>
  <r>
    <x v="17"/>
    <x v="23"/>
    <s v="Total Electric Power Industry"/>
    <x v="9"/>
    <n v="25844"/>
  </r>
  <r>
    <x v="17"/>
    <x v="23"/>
    <s v="Total Electric Power Industry"/>
    <x v="4"/>
    <n v="404599"/>
  </r>
  <r>
    <x v="17"/>
    <x v="23"/>
    <s v="Total Electric Power Industry"/>
    <x v="5"/>
    <n v="2638812"/>
  </r>
  <r>
    <x v="17"/>
    <x v="23"/>
    <s v="Total Electric Power Industry"/>
    <x v="6"/>
    <n v="727455"/>
  </r>
  <r>
    <x v="17"/>
    <x v="23"/>
    <s v="Electric Generators, Independent Power Producers"/>
    <x v="0"/>
    <n v="3774180"/>
  </r>
  <r>
    <x v="17"/>
    <x v="23"/>
    <s v="Electric Generators, Independent Power Producers"/>
    <x v="2"/>
    <n v="48845"/>
  </r>
  <r>
    <x v="17"/>
    <x v="23"/>
    <s v="Electric Generators, Independent Power Producers"/>
    <x v="3"/>
    <n v="669387"/>
  </r>
  <r>
    <x v="17"/>
    <x v="23"/>
    <s v="Electric Generators, Independent Power Producers"/>
    <x v="12"/>
    <n v="98593"/>
  </r>
  <r>
    <x v="17"/>
    <x v="23"/>
    <s v="Electric Generators, Independent Power Producers"/>
    <x v="8"/>
    <n v="313689"/>
  </r>
  <r>
    <x v="17"/>
    <x v="23"/>
    <s v="Electric Generators, Independent Power Producers"/>
    <x v="4"/>
    <n v="30251"/>
  </r>
  <r>
    <x v="17"/>
    <x v="23"/>
    <s v="Electric Generators, Independent Power Producers"/>
    <x v="5"/>
    <n v="2613415"/>
  </r>
  <r>
    <x v="17"/>
    <x v="23"/>
    <s v="Electric Generators, Electric Utilities"/>
    <x v="0"/>
    <n v="47793039"/>
  </r>
  <r>
    <x v="17"/>
    <x v="23"/>
    <s v="Electric Generators, Electric Utilities"/>
    <x v="1"/>
    <n v="31199099"/>
  </r>
  <r>
    <x v="17"/>
    <x v="23"/>
    <s v="Electric Generators, Electric Utilities"/>
    <x v="2"/>
    <n v="504387"/>
  </r>
  <r>
    <x v="17"/>
    <x v="23"/>
    <s v="Electric Generators, Electric Utilities"/>
    <x v="3"/>
    <n v="2143250"/>
  </r>
  <r>
    <x v="17"/>
    <x v="23"/>
    <s v="Electric Generators, Electric Utilities"/>
    <x v="7"/>
    <n v="13103000"/>
  </r>
  <r>
    <x v="17"/>
    <x v="23"/>
    <s v="Electric Generators, Electric Utilities"/>
    <x v="12"/>
    <n v="163383"/>
  </r>
  <r>
    <x v="17"/>
    <x v="23"/>
    <s v="Electric Generators, Electric Utilities"/>
    <x v="8"/>
    <n v="235143"/>
  </r>
  <r>
    <x v="17"/>
    <x v="23"/>
    <s v="Electric Generators, Electric Utilities"/>
    <x v="9"/>
    <n v="25844"/>
  </r>
  <r>
    <x v="17"/>
    <x v="23"/>
    <s v="Electric Generators, Electric Utilities"/>
    <x v="4"/>
    <n v="362765"/>
  </r>
  <r>
    <x v="17"/>
    <x v="23"/>
    <s v="Electric Generators, Electric Utilities"/>
    <x v="5"/>
    <n v="25397"/>
  </r>
  <r>
    <x v="17"/>
    <x v="23"/>
    <s v="Electric Generators, Electric Utilities"/>
    <x v="6"/>
    <n v="30771"/>
  </r>
  <r>
    <x v="17"/>
    <x v="23"/>
    <s v="Combined Heat and Power, Industrial Power"/>
    <x v="0"/>
    <n v="1670064"/>
  </r>
  <r>
    <x v="17"/>
    <x v="23"/>
    <s v="Combined Heat and Power, Industrial Power"/>
    <x v="1"/>
    <n v="961555"/>
  </r>
  <r>
    <x v="17"/>
    <x v="23"/>
    <s v="Combined Heat and Power, Industrial Power"/>
    <x v="2"/>
    <n v="95553"/>
  </r>
  <r>
    <x v="17"/>
    <x v="23"/>
    <s v="Combined Heat and Power, Industrial Power"/>
    <x v="3"/>
    <n v="70015"/>
  </r>
  <r>
    <x v="17"/>
    <x v="23"/>
    <s v="Combined Heat and Power, Industrial Power"/>
    <x v="12"/>
    <n v="55098"/>
  </r>
  <r>
    <x v="17"/>
    <x v="23"/>
    <s v="Combined Heat and Power, Industrial Power"/>
    <x v="8"/>
    <n v="7587"/>
  </r>
  <r>
    <x v="17"/>
    <x v="23"/>
    <s v="Combined Heat and Power, Industrial Power"/>
    <x v="4"/>
    <n v="1645"/>
  </r>
  <r>
    <x v="17"/>
    <x v="23"/>
    <s v="Combined Heat and Power, Industrial Power"/>
    <x v="6"/>
    <n v="478610"/>
  </r>
  <r>
    <x v="17"/>
    <x v="23"/>
    <s v="Combined Heat and Power, Electric Power"/>
    <x v="0"/>
    <n v="1142969"/>
  </r>
  <r>
    <x v="17"/>
    <x v="23"/>
    <s v="Combined Heat and Power, Electric Power"/>
    <x v="1"/>
    <n v="29718"/>
  </r>
  <r>
    <x v="17"/>
    <x v="23"/>
    <s v="Combined Heat and Power, Electric Power"/>
    <x v="2"/>
    <n v="5037"/>
  </r>
  <r>
    <x v="17"/>
    <x v="23"/>
    <s v="Combined Heat and Power, Electric Power"/>
    <x v="3"/>
    <n v="887080"/>
  </r>
  <r>
    <x v="17"/>
    <x v="23"/>
    <s v="Combined Heat and Power, Electric Power"/>
    <x v="4"/>
    <n v="3061"/>
  </r>
  <r>
    <x v="17"/>
    <x v="23"/>
    <s v="Combined Heat and Power, Electric Power"/>
    <x v="6"/>
    <n v="218073"/>
  </r>
  <r>
    <x v="17"/>
    <x v="23"/>
    <s v="Combined Heat and Power, Commercial Power"/>
    <x v="0"/>
    <n v="97395"/>
  </r>
  <r>
    <x v="17"/>
    <x v="23"/>
    <s v="Combined Heat and Power, Commercial Power"/>
    <x v="3"/>
    <n v="72744"/>
  </r>
  <r>
    <x v="17"/>
    <x v="23"/>
    <s v="Combined Heat and Power, Commercial Power"/>
    <x v="12"/>
    <n v="7821"/>
  </r>
  <r>
    <x v="17"/>
    <x v="23"/>
    <s v="Combined Heat and Power, Commercial Power"/>
    <x v="8"/>
    <n v="9953"/>
  </r>
  <r>
    <x v="17"/>
    <x v="23"/>
    <s v="Combined Heat and Power, Commercial Power"/>
    <x v="4"/>
    <n v="6877"/>
  </r>
  <r>
    <x v="17"/>
    <x v="24"/>
    <s v="Total Electric Power Industry"/>
    <x v="0"/>
    <n v="91153081"/>
  </r>
  <r>
    <x v="17"/>
    <x v="24"/>
    <s v="Total Electric Power Industry"/>
    <x v="1"/>
    <n v="75084154"/>
  </r>
  <r>
    <x v="17"/>
    <x v="24"/>
    <s v="Total Electric Power Industry"/>
    <x v="2"/>
    <n v="1204326"/>
  </r>
  <r>
    <x v="17"/>
    <x v="24"/>
    <s v="Total Electric Power Industry"/>
    <x v="3"/>
    <n v="4979379"/>
  </r>
  <r>
    <x v="17"/>
    <x v="24"/>
    <s v="Total Electric Power Industry"/>
    <x v="7"/>
    <n v="9371955"/>
  </r>
  <r>
    <x v="17"/>
    <x v="24"/>
    <s v="Total Electric Power Industry"/>
    <x v="12"/>
    <n v="36685"/>
  </r>
  <r>
    <x v="17"/>
    <x v="24"/>
    <s v="Total Electric Power Industry"/>
    <x v="8"/>
    <n v="29189"/>
  </r>
  <r>
    <x v="17"/>
    <x v="24"/>
    <s v="Total Electric Power Industry"/>
    <x v="9"/>
    <n v="3400"/>
  </r>
  <r>
    <x v="17"/>
    <x v="24"/>
    <s v="Total Electric Power Industry"/>
    <x v="4"/>
    <n v="60401"/>
  </r>
  <r>
    <x v="17"/>
    <x v="24"/>
    <s v="Total Electric Power Industry"/>
    <x v="10"/>
    <n v="383473"/>
  </r>
  <r>
    <x v="17"/>
    <x v="24"/>
    <s v="Total Electric Power Industry"/>
    <x v="6"/>
    <n v="120"/>
  </r>
  <r>
    <x v="17"/>
    <x v="24"/>
    <s v="Electric Generators, Independent Power Producers"/>
    <x v="0"/>
    <n v="819998"/>
  </r>
  <r>
    <x v="17"/>
    <x v="24"/>
    <s v="Electric Generators, Independent Power Producers"/>
    <x v="3"/>
    <n v="819998"/>
  </r>
  <r>
    <x v="17"/>
    <x v="24"/>
    <s v="Electric Generators, Electric Utilities"/>
    <x v="0"/>
    <n v="89925724"/>
  </r>
  <r>
    <x v="17"/>
    <x v="24"/>
    <s v="Electric Generators, Electric Utilities"/>
    <x v="1"/>
    <n v="74745712"/>
  </r>
  <r>
    <x v="17"/>
    <x v="24"/>
    <s v="Electric Generators, Electric Utilities"/>
    <x v="2"/>
    <n v="1204326"/>
  </r>
  <r>
    <x v="17"/>
    <x v="24"/>
    <s v="Electric Generators, Electric Utilities"/>
    <x v="3"/>
    <n v="4102135"/>
  </r>
  <r>
    <x v="17"/>
    <x v="24"/>
    <s v="Electric Generators, Electric Utilities"/>
    <x v="7"/>
    <n v="9371955"/>
  </r>
  <r>
    <x v="17"/>
    <x v="24"/>
    <s v="Electric Generators, Electric Utilities"/>
    <x v="12"/>
    <n v="33048"/>
  </r>
  <r>
    <x v="17"/>
    <x v="24"/>
    <s v="Electric Generators, Electric Utilities"/>
    <x v="8"/>
    <n v="21944"/>
  </r>
  <r>
    <x v="17"/>
    <x v="24"/>
    <s v="Electric Generators, Electric Utilities"/>
    <x v="9"/>
    <n v="3400"/>
  </r>
  <r>
    <x v="17"/>
    <x v="24"/>
    <s v="Electric Generators, Electric Utilities"/>
    <x v="4"/>
    <n v="59611"/>
  </r>
  <r>
    <x v="17"/>
    <x v="24"/>
    <s v="Electric Generators, Electric Utilities"/>
    <x v="10"/>
    <n v="383473"/>
  </r>
  <r>
    <x v="17"/>
    <x v="24"/>
    <s v="Electric Generators, Electric Utilities"/>
    <x v="6"/>
    <n v="120"/>
  </r>
  <r>
    <x v="17"/>
    <x v="24"/>
    <s v="Combined Heat and Power, Industrial Power"/>
    <x v="0"/>
    <n v="168412"/>
  </r>
  <r>
    <x v="17"/>
    <x v="24"/>
    <s v="Combined Heat and Power, Industrial Power"/>
    <x v="1"/>
    <n v="157856"/>
  </r>
  <r>
    <x v="17"/>
    <x v="24"/>
    <s v="Combined Heat and Power, Industrial Power"/>
    <x v="3"/>
    <n v="2924"/>
  </r>
  <r>
    <x v="17"/>
    <x v="24"/>
    <s v="Combined Heat and Power, Industrial Power"/>
    <x v="8"/>
    <n v="7245"/>
  </r>
  <r>
    <x v="17"/>
    <x v="24"/>
    <s v="Combined Heat and Power, Industrial Power"/>
    <x v="4"/>
    <n v="386"/>
  </r>
  <r>
    <x v="17"/>
    <x v="24"/>
    <s v="Combined Heat and Power, Electric Power"/>
    <x v="0"/>
    <n v="44941"/>
  </r>
  <r>
    <x v="17"/>
    <x v="24"/>
    <s v="Combined Heat and Power, Electric Power"/>
    <x v="3"/>
    <n v="44941"/>
  </r>
  <r>
    <x v="17"/>
    <x v="24"/>
    <s v="Combined Heat and Power, Commercial Power"/>
    <x v="0"/>
    <n v="194007"/>
  </r>
  <r>
    <x v="17"/>
    <x v="24"/>
    <s v="Combined Heat and Power, Commercial Power"/>
    <x v="1"/>
    <n v="180586"/>
  </r>
  <r>
    <x v="17"/>
    <x v="24"/>
    <s v="Combined Heat and Power, Commercial Power"/>
    <x v="3"/>
    <n v="9381"/>
  </r>
  <r>
    <x v="17"/>
    <x v="24"/>
    <s v="Combined Heat and Power, Commercial Power"/>
    <x v="12"/>
    <n v="3637"/>
  </r>
  <r>
    <x v="17"/>
    <x v="24"/>
    <s v="Combined Heat and Power, Commercial Power"/>
    <x v="4"/>
    <n v="403"/>
  </r>
  <r>
    <x v="17"/>
    <x v="25"/>
    <s v="Total Electric Power Industry"/>
    <x v="0"/>
    <n v="50043686"/>
  </r>
  <r>
    <x v="17"/>
    <x v="25"/>
    <s v="Total Electric Power Industry"/>
    <x v="1"/>
    <n v="17407325"/>
  </r>
  <r>
    <x v="17"/>
    <x v="25"/>
    <s v="Total Electric Power Industry"/>
    <x v="3"/>
    <n v="21335173"/>
  </r>
  <r>
    <x v="17"/>
    <x v="25"/>
    <s v="Total Electric Power Industry"/>
    <x v="7"/>
    <n v="9358784"/>
  </r>
  <r>
    <x v="17"/>
    <x v="25"/>
    <s v="Total Electric Power Industry"/>
    <x v="12"/>
    <n v="7344"/>
  </r>
  <r>
    <x v="17"/>
    <x v="25"/>
    <s v="Total Electric Power Industry"/>
    <x v="8"/>
    <n v="5017"/>
  </r>
  <r>
    <x v="17"/>
    <x v="25"/>
    <s v="Total Electric Power Industry"/>
    <x v="9"/>
    <n v="42325"/>
  </r>
  <r>
    <x v="17"/>
    <x v="25"/>
    <s v="Total Electric Power Industry"/>
    <x v="4"/>
    <n v="399370"/>
  </r>
  <r>
    <x v="17"/>
    <x v="25"/>
    <s v="Total Electric Power Industry"/>
    <x v="6"/>
    <n v="1488348"/>
  </r>
  <r>
    <x v="17"/>
    <x v="25"/>
    <s v="Electric Generators, Independent Power Producers"/>
    <x v="0"/>
    <n v="13717712"/>
  </r>
  <r>
    <x v="17"/>
    <x v="25"/>
    <s v="Electric Generators, Independent Power Producers"/>
    <x v="1"/>
    <n v="2981415"/>
  </r>
  <r>
    <x v="17"/>
    <x v="25"/>
    <s v="Electric Generators, Independent Power Producers"/>
    <x v="3"/>
    <n v="10736296"/>
  </r>
  <r>
    <x v="17"/>
    <x v="25"/>
    <s v="Electric Generators, Electric Utilities"/>
    <x v="0"/>
    <n v="34426533"/>
  </r>
  <r>
    <x v="17"/>
    <x v="25"/>
    <s v="Electric Generators, Electric Utilities"/>
    <x v="1"/>
    <n v="14422788"/>
  </r>
  <r>
    <x v="17"/>
    <x v="25"/>
    <s v="Electric Generators, Electric Utilities"/>
    <x v="3"/>
    <n v="10247881"/>
  </r>
  <r>
    <x v="17"/>
    <x v="25"/>
    <s v="Electric Generators, Electric Utilities"/>
    <x v="7"/>
    <n v="9358784"/>
  </r>
  <r>
    <x v="17"/>
    <x v="25"/>
    <s v="Electric Generators, Electric Utilities"/>
    <x v="4"/>
    <n v="397080"/>
  </r>
  <r>
    <x v="17"/>
    <x v="25"/>
    <s v="Combined Heat and Power, Industrial Power"/>
    <x v="0"/>
    <n v="1887767"/>
  </r>
  <r>
    <x v="17"/>
    <x v="25"/>
    <s v="Combined Heat and Power, Industrial Power"/>
    <x v="1"/>
    <n v="3121"/>
  </r>
  <r>
    <x v="17"/>
    <x v="25"/>
    <s v="Combined Heat and Power, Industrial Power"/>
    <x v="3"/>
    <n v="339321"/>
  </r>
  <r>
    <x v="17"/>
    <x v="25"/>
    <s v="Combined Heat and Power, Industrial Power"/>
    <x v="12"/>
    <n v="7344"/>
  </r>
  <r>
    <x v="17"/>
    <x v="25"/>
    <s v="Combined Heat and Power, Industrial Power"/>
    <x v="8"/>
    <n v="5017"/>
  </r>
  <r>
    <x v="17"/>
    <x v="25"/>
    <s v="Combined Heat and Power, Industrial Power"/>
    <x v="9"/>
    <n v="42325"/>
  </r>
  <r>
    <x v="17"/>
    <x v="25"/>
    <s v="Combined Heat and Power, Industrial Power"/>
    <x v="4"/>
    <n v="2290"/>
  </r>
  <r>
    <x v="17"/>
    <x v="25"/>
    <s v="Combined Heat and Power, Industrial Power"/>
    <x v="6"/>
    <n v="1488348"/>
  </r>
  <r>
    <x v="17"/>
    <x v="25"/>
    <s v="Combined Heat and Power, Commercial Power"/>
    <x v="0"/>
    <n v="11675"/>
  </r>
  <r>
    <x v="17"/>
    <x v="25"/>
    <s v="Combined Heat and Power, Commercial Power"/>
    <x v="3"/>
    <n v="11675"/>
  </r>
  <r>
    <x v="17"/>
    <x v="26"/>
    <s v="Total Electric Power Industry"/>
    <x v="0"/>
    <n v="28931493"/>
  </r>
  <r>
    <x v="17"/>
    <x v="26"/>
    <s v="Total Electric Power Industry"/>
    <x v="1"/>
    <n v="18356775"/>
  </r>
  <r>
    <x v="17"/>
    <x v="26"/>
    <s v="Total Electric Power Industry"/>
    <x v="2"/>
    <n v="9364336"/>
  </r>
  <r>
    <x v="17"/>
    <x v="26"/>
    <s v="Total Electric Power Industry"/>
    <x v="3"/>
    <n v="105974"/>
  </r>
  <r>
    <x v="17"/>
    <x v="26"/>
    <s v="Total Electric Power Industry"/>
    <x v="9"/>
    <n v="19011"/>
  </r>
  <r>
    <x v="17"/>
    <x v="26"/>
    <s v="Total Electric Power Industry"/>
    <x v="4"/>
    <n v="478677"/>
  </r>
  <r>
    <x v="17"/>
    <x v="26"/>
    <s v="Total Electric Power Industry"/>
    <x v="5"/>
    <n v="495776"/>
  </r>
  <r>
    <x v="17"/>
    <x v="26"/>
    <s v="Total Electric Power Industry"/>
    <x v="6"/>
    <n v="110945"/>
  </r>
  <r>
    <x v="17"/>
    <x v="26"/>
    <s v="Electric Generators, Independent Power Producers"/>
    <x v="0"/>
    <n v="21986435"/>
  </r>
  <r>
    <x v="17"/>
    <x v="26"/>
    <s v="Electric Generators, Independent Power Producers"/>
    <x v="1"/>
    <n v="18043086"/>
  </r>
  <r>
    <x v="17"/>
    <x v="26"/>
    <s v="Electric Generators, Independent Power Producers"/>
    <x v="2"/>
    <n v="3352033"/>
  </r>
  <r>
    <x v="17"/>
    <x v="26"/>
    <s v="Electric Generators, Independent Power Producers"/>
    <x v="3"/>
    <n v="81035"/>
  </r>
  <r>
    <x v="17"/>
    <x v="26"/>
    <s v="Electric Generators, Independent Power Producers"/>
    <x v="4"/>
    <n v="14505"/>
  </r>
  <r>
    <x v="17"/>
    <x v="26"/>
    <s v="Electric Generators, Independent Power Producers"/>
    <x v="5"/>
    <n v="495776"/>
  </r>
  <r>
    <x v="17"/>
    <x v="26"/>
    <s v="Electric Generators, Electric Utilities"/>
    <x v="0"/>
    <n v="6342288"/>
  </r>
  <r>
    <x v="17"/>
    <x v="26"/>
    <s v="Electric Generators, Electric Utilities"/>
    <x v="1"/>
    <n v="313689"/>
  </r>
  <r>
    <x v="17"/>
    <x v="26"/>
    <s v="Electric Generators, Electric Utilities"/>
    <x v="2"/>
    <n v="6012303"/>
  </r>
  <r>
    <x v="17"/>
    <x v="26"/>
    <s v="Electric Generators, Electric Utilities"/>
    <x v="3"/>
    <n v="15007"/>
  </r>
  <r>
    <x v="17"/>
    <x v="26"/>
    <s v="Electric Generators, Electric Utilities"/>
    <x v="4"/>
    <n v="1289"/>
  </r>
  <r>
    <x v="17"/>
    <x v="26"/>
    <s v="Combined Heat and Power, Industrial Power"/>
    <x v="0"/>
    <n v="121046"/>
  </r>
  <r>
    <x v="17"/>
    <x v="26"/>
    <s v="Combined Heat and Power, Industrial Power"/>
    <x v="3"/>
    <n v="9931"/>
  </r>
  <r>
    <x v="17"/>
    <x v="26"/>
    <s v="Combined Heat and Power, Industrial Power"/>
    <x v="9"/>
    <n v="170"/>
  </r>
  <r>
    <x v="17"/>
    <x v="26"/>
    <s v="Combined Heat and Power, Industrial Power"/>
    <x v="4"/>
    <n v="0"/>
  </r>
  <r>
    <x v="17"/>
    <x v="26"/>
    <s v="Combined Heat and Power, Industrial Power"/>
    <x v="6"/>
    <n v="110945"/>
  </r>
  <r>
    <x v="17"/>
    <x v="26"/>
    <s v="Combined Heat and Power, Electric Power"/>
    <x v="0"/>
    <n v="481724"/>
  </r>
  <r>
    <x v="17"/>
    <x v="26"/>
    <s v="Combined Heat and Power, Electric Power"/>
    <x v="9"/>
    <n v="18841"/>
  </r>
  <r>
    <x v="17"/>
    <x v="26"/>
    <s v="Combined Heat and Power, Electric Power"/>
    <x v="4"/>
    <n v="462883"/>
  </r>
  <r>
    <x v="17"/>
    <x v="27"/>
    <s v="Total Electric Power Industry"/>
    <x v="0"/>
    <n v="130115301"/>
  </r>
  <r>
    <x v="17"/>
    <x v="27"/>
    <s v="Total Electric Power Industry"/>
    <x v="1"/>
    <n v="79983038"/>
  </r>
  <r>
    <x v="17"/>
    <x v="27"/>
    <s v="Total Electric Power Industry"/>
    <x v="2"/>
    <n v="2984159"/>
  </r>
  <r>
    <x v="17"/>
    <x v="27"/>
    <s v="Total Electric Power Industry"/>
    <x v="3"/>
    <n v="4456643"/>
  </r>
  <r>
    <x v="17"/>
    <x v="27"/>
    <s v="Total Electric Power Industry"/>
    <x v="7"/>
    <n v="40044705"/>
  </r>
  <r>
    <x v="17"/>
    <x v="27"/>
    <s v="Total Electric Power Industry"/>
    <x v="12"/>
    <n v="341852"/>
  </r>
  <r>
    <x v="17"/>
    <x v="27"/>
    <s v="Total Electric Power Industry"/>
    <x v="8"/>
    <n v="86845"/>
  </r>
  <r>
    <x v="17"/>
    <x v="27"/>
    <s v="Total Electric Power Industry"/>
    <x v="9"/>
    <n v="0"/>
  </r>
  <r>
    <x v="17"/>
    <x v="27"/>
    <s v="Total Electric Power Industry"/>
    <x v="4"/>
    <n v="495689"/>
  </r>
  <r>
    <x v="17"/>
    <x v="27"/>
    <s v="Total Electric Power Industry"/>
    <x v="10"/>
    <n v="136996"/>
  </r>
  <r>
    <x v="17"/>
    <x v="27"/>
    <s v="Total Electric Power Industry"/>
    <x v="6"/>
    <n v="1585374"/>
  </r>
  <r>
    <x v="17"/>
    <x v="27"/>
    <s v="Electric Generators, Independent Power Producers"/>
    <x v="0"/>
    <n v="1686204"/>
  </r>
  <r>
    <x v="17"/>
    <x v="27"/>
    <s v="Electric Generators, Independent Power Producers"/>
    <x v="2"/>
    <n v="291773"/>
  </r>
  <r>
    <x v="17"/>
    <x v="27"/>
    <s v="Electric Generators, Independent Power Producers"/>
    <x v="3"/>
    <n v="916491"/>
  </r>
  <r>
    <x v="17"/>
    <x v="27"/>
    <s v="Electric Generators, Independent Power Producers"/>
    <x v="12"/>
    <n v="14242"/>
  </r>
  <r>
    <x v="17"/>
    <x v="27"/>
    <s v="Electric Generators, Independent Power Producers"/>
    <x v="8"/>
    <n v="72232"/>
  </r>
  <r>
    <x v="17"/>
    <x v="27"/>
    <s v="Electric Generators, Independent Power Producers"/>
    <x v="9"/>
    <n v="0"/>
  </r>
  <r>
    <x v="17"/>
    <x v="27"/>
    <s v="Electric Generators, Independent Power Producers"/>
    <x v="4"/>
    <n v="5070"/>
  </r>
  <r>
    <x v="17"/>
    <x v="27"/>
    <s v="Electric Generators, Independent Power Producers"/>
    <x v="6"/>
    <n v="386397"/>
  </r>
  <r>
    <x v="17"/>
    <x v="27"/>
    <s v="Electric Generators, Electric Utilities"/>
    <x v="0"/>
    <n v="123215621"/>
  </r>
  <r>
    <x v="17"/>
    <x v="27"/>
    <s v="Electric Generators, Electric Utilities"/>
    <x v="1"/>
    <n v="76611703"/>
  </r>
  <r>
    <x v="17"/>
    <x v="27"/>
    <s v="Electric Generators, Electric Utilities"/>
    <x v="2"/>
    <n v="2682904"/>
  </r>
  <r>
    <x v="17"/>
    <x v="27"/>
    <s v="Electric Generators, Electric Utilities"/>
    <x v="3"/>
    <n v="3503270"/>
  </r>
  <r>
    <x v="17"/>
    <x v="27"/>
    <s v="Electric Generators, Electric Utilities"/>
    <x v="7"/>
    <n v="40044705"/>
  </r>
  <r>
    <x v="17"/>
    <x v="27"/>
    <s v="Electric Generators, Electric Utilities"/>
    <x v="4"/>
    <n v="236042"/>
  </r>
  <r>
    <x v="17"/>
    <x v="27"/>
    <s v="Electric Generators, Electric Utilities"/>
    <x v="10"/>
    <n v="136996"/>
  </r>
  <r>
    <x v="17"/>
    <x v="27"/>
    <s v="Combined Heat and Power, Industrial Power"/>
    <x v="0"/>
    <n v="2103092"/>
  </r>
  <r>
    <x v="17"/>
    <x v="27"/>
    <s v="Combined Heat and Power, Industrial Power"/>
    <x v="1"/>
    <n v="417808"/>
  </r>
  <r>
    <x v="17"/>
    <x v="27"/>
    <s v="Combined Heat and Power, Industrial Power"/>
    <x v="2"/>
    <n v="2073"/>
  </r>
  <r>
    <x v="17"/>
    <x v="27"/>
    <s v="Combined Heat and Power, Industrial Power"/>
    <x v="3"/>
    <n v="29673"/>
  </r>
  <r>
    <x v="17"/>
    <x v="27"/>
    <s v="Combined Heat and Power, Industrial Power"/>
    <x v="12"/>
    <n v="246828"/>
  </r>
  <r>
    <x v="17"/>
    <x v="27"/>
    <s v="Combined Heat and Power, Industrial Power"/>
    <x v="8"/>
    <n v="1100"/>
  </r>
  <r>
    <x v="17"/>
    <x v="27"/>
    <s v="Combined Heat and Power, Industrial Power"/>
    <x v="4"/>
    <n v="252269"/>
  </r>
  <r>
    <x v="17"/>
    <x v="27"/>
    <s v="Combined Heat and Power, Industrial Power"/>
    <x v="6"/>
    <n v="1153341"/>
  </r>
  <r>
    <x v="17"/>
    <x v="27"/>
    <s v="Combined Heat and Power, Electric Power"/>
    <x v="0"/>
    <n v="3033939"/>
  </r>
  <r>
    <x v="17"/>
    <x v="27"/>
    <s v="Combined Heat and Power, Electric Power"/>
    <x v="1"/>
    <n v="2892301"/>
  </r>
  <r>
    <x v="17"/>
    <x v="27"/>
    <s v="Combined Heat and Power, Electric Power"/>
    <x v="12"/>
    <n v="80781"/>
  </r>
  <r>
    <x v="17"/>
    <x v="27"/>
    <s v="Combined Heat and Power, Electric Power"/>
    <x v="8"/>
    <n v="13513"/>
  </r>
  <r>
    <x v="17"/>
    <x v="27"/>
    <s v="Combined Heat and Power, Electric Power"/>
    <x v="4"/>
    <n v="1708"/>
  </r>
  <r>
    <x v="17"/>
    <x v="27"/>
    <s v="Combined Heat and Power, Electric Power"/>
    <x v="6"/>
    <n v="45636"/>
  </r>
  <r>
    <x v="17"/>
    <x v="27"/>
    <s v="Combined Heat and Power, Commercial Power"/>
    <x v="0"/>
    <n v="76445"/>
  </r>
  <r>
    <x v="17"/>
    <x v="27"/>
    <s v="Combined Heat and Power, Commercial Power"/>
    <x v="1"/>
    <n v="61227"/>
  </r>
  <r>
    <x v="17"/>
    <x v="27"/>
    <s v="Combined Heat and Power, Commercial Power"/>
    <x v="2"/>
    <n v="7409"/>
  </r>
  <r>
    <x v="17"/>
    <x v="27"/>
    <s v="Combined Heat and Power, Commercial Power"/>
    <x v="3"/>
    <n v="7208"/>
  </r>
  <r>
    <x v="17"/>
    <x v="27"/>
    <s v="Combined Heat and Power, Commercial Power"/>
    <x v="4"/>
    <n v="601"/>
  </r>
  <r>
    <x v="17"/>
    <x v="28"/>
    <s v="Total Electric Power Industry"/>
    <x v="0"/>
    <n v="31224105"/>
  </r>
  <r>
    <x v="17"/>
    <x v="28"/>
    <s v="Total Electric Power Industry"/>
    <x v="1"/>
    <n v="29163553"/>
  </r>
  <r>
    <x v="17"/>
    <x v="28"/>
    <s v="Total Electric Power Industry"/>
    <x v="2"/>
    <n v="1305393"/>
  </r>
  <r>
    <x v="17"/>
    <x v="28"/>
    <s v="Total Electric Power Industry"/>
    <x v="3"/>
    <n v="16574"/>
  </r>
  <r>
    <x v="17"/>
    <x v="28"/>
    <s v="Total Electric Power Industry"/>
    <x v="12"/>
    <n v="973"/>
  </r>
  <r>
    <x v="17"/>
    <x v="28"/>
    <s v="Total Electric Power Industry"/>
    <x v="8"/>
    <n v="13507"/>
  </r>
  <r>
    <x v="17"/>
    <x v="28"/>
    <s v="Total Electric Power Industry"/>
    <x v="9"/>
    <n v="52515"/>
  </r>
  <r>
    <x v="17"/>
    <x v="28"/>
    <s v="Total Electric Power Industry"/>
    <x v="4"/>
    <n v="50818"/>
  </r>
  <r>
    <x v="17"/>
    <x v="28"/>
    <s v="Total Electric Power Industry"/>
    <x v="5"/>
    <n v="620772"/>
  </r>
  <r>
    <x v="17"/>
    <x v="28"/>
    <s v="Electric Generators, Independent Power Producers"/>
    <x v="0"/>
    <n v="613548"/>
  </r>
  <r>
    <x v="17"/>
    <x v="28"/>
    <s v="Electric Generators, Independent Power Producers"/>
    <x v="5"/>
    <n v="613548"/>
  </r>
  <r>
    <x v="17"/>
    <x v="28"/>
    <s v="Electric Generators, Electric Utilities"/>
    <x v="0"/>
    <n v="30402807"/>
  </r>
  <r>
    <x v="17"/>
    <x v="28"/>
    <s v="Electric Generators, Electric Utilities"/>
    <x v="1"/>
    <n v="29041826"/>
  </r>
  <r>
    <x v="17"/>
    <x v="28"/>
    <s v="Electric Generators, Electric Utilities"/>
    <x v="2"/>
    <n v="1305393"/>
  </r>
  <r>
    <x v="17"/>
    <x v="28"/>
    <s v="Electric Generators, Electric Utilities"/>
    <x v="3"/>
    <n v="59"/>
  </r>
  <r>
    <x v="17"/>
    <x v="28"/>
    <s v="Electric Generators, Electric Utilities"/>
    <x v="12"/>
    <n v="973"/>
  </r>
  <r>
    <x v="17"/>
    <x v="28"/>
    <s v="Electric Generators, Electric Utilities"/>
    <x v="4"/>
    <n v="47332"/>
  </r>
  <r>
    <x v="17"/>
    <x v="28"/>
    <s v="Electric Generators, Electric Utilities"/>
    <x v="5"/>
    <n v="7224"/>
  </r>
  <r>
    <x v="17"/>
    <x v="28"/>
    <s v="Combined Heat and Power, Industrial Power"/>
    <x v="0"/>
    <n v="207455"/>
  </r>
  <r>
    <x v="17"/>
    <x v="28"/>
    <s v="Combined Heat and Power, Industrial Power"/>
    <x v="1"/>
    <n v="121727"/>
  </r>
  <r>
    <x v="17"/>
    <x v="28"/>
    <s v="Combined Heat and Power, Industrial Power"/>
    <x v="3"/>
    <n v="16516"/>
  </r>
  <r>
    <x v="17"/>
    <x v="28"/>
    <s v="Combined Heat and Power, Industrial Power"/>
    <x v="8"/>
    <n v="13507"/>
  </r>
  <r>
    <x v="17"/>
    <x v="28"/>
    <s v="Combined Heat and Power, Industrial Power"/>
    <x v="9"/>
    <n v="52515"/>
  </r>
  <r>
    <x v="17"/>
    <x v="28"/>
    <s v="Combined Heat and Power, Industrial Power"/>
    <x v="4"/>
    <n v="3191"/>
  </r>
  <r>
    <x v="17"/>
    <x v="28"/>
    <s v="Combined Heat and Power, Commercial Power"/>
    <x v="0"/>
    <n v="295"/>
  </r>
  <r>
    <x v="17"/>
    <x v="28"/>
    <s v="Combined Heat and Power, Commercial Power"/>
    <x v="4"/>
    <n v="295"/>
  </r>
  <r>
    <x v="17"/>
    <x v="29"/>
    <s v="Total Electric Power Industry"/>
    <x v="0"/>
    <n v="32442699"/>
  </r>
  <r>
    <x v="17"/>
    <x v="29"/>
    <s v="Total Electric Power Industry"/>
    <x v="1"/>
    <n v="19629911"/>
  </r>
  <r>
    <x v="17"/>
    <x v="29"/>
    <s v="Total Electric Power Industry"/>
    <x v="2"/>
    <n v="347444"/>
  </r>
  <r>
    <x v="17"/>
    <x v="29"/>
    <s v="Total Electric Power Industry"/>
    <x v="3"/>
    <n v="1110020"/>
  </r>
  <r>
    <x v="17"/>
    <x v="29"/>
    <s v="Total Electric Power Industry"/>
    <x v="7"/>
    <n v="11041532"/>
  </r>
  <r>
    <x v="17"/>
    <x v="29"/>
    <s v="Total Electric Power Industry"/>
    <x v="8"/>
    <n v="61259"/>
  </r>
  <r>
    <x v="17"/>
    <x v="29"/>
    <s v="Total Electric Power Industry"/>
    <x v="9"/>
    <n v="0"/>
  </r>
  <r>
    <x v="17"/>
    <x v="29"/>
    <s v="Total Electric Power Industry"/>
    <x v="4"/>
    <n v="35767"/>
  </r>
  <r>
    <x v="17"/>
    <x v="29"/>
    <s v="Total Electric Power Industry"/>
    <x v="5"/>
    <n v="216765"/>
  </r>
  <r>
    <x v="17"/>
    <x v="29"/>
    <s v="Electric Generators, Electric Utilities"/>
    <x v="0"/>
    <n v="32403289"/>
  </r>
  <r>
    <x v="17"/>
    <x v="29"/>
    <s v="Electric Generators, Electric Utilities"/>
    <x v="1"/>
    <n v="19611849"/>
  </r>
  <r>
    <x v="17"/>
    <x v="29"/>
    <s v="Electric Generators, Electric Utilities"/>
    <x v="2"/>
    <n v="347444"/>
  </r>
  <r>
    <x v="17"/>
    <x v="29"/>
    <s v="Electric Generators, Electric Utilities"/>
    <x v="3"/>
    <n v="1103962"/>
  </r>
  <r>
    <x v="17"/>
    <x v="29"/>
    <s v="Electric Generators, Electric Utilities"/>
    <x v="7"/>
    <n v="11041532"/>
  </r>
  <r>
    <x v="17"/>
    <x v="29"/>
    <s v="Electric Generators, Electric Utilities"/>
    <x v="8"/>
    <n v="46184"/>
  </r>
  <r>
    <x v="17"/>
    <x v="29"/>
    <s v="Electric Generators, Electric Utilities"/>
    <x v="9"/>
    <n v="0"/>
  </r>
  <r>
    <x v="17"/>
    <x v="29"/>
    <s v="Electric Generators, Electric Utilities"/>
    <x v="4"/>
    <n v="35552"/>
  </r>
  <r>
    <x v="17"/>
    <x v="29"/>
    <s v="Electric Generators, Electric Utilities"/>
    <x v="5"/>
    <n v="216765"/>
  </r>
  <r>
    <x v="17"/>
    <x v="29"/>
    <s v="Combined Heat and Power, Industrial Power"/>
    <x v="0"/>
    <n v="18062"/>
  </r>
  <r>
    <x v="17"/>
    <x v="29"/>
    <s v="Combined Heat and Power, Industrial Power"/>
    <x v="1"/>
    <n v="18062"/>
  </r>
  <r>
    <x v="17"/>
    <x v="29"/>
    <s v="Combined Heat and Power, Electric Power"/>
    <x v="0"/>
    <n v="4521"/>
  </r>
  <r>
    <x v="17"/>
    <x v="29"/>
    <s v="Combined Heat and Power, Electric Power"/>
    <x v="3"/>
    <n v="1684"/>
  </r>
  <r>
    <x v="17"/>
    <x v="29"/>
    <s v="Combined Heat and Power, Electric Power"/>
    <x v="8"/>
    <n v="2837"/>
  </r>
  <r>
    <x v="17"/>
    <x v="29"/>
    <s v="Combined Heat and Power, Commercial Power"/>
    <x v="0"/>
    <n v="16827"/>
  </r>
  <r>
    <x v="17"/>
    <x v="29"/>
    <s v="Combined Heat and Power, Commercial Power"/>
    <x v="3"/>
    <n v="4374"/>
  </r>
  <r>
    <x v="17"/>
    <x v="29"/>
    <s v="Combined Heat and Power, Commercial Power"/>
    <x v="8"/>
    <n v="12238"/>
  </r>
  <r>
    <x v="17"/>
    <x v="29"/>
    <s v="Combined Heat and Power, Commercial Power"/>
    <x v="4"/>
    <n v="215"/>
  </r>
  <r>
    <x v="17"/>
    <x v="30"/>
    <s v="Total Electric Power Industry"/>
    <x v="0"/>
    <n v="23277171"/>
  </r>
  <r>
    <x v="17"/>
    <x v="30"/>
    <s v="Total Electric Power Industry"/>
    <x v="1"/>
    <n v="3927415"/>
  </r>
  <r>
    <x v="17"/>
    <x v="30"/>
    <s v="Total Electric Power Industry"/>
    <x v="2"/>
    <n v="1265229"/>
  </r>
  <r>
    <x v="17"/>
    <x v="30"/>
    <s v="Total Electric Power Industry"/>
    <x v="3"/>
    <n v="5754015"/>
  </r>
  <r>
    <x v="17"/>
    <x v="30"/>
    <s v="Total Electric Power Industry"/>
    <x v="7"/>
    <n v="10763884"/>
  </r>
  <r>
    <x v="17"/>
    <x v="30"/>
    <s v="Total Electric Power Industry"/>
    <x v="12"/>
    <n v="58561"/>
  </r>
  <r>
    <x v="17"/>
    <x v="30"/>
    <s v="Total Electric Power Industry"/>
    <x v="8"/>
    <n v="152816"/>
  </r>
  <r>
    <x v="17"/>
    <x v="30"/>
    <s v="Total Electric Power Industry"/>
    <x v="4"/>
    <n v="384795"/>
  </r>
  <r>
    <x v="17"/>
    <x v="30"/>
    <s v="Total Electric Power Industry"/>
    <x v="6"/>
    <n v="970456"/>
  </r>
  <r>
    <x v="17"/>
    <x v="30"/>
    <s v="Electric Generators, Independent Power Producers"/>
    <x v="0"/>
    <n v="18236975"/>
  </r>
  <r>
    <x v="17"/>
    <x v="30"/>
    <s v="Electric Generators, Independent Power Producers"/>
    <x v="2"/>
    <n v="935507"/>
  </r>
  <r>
    <x v="17"/>
    <x v="30"/>
    <s v="Electric Generators, Independent Power Producers"/>
    <x v="3"/>
    <n v="5624254"/>
  </r>
  <r>
    <x v="17"/>
    <x v="30"/>
    <s v="Electric Generators, Independent Power Producers"/>
    <x v="7"/>
    <n v="10763884"/>
  </r>
  <r>
    <x v="17"/>
    <x v="30"/>
    <s v="Electric Generators, Independent Power Producers"/>
    <x v="12"/>
    <n v="58561"/>
  </r>
  <r>
    <x v="17"/>
    <x v="30"/>
    <s v="Electric Generators, Independent Power Producers"/>
    <x v="8"/>
    <n v="152816"/>
  </r>
  <r>
    <x v="17"/>
    <x v="30"/>
    <s v="Electric Generators, Independent Power Producers"/>
    <x v="4"/>
    <n v="49970"/>
  </r>
  <r>
    <x v="17"/>
    <x v="30"/>
    <s v="Electric Generators, Independent Power Producers"/>
    <x v="6"/>
    <n v="651983"/>
  </r>
  <r>
    <x v="17"/>
    <x v="30"/>
    <s v="Electric Generators, Electric Utilities"/>
    <x v="0"/>
    <n v="4887753"/>
  </r>
  <r>
    <x v="17"/>
    <x v="30"/>
    <s v="Electric Generators, Electric Utilities"/>
    <x v="1"/>
    <n v="3927415"/>
  </r>
  <r>
    <x v="17"/>
    <x v="30"/>
    <s v="Electric Generators, Electric Utilities"/>
    <x v="2"/>
    <n v="325226"/>
  </r>
  <r>
    <x v="17"/>
    <x v="30"/>
    <s v="Electric Generators, Electric Utilities"/>
    <x v="3"/>
    <n v="14104"/>
  </r>
  <r>
    <x v="17"/>
    <x v="30"/>
    <s v="Electric Generators, Electric Utilities"/>
    <x v="4"/>
    <n v="302952"/>
  </r>
  <r>
    <x v="17"/>
    <x v="30"/>
    <s v="Electric Generators, Electric Utilities"/>
    <x v="6"/>
    <n v="318056"/>
  </r>
  <r>
    <x v="17"/>
    <x v="30"/>
    <s v="Combined Heat and Power, Industrial Power"/>
    <x v="0"/>
    <n v="123971"/>
  </r>
  <r>
    <x v="17"/>
    <x v="30"/>
    <s v="Combined Heat and Power, Industrial Power"/>
    <x v="2"/>
    <n v="4496"/>
  </r>
  <r>
    <x v="17"/>
    <x v="30"/>
    <s v="Combined Heat and Power, Industrial Power"/>
    <x v="3"/>
    <n v="115656"/>
  </r>
  <r>
    <x v="17"/>
    <x v="30"/>
    <s v="Combined Heat and Power, Industrial Power"/>
    <x v="4"/>
    <n v="3401"/>
  </r>
  <r>
    <x v="17"/>
    <x v="30"/>
    <s v="Combined Heat and Power, Industrial Power"/>
    <x v="6"/>
    <n v="418"/>
  </r>
  <r>
    <x v="17"/>
    <x v="30"/>
    <s v="Combined Heat and Power, Commercial Power"/>
    <x v="0"/>
    <n v="28472"/>
  </r>
  <r>
    <x v="17"/>
    <x v="30"/>
    <s v="Combined Heat and Power, Commercial Power"/>
    <x v="4"/>
    <n v="28472"/>
  </r>
  <r>
    <x v="17"/>
    <x v="31"/>
    <s v="Total Electric Power Industry"/>
    <x v="0"/>
    <n v="62671245"/>
  </r>
  <r>
    <x v="17"/>
    <x v="31"/>
    <s v="Total Electric Power Industry"/>
    <x v="1"/>
    <n v="10210670"/>
  </r>
  <r>
    <x v="17"/>
    <x v="31"/>
    <s v="Total Electric Power Industry"/>
    <x v="2"/>
    <n v="20909"/>
  </r>
  <r>
    <x v="17"/>
    <x v="31"/>
    <s v="Total Electric Power Industry"/>
    <x v="3"/>
    <n v="18752332"/>
  </r>
  <r>
    <x v="17"/>
    <x v="31"/>
    <s v="Total Electric Power Industry"/>
    <x v="7"/>
    <n v="32010376"/>
  </r>
  <r>
    <x v="17"/>
    <x v="31"/>
    <s v="Total Electric Power Industry"/>
    <x v="12"/>
    <n v="488994"/>
  </r>
  <r>
    <x v="17"/>
    <x v="31"/>
    <s v="Total Electric Power Industry"/>
    <x v="8"/>
    <n v="823166"/>
  </r>
  <r>
    <x v="17"/>
    <x v="31"/>
    <s v="Total Electric Power Industry"/>
    <x v="9"/>
    <n v="160549"/>
  </r>
  <r>
    <x v="17"/>
    <x v="31"/>
    <s v="Total Electric Power Industry"/>
    <x v="4"/>
    <n v="452771"/>
  </r>
  <r>
    <x v="17"/>
    <x v="31"/>
    <s v="Total Electric Power Industry"/>
    <x v="10"/>
    <n v="-268934"/>
  </r>
  <r>
    <x v="17"/>
    <x v="31"/>
    <s v="Total Electric Power Industry"/>
    <x v="5"/>
    <n v="20412"/>
  </r>
  <r>
    <x v="17"/>
    <x v="31"/>
    <s v="Electric Generators, Independent Power Producers"/>
    <x v="0"/>
    <n v="51439368"/>
  </r>
  <r>
    <x v="17"/>
    <x v="31"/>
    <s v="Electric Generators, Independent Power Producers"/>
    <x v="1"/>
    <n v="6633314"/>
  </r>
  <r>
    <x v="17"/>
    <x v="31"/>
    <s v="Electric Generators, Independent Power Producers"/>
    <x v="2"/>
    <n v="20909"/>
  </r>
  <r>
    <x v="17"/>
    <x v="31"/>
    <s v="Electric Generators, Independent Power Producers"/>
    <x v="3"/>
    <n v="11098428"/>
  </r>
  <r>
    <x v="17"/>
    <x v="31"/>
    <s v="Electric Generators, Independent Power Producers"/>
    <x v="7"/>
    <n v="32010376"/>
  </r>
  <r>
    <x v="17"/>
    <x v="31"/>
    <s v="Electric Generators, Independent Power Producers"/>
    <x v="12"/>
    <n v="488994"/>
  </r>
  <r>
    <x v="17"/>
    <x v="31"/>
    <s v="Electric Generators, Independent Power Producers"/>
    <x v="8"/>
    <n v="822453"/>
  </r>
  <r>
    <x v="17"/>
    <x v="31"/>
    <s v="Electric Generators, Independent Power Producers"/>
    <x v="4"/>
    <n v="344482"/>
  </r>
  <r>
    <x v="17"/>
    <x v="31"/>
    <s v="Electric Generators, Independent Power Producers"/>
    <x v="5"/>
    <n v="20412"/>
  </r>
  <r>
    <x v="17"/>
    <x v="31"/>
    <s v="Electric Generators, Electric Utilities"/>
    <x v="0"/>
    <n v="-191300"/>
  </r>
  <r>
    <x v="17"/>
    <x v="31"/>
    <s v="Electric Generators, Electric Utilities"/>
    <x v="1"/>
    <n v="51331"/>
  </r>
  <r>
    <x v="17"/>
    <x v="31"/>
    <s v="Electric Generators, Electric Utilities"/>
    <x v="3"/>
    <n v="17462"/>
  </r>
  <r>
    <x v="17"/>
    <x v="31"/>
    <s v="Electric Generators, Electric Utilities"/>
    <x v="4"/>
    <n v="8841"/>
  </r>
  <r>
    <x v="17"/>
    <x v="31"/>
    <s v="Electric Generators, Electric Utilities"/>
    <x v="10"/>
    <n v="-268934"/>
  </r>
  <r>
    <x v="17"/>
    <x v="31"/>
    <s v="Combined Heat and Power, Industrial Power"/>
    <x v="0"/>
    <n v="689974"/>
  </r>
  <r>
    <x v="17"/>
    <x v="31"/>
    <s v="Combined Heat and Power, Industrial Power"/>
    <x v="3"/>
    <n v="527831"/>
  </r>
  <r>
    <x v="17"/>
    <x v="31"/>
    <s v="Combined Heat and Power, Industrial Power"/>
    <x v="12"/>
    <n v="0"/>
  </r>
  <r>
    <x v="17"/>
    <x v="31"/>
    <s v="Combined Heat and Power, Industrial Power"/>
    <x v="8"/>
    <n v="712"/>
  </r>
  <r>
    <x v="17"/>
    <x v="31"/>
    <s v="Combined Heat and Power, Industrial Power"/>
    <x v="9"/>
    <n v="160136"/>
  </r>
  <r>
    <x v="17"/>
    <x v="31"/>
    <s v="Combined Heat and Power, Industrial Power"/>
    <x v="4"/>
    <n v="1295"/>
  </r>
  <r>
    <x v="17"/>
    <x v="31"/>
    <s v="Combined Heat and Power, Electric Power"/>
    <x v="0"/>
    <n v="10652566"/>
  </r>
  <r>
    <x v="17"/>
    <x v="31"/>
    <s v="Combined Heat and Power, Electric Power"/>
    <x v="1"/>
    <n v="3526025"/>
  </r>
  <r>
    <x v="17"/>
    <x v="31"/>
    <s v="Combined Heat and Power, Electric Power"/>
    <x v="3"/>
    <n v="7029935"/>
  </r>
  <r>
    <x v="17"/>
    <x v="31"/>
    <s v="Combined Heat and Power, Electric Power"/>
    <x v="9"/>
    <n v="414"/>
  </r>
  <r>
    <x v="17"/>
    <x v="31"/>
    <s v="Combined Heat and Power, Electric Power"/>
    <x v="4"/>
    <n v="96193"/>
  </r>
  <r>
    <x v="17"/>
    <x v="31"/>
    <s v="Combined Heat and Power, Commercial Power"/>
    <x v="0"/>
    <n v="80637"/>
  </r>
  <r>
    <x v="17"/>
    <x v="31"/>
    <s v="Combined Heat and Power, Commercial Power"/>
    <x v="3"/>
    <n v="78675"/>
  </r>
  <r>
    <x v="17"/>
    <x v="31"/>
    <s v="Combined Heat and Power, Commercial Power"/>
    <x v="8"/>
    <n v="1"/>
  </r>
  <r>
    <x v="17"/>
    <x v="31"/>
    <s v="Combined Heat and Power, Commercial Power"/>
    <x v="4"/>
    <n v="1961"/>
  </r>
  <r>
    <x v="17"/>
    <x v="32"/>
    <s v="Total Electric Power Industry"/>
    <x v="0"/>
    <n v="35985333"/>
  </r>
  <r>
    <x v="17"/>
    <x v="32"/>
    <s v="Total Electric Power Industry"/>
    <x v="1"/>
    <n v="27603647"/>
  </r>
  <r>
    <x v="17"/>
    <x v="32"/>
    <s v="Total Electric Power Industry"/>
    <x v="2"/>
    <n v="267978"/>
  </r>
  <r>
    <x v="17"/>
    <x v="32"/>
    <s v="Total Electric Power Industry"/>
    <x v="3"/>
    <n v="6660004"/>
  </r>
  <r>
    <x v="17"/>
    <x v="32"/>
    <s v="Total Electric Power Industry"/>
    <x v="8"/>
    <n v="15994"/>
  </r>
  <r>
    <x v="17"/>
    <x v="32"/>
    <s v="Total Electric Power Industry"/>
    <x v="4"/>
    <n v="44471"/>
  </r>
  <r>
    <x v="17"/>
    <x v="32"/>
    <s v="Total Electric Power Industry"/>
    <x v="5"/>
    <n v="1393239"/>
  </r>
  <r>
    <x v="17"/>
    <x v="32"/>
    <s v="Electric Generators, Independent Power Producers"/>
    <x v="0"/>
    <n v="1403747"/>
  </r>
  <r>
    <x v="17"/>
    <x v="32"/>
    <s v="Electric Generators, Independent Power Producers"/>
    <x v="3"/>
    <n v="9066"/>
  </r>
  <r>
    <x v="17"/>
    <x v="32"/>
    <s v="Electric Generators, Independent Power Producers"/>
    <x v="4"/>
    <n v="1442"/>
  </r>
  <r>
    <x v="17"/>
    <x v="32"/>
    <s v="Electric Generators, Independent Power Producers"/>
    <x v="5"/>
    <n v="1393239"/>
  </r>
  <r>
    <x v="17"/>
    <x v="32"/>
    <s v="Electric Generators, Electric Utilities"/>
    <x v="0"/>
    <n v="34033374"/>
  </r>
  <r>
    <x v="17"/>
    <x v="32"/>
    <s v="Electric Generators, Electric Utilities"/>
    <x v="1"/>
    <n v="27603647"/>
  </r>
  <r>
    <x v="17"/>
    <x v="32"/>
    <s v="Electric Generators, Electric Utilities"/>
    <x v="2"/>
    <n v="267978"/>
  </r>
  <r>
    <x v="17"/>
    <x v="32"/>
    <s v="Electric Generators, Electric Utilities"/>
    <x v="3"/>
    <n v="6118780"/>
  </r>
  <r>
    <x v="17"/>
    <x v="32"/>
    <s v="Electric Generators, Electric Utilities"/>
    <x v="4"/>
    <n v="42969"/>
  </r>
  <r>
    <x v="17"/>
    <x v="32"/>
    <s v="Combined Heat and Power, Industrial Power"/>
    <x v="0"/>
    <n v="17600"/>
  </r>
  <r>
    <x v="17"/>
    <x v="32"/>
    <s v="Combined Heat and Power, Industrial Power"/>
    <x v="3"/>
    <n v="17540"/>
  </r>
  <r>
    <x v="17"/>
    <x v="32"/>
    <s v="Combined Heat and Power, Industrial Power"/>
    <x v="4"/>
    <n v="60"/>
  </r>
  <r>
    <x v="17"/>
    <x v="32"/>
    <s v="Combined Heat and Power, Electric Power"/>
    <x v="0"/>
    <n v="472197"/>
  </r>
  <r>
    <x v="17"/>
    <x v="32"/>
    <s v="Combined Heat and Power, Electric Power"/>
    <x v="3"/>
    <n v="456203"/>
  </r>
  <r>
    <x v="17"/>
    <x v="32"/>
    <s v="Combined Heat and Power, Electric Power"/>
    <x v="8"/>
    <n v="15994"/>
  </r>
  <r>
    <x v="17"/>
    <x v="32"/>
    <s v="Combined Heat and Power, Commercial Power"/>
    <x v="0"/>
    <n v="58415"/>
  </r>
  <r>
    <x v="17"/>
    <x v="32"/>
    <s v="Combined Heat and Power, Commercial Power"/>
    <x v="3"/>
    <n v="58415"/>
  </r>
  <r>
    <x v="17"/>
    <x v="33"/>
    <s v="Total Electric Power Industry"/>
    <x v="0"/>
    <n v="32669736"/>
  </r>
  <r>
    <x v="17"/>
    <x v="33"/>
    <s v="Total Electric Power Industry"/>
    <x v="1"/>
    <n v="7090911"/>
  </r>
  <r>
    <x v="17"/>
    <x v="33"/>
    <s v="Total Electric Power Industry"/>
    <x v="11"/>
    <n v="1252691"/>
  </r>
  <r>
    <x v="17"/>
    <x v="33"/>
    <s v="Total Electric Power Industry"/>
    <x v="2"/>
    <n v="2003191"/>
  </r>
  <r>
    <x v="17"/>
    <x v="33"/>
    <s v="Total Electric Power Industry"/>
    <x v="3"/>
    <n v="22263270"/>
  </r>
  <r>
    <x v="17"/>
    <x v="33"/>
    <s v="Total Electric Power Industry"/>
    <x v="9"/>
    <n v="4256"/>
  </r>
  <r>
    <x v="17"/>
    <x v="33"/>
    <s v="Total Electric Power Industry"/>
    <x v="4"/>
    <n v="11450"/>
  </r>
  <r>
    <x v="17"/>
    <x v="33"/>
    <s v="Total Electric Power Industry"/>
    <x v="13"/>
    <n v="43967"/>
  </r>
  <r>
    <x v="17"/>
    <x v="33"/>
    <s v="Electric Generators, Independent Power Producers"/>
    <x v="0"/>
    <n v="7623648"/>
  </r>
  <r>
    <x v="17"/>
    <x v="33"/>
    <s v="Electric Generators, Independent Power Producers"/>
    <x v="11"/>
    <n v="1252691"/>
  </r>
  <r>
    <x v="17"/>
    <x v="33"/>
    <s v="Electric Generators, Independent Power Producers"/>
    <x v="3"/>
    <n v="6326990"/>
  </r>
  <r>
    <x v="17"/>
    <x v="33"/>
    <s v="Electric Generators, Independent Power Producers"/>
    <x v="4"/>
    <n v="0"/>
  </r>
  <r>
    <x v="17"/>
    <x v="33"/>
    <s v="Electric Generators, Independent Power Producers"/>
    <x v="13"/>
    <n v="43967"/>
  </r>
  <r>
    <x v="17"/>
    <x v="33"/>
    <s v="Electric Generators, Electric Utilities"/>
    <x v="0"/>
    <n v="22376989"/>
  </r>
  <r>
    <x v="17"/>
    <x v="33"/>
    <s v="Electric Generators, Electric Utilities"/>
    <x v="1"/>
    <n v="7090911"/>
  </r>
  <r>
    <x v="17"/>
    <x v="33"/>
    <s v="Electric Generators, Electric Utilities"/>
    <x v="2"/>
    <n v="2003191"/>
  </r>
  <r>
    <x v="17"/>
    <x v="33"/>
    <s v="Electric Generators, Electric Utilities"/>
    <x v="3"/>
    <n v="13271440"/>
  </r>
  <r>
    <x v="17"/>
    <x v="33"/>
    <s v="Electric Generators, Electric Utilities"/>
    <x v="4"/>
    <n v="11447"/>
  </r>
  <r>
    <x v="17"/>
    <x v="33"/>
    <s v="Combined Heat and Power, Industrial Power"/>
    <x v="0"/>
    <n v="412459"/>
  </r>
  <r>
    <x v="17"/>
    <x v="33"/>
    <s v="Combined Heat and Power, Industrial Power"/>
    <x v="3"/>
    <n v="412459"/>
  </r>
  <r>
    <x v="17"/>
    <x v="33"/>
    <s v="Combined Heat and Power, Electric Power"/>
    <x v="0"/>
    <n v="2256640"/>
  </r>
  <r>
    <x v="17"/>
    <x v="33"/>
    <s v="Combined Heat and Power, Electric Power"/>
    <x v="3"/>
    <n v="2252381"/>
  </r>
  <r>
    <x v="17"/>
    <x v="33"/>
    <s v="Combined Heat and Power, Electric Power"/>
    <x v="9"/>
    <n v="4256"/>
  </r>
  <r>
    <x v="17"/>
    <x v="33"/>
    <s v="Combined Heat and Power, Electric Power"/>
    <x v="4"/>
    <n v="3"/>
  </r>
  <r>
    <x v="17"/>
    <x v="34"/>
    <s v="Total Electric Power Industry"/>
    <x v="0"/>
    <n v="145878687"/>
  </r>
  <r>
    <x v="17"/>
    <x v="34"/>
    <s v="Total Electric Power Industry"/>
    <x v="1"/>
    <n v="21405542"/>
  </r>
  <r>
    <x v="17"/>
    <x v="34"/>
    <s v="Total Electric Power Industry"/>
    <x v="2"/>
    <n v="25252555"/>
  </r>
  <r>
    <x v="17"/>
    <x v="34"/>
    <s v="Total Electric Power Industry"/>
    <x v="3"/>
    <n v="45633631"/>
  </r>
  <r>
    <x v="17"/>
    <x v="34"/>
    <s v="Total Electric Power Industry"/>
    <x v="7"/>
    <n v="42452854"/>
  </r>
  <r>
    <x v="17"/>
    <x v="34"/>
    <s v="Total Electric Power Industry"/>
    <x v="12"/>
    <n v="932292"/>
  </r>
  <r>
    <x v="17"/>
    <x v="34"/>
    <s v="Total Electric Power Industry"/>
    <x v="8"/>
    <n v="1449346"/>
  </r>
  <r>
    <x v="17"/>
    <x v="34"/>
    <s v="Total Electric Power Industry"/>
    <x v="4"/>
    <n v="8195109"/>
  </r>
  <r>
    <x v="17"/>
    <x v="34"/>
    <s v="Total Electric Power Industry"/>
    <x v="10"/>
    <n v="-768380"/>
  </r>
  <r>
    <x v="17"/>
    <x v="34"/>
    <s v="Total Electric Power Industry"/>
    <x v="5"/>
    <n v="833476"/>
  </r>
  <r>
    <x v="17"/>
    <x v="34"/>
    <s v="Total Electric Power Industry"/>
    <x v="6"/>
    <n v="492261"/>
  </r>
  <r>
    <x v="17"/>
    <x v="34"/>
    <s v="Electric Generators, Independent Power Producers"/>
    <x v="0"/>
    <n v="91333274"/>
  </r>
  <r>
    <x v="17"/>
    <x v="34"/>
    <s v="Electric Generators, Independent Power Producers"/>
    <x v="1"/>
    <n v="18651810"/>
  </r>
  <r>
    <x v="17"/>
    <x v="34"/>
    <s v="Electric Generators, Independent Power Producers"/>
    <x v="2"/>
    <n v="4283343"/>
  </r>
  <r>
    <x v="17"/>
    <x v="34"/>
    <s v="Electric Generators, Independent Power Producers"/>
    <x v="3"/>
    <n v="19647217"/>
  </r>
  <r>
    <x v="17"/>
    <x v="34"/>
    <s v="Electric Generators, Independent Power Producers"/>
    <x v="7"/>
    <n v="42452854"/>
  </r>
  <r>
    <x v="17"/>
    <x v="34"/>
    <s v="Electric Generators, Independent Power Producers"/>
    <x v="12"/>
    <n v="733195"/>
  </r>
  <r>
    <x v="17"/>
    <x v="34"/>
    <s v="Electric Generators, Independent Power Producers"/>
    <x v="8"/>
    <n v="1188535"/>
  </r>
  <r>
    <x v="17"/>
    <x v="34"/>
    <s v="Electric Generators, Independent Power Producers"/>
    <x v="4"/>
    <n v="3406060"/>
  </r>
  <r>
    <x v="17"/>
    <x v="34"/>
    <s v="Electric Generators, Independent Power Producers"/>
    <x v="5"/>
    <n v="833476"/>
  </r>
  <r>
    <x v="17"/>
    <x v="34"/>
    <s v="Electric Generators, Independent Power Producers"/>
    <x v="6"/>
    <n v="136783"/>
  </r>
  <r>
    <x v="17"/>
    <x v="34"/>
    <s v="Electric Generators, Electric Utilities"/>
    <x v="0"/>
    <n v="40247883"/>
  </r>
  <r>
    <x v="17"/>
    <x v="34"/>
    <s v="Electric Generators, Electric Utilities"/>
    <x v="1"/>
    <n v="1359061"/>
  </r>
  <r>
    <x v="17"/>
    <x v="34"/>
    <s v="Electric Generators, Electric Utilities"/>
    <x v="2"/>
    <n v="20907191"/>
  </r>
  <r>
    <x v="17"/>
    <x v="34"/>
    <s v="Electric Generators, Electric Utilities"/>
    <x v="3"/>
    <n v="14300643"/>
  </r>
  <r>
    <x v="17"/>
    <x v="34"/>
    <s v="Electric Generators, Electric Utilities"/>
    <x v="4"/>
    <n v="4449368"/>
  </r>
  <r>
    <x v="17"/>
    <x v="34"/>
    <s v="Electric Generators, Electric Utilities"/>
    <x v="10"/>
    <n v="-768380"/>
  </r>
  <r>
    <x v="17"/>
    <x v="34"/>
    <s v="Combined Heat and Power, Industrial Power"/>
    <x v="0"/>
    <n v="1246102"/>
  </r>
  <r>
    <x v="17"/>
    <x v="34"/>
    <s v="Combined Heat and Power, Industrial Power"/>
    <x v="1"/>
    <n v="528152"/>
  </r>
  <r>
    <x v="17"/>
    <x v="34"/>
    <s v="Combined Heat and Power, Industrial Power"/>
    <x v="2"/>
    <n v="58490"/>
  </r>
  <r>
    <x v="17"/>
    <x v="34"/>
    <s v="Combined Heat and Power, Industrial Power"/>
    <x v="3"/>
    <n v="266694"/>
  </r>
  <r>
    <x v="17"/>
    <x v="34"/>
    <s v="Combined Heat and Power, Industrial Power"/>
    <x v="4"/>
    <n v="171255"/>
  </r>
  <r>
    <x v="17"/>
    <x v="34"/>
    <s v="Combined Heat and Power, Industrial Power"/>
    <x v="6"/>
    <n v="221512"/>
  </r>
  <r>
    <x v="17"/>
    <x v="34"/>
    <s v="Combined Heat and Power, Electric Power"/>
    <x v="0"/>
    <n v="12388247"/>
  </r>
  <r>
    <x v="17"/>
    <x v="34"/>
    <s v="Combined Heat and Power, Electric Power"/>
    <x v="1"/>
    <n v="844114"/>
  </r>
  <r>
    <x v="17"/>
    <x v="34"/>
    <s v="Combined Heat and Power, Electric Power"/>
    <x v="3"/>
    <n v="11088521"/>
  </r>
  <r>
    <x v="17"/>
    <x v="34"/>
    <s v="Combined Heat and Power, Electric Power"/>
    <x v="12"/>
    <n v="97633"/>
  </r>
  <r>
    <x v="17"/>
    <x v="34"/>
    <s v="Combined Heat and Power, Electric Power"/>
    <x v="8"/>
    <n v="131676"/>
  </r>
  <r>
    <x v="17"/>
    <x v="34"/>
    <s v="Combined Heat and Power, Electric Power"/>
    <x v="4"/>
    <n v="92336"/>
  </r>
  <r>
    <x v="17"/>
    <x v="34"/>
    <s v="Combined Heat and Power, Electric Power"/>
    <x v="6"/>
    <n v="133966"/>
  </r>
  <r>
    <x v="17"/>
    <x v="34"/>
    <s v="Combined Heat and Power, Commercial Power"/>
    <x v="0"/>
    <n v="663182"/>
  </r>
  <r>
    <x v="17"/>
    <x v="34"/>
    <s v="Combined Heat and Power, Commercial Power"/>
    <x v="1"/>
    <n v="22405"/>
  </r>
  <r>
    <x v="17"/>
    <x v="34"/>
    <s v="Combined Heat and Power, Commercial Power"/>
    <x v="2"/>
    <n v="3532"/>
  </r>
  <r>
    <x v="17"/>
    <x v="34"/>
    <s v="Combined Heat and Power, Commercial Power"/>
    <x v="3"/>
    <n v="330556"/>
  </r>
  <r>
    <x v="17"/>
    <x v="34"/>
    <s v="Combined Heat and Power, Commercial Power"/>
    <x v="12"/>
    <n v="101464"/>
  </r>
  <r>
    <x v="17"/>
    <x v="34"/>
    <s v="Combined Heat and Power, Commercial Power"/>
    <x v="8"/>
    <n v="129135"/>
  </r>
  <r>
    <x v="17"/>
    <x v="34"/>
    <s v="Combined Heat and Power, Commercial Power"/>
    <x v="4"/>
    <n v="76090"/>
  </r>
  <r>
    <x v="17"/>
    <x v="35"/>
    <s v="Total Electric Power Industry"/>
    <x v="0"/>
    <n v="155155545"/>
  </r>
  <r>
    <x v="17"/>
    <x v="35"/>
    <s v="Total Electric Power Industry"/>
    <x v="1"/>
    <n v="133130679"/>
  </r>
  <r>
    <x v="17"/>
    <x v="35"/>
    <s v="Total Electric Power Industry"/>
    <x v="2"/>
    <n v="410436"/>
  </r>
  <r>
    <x v="17"/>
    <x v="35"/>
    <s v="Total Electric Power Industry"/>
    <x v="3"/>
    <n v="3974897"/>
  </r>
  <r>
    <x v="17"/>
    <x v="35"/>
    <s v="Total Electric Power Industry"/>
    <x v="7"/>
    <n v="15764049"/>
  </r>
  <r>
    <x v="17"/>
    <x v="35"/>
    <s v="Total Electric Power Industry"/>
    <x v="12"/>
    <n v="3322"/>
  </r>
  <r>
    <x v="17"/>
    <x v="35"/>
    <s v="Total Electric Power Industry"/>
    <x v="8"/>
    <n v="21017"/>
  </r>
  <r>
    <x v="17"/>
    <x v="35"/>
    <s v="Total Electric Power Industry"/>
    <x v="9"/>
    <n v="289273"/>
  </r>
  <r>
    <x v="17"/>
    <x v="35"/>
    <s v="Total Electric Power Industry"/>
    <x v="4"/>
    <n v="1147746"/>
  </r>
  <r>
    <x v="17"/>
    <x v="35"/>
    <s v="Total Electric Power Industry"/>
    <x v="5"/>
    <n v="14748"/>
  </r>
  <r>
    <x v="17"/>
    <x v="35"/>
    <s v="Total Electric Power Industry"/>
    <x v="6"/>
    <n v="399378"/>
  </r>
  <r>
    <x v="17"/>
    <x v="35"/>
    <s v="Electric Generators, Independent Power Producers"/>
    <x v="0"/>
    <n v="53365757"/>
  </r>
  <r>
    <x v="17"/>
    <x v="35"/>
    <s v="Electric Generators, Independent Power Producers"/>
    <x v="1"/>
    <n v="33989248"/>
  </r>
  <r>
    <x v="17"/>
    <x v="35"/>
    <s v="Electric Generators, Independent Power Producers"/>
    <x v="3"/>
    <n v="2702658"/>
  </r>
  <r>
    <x v="17"/>
    <x v="35"/>
    <s v="Electric Generators, Independent Power Producers"/>
    <x v="7"/>
    <n v="15764049"/>
  </r>
  <r>
    <x v="17"/>
    <x v="35"/>
    <s v="Electric Generators, Independent Power Producers"/>
    <x v="8"/>
    <n v="10972"/>
  </r>
  <r>
    <x v="17"/>
    <x v="35"/>
    <s v="Electric Generators, Independent Power Producers"/>
    <x v="4"/>
    <n v="898830"/>
  </r>
  <r>
    <x v="17"/>
    <x v="35"/>
    <s v="Electric Generators, Electric Utilities"/>
    <x v="0"/>
    <n v="100536445"/>
  </r>
  <r>
    <x v="17"/>
    <x v="35"/>
    <s v="Electric Generators, Electric Utilities"/>
    <x v="1"/>
    <n v="98791919"/>
  </r>
  <r>
    <x v="17"/>
    <x v="35"/>
    <s v="Electric Generators, Electric Utilities"/>
    <x v="2"/>
    <n v="410436"/>
  </r>
  <r>
    <x v="17"/>
    <x v="35"/>
    <s v="Electric Generators, Electric Utilities"/>
    <x v="3"/>
    <n v="1078551"/>
  </r>
  <r>
    <x v="17"/>
    <x v="35"/>
    <s v="Electric Generators, Electric Utilities"/>
    <x v="12"/>
    <n v="0"/>
  </r>
  <r>
    <x v="17"/>
    <x v="35"/>
    <s v="Electric Generators, Electric Utilities"/>
    <x v="4"/>
    <n v="240791"/>
  </r>
  <r>
    <x v="17"/>
    <x v="35"/>
    <s v="Electric Generators, Electric Utilities"/>
    <x v="5"/>
    <n v="14748"/>
  </r>
  <r>
    <x v="17"/>
    <x v="35"/>
    <s v="Electric Generators, Electric Utilities"/>
    <x v="6"/>
    <n v="0"/>
  </r>
  <r>
    <x v="17"/>
    <x v="35"/>
    <s v="Combined Heat and Power, Industrial Power"/>
    <x v="0"/>
    <n v="903300"/>
  </r>
  <r>
    <x v="17"/>
    <x v="35"/>
    <s v="Combined Heat and Power, Industrial Power"/>
    <x v="1"/>
    <n v="349512"/>
  </r>
  <r>
    <x v="17"/>
    <x v="35"/>
    <s v="Combined Heat and Power, Industrial Power"/>
    <x v="3"/>
    <n v="28978"/>
  </r>
  <r>
    <x v="17"/>
    <x v="35"/>
    <s v="Combined Heat and Power, Industrial Power"/>
    <x v="12"/>
    <n v="3322"/>
  </r>
  <r>
    <x v="17"/>
    <x v="35"/>
    <s v="Combined Heat and Power, Industrial Power"/>
    <x v="8"/>
    <n v="10045"/>
  </r>
  <r>
    <x v="17"/>
    <x v="35"/>
    <s v="Combined Heat and Power, Industrial Power"/>
    <x v="9"/>
    <n v="135150"/>
  </r>
  <r>
    <x v="17"/>
    <x v="35"/>
    <s v="Combined Heat and Power, Industrial Power"/>
    <x v="4"/>
    <n v="8124"/>
  </r>
  <r>
    <x v="17"/>
    <x v="35"/>
    <s v="Combined Heat and Power, Industrial Power"/>
    <x v="6"/>
    <n v="368169"/>
  </r>
  <r>
    <x v="17"/>
    <x v="35"/>
    <s v="Combined Heat and Power, Electric Power"/>
    <x v="0"/>
    <n v="350043"/>
  </r>
  <r>
    <x v="17"/>
    <x v="35"/>
    <s v="Combined Heat and Power, Electric Power"/>
    <x v="3"/>
    <n v="164711"/>
  </r>
  <r>
    <x v="17"/>
    <x v="35"/>
    <s v="Combined Heat and Power, Electric Power"/>
    <x v="9"/>
    <n v="154123"/>
  </r>
  <r>
    <x v="17"/>
    <x v="35"/>
    <s v="Combined Heat and Power, Electric Power"/>
    <x v="6"/>
    <n v="31210"/>
  </r>
  <r>
    <x v="17"/>
    <x v="35"/>
    <s v="Combined Heat and Power, Commercial Power"/>
    <x v="0"/>
    <n v="0"/>
  </r>
  <r>
    <x v="17"/>
    <x v="35"/>
    <s v="Combined Heat and Power, Commercial Power"/>
    <x v="1"/>
    <n v="0"/>
  </r>
  <r>
    <x v="17"/>
    <x v="35"/>
    <s v="Combined Heat and Power, Commercial Power"/>
    <x v="3"/>
    <n v="0"/>
  </r>
  <r>
    <x v="17"/>
    <x v="35"/>
    <s v="Combined Heat and Power, Commercial Power"/>
    <x v="12"/>
    <n v="0"/>
  </r>
  <r>
    <x v="17"/>
    <x v="35"/>
    <s v="Combined Heat and Power, Commercial Power"/>
    <x v="4"/>
    <n v="0"/>
  </r>
  <r>
    <x v="17"/>
    <x v="35"/>
    <s v="Combined Heat and Power, Commercial Power"/>
    <x v="6"/>
    <n v="0"/>
  </r>
  <r>
    <x v="17"/>
    <x v="36"/>
    <s v="Total Electric Power Industry"/>
    <x v="0"/>
    <n v="72819095"/>
  </r>
  <r>
    <x v="17"/>
    <x v="36"/>
    <s v="Total Electric Power Industry"/>
    <x v="1"/>
    <n v="34437937"/>
  </r>
  <r>
    <x v="17"/>
    <x v="36"/>
    <s v="Total Electric Power Industry"/>
    <x v="2"/>
    <n v="3065862"/>
  </r>
  <r>
    <x v="17"/>
    <x v="36"/>
    <s v="Total Electric Power Industry"/>
    <x v="3"/>
    <n v="33143911"/>
  </r>
  <r>
    <x v="17"/>
    <x v="36"/>
    <s v="Total Electric Power Industry"/>
    <x v="12"/>
    <n v="25269"/>
  </r>
  <r>
    <x v="17"/>
    <x v="36"/>
    <s v="Total Electric Power Industry"/>
    <x v="8"/>
    <n v="3721"/>
  </r>
  <r>
    <x v="17"/>
    <x v="36"/>
    <s v="Total Electric Power Industry"/>
    <x v="9"/>
    <n v="22474"/>
  </r>
  <r>
    <x v="17"/>
    <x v="36"/>
    <s v="Total Electric Power Industry"/>
    <x v="4"/>
    <n v="160488"/>
  </r>
  <r>
    <x v="17"/>
    <x v="36"/>
    <s v="Total Electric Power Industry"/>
    <x v="10"/>
    <n v="-165844"/>
  </r>
  <r>
    <x v="17"/>
    <x v="36"/>
    <s v="Total Electric Power Industry"/>
    <x v="5"/>
    <n v="1849144"/>
  </r>
  <r>
    <x v="17"/>
    <x v="36"/>
    <s v="Total Electric Power Industry"/>
    <x v="6"/>
    <n v="276133"/>
  </r>
  <r>
    <x v="17"/>
    <x v="36"/>
    <s v="Electric Generators, Independent Power Producers"/>
    <x v="0"/>
    <n v="14870672"/>
  </r>
  <r>
    <x v="17"/>
    <x v="36"/>
    <s v="Electric Generators, Independent Power Producers"/>
    <x v="3"/>
    <n v="13379354"/>
  </r>
  <r>
    <x v="17"/>
    <x v="36"/>
    <s v="Electric Generators, Independent Power Producers"/>
    <x v="5"/>
    <n v="1491318"/>
  </r>
  <r>
    <x v="17"/>
    <x v="36"/>
    <s v="Electric Generators, Electric Utilities"/>
    <x v="0"/>
    <n v="54177692"/>
  </r>
  <r>
    <x v="17"/>
    <x v="36"/>
    <s v="Electric Generators, Electric Utilities"/>
    <x v="1"/>
    <n v="31610751"/>
  </r>
  <r>
    <x v="17"/>
    <x v="36"/>
    <s v="Electric Generators, Electric Utilities"/>
    <x v="2"/>
    <n v="3065862"/>
  </r>
  <r>
    <x v="17"/>
    <x v="36"/>
    <s v="Electric Generators, Electric Utilities"/>
    <x v="3"/>
    <n v="19169706"/>
  </r>
  <r>
    <x v="17"/>
    <x v="36"/>
    <s v="Electric Generators, Electric Utilities"/>
    <x v="4"/>
    <n v="139391"/>
  </r>
  <r>
    <x v="17"/>
    <x v="36"/>
    <s v="Electric Generators, Electric Utilities"/>
    <x v="10"/>
    <n v="-165844"/>
  </r>
  <r>
    <x v="17"/>
    <x v="36"/>
    <s v="Electric Generators, Electric Utilities"/>
    <x v="5"/>
    <n v="357826"/>
  </r>
  <r>
    <x v="17"/>
    <x v="36"/>
    <s v="Combined Heat and Power, Industrial Power"/>
    <x v="0"/>
    <n v="891085"/>
  </r>
  <r>
    <x v="17"/>
    <x v="36"/>
    <s v="Combined Heat and Power, Industrial Power"/>
    <x v="1"/>
    <n v="432688"/>
  </r>
  <r>
    <x v="17"/>
    <x v="36"/>
    <s v="Combined Heat and Power, Industrial Power"/>
    <x v="3"/>
    <n v="109996"/>
  </r>
  <r>
    <x v="17"/>
    <x v="36"/>
    <s v="Combined Heat and Power, Industrial Power"/>
    <x v="12"/>
    <n v="25269"/>
  </r>
  <r>
    <x v="17"/>
    <x v="36"/>
    <s v="Combined Heat and Power, Industrial Power"/>
    <x v="8"/>
    <n v="3721"/>
  </r>
  <r>
    <x v="17"/>
    <x v="36"/>
    <s v="Combined Heat and Power, Industrial Power"/>
    <x v="9"/>
    <n v="22474"/>
  </r>
  <r>
    <x v="17"/>
    <x v="36"/>
    <s v="Combined Heat and Power, Industrial Power"/>
    <x v="4"/>
    <n v="20804"/>
  </r>
  <r>
    <x v="17"/>
    <x v="36"/>
    <s v="Combined Heat and Power, Industrial Power"/>
    <x v="6"/>
    <n v="276133"/>
  </r>
  <r>
    <x v="17"/>
    <x v="36"/>
    <s v="Combined Heat and Power, Electric Power"/>
    <x v="0"/>
    <n v="2853754"/>
  </r>
  <r>
    <x v="17"/>
    <x v="36"/>
    <s v="Combined Heat and Power, Electric Power"/>
    <x v="1"/>
    <n v="2394498"/>
  </r>
  <r>
    <x v="17"/>
    <x v="36"/>
    <s v="Combined Heat and Power, Electric Power"/>
    <x v="3"/>
    <n v="459256"/>
  </r>
  <r>
    <x v="17"/>
    <x v="36"/>
    <s v="Combined Heat and Power, Commercial Power"/>
    <x v="0"/>
    <n v="25892"/>
  </r>
  <r>
    <x v="17"/>
    <x v="36"/>
    <s v="Combined Heat and Power, Commercial Power"/>
    <x v="3"/>
    <n v="25599"/>
  </r>
  <r>
    <x v="17"/>
    <x v="36"/>
    <s v="Combined Heat and Power, Commercial Power"/>
    <x v="4"/>
    <n v="292"/>
  </r>
  <r>
    <x v="17"/>
    <x v="37"/>
    <s v="Total Electric Power Industry"/>
    <x v="0"/>
    <n v="55077794"/>
  </r>
  <r>
    <x v="17"/>
    <x v="37"/>
    <s v="Total Electric Power Industry"/>
    <x v="1"/>
    <n v="4351624"/>
  </r>
  <r>
    <x v="17"/>
    <x v="37"/>
    <s v="Total Electric Power Industry"/>
    <x v="2"/>
    <n v="33587439"/>
  </r>
  <r>
    <x v="17"/>
    <x v="37"/>
    <s v="Total Electric Power Industry"/>
    <x v="3"/>
    <n v="14857668"/>
  </r>
  <r>
    <x v="17"/>
    <x v="37"/>
    <s v="Total Electric Power Industry"/>
    <x v="12"/>
    <n v="38483"/>
  </r>
  <r>
    <x v="17"/>
    <x v="37"/>
    <s v="Total Electric Power Industry"/>
    <x v="8"/>
    <n v="138733"/>
  </r>
  <r>
    <x v="17"/>
    <x v="37"/>
    <s v="Total Electric Power Industry"/>
    <x v="4"/>
    <n v="14287"/>
  </r>
  <r>
    <x v="17"/>
    <x v="37"/>
    <s v="Total Electric Power Industry"/>
    <x v="5"/>
    <n v="1246994"/>
  </r>
  <r>
    <x v="17"/>
    <x v="37"/>
    <s v="Total Electric Power Industry"/>
    <x v="6"/>
    <n v="842565"/>
  </r>
  <r>
    <x v="17"/>
    <x v="37"/>
    <s v="Electric Generators, Independent Power Producers"/>
    <x v="0"/>
    <n v="4268893"/>
  </r>
  <r>
    <x v="17"/>
    <x v="37"/>
    <s v="Electric Generators, Independent Power Producers"/>
    <x v="2"/>
    <n v="220122"/>
  </r>
  <r>
    <x v="17"/>
    <x v="37"/>
    <s v="Electric Generators, Independent Power Producers"/>
    <x v="3"/>
    <n v="3103628"/>
  </r>
  <r>
    <x v="17"/>
    <x v="37"/>
    <s v="Electric Generators, Independent Power Producers"/>
    <x v="5"/>
    <n v="945142"/>
  </r>
  <r>
    <x v="17"/>
    <x v="37"/>
    <s v="Electric Generators, Electric Utilities"/>
    <x v="0"/>
    <n v="43202516"/>
  </r>
  <r>
    <x v="17"/>
    <x v="37"/>
    <s v="Electric Generators, Electric Utilities"/>
    <x v="1"/>
    <n v="4351624"/>
  </r>
  <r>
    <x v="17"/>
    <x v="37"/>
    <s v="Electric Generators, Electric Utilities"/>
    <x v="2"/>
    <n v="33367317"/>
  </r>
  <r>
    <x v="17"/>
    <x v="37"/>
    <s v="Electric Generators, Electric Utilities"/>
    <x v="3"/>
    <n v="5137296"/>
  </r>
  <r>
    <x v="17"/>
    <x v="37"/>
    <s v="Electric Generators, Electric Utilities"/>
    <x v="8"/>
    <n v="39383"/>
  </r>
  <r>
    <x v="17"/>
    <x v="37"/>
    <s v="Electric Generators, Electric Utilities"/>
    <x v="4"/>
    <n v="5044"/>
  </r>
  <r>
    <x v="17"/>
    <x v="37"/>
    <s v="Electric Generators, Electric Utilities"/>
    <x v="5"/>
    <n v="301852"/>
  </r>
  <r>
    <x v="17"/>
    <x v="37"/>
    <s v="Combined Heat and Power, Industrial Power"/>
    <x v="0"/>
    <n v="1407868"/>
  </r>
  <r>
    <x v="17"/>
    <x v="37"/>
    <s v="Combined Heat and Power, Industrial Power"/>
    <x v="3"/>
    <n v="759732"/>
  </r>
  <r>
    <x v="17"/>
    <x v="37"/>
    <s v="Combined Heat and Power, Industrial Power"/>
    <x v="8"/>
    <n v="38345"/>
  </r>
  <r>
    <x v="17"/>
    <x v="37"/>
    <s v="Combined Heat and Power, Industrial Power"/>
    <x v="4"/>
    <n v="9243"/>
  </r>
  <r>
    <x v="17"/>
    <x v="37"/>
    <s v="Combined Heat and Power, Industrial Power"/>
    <x v="6"/>
    <n v="600549"/>
  </r>
  <r>
    <x v="17"/>
    <x v="37"/>
    <s v="Combined Heat and Power, Electric Power"/>
    <x v="0"/>
    <n v="6181357"/>
  </r>
  <r>
    <x v="17"/>
    <x v="37"/>
    <s v="Combined Heat and Power, Electric Power"/>
    <x v="3"/>
    <n v="5851877"/>
  </r>
  <r>
    <x v="17"/>
    <x v="37"/>
    <s v="Combined Heat and Power, Electric Power"/>
    <x v="12"/>
    <n v="38483"/>
  </r>
  <r>
    <x v="17"/>
    <x v="37"/>
    <s v="Combined Heat and Power, Electric Power"/>
    <x v="8"/>
    <n v="48980"/>
  </r>
  <r>
    <x v="17"/>
    <x v="37"/>
    <s v="Combined Heat and Power, Electric Power"/>
    <x v="6"/>
    <n v="242017"/>
  </r>
  <r>
    <x v="17"/>
    <x v="37"/>
    <s v="Combined Heat and Power, Commercial Power"/>
    <x v="0"/>
    <n v="17160"/>
  </r>
  <r>
    <x v="17"/>
    <x v="37"/>
    <s v="Combined Heat and Power, Commercial Power"/>
    <x v="3"/>
    <n v="5134"/>
  </r>
  <r>
    <x v="17"/>
    <x v="37"/>
    <s v="Combined Heat and Power, Commercial Power"/>
    <x v="8"/>
    <n v="12026"/>
  </r>
  <r>
    <x v="17"/>
    <x v="37"/>
    <s v="Combined Heat and Power, Commercial Power"/>
    <x v="4"/>
    <n v="0"/>
  </r>
  <r>
    <x v="17"/>
    <x v="38"/>
    <s v="Total Electric Power Industry"/>
    <x v="0"/>
    <n v="226088340"/>
  </r>
  <r>
    <x v="17"/>
    <x v="38"/>
    <s v="Total Electric Power Industry"/>
    <x v="1"/>
    <n v="122693094"/>
  </r>
  <r>
    <x v="17"/>
    <x v="38"/>
    <s v="Total Electric Power Industry"/>
    <x v="2"/>
    <n v="2235982"/>
  </r>
  <r>
    <x v="17"/>
    <x v="38"/>
    <s v="Total Electric Power Industry"/>
    <x v="3"/>
    <n v="19197600"/>
  </r>
  <r>
    <x v="17"/>
    <x v="38"/>
    <s v="Total Electric Power Industry"/>
    <x v="7"/>
    <n v="77376316"/>
  </r>
  <r>
    <x v="17"/>
    <x v="38"/>
    <s v="Total Electric Power Industry"/>
    <x v="12"/>
    <n v="743948"/>
  </r>
  <r>
    <x v="17"/>
    <x v="38"/>
    <s v="Total Electric Power Industry"/>
    <x v="8"/>
    <n v="1456611"/>
  </r>
  <r>
    <x v="17"/>
    <x v="38"/>
    <s v="Total Electric Power Industry"/>
    <x v="9"/>
    <n v="533986"/>
  </r>
  <r>
    <x v="17"/>
    <x v="38"/>
    <s v="Total Electric Power Industry"/>
    <x v="4"/>
    <n v="1484074"/>
  </r>
  <r>
    <x v="17"/>
    <x v="38"/>
    <s v="Total Electric Power Industry"/>
    <x v="10"/>
    <n v="-722855"/>
  </r>
  <r>
    <x v="17"/>
    <x v="38"/>
    <s v="Total Electric Power Industry"/>
    <x v="5"/>
    <n v="470018"/>
  </r>
  <r>
    <x v="17"/>
    <x v="38"/>
    <s v="Total Electric Power Industry"/>
    <x v="6"/>
    <n v="619567"/>
  </r>
  <r>
    <x v="17"/>
    <x v="38"/>
    <s v="Electric Generators, Independent Power Producers"/>
    <x v="0"/>
    <n v="212667687"/>
  </r>
  <r>
    <x v="17"/>
    <x v="38"/>
    <s v="Electric Generators, Independent Power Producers"/>
    <x v="1"/>
    <n v="116223899"/>
  </r>
  <r>
    <x v="17"/>
    <x v="38"/>
    <s v="Electric Generators, Independent Power Producers"/>
    <x v="2"/>
    <n v="1158593"/>
  </r>
  <r>
    <x v="17"/>
    <x v="38"/>
    <s v="Electric Generators, Independent Power Producers"/>
    <x v="3"/>
    <n v="15281255"/>
  </r>
  <r>
    <x v="17"/>
    <x v="38"/>
    <s v="Electric Generators, Independent Power Producers"/>
    <x v="7"/>
    <n v="77376316"/>
  </r>
  <r>
    <x v="17"/>
    <x v="38"/>
    <s v="Electric Generators, Independent Power Producers"/>
    <x v="12"/>
    <n v="611293"/>
  </r>
  <r>
    <x v="17"/>
    <x v="38"/>
    <s v="Electric Generators, Independent Power Producers"/>
    <x v="8"/>
    <n v="1017146"/>
  </r>
  <r>
    <x v="17"/>
    <x v="38"/>
    <s v="Electric Generators, Independent Power Producers"/>
    <x v="9"/>
    <n v="723"/>
  </r>
  <r>
    <x v="17"/>
    <x v="38"/>
    <s v="Electric Generators, Independent Power Producers"/>
    <x v="4"/>
    <n v="1251298"/>
  </r>
  <r>
    <x v="17"/>
    <x v="38"/>
    <s v="Electric Generators, Independent Power Producers"/>
    <x v="10"/>
    <n v="-722855"/>
  </r>
  <r>
    <x v="17"/>
    <x v="38"/>
    <s v="Electric Generators, Independent Power Producers"/>
    <x v="5"/>
    <n v="470018"/>
  </r>
  <r>
    <x v="17"/>
    <x v="38"/>
    <s v="Electric Generators, Electric Utilities"/>
    <x v="0"/>
    <n v="1077389"/>
  </r>
  <r>
    <x v="17"/>
    <x v="38"/>
    <s v="Electric Generators, Electric Utilities"/>
    <x v="2"/>
    <n v="1077389"/>
  </r>
  <r>
    <x v="17"/>
    <x v="38"/>
    <s v="Combined Heat and Power, Industrial Power"/>
    <x v="0"/>
    <n v="2925323"/>
  </r>
  <r>
    <x v="17"/>
    <x v="38"/>
    <s v="Combined Heat and Power, Industrial Power"/>
    <x v="1"/>
    <n v="1147717"/>
  </r>
  <r>
    <x v="17"/>
    <x v="38"/>
    <s v="Combined Heat and Power, Industrial Power"/>
    <x v="3"/>
    <n v="598464"/>
  </r>
  <r>
    <x v="17"/>
    <x v="38"/>
    <s v="Combined Heat and Power, Industrial Power"/>
    <x v="8"/>
    <n v="2613"/>
  </r>
  <r>
    <x v="17"/>
    <x v="38"/>
    <s v="Combined Heat and Power, Industrial Power"/>
    <x v="9"/>
    <n v="533122"/>
  </r>
  <r>
    <x v="17"/>
    <x v="38"/>
    <s v="Combined Heat and Power, Industrial Power"/>
    <x v="4"/>
    <n v="215179"/>
  </r>
  <r>
    <x v="17"/>
    <x v="38"/>
    <s v="Combined Heat and Power, Industrial Power"/>
    <x v="6"/>
    <n v="428226"/>
  </r>
  <r>
    <x v="17"/>
    <x v="38"/>
    <s v="Combined Heat and Power, Electric Power"/>
    <x v="0"/>
    <n v="9033246"/>
  </r>
  <r>
    <x v="17"/>
    <x v="38"/>
    <s v="Combined Heat and Power, Electric Power"/>
    <x v="1"/>
    <n v="5317186"/>
  </r>
  <r>
    <x v="17"/>
    <x v="38"/>
    <s v="Combined Heat and Power, Electric Power"/>
    <x v="3"/>
    <n v="3148776"/>
  </r>
  <r>
    <x v="17"/>
    <x v="38"/>
    <s v="Combined Heat and Power, Electric Power"/>
    <x v="12"/>
    <n v="41554"/>
  </r>
  <r>
    <x v="17"/>
    <x v="38"/>
    <s v="Combined Heat and Power, Electric Power"/>
    <x v="8"/>
    <n v="320907"/>
  </r>
  <r>
    <x v="17"/>
    <x v="38"/>
    <s v="Combined Heat and Power, Electric Power"/>
    <x v="9"/>
    <n v="141"/>
  </r>
  <r>
    <x v="17"/>
    <x v="38"/>
    <s v="Combined Heat and Power, Electric Power"/>
    <x v="4"/>
    <n v="13343"/>
  </r>
  <r>
    <x v="17"/>
    <x v="38"/>
    <s v="Combined Heat and Power, Electric Power"/>
    <x v="6"/>
    <n v="191340"/>
  </r>
  <r>
    <x v="17"/>
    <x v="38"/>
    <s v="Combined Heat and Power, Commercial Power"/>
    <x v="0"/>
    <n v="384695"/>
  </r>
  <r>
    <x v="17"/>
    <x v="38"/>
    <s v="Combined Heat and Power, Commercial Power"/>
    <x v="1"/>
    <n v="4292"/>
  </r>
  <r>
    <x v="17"/>
    <x v="38"/>
    <s v="Combined Heat and Power, Commercial Power"/>
    <x v="3"/>
    <n v="169104"/>
  </r>
  <r>
    <x v="17"/>
    <x v="38"/>
    <s v="Combined Heat and Power, Commercial Power"/>
    <x v="12"/>
    <n v="91102"/>
  </r>
  <r>
    <x v="17"/>
    <x v="38"/>
    <s v="Combined Heat and Power, Commercial Power"/>
    <x v="8"/>
    <n v="115944"/>
  </r>
  <r>
    <x v="17"/>
    <x v="38"/>
    <s v="Combined Heat and Power, Commercial Power"/>
    <x v="4"/>
    <n v="4253"/>
  </r>
  <r>
    <x v="17"/>
    <x v="39"/>
    <s v="Total Electric Power Industry"/>
    <x v="0"/>
    <n v="7049844"/>
  </r>
  <r>
    <x v="17"/>
    <x v="39"/>
    <s v="Total Electric Power Industry"/>
    <x v="2"/>
    <n v="4364"/>
  </r>
  <r>
    <x v="17"/>
    <x v="39"/>
    <s v="Total Electric Power Industry"/>
    <x v="3"/>
    <n v="6856772"/>
  </r>
  <r>
    <x v="17"/>
    <x v="39"/>
    <s v="Total Electric Power Industry"/>
    <x v="8"/>
    <n v="154757"/>
  </r>
  <r>
    <x v="17"/>
    <x v="39"/>
    <s v="Total Electric Power Industry"/>
    <x v="4"/>
    <n v="33951"/>
  </r>
  <r>
    <x v="17"/>
    <x v="39"/>
    <s v="Electric Generators, Independent Power Producers"/>
    <x v="0"/>
    <n v="6988706"/>
  </r>
  <r>
    <x v="17"/>
    <x v="39"/>
    <s v="Electric Generators, Independent Power Producers"/>
    <x v="2"/>
    <n v="4364"/>
  </r>
  <r>
    <x v="17"/>
    <x v="39"/>
    <s v="Electric Generators, Independent Power Producers"/>
    <x v="3"/>
    <n v="6820235"/>
  </r>
  <r>
    <x v="17"/>
    <x v="39"/>
    <s v="Electric Generators, Independent Power Producers"/>
    <x v="8"/>
    <n v="154757"/>
  </r>
  <r>
    <x v="17"/>
    <x v="39"/>
    <s v="Electric Generators, Independent Power Producers"/>
    <x v="4"/>
    <n v="9350"/>
  </r>
  <r>
    <x v="17"/>
    <x v="39"/>
    <s v="Electric Generators, Electric Utilities"/>
    <x v="0"/>
    <n v="11075"/>
  </r>
  <r>
    <x v="17"/>
    <x v="39"/>
    <s v="Electric Generators, Electric Utilities"/>
    <x v="4"/>
    <n v="11075"/>
  </r>
  <r>
    <x v="17"/>
    <x v="39"/>
    <s v="Combined Heat and Power, Industrial Power"/>
    <x v="0"/>
    <n v="825"/>
  </r>
  <r>
    <x v="17"/>
    <x v="39"/>
    <s v="Combined Heat and Power, Industrial Power"/>
    <x v="4"/>
    <n v="825"/>
  </r>
  <r>
    <x v="17"/>
    <x v="39"/>
    <s v="Combined Heat and Power, Commercial Power"/>
    <x v="0"/>
    <n v="49238"/>
  </r>
  <r>
    <x v="17"/>
    <x v="39"/>
    <s v="Combined Heat and Power, Commercial Power"/>
    <x v="3"/>
    <n v="36537"/>
  </r>
  <r>
    <x v="17"/>
    <x v="39"/>
    <s v="Combined Heat and Power, Commercial Power"/>
    <x v="4"/>
    <n v="12701"/>
  </r>
  <r>
    <x v="17"/>
    <x v="40"/>
    <s v="Total Electric Power Industry"/>
    <x v="0"/>
    <n v="103402142"/>
  </r>
  <r>
    <x v="17"/>
    <x v="40"/>
    <s v="Total Electric Power Industry"/>
    <x v="1"/>
    <n v="41582670"/>
  </r>
  <r>
    <x v="17"/>
    <x v="40"/>
    <s v="Total Electric Power Industry"/>
    <x v="2"/>
    <n v="1555912"/>
  </r>
  <r>
    <x v="17"/>
    <x v="40"/>
    <s v="Total Electric Power Industry"/>
    <x v="3"/>
    <n v="5964558"/>
  </r>
  <r>
    <x v="17"/>
    <x v="40"/>
    <s v="Total Electric Power Industry"/>
    <x v="7"/>
    <n v="53199914"/>
  </r>
  <r>
    <x v="17"/>
    <x v="40"/>
    <s v="Total Electric Power Industry"/>
    <x v="12"/>
    <n v="96366"/>
  </r>
  <r>
    <x v="17"/>
    <x v="40"/>
    <s v="Total Electric Power Industry"/>
    <x v="8"/>
    <n v="100602"/>
  </r>
  <r>
    <x v="17"/>
    <x v="40"/>
    <s v="Total Electric Power Industry"/>
    <x v="9"/>
    <n v="15"/>
  </r>
  <r>
    <x v="17"/>
    <x v="40"/>
    <s v="Total Electric Power Industry"/>
    <x v="4"/>
    <n v="217287"/>
  </r>
  <r>
    <x v="17"/>
    <x v="40"/>
    <s v="Total Electric Power Industry"/>
    <x v="10"/>
    <n v="-1210614"/>
  </r>
  <r>
    <x v="17"/>
    <x v="40"/>
    <s v="Total Electric Power Industry"/>
    <x v="6"/>
    <n v="1895432"/>
  </r>
  <r>
    <x v="17"/>
    <x v="40"/>
    <s v="Electric Generators, Independent Power Producers"/>
    <x v="0"/>
    <n v="770890"/>
  </r>
  <r>
    <x v="17"/>
    <x v="40"/>
    <s v="Electric Generators, Independent Power Producers"/>
    <x v="2"/>
    <n v="31711"/>
  </r>
  <r>
    <x v="17"/>
    <x v="40"/>
    <s v="Electric Generators, Independent Power Producers"/>
    <x v="3"/>
    <n v="739047"/>
  </r>
  <r>
    <x v="17"/>
    <x v="40"/>
    <s v="Electric Generators, Independent Power Producers"/>
    <x v="4"/>
    <n v="132"/>
  </r>
  <r>
    <x v="17"/>
    <x v="40"/>
    <s v="Electric Generators, Electric Utilities"/>
    <x v="0"/>
    <n v="99997011"/>
  </r>
  <r>
    <x v="17"/>
    <x v="40"/>
    <s v="Electric Generators, Electric Utilities"/>
    <x v="1"/>
    <n v="41270230"/>
  </r>
  <r>
    <x v="17"/>
    <x v="40"/>
    <s v="Electric Generators, Electric Utilities"/>
    <x v="2"/>
    <n v="1523502"/>
  </r>
  <r>
    <x v="17"/>
    <x v="40"/>
    <s v="Electric Generators, Electric Utilities"/>
    <x v="3"/>
    <n v="4599720"/>
  </r>
  <r>
    <x v="17"/>
    <x v="40"/>
    <s v="Electric Generators, Electric Utilities"/>
    <x v="7"/>
    <n v="53199914"/>
  </r>
  <r>
    <x v="17"/>
    <x v="40"/>
    <s v="Electric Generators, Electric Utilities"/>
    <x v="8"/>
    <n v="63842"/>
  </r>
  <r>
    <x v="17"/>
    <x v="40"/>
    <s v="Electric Generators, Electric Utilities"/>
    <x v="4"/>
    <n v="174663"/>
  </r>
  <r>
    <x v="17"/>
    <x v="40"/>
    <s v="Electric Generators, Electric Utilities"/>
    <x v="10"/>
    <n v="-1210614"/>
  </r>
  <r>
    <x v="17"/>
    <x v="40"/>
    <s v="Electric Generators, Electric Utilities"/>
    <x v="6"/>
    <n v="375755"/>
  </r>
  <r>
    <x v="17"/>
    <x v="40"/>
    <s v="Combined Heat and Power, Industrial Power"/>
    <x v="0"/>
    <n v="1946078"/>
  </r>
  <r>
    <x v="17"/>
    <x v="40"/>
    <s v="Combined Heat and Power, Industrial Power"/>
    <x v="1"/>
    <n v="312439"/>
  </r>
  <r>
    <x v="17"/>
    <x v="40"/>
    <s v="Combined Heat and Power, Industrial Power"/>
    <x v="3"/>
    <n v="5303"/>
  </r>
  <r>
    <x v="17"/>
    <x v="40"/>
    <s v="Combined Heat and Power, Industrial Power"/>
    <x v="12"/>
    <n v="67483"/>
  </r>
  <r>
    <x v="17"/>
    <x v="40"/>
    <s v="Combined Heat and Power, Industrial Power"/>
    <x v="9"/>
    <n v="15"/>
  </r>
  <r>
    <x v="17"/>
    <x v="40"/>
    <s v="Combined Heat and Power, Industrial Power"/>
    <x v="4"/>
    <n v="41162"/>
  </r>
  <r>
    <x v="17"/>
    <x v="40"/>
    <s v="Combined Heat and Power, Industrial Power"/>
    <x v="6"/>
    <n v="1519677"/>
  </r>
  <r>
    <x v="17"/>
    <x v="40"/>
    <s v="Combined Heat and Power, Electric Power"/>
    <x v="0"/>
    <n v="619373"/>
  </r>
  <r>
    <x v="17"/>
    <x v="40"/>
    <s v="Combined Heat and Power, Electric Power"/>
    <x v="3"/>
    <n v="619163"/>
  </r>
  <r>
    <x v="17"/>
    <x v="40"/>
    <s v="Combined Heat and Power, Electric Power"/>
    <x v="4"/>
    <n v="210"/>
  </r>
  <r>
    <x v="17"/>
    <x v="40"/>
    <s v="Combined Heat and Power, Commercial Power"/>
    <x v="0"/>
    <n v="68789"/>
  </r>
  <r>
    <x v="17"/>
    <x v="40"/>
    <s v="Combined Heat and Power, Commercial Power"/>
    <x v="2"/>
    <n v="699"/>
  </r>
  <r>
    <x v="17"/>
    <x v="40"/>
    <s v="Combined Heat and Power, Commercial Power"/>
    <x v="3"/>
    <n v="1325"/>
  </r>
  <r>
    <x v="17"/>
    <x v="40"/>
    <s v="Combined Heat and Power, Commercial Power"/>
    <x v="12"/>
    <n v="28883"/>
  </r>
  <r>
    <x v="17"/>
    <x v="40"/>
    <s v="Combined Heat and Power, Commercial Power"/>
    <x v="8"/>
    <n v="36760"/>
  </r>
  <r>
    <x v="17"/>
    <x v="40"/>
    <s v="Combined Heat and Power, Commercial Power"/>
    <x v="4"/>
    <n v="1121"/>
  </r>
  <r>
    <x v="17"/>
    <x v="41"/>
    <s v="Total Electric Power Industry"/>
    <x v="0"/>
    <n v="6136605"/>
  </r>
  <r>
    <x v="17"/>
    <x v="41"/>
    <s v="Total Electric Power Industry"/>
    <x v="1"/>
    <n v="2655334"/>
  </r>
  <r>
    <x v="17"/>
    <x v="41"/>
    <s v="Total Electric Power Industry"/>
    <x v="2"/>
    <n v="2917283"/>
  </r>
  <r>
    <x v="17"/>
    <x v="41"/>
    <s v="Total Electric Power Industry"/>
    <x v="3"/>
    <n v="351042"/>
  </r>
  <r>
    <x v="17"/>
    <x v="41"/>
    <s v="Total Electric Power Industry"/>
    <x v="12"/>
    <n v="26"/>
  </r>
  <r>
    <x v="17"/>
    <x v="41"/>
    <s v="Total Electric Power Industry"/>
    <x v="4"/>
    <n v="62902"/>
  </r>
  <r>
    <x v="17"/>
    <x v="41"/>
    <s v="Total Electric Power Industry"/>
    <x v="5"/>
    <n v="150018"/>
  </r>
  <r>
    <x v="17"/>
    <x v="41"/>
    <s v="Electric Generators, Independent Power Producers"/>
    <x v="0"/>
    <n v="145352"/>
  </r>
  <r>
    <x v="17"/>
    <x v="41"/>
    <s v="Electric Generators, Independent Power Producers"/>
    <x v="4"/>
    <n v="555"/>
  </r>
  <r>
    <x v="17"/>
    <x v="41"/>
    <s v="Electric Generators, Independent Power Producers"/>
    <x v="5"/>
    <n v="144797"/>
  </r>
  <r>
    <x v="17"/>
    <x v="41"/>
    <s v="Electric Generators, Electric Utilities"/>
    <x v="0"/>
    <n v="5991253"/>
  </r>
  <r>
    <x v="17"/>
    <x v="41"/>
    <s v="Electric Generators, Electric Utilities"/>
    <x v="1"/>
    <n v="2655334"/>
  </r>
  <r>
    <x v="17"/>
    <x v="41"/>
    <s v="Electric Generators, Electric Utilities"/>
    <x v="2"/>
    <n v="2917283"/>
  </r>
  <r>
    <x v="17"/>
    <x v="41"/>
    <s v="Electric Generators, Electric Utilities"/>
    <x v="3"/>
    <n v="351042"/>
  </r>
  <r>
    <x v="17"/>
    <x v="41"/>
    <s v="Electric Generators, Electric Utilities"/>
    <x v="12"/>
    <n v="26"/>
  </r>
  <r>
    <x v="17"/>
    <x v="41"/>
    <s v="Electric Generators, Electric Utilities"/>
    <x v="4"/>
    <n v="62347"/>
  </r>
  <r>
    <x v="17"/>
    <x v="41"/>
    <s v="Electric Generators, Electric Utilities"/>
    <x v="5"/>
    <n v="5221"/>
  </r>
  <r>
    <x v="17"/>
    <x v="41"/>
    <s v="Combined Heat and Power, Commercial Power"/>
    <x v="0"/>
    <n v="0"/>
  </r>
  <r>
    <x v="17"/>
    <x v="41"/>
    <s v="Combined Heat and Power, Commercial Power"/>
    <x v="4"/>
    <n v="0"/>
  </r>
  <r>
    <x v="17"/>
    <x v="42"/>
    <s v="Total Electric Power Industry"/>
    <x v="0"/>
    <n v="95113409"/>
  </r>
  <r>
    <x v="17"/>
    <x v="42"/>
    <s v="Total Electric Power Industry"/>
    <x v="1"/>
    <n v="60237330"/>
  </r>
  <r>
    <x v="17"/>
    <x v="42"/>
    <s v="Total Electric Power Industry"/>
    <x v="2"/>
    <n v="4939601"/>
  </r>
  <r>
    <x v="17"/>
    <x v="42"/>
    <s v="Total Electric Power Industry"/>
    <x v="3"/>
    <n v="721838"/>
  </r>
  <r>
    <x v="17"/>
    <x v="42"/>
    <s v="Total Electric Power Industry"/>
    <x v="7"/>
    <n v="28700371"/>
  </r>
  <r>
    <x v="17"/>
    <x v="42"/>
    <s v="Total Electric Power Industry"/>
    <x v="12"/>
    <n v="2520"/>
  </r>
  <r>
    <x v="17"/>
    <x v="42"/>
    <s v="Total Electric Power Industry"/>
    <x v="8"/>
    <n v="52480"/>
  </r>
  <r>
    <x v="17"/>
    <x v="42"/>
    <s v="Total Electric Power Industry"/>
    <x v="9"/>
    <n v="13488"/>
  </r>
  <r>
    <x v="17"/>
    <x v="42"/>
    <s v="Total Electric Power Industry"/>
    <x v="4"/>
    <n v="232098"/>
  </r>
  <r>
    <x v="17"/>
    <x v="42"/>
    <s v="Total Electric Power Industry"/>
    <x v="10"/>
    <n v="-704364"/>
  </r>
  <r>
    <x v="17"/>
    <x v="42"/>
    <s v="Total Electric Power Industry"/>
    <x v="5"/>
    <n v="49937"/>
  </r>
  <r>
    <x v="17"/>
    <x v="42"/>
    <s v="Total Electric Power Industry"/>
    <x v="6"/>
    <n v="868110"/>
  </r>
  <r>
    <x v="17"/>
    <x v="42"/>
    <s v="Electric Generators, Independent Power Producers"/>
    <x v="0"/>
    <n v="122710"/>
  </r>
  <r>
    <x v="17"/>
    <x v="42"/>
    <s v="Electric Generators, Independent Power Producers"/>
    <x v="3"/>
    <n v="55746"/>
  </r>
  <r>
    <x v="17"/>
    <x v="42"/>
    <s v="Electric Generators, Independent Power Producers"/>
    <x v="8"/>
    <n v="19228"/>
  </r>
  <r>
    <x v="17"/>
    <x v="42"/>
    <s v="Electric Generators, Independent Power Producers"/>
    <x v="5"/>
    <n v="47736"/>
  </r>
  <r>
    <x v="17"/>
    <x v="42"/>
    <s v="Electric Generators, Electric Utilities"/>
    <x v="0"/>
    <n v="92474664"/>
  </r>
  <r>
    <x v="17"/>
    <x v="42"/>
    <s v="Electric Generators, Electric Utilities"/>
    <x v="1"/>
    <n v="58849255"/>
  </r>
  <r>
    <x v="17"/>
    <x v="42"/>
    <s v="Electric Generators, Electric Utilities"/>
    <x v="2"/>
    <n v="4939601"/>
  </r>
  <r>
    <x v="17"/>
    <x v="42"/>
    <s v="Electric Generators, Electric Utilities"/>
    <x v="3"/>
    <n v="531954"/>
  </r>
  <r>
    <x v="17"/>
    <x v="42"/>
    <s v="Electric Generators, Electric Utilities"/>
    <x v="7"/>
    <n v="28700371"/>
  </r>
  <r>
    <x v="17"/>
    <x v="42"/>
    <s v="Electric Generators, Electric Utilities"/>
    <x v="8"/>
    <n v="0"/>
  </r>
  <r>
    <x v="17"/>
    <x v="42"/>
    <s v="Electric Generators, Electric Utilities"/>
    <x v="4"/>
    <n v="155646"/>
  </r>
  <r>
    <x v="17"/>
    <x v="42"/>
    <s v="Electric Generators, Electric Utilities"/>
    <x v="10"/>
    <n v="-704364"/>
  </r>
  <r>
    <x v="17"/>
    <x v="42"/>
    <s v="Electric Generators, Electric Utilities"/>
    <x v="5"/>
    <n v="2201"/>
  </r>
  <r>
    <x v="17"/>
    <x v="42"/>
    <s v="Electric Generators, Electric Utilities"/>
    <x v="6"/>
    <n v="0"/>
  </r>
  <r>
    <x v="17"/>
    <x v="42"/>
    <s v="Combined Heat and Power, Industrial Power"/>
    <x v="0"/>
    <n v="2394606"/>
  </r>
  <r>
    <x v="17"/>
    <x v="42"/>
    <s v="Combined Heat and Power, Industrial Power"/>
    <x v="1"/>
    <n v="1344799"/>
  </r>
  <r>
    <x v="17"/>
    <x v="42"/>
    <s v="Combined Heat and Power, Industrial Power"/>
    <x v="3"/>
    <n v="55985"/>
  </r>
  <r>
    <x v="17"/>
    <x v="42"/>
    <s v="Combined Heat and Power, Industrial Power"/>
    <x v="12"/>
    <n v="2520"/>
  </r>
  <r>
    <x v="17"/>
    <x v="42"/>
    <s v="Combined Heat and Power, Industrial Power"/>
    <x v="8"/>
    <n v="33252"/>
  </r>
  <r>
    <x v="17"/>
    <x v="42"/>
    <s v="Combined Heat and Power, Industrial Power"/>
    <x v="9"/>
    <n v="13488"/>
  </r>
  <r>
    <x v="17"/>
    <x v="42"/>
    <s v="Combined Heat and Power, Industrial Power"/>
    <x v="4"/>
    <n v="76452"/>
  </r>
  <r>
    <x v="17"/>
    <x v="42"/>
    <s v="Combined Heat and Power, Industrial Power"/>
    <x v="6"/>
    <n v="868110"/>
  </r>
  <r>
    <x v="17"/>
    <x v="42"/>
    <s v="Combined Heat and Power, Commercial Power"/>
    <x v="0"/>
    <n v="121429"/>
  </r>
  <r>
    <x v="17"/>
    <x v="42"/>
    <s v="Combined Heat and Power, Commercial Power"/>
    <x v="1"/>
    <n v="43276"/>
  </r>
  <r>
    <x v="17"/>
    <x v="42"/>
    <s v="Combined Heat and Power, Commercial Power"/>
    <x v="3"/>
    <n v="78153"/>
  </r>
  <r>
    <x v="17"/>
    <x v="43"/>
    <s v="Total Electric Power Industry"/>
    <x v="0"/>
    <n v="405492296"/>
  </r>
  <r>
    <x v="17"/>
    <x v="43"/>
    <s v="Total Electric Power Industry"/>
    <x v="1"/>
    <n v="147278889"/>
  </r>
  <r>
    <x v="17"/>
    <x v="43"/>
    <s v="Total Electric Power Industry"/>
    <x v="2"/>
    <n v="1644437"/>
  </r>
  <r>
    <x v="17"/>
    <x v="43"/>
    <s v="Total Electric Power Industry"/>
    <x v="3"/>
    <n v="199531281"/>
  </r>
  <r>
    <x v="17"/>
    <x v="43"/>
    <s v="Total Electric Power Industry"/>
    <x v="7"/>
    <n v="40955030"/>
  </r>
  <r>
    <x v="17"/>
    <x v="43"/>
    <s v="Total Electric Power Industry"/>
    <x v="12"/>
    <n v="884932"/>
  </r>
  <r>
    <x v="17"/>
    <x v="43"/>
    <s v="Total Electric Power Industry"/>
    <x v="8"/>
    <n v="367065"/>
  </r>
  <r>
    <x v="17"/>
    <x v="43"/>
    <s v="Total Electric Power Industry"/>
    <x v="9"/>
    <n v="3601211"/>
  </r>
  <r>
    <x v="17"/>
    <x v="43"/>
    <s v="Total Electric Power Industry"/>
    <x v="4"/>
    <n v="1308904"/>
  </r>
  <r>
    <x v="17"/>
    <x v="43"/>
    <s v="Total Electric Power Industry"/>
    <x v="5"/>
    <n v="9006383"/>
  </r>
  <r>
    <x v="17"/>
    <x v="43"/>
    <s v="Total Electric Power Industry"/>
    <x v="6"/>
    <n v="914164"/>
  </r>
  <r>
    <x v="17"/>
    <x v="43"/>
    <s v="Electric Generators, Independent Power Producers"/>
    <x v="0"/>
    <n v="224719455"/>
  </r>
  <r>
    <x v="17"/>
    <x v="43"/>
    <s v="Electric Generators, Independent Power Producers"/>
    <x v="1"/>
    <n v="85622029"/>
  </r>
  <r>
    <x v="17"/>
    <x v="43"/>
    <s v="Electric Generators, Independent Power Producers"/>
    <x v="2"/>
    <n v="50895"/>
  </r>
  <r>
    <x v="17"/>
    <x v="43"/>
    <s v="Electric Generators, Independent Power Producers"/>
    <x v="3"/>
    <n v="88705688"/>
  </r>
  <r>
    <x v="17"/>
    <x v="43"/>
    <s v="Electric Generators, Independent Power Producers"/>
    <x v="7"/>
    <n v="40955030"/>
  </r>
  <r>
    <x v="17"/>
    <x v="43"/>
    <s v="Electric Generators, Independent Power Producers"/>
    <x v="8"/>
    <n v="305782"/>
  </r>
  <r>
    <x v="17"/>
    <x v="43"/>
    <s v="Electric Generators, Independent Power Producers"/>
    <x v="4"/>
    <n v="74383"/>
  </r>
  <r>
    <x v="17"/>
    <x v="43"/>
    <s v="Electric Generators, Independent Power Producers"/>
    <x v="5"/>
    <n v="9005647"/>
  </r>
  <r>
    <x v="17"/>
    <x v="43"/>
    <s v="Electric Generators, Electric Utilities"/>
    <x v="0"/>
    <n v="97259636"/>
  </r>
  <r>
    <x v="17"/>
    <x v="43"/>
    <s v="Electric Generators, Electric Utilities"/>
    <x v="1"/>
    <n v="61656860"/>
  </r>
  <r>
    <x v="17"/>
    <x v="43"/>
    <s v="Electric Generators, Electric Utilities"/>
    <x v="2"/>
    <n v="1593542"/>
  </r>
  <r>
    <x v="17"/>
    <x v="43"/>
    <s v="Electric Generators, Electric Utilities"/>
    <x v="3"/>
    <n v="33699541"/>
  </r>
  <r>
    <x v="17"/>
    <x v="43"/>
    <s v="Electric Generators, Electric Utilities"/>
    <x v="12"/>
    <n v="246533"/>
  </r>
  <r>
    <x v="17"/>
    <x v="43"/>
    <s v="Electric Generators, Electric Utilities"/>
    <x v="4"/>
    <n v="62424"/>
  </r>
  <r>
    <x v="17"/>
    <x v="43"/>
    <s v="Electric Generators, Electric Utilities"/>
    <x v="5"/>
    <n v="736"/>
  </r>
  <r>
    <x v="17"/>
    <x v="43"/>
    <s v="Combined Heat and Power, Industrial Power"/>
    <x v="0"/>
    <n v="37027937"/>
  </r>
  <r>
    <x v="17"/>
    <x v="43"/>
    <s v="Combined Heat and Power, Industrial Power"/>
    <x v="1"/>
    <n v="0"/>
  </r>
  <r>
    <x v="17"/>
    <x v="43"/>
    <s v="Combined Heat and Power, Industrial Power"/>
    <x v="3"/>
    <n v="33803246"/>
  </r>
  <r>
    <x v="17"/>
    <x v="43"/>
    <s v="Combined Heat and Power, Industrial Power"/>
    <x v="12"/>
    <n v="623668"/>
  </r>
  <r>
    <x v="17"/>
    <x v="43"/>
    <s v="Combined Heat and Power, Industrial Power"/>
    <x v="8"/>
    <n v="17131"/>
  </r>
  <r>
    <x v="17"/>
    <x v="43"/>
    <s v="Combined Heat and Power, Industrial Power"/>
    <x v="9"/>
    <n v="1483588"/>
  </r>
  <r>
    <x v="17"/>
    <x v="43"/>
    <s v="Combined Heat and Power, Industrial Power"/>
    <x v="4"/>
    <n v="186139"/>
  </r>
  <r>
    <x v="17"/>
    <x v="43"/>
    <s v="Combined Heat and Power, Industrial Power"/>
    <x v="6"/>
    <n v="914164"/>
  </r>
  <r>
    <x v="17"/>
    <x v="43"/>
    <s v="Combined Heat and Power, Electric Power"/>
    <x v="0"/>
    <n v="46009738"/>
  </r>
  <r>
    <x v="17"/>
    <x v="43"/>
    <s v="Combined Heat and Power, Electric Power"/>
    <x v="3"/>
    <n v="42886219"/>
  </r>
  <r>
    <x v="17"/>
    <x v="43"/>
    <s v="Combined Heat and Power, Electric Power"/>
    <x v="12"/>
    <n v="14731"/>
  </r>
  <r>
    <x v="17"/>
    <x v="43"/>
    <s v="Combined Heat and Power, Electric Power"/>
    <x v="8"/>
    <n v="5727"/>
  </r>
  <r>
    <x v="17"/>
    <x v="43"/>
    <s v="Combined Heat and Power, Electric Power"/>
    <x v="9"/>
    <n v="2117623"/>
  </r>
  <r>
    <x v="17"/>
    <x v="43"/>
    <s v="Combined Heat and Power, Electric Power"/>
    <x v="4"/>
    <n v="985438"/>
  </r>
  <r>
    <x v="17"/>
    <x v="43"/>
    <s v="Combined Heat and Power, Commercial Power"/>
    <x v="0"/>
    <n v="475530"/>
  </r>
  <r>
    <x v="17"/>
    <x v="43"/>
    <s v="Combined Heat and Power, Commercial Power"/>
    <x v="3"/>
    <n v="436586"/>
  </r>
  <r>
    <x v="17"/>
    <x v="43"/>
    <s v="Combined Heat and Power, Commercial Power"/>
    <x v="8"/>
    <n v="38425"/>
  </r>
  <r>
    <x v="17"/>
    <x v="43"/>
    <s v="Combined Heat and Power, Commercial Power"/>
    <x v="4"/>
    <n v="518"/>
  </r>
  <r>
    <x v="17"/>
    <x v="44"/>
    <s v="Total Electric Power Industry"/>
    <x v="0"/>
    <n v="4156744724"/>
  </r>
  <r>
    <x v="17"/>
    <x v="44"/>
    <s v="Total Electric Power Industry"/>
    <x v="1"/>
    <n v="2016455584"/>
  </r>
  <r>
    <x v="17"/>
    <x v="44"/>
    <s v="Total Electric Power Industry"/>
    <x v="11"/>
    <n v="14637213"/>
  </r>
  <r>
    <x v="17"/>
    <x v="44"/>
    <s v="Total Electric Power Industry"/>
    <x v="2"/>
    <n v="247509974"/>
  </r>
  <r>
    <x v="17"/>
    <x v="44"/>
    <s v="Total Electric Power Industry"/>
    <x v="3"/>
    <n v="896589791"/>
  </r>
  <r>
    <x v="17"/>
    <x v="44"/>
    <s v="Total Electric Power Industry"/>
    <x v="7"/>
    <n v="806424753"/>
  </r>
  <r>
    <x v="17"/>
    <x v="44"/>
    <s v="Total Electric Power Industry"/>
    <x v="12"/>
    <n v="12231131"/>
  </r>
  <r>
    <x v="17"/>
    <x v="44"/>
    <s v="Total Electric Power Industry"/>
    <x v="8"/>
    <n v="16524554"/>
  </r>
  <r>
    <x v="17"/>
    <x v="44"/>
    <s v="Total Electric Power Industry"/>
    <x v="9"/>
    <n v="13453354"/>
  </r>
  <r>
    <x v="17"/>
    <x v="44"/>
    <s v="Total Electric Power Industry"/>
    <x v="4"/>
    <n v="65738978"/>
  </r>
  <r>
    <x v="17"/>
    <x v="44"/>
    <s v="Total Electric Power Industry"/>
    <x v="10"/>
    <n v="-6896352"/>
  </r>
  <r>
    <x v="17"/>
    <x v="44"/>
    <s v="Total Electric Power Industry"/>
    <x v="13"/>
    <n v="611793"/>
  </r>
  <r>
    <x v="17"/>
    <x v="44"/>
    <s v="Total Electric Power Industry"/>
    <x v="5"/>
    <n v="34449927"/>
  </r>
  <r>
    <x v="17"/>
    <x v="44"/>
    <s v="Total Electric Power Industry"/>
    <x v="6"/>
    <n v="39014024"/>
  </r>
  <r>
    <x v="17"/>
    <x v="44"/>
    <s v="Electric Generators, Independent Power Producers"/>
    <x v="0"/>
    <n v="1323855868"/>
  </r>
  <r>
    <x v="17"/>
    <x v="44"/>
    <s v="Electric Generators, Independent Power Producers"/>
    <x v="1"/>
    <n v="470977910"/>
  </r>
  <r>
    <x v="17"/>
    <x v="44"/>
    <s v="Electric Generators, Independent Power Producers"/>
    <x v="11"/>
    <n v="13498146"/>
  </r>
  <r>
    <x v="17"/>
    <x v="44"/>
    <s v="Electric Generators, Independent Power Producers"/>
    <x v="2"/>
    <n v="19103439"/>
  </r>
  <r>
    <x v="17"/>
    <x v="44"/>
    <s v="Electric Generators, Independent Power Producers"/>
    <x v="3"/>
    <n v="372522835"/>
  </r>
  <r>
    <x v="17"/>
    <x v="44"/>
    <s v="Electric Generators, Independent Power Producers"/>
    <x v="7"/>
    <n v="378869414"/>
  </r>
  <r>
    <x v="17"/>
    <x v="44"/>
    <s v="Electric Generators, Independent Power Producers"/>
    <x v="12"/>
    <n v="5458076"/>
  </r>
  <r>
    <x v="17"/>
    <x v="44"/>
    <s v="Electric Generators, Independent Power Producers"/>
    <x v="8"/>
    <n v="11662018"/>
  </r>
  <r>
    <x v="17"/>
    <x v="44"/>
    <s v="Electric Generators, Independent Power Producers"/>
    <x v="9"/>
    <n v="2938"/>
  </r>
  <r>
    <x v="17"/>
    <x v="44"/>
    <s v="Electric Generators, Independent Power Producers"/>
    <x v="4"/>
    <n v="16188963"/>
  </r>
  <r>
    <x v="17"/>
    <x v="44"/>
    <s v="Electric Generators, Independent Power Producers"/>
    <x v="10"/>
    <n v="-1568757"/>
  </r>
  <r>
    <x v="17"/>
    <x v="44"/>
    <s v="Electric Generators, Independent Power Producers"/>
    <x v="13"/>
    <n v="601095"/>
  </r>
  <r>
    <x v="17"/>
    <x v="44"/>
    <s v="Electric Generators, Independent Power Producers"/>
    <x v="5"/>
    <n v="30088657"/>
  </r>
  <r>
    <x v="17"/>
    <x v="44"/>
    <s v="Electric Generators, Independent Power Producers"/>
    <x v="6"/>
    <n v="6451134"/>
  </r>
  <r>
    <x v="17"/>
    <x v="44"/>
    <s v="Electric Generators, Electric Utilities"/>
    <x v="0"/>
    <n v="2504130899"/>
  </r>
  <r>
    <x v="17"/>
    <x v="44"/>
    <s v="Electric Generators, Electric Utilities"/>
    <x v="1"/>
    <n v="1490984698"/>
  </r>
  <r>
    <x v="17"/>
    <x v="44"/>
    <s v="Electric Generators, Electric Utilities"/>
    <x v="11"/>
    <n v="1139067"/>
  </r>
  <r>
    <x v="17"/>
    <x v="44"/>
    <s v="Electric Generators, Electric Utilities"/>
    <x v="2"/>
    <n v="226733688"/>
  </r>
  <r>
    <x v="17"/>
    <x v="44"/>
    <s v="Electric Generators, Electric Utilities"/>
    <x v="3"/>
    <n v="313785128"/>
  </r>
  <r>
    <x v="17"/>
    <x v="44"/>
    <s v="Electric Generators, Electric Utilities"/>
    <x v="7"/>
    <n v="427555339"/>
  </r>
  <r>
    <x v="17"/>
    <x v="44"/>
    <s v="Electric Generators, Electric Utilities"/>
    <x v="12"/>
    <n v="585811"/>
  </r>
  <r>
    <x v="17"/>
    <x v="44"/>
    <s v="Electric Generators, Electric Utilities"/>
    <x v="8"/>
    <n v="1216673"/>
  </r>
  <r>
    <x v="17"/>
    <x v="44"/>
    <s v="Electric Generators, Electric Utilities"/>
    <x v="9"/>
    <n v="141031"/>
  </r>
  <r>
    <x v="17"/>
    <x v="44"/>
    <s v="Electric Generators, Electric Utilities"/>
    <x v="4"/>
    <n v="40719414"/>
  </r>
  <r>
    <x v="17"/>
    <x v="44"/>
    <s v="Electric Generators, Electric Utilities"/>
    <x v="10"/>
    <n v="-5327595"/>
  </r>
  <r>
    <x v="17"/>
    <x v="44"/>
    <s v="Electric Generators, Electric Utilities"/>
    <x v="13"/>
    <n v="10698"/>
  </r>
  <r>
    <x v="17"/>
    <x v="44"/>
    <s v="Electric Generators, Electric Utilities"/>
    <x v="5"/>
    <n v="4361270"/>
  </r>
  <r>
    <x v="17"/>
    <x v="44"/>
    <s v="Electric Generators, Electric Utilities"/>
    <x v="6"/>
    <n v="2225678"/>
  </r>
  <r>
    <x v="17"/>
    <x v="44"/>
    <s v="Combined Heat and Power, Industrial Power"/>
    <x v="0"/>
    <n v="143128081"/>
  </r>
  <r>
    <x v="17"/>
    <x v="44"/>
    <s v="Combined Heat and Power, Industrial Power"/>
    <x v="1"/>
    <n v="16694157"/>
  </r>
  <r>
    <x v="17"/>
    <x v="44"/>
    <s v="Combined Heat and Power, Industrial Power"/>
    <x v="2"/>
    <n v="1589981"/>
  </r>
  <r>
    <x v="17"/>
    <x v="44"/>
    <s v="Combined Heat and Power, Industrial Power"/>
    <x v="3"/>
    <n v="77580498"/>
  </r>
  <r>
    <x v="17"/>
    <x v="44"/>
    <s v="Combined Heat and Power, Industrial Power"/>
    <x v="12"/>
    <n v="4690087"/>
  </r>
  <r>
    <x v="17"/>
    <x v="44"/>
    <s v="Combined Heat and Power, Industrial Power"/>
    <x v="8"/>
    <n v="631452"/>
  </r>
  <r>
    <x v="17"/>
    <x v="44"/>
    <s v="Combined Heat and Power, Industrial Power"/>
    <x v="9"/>
    <n v="9411223"/>
  </r>
  <r>
    <x v="17"/>
    <x v="44"/>
    <s v="Combined Heat and Power, Industrial Power"/>
    <x v="4"/>
    <n v="4243309"/>
  </r>
  <r>
    <x v="17"/>
    <x v="44"/>
    <s v="Combined Heat and Power, Industrial Power"/>
    <x v="6"/>
    <n v="28287375"/>
  </r>
  <r>
    <x v="17"/>
    <x v="44"/>
    <s v="Combined Heat and Power, Electric Power"/>
    <x v="0"/>
    <n v="177356481"/>
  </r>
  <r>
    <x v="17"/>
    <x v="44"/>
    <s v="Combined Heat and Power, Electric Power"/>
    <x v="1"/>
    <n v="36427689"/>
  </r>
  <r>
    <x v="17"/>
    <x v="44"/>
    <s v="Combined Heat and Power, Electric Power"/>
    <x v="2"/>
    <n v="5587"/>
  </r>
  <r>
    <x v="17"/>
    <x v="44"/>
    <s v="Combined Heat and Power, Electric Power"/>
    <x v="3"/>
    <n v="128443941"/>
  </r>
  <r>
    <x v="17"/>
    <x v="44"/>
    <s v="Combined Heat and Power, Electric Power"/>
    <x v="12"/>
    <n v="733073"/>
  </r>
  <r>
    <x v="17"/>
    <x v="44"/>
    <s v="Combined Heat and Power, Electric Power"/>
    <x v="8"/>
    <n v="1415614"/>
  </r>
  <r>
    <x v="17"/>
    <x v="44"/>
    <s v="Combined Heat and Power, Electric Power"/>
    <x v="9"/>
    <n v="3898162"/>
  </r>
  <r>
    <x v="17"/>
    <x v="44"/>
    <s v="Combined Heat and Power, Electric Power"/>
    <x v="4"/>
    <n v="4397938"/>
  </r>
  <r>
    <x v="17"/>
    <x v="44"/>
    <s v="Combined Heat and Power, Electric Power"/>
    <x v="6"/>
    <n v="2034477"/>
  </r>
  <r>
    <x v="17"/>
    <x v="44"/>
    <s v="Combined Heat and Power, Commercial Power"/>
    <x v="0"/>
    <n v="8273395"/>
  </r>
  <r>
    <x v="17"/>
    <x v="44"/>
    <s v="Combined Heat and Power, Commercial Power"/>
    <x v="1"/>
    <n v="1371130"/>
  </r>
  <r>
    <x v="17"/>
    <x v="44"/>
    <s v="Combined Heat and Power, Commercial Power"/>
    <x v="2"/>
    <n v="77279"/>
  </r>
  <r>
    <x v="17"/>
    <x v="44"/>
    <s v="Combined Heat and Power, Commercial Power"/>
    <x v="3"/>
    <n v="4257389"/>
  </r>
  <r>
    <x v="17"/>
    <x v="44"/>
    <s v="Combined Heat and Power, Commercial Power"/>
    <x v="12"/>
    <n v="764083"/>
  </r>
  <r>
    <x v="17"/>
    <x v="44"/>
    <s v="Combined Heat and Power, Commercial Power"/>
    <x v="8"/>
    <n v="1598799"/>
  </r>
  <r>
    <x v="17"/>
    <x v="44"/>
    <s v="Combined Heat and Power, Commercial Power"/>
    <x v="9"/>
    <n v="0"/>
  </r>
  <r>
    <x v="17"/>
    <x v="44"/>
    <s v="Combined Heat and Power, Commercial Power"/>
    <x v="4"/>
    <n v="189353"/>
  </r>
  <r>
    <x v="17"/>
    <x v="44"/>
    <s v="Combined Heat and Power, Commercial Power"/>
    <x v="6"/>
    <n v="15361"/>
  </r>
  <r>
    <x v="17"/>
    <x v="45"/>
    <s v="Total Electric Power Industry"/>
    <x v="0"/>
    <n v="45372575"/>
  </r>
  <r>
    <x v="17"/>
    <x v="45"/>
    <s v="Total Electric Power Industry"/>
    <x v="1"/>
    <n v="37170794"/>
  </r>
  <r>
    <x v="17"/>
    <x v="45"/>
    <s v="Total Electric Power Industry"/>
    <x v="11"/>
    <n v="163925"/>
  </r>
  <r>
    <x v="17"/>
    <x v="45"/>
    <s v="Total Electric Power Industry"/>
    <x v="2"/>
    <n v="538782"/>
  </r>
  <r>
    <x v="17"/>
    <x v="45"/>
    <s v="Total Electric Power Industry"/>
    <x v="3"/>
    <n v="7424218"/>
  </r>
  <r>
    <x v="17"/>
    <x v="45"/>
    <s v="Total Electric Power Industry"/>
    <x v="12"/>
    <n v="4679"/>
  </r>
  <r>
    <x v="17"/>
    <x v="45"/>
    <s v="Total Electric Power Industry"/>
    <x v="8"/>
    <n v="31030"/>
  </r>
  <r>
    <x v="17"/>
    <x v="45"/>
    <s v="Total Electric Power Industry"/>
    <x v="9"/>
    <n v="0"/>
  </r>
  <r>
    <x v="17"/>
    <x v="45"/>
    <s v="Total Electric Power Industry"/>
    <x v="4"/>
    <n v="39147"/>
  </r>
  <r>
    <x v="17"/>
    <x v="45"/>
    <s v="Electric Generators, Independent Power Producers"/>
    <x v="0"/>
    <n v="1095949"/>
  </r>
  <r>
    <x v="17"/>
    <x v="45"/>
    <s v="Electric Generators, Independent Power Producers"/>
    <x v="1"/>
    <n v="404184"/>
  </r>
  <r>
    <x v="17"/>
    <x v="45"/>
    <s v="Electric Generators, Independent Power Producers"/>
    <x v="2"/>
    <n v="5761"/>
  </r>
  <r>
    <x v="17"/>
    <x v="45"/>
    <s v="Electric Generators, Independent Power Producers"/>
    <x v="3"/>
    <n v="685685"/>
  </r>
  <r>
    <x v="17"/>
    <x v="45"/>
    <s v="Electric Generators, Independent Power Producers"/>
    <x v="4"/>
    <n v="319"/>
  </r>
  <r>
    <x v="17"/>
    <x v="45"/>
    <s v="Electric Generators, Electric Utilities"/>
    <x v="0"/>
    <n v="43319965"/>
  </r>
  <r>
    <x v="17"/>
    <x v="45"/>
    <s v="Electric Generators, Electric Utilities"/>
    <x v="1"/>
    <n v="35910192"/>
  </r>
  <r>
    <x v="17"/>
    <x v="45"/>
    <s v="Electric Generators, Electric Utilities"/>
    <x v="11"/>
    <n v="163925"/>
  </r>
  <r>
    <x v="17"/>
    <x v="45"/>
    <s v="Electric Generators, Electric Utilities"/>
    <x v="2"/>
    <n v="533021"/>
  </r>
  <r>
    <x v="17"/>
    <x v="45"/>
    <s v="Electric Generators, Electric Utilities"/>
    <x v="3"/>
    <n v="6673998"/>
  </r>
  <r>
    <x v="17"/>
    <x v="45"/>
    <s v="Electric Generators, Electric Utilities"/>
    <x v="4"/>
    <n v="38828"/>
  </r>
  <r>
    <x v="17"/>
    <x v="45"/>
    <s v="Combined Heat and Power, Industrial Power"/>
    <x v="0"/>
    <n v="901017"/>
  </r>
  <r>
    <x v="17"/>
    <x v="45"/>
    <s v="Combined Heat and Power, Industrial Power"/>
    <x v="1"/>
    <n v="856418"/>
  </r>
  <r>
    <x v="17"/>
    <x v="45"/>
    <s v="Combined Heat and Power, Industrial Power"/>
    <x v="3"/>
    <n v="44599"/>
  </r>
  <r>
    <x v="17"/>
    <x v="45"/>
    <s v="Combined Heat and Power, Industrial Power"/>
    <x v="12"/>
    <n v="0"/>
  </r>
  <r>
    <x v="17"/>
    <x v="45"/>
    <s v="Combined Heat and Power, Electric Power"/>
    <x v="0"/>
    <n v="10633"/>
  </r>
  <r>
    <x v="17"/>
    <x v="45"/>
    <s v="Combined Heat and Power, Electric Power"/>
    <x v="3"/>
    <n v="0"/>
  </r>
  <r>
    <x v="17"/>
    <x v="45"/>
    <s v="Combined Heat and Power, Electric Power"/>
    <x v="12"/>
    <n v="4679"/>
  </r>
  <r>
    <x v="17"/>
    <x v="45"/>
    <s v="Combined Heat and Power, Electric Power"/>
    <x v="8"/>
    <n v="5954"/>
  </r>
  <r>
    <x v="17"/>
    <x v="45"/>
    <s v="Combined Heat and Power, Electric Power"/>
    <x v="4"/>
    <n v="0"/>
  </r>
  <r>
    <x v="17"/>
    <x v="45"/>
    <s v="Combined Heat and Power, Commercial Power"/>
    <x v="0"/>
    <n v="45011"/>
  </r>
  <r>
    <x v="17"/>
    <x v="45"/>
    <s v="Combined Heat and Power, Commercial Power"/>
    <x v="3"/>
    <n v="19935"/>
  </r>
  <r>
    <x v="17"/>
    <x v="45"/>
    <s v="Combined Heat and Power, Commercial Power"/>
    <x v="8"/>
    <n v="25076"/>
  </r>
  <r>
    <x v="17"/>
    <x v="45"/>
    <s v="Combined Heat and Power, Commercial Power"/>
    <x v="9"/>
    <n v="0"/>
  </r>
  <r>
    <x v="17"/>
    <x v="46"/>
    <s v="Total Electric Power Industry"/>
    <x v="0"/>
    <n v="78360507"/>
  </r>
  <r>
    <x v="17"/>
    <x v="46"/>
    <s v="Total Electric Power Industry"/>
    <x v="1"/>
    <n v="35420746"/>
  </r>
  <r>
    <x v="17"/>
    <x v="46"/>
    <s v="Total Electric Power Industry"/>
    <x v="2"/>
    <n v="1248264"/>
  </r>
  <r>
    <x v="17"/>
    <x v="46"/>
    <s v="Total Electric Power Industry"/>
    <x v="3"/>
    <n v="10903840"/>
  </r>
  <r>
    <x v="17"/>
    <x v="46"/>
    <s v="Total Electric Power Industry"/>
    <x v="7"/>
    <n v="27268475"/>
  </r>
  <r>
    <x v="17"/>
    <x v="46"/>
    <s v="Total Electric Power Industry"/>
    <x v="12"/>
    <n v="476945"/>
  </r>
  <r>
    <x v="17"/>
    <x v="46"/>
    <s v="Total Electric Power Industry"/>
    <x v="8"/>
    <n v="773245"/>
  </r>
  <r>
    <x v="17"/>
    <x v="46"/>
    <s v="Total Electric Power Industry"/>
    <x v="4"/>
    <n v="2096949"/>
  </r>
  <r>
    <x v="17"/>
    <x v="46"/>
    <s v="Total Electric Power Industry"/>
    <x v="10"/>
    <n v="-1620283"/>
  </r>
  <r>
    <x v="17"/>
    <x v="46"/>
    <s v="Total Electric Power Industry"/>
    <x v="6"/>
    <n v="1792326"/>
  </r>
  <r>
    <x v="17"/>
    <x v="46"/>
    <s v="Electric Generators, Independent Power Producers"/>
    <x v="0"/>
    <n v="6537922"/>
  </r>
  <r>
    <x v="17"/>
    <x v="46"/>
    <s v="Electric Generators, Independent Power Producers"/>
    <x v="1"/>
    <n v="1408227"/>
  </r>
  <r>
    <x v="17"/>
    <x v="46"/>
    <s v="Electric Generators, Independent Power Producers"/>
    <x v="2"/>
    <n v="59148"/>
  </r>
  <r>
    <x v="17"/>
    <x v="46"/>
    <s v="Electric Generators, Independent Power Producers"/>
    <x v="3"/>
    <n v="4142571"/>
  </r>
  <r>
    <x v="17"/>
    <x v="46"/>
    <s v="Electric Generators, Independent Power Producers"/>
    <x v="12"/>
    <n v="267488"/>
  </r>
  <r>
    <x v="17"/>
    <x v="46"/>
    <s v="Electric Generators, Independent Power Producers"/>
    <x v="8"/>
    <n v="498237"/>
  </r>
  <r>
    <x v="17"/>
    <x v="46"/>
    <s v="Electric Generators, Independent Power Producers"/>
    <x v="4"/>
    <n v="162251"/>
  </r>
  <r>
    <x v="17"/>
    <x v="46"/>
    <s v="Electric Generators, Electric Utilities"/>
    <x v="0"/>
    <n v="64316732"/>
  </r>
  <r>
    <x v="17"/>
    <x v="46"/>
    <s v="Electric Generators, Electric Utilities"/>
    <x v="1"/>
    <n v="29425485"/>
  </r>
  <r>
    <x v="17"/>
    <x v="46"/>
    <s v="Electric Generators, Electric Utilities"/>
    <x v="2"/>
    <n v="1182353"/>
  </r>
  <r>
    <x v="17"/>
    <x v="46"/>
    <s v="Electric Generators, Electric Utilities"/>
    <x v="3"/>
    <n v="5947608"/>
  </r>
  <r>
    <x v="17"/>
    <x v="46"/>
    <s v="Electric Generators, Electric Utilities"/>
    <x v="7"/>
    <n v="27268475"/>
  </r>
  <r>
    <x v="17"/>
    <x v="46"/>
    <s v="Electric Generators, Electric Utilities"/>
    <x v="4"/>
    <n v="1653940"/>
  </r>
  <r>
    <x v="17"/>
    <x v="46"/>
    <s v="Electric Generators, Electric Utilities"/>
    <x v="10"/>
    <n v="-1620283"/>
  </r>
  <r>
    <x v="17"/>
    <x v="46"/>
    <s v="Electric Generators, Electric Utilities"/>
    <x v="6"/>
    <n v="459154"/>
  </r>
  <r>
    <x v="17"/>
    <x v="46"/>
    <s v="Combined Heat and Power, Industrial Power"/>
    <x v="0"/>
    <n v="2469206"/>
  </r>
  <r>
    <x v="17"/>
    <x v="46"/>
    <s v="Combined Heat and Power, Industrial Power"/>
    <x v="1"/>
    <n v="802788"/>
  </r>
  <r>
    <x v="17"/>
    <x v="46"/>
    <s v="Combined Heat and Power, Industrial Power"/>
    <x v="2"/>
    <n v="6763"/>
  </r>
  <r>
    <x v="17"/>
    <x v="46"/>
    <s v="Combined Heat and Power, Industrial Power"/>
    <x v="3"/>
    <n v="144765"/>
  </r>
  <r>
    <x v="17"/>
    <x v="46"/>
    <s v="Combined Heat and Power, Industrial Power"/>
    <x v="12"/>
    <n v="26532"/>
  </r>
  <r>
    <x v="17"/>
    <x v="46"/>
    <s v="Combined Heat and Power, Industrial Power"/>
    <x v="8"/>
    <n v="52965"/>
  </r>
  <r>
    <x v="17"/>
    <x v="46"/>
    <s v="Combined Heat and Power, Industrial Power"/>
    <x v="4"/>
    <n v="102221"/>
  </r>
  <r>
    <x v="17"/>
    <x v="46"/>
    <s v="Combined Heat and Power, Industrial Power"/>
    <x v="6"/>
    <n v="1333172"/>
  </r>
  <r>
    <x v="17"/>
    <x v="46"/>
    <s v="Combined Heat and Power, Electric Power"/>
    <x v="0"/>
    <n v="4638270"/>
  </r>
  <r>
    <x v="17"/>
    <x v="46"/>
    <s v="Combined Heat and Power, Electric Power"/>
    <x v="1"/>
    <n v="3784246"/>
  </r>
  <r>
    <x v="17"/>
    <x v="46"/>
    <s v="Combined Heat and Power, Electric Power"/>
    <x v="3"/>
    <n v="668896"/>
  </r>
  <r>
    <x v="17"/>
    <x v="46"/>
    <s v="Combined Heat and Power, Electric Power"/>
    <x v="12"/>
    <n v="8459"/>
  </r>
  <r>
    <x v="17"/>
    <x v="46"/>
    <s v="Combined Heat and Power, Electric Power"/>
    <x v="4"/>
    <n v="176670"/>
  </r>
  <r>
    <x v="17"/>
    <x v="46"/>
    <s v="Combined Heat and Power, Commercial Power"/>
    <x v="0"/>
    <n v="398376"/>
  </r>
  <r>
    <x v="17"/>
    <x v="46"/>
    <s v="Combined Heat and Power, Commercial Power"/>
    <x v="1"/>
    <n v="0"/>
  </r>
  <r>
    <x v="17"/>
    <x v="46"/>
    <s v="Combined Heat and Power, Commercial Power"/>
    <x v="12"/>
    <n v="174466"/>
  </r>
  <r>
    <x v="17"/>
    <x v="46"/>
    <s v="Combined Heat and Power, Commercial Power"/>
    <x v="8"/>
    <n v="222043"/>
  </r>
  <r>
    <x v="17"/>
    <x v="46"/>
    <s v="Combined Heat and Power, Commercial Power"/>
    <x v="4"/>
    <n v="1868"/>
  </r>
  <r>
    <x v="17"/>
    <x v="47"/>
    <s v="Total Electric Power Industry"/>
    <x v="0"/>
    <n v="5823582"/>
  </r>
  <r>
    <x v="17"/>
    <x v="47"/>
    <s v="Total Electric Power Industry"/>
    <x v="2"/>
    <n v="646605"/>
  </r>
  <r>
    <x v="17"/>
    <x v="47"/>
    <s v="Total Electric Power Industry"/>
    <x v="3"/>
    <n v="1889"/>
  </r>
  <r>
    <x v="17"/>
    <x v="47"/>
    <s v="Total Electric Power Industry"/>
    <x v="7"/>
    <n v="4703728"/>
  </r>
  <r>
    <x v="17"/>
    <x v="47"/>
    <s v="Total Electric Power Industry"/>
    <x v="4"/>
    <n v="7811"/>
  </r>
  <r>
    <x v="17"/>
    <x v="47"/>
    <s v="Total Electric Power Industry"/>
    <x v="5"/>
    <n v="10511"/>
  </r>
  <r>
    <x v="17"/>
    <x v="47"/>
    <s v="Total Electric Power Industry"/>
    <x v="6"/>
    <n v="453038"/>
  </r>
  <r>
    <x v="17"/>
    <x v="47"/>
    <s v="Electric Generators, Independent Power Producers"/>
    <x v="0"/>
    <n v="5120584"/>
  </r>
  <r>
    <x v="17"/>
    <x v="47"/>
    <s v="Electric Generators, Independent Power Producers"/>
    <x v="2"/>
    <n v="245445"/>
  </r>
  <r>
    <x v="17"/>
    <x v="47"/>
    <s v="Electric Generators, Independent Power Producers"/>
    <x v="7"/>
    <n v="4703728"/>
  </r>
  <r>
    <x v="17"/>
    <x v="47"/>
    <s v="Electric Generators, Independent Power Producers"/>
    <x v="4"/>
    <n v="0"/>
  </r>
  <r>
    <x v="17"/>
    <x v="47"/>
    <s v="Electric Generators, Independent Power Producers"/>
    <x v="6"/>
    <n v="171411"/>
  </r>
  <r>
    <x v="17"/>
    <x v="47"/>
    <s v="Electric Generators, Electric Utilities"/>
    <x v="0"/>
    <n v="701474"/>
  </r>
  <r>
    <x v="17"/>
    <x v="47"/>
    <s v="Electric Generators, Electric Utilities"/>
    <x v="2"/>
    <n v="399636"/>
  </r>
  <r>
    <x v="17"/>
    <x v="47"/>
    <s v="Electric Generators, Electric Utilities"/>
    <x v="3"/>
    <n v="1889"/>
  </r>
  <r>
    <x v="17"/>
    <x v="47"/>
    <s v="Electric Generators, Electric Utilities"/>
    <x v="4"/>
    <n v="7811"/>
  </r>
  <r>
    <x v="17"/>
    <x v="47"/>
    <s v="Electric Generators, Electric Utilities"/>
    <x v="5"/>
    <n v="10511"/>
  </r>
  <r>
    <x v="17"/>
    <x v="47"/>
    <s v="Electric Generators, Electric Utilities"/>
    <x v="6"/>
    <n v="281627"/>
  </r>
  <r>
    <x v="17"/>
    <x v="47"/>
    <s v="Combined Heat and Power, Industrial Power"/>
    <x v="0"/>
    <n v="1524"/>
  </r>
  <r>
    <x v="17"/>
    <x v="47"/>
    <s v="Combined Heat and Power, Industrial Power"/>
    <x v="2"/>
    <n v="1524"/>
  </r>
  <r>
    <x v="17"/>
    <x v="47"/>
    <s v="Combined Heat and Power, Industrial Power"/>
    <x v="6"/>
    <n v="0"/>
  </r>
  <r>
    <x v="17"/>
    <x v="48"/>
    <s v="Total Electric Power Industry"/>
    <x v="0"/>
    <n v="106990217"/>
  </r>
  <r>
    <x v="17"/>
    <x v="48"/>
    <s v="Total Electric Power Industry"/>
    <x v="1"/>
    <n v="8556816"/>
  </r>
  <r>
    <x v="17"/>
    <x v="48"/>
    <s v="Total Electric Power Industry"/>
    <x v="2"/>
    <n v="78829195"/>
  </r>
  <r>
    <x v="17"/>
    <x v="48"/>
    <s v="Total Electric Power Industry"/>
    <x v="3"/>
    <n v="7287394"/>
  </r>
  <r>
    <x v="17"/>
    <x v="48"/>
    <s v="Total Electric Power Industry"/>
    <x v="7"/>
    <n v="8108560"/>
  </r>
  <r>
    <x v="17"/>
    <x v="48"/>
    <s v="Total Electric Power Industry"/>
    <x v="12"/>
    <n v="62370"/>
  </r>
  <r>
    <x v="17"/>
    <x v="48"/>
    <s v="Total Electric Power Industry"/>
    <x v="8"/>
    <n v="176351"/>
  </r>
  <r>
    <x v="17"/>
    <x v="48"/>
    <s v="Total Electric Power Industry"/>
    <x v="9"/>
    <n v="333773"/>
  </r>
  <r>
    <x v="17"/>
    <x v="48"/>
    <s v="Total Electric Power Industry"/>
    <x v="4"/>
    <n v="37042"/>
  </r>
  <r>
    <x v="17"/>
    <x v="48"/>
    <s v="Total Electric Power Industry"/>
    <x v="10"/>
    <n v="44512"/>
  </r>
  <r>
    <x v="17"/>
    <x v="48"/>
    <s v="Total Electric Power Industry"/>
    <x v="5"/>
    <n v="2437823"/>
  </r>
  <r>
    <x v="17"/>
    <x v="48"/>
    <s v="Total Electric Power Industry"/>
    <x v="6"/>
    <n v="1116380"/>
  </r>
  <r>
    <x v="17"/>
    <x v="48"/>
    <s v="Electric Generators, Independent Power Producers"/>
    <x v="0"/>
    <n v="13797369"/>
  </r>
  <r>
    <x v="17"/>
    <x v="48"/>
    <s v="Electric Generators, Independent Power Producers"/>
    <x v="1"/>
    <n v="8517811"/>
  </r>
  <r>
    <x v="17"/>
    <x v="48"/>
    <s v="Electric Generators, Independent Power Producers"/>
    <x v="2"/>
    <n v="167482"/>
  </r>
  <r>
    <x v="17"/>
    <x v="48"/>
    <s v="Electric Generators, Independent Power Producers"/>
    <x v="3"/>
    <n v="3859217"/>
  </r>
  <r>
    <x v="17"/>
    <x v="48"/>
    <s v="Electric Generators, Independent Power Producers"/>
    <x v="12"/>
    <n v="62370"/>
  </r>
  <r>
    <x v="17"/>
    <x v="48"/>
    <s v="Electric Generators, Independent Power Producers"/>
    <x v="8"/>
    <n v="81869"/>
  </r>
  <r>
    <x v="17"/>
    <x v="48"/>
    <s v="Electric Generators, Independent Power Producers"/>
    <x v="4"/>
    <n v="9473"/>
  </r>
  <r>
    <x v="17"/>
    <x v="48"/>
    <s v="Electric Generators, Independent Power Producers"/>
    <x v="5"/>
    <n v="1099147"/>
  </r>
  <r>
    <x v="17"/>
    <x v="48"/>
    <s v="Electric Generators, Electric Utilities"/>
    <x v="0"/>
    <n v="90531201"/>
  </r>
  <r>
    <x v="17"/>
    <x v="48"/>
    <s v="Electric Generators, Electric Utilities"/>
    <x v="2"/>
    <n v="78613750"/>
  </r>
  <r>
    <x v="17"/>
    <x v="48"/>
    <s v="Electric Generators, Electric Utilities"/>
    <x v="3"/>
    <n v="1773539"/>
  </r>
  <r>
    <x v="17"/>
    <x v="48"/>
    <s v="Electric Generators, Electric Utilities"/>
    <x v="7"/>
    <n v="8108560"/>
  </r>
  <r>
    <x v="17"/>
    <x v="48"/>
    <s v="Electric Generators, Electric Utilities"/>
    <x v="8"/>
    <n v="81021"/>
  </r>
  <r>
    <x v="17"/>
    <x v="48"/>
    <s v="Electric Generators, Electric Utilities"/>
    <x v="4"/>
    <n v="3983"/>
  </r>
  <r>
    <x v="17"/>
    <x v="48"/>
    <s v="Electric Generators, Electric Utilities"/>
    <x v="10"/>
    <n v="44512"/>
  </r>
  <r>
    <x v="17"/>
    <x v="48"/>
    <s v="Electric Generators, Electric Utilities"/>
    <x v="5"/>
    <n v="1338676"/>
  </r>
  <r>
    <x v="17"/>
    <x v="48"/>
    <s v="Electric Generators, Electric Utilities"/>
    <x v="6"/>
    <n v="567160"/>
  </r>
  <r>
    <x v="17"/>
    <x v="48"/>
    <s v="Combined Heat and Power, Industrial Power"/>
    <x v="0"/>
    <n v="661435"/>
  </r>
  <r>
    <x v="17"/>
    <x v="48"/>
    <s v="Combined Heat and Power, Industrial Power"/>
    <x v="1"/>
    <n v="39006"/>
  </r>
  <r>
    <x v="17"/>
    <x v="48"/>
    <s v="Combined Heat and Power, Industrial Power"/>
    <x v="2"/>
    <n v="2586"/>
  </r>
  <r>
    <x v="17"/>
    <x v="48"/>
    <s v="Combined Heat and Power, Industrial Power"/>
    <x v="3"/>
    <n v="33291"/>
  </r>
  <r>
    <x v="17"/>
    <x v="48"/>
    <s v="Combined Heat and Power, Industrial Power"/>
    <x v="8"/>
    <n v="13460"/>
  </r>
  <r>
    <x v="17"/>
    <x v="48"/>
    <s v="Combined Heat and Power, Industrial Power"/>
    <x v="4"/>
    <n v="23872"/>
  </r>
  <r>
    <x v="17"/>
    <x v="48"/>
    <s v="Combined Heat and Power, Industrial Power"/>
    <x v="6"/>
    <n v="549220"/>
  </r>
  <r>
    <x v="17"/>
    <x v="48"/>
    <s v="Combined Heat and Power, Electric Power"/>
    <x v="0"/>
    <n v="1947956"/>
  </r>
  <r>
    <x v="17"/>
    <x v="48"/>
    <s v="Combined Heat and Power, Electric Power"/>
    <x v="3"/>
    <n v="1613748"/>
  </r>
  <r>
    <x v="17"/>
    <x v="48"/>
    <s v="Combined Heat and Power, Electric Power"/>
    <x v="8"/>
    <n v="1"/>
  </r>
  <r>
    <x v="17"/>
    <x v="48"/>
    <s v="Combined Heat and Power, Electric Power"/>
    <x v="9"/>
    <n v="333773"/>
  </r>
  <r>
    <x v="17"/>
    <x v="48"/>
    <s v="Combined Heat and Power, Electric Power"/>
    <x v="4"/>
    <n v="434"/>
  </r>
  <r>
    <x v="17"/>
    <x v="48"/>
    <s v="Combined Heat and Power, Commercial Power"/>
    <x v="0"/>
    <n v="52256"/>
  </r>
  <r>
    <x v="17"/>
    <x v="48"/>
    <s v="Combined Heat and Power, Commercial Power"/>
    <x v="2"/>
    <n v="45378"/>
  </r>
  <r>
    <x v="17"/>
    <x v="48"/>
    <s v="Combined Heat and Power, Commercial Power"/>
    <x v="3"/>
    <n v="7599"/>
  </r>
  <r>
    <x v="17"/>
    <x v="48"/>
    <s v="Combined Heat and Power, Commercial Power"/>
    <x v="4"/>
    <n v="-720"/>
  </r>
  <r>
    <x v="17"/>
    <x v="49"/>
    <s v="Total Electric Power Industry"/>
    <x v="0"/>
    <n v="63390630"/>
  </r>
  <r>
    <x v="17"/>
    <x v="49"/>
    <s v="Total Electric Power Industry"/>
    <x v="1"/>
    <n v="40028250"/>
  </r>
  <r>
    <x v="17"/>
    <x v="49"/>
    <s v="Total Electric Power Industry"/>
    <x v="2"/>
    <n v="1516083"/>
  </r>
  <r>
    <x v="17"/>
    <x v="49"/>
    <s v="Total Electric Power Industry"/>
    <x v="3"/>
    <n v="6488750"/>
  </r>
  <r>
    <x v="17"/>
    <x v="49"/>
    <s v="Total Electric Power Industry"/>
    <x v="7"/>
    <n v="12910319"/>
  </r>
  <r>
    <x v="17"/>
    <x v="49"/>
    <s v="Total Electric Power Industry"/>
    <x v="12"/>
    <n v="104297"/>
  </r>
  <r>
    <x v="17"/>
    <x v="49"/>
    <s v="Total Electric Power Industry"/>
    <x v="8"/>
    <n v="435156"/>
  </r>
  <r>
    <x v="17"/>
    <x v="49"/>
    <s v="Total Electric Power Industry"/>
    <x v="4"/>
    <n v="1013414"/>
  </r>
  <r>
    <x v="17"/>
    <x v="49"/>
    <s v="Total Electric Power Industry"/>
    <x v="5"/>
    <n v="109283"/>
  </r>
  <r>
    <x v="17"/>
    <x v="49"/>
    <s v="Total Electric Power Industry"/>
    <x v="6"/>
    <n v="785079"/>
  </r>
  <r>
    <x v="17"/>
    <x v="49"/>
    <s v="Electric Generators, Independent Power Producers"/>
    <x v="0"/>
    <n v="15406460"/>
  </r>
  <r>
    <x v="17"/>
    <x v="49"/>
    <s v="Electric Generators, Independent Power Producers"/>
    <x v="1"/>
    <n v="54758"/>
  </r>
  <r>
    <x v="17"/>
    <x v="49"/>
    <s v="Electric Generators, Independent Power Producers"/>
    <x v="2"/>
    <n v="22240"/>
  </r>
  <r>
    <x v="17"/>
    <x v="49"/>
    <s v="Electric Generators, Independent Power Producers"/>
    <x v="3"/>
    <n v="1988193"/>
  </r>
  <r>
    <x v="17"/>
    <x v="49"/>
    <s v="Electric Generators, Independent Power Producers"/>
    <x v="7"/>
    <n v="12910319"/>
  </r>
  <r>
    <x v="17"/>
    <x v="49"/>
    <s v="Electric Generators, Independent Power Producers"/>
    <x v="8"/>
    <n v="365762"/>
  </r>
  <r>
    <x v="17"/>
    <x v="49"/>
    <s v="Electric Generators, Independent Power Producers"/>
    <x v="4"/>
    <n v="2517"/>
  </r>
  <r>
    <x v="17"/>
    <x v="49"/>
    <s v="Electric Generators, Independent Power Producers"/>
    <x v="5"/>
    <n v="62671"/>
  </r>
  <r>
    <x v="17"/>
    <x v="49"/>
    <s v="Electric Generators, Electric Utilities"/>
    <x v="0"/>
    <n v="44284480"/>
  </r>
  <r>
    <x v="17"/>
    <x v="49"/>
    <s v="Electric Generators, Electric Utilities"/>
    <x v="1"/>
    <n v="38719363"/>
  </r>
  <r>
    <x v="17"/>
    <x v="49"/>
    <s v="Electric Generators, Electric Utilities"/>
    <x v="2"/>
    <n v="1313600"/>
  </r>
  <r>
    <x v="17"/>
    <x v="49"/>
    <s v="Electric Generators, Electric Utilities"/>
    <x v="3"/>
    <n v="3175563"/>
  </r>
  <r>
    <x v="17"/>
    <x v="49"/>
    <s v="Electric Generators, Electric Utilities"/>
    <x v="12"/>
    <n v="73800"/>
  </r>
  <r>
    <x v="17"/>
    <x v="49"/>
    <s v="Electric Generators, Electric Utilities"/>
    <x v="8"/>
    <n v="37489"/>
  </r>
  <r>
    <x v="17"/>
    <x v="49"/>
    <s v="Electric Generators, Electric Utilities"/>
    <x v="4"/>
    <n v="725019"/>
  </r>
  <r>
    <x v="17"/>
    <x v="49"/>
    <s v="Electric Generators, Electric Utilities"/>
    <x v="5"/>
    <n v="46612"/>
  </r>
  <r>
    <x v="17"/>
    <x v="49"/>
    <s v="Electric Generators, Electric Utilities"/>
    <x v="6"/>
    <n v="193035"/>
  </r>
  <r>
    <x v="17"/>
    <x v="49"/>
    <s v="Combined Heat and Power, Industrial Power"/>
    <x v="0"/>
    <n v="2509017"/>
  </r>
  <r>
    <x v="17"/>
    <x v="49"/>
    <s v="Combined Heat and Power, Industrial Power"/>
    <x v="1"/>
    <n v="1204695"/>
  </r>
  <r>
    <x v="17"/>
    <x v="49"/>
    <s v="Combined Heat and Power, Industrial Power"/>
    <x v="2"/>
    <n v="178993"/>
  </r>
  <r>
    <x v="17"/>
    <x v="49"/>
    <s v="Combined Heat and Power, Industrial Power"/>
    <x v="3"/>
    <n v="205949"/>
  </r>
  <r>
    <x v="17"/>
    <x v="49"/>
    <s v="Combined Heat and Power, Industrial Power"/>
    <x v="12"/>
    <n v="27773"/>
  </r>
  <r>
    <x v="17"/>
    <x v="49"/>
    <s v="Combined Heat and Power, Industrial Power"/>
    <x v="8"/>
    <n v="18252"/>
  </r>
  <r>
    <x v="17"/>
    <x v="49"/>
    <s v="Combined Heat and Power, Industrial Power"/>
    <x v="4"/>
    <n v="281810"/>
  </r>
  <r>
    <x v="17"/>
    <x v="49"/>
    <s v="Combined Heat and Power, Industrial Power"/>
    <x v="6"/>
    <n v="591545"/>
  </r>
  <r>
    <x v="17"/>
    <x v="49"/>
    <s v="Combined Heat and Power, Electric Power"/>
    <x v="0"/>
    <n v="1064976"/>
  </r>
  <r>
    <x v="17"/>
    <x v="49"/>
    <s v="Combined Heat and Power, Electric Power"/>
    <x v="3"/>
    <n v="1057923"/>
  </r>
  <r>
    <x v="17"/>
    <x v="49"/>
    <s v="Combined Heat and Power, Electric Power"/>
    <x v="8"/>
    <n v="3132"/>
  </r>
  <r>
    <x v="17"/>
    <x v="49"/>
    <s v="Combined Heat and Power, Electric Power"/>
    <x v="4"/>
    <n v="3921"/>
  </r>
  <r>
    <x v="17"/>
    <x v="49"/>
    <s v="Combined Heat and Power, Commercial Power"/>
    <x v="0"/>
    <n v="125697"/>
  </r>
  <r>
    <x v="17"/>
    <x v="49"/>
    <s v="Combined Heat and Power, Commercial Power"/>
    <x v="1"/>
    <n v="49434"/>
  </r>
  <r>
    <x v="17"/>
    <x v="49"/>
    <s v="Combined Heat and Power, Commercial Power"/>
    <x v="2"/>
    <n v="1250"/>
  </r>
  <r>
    <x v="17"/>
    <x v="49"/>
    <s v="Combined Heat and Power, Commercial Power"/>
    <x v="3"/>
    <n v="61123"/>
  </r>
  <r>
    <x v="17"/>
    <x v="49"/>
    <s v="Combined Heat and Power, Commercial Power"/>
    <x v="12"/>
    <n v="2724"/>
  </r>
  <r>
    <x v="17"/>
    <x v="49"/>
    <s v="Combined Heat and Power, Commercial Power"/>
    <x v="8"/>
    <n v="10520"/>
  </r>
  <r>
    <x v="17"/>
    <x v="49"/>
    <s v="Combined Heat and Power, Commercial Power"/>
    <x v="4"/>
    <n v="147"/>
  </r>
  <r>
    <x v="17"/>
    <x v="49"/>
    <s v="Combined Heat and Power, Commercial Power"/>
    <x v="6"/>
    <n v="499"/>
  </r>
  <r>
    <x v="17"/>
    <x v="50"/>
    <s v="Total Electric Power Industry"/>
    <x v="0"/>
    <n v="93933109"/>
  </r>
  <r>
    <x v="17"/>
    <x v="50"/>
    <s v="Total Electric Power Industry"/>
    <x v="1"/>
    <n v="91866265"/>
  </r>
  <r>
    <x v="17"/>
    <x v="50"/>
    <s v="Total Electric Power Industry"/>
    <x v="2"/>
    <n v="1254397"/>
  </r>
  <r>
    <x v="17"/>
    <x v="50"/>
    <s v="Total Electric Power Industry"/>
    <x v="3"/>
    <n v="388794"/>
  </r>
  <r>
    <x v="17"/>
    <x v="50"/>
    <s v="Total Electric Power Industry"/>
    <x v="12"/>
    <n v="471"/>
  </r>
  <r>
    <x v="17"/>
    <x v="50"/>
    <s v="Total Electric Power Industry"/>
    <x v="8"/>
    <n v="0"/>
  </r>
  <r>
    <x v="17"/>
    <x v="50"/>
    <s v="Total Electric Power Industry"/>
    <x v="9"/>
    <n v="55676"/>
  </r>
  <r>
    <x v="17"/>
    <x v="50"/>
    <s v="Total Electric Power Industry"/>
    <x v="4"/>
    <n v="199919"/>
  </r>
  <r>
    <x v="17"/>
    <x v="50"/>
    <s v="Total Electric Power Industry"/>
    <x v="5"/>
    <n v="167588"/>
  </r>
  <r>
    <x v="17"/>
    <x v="50"/>
    <s v="Total Electric Power Industry"/>
    <x v="6"/>
    <n v="0"/>
  </r>
  <r>
    <x v="17"/>
    <x v="50"/>
    <s v="Electric Generators, Independent Power Producers"/>
    <x v="0"/>
    <n v="23058183"/>
  </r>
  <r>
    <x v="17"/>
    <x v="50"/>
    <s v="Electric Generators, Independent Power Producers"/>
    <x v="1"/>
    <n v="22284290"/>
  </r>
  <r>
    <x v="17"/>
    <x v="50"/>
    <s v="Electric Generators, Independent Power Producers"/>
    <x v="2"/>
    <n v="374753"/>
  </r>
  <r>
    <x v="17"/>
    <x v="50"/>
    <s v="Electric Generators, Independent Power Producers"/>
    <x v="3"/>
    <n v="226151"/>
  </r>
  <r>
    <x v="17"/>
    <x v="50"/>
    <s v="Electric Generators, Independent Power Producers"/>
    <x v="12"/>
    <n v="0"/>
  </r>
  <r>
    <x v="17"/>
    <x v="50"/>
    <s v="Electric Generators, Independent Power Producers"/>
    <x v="4"/>
    <n v="5401"/>
  </r>
  <r>
    <x v="17"/>
    <x v="50"/>
    <s v="Electric Generators, Independent Power Producers"/>
    <x v="5"/>
    <n v="167588"/>
  </r>
  <r>
    <x v="17"/>
    <x v="50"/>
    <s v="Electric Generators, Electric Utilities"/>
    <x v="0"/>
    <n v="69347861"/>
  </r>
  <r>
    <x v="17"/>
    <x v="50"/>
    <s v="Electric Generators, Electric Utilities"/>
    <x v="1"/>
    <n v="68602182"/>
  </r>
  <r>
    <x v="17"/>
    <x v="50"/>
    <s v="Electric Generators, Electric Utilities"/>
    <x v="2"/>
    <n v="431101"/>
  </r>
  <r>
    <x v="17"/>
    <x v="50"/>
    <s v="Electric Generators, Electric Utilities"/>
    <x v="3"/>
    <n v="137050"/>
  </r>
  <r>
    <x v="17"/>
    <x v="50"/>
    <s v="Electric Generators, Electric Utilities"/>
    <x v="12"/>
    <n v="388"/>
  </r>
  <r>
    <x v="17"/>
    <x v="50"/>
    <s v="Electric Generators, Electric Utilities"/>
    <x v="8"/>
    <n v="0"/>
  </r>
  <r>
    <x v="17"/>
    <x v="50"/>
    <s v="Electric Generators, Electric Utilities"/>
    <x v="4"/>
    <n v="177140"/>
  </r>
  <r>
    <x v="17"/>
    <x v="50"/>
    <s v="Electric Generators, Electric Utilities"/>
    <x v="6"/>
    <n v="0"/>
  </r>
  <r>
    <x v="17"/>
    <x v="50"/>
    <s v="Combined Heat and Power, Industrial Power"/>
    <x v="0"/>
    <n v="1109877"/>
  </r>
  <r>
    <x v="17"/>
    <x v="50"/>
    <s v="Combined Heat and Power, Industrial Power"/>
    <x v="1"/>
    <n v="562604"/>
  </r>
  <r>
    <x v="17"/>
    <x v="50"/>
    <s v="Combined Heat and Power, Industrial Power"/>
    <x v="2"/>
    <n v="448543"/>
  </r>
  <r>
    <x v="17"/>
    <x v="50"/>
    <s v="Combined Heat and Power, Industrial Power"/>
    <x v="3"/>
    <n v="25594"/>
  </r>
  <r>
    <x v="17"/>
    <x v="50"/>
    <s v="Combined Heat and Power, Industrial Power"/>
    <x v="12"/>
    <n v="83"/>
  </r>
  <r>
    <x v="17"/>
    <x v="50"/>
    <s v="Combined Heat and Power, Industrial Power"/>
    <x v="9"/>
    <n v="55676"/>
  </r>
  <r>
    <x v="17"/>
    <x v="50"/>
    <s v="Combined Heat and Power, Industrial Power"/>
    <x v="4"/>
    <n v="17378"/>
  </r>
  <r>
    <x v="17"/>
    <x v="50"/>
    <s v="Combined Heat and Power, Electric Power"/>
    <x v="0"/>
    <n v="417189"/>
  </r>
  <r>
    <x v="17"/>
    <x v="50"/>
    <s v="Combined Heat and Power, Electric Power"/>
    <x v="1"/>
    <n v="417189"/>
  </r>
  <r>
    <x v="17"/>
    <x v="51"/>
    <s v="Total Electric Power Industry"/>
    <x v="0"/>
    <n v="45633486"/>
  </r>
  <r>
    <x v="17"/>
    <x v="51"/>
    <s v="Total Electric Power Industry"/>
    <x v="1"/>
    <n v="43126809"/>
  </r>
  <r>
    <x v="17"/>
    <x v="51"/>
    <s v="Total Electric Power Industry"/>
    <x v="2"/>
    <n v="729424"/>
  </r>
  <r>
    <x v="17"/>
    <x v="51"/>
    <s v="Total Electric Power Industry"/>
    <x v="3"/>
    <n v="594026"/>
  </r>
  <r>
    <x v="17"/>
    <x v="51"/>
    <s v="Total Electric Power Industry"/>
    <x v="12"/>
    <n v="69034"/>
  </r>
  <r>
    <x v="17"/>
    <x v="51"/>
    <s v="Total Electric Power Industry"/>
    <x v="9"/>
    <n v="312091"/>
  </r>
  <r>
    <x v="17"/>
    <x v="51"/>
    <s v="Total Electric Power Industry"/>
    <x v="4"/>
    <n v="47222"/>
  </r>
  <r>
    <x v="17"/>
    <x v="51"/>
    <s v="Total Electric Power Industry"/>
    <x v="5"/>
    <n v="754881"/>
  </r>
  <r>
    <x v="17"/>
    <x v="51"/>
    <s v="Electric Generators, Independent Power Producers"/>
    <x v="0"/>
    <n v="1465439"/>
  </r>
  <r>
    <x v="17"/>
    <x v="51"/>
    <s v="Electric Generators, Independent Power Producers"/>
    <x v="1"/>
    <n v="703940"/>
  </r>
  <r>
    <x v="17"/>
    <x v="51"/>
    <s v="Electric Generators, Independent Power Producers"/>
    <x v="3"/>
    <n v="23131"/>
  </r>
  <r>
    <x v="17"/>
    <x v="51"/>
    <s v="Electric Generators, Independent Power Producers"/>
    <x v="4"/>
    <n v="367"/>
  </r>
  <r>
    <x v="17"/>
    <x v="51"/>
    <s v="Electric Generators, Independent Power Producers"/>
    <x v="5"/>
    <n v="738001"/>
  </r>
  <r>
    <x v="17"/>
    <x v="51"/>
    <s v="Electric Generators, Electric Utilities"/>
    <x v="0"/>
    <n v="43144350"/>
  </r>
  <r>
    <x v="17"/>
    <x v="51"/>
    <s v="Electric Generators, Electric Utilities"/>
    <x v="1"/>
    <n v="42204359"/>
  </r>
  <r>
    <x v="17"/>
    <x v="51"/>
    <s v="Electric Generators, Electric Utilities"/>
    <x v="2"/>
    <n v="729424"/>
  </r>
  <r>
    <x v="17"/>
    <x v="51"/>
    <s v="Electric Generators, Electric Utilities"/>
    <x v="3"/>
    <n v="147571"/>
  </r>
  <r>
    <x v="17"/>
    <x v="51"/>
    <s v="Electric Generators, Electric Utilities"/>
    <x v="4"/>
    <n v="46116"/>
  </r>
  <r>
    <x v="17"/>
    <x v="51"/>
    <s v="Electric Generators, Electric Utilities"/>
    <x v="5"/>
    <n v="16880"/>
  </r>
  <r>
    <x v="17"/>
    <x v="51"/>
    <s v="Combined Heat and Power, Industrial Power"/>
    <x v="0"/>
    <n v="1023697"/>
  </r>
  <r>
    <x v="17"/>
    <x v="51"/>
    <s v="Combined Heat and Power, Industrial Power"/>
    <x v="1"/>
    <n v="218510"/>
  </r>
  <r>
    <x v="17"/>
    <x v="51"/>
    <s v="Combined Heat and Power, Industrial Power"/>
    <x v="3"/>
    <n v="423324"/>
  </r>
  <r>
    <x v="17"/>
    <x v="51"/>
    <s v="Combined Heat and Power, Industrial Power"/>
    <x v="12"/>
    <n v="69034"/>
  </r>
  <r>
    <x v="17"/>
    <x v="51"/>
    <s v="Combined Heat and Power, Industrial Power"/>
    <x v="9"/>
    <n v="312091"/>
  </r>
  <r>
    <x v="17"/>
    <x v="51"/>
    <s v="Combined Heat and Power, Industrial Power"/>
    <x v="4"/>
    <n v="739"/>
  </r>
  <r>
    <x v="18"/>
    <x v="0"/>
    <s v="Total Electric Power Industry"/>
    <x v="0"/>
    <n v="6774834"/>
  </r>
  <r>
    <x v="18"/>
    <x v="0"/>
    <s v="Total Electric Power Industry"/>
    <x v="1"/>
    <n v="617897"/>
  </r>
  <r>
    <x v="18"/>
    <x v="0"/>
    <s v="Total Electric Power Industry"/>
    <x v="2"/>
    <n v="1171801"/>
  </r>
  <r>
    <x v="18"/>
    <x v="0"/>
    <s v="Total Electric Power Industry"/>
    <x v="3"/>
    <n v="4002472"/>
  </r>
  <r>
    <x v="18"/>
    <x v="0"/>
    <s v="Total Electric Power Industry"/>
    <x v="12"/>
    <n v="0"/>
  </r>
  <r>
    <x v="18"/>
    <x v="0"/>
    <s v="Total Electric Power Industry"/>
    <x v="8"/>
    <n v="4682"/>
  </r>
  <r>
    <x v="18"/>
    <x v="0"/>
    <s v="Total Electric Power Industry"/>
    <x v="4"/>
    <n v="977915"/>
  </r>
  <r>
    <x v="18"/>
    <x v="0"/>
    <s v="Total Electric Power Industry"/>
    <x v="5"/>
    <n v="68"/>
  </r>
  <r>
    <x v="18"/>
    <x v="0"/>
    <s v="Total Electric Power Industry"/>
    <x v="6"/>
    <n v="0"/>
  </r>
  <r>
    <x v="18"/>
    <x v="0"/>
    <s v="Electric Generators, Electric Utilities"/>
    <x v="0"/>
    <n v="6262148"/>
  </r>
  <r>
    <x v="18"/>
    <x v="0"/>
    <s v="Electric Generators, Electric Utilities"/>
    <x v="1"/>
    <n v="220360"/>
  </r>
  <r>
    <x v="18"/>
    <x v="0"/>
    <s v="Electric Generators, Electric Utilities"/>
    <x v="2"/>
    <n v="1171801"/>
  </r>
  <r>
    <x v="18"/>
    <x v="0"/>
    <s v="Electric Generators, Electric Utilities"/>
    <x v="3"/>
    <n v="3942237"/>
  </r>
  <r>
    <x v="18"/>
    <x v="0"/>
    <s v="Electric Generators, Electric Utilities"/>
    <x v="12"/>
    <n v="0"/>
  </r>
  <r>
    <x v="18"/>
    <x v="0"/>
    <s v="Electric Generators, Electric Utilities"/>
    <x v="4"/>
    <n v="927681"/>
  </r>
  <r>
    <x v="18"/>
    <x v="0"/>
    <s v="Electric Generators, Electric Utilities"/>
    <x v="5"/>
    <n v="68"/>
  </r>
  <r>
    <x v="18"/>
    <x v="0"/>
    <s v="Combined Heat and Power, Industrial Power"/>
    <x v="0"/>
    <n v="110483"/>
  </r>
  <r>
    <x v="18"/>
    <x v="0"/>
    <s v="Combined Heat and Power, Industrial Power"/>
    <x v="3"/>
    <n v="60235"/>
  </r>
  <r>
    <x v="18"/>
    <x v="0"/>
    <s v="Combined Heat and Power, Industrial Power"/>
    <x v="8"/>
    <n v="4682"/>
  </r>
  <r>
    <x v="18"/>
    <x v="0"/>
    <s v="Combined Heat and Power, Industrial Power"/>
    <x v="4"/>
    <n v="45566"/>
  </r>
  <r>
    <x v="18"/>
    <x v="0"/>
    <s v="Combined Heat and Power, Electric Power"/>
    <x v="0"/>
    <n v="177106"/>
  </r>
  <r>
    <x v="18"/>
    <x v="0"/>
    <s v="Combined Heat and Power, Electric Power"/>
    <x v="1"/>
    <n v="177106"/>
  </r>
  <r>
    <x v="18"/>
    <x v="0"/>
    <s v="Combined Heat and Power, Commercial Power"/>
    <x v="0"/>
    <n v="225098"/>
  </r>
  <r>
    <x v="18"/>
    <x v="0"/>
    <s v="Combined Heat and Power, Commercial Power"/>
    <x v="1"/>
    <n v="220430"/>
  </r>
  <r>
    <x v="18"/>
    <x v="0"/>
    <s v="Combined Heat and Power, Commercial Power"/>
    <x v="3"/>
    <n v="0"/>
  </r>
  <r>
    <x v="18"/>
    <x v="0"/>
    <s v="Combined Heat and Power, Commercial Power"/>
    <x v="4"/>
    <n v="4668"/>
  </r>
  <r>
    <x v="18"/>
    <x v="0"/>
    <s v="Combined Heat and Power, Commercial Power"/>
    <x v="6"/>
    <n v="0"/>
  </r>
  <r>
    <x v="18"/>
    <x v="1"/>
    <s v="Total Electric Power Industry"/>
    <x v="0"/>
    <n v="145869895"/>
  </r>
  <r>
    <x v="18"/>
    <x v="1"/>
    <s v="Total Electric Power Industry"/>
    <x v="1"/>
    <n v="74604648"/>
  </r>
  <r>
    <x v="18"/>
    <x v="1"/>
    <s v="Total Electric Power Industry"/>
    <x v="2"/>
    <n v="6136148"/>
  </r>
  <r>
    <x v="18"/>
    <x v="1"/>
    <s v="Total Electric Power Industry"/>
    <x v="3"/>
    <n v="22362919"/>
  </r>
  <r>
    <x v="18"/>
    <x v="1"/>
    <s v="Total Electric Power Industry"/>
    <x v="7"/>
    <n v="38992641"/>
  </r>
  <r>
    <x v="18"/>
    <x v="1"/>
    <s v="Total Electric Power Industry"/>
    <x v="12"/>
    <n v="8222"/>
  </r>
  <r>
    <x v="18"/>
    <x v="1"/>
    <s v="Total Electric Power Industry"/>
    <x v="8"/>
    <n v="33698"/>
  </r>
  <r>
    <x v="18"/>
    <x v="1"/>
    <s v="Total Electric Power Industry"/>
    <x v="9"/>
    <n v="203739"/>
  </r>
  <r>
    <x v="18"/>
    <x v="1"/>
    <s v="Total Electric Power Industry"/>
    <x v="4"/>
    <n v="204265"/>
  </r>
  <r>
    <x v="18"/>
    <x v="1"/>
    <s v="Total Electric Power Industry"/>
    <x v="6"/>
    <n v="3323616"/>
  </r>
  <r>
    <x v="18"/>
    <x v="1"/>
    <s v="Electric Generators, Independent Power Producers"/>
    <x v="0"/>
    <n v="10683147"/>
  </r>
  <r>
    <x v="18"/>
    <x v="1"/>
    <s v="Electric Generators, Independent Power Producers"/>
    <x v="3"/>
    <n v="10668897"/>
  </r>
  <r>
    <x v="18"/>
    <x v="1"/>
    <s v="Electric Generators, Independent Power Producers"/>
    <x v="4"/>
    <n v="14250"/>
  </r>
  <r>
    <x v="18"/>
    <x v="1"/>
    <s v="Electric Generators, Electric Utilities"/>
    <x v="0"/>
    <n v="128054895"/>
  </r>
  <r>
    <x v="18"/>
    <x v="1"/>
    <s v="Electric Generators, Electric Utilities"/>
    <x v="1"/>
    <n v="74280210"/>
  </r>
  <r>
    <x v="18"/>
    <x v="1"/>
    <s v="Electric Generators, Electric Utilities"/>
    <x v="2"/>
    <n v="6136148"/>
  </r>
  <r>
    <x v="18"/>
    <x v="1"/>
    <s v="Electric Generators, Electric Utilities"/>
    <x v="3"/>
    <n v="8543211"/>
  </r>
  <r>
    <x v="18"/>
    <x v="1"/>
    <s v="Electric Generators, Electric Utilities"/>
    <x v="7"/>
    <n v="38992641"/>
  </r>
  <r>
    <x v="18"/>
    <x v="1"/>
    <s v="Electric Generators, Electric Utilities"/>
    <x v="8"/>
    <n v="3882"/>
  </r>
  <r>
    <x v="18"/>
    <x v="1"/>
    <s v="Electric Generators, Electric Utilities"/>
    <x v="4"/>
    <n v="98804"/>
  </r>
  <r>
    <x v="18"/>
    <x v="1"/>
    <s v="Combined Heat and Power, Industrial Power"/>
    <x v="0"/>
    <n v="4562425"/>
  </r>
  <r>
    <x v="18"/>
    <x v="1"/>
    <s v="Combined Heat and Power, Industrial Power"/>
    <x v="1"/>
    <n v="173526"/>
  </r>
  <r>
    <x v="18"/>
    <x v="1"/>
    <s v="Combined Heat and Power, Industrial Power"/>
    <x v="3"/>
    <n v="895392"/>
  </r>
  <r>
    <x v="18"/>
    <x v="1"/>
    <s v="Combined Heat and Power, Industrial Power"/>
    <x v="12"/>
    <n v="8222"/>
  </r>
  <r>
    <x v="18"/>
    <x v="1"/>
    <s v="Combined Heat and Power, Industrial Power"/>
    <x v="8"/>
    <n v="29816"/>
  </r>
  <r>
    <x v="18"/>
    <x v="1"/>
    <s v="Combined Heat and Power, Industrial Power"/>
    <x v="9"/>
    <n v="203739"/>
  </r>
  <r>
    <x v="18"/>
    <x v="1"/>
    <s v="Combined Heat and Power, Industrial Power"/>
    <x v="4"/>
    <n v="91211"/>
  </r>
  <r>
    <x v="18"/>
    <x v="1"/>
    <s v="Combined Heat and Power, Industrial Power"/>
    <x v="6"/>
    <n v="3160519"/>
  </r>
  <r>
    <x v="18"/>
    <x v="1"/>
    <s v="Combined Heat and Power, Electric Power"/>
    <x v="0"/>
    <n v="2569428"/>
  </r>
  <r>
    <x v="18"/>
    <x v="1"/>
    <s v="Combined Heat and Power, Electric Power"/>
    <x v="1"/>
    <n v="150912"/>
  </r>
  <r>
    <x v="18"/>
    <x v="1"/>
    <s v="Combined Heat and Power, Electric Power"/>
    <x v="3"/>
    <n v="2255419"/>
  </r>
  <r>
    <x v="18"/>
    <x v="1"/>
    <s v="Combined Heat and Power, Electric Power"/>
    <x v="6"/>
    <n v="163097"/>
  </r>
  <r>
    <x v="18"/>
    <x v="2"/>
    <s v="Total Electric Power Industry"/>
    <x v="0"/>
    <n v="55050528"/>
  </r>
  <r>
    <x v="18"/>
    <x v="2"/>
    <s v="Total Electric Power Industry"/>
    <x v="1"/>
    <n v="26114654"/>
  </r>
  <r>
    <x v="18"/>
    <x v="2"/>
    <s v="Total Electric Power Industry"/>
    <x v="2"/>
    <n v="4660297"/>
  </r>
  <r>
    <x v="18"/>
    <x v="2"/>
    <s v="Total Electric Power Industry"/>
    <x v="3"/>
    <n v="8461073"/>
  </r>
  <r>
    <x v="18"/>
    <x v="2"/>
    <s v="Total Electric Power Industry"/>
    <x v="7"/>
    <n v="14168091"/>
  </r>
  <r>
    <x v="18"/>
    <x v="2"/>
    <s v="Total Electric Power Industry"/>
    <x v="12"/>
    <n v="22397"/>
  </r>
  <r>
    <x v="18"/>
    <x v="2"/>
    <s v="Total Electric Power Industry"/>
    <x v="8"/>
    <n v="46770"/>
  </r>
  <r>
    <x v="18"/>
    <x v="2"/>
    <s v="Total Electric Power Industry"/>
    <x v="4"/>
    <n v="63625"/>
  </r>
  <r>
    <x v="18"/>
    <x v="2"/>
    <s v="Total Electric Power Industry"/>
    <x v="10"/>
    <n v="47557"/>
  </r>
  <r>
    <x v="18"/>
    <x v="2"/>
    <s v="Total Electric Power Industry"/>
    <x v="6"/>
    <n v="1466063"/>
  </r>
  <r>
    <x v="18"/>
    <x v="2"/>
    <s v="Electric Generators, Independent Power Producers"/>
    <x v="0"/>
    <n v="5939844"/>
  </r>
  <r>
    <x v="18"/>
    <x v="2"/>
    <s v="Electric Generators, Independent Power Producers"/>
    <x v="2"/>
    <n v="2082"/>
  </r>
  <r>
    <x v="18"/>
    <x v="2"/>
    <s v="Electric Generators, Independent Power Producers"/>
    <x v="3"/>
    <n v="5902011"/>
  </r>
  <r>
    <x v="18"/>
    <x v="2"/>
    <s v="Electric Generators, Independent Power Producers"/>
    <x v="8"/>
    <n v="35751"/>
  </r>
  <r>
    <x v="18"/>
    <x v="2"/>
    <s v="Electric Generators, Electric Utilities"/>
    <x v="0"/>
    <n v="45880232"/>
  </r>
  <r>
    <x v="18"/>
    <x v="2"/>
    <s v="Electric Generators, Electric Utilities"/>
    <x v="1"/>
    <n v="25993257"/>
  </r>
  <r>
    <x v="18"/>
    <x v="2"/>
    <s v="Electric Generators, Electric Utilities"/>
    <x v="2"/>
    <n v="4658215"/>
  </r>
  <r>
    <x v="18"/>
    <x v="2"/>
    <s v="Electric Generators, Electric Utilities"/>
    <x v="3"/>
    <n v="955954"/>
  </r>
  <r>
    <x v="18"/>
    <x v="2"/>
    <s v="Electric Generators, Electric Utilities"/>
    <x v="7"/>
    <n v="14168091"/>
  </r>
  <r>
    <x v="18"/>
    <x v="2"/>
    <s v="Electric Generators, Electric Utilities"/>
    <x v="4"/>
    <n v="57158"/>
  </r>
  <r>
    <x v="18"/>
    <x v="2"/>
    <s v="Electric Generators, Electric Utilities"/>
    <x v="10"/>
    <n v="47557"/>
  </r>
  <r>
    <x v="18"/>
    <x v="2"/>
    <s v="Combined Heat and Power, Industrial Power"/>
    <x v="0"/>
    <n v="1941389"/>
  </r>
  <r>
    <x v="18"/>
    <x v="2"/>
    <s v="Combined Heat and Power, Industrial Power"/>
    <x v="1"/>
    <n v="121397"/>
  </r>
  <r>
    <x v="18"/>
    <x v="2"/>
    <s v="Combined Heat and Power, Industrial Power"/>
    <x v="3"/>
    <n v="323016"/>
  </r>
  <r>
    <x v="18"/>
    <x v="2"/>
    <s v="Combined Heat and Power, Industrial Power"/>
    <x v="12"/>
    <n v="22397"/>
  </r>
  <r>
    <x v="18"/>
    <x v="2"/>
    <s v="Combined Heat and Power, Industrial Power"/>
    <x v="8"/>
    <n v="2049"/>
  </r>
  <r>
    <x v="18"/>
    <x v="2"/>
    <s v="Combined Heat and Power, Industrial Power"/>
    <x v="4"/>
    <n v="6467"/>
  </r>
  <r>
    <x v="18"/>
    <x v="2"/>
    <s v="Combined Heat and Power, Industrial Power"/>
    <x v="6"/>
    <n v="1466063"/>
  </r>
  <r>
    <x v="18"/>
    <x v="2"/>
    <s v="Combined Heat and Power, Electric Power"/>
    <x v="0"/>
    <n v="1285899"/>
  </r>
  <r>
    <x v="18"/>
    <x v="2"/>
    <s v="Combined Heat and Power, Electric Power"/>
    <x v="3"/>
    <n v="1279807"/>
  </r>
  <r>
    <x v="18"/>
    <x v="2"/>
    <s v="Combined Heat and Power, Electric Power"/>
    <x v="8"/>
    <n v="6092"/>
  </r>
  <r>
    <x v="18"/>
    <x v="2"/>
    <s v="Combined Heat and Power, Electric Power"/>
    <x v="4"/>
    <n v="0"/>
  </r>
  <r>
    <x v="18"/>
    <x v="2"/>
    <s v="Combined Heat and Power, Commercial Power"/>
    <x v="0"/>
    <n v="3163"/>
  </r>
  <r>
    <x v="18"/>
    <x v="2"/>
    <s v="Combined Heat and Power, Commercial Power"/>
    <x v="3"/>
    <n v="285"/>
  </r>
  <r>
    <x v="18"/>
    <x v="2"/>
    <s v="Combined Heat and Power, Commercial Power"/>
    <x v="8"/>
    <n v="2878"/>
  </r>
  <r>
    <x v="18"/>
    <x v="3"/>
    <s v="Total Electric Power Industry"/>
    <x v="0"/>
    <n v="119459172"/>
  </r>
  <r>
    <x v="18"/>
    <x v="3"/>
    <s v="Total Electric Power Industry"/>
    <x v="1"/>
    <n v="43840260"/>
  </r>
  <r>
    <x v="18"/>
    <x v="3"/>
    <s v="Total Electric Power Industry"/>
    <x v="2"/>
    <n v="7285902"/>
  </r>
  <r>
    <x v="18"/>
    <x v="3"/>
    <s v="Total Electric Power Industry"/>
    <x v="3"/>
    <n v="38822429"/>
  </r>
  <r>
    <x v="18"/>
    <x v="3"/>
    <s v="Total Electric Power Industry"/>
    <x v="7"/>
    <n v="29250496"/>
  </r>
  <r>
    <x v="18"/>
    <x v="3"/>
    <s v="Total Electric Power Industry"/>
    <x v="8"/>
    <n v="22986"/>
  </r>
  <r>
    <x v="18"/>
    <x v="3"/>
    <s v="Total Electric Power Industry"/>
    <x v="4"/>
    <n v="51897"/>
  </r>
  <r>
    <x v="18"/>
    <x v="3"/>
    <s v="Total Electric Power Industry"/>
    <x v="10"/>
    <n v="94530"/>
  </r>
  <r>
    <x v="18"/>
    <x v="3"/>
    <s v="Total Electric Power Industry"/>
    <x v="13"/>
    <n v="14724"/>
  </r>
  <r>
    <x v="18"/>
    <x v="3"/>
    <s v="Total Electric Power Industry"/>
    <x v="6"/>
    <n v="75947"/>
  </r>
  <r>
    <x v="18"/>
    <x v="3"/>
    <s v="Electric Generators, Independent Power Producers"/>
    <x v="0"/>
    <n v="24216673"/>
  </r>
  <r>
    <x v="18"/>
    <x v="3"/>
    <s v="Electric Generators, Independent Power Producers"/>
    <x v="3"/>
    <n v="24140726"/>
  </r>
  <r>
    <x v="18"/>
    <x v="3"/>
    <s v="Electric Generators, Independent Power Producers"/>
    <x v="6"/>
    <n v="75947"/>
  </r>
  <r>
    <x v="18"/>
    <x v="3"/>
    <s v="Electric Generators, Electric Utilities"/>
    <x v="0"/>
    <n v="94452931"/>
  </r>
  <r>
    <x v="18"/>
    <x v="3"/>
    <s v="Electric Generators, Electric Utilities"/>
    <x v="1"/>
    <n v="43505012"/>
  </r>
  <r>
    <x v="18"/>
    <x v="3"/>
    <s v="Electric Generators, Electric Utilities"/>
    <x v="2"/>
    <n v="7285902"/>
  </r>
  <r>
    <x v="18"/>
    <x v="3"/>
    <s v="Electric Generators, Electric Utilities"/>
    <x v="3"/>
    <n v="14234893"/>
  </r>
  <r>
    <x v="18"/>
    <x v="3"/>
    <s v="Electric Generators, Electric Utilities"/>
    <x v="7"/>
    <n v="29250496"/>
  </r>
  <r>
    <x v="18"/>
    <x v="3"/>
    <s v="Electric Generators, Electric Utilities"/>
    <x v="8"/>
    <n v="19050"/>
  </r>
  <r>
    <x v="18"/>
    <x v="3"/>
    <s v="Electric Generators, Electric Utilities"/>
    <x v="4"/>
    <n v="48324"/>
  </r>
  <r>
    <x v="18"/>
    <x v="3"/>
    <s v="Electric Generators, Electric Utilities"/>
    <x v="10"/>
    <n v="94530"/>
  </r>
  <r>
    <x v="18"/>
    <x v="3"/>
    <s v="Electric Generators, Electric Utilities"/>
    <x v="13"/>
    <n v="14724"/>
  </r>
  <r>
    <x v="18"/>
    <x v="3"/>
    <s v="Combined Heat and Power, Industrial Power"/>
    <x v="0"/>
    <n v="349910"/>
  </r>
  <r>
    <x v="18"/>
    <x v="3"/>
    <s v="Combined Heat and Power, Industrial Power"/>
    <x v="1"/>
    <n v="335248"/>
  </r>
  <r>
    <x v="18"/>
    <x v="3"/>
    <s v="Combined Heat and Power, Industrial Power"/>
    <x v="3"/>
    <n v="11096"/>
  </r>
  <r>
    <x v="18"/>
    <x v="3"/>
    <s v="Combined Heat and Power, Industrial Power"/>
    <x v="4"/>
    <n v="3566"/>
  </r>
  <r>
    <x v="18"/>
    <x v="3"/>
    <s v="Combined Heat and Power, Electric Power"/>
    <x v="0"/>
    <n v="370153"/>
  </r>
  <r>
    <x v="18"/>
    <x v="3"/>
    <s v="Combined Heat and Power, Electric Power"/>
    <x v="3"/>
    <n v="370153"/>
  </r>
  <r>
    <x v="18"/>
    <x v="3"/>
    <s v="Combined Heat and Power, Commercial Power"/>
    <x v="0"/>
    <n v="69505"/>
  </r>
  <r>
    <x v="18"/>
    <x v="3"/>
    <s v="Combined Heat and Power, Commercial Power"/>
    <x v="3"/>
    <n v="65561"/>
  </r>
  <r>
    <x v="18"/>
    <x v="3"/>
    <s v="Combined Heat and Power, Commercial Power"/>
    <x v="8"/>
    <n v="3936"/>
  </r>
  <r>
    <x v="18"/>
    <x v="3"/>
    <s v="Combined Heat and Power, Commercial Power"/>
    <x v="4"/>
    <n v="8"/>
  </r>
  <r>
    <x v="18"/>
    <x v="4"/>
    <s v="Total Electric Power Industry"/>
    <x v="0"/>
    <n v="207984263"/>
  </r>
  <r>
    <x v="18"/>
    <x v="4"/>
    <s v="Total Electric Power Industry"/>
    <x v="1"/>
    <n v="2280401"/>
  </r>
  <r>
    <x v="18"/>
    <x v="4"/>
    <s v="Total Electric Power Industry"/>
    <x v="11"/>
    <n v="12883000"/>
  </r>
  <r>
    <x v="18"/>
    <x v="4"/>
    <s v="Total Electric Power Industry"/>
    <x v="2"/>
    <n v="24127810"/>
  </r>
  <r>
    <x v="18"/>
    <x v="4"/>
    <s v="Total Electric Power Industry"/>
    <x v="3"/>
    <n v="119991737"/>
  </r>
  <r>
    <x v="18"/>
    <x v="4"/>
    <s v="Total Electric Power Industry"/>
    <x v="7"/>
    <n v="32482351"/>
  </r>
  <r>
    <x v="18"/>
    <x v="4"/>
    <s v="Total Electric Power Industry"/>
    <x v="12"/>
    <n v="570311"/>
  </r>
  <r>
    <x v="18"/>
    <x v="4"/>
    <s v="Total Electric Power Industry"/>
    <x v="8"/>
    <n v="2361946"/>
  </r>
  <r>
    <x v="18"/>
    <x v="4"/>
    <s v="Total Electric Power Industry"/>
    <x v="9"/>
    <n v="1684863"/>
  </r>
  <r>
    <x v="18"/>
    <x v="4"/>
    <s v="Total Electric Power Industry"/>
    <x v="4"/>
    <n v="1741590"/>
  </r>
  <r>
    <x v="18"/>
    <x v="4"/>
    <s v="Total Electric Power Industry"/>
    <x v="10"/>
    <n v="321263"/>
  </r>
  <r>
    <x v="18"/>
    <x v="4"/>
    <s v="Total Electric Power Industry"/>
    <x v="13"/>
    <n v="670481"/>
  </r>
  <r>
    <x v="18"/>
    <x v="4"/>
    <s v="Total Electric Power Industry"/>
    <x v="5"/>
    <n v="5384955"/>
  </r>
  <r>
    <x v="18"/>
    <x v="4"/>
    <s v="Total Electric Power Industry"/>
    <x v="6"/>
    <n v="3483555"/>
  </r>
  <r>
    <x v="18"/>
    <x v="4"/>
    <s v="Electric Generators, Independent Power Producers"/>
    <x v="0"/>
    <n v="85067386"/>
  </r>
  <r>
    <x v="18"/>
    <x v="4"/>
    <s v="Electric Generators, Independent Power Producers"/>
    <x v="1"/>
    <n v="0"/>
  </r>
  <r>
    <x v="18"/>
    <x v="4"/>
    <s v="Electric Generators, Independent Power Producers"/>
    <x v="11"/>
    <n v="11940071"/>
  </r>
  <r>
    <x v="18"/>
    <x v="4"/>
    <s v="Electric Generators, Independent Power Producers"/>
    <x v="2"/>
    <n v="1256736"/>
  </r>
  <r>
    <x v="18"/>
    <x v="4"/>
    <s v="Electric Generators, Independent Power Producers"/>
    <x v="3"/>
    <n v="60919910"/>
  </r>
  <r>
    <x v="18"/>
    <x v="4"/>
    <s v="Electric Generators, Independent Power Producers"/>
    <x v="12"/>
    <n v="83355"/>
  </r>
  <r>
    <x v="18"/>
    <x v="4"/>
    <s v="Electric Generators, Independent Power Producers"/>
    <x v="8"/>
    <n v="1516379"/>
  </r>
  <r>
    <x v="18"/>
    <x v="4"/>
    <s v="Electric Generators, Independent Power Producers"/>
    <x v="9"/>
    <n v="0"/>
  </r>
  <r>
    <x v="18"/>
    <x v="4"/>
    <s v="Electric Generators, Independent Power Producers"/>
    <x v="4"/>
    <n v="972906"/>
  </r>
  <r>
    <x v="18"/>
    <x v="4"/>
    <s v="Electric Generators, Independent Power Producers"/>
    <x v="13"/>
    <n v="668186"/>
  </r>
  <r>
    <x v="18"/>
    <x v="4"/>
    <s v="Electric Generators, Independent Power Producers"/>
    <x v="5"/>
    <n v="5123617"/>
  </r>
  <r>
    <x v="18"/>
    <x v="4"/>
    <s v="Electric Generators, Independent Power Producers"/>
    <x v="6"/>
    <n v="2586227"/>
  </r>
  <r>
    <x v="18"/>
    <x v="4"/>
    <s v="Electric Generators, Electric Utilities"/>
    <x v="0"/>
    <n v="83346844"/>
  </r>
  <r>
    <x v="18"/>
    <x v="4"/>
    <s v="Electric Generators, Electric Utilities"/>
    <x v="11"/>
    <n v="942929"/>
  </r>
  <r>
    <x v="18"/>
    <x v="4"/>
    <s v="Electric Generators, Electric Utilities"/>
    <x v="2"/>
    <n v="22871073"/>
  </r>
  <r>
    <x v="18"/>
    <x v="4"/>
    <s v="Electric Generators, Electric Utilities"/>
    <x v="3"/>
    <n v="26129803"/>
  </r>
  <r>
    <x v="18"/>
    <x v="4"/>
    <s v="Electric Generators, Electric Utilities"/>
    <x v="7"/>
    <n v="32482351"/>
  </r>
  <r>
    <x v="18"/>
    <x v="4"/>
    <s v="Electric Generators, Electric Utilities"/>
    <x v="12"/>
    <n v="0"/>
  </r>
  <r>
    <x v="18"/>
    <x v="4"/>
    <s v="Electric Generators, Electric Utilities"/>
    <x v="8"/>
    <n v="264706"/>
  </r>
  <r>
    <x v="18"/>
    <x v="4"/>
    <s v="Electric Generators, Electric Utilities"/>
    <x v="9"/>
    <n v="12899"/>
  </r>
  <r>
    <x v="18"/>
    <x v="4"/>
    <s v="Electric Generators, Electric Utilities"/>
    <x v="4"/>
    <n v="58187"/>
  </r>
  <r>
    <x v="18"/>
    <x v="4"/>
    <s v="Electric Generators, Electric Utilities"/>
    <x v="10"/>
    <n v="321263"/>
  </r>
  <r>
    <x v="18"/>
    <x v="4"/>
    <s v="Electric Generators, Electric Utilities"/>
    <x v="13"/>
    <n v="2295"/>
  </r>
  <r>
    <x v="18"/>
    <x v="4"/>
    <s v="Electric Generators, Electric Utilities"/>
    <x v="5"/>
    <n v="261338"/>
  </r>
  <r>
    <x v="18"/>
    <x v="4"/>
    <s v="Combined Heat and Power, Industrial Power"/>
    <x v="0"/>
    <n v="15934693"/>
  </r>
  <r>
    <x v="18"/>
    <x v="4"/>
    <s v="Combined Heat and Power, Industrial Power"/>
    <x v="1"/>
    <n v="363500"/>
  </r>
  <r>
    <x v="18"/>
    <x v="4"/>
    <s v="Combined Heat and Power, Industrial Power"/>
    <x v="3"/>
    <n v="12663999"/>
  </r>
  <r>
    <x v="18"/>
    <x v="4"/>
    <s v="Combined Heat and Power, Industrial Power"/>
    <x v="12"/>
    <n v="372549"/>
  </r>
  <r>
    <x v="18"/>
    <x v="4"/>
    <s v="Combined Heat and Power, Industrial Power"/>
    <x v="9"/>
    <n v="1671260"/>
  </r>
  <r>
    <x v="18"/>
    <x v="4"/>
    <s v="Combined Heat and Power, Industrial Power"/>
    <x v="4"/>
    <n v="200729"/>
  </r>
  <r>
    <x v="18"/>
    <x v="4"/>
    <s v="Combined Heat and Power, Industrial Power"/>
    <x v="6"/>
    <n v="662656"/>
  </r>
  <r>
    <x v="18"/>
    <x v="4"/>
    <s v="Combined Heat and Power, Electric Power"/>
    <x v="0"/>
    <n v="21534860"/>
  </r>
  <r>
    <x v="18"/>
    <x v="4"/>
    <s v="Combined Heat and Power, Electric Power"/>
    <x v="1"/>
    <n v="1916901"/>
  </r>
  <r>
    <x v="18"/>
    <x v="4"/>
    <s v="Combined Heat and Power, Electric Power"/>
    <x v="3"/>
    <n v="18586683"/>
  </r>
  <r>
    <x v="18"/>
    <x v="4"/>
    <s v="Combined Heat and Power, Electric Power"/>
    <x v="12"/>
    <n v="114407"/>
  </r>
  <r>
    <x v="18"/>
    <x v="4"/>
    <s v="Combined Heat and Power, Electric Power"/>
    <x v="8"/>
    <n v="172288"/>
  </r>
  <r>
    <x v="18"/>
    <x v="4"/>
    <s v="Combined Heat and Power, Electric Power"/>
    <x v="9"/>
    <n v="704"/>
  </r>
  <r>
    <x v="18"/>
    <x v="4"/>
    <s v="Combined Heat and Power, Electric Power"/>
    <x v="4"/>
    <n v="509205"/>
  </r>
  <r>
    <x v="18"/>
    <x v="4"/>
    <s v="Combined Heat and Power, Electric Power"/>
    <x v="6"/>
    <n v="234672"/>
  </r>
  <r>
    <x v="18"/>
    <x v="4"/>
    <s v="Combined Heat and Power, Commercial Power"/>
    <x v="0"/>
    <n v="2100480"/>
  </r>
  <r>
    <x v="18"/>
    <x v="4"/>
    <s v="Combined Heat and Power, Commercial Power"/>
    <x v="2"/>
    <n v="0"/>
  </r>
  <r>
    <x v="18"/>
    <x v="4"/>
    <s v="Combined Heat and Power, Commercial Power"/>
    <x v="3"/>
    <n v="1691343"/>
  </r>
  <r>
    <x v="18"/>
    <x v="4"/>
    <s v="Combined Heat and Power, Commercial Power"/>
    <x v="12"/>
    <n v="0"/>
  </r>
  <r>
    <x v="18"/>
    <x v="4"/>
    <s v="Combined Heat and Power, Commercial Power"/>
    <x v="8"/>
    <n v="408573"/>
  </r>
  <r>
    <x v="18"/>
    <x v="4"/>
    <s v="Combined Heat and Power, Commercial Power"/>
    <x v="9"/>
    <n v="0"/>
  </r>
  <r>
    <x v="18"/>
    <x v="4"/>
    <s v="Combined Heat and Power, Commercial Power"/>
    <x v="4"/>
    <n v="564"/>
  </r>
  <r>
    <x v="18"/>
    <x v="5"/>
    <s v="Total Electric Power Industry"/>
    <x v="0"/>
    <n v="53441594"/>
  </r>
  <r>
    <x v="18"/>
    <x v="5"/>
    <s v="Total Electric Power Industry"/>
    <x v="1"/>
    <n v="34827545"/>
  </r>
  <r>
    <x v="18"/>
    <x v="5"/>
    <s v="Total Electric Power Industry"/>
    <x v="2"/>
    <n v="2039327"/>
  </r>
  <r>
    <x v="18"/>
    <x v="5"/>
    <s v="Total Electric Power Industry"/>
    <x v="3"/>
    <n v="13487475"/>
  </r>
  <r>
    <x v="18"/>
    <x v="5"/>
    <s v="Total Electric Power Industry"/>
    <x v="12"/>
    <n v="32791"/>
  </r>
  <r>
    <x v="18"/>
    <x v="5"/>
    <s v="Total Electric Power Industry"/>
    <x v="8"/>
    <n v="45119"/>
  </r>
  <r>
    <x v="18"/>
    <x v="5"/>
    <s v="Total Electric Power Industry"/>
    <x v="9"/>
    <n v="0"/>
  </r>
  <r>
    <x v="18"/>
    <x v="5"/>
    <s v="Total Electric Power Industry"/>
    <x v="4"/>
    <n v="19113"/>
  </r>
  <r>
    <x v="18"/>
    <x v="5"/>
    <s v="Total Electric Power Industry"/>
    <x v="10"/>
    <n v="-249108"/>
  </r>
  <r>
    <x v="18"/>
    <x v="5"/>
    <s v="Total Electric Power Industry"/>
    <x v="13"/>
    <n v="18354"/>
  </r>
  <r>
    <x v="18"/>
    <x v="5"/>
    <s v="Total Electric Power Industry"/>
    <x v="5"/>
    <n v="3220843"/>
  </r>
  <r>
    <x v="18"/>
    <x v="5"/>
    <s v="Total Electric Power Industry"/>
    <x v="6"/>
    <n v="135"/>
  </r>
  <r>
    <x v="18"/>
    <x v="5"/>
    <s v="Electric Generators, Independent Power Producers"/>
    <x v="0"/>
    <n v="10628743"/>
  </r>
  <r>
    <x v="18"/>
    <x v="5"/>
    <s v="Electric Generators, Independent Power Producers"/>
    <x v="2"/>
    <n v="161459"/>
  </r>
  <r>
    <x v="18"/>
    <x v="5"/>
    <s v="Electric Generators, Independent Power Producers"/>
    <x v="3"/>
    <n v="7289005"/>
  </r>
  <r>
    <x v="18"/>
    <x v="5"/>
    <s v="Electric Generators, Independent Power Producers"/>
    <x v="8"/>
    <n v="8366"/>
  </r>
  <r>
    <x v="18"/>
    <x v="5"/>
    <s v="Electric Generators, Independent Power Producers"/>
    <x v="4"/>
    <n v="631"/>
  </r>
  <r>
    <x v="18"/>
    <x v="5"/>
    <s v="Electric Generators, Independent Power Producers"/>
    <x v="13"/>
    <n v="18354"/>
  </r>
  <r>
    <x v="18"/>
    <x v="5"/>
    <s v="Electric Generators, Independent Power Producers"/>
    <x v="5"/>
    <n v="3150928"/>
  </r>
  <r>
    <x v="18"/>
    <x v="5"/>
    <s v="Electric Generators, Electric Utilities"/>
    <x v="0"/>
    <n v="41176711"/>
  </r>
  <r>
    <x v="18"/>
    <x v="5"/>
    <s v="Electric Generators, Electric Utilities"/>
    <x v="1"/>
    <n v="34639561"/>
  </r>
  <r>
    <x v="18"/>
    <x v="5"/>
    <s v="Electric Generators, Electric Utilities"/>
    <x v="2"/>
    <n v="1877868"/>
  </r>
  <r>
    <x v="18"/>
    <x v="5"/>
    <s v="Electric Generators, Electric Utilities"/>
    <x v="3"/>
    <n v="4820248"/>
  </r>
  <r>
    <x v="18"/>
    <x v="5"/>
    <s v="Electric Generators, Electric Utilities"/>
    <x v="9"/>
    <n v="0"/>
  </r>
  <r>
    <x v="18"/>
    <x v="5"/>
    <s v="Electric Generators, Electric Utilities"/>
    <x v="4"/>
    <n v="18092"/>
  </r>
  <r>
    <x v="18"/>
    <x v="5"/>
    <s v="Electric Generators, Electric Utilities"/>
    <x v="10"/>
    <n v="-249108"/>
  </r>
  <r>
    <x v="18"/>
    <x v="5"/>
    <s v="Electric Generators, Electric Utilities"/>
    <x v="5"/>
    <n v="69915"/>
  </r>
  <r>
    <x v="18"/>
    <x v="5"/>
    <s v="Electric Generators, Electric Utilities"/>
    <x v="6"/>
    <n v="135"/>
  </r>
  <r>
    <x v="18"/>
    <x v="5"/>
    <s v="Combined Heat and Power, Industrial Power"/>
    <x v="0"/>
    <n v="51994"/>
  </r>
  <r>
    <x v="18"/>
    <x v="5"/>
    <s v="Combined Heat and Power, Industrial Power"/>
    <x v="3"/>
    <n v="19198"/>
  </r>
  <r>
    <x v="18"/>
    <x v="5"/>
    <s v="Combined Heat and Power, Industrial Power"/>
    <x v="12"/>
    <n v="32791"/>
  </r>
  <r>
    <x v="18"/>
    <x v="5"/>
    <s v="Combined Heat and Power, Industrial Power"/>
    <x v="4"/>
    <n v="5"/>
  </r>
  <r>
    <x v="18"/>
    <x v="5"/>
    <s v="Combined Heat and Power, Electric Power"/>
    <x v="0"/>
    <n v="1545150"/>
  </r>
  <r>
    <x v="18"/>
    <x v="5"/>
    <s v="Combined Heat and Power, Electric Power"/>
    <x v="1"/>
    <n v="187984"/>
  </r>
  <r>
    <x v="18"/>
    <x v="5"/>
    <s v="Combined Heat and Power, Electric Power"/>
    <x v="3"/>
    <n v="1320029"/>
  </r>
  <r>
    <x v="18"/>
    <x v="5"/>
    <s v="Combined Heat and Power, Electric Power"/>
    <x v="8"/>
    <n v="36753"/>
  </r>
  <r>
    <x v="18"/>
    <x v="5"/>
    <s v="Combined Heat and Power, Electric Power"/>
    <x v="9"/>
    <n v="0"/>
  </r>
  <r>
    <x v="18"/>
    <x v="5"/>
    <s v="Combined Heat and Power, Electric Power"/>
    <x v="4"/>
    <n v="384"/>
  </r>
  <r>
    <x v="18"/>
    <x v="5"/>
    <s v="Combined Heat and Power, Commercial Power"/>
    <x v="0"/>
    <n v="38995"/>
  </r>
  <r>
    <x v="18"/>
    <x v="5"/>
    <s v="Combined Heat and Power, Commercial Power"/>
    <x v="3"/>
    <n v="38995"/>
  </r>
  <r>
    <x v="18"/>
    <x v="5"/>
    <s v="Combined Heat and Power, Commercial Power"/>
    <x v="4"/>
    <n v="0"/>
  </r>
  <r>
    <x v="18"/>
    <x v="6"/>
    <s v="Total Electric Power Industry"/>
    <x v="0"/>
    <n v="30409473"/>
  </r>
  <r>
    <x v="18"/>
    <x v="6"/>
    <s v="Total Electric Power Industry"/>
    <x v="1"/>
    <n v="4386608"/>
  </r>
  <r>
    <x v="18"/>
    <x v="6"/>
    <s v="Total Electric Power Industry"/>
    <x v="2"/>
    <n v="556177"/>
  </r>
  <r>
    <x v="18"/>
    <x v="6"/>
    <s v="Total Electric Power Industry"/>
    <x v="3"/>
    <n v="8069852"/>
  </r>
  <r>
    <x v="18"/>
    <x v="6"/>
    <s v="Total Electric Power Industry"/>
    <x v="7"/>
    <n v="15432946"/>
  </r>
  <r>
    <x v="18"/>
    <x v="6"/>
    <s v="Total Electric Power Industry"/>
    <x v="12"/>
    <n v="709734"/>
  </r>
  <r>
    <x v="18"/>
    <x v="6"/>
    <s v="Total Electric Power Industry"/>
    <x v="8"/>
    <n v="731881"/>
  </r>
  <r>
    <x v="18"/>
    <x v="6"/>
    <s v="Total Electric Power Industry"/>
    <x v="9"/>
    <n v="0"/>
  </r>
  <r>
    <x v="18"/>
    <x v="6"/>
    <s v="Total Electric Power Industry"/>
    <x v="4"/>
    <n v="513850"/>
  </r>
  <r>
    <x v="18"/>
    <x v="6"/>
    <s v="Total Electric Power Industry"/>
    <x v="10"/>
    <n v="6791"/>
  </r>
  <r>
    <x v="18"/>
    <x v="6"/>
    <s v="Total Electric Power Industry"/>
    <x v="6"/>
    <n v="1633"/>
  </r>
  <r>
    <x v="18"/>
    <x v="6"/>
    <s v="Electric Generators, Independent Power Producers"/>
    <x v="0"/>
    <n v="28138483"/>
  </r>
  <r>
    <x v="18"/>
    <x v="6"/>
    <s v="Electric Generators, Independent Power Producers"/>
    <x v="1"/>
    <n v="2859525"/>
  </r>
  <r>
    <x v="18"/>
    <x v="6"/>
    <s v="Electric Generators, Independent Power Producers"/>
    <x v="2"/>
    <n v="509858"/>
  </r>
  <r>
    <x v="18"/>
    <x v="6"/>
    <s v="Electric Generators, Independent Power Producers"/>
    <x v="3"/>
    <n v="7396653"/>
  </r>
  <r>
    <x v="18"/>
    <x v="6"/>
    <s v="Electric Generators, Independent Power Producers"/>
    <x v="7"/>
    <n v="15432946"/>
  </r>
  <r>
    <x v="18"/>
    <x v="6"/>
    <s v="Electric Generators, Independent Power Producers"/>
    <x v="12"/>
    <n v="696672"/>
  </r>
  <r>
    <x v="18"/>
    <x v="6"/>
    <s v="Electric Generators, Independent Power Producers"/>
    <x v="8"/>
    <n v="731881"/>
  </r>
  <r>
    <x v="18"/>
    <x v="6"/>
    <s v="Electric Generators, Independent Power Producers"/>
    <x v="9"/>
    <n v="0"/>
  </r>
  <r>
    <x v="18"/>
    <x v="6"/>
    <s v="Electric Generators, Independent Power Producers"/>
    <x v="4"/>
    <n v="502524"/>
  </r>
  <r>
    <x v="18"/>
    <x v="6"/>
    <s v="Electric Generators, Independent Power Producers"/>
    <x v="10"/>
    <n v="6791"/>
  </r>
  <r>
    <x v="18"/>
    <x v="6"/>
    <s v="Electric Generators, Independent Power Producers"/>
    <x v="6"/>
    <n v="1633"/>
  </r>
  <r>
    <x v="18"/>
    <x v="6"/>
    <s v="Electric Generators, Electric Utilities"/>
    <x v="0"/>
    <n v="52334"/>
  </r>
  <r>
    <x v="18"/>
    <x v="6"/>
    <s v="Electric Generators, Electric Utilities"/>
    <x v="2"/>
    <n v="46319"/>
  </r>
  <r>
    <x v="18"/>
    <x v="6"/>
    <s v="Electric Generators, Electric Utilities"/>
    <x v="3"/>
    <n v="3418"/>
  </r>
  <r>
    <x v="18"/>
    <x v="6"/>
    <s v="Electric Generators, Electric Utilities"/>
    <x v="8"/>
    <n v="0"/>
  </r>
  <r>
    <x v="18"/>
    <x v="6"/>
    <s v="Electric Generators, Electric Utilities"/>
    <x v="4"/>
    <n v="2597"/>
  </r>
  <r>
    <x v="18"/>
    <x v="6"/>
    <s v="Combined Heat and Power, Industrial Power"/>
    <x v="0"/>
    <n v="218409"/>
  </r>
  <r>
    <x v="18"/>
    <x v="6"/>
    <s v="Combined Heat and Power, Industrial Power"/>
    <x v="3"/>
    <n v="198093"/>
  </r>
  <r>
    <x v="18"/>
    <x v="6"/>
    <s v="Combined Heat and Power, Industrial Power"/>
    <x v="12"/>
    <n v="13062"/>
  </r>
  <r>
    <x v="18"/>
    <x v="6"/>
    <s v="Combined Heat and Power, Industrial Power"/>
    <x v="4"/>
    <n v="7254"/>
  </r>
  <r>
    <x v="18"/>
    <x v="6"/>
    <s v="Combined Heat and Power, Electric Power"/>
    <x v="0"/>
    <n v="1956376"/>
  </r>
  <r>
    <x v="18"/>
    <x v="6"/>
    <s v="Combined Heat and Power, Electric Power"/>
    <x v="1"/>
    <n v="1527083"/>
  </r>
  <r>
    <x v="18"/>
    <x v="6"/>
    <s v="Combined Heat and Power, Electric Power"/>
    <x v="3"/>
    <n v="427939"/>
  </r>
  <r>
    <x v="18"/>
    <x v="6"/>
    <s v="Combined Heat and Power, Electric Power"/>
    <x v="4"/>
    <n v="1354"/>
  </r>
  <r>
    <x v="18"/>
    <x v="6"/>
    <s v="Combined Heat and Power, Commercial Power"/>
    <x v="0"/>
    <n v="43870"/>
  </r>
  <r>
    <x v="18"/>
    <x v="6"/>
    <s v="Combined Heat and Power, Commercial Power"/>
    <x v="3"/>
    <n v="43749"/>
  </r>
  <r>
    <x v="18"/>
    <x v="6"/>
    <s v="Combined Heat and Power, Commercial Power"/>
    <x v="4"/>
    <n v="121"/>
  </r>
  <r>
    <x v="18"/>
    <x v="7"/>
    <s v="Total Electric Power Industry"/>
    <x v="0"/>
    <n v="72316"/>
  </r>
  <r>
    <x v="18"/>
    <x v="7"/>
    <s v="Total Electric Power Industry"/>
    <x v="4"/>
    <n v="72316"/>
  </r>
  <r>
    <x v="18"/>
    <x v="7"/>
    <s v="Electric Generators, Independent Power Producers"/>
    <x v="0"/>
    <n v="72316"/>
  </r>
  <r>
    <x v="18"/>
    <x v="7"/>
    <s v="Electric Generators, Independent Power Producers"/>
    <x v="4"/>
    <n v="72316"/>
  </r>
  <r>
    <x v="18"/>
    <x v="8"/>
    <s v="Total Electric Power Industry"/>
    <x v="0"/>
    <n v="7523839"/>
  </r>
  <r>
    <x v="18"/>
    <x v="8"/>
    <s v="Total Electric Power Industry"/>
    <x v="1"/>
    <n v="5266915"/>
  </r>
  <r>
    <x v="18"/>
    <x v="8"/>
    <s v="Total Electric Power Industry"/>
    <x v="3"/>
    <n v="1387009"/>
  </r>
  <r>
    <x v="18"/>
    <x v="8"/>
    <s v="Total Electric Power Industry"/>
    <x v="12"/>
    <n v="10941"/>
  </r>
  <r>
    <x v="18"/>
    <x v="8"/>
    <s v="Total Electric Power Industry"/>
    <x v="8"/>
    <n v="163375"/>
  </r>
  <r>
    <x v="18"/>
    <x v="8"/>
    <s v="Total Electric Power Industry"/>
    <x v="9"/>
    <n v="476422"/>
  </r>
  <r>
    <x v="18"/>
    <x v="8"/>
    <s v="Total Electric Power Industry"/>
    <x v="4"/>
    <n v="219177"/>
  </r>
  <r>
    <x v="18"/>
    <x v="8"/>
    <s v="Electric Generators, Independent Power Producers"/>
    <x v="0"/>
    <n v="5226557"/>
  </r>
  <r>
    <x v="18"/>
    <x v="8"/>
    <s v="Electric Generators, Independent Power Producers"/>
    <x v="1"/>
    <n v="3823867"/>
  </r>
  <r>
    <x v="18"/>
    <x v="8"/>
    <s v="Electric Generators, Independent Power Producers"/>
    <x v="3"/>
    <n v="1278238"/>
  </r>
  <r>
    <x v="18"/>
    <x v="8"/>
    <s v="Electric Generators, Independent Power Producers"/>
    <x v="8"/>
    <n v="53803"/>
  </r>
  <r>
    <x v="18"/>
    <x v="8"/>
    <s v="Electric Generators, Independent Power Producers"/>
    <x v="4"/>
    <n v="70650"/>
  </r>
  <r>
    <x v="18"/>
    <x v="8"/>
    <s v="Electric Generators, Electric Utilities"/>
    <x v="0"/>
    <n v="19068"/>
  </r>
  <r>
    <x v="18"/>
    <x v="8"/>
    <s v="Electric Generators, Electric Utilities"/>
    <x v="3"/>
    <n v="18556"/>
  </r>
  <r>
    <x v="18"/>
    <x v="8"/>
    <s v="Electric Generators, Electric Utilities"/>
    <x v="4"/>
    <n v="512"/>
  </r>
  <r>
    <x v="18"/>
    <x v="8"/>
    <s v="Combined Heat and Power, Industrial Power"/>
    <x v="0"/>
    <n v="699392"/>
  </r>
  <r>
    <x v="18"/>
    <x v="8"/>
    <s v="Combined Heat and Power, Industrial Power"/>
    <x v="1"/>
    <n v="75729"/>
  </r>
  <r>
    <x v="18"/>
    <x v="8"/>
    <s v="Combined Heat and Power, Industrial Power"/>
    <x v="3"/>
    <n v="45547"/>
  </r>
  <r>
    <x v="18"/>
    <x v="8"/>
    <s v="Combined Heat and Power, Industrial Power"/>
    <x v="12"/>
    <n v="10941"/>
  </r>
  <r>
    <x v="18"/>
    <x v="8"/>
    <s v="Combined Heat and Power, Industrial Power"/>
    <x v="9"/>
    <n v="476422"/>
  </r>
  <r>
    <x v="18"/>
    <x v="8"/>
    <s v="Combined Heat and Power, Industrial Power"/>
    <x v="4"/>
    <n v="90752"/>
  </r>
  <r>
    <x v="18"/>
    <x v="8"/>
    <s v="Combined Heat and Power, Electric Power"/>
    <x v="0"/>
    <n v="1578822"/>
  </r>
  <r>
    <x v="18"/>
    <x v="8"/>
    <s v="Combined Heat and Power, Electric Power"/>
    <x v="1"/>
    <n v="1367319"/>
  </r>
  <r>
    <x v="18"/>
    <x v="8"/>
    <s v="Combined Heat and Power, Electric Power"/>
    <x v="3"/>
    <n v="44668"/>
  </r>
  <r>
    <x v="18"/>
    <x v="8"/>
    <s v="Combined Heat and Power, Electric Power"/>
    <x v="8"/>
    <n v="109572"/>
  </r>
  <r>
    <x v="18"/>
    <x v="8"/>
    <s v="Combined Heat and Power, Electric Power"/>
    <x v="4"/>
    <n v="57263"/>
  </r>
  <r>
    <x v="18"/>
    <x v="9"/>
    <s v="Total Electric Power Industry"/>
    <x v="0"/>
    <n v="219636818"/>
  </r>
  <r>
    <x v="18"/>
    <x v="9"/>
    <s v="Total Electric Power Industry"/>
    <x v="1"/>
    <n v="64823411"/>
  </r>
  <r>
    <x v="18"/>
    <x v="9"/>
    <s v="Total Electric Power Industry"/>
    <x v="2"/>
    <n v="206158"/>
  </r>
  <r>
    <x v="18"/>
    <x v="9"/>
    <s v="Total Electric Power Industry"/>
    <x v="3"/>
    <n v="103363123"/>
  </r>
  <r>
    <x v="18"/>
    <x v="9"/>
    <s v="Total Electric Power Industry"/>
    <x v="7"/>
    <n v="32133276"/>
  </r>
  <r>
    <x v="18"/>
    <x v="9"/>
    <s v="Total Electric Power Industry"/>
    <x v="12"/>
    <n v="2827263"/>
  </r>
  <r>
    <x v="18"/>
    <x v="9"/>
    <s v="Total Electric Power Industry"/>
    <x v="8"/>
    <n v="2334127"/>
  </r>
  <r>
    <x v="18"/>
    <x v="9"/>
    <s v="Total Electric Power Industry"/>
    <x v="9"/>
    <n v="9977"/>
  </r>
  <r>
    <x v="18"/>
    <x v="9"/>
    <s v="Total Electric Power Industry"/>
    <x v="4"/>
    <n v="11970743"/>
  </r>
  <r>
    <x v="18"/>
    <x v="9"/>
    <s v="Total Electric Power Industry"/>
    <x v="6"/>
    <n v="1968741"/>
  </r>
  <r>
    <x v="18"/>
    <x v="9"/>
    <s v="Electric Generators, Independent Power Producers"/>
    <x v="0"/>
    <n v="10142101"/>
  </r>
  <r>
    <x v="18"/>
    <x v="9"/>
    <s v="Electric Generators, Independent Power Producers"/>
    <x v="3"/>
    <n v="7051758"/>
  </r>
  <r>
    <x v="18"/>
    <x v="9"/>
    <s v="Electric Generators, Independent Power Producers"/>
    <x v="12"/>
    <n v="1223147"/>
  </r>
  <r>
    <x v="18"/>
    <x v="9"/>
    <s v="Electric Generators, Independent Power Producers"/>
    <x v="8"/>
    <n v="1641114"/>
  </r>
  <r>
    <x v="18"/>
    <x v="9"/>
    <s v="Electric Generators, Independent Power Producers"/>
    <x v="9"/>
    <n v="20"/>
  </r>
  <r>
    <x v="18"/>
    <x v="9"/>
    <s v="Electric Generators, Independent Power Producers"/>
    <x v="4"/>
    <n v="47864"/>
  </r>
  <r>
    <x v="18"/>
    <x v="9"/>
    <s v="Electric Generators, Independent Power Producers"/>
    <x v="6"/>
    <n v="178197"/>
  </r>
  <r>
    <x v="18"/>
    <x v="9"/>
    <s v="Electric Generators, Electric Utilities"/>
    <x v="0"/>
    <n v="196524348"/>
  </r>
  <r>
    <x v="18"/>
    <x v="9"/>
    <s v="Electric Generators, Electric Utilities"/>
    <x v="1"/>
    <n v="59731231"/>
  </r>
  <r>
    <x v="18"/>
    <x v="9"/>
    <s v="Electric Generators, Electric Utilities"/>
    <x v="2"/>
    <n v="206158"/>
  </r>
  <r>
    <x v="18"/>
    <x v="9"/>
    <s v="Electric Generators, Electric Utilities"/>
    <x v="3"/>
    <n v="92538775"/>
  </r>
  <r>
    <x v="18"/>
    <x v="9"/>
    <s v="Electric Generators, Electric Utilities"/>
    <x v="7"/>
    <n v="32133276"/>
  </r>
  <r>
    <x v="18"/>
    <x v="9"/>
    <s v="Electric Generators, Electric Utilities"/>
    <x v="8"/>
    <n v="84356"/>
  </r>
  <r>
    <x v="18"/>
    <x v="9"/>
    <s v="Electric Generators, Electric Utilities"/>
    <x v="4"/>
    <n v="11830552"/>
  </r>
  <r>
    <x v="18"/>
    <x v="9"/>
    <s v="Combined Heat and Power, Industrial Power"/>
    <x v="0"/>
    <n v="4575096"/>
  </r>
  <r>
    <x v="18"/>
    <x v="9"/>
    <s v="Combined Heat and Power, Industrial Power"/>
    <x v="1"/>
    <n v="283968"/>
  </r>
  <r>
    <x v="18"/>
    <x v="9"/>
    <s v="Combined Heat and Power, Industrial Power"/>
    <x v="3"/>
    <n v="664844"/>
  </r>
  <r>
    <x v="18"/>
    <x v="9"/>
    <s v="Combined Heat and Power, Industrial Power"/>
    <x v="12"/>
    <n v="1604116"/>
  </r>
  <r>
    <x v="18"/>
    <x v="9"/>
    <s v="Combined Heat and Power, Industrial Power"/>
    <x v="8"/>
    <n v="331118"/>
  </r>
  <r>
    <x v="18"/>
    <x v="9"/>
    <s v="Combined Heat and Power, Industrial Power"/>
    <x v="9"/>
    <n v="9915"/>
  </r>
  <r>
    <x v="18"/>
    <x v="9"/>
    <s v="Combined Heat and Power, Industrial Power"/>
    <x v="4"/>
    <n v="81189"/>
  </r>
  <r>
    <x v="18"/>
    <x v="9"/>
    <s v="Combined Heat and Power, Industrial Power"/>
    <x v="6"/>
    <n v="1599946"/>
  </r>
  <r>
    <x v="18"/>
    <x v="9"/>
    <s v="Combined Heat and Power, Electric Power"/>
    <x v="0"/>
    <n v="8325523"/>
  </r>
  <r>
    <x v="18"/>
    <x v="9"/>
    <s v="Combined Heat and Power, Electric Power"/>
    <x v="1"/>
    <n v="4808212"/>
  </r>
  <r>
    <x v="18"/>
    <x v="9"/>
    <s v="Combined Heat and Power, Electric Power"/>
    <x v="3"/>
    <n v="3081923"/>
  </r>
  <r>
    <x v="18"/>
    <x v="9"/>
    <s v="Combined Heat and Power, Electric Power"/>
    <x v="12"/>
    <n v="0"/>
  </r>
  <r>
    <x v="18"/>
    <x v="9"/>
    <s v="Combined Heat and Power, Electric Power"/>
    <x v="8"/>
    <n v="233611"/>
  </r>
  <r>
    <x v="18"/>
    <x v="9"/>
    <s v="Combined Heat and Power, Electric Power"/>
    <x v="9"/>
    <n v="42"/>
  </r>
  <r>
    <x v="18"/>
    <x v="9"/>
    <s v="Combined Heat and Power, Electric Power"/>
    <x v="4"/>
    <n v="11137"/>
  </r>
  <r>
    <x v="18"/>
    <x v="9"/>
    <s v="Combined Heat and Power, Electric Power"/>
    <x v="6"/>
    <n v="190598"/>
  </r>
  <r>
    <x v="18"/>
    <x v="9"/>
    <s v="Combined Heat and Power, Commercial Power"/>
    <x v="0"/>
    <n v="69751"/>
  </r>
  <r>
    <x v="18"/>
    <x v="9"/>
    <s v="Combined Heat and Power, Commercial Power"/>
    <x v="3"/>
    <n v="25823"/>
  </r>
  <r>
    <x v="18"/>
    <x v="9"/>
    <s v="Combined Heat and Power, Commercial Power"/>
    <x v="8"/>
    <n v="43928"/>
  </r>
  <r>
    <x v="18"/>
    <x v="9"/>
    <s v="Combined Heat and Power, Commercial Power"/>
    <x v="4"/>
    <n v="0"/>
  </r>
  <r>
    <x v="18"/>
    <x v="10"/>
    <s v="Total Electric Power Industry"/>
    <x v="0"/>
    <n v="136173395"/>
  </r>
  <r>
    <x v="18"/>
    <x v="10"/>
    <s v="Total Electric Power Industry"/>
    <x v="1"/>
    <n v="85491258"/>
  </r>
  <r>
    <x v="18"/>
    <x v="10"/>
    <s v="Total Electric Power Industry"/>
    <x v="2"/>
    <n v="2144618"/>
  </r>
  <r>
    <x v="18"/>
    <x v="10"/>
    <s v="Total Electric Power Industry"/>
    <x v="3"/>
    <n v="13428412"/>
  </r>
  <r>
    <x v="18"/>
    <x v="10"/>
    <s v="Total Electric Power Industry"/>
    <x v="7"/>
    <n v="31691095"/>
  </r>
  <r>
    <x v="18"/>
    <x v="10"/>
    <s v="Total Electric Power Industry"/>
    <x v="12"/>
    <n v="51404"/>
  </r>
  <r>
    <x v="18"/>
    <x v="10"/>
    <s v="Total Electric Power Industry"/>
    <x v="8"/>
    <n v="121685"/>
  </r>
  <r>
    <x v="18"/>
    <x v="10"/>
    <s v="Total Electric Power Industry"/>
    <x v="4"/>
    <n v="741561"/>
  </r>
  <r>
    <x v="18"/>
    <x v="10"/>
    <s v="Total Electric Power Industry"/>
    <x v="10"/>
    <n v="-156922"/>
  </r>
  <r>
    <x v="18"/>
    <x v="10"/>
    <s v="Total Electric Power Industry"/>
    <x v="6"/>
    <n v="2660285"/>
  </r>
  <r>
    <x v="18"/>
    <x v="10"/>
    <s v="Electric Generators, Independent Power Producers"/>
    <x v="0"/>
    <n v="5430762"/>
  </r>
  <r>
    <x v="18"/>
    <x v="10"/>
    <s v="Electric Generators, Independent Power Producers"/>
    <x v="2"/>
    <n v="2234"/>
  </r>
  <r>
    <x v="18"/>
    <x v="10"/>
    <s v="Electric Generators, Independent Power Producers"/>
    <x v="3"/>
    <n v="5392828"/>
  </r>
  <r>
    <x v="18"/>
    <x v="10"/>
    <s v="Electric Generators, Independent Power Producers"/>
    <x v="12"/>
    <n v="0"/>
  </r>
  <r>
    <x v="18"/>
    <x v="10"/>
    <s v="Electric Generators, Independent Power Producers"/>
    <x v="8"/>
    <n v="31427"/>
  </r>
  <r>
    <x v="18"/>
    <x v="10"/>
    <s v="Electric Generators, Independent Power Producers"/>
    <x v="4"/>
    <n v="4273"/>
  </r>
  <r>
    <x v="18"/>
    <x v="10"/>
    <s v="Electric Generators, Electric Utilities"/>
    <x v="0"/>
    <n v="126031263"/>
  </r>
  <r>
    <x v="18"/>
    <x v="10"/>
    <s v="Electric Generators, Electric Utilities"/>
    <x v="1"/>
    <n v="84652246"/>
  </r>
  <r>
    <x v="18"/>
    <x v="10"/>
    <s v="Electric Generators, Electric Utilities"/>
    <x v="2"/>
    <n v="2120372"/>
  </r>
  <r>
    <x v="18"/>
    <x v="10"/>
    <s v="Electric Generators, Electric Utilities"/>
    <x v="3"/>
    <n v="7656500"/>
  </r>
  <r>
    <x v="18"/>
    <x v="10"/>
    <s v="Electric Generators, Electric Utilities"/>
    <x v="7"/>
    <n v="31691095"/>
  </r>
  <r>
    <x v="18"/>
    <x v="10"/>
    <s v="Electric Generators, Electric Utilities"/>
    <x v="4"/>
    <n v="67971"/>
  </r>
  <r>
    <x v="18"/>
    <x v="10"/>
    <s v="Electric Generators, Electric Utilities"/>
    <x v="10"/>
    <n v="-156922"/>
  </r>
  <r>
    <x v="18"/>
    <x v="10"/>
    <s v="Combined Heat and Power, Industrial Power"/>
    <x v="0"/>
    <n v="4595961"/>
  </r>
  <r>
    <x v="18"/>
    <x v="10"/>
    <s v="Combined Heat and Power, Industrial Power"/>
    <x v="1"/>
    <n v="839011"/>
  </r>
  <r>
    <x v="18"/>
    <x v="10"/>
    <s v="Combined Heat and Power, Industrial Power"/>
    <x v="2"/>
    <n v="22012"/>
  </r>
  <r>
    <x v="18"/>
    <x v="10"/>
    <s v="Combined Heat and Power, Industrial Power"/>
    <x v="3"/>
    <n v="266591"/>
  </r>
  <r>
    <x v="18"/>
    <x v="10"/>
    <s v="Combined Heat and Power, Industrial Power"/>
    <x v="12"/>
    <n v="51404"/>
  </r>
  <r>
    <x v="18"/>
    <x v="10"/>
    <s v="Combined Heat and Power, Industrial Power"/>
    <x v="8"/>
    <n v="90258"/>
  </r>
  <r>
    <x v="18"/>
    <x v="10"/>
    <s v="Combined Heat and Power, Industrial Power"/>
    <x v="4"/>
    <n v="666399"/>
  </r>
  <r>
    <x v="18"/>
    <x v="10"/>
    <s v="Combined Heat and Power, Industrial Power"/>
    <x v="6"/>
    <n v="2660285"/>
  </r>
  <r>
    <x v="18"/>
    <x v="10"/>
    <s v="Combined Heat and Power, Electric Power"/>
    <x v="0"/>
    <n v="113555"/>
  </r>
  <r>
    <x v="18"/>
    <x v="10"/>
    <s v="Combined Heat and Power, Electric Power"/>
    <x v="3"/>
    <n v="112491"/>
  </r>
  <r>
    <x v="18"/>
    <x v="10"/>
    <s v="Combined Heat and Power, Electric Power"/>
    <x v="4"/>
    <n v="1064"/>
  </r>
  <r>
    <x v="18"/>
    <x v="10"/>
    <s v="Combined Heat and Power, Commercial Power"/>
    <x v="0"/>
    <n v="1855"/>
  </r>
  <r>
    <x v="18"/>
    <x v="10"/>
    <s v="Combined Heat and Power, Commercial Power"/>
    <x v="3"/>
    <n v="0"/>
  </r>
  <r>
    <x v="18"/>
    <x v="10"/>
    <s v="Combined Heat and Power, Commercial Power"/>
    <x v="4"/>
    <n v="1855"/>
  </r>
  <r>
    <x v="18"/>
    <x v="11"/>
    <s v="Total Electric Power Industry"/>
    <x v="0"/>
    <n v="11376385"/>
  </r>
  <r>
    <x v="18"/>
    <x v="11"/>
    <s v="Total Electric Power Industry"/>
    <x v="1"/>
    <n v="1647592"/>
  </r>
  <r>
    <x v="18"/>
    <x v="11"/>
    <s v="Total Electric Power Industry"/>
    <x v="11"/>
    <n v="234333"/>
  </r>
  <r>
    <x v="18"/>
    <x v="11"/>
    <s v="Total Electric Power Industry"/>
    <x v="2"/>
    <n v="84343"/>
  </r>
  <r>
    <x v="18"/>
    <x v="11"/>
    <s v="Total Electric Power Industry"/>
    <x v="12"/>
    <n v="159146"/>
  </r>
  <r>
    <x v="18"/>
    <x v="11"/>
    <s v="Total Electric Power Industry"/>
    <x v="8"/>
    <n v="302423"/>
  </r>
  <r>
    <x v="18"/>
    <x v="11"/>
    <s v="Total Electric Power Industry"/>
    <x v="9"/>
    <n v="38572"/>
  </r>
  <r>
    <x v="18"/>
    <x v="11"/>
    <s v="Total Electric Power Industry"/>
    <x v="4"/>
    <n v="8669934"/>
  </r>
  <r>
    <x v="18"/>
    <x v="11"/>
    <s v="Total Electric Power Industry"/>
    <x v="13"/>
    <n v="18"/>
  </r>
  <r>
    <x v="18"/>
    <x v="11"/>
    <s v="Total Electric Power Industry"/>
    <x v="5"/>
    <n v="240023"/>
  </r>
  <r>
    <x v="18"/>
    <x v="11"/>
    <s v="Electric Generators, Independent Power Producers"/>
    <x v="0"/>
    <n v="900933"/>
  </r>
  <r>
    <x v="18"/>
    <x v="11"/>
    <s v="Electric Generators, Independent Power Producers"/>
    <x v="11"/>
    <n v="234333"/>
  </r>
  <r>
    <x v="18"/>
    <x v="11"/>
    <s v="Electric Generators, Independent Power Producers"/>
    <x v="2"/>
    <n v="27201"/>
  </r>
  <r>
    <x v="18"/>
    <x v="11"/>
    <s v="Electric Generators, Independent Power Producers"/>
    <x v="4"/>
    <n v="399529"/>
  </r>
  <r>
    <x v="18"/>
    <x v="11"/>
    <s v="Electric Generators, Independent Power Producers"/>
    <x v="13"/>
    <n v="18"/>
  </r>
  <r>
    <x v="18"/>
    <x v="11"/>
    <s v="Electric Generators, Independent Power Producers"/>
    <x v="5"/>
    <n v="239852"/>
  </r>
  <r>
    <x v="18"/>
    <x v="11"/>
    <s v="Electric Generators, Electric Utilities"/>
    <x v="0"/>
    <n v="6700636"/>
  </r>
  <r>
    <x v="18"/>
    <x v="11"/>
    <s v="Electric Generators, Electric Utilities"/>
    <x v="2"/>
    <n v="17872"/>
  </r>
  <r>
    <x v="18"/>
    <x v="11"/>
    <s v="Electric Generators, Electric Utilities"/>
    <x v="4"/>
    <n v="6682593"/>
  </r>
  <r>
    <x v="18"/>
    <x v="11"/>
    <s v="Electric Generators, Electric Utilities"/>
    <x v="5"/>
    <n v="171"/>
  </r>
  <r>
    <x v="18"/>
    <x v="11"/>
    <s v="Combined Heat and Power, Industrial Power"/>
    <x v="0"/>
    <n v="254554"/>
  </r>
  <r>
    <x v="18"/>
    <x v="11"/>
    <s v="Combined Heat and Power, Industrial Power"/>
    <x v="2"/>
    <n v="39270"/>
  </r>
  <r>
    <x v="18"/>
    <x v="11"/>
    <s v="Combined Heat and Power, Industrial Power"/>
    <x v="8"/>
    <n v="6146"/>
  </r>
  <r>
    <x v="18"/>
    <x v="11"/>
    <s v="Combined Heat and Power, Industrial Power"/>
    <x v="9"/>
    <n v="38572"/>
  </r>
  <r>
    <x v="18"/>
    <x v="11"/>
    <s v="Combined Heat and Power, Industrial Power"/>
    <x v="4"/>
    <n v="170566"/>
  </r>
  <r>
    <x v="18"/>
    <x v="11"/>
    <s v="Combined Heat and Power, Electric Power"/>
    <x v="0"/>
    <n v="3190375"/>
  </r>
  <r>
    <x v="18"/>
    <x v="11"/>
    <s v="Combined Heat and Power, Electric Power"/>
    <x v="1"/>
    <n v="1647592"/>
  </r>
  <r>
    <x v="18"/>
    <x v="11"/>
    <s v="Combined Heat and Power, Electric Power"/>
    <x v="12"/>
    <n v="14572"/>
  </r>
  <r>
    <x v="18"/>
    <x v="11"/>
    <s v="Combined Heat and Power, Electric Power"/>
    <x v="8"/>
    <n v="112273"/>
  </r>
  <r>
    <x v="18"/>
    <x v="11"/>
    <s v="Combined Heat and Power, Electric Power"/>
    <x v="4"/>
    <n v="1415939"/>
  </r>
  <r>
    <x v="18"/>
    <x v="11"/>
    <s v="Combined Heat and Power, Commercial Power"/>
    <x v="0"/>
    <n v="329887"/>
  </r>
  <r>
    <x v="18"/>
    <x v="11"/>
    <s v="Combined Heat and Power, Commercial Power"/>
    <x v="12"/>
    <n v="144574"/>
  </r>
  <r>
    <x v="18"/>
    <x v="11"/>
    <s v="Combined Heat and Power, Commercial Power"/>
    <x v="8"/>
    <n v="184005"/>
  </r>
  <r>
    <x v="18"/>
    <x v="11"/>
    <s v="Combined Heat and Power, Commercial Power"/>
    <x v="4"/>
    <n v="1308"/>
  </r>
  <r>
    <x v="18"/>
    <x v="12"/>
    <s v="Total Electric Power Industry"/>
    <x v="0"/>
    <n v="53086786"/>
  </r>
  <r>
    <x v="18"/>
    <x v="12"/>
    <s v="Total Electric Power Industry"/>
    <x v="1"/>
    <n v="40410107"/>
  </r>
  <r>
    <x v="18"/>
    <x v="12"/>
    <s v="Total Electric Power Industry"/>
    <x v="2"/>
    <n v="819047"/>
  </r>
  <r>
    <x v="18"/>
    <x v="12"/>
    <s v="Total Electric Power Industry"/>
    <x v="3"/>
    <n v="2163191"/>
  </r>
  <r>
    <x v="18"/>
    <x v="12"/>
    <s v="Total Electric Power Industry"/>
    <x v="7"/>
    <n v="5282202"/>
  </r>
  <r>
    <x v="18"/>
    <x v="12"/>
    <s v="Total Electric Power Industry"/>
    <x v="12"/>
    <n v="13"/>
  </r>
  <r>
    <x v="18"/>
    <x v="12"/>
    <s v="Total Electric Power Industry"/>
    <x v="8"/>
    <n v="167264"/>
  </r>
  <r>
    <x v="18"/>
    <x v="12"/>
    <s v="Total Electric Power Industry"/>
    <x v="4"/>
    <n v="161127"/>
  </r>
  <r>
    <x v="18"/>
    <x v="12"/>
    <s v="Total Electric Power Industry"/>
    <x v="5"/>
    <n v="4083787"/>
  </r>
  <r>
    <x v="18"/>
    <x v="12"/>
    <s v="Total Electric Power Industry"/>
    <x v="6"/>
    <n v="49"/>
  </r>
  <r>
    <x v="18"/>
    <x v="12"/>
    <s v="Electric Generators, Independent Power Producers"/>
    <x v="0"/>
    <n v="7112622"/>
  </r>
  <r>
    <x v="18"/>
    <x v="12"/>
    <s v="Electric Generators, Independent Power Producers"/>
    <x v="2"/>
    <n v="3393"/>
  </r>
  <r>
    <x v="18"/>
    <x v="12"/>
    <s v="Electric Generators, Independent Power Producers"/>
    <x v="3"/>
    <n v="15"/>
  </r>
  <r>
    <x v="18"/>
    <x v="12"/>
    <s v="Electric Generators, Independent Power Producers"/>
    <x v="7"/>
    <n v="5282202"/>
  </r>
  <r>
    <x v="18"/>
    <x v="12"/>
    <s v="Electric Generators, Independent Power Producers"/>
    <x v="8"/>
    <n v="94944"/>
  </r>
  <r>
    <x v="18"/>
    <x v="12"/>
    <s v="Electric Generators, Independent Power Producers"/>
    <x v="4"/>
    <n v="2565"/>
  </r>
  <r>
    <x v="18"/>
    <x v="12"/>
    <s v="Electric Generators, Independent Power Producers"/>
    <x v="5"/>
    <n v="1729503"/>
  </r>
  <r>
    <x v="18"/>
    <x v="12"/>
    <s v="Electric Generators, Electric Utilities"/>
    <x v="0"/>
    <n v="44751377"/>
  </r>
  <r>
    <x v="18"/>
    <x v="12"/>
    <s v="Electric Generators, Electric Utilities"/>
    <x v="1"/>
    <n v="39231635"/>
  </r>
  <r>
    <x v="18"/>
    <x v="12"/>
    <s v="Electric Generators, Electric Utilities"/>
    <x v="2"/>
    <n v="815654"/>
  </r>
  <r>
    <x v="18"/>
    <x v="12"/>
    <s v="Electric Generators, Electric Utilities"/>
    <x v="3"/>
    <n v="2158823"/>
  </r>
  <r>
    <x v="18"/>
    <x v="12"/>
    <s v="Electric Generators, Electric Utilities"/>
    <x v="12"/>
    <n v="13"/>
  </r>
  <r>
    <x v="18"/>
    <x v="12"/>
    <s v="Electric Generators, Electric Utilities"/>
    <x v="8"/>
    <n v="38548"/>
  </r>
  <r>
    <x v="18"/>
    <x v="12"/>
    <s v="Electric Generators, Electric Utilities"/>
    <x v="4"/>
    <n v="152372"/>
  </r>
  <r>
    <x v="18"/>
    <x v="12"/>
    <s v="Electric Generators, Electric Utilities"/>
    <x v="5"/>
    <n v="2354284"/>
  </r>
  <r>
    <x v="18"/>
    <x v="12"/>
    <s v="Electric Generators, Electric Utilities"/>
    <x v="6"/>
    <n v="49"/>
  </r>
  <r>
    <x v="18"/>
    <x v="12"/>
    <s v="Combined Heat and Power, Industrial Power"/>
    <x v="0"/>
    <n v="978532"/>
  </r>
  <r>
    <x v="18"/>
    <x v="12"/>
    <s v="Combined Heat and Power, Industrial Power"/>
    <x v="1"/>
    <n v="969634"/>
  </r>
  <r>
    <x v="18"/>
    <x v="12"/>
    <s v="Combined Heat and Power, Industrial Power"/>
    <x v="3"/>
    <n v="1005"/>
  </r>
  <r>
    <x v="18"/>
    <x v="12"/>
    <s v="Combined Heat and Power, Industrial Power"/>
    <x v="8"/>
    <n v="7710"/>
  </r>
  <r>
    <x v="18"/>
    <x v="12"/>
    <s v="Combined Heat and Power, Industrial Power"/>
    <x v="4"/>
    <n v="182"/>
  </r>
  <r>
    <x v="18"/>
    <x v="12"/>
    <s v="Combined Heat and Power, Commercial Power"/>
    <x v="0"/>
    <n v="244255"/>
  </r>
  <r>
    <x v="18"/>
    <x v="12"/>
    <s v="Combined Heat and Power, Commercial Power"/>
    <x v="1"/>
    <n v="208838"/>
  </r>
  <r>
    <x v="18"/>
    <x v="12"/>
    <s v="Combined Heat and Power, Commercial Power"/>
    <x v="3"/>
    <n v="3348"/>
  </r>
  <r>
    <x v="18"/>
    <x v="12"/>
    <s v="Combined Heat and Power, Commercial Power"/>
    <x v="8"/>
    <n v="26062"/>
  </r>
  <r>
    <x v="18"/>
    <x v="12"/>
    <s v="Combined Heat and Power, Commercial Power"/>
    <x v="4"/>
    <n v="6008"/>
  </r>
  <r>
    <x v="18"/>
    <x v="13"/>
    <s v="Total Electric Power Industry"/>
    <x v="0"/>
    <n v="11970553"/>
  </r>
  <r>
    <x v="18"/>
    <x v="13"/>
    <s v="Total Electric Power Industry"/>
    <x v="1"/>
    <n v="90449"/>
  </r>
  <r>
    <x v="18"/>
    <x v="13"/>
    <s v="Total Electric Power Industry"/>
    <x v="11"/>
    <n v="85547"/>
  </r>
  <r>
    <x v="18"/>
    <x v="13"/>
    <s v="Total Electric Power Industry"/>
    <x v="2"/>
    <n v="9362501"/>
  </r>
  <r>
    <x v="18"/>
    <x v="13"/>
    <s v="Total Electric Power Industry"/>
    <x v="3"/>
    <n v="1699553"/>
  </r>
  <r>
    <x v="18"/>
    <x v="13"/>
    <s v="Total Electric Power Industry"/>
    <x v="12"/>
    <n v="69517"/>
  </r>
  <r>
    <x v="18"/>
    <x v="13"/>
    <s v="Total Electric Power Industry"/>
    <x v="4"/>
    <n v="120"/>
  </r>
  <r>
    <x v="18"/>
    <x v="13"/>
    <s v="Total Electric Power Industry"/>
    <x v="5"/>
    <n v="207472"/>
  </r>
  <r>
    <x v="18"/>
    <x v="13"/>
    <s v="Total Electric Power Industry"/>
    <x v="6"/>
    <n v="455393"/>
  </r>
  <r>
    <x v="18"/>
    <x v="13"/>
    <s v="Electric Generators, Independent Power Producers"/>
    <x v="0"/>
    <n v="2361375"/>
  </r>
  <r>
    <x v="18"/>
    <x v="13"/>
    <s v="Electric Generators, Independent Power Producers"/>
    <x v="11"/>
    <n v="85547"/>
  </r>
  <r>
    <x v="18"/>
    <x v="13"/>
    <s v="Electric Generators, Independent Power Producers"/>
    <x v="2"/>
    <n v="698827"/>
  </r>
  <r>
    <x v="18"/>
    <x v="13"/>
    <s v="Electric Generators, Independent Power Producers"/>
    <x v="3"/>
    <n v="1369529"/>
  </r>
  <r>
    <x v="18"/>
    <x v="13"/>
    <s v="Electric Generators, Independent Power Producers"/>
    <x v="5"/>
    <n v="207472"/>
  </r>
  <r>
    <x v="18"/>
    <x v="13"/>
    <s v="Electric Generators, Electric Utilities"/>
    <x v="0"/>
    <n v="8893983"/>
  </r>
  <r>
    <x v="18"/>
    <x v="13"/>
    <s v="Electric Generators, Electric Utilities"/>
    <x v="2"/>
    <n v="8663674"/>
  </r>
  <r>
    <x v="18"/>
    <x v="13"/>
    <s v="Electric Generators, Electric Utilities"/>
    <x v="3"/>
    <n v="230189"/>
  </r>
  <r>
    <x v="18"/>
    <x v="13"/>
    <s v="Electric Generators, Electric Utilities"/>
    <x v="4"/>
    <n v="120"/>
  </r>
  <r>
    <x v="18"/>
    <x v="13"/>
    <s v="Combined Heat and Power, Industrial Power"/>
    <x v="0"/>
    <n v="581110"/>
  </r>
  <r>
    <x v="18"/>
    <x v="13"/>
    <s v="Combined Heat and Power, Industrial Power"/>
    <x v="1"/>
    <n v="90449"/>
  </r>
  <r>
    <x v="18"/>
    <x v="13"/>
    <s v="Combined Heat and Power, Industrial Power"/>
    <x v="3"/>
    <n v="35145"/>
  </r>
  <r>
    <x v="18"/>
    <x v="13"/>
    <s v="Combined Heat and Power, Industrial Power"/>
    <x v="12"/>
    <n v="69517"/>
  </r>
  <r>
    <x v="18"/>
    <x v="13"/>
    <s v="Combined Heat and Power, Industrial Power"/>
    <x v="4"/>
    <n v="0"/>
  </r>
  <r>
    <x v="18"/>
    <x v="13"/>
    <s v="Combined Heat and Power, Industrial Power"/>
    <x v="6"/>
    <n v="385998"/>
  </r>
  <r>
    <x v="18"/>
    <x v="13"/>
    <s v="Combined Heat and Power, Electric Power"/>
    <x v="0"/>
    <n v="134085"/>
  </r>
  <r>
    <x v="18"/>
    <x v="13"/>
    <s v="Combined Heat and Power, Electric Power"/>
    <x v="3"/>
    <n v="64690"/>
  </r>
  <r>
    <x v="18"/>
    <x v="13"/>
    <s v="Combined Heat and Power, Electric Power"/>
    <x v="6"/>
    <n v="69395"/>
  </r>
  <r>
    <x v="18"/>
    <x v="14"/>
    <s v="Total Electric Power Industry"/>
    <x v="0"/>
    <n v="199475178"/>
  </r>
  <r>
    <x v="18"/>
    <x v="14"/>
    <s v="Total Electric Power Industry"/>
    <x v="1"/>
    <n v="96644038"/>
  </r>
  <r>
    <x v="18"/>
    <x v="14"/>
    <s v="Total Electric Power Industry"/>
    <x v="2"/>
    <n v="138549"/>
  </r>
  <r>
    <x v="18"/>
    <x v="14"/>
    <s v="Total Electric Power Industry"/>
    <x v="3"/>
    <n v="4259870"/>
  </r>
  <r>
    <x v="18"/>
    <x v="14"/>
    <s v="Total Electric Power Industry"/>
    <x v="7"/>
    <n v="95151694"/>
  </r>
  <r>
    <x v="18"/>
    <x v="14"/>
    <s v="Total Electric Power Industry"/>
    <x v="12"/>
    <n v="49448"/>
  </r>
  <r>
    <x v="18"/>
    <x v="14"/>
    <s v="Total Electric Power Industry"/>
    <x v="8"/>
    <n v="697370"/>
  </r>
  <r>
    <x v="18"/>
    <x v="14"/>
    <s v="Total Electric Power Industry"/>
    <x v="9"/>
    <n v="53874"/>
  </r>
  <r>
    <x v="18"/>
    <x v="14"/>
    <s v="Total Electric Power Industry"/>
    <x v="4"/>
    <n v="142728"/>
  </r>
  <r>
    <x v="18"/>
    <x v="14"/>
    <s v="Total Electric Power Industry"/>
    <x v="5"/>
    <n v="2336996"/>
  </r>
  <r>
    <x v="18"/>
    <x v="14"/>
    <s v="Total Electric Power Industry"/>
    <x v="6"/>
    <n v="612"/>
  </r>
  <r>
    <x v="18"/>
    <x v="14"/>
    <s v="Electric Generators, Independent Power Producers"/>
    <x v="0"/>
    <n v="192079944"/>
  </r>
  <r>
    <x v="18"/>
    <x v="14"/>
    <s v="Electric Generators, Independent Power Producers"/>
    <x v="1"/>
    <n v="91005213"/>
  </r>
  <r>
    <x v="18"/>
    <x v="14"/>
    <s v="Electric Generators, Independent Power Producers"/>
    <x v="2"/>
    <n v="78316"/>
  </r>
  <r>
    <x v="18"/>
    <x v="14"/>
    <s v="Electric Generators, Independent Power Producers"/>
    <x v="3"/>
    <n v="2650240"/>
  </r>
  <r>
    <x v="18"/>
    <x v="14"/>
    <s v="Electric Generators, Independent Power Producers"/>
    <x v="7"/>
    <n v="95151694"/>
  </r>
  <r>
    <x v="18"/>
    <x v="14"/>
    <s v="Electric Generators, Independent Power Producers"/>
    <x v="12"/>
    <n v="32842"/>
  </r>
  <r>
    <x v="18"/>
    <x v="14"/>
    <s v="Electric Generators, Independent Power Producers"/>
    <x v="8"/>
    <n v="697186"/>
  </r>
  <r>
    <x v="18"/>
    <x v="14"/>
    <s v="Electric Generators, Independent Power Producers"/>
    <x v="4"/>
    <n v="131348"/>
  </r>
  <r>
    <x v="18"/>
    <x v="14"/>
    <s v="Electric Generators, Independent Power Producers"/>
    <x v="5"/>
    <n v="2333104"/>
  </r>
  <r>
    <x v="18"/>
    <x v="14"/>
    <s v="Electric Generators, Electric Utilities"/>
    <x v="0"/>
    <n v="3811235"/>
  </r>
  <r>
    <x v="18"/>
    <x v="14"/>
    <s v="Electric Generators, Electric Utilities"/>
    <x v="1"/>
    <n v="3405766"/>
  </r>
  <r>
    <x v="18"/>
    <x v="14"/>
    <s v="Electric Generators, Electric Utilities"/>
    <x v="2"/>
    <n v="60233"/>
  </r>
  <r>
    <x v="18"/>
    <x v="14"/>
    <s v="Electric Generators, Electric Utilities"/>
    <x v="3"/>
    <n v="330366"/>
  </r>
  <r>
    <x v="18"/>
    <x v="14"/>
    <s v="Electric Generators, Electric Utilities"/>
    <x v="4"/>
    <n v="10978"/>
  </r>
  <r>
    <x v="18"/>
    <x v="14"/>
    <s v="Electric Generators, Electric Utilities"/>
    <x v="5"/>
    <n v="3892"/>
  </r>
  <r>
    <x v="18"/>
    <x v="14"/>
    <s v="Combined Heat and Power, Industrial Power"/>
    <x v="0"/>
    <n v="2508433"/>
  </r>
  <r>
    <x v="18"/>
    <x v="14"/>
    <s v="Combined Heat and Power, Industrial Power"/>
    <x v="1"/>
    <n v="2123964"/>
  </r>
  <r>
    <x v="18"/>
    <x v="14"/>
    <s v="Combined Heat and Power, Industrial Power"/>
    <x v="3"/>
    <n v="323956"/>
  </r>
  <r>
    <x v="18"/>
    <x v="14"/>
    <s v="Combined Heat and Power, Industrial Power"/>
    <x v="12"/>
    <n v="16606"/>
  </r>
  <r>
    <x v="18"/>
    <x v="14"/>
    <s v="Combined Heat and Power, Industrial Power"/>
    <x v="9"/>
    <n v="43290"/>
  </r>
  <r>
    <x v="18"/>
    <x v="14"/>
    <s v="Combined Heat and Power, Industrial Power"/>
    <x v="4"/>
    <n v="6"/>
  </r>
  <r>
    <x v="18"/>
    <x v="14"/>
    <s v="Combined Heat and Power, Industrial Power"/>
    <x v="6"/>
    <n v="612"/>
  </r>
  <r>
    <x v="18"/>
    <x v="14"/>
    <s v="Combined Heat and Power, Electric Power"/>
    <x v="0"/>
    <n v="552207"/>
  </r>
  <r>
    <x v="18"/>
    <x v="14"/>
    <s v="Combined Heat and Power, Electric Power"/>
    <x v="1"/>
    <n v="41652"/>
  </r>
  <r>
    <x v="18"/>
    <x v="14"/>
    <s v="Combined Heat and Power, Electric Power"/>
    <x v="3"/>
    <n v="499937"/>
  </r>
  <r>
    <x v="18"/>
    <x v="14"/>
    <s v="Combined Heat and Power, Electric Power"/>
    <x v="8"/>
    <n v="34"/>
  </r>
  <r>
    <x v="18"/>
    <x v="14"/>
    <s v="Combined Heat and Power, Electric Power"/>
    <x v="9"/>
    <n v="10584"/>
  </r>
  <r>
    <x v="18"/>
    <x v="14"/>
    <s v="Combined Heat and Power, Commercial Power"/>
    <x v="0"/>
    <n v="523360"/>
  </r>
  <r>
    <x v="18"/>
    <x v="14"/>
    <s v="Combined Heat and Power, Commercial Power"/>
    <x v="1"/>
    <n v="67444"/>
  </r>
  <r>
    <x v="18"/>
    <x v="14"/>
    <s v="Combined Heat and Power, Commercial Power"/>
    <x v="3"/>
    <n v="455370"/>
  </r>
  <r>
    <x v="18"/>
    <x v="14"/>
    <s v="Combined Heat and Power, Commercial Power"/>
    <x v="8"/>
    <n v="150"/>
  </r>
  <r>
    <x v="18"/>
    <x v="14"/>
    <s v="Combined Heat and Power, Commercial Power"/>
    <x v="4"/>
    <n v="396"/>
  </r>
  <r>
    <x v="18"/>
    <x v="15"/>
    <s v="Total Electric Power Industry"/>
    <x v="0"/>
    <n v="129510294"/>
  </r>
  <r>
    <x v="18"/>
    <x v="15"/>
    <s v="Total Electric Power Industry"/>
    <x v="1"/>
    <n v="122036086"/>
  </r>
  <r>
    <x v="18"/>
    <x v="15"/>
    <s v="Total Electric Power Industry"/>
    <x v="2"/>
    <n v="436780"/>
  </r>
  <r>
    <x v="18"/>
    <x v="15"/>
    <s v="Total Electric Power Industry"/>
    <x v="3"/>
    <n v="3636303"/>
  </r>
  <r>
    <x v="18"/>
    <x v="15"/>
    <s v="Total Electric Power Industry"/>
    <x v="12"/>
    <n v="355684"/>
  </r>
  <r>
    <x v="18"/>
    <x v="15"/>
    <s v="Total Electric Power Industry"/>
    <x v="8"/>
    <n v="273038"/>
  </r>
  <r>
    <x v="18"/>
    <x v="15"/>
    <s v="Total Electric Power Industry"/>
    <x v="9"/>
    <n v="2355804"/>
  </r>
  <r>
    <x v="18"/>
    <x v="15"/>
    <s v="Total Electric Power Industry"/>
    <x v="4"/>
    <n v="178244"/>
  </r>
  <r>
    <x v="18"/>
    <x v="15"/>
    <s v="Total Electric Power Industry"/>
    <x v="5"/>
    <n v="238356"/>
  </r>
  <r>
    <x v="18"/>
    <x v="15"/>
    <s v="Electric Generators, Independent Power Producers"/>
    <x v="0"/>
    <n v="4839333"/>
  </r>
  <r>
    <x v="18"/>
    <x v="15"/>
    <s v="Electric Generators, Independent Power Producers"/>
    <x v="1"/>
    <n v="3649898"/>
  </r>
  <r>
    <x v="18"/>
    <x v="15"/>
    <s v="Electric Generators, Independent Power Producers"/>
    <x v="3"/>
    <n v="951079"/>
  </r>
  <r>
    <x v="18"/>
    <x v="15"/>
    <s v="Electric Generators, Independent Power Producers"/>
    <x v="4"/>
    <n v="0"/>
  </r>
  <r>
    <x v="18"/>
    <x v="15"/>
    <s v="Electric Generators, Independent Power Producers"/>
    <x v="5"/>
    <n v="238356"/>
  </r>
  <r>
    <x v="18"/>
    <x v="15"/>
    <s v="Electric Generators, Electric Utilities"/>
    <x v="0"/>
    <n v="115887993"/>
  </r>
  <r>
    <x v="18"/>
    <x v="15"/>
    <s v="Electric Generators, Electric Utilities"/>
    <x v="1"/>
    <n v="114321205"/>
  </r>
  <r>
    <x v="18"/>
    <x v="15"/>
    <s v="Electric Generators, Electric Utilities"/>
    <x v="2"/>
    <n v="436780"/>
  </r>
  <r>
    <x v="18"/>
    <x v="15"/>
    <s v="Electric Generators, Electric Utilities"/>
    <x v="3"/>
    <n v="735619"/>
  </r>
  <r>
    <x v="18"/>
    <x v="15"/>
    <s v="Electric Generators, Electric Utilities"/>
    <x v="8"/>
    <n v="229247"/>
  </r>
  <r>
    <x v="18"/>
    <x v="15"/>
    <s v="Electric Generators, Electric Utilities"/>
    <x v="4"/>
    <n v="165142"/>
  </r>
  <r>
    <x v="18"/>
    <x v="15"/>
    <s v="Combined Heat and Power, Industrial Power"/>
    <x v="0"/>
    <n v="3264806"/>
  </r>
  <r>
    <x v="18"/>
    <x v="15"/>
    <s v="Combined Heat and Power, Industrial Power"/>
    <x v="1"/>
    <n v="45183"/>
  </r>
  <r>
    <x v="18"/>
    <x v="15"/>
    <s v="Combined Heat and Power, Industrial Power"/>
    <x v="3"/>
    <n v="493670"/>
  </r>
  <r>
    <x v="18"/>
    <x v="15"/>
    <s v="Combined Heat and Power, Industrial Power"/>
    <x v="12"/>
    <n v="337525"/>
  </r>
  <r>
    <x v="18"/>
    <x v="15"/>
    <s v="Combined Heat and Power, Industrial Power"/>
    <x v="8"/>
    <n v="20680"/>
  </r>
  <r>
    <x v="18"/>
    <x v="15"/>
    <s v="Combined Heat and Power, Industrial Power"/>
    <x v="9"/>
    <n v="2355804"/>
  </r>
  <r>
    <x v="18"/>
    <x v="15"/>
    <s v="Combined Heat and Power, Industrial Power"/>
    <x v="4"/>
    <n v="11945"/>
  </r>
  <r>
    <x v="18"/>
    <x v="15"/>
    <s v="Combined Heat and Power, Electric Power"/>
    <x v="0"/>
    <n v="5300552"/>
  </r>
  <r>
    <x v="18"/>
    <x v="15"/>
    <s v="Combined Heat and Power, Electric Power"/>
    <x v="1"/>
    <n v="3875713"/>
  </r>
  <r>
    <x v="18"/>
    <x v="15"/>
    <s v="Combined Heat and Power, Electric Power"/>
    <x v="3"/>
    <n v="1424839"/>
  </r>
  <r>
    <x v="18"/>
    <x v="15"/>
    <s v="Combined Heat and Power, Electric Power"/>
    <x v="9"/>
    <n v="0"/>
  </r>
  <r>
    <x v="18"/>
    <x v="15"/>
    <s v="Combined Heat and Power, Electric Power"/>
    <x v="4"/>
    <n v="0"/>
  </r>
  <r>
    <x v="18"/>
    <x v="15"/>
    <s v="Combined Heat and Power, Commercial Power"/>
    <x v="0"/>
    <n v="217610"/>
  </r>
  <r>
    <x v="18"/>
    <x v="15"/>
    <s v="Combined Heat and Power, Commercial Power"/>
    <x v="1"/>
    <n v="144086"/>
  </r>
  <r>
    <x v="18"/>
    <x v="15"/>
    <s v="Combined Heat and Power, Commercial Power"/>
    <x v="3"/>
    <n v="31097"/>
  </r>
  <r>
    <x v="18"/>
    <x v="15"/>
    <s v="Combined Heat and Power, Commercial Power"/>
    <x v="12"/>
    <n v="18159"/>
  </r>
  <r>
    <x v="18"/>
    <x v="15"/>
    <s v="Combined Heat and Power, Commercial Power"/>
    <x v="8"/>
    <n v="23110"/>
  </r>
  <r>
    <x v="18"/>
    <x v="15"/>
    <s v="Combined Heat and Power, Commercial Power"/>
    <x v="4"/>
    <n v="1158"/>
  </r>
  <r>
    <x v="18"/>
    <x v="16"/>
    <s v="Total Electric Power Industry"/>
    <x v="0"/>
    <n v="46630321"/>
  </r>
  <r>
    <x v="18"/>
    <x v="16"/>
    <s v="Total Electric Power Industry"/>
    <x v="1"/>
    <n v="34003262"/>
  </r>
  <r>
    <x v="18"/>
    <x v="16"/>
    <s v="Total Electric Power Industry"/>
    <x v="2"/>
    <n v="10574"/>
  </r>
  <r>
    <x v="18"/>
    <x v="16"/>
    <s v="Total Electric Power Industry"/>
    <x v="3"/>
    <n v="2229723"/>
  </r>
  <r>
    <x v="18"/>
    <x v="16"/>
    <s v="Total Electric Power Industry"/>
    <x v="7"/>
    <n v="8497160"/>
  </r>
  <r>
    <x v="18"/>
    <x v="16"/>
    <s v="Total Electric Power Industry"/>
    <x v="4"/>
    <n v="130190"/>
  </r>
  <r>
    <x v="18"/>
    <x v="16"/>
    <s v="Total Electric Power Industry"/>
    <x v="5"/>
    <n v="1759412"/>
  </r>
  <r>
    <x v="18"/>
    <x v="16"/>
    <s v="Electric Generators, Independent Power Producers"/>
    <x v="0"/>
    <n v="1354496"/>
  </r>
  <r>
    <x v="18"/>
    <x v="16"/>
    <s v="Electric Generators, Independent Power Producers"/>
    <x v="2"/>
    <n v="10574"/>
  </r>
  <r>
    <x v="18"/>
    <x v="16"/>
    <s v="Electric Generators, Independent Power Producers"/>
    <x v="5"/>
    <n v="1343922"/>
  </r>
  <r>
    <x v="18"/>
    <x v="16"/>
    <s v="Electric Generators, Electric Utilities"/>
    <x v="0"/>
    <n v="45275773"/>
  </r>
  <r>
    <x v="18"/>
    <x v="16"/>
    <s v="Electric Generators, Electric Utilities"/>
    <x v="1"/>
    <n v="34003262"/>
  </r>
  <r>
    <x v="18"/>
    <x v="16"/>
    <s v="Electric Generators, Electric Utilities"/>
    <x v="3"/>
    <n v="2229671"/>
  </r>
  <r>
    <x v="18"/>
    <x v="16"/>
    <s v="Electric Generators, Electric Utilities"/>
    <x v="7"/>
    <n v="8497160"/>
  </r>
  <r>
    <x v="18"/>
    <x v="16"/>
    <s v="Electric Generators, Electric Utilities"/>
    <x v="4"/>
    <n v="130190"/>
  </r>
  <r>
    <x v="18"/>
    <x v="16"/>
    <s v="Electric Generators, Electric Utilities"/>
    <x v="5"/>
    <n v="415490"/>
  </r>
  <r>
    <x v="18"/>
    <x v="16"/>
    <s v="Combined Heat and Power, Industrial Power"/>
    <x v="0"/>
    <n v="52"/>
  </r>
  <r>
    <x v="18"/>
    <x v="16"/>
    <s v="Combined Heat and Power, Industrial Power"/>
    <x v="3"/>
    <n v="52"/>
  </r>
  <r>
    <x v="18"/>
    <x v="16"/>
    <s v="Combined Heat and Power, Commercial Power"/>
    <x v="0"/>
    <n v="0"/>
  </r>
  <r>
    <x v="18"/>
    <x v="16"/>
    <s v="Combined Heat and Power, Commercial Power"/>
    <x v="3"/>
    <n v="0"/>
  </r>
  <r>
    <x v="18"/>
    <x v="16"/>
    <s v="Combined Heat and Power, Commercial Power"/>
    <x v="4"/>
    <n v="0"/>
  </r>
  <r>
    <x v="18"/>
    <x v="17"/>
    <s v="Total Electric Power Industry"/>
    <x v="0"/>
    <n v="97863340"/>
  </r>
  <r>
    <x v="18"/>
    <x v="17"/>
    <s v="Total Electric Power Industry"/>
    <x v="1"/>
    <n v="91620588"/>
  </r>
  <r>
    <x v="18"/>
    <x v="17"/>
    <s v="Total Electric Power Industry"/>
    <x v="2"/>
    <n v="1917470"/>
  </r>
  <r>
    <x v="18"/>
    <x v="17"/>
    <s v="Total Electric Power Industry"/>
    <x v="3"/>
    <n v="978692"/>
  </r>
  <r>
    <x v="18"/>
    <x v="17"/>
    <s v="Total Electric Power Industry"/>
    <x v="12"/>
    <n v="8697"/>
  </r>
  <r>
    <x v="18"/>
    <x v="17"/>
    <s v="Total Electric Power Industry"/>
    <x v="8"/>
    <n v="108880"/>
  </r>
  <r>
    <x v="18"/>
    <x v="17"/>
    <s v="Total Electric Power Industry"/>
    <x v="9"/>
    <n v="3835"/>
  </r>
  <r>
    <x v="18"/>
    <x v="17"/>
    <s v="Total Electric Power Industry"/>
    <x v="4"/>
    <n v="2874440"/>
  </r>
  <r>
    <x v="18"/>
    <x v="17"/>
    <s v="Total Electric Power Industry"/>
    <x v="6"/>
    <n v="350740"/>
  </r>
  <r>
    <x v="18"/>
    <x v="17"/>
    <s v="Electric Generators, Independent Power Producers"/>
    <x v="0"/>
    <n v="11316013"/>
  </r>
  <r>
    <x v="18"/>
    <x v="17"/>
    <s v="Electric Generators, Independent Power Producers"/>
    <x v="1"/>
    <n v="8422898"/>
  </r>
  <r>
    <x v="18"/>
    <x v="17"/>
    <s v="Electric Generators, Independent Power Producers"/>
    <x v="2"/>
    <n v="5038"/>
  </r>
  <r>
    <x v="18"/>
    <x v="17"/>
    <s v="Electric Generators, Independent Power Producers"/>
    <x v="3"/>
    <n v="120490"/>
  </r>
  <r>
    <x v="18"/>
    <x v="17"/>
    <s v="Electric Generators, Independent Power Producers"/>
    <x v="9"/>
    <n v="0"/>
  </r>
  <r>
    <x v="18"/>
    <x v="17"/>
    <s v="Electric Generators, Independent Power Producers"/>
    <x v="4"/>
    <n v="2767586"/>
  </r>
  <r>
    <x v="18"/>
    <x v="17"/>
    <s v="Electric Generators, Electric Utilities"/>
    <x v="0"/>
    <n v="86012151"/>
  </r>
  <r>
    <x v="18"/>
    <x v="17"/>
    <s v="Electric Generators, Electric Utilities"/>
    <x v="1"/>
    <n v="83197690"/>
  </r>
  <r>
    <x v="18"/>
    <x v="17"/>
    <s v="Electric Generators, Electric Utilities"/>
    <x v="2"/>
    <n v="1912432"/>
  </r>
  <r>
    <x v="18"/>
    <x v="17"/>
    <s v="Electric Generators, Electric Utilities"/>
    <x v="3"/>
    <n v="677551"/>
  </r>
  <r>
    <x v="18"/>
    <x v="17"/>
    <s v="Electric Generators, Electric Utilities"/>
    <x v="12"/>
    <n v="8697"/>
  </r>
  <r>
    <x v="18"/>
    <x v="17"/>
    <s v="Electric Generators, Electric Utilities"/>
    <x v="8"/>
    <n v="105094"/>
  </r>
  <r>
    <x v="18"/>
    <x v="17"/>
    <s v="Electric Generators, Electric Utilities"/>
    <x v="9"/>
    <n v="3835"/>
  </r>
  <r>
    <x v="18"/>
    <x v="17"/>
    <s v="Electric Generators, Electric Utilities"/>
    <x v="4"/>
    <n v="106853"/>
  </r>
  <r>
    <x v="18"/>
    <x v="17"/>
    <s v="Combined Heat and Power, Industrial Power"/>
    <x v="0"/>
    <n v="535176"/>
  </r>
  <r>
    <x v="18"/>
    <x v="17"/>
    <s v="Combined Heat and Power, Industrial Power"/>
    <x v="3"/>
    <n v="180651"/>
  </r>
  <r>
    <x v="18"/>
    <x v="17"/>
    <s v="Combined Heat and Power, Industrial Power"/>
    <x v="8"/>
    <n v="3786"/>
  </r>
  <r>
    <x v="18"/>
    <x v="17"/>
    <s v="Combined Heat and Power, Industrial Power"/>
    <x v="6"/>
    <n v="350740"/>
  </r>
  <r>
    <x v="18"/>
    <x v="18"/>
    <s v="Total Electric Power Industry"/>
    <x v="0"/>
    <n v="92453141"/>
  </r>
  <r>
    <x v="18"/>
    <x v="18"/>
    <s v="Total Electric Power Industry"/>
    <x v="1"/>
    <n v="24100042"/>
  </r>
  <r>
    <x v="18"/>
    <x v="18"/>
    <s v="Total Electric Power Industry"/>
    <x v="2"/>
    <n v="1064373"/>
  </r>
  <r>
    <x v="18"/>
    <x v="18"/>
    <s v="Total Electric Power Industry"/>
    <x v="3"/>
    <n v="45344386"/>
  </r>
  <r>
    <x v="18"/>
    <x v="18"/>
    <s v="Total Electric Power Industry"/>
    <x v="7"/>
    <n v="15370988"/>
  </r>
  <r>
    <x v="18"/>
    <x v="18"/>
    <s v="Total Electric Power Industry"/>
    <x v="12"/>
    <n v="457607"/>
  </r>
  <r>
    <x v="18"/>
    <x v="18"/>
    <s v="Total Electric Power Industry"/>
    <x v="8"/>
    <n v="70886"/>
  </r>
  <r>
    <x v="18"/>
    <x v="18"/>
    <s v="Total Electric Power Industry"/>
    <x v="9"/>
    <n v="1101057"/>
  </r>
  <r>
    <x v="18"/>
    <x v="18"/>
    <s v="Total Electric Power Industry"/>
    <x v="4"/>
    <n v="2305013"/>
  </r>
  <r>
    <x v="18"/>
    <x v="18"/>
    <s v="Total Electric Power Industry"/>
    <x v="6"/>
    <n v="2638789"/>
  </r>
  <r>
    <x v="18"/>
    <x v="18"/>
    <s v="Electric Generators, Independent Power Producers"/>
    <x v="0"/>
    <n v="18767689"/>
  </r>
  <r>
    <x v="18"/>
    <x v="18"/>
    <s v="Electric Generators, Independent Power Producers"/>
    <x v="1"/>
    <n v="12858971"/>
  </r>
  <r>
    <x v="18"/>
    <x v="18"/>
    <s v="Electric Generators, Independent Power Producers"/>
    <x v="2"/>
    <n v="1064373"/>
  </r>
  <r>
    <x v="18"/>
    <x v="18"/>
    <s v="Electric Generators, Independent Power Producers"/>
    <x v="3"/>
    <n v="4761761"/>
  </r>
  <r>
    <x v="18"/>
    <x v="18"/>
    <s v="Electric Generators, Independent Power Producers"/>
    <x v="8"/>
    <n v="69878"/>
  </r>
  <r>
    <x v="18"/>
    <x v="18"/>
    <s v="Electric Generators, Independent Power Producers"/>
    <x v="4"/>
    <n v="12707"/>
  </r>
  <r>
    <x v="18"/>
    <x v="18"/>
    <s v="Electric Generators, Electric Utilities"/>
    <x v="0"/>
    <n v="43164448"/>
  </r>
  <r>
    <x v="18"/>
    <x v="18"/>
    <s v="Electric Generators, Electric Utilities"/>
    <x v="1"/>
    <n v="11212908"/>
  </r>
  <r>
    <x v="18"/>
    <x v="18"/>
    <s v="Electric Generators, Electric Utilities"/>
    <x v="3"/>
    <n v="14679719"/>
  </r>
  <r>
    <x v="18"/>
    <x v="18"/>
    <s v="Electric Generators, Electric Utilities"/>
    <x v="7"/>
    <n v="15370988"/>
  </r>
  <r>
    <x v="18"/>
    <x v="18"/>
    <s v="Electric Generators, Electric Utilities"/>
    <x v="4"/>
    <n v="1900833"/>
  </r>
  <r>
    <x v="18"/>
    <x v="18"/>
    <s v="Combined Heat and Power, Industrial Power"/>
    <x v="0"/>
    <n v="26157391"/>
  </r>
  <r>
    <x v="18"/>
    <x v="18"/>
    <s v="Combined Heat and Power, Industrial Power"/>
    <x v="1"/>
    <n v="28162"/>
  </r>
  <r>
    <x v="18"/>
    <x v="18"/>
    <s v="Combined Heat and Power, Industrial Power"/>
    <x v="3"/>
    <n v="21849670"/>
  </r>
  <r>
    <x v="18"/>
    <x v="18"/>
    <s v="Combined Heat and Power, Industrial Power"/>
    <x v="12"/>
    <n v="457607"/>
  </r>
  <r>
    <x v="18"/>
    <x v="18"/>
    <s v="Combined Heat and Power, Industrial Power"/>
    <x v="8"/>
    <n v="1008"/>
  </r>
  <r>
    <x v="18"/>
    <x v="18"/>
    <s v="Combined Heat and Power, Industrial Power"/>
    <x v="9"/>
    <n v="790680"/>
  </r>
  <r>
    <x v="18"/>
    <x v="18"/>
    <s v="Combined Heat and Power, Industrial Power"/>
    <x v="4"/>
    <n v="391474"/>
  </r>
  <r>
    <x v="18"/>
    <x v="18"/>
    <s v="Combined Heat and Power, Industrial Power"/>
    <x v="6"/>
    <n v="2638789"/>
  </r>
  <r>
    <x v="18"/>
    <x v="18"/>
    <s v="Combined Heat and Power, Electric Power"/>
    <x v="0"/>
    <n v="4317306"/>
  </r>
  <r>
    <x v="18"/>
    <x v="18"/>
    <s v="Combined Heat and Power, Electric Power"/>
    <x v="3"/>
    <n v="4006928"/>
  </r>
  <r>
    <x v="18"/>
    <x v="18"/>
    <s v="Combined Heat and Power, Electric Power"/>
    <x v="9"/>
    <n v="310377"/>
  </r>
  <r>
    <x v="18"/>
    <x v="18"/>
    <s v="Combined Heat and Power, Electric Power"/>
    <x v="4"/>
    <n v="0"/>
  </r>
  <r>
    <x v="18"/>
    <x v="18"/>
    <s v="Combined Heat and Power, Commercial Power"/>
    <x v="0"/>
    <n v="46308"/>
  </r>
  <r>
    <x v="18"/>
    <x v="18"/>
    <s v="Combined Heat and Power, Commercial Power"/>
    <x v="3"/>
    <n v="46308"/>
  </r>
  <r>
    <x v="18"/>
    <x v="19"/>
    <s v="Total Electric Power Industry"/>
    <x v="0"/>
    <n v="42505478"/>
  </r>
  <r>
    <x v="18"/>
    <x v="19"/>
    <s v="Total Electric Power Industry"/>
    <x v="1"/>
    <n v="10628688"/>
  </r>
  <r>
    <x v="18"/>
    <x v="19"/>
    <s v="Total Electric Power Industry"/>
    <x v="2"/>
    <n v="1155811"/>
  </r>
  <r>
    <x v="18"/>
    <x v="19"/>
    <s v="Total Electric Power Industry"/>
    <x v="3"/>
    <n v="21514434"/>
  </r>
  <r>
    <x v="18"/>
    <x v="19"/>
    <s v="Total Electric Power Industry"/>
    <x v="7"/>
    <n v="5868639"/>
  </r>
  <r>
    <x v="18"/>
    <x v="19"/>
    <s v="Total Electric Power Industry"/>
    <x v="12"/>
    <n v="772928"/>
  </r>
  <r>
    <x v="18"/>
    <x v="19"/>
    <s v="Total Electric Power Industry"/>
    <x v="8"/>
    <n v="1129046"/>
  </r>
  <r>
    <x v="18"/>
    <x v="19"/>
    <s v="Total Electric Power Industry"/>
    <x v="4"/>
    <n v="2107999"/>
  </r>
  <r>
    <x v="18"/>
    <x v="19"/>
    <s v="Total Electric Power Industry"/>
    <x v="10"/>
    <n v="-798400"/>
  </r>
  <r>
    <x v="18"/>
    <x v="19"/>
    <s v="Total Electric Power Industry"/>
    <x v="13"/>
    <n v="80"/>
  </r>
  <r>
    <x v="18"/>
    <x v="19"/>
    <s v="Total Electric Power Industry"/>
    <x v="5"/>
    <n v="3672"/>
  </r>
  <r>
    <x v="18"/>
    <x v="19"/>
    <s v="Total Electric Power Industry"/>
    <x v="6"/>
    <n v="122580"/>
  </r>
  <r>
    <x v="18"/>
    <x v="19"/>
    <s v="Electric Generators, Independent Power Producers"/>
    <x v="0"/>
    <n v="39845907"/>
  </r>
  <r>
    <x v="18"/>
    <x v="19"/>
    <s v="Electric Generators, Independent Power Producers"/>
    <x v="1"/>
    <n v="10582371"/>
  </r>
  <r>
    <x v="18"/>
    <x v="19"/>
    <s v="Electric Generators, Independent Power Producers"/>
    <x v="2"/>
    <n v="871409"/>
  </r>
  <r>
    <x v="18"/>
    <x v="19"/>
    <s v="Electric Generators, Independent Power Producers"/>
    <x v="3"/>
    <n v="19320479"/>
  </r>
  <r>
    <x v="18"/>
    <x v="19"/>
    <s v="Electric Generators, Independent Power Producers"/>
    <x v="7"/>
    <n v="5868639"/>
  </r>
  <r>
    <x v="18"/>
    <x v="19"/>
    <s v="Electric Generators, Independent Power Producers"/>
    <x v="12"/>
    <n v="772928"/>
  </r>
  <r>
    <x v="18"/>
    <x v="19"/>
    <s v="Electric Generators, Independent Power Producers"/>
    <x v="8"/>
    <n v="1127529"/>
  </r>
  <r>
    <x v="18"/>
    <x v="19"/>
    <s v="Electric Generators, Independent Power Producers"/>
    <x v="4"/>
    <n v="1978372"/>
  </r>
  <r>
    <x v="18"/>
    <x v="19"/>
    <s v="Electric Generators, Independent Power Producers"/>
    <x v="10"/>
    <n v="-798400"/>
  </r>
  <r>
    <x v="18"/>
    <x v="19"/>
    <s v="Electric Generators, Independent Power Producers"/>
    <x v="6"/>
    <n v="122580"/>
  </r>
  <r>
    <x v="18"/>
    <x v="19"/>
    <s v="Electric Generators, Electric Utilities"/>
    <x v="0"/>
    <n v="507254"/>
  </r>
  <r>
    <x v="18"/>
    <x v="19"/>
    <s v="Electric Generators, Electric Utilities"/>
    <x v="2"/>
    <n v="270771"/>
  </r>
  <r>
    <x v="18"/>
    <x v="19"/>
    <s v="Electric Generators, Electric Utilities"/>
    <x v="3"/>
    <n v="175172"/>
  </r>
  <r>
    <x v="18"/>
    <x v="19"/>
    <s v="Electric Generators, Electric Utilities"/>
    <x v="4"/>
    <n v="57639"/>
  </r>
  <r>
    <x v="18"/>
    <x v="19"/>
    <s v="Electric Generators, Electric Utilities"/>
    <x v="5"/>
    <n v="3672"/>
  </r>
  <r>
    <x v="18"/>
    <x v="19"/>
    <s v="Combined Heat and Power, Industrial Power"/>
    <x v="0"/>
    <n v="219260"/>
  </r>
  <r>
    <x v="18"/>
    <x v="19"/>
    <s v="Combined Heat and Power, Industrial Power"/>
    <x v="1"/>
    <n v="46318"/>
  </r>
  <r>
    <x v="18"/>
    <x v="19"/>
    <s v="Combined Heat and Power, Industrial Power"/>
    <x v="2"/>
    <n v="7500"/>
  </r>
  <r>
    <x v="18"/>
    <x v="19"/>
    <s v="Combined Heat and Power, Industrial Power"/>
    <x v="3"/>
    <n v="145126"/>
  </r>
  <r>
    <x v="18"/>
    <x v="19"/>
    <s v="Combined Heat and Power, Industrial Power"/>
    <x v="4"/>
    <n v="20316"/>
  </r>
  <r>
    <x v="18"/>
    <x v="19"/>
    <s v="Combined Heat and Power, Electric Power"/>
    <x v="0"/>
    <n v="1443612"/>
  </r>
  <r>
    <x v="18"/>
    <x v="19"/>
    <s v="Combined Heat and Power, Electric Power"/>
    <x v="3"/>
    <n v="1432323"/>
  </r>
  <r>
    <x v="18"/>
    <x v="19"/>
    <s v="Combined Heat and Power, Electric Power"/>
    <x v="4"/>
    <n v="11290"/>
  </r>
  <r>
    <x v="18"/>
    <x v="19"/>
    <s v="Combined Heat and Power, Commercial Power"/>
    <x v="0"/>
    <n v="489445"/>
  </r>
  <r>
    <x v="18"/>
    <x v="19"/>
    <s v="Combined Heat and Power, Commercial Power"/>
    <x v="1"/>
    <n v="0"/>
  </r>
  <r>
    <x v="18"/>
    <x v="19"/>
    <s v="Combined Heat and Power, Commercial Power"/>
    <x v="2"/>
    <n v="6131"/>
  </r>
  <r>
    <x v="18"/>
    <x v="19"/>
    <s v="Combined Heat and Power, Commercial Power"/>
    <x v="3"/>
    <n v="441334"/>
  </r>
  <r>
    <x v="18"/>
    <x v="19"/>
    <s v="Combined Heat and Power, Commercial Power"/>
    <x v="8"/>
    <n v="1517"/>
  </r>
  <r>
    <x v="18"/>
    <x v="19"/>
    <s v="Combined Heat and Power, Commercial Power"/>
    <x v="4"/>
    <n v="40383"/>
  </r>
  <r>
    <x v="18"/>
    <x v="19"/>
    <s v="Combined Heat and Power, Commercial Power"/>
    <x v="13"/>
    <n v="80"/>
  </r>
  <r>
    <x v="18"/>
    <x v="20"/>
    <s v="Total Electric Power Industry"/>
    <x v="0"/>
    <n v="47360953"/>
  </r>
  <r>
    <x v="18"/>
    <x v="20"/>
    <s v="Total Electric Power Industry"/>
    <x v="1"/>
    <n v="27218239"/>
  </r>
  <r>
    <x v="18"/>
    <x v="20"/>
    <s v="Total Electric Power Industry"/>
    <x v="2"/>
    <n v="1974078"/>
  </r>
  <r>
    <x v="18"/>
    <x v="20"/>
    <s v="Total Electric Power Industry"/>
    <x v="3"/>
    <n v="1848147"/>
  </r>
  <r>
    <x v="18"/>
    <x v="20"/>
    <s v="Total Electric Power Industry"/>
    <x v="7"/>
    <n v="14678695"/>
  </r>
  <r>
    <x v="18"/>
    <x v="20"/>
    <s v="Total Electric Power Industry"/>
    <x v="12"/>
    <n v="285645"/>
  </r>
  <r>
    <x v="18"/>
    <x v="20"/>
    <s v="Total Electric Power Industry"/>
    <x v="8"/>
    <n v="414781"/>
  </r>
  <r>
    <x v="18"/>
    <x v="20"/>
    <s v="Total Electric Power Industry"/>
    <x v="9"/>
    <n v="337823"/>
  </r>
  <r>
    <x v="18"/>
    <x v="20"/>
    <s v="Total Electric Power Industry"/>
    <x v="4"/>
    <n v="405840"/>
  </r>
  <r>
    <x v="18"/>
    <x v="20"/>
    <s v="Total Electric Power Industry"/>
    <x v="6"/>
    <n v="197704"/>
  </r>
  <r>
    <x v="18"/>
    <x v="20"/>
    <s v="Electric Generators, Independent Power Producers"/>
    <x v="0"/>
    <n v="43748221"/>
  </r>
  <r>
    <x v="18"/>
    <x v="20"/>
    <s v="Electric Generators, Independent Power Producers"/>
    <x v="1"/>
    <n v="25494959"/>
  </r>
  <r>
    <x v="18"/>
    <x v="20"/>
    <s v="Electric Generators, Independent Power Producers"/>
    <x v="2"/>
    <n v="1974078"/>
  </r>
  <r>
    <x v="18"/>
    <x v="20"/>
    <s v="Electric Generators, Independent Power Producers"/>
    <x v="3"/>
    <n v="860742"/>
  </r>
  <r>
    <x v="18"/>
    <x v="20"/>
    <s v="Electric Generators, Independent Power Producers"/>
    <x v="7"/>
    <n v="14678695"/>
  </r>
  <r>
    <x v="18"/>
    <x v="20"/>
    <s v="Electric Generators, Independent Power Producers"/>
    <x v="12"/>
    <n v="145086"/>
  </r>
  <r>
    <x v="18"/>
    <x v="20"/>
    <s v="Electric Generators, Independent Power Producers"/>
    <x v="8"/>
    <n v="212461"/>
  </r>
  <r>
    <x v="18"/>
    <x v="20"/>
    <s v="Electric Generators, Independent Power Producers"/>
    <x v="4"/>
    <n v="382200"/>
  </r>
  <r>
    <x v="18"/>
    <x v="20"/>
    <s v="Electric Generators, Electric Utilities"/>
    <x v="0"/>
    <n v="5856"/>
  </r>
  <r>
    <x v="18"/>
    <x v="20"/>
    <s v="Electric Generators, Electric Utilities"/>
    <x v="3"/>
    <n v="0"/>
  </r>
  <r>
    <x v="18"/>
    <x v="20"/>
    <s v="Electric Generators, Electric Utilities"/>
    <x v="4"/>
    <n v="5856"/>
  </r>
  <r>
    <x v="18"/>
    <x v="20"/>
    <s v="Combined Heat and Power, Industrial Power"/>
    <x v="0"/>
    <n v="480557"/>
  </r>
  <r>
    <x v="18"/>
    <x v="20"/>
    <s v="Combined Heat and Power, Industrial Power"/>
    <x v="1"/>
    <n v="239240"/>
  </r>
  <r>
    <x v="18"/>
    <x v="20"/>
    <s v="Combined Heat and Power, Industrial Power"/>
    <x v="3"/>
    <n v="58159"/>
  </r>
  <r>
    <x v="18"/>
    <x v="20"/>
    <s v="Combined Heat and Power, Industrial Power"/>
    <x v="4"/>
    <n v="2060"/>
  </r>
  <r>
    <x v="18"/>
    <x v="20"/>
    <s v="Combined Heat and Power, Industrial Power"/>
    <x v="6"/>
    <n v="181098"/>
  </r>
  <r>
    <x v="18"/>
    <x v="20"/>
    <s v="Combined Heat and Power, Electric Power"/>
    <x v="0"/>
    <n v="3086107"/>
  </r>
  <r>
    <x v="18"/>
    <x v="20"/>
    <s v="Combined Heat and Power, Electric Power"/>
    <x v="1"/>
    <n v="1484039"/>
  </r>
  <r>
    <x v="18"/>
    <x v="20"/>
    <s v="Combined Heat and Power, Electric Power"/>
    <x v="3"/>
    <n v="929246"/>
  </r>
  <r>
    <x v="18"/>
    <x v="20"/>
    <s v="Combined Heat and Power, Electric Power"/>
    <x v="12"/>
    <n v="140560"/>
  </r>
  <r>
    <x v="18"/>
    <x v="20"/>
    <s v="Combined Heat and Power, Electric Power"/>
    <x v="8"/>
    <n v="178887"/>
  </r>
  <r>
    <x v="18"/>
    <x v="20"/>
    <s v="Combined Heat and Power, Electric Power"/>
    <x v="9"/>
    <n v="337823"/>
  </r>
  <r>
    <x v="18"/>
    <x v="20"/>
    <s v="Combined Heat and Power, Electric Power"/>
    <x v="4"/>
    <n v="15551"/>
  </r>
  <r>
    <x v="18"/>
    <x v="20"/>
    <s v="Combined Heat and Power, Commercial Power"/>
    <x v="0"/>
    <n v="40212"/>
  </r>
  <r>
    <x v="18"/>
    <x v="20"/>
    <s v="Combined Heat and Power, Commercial Power"/>
    <x v="1"/>
    <n v="0"/>
  </r>
  <r>
    <x v="18"/>
    <x v="20"/>
    <s v="Combined Heat and Power, Commercial Power"/>
    <x v="3"/>
    <n v="0"/>
  </r>
  <r>
    <x v="18"/>
    <x v="20"/>
    <s v="Combined Heat and Power, Commercial Power"/>
    <x v="12"/>
    <n v="0"/>
  </r>
  <r>
    <x v="18"/>
    <x v="20"/>
    <s v="Combined Heat and Power, Commercial Power"/>
    <x v="8"/>
    <n v="23432"/>
  </r>
  <r>
    <x v="18"/>
    <x v="20"/>
    <s v="Combined Heat and Power, Commercial Power"/>
    <x v="4"/>
    <n v="173"/>
  </r>
  <r>
    <x v="18"/>
    <x v="20"/>
    <s v="Combined Heat and Power, Commercial Power"/>
    <x v="6"/>
    <n v="16606"/>
  </r>
  <r>
    <x v="18"/>
    <x v="21"/>
    <s v="Total Electric Power Industry"/>
    <x v="0"/>
    <n v="17094919"/>
  </r>
  <r>
    <x v="18"/>
    <x v="21"/>
    <s v="Total Electric Power Industry"/>
    <x v="1"/>
    <n v="351799"/>
  </r>
  <r>
    <x v="18"/>
    <x v="21"/>
    <s v="Total Electric Power Industry"/>
    <x v="2"/>
    <n v="4457405"/>
  </r>
  <r>
    <x v="18"/>
    <x v="21"/>
    <s v="Total Electric Power Industry"/>
    <x v="3"/>
    <n v="7379615"/>
  </r>
  <r>
    <x v="18"/>
    <x v="21"/>
    <s v="Total Electric Power Industry"/>
    <x v="12"/>
    <n v="315131"/>
  </r>
  <r>
    <x v="18"/>
    <x v="21"/>
    <s v="Total Electric Power Industry"/>
    <x v="8"/>
    <n v="257795"/>
  </r>
  <r>
    <x v="18"/>
    <x v="21"/>
    <s v="Total Electric Power Industry"/>
    <x v="4"/>
    <n v="532985"/>
  </r>
  <r>
    <x v="18"/>
    <x v="21"/>
    <s v="Total Electric Power Industry"/>
    <x v="5"/>
    <n v="131621"/>
  </r>
  <r>
    <x v="18"/>
    <x v="21"/>
    <s v="Total Electric Power Industry"/>
    <x v="6"/>
    <n v="3668569"/>
  </r>
  <r>
    <x v="18"/>
    <x v="21"/>
    <s v="Electric Generators, Independent Power Producers"/>
    <x v="0"/>
    <n v="10941817"/>
  </r>
  <r>
    <x v="18"/>
    <x v="21"/>
    <s v="Electric Generators, Independent Power Producers"/>
    <x v="2"/>
    <n v="3695396"/>
  </r>
  <r>
    <x v="18"/>
    <x v="21"/>
    <s v="Electric Generators, Independent Power Producers"/>
    <x v="3"/>
    <n v="5266925"/>
  </r>
  <r>
    <x v="18"/>
    <x v="21"/>
    <s v="Electric Generators, Independent Power Producers"/>
    <x v="12"/>
    <n v="84891"/>
  </r>
  <r>
    <x v="18"/>
    <x v="21"/>
    <s v="Electric Generators, Independent Power Producers"/>
    <x v="8"/>
    <n v="108042"/>
  </r>
  <r>
    <x v="18"/>
    <x v="21"/>
    <s v="Electric Generators, Independent Power Producers"/>
    <x v="4"/>
    <n v="170146"/>
  </r>
  <r>
    <x v="18"/>
    <x v="21"/>
    <s v="Electric Generators, Independent Power Producers"/>
    <x v="5"/>
    <n v="131621"/>
  </r>
  <r>
    <x v="18"/>
    <x v="21"/>
    <s v="Electric Generators, Independent Power Producers"/>
    <x v="6"/>
    <n v="1484795"/>
  </r>
  <r>
    <x v="18"/>
    <x v="21"/>
    <s v="Electric Generators, Electric Utilities"/>
    <x v="0"/>
    <n v="1080"/>
  </r>
  <r>
    <x v="18"/>
    <x v="21"/>
    <s v="Electric Generators, Electric Utilities"/>
    <x v="4"/>
    <n v="1080"/>
  </r>
  <r>
    <x v="18"/>
    <x v="21"/>
    <s v="Combined Heat and Power, Industrial Power"/>
    <x v="0"/>
    <n v="5400480"/>
  </r>
  <r>
    <x v="18"/>
    <x v="21"/>
    <s v="Combined Heat and Power, Industrial Power"/>
    <x v="1"/>
    <n v="197103"/>
  </r>
  <r>
    <x v="18"/>
    <x v="21"/>
    <s v="Combined Heat and Power, Industrial Power"/>
    <x v="2"/>
    <n v="762009"/>
  </r>
  <r>
    <x v="18"/>
    <x v="21"/>
    <s v="Combined Heat and Power, Industrial Power"/>
    <x v="3"/>
    <n v="2112690"/>
  </r>
  <r>
    <x v="18"/>
    <x v="21"/>
    <s v="Combined Heat and Power, Industrial Power"/>
    <x v="12"/>
    <n v="40189"/>
  </r>
  <r>
    <x v="18"/>
    <x v="21"/>
    <s v="Combined Heat and Power, Industrial Power"/>
    <x v="8"/>
    <n v="44485"/>
  </r>
  <r>
    <x v="18"/>
    <x v="21"/>
    <s v="Combined Heat and Power, Industrial Power"/>
    <x v="4"/>
    <n v="355418"/>
  </r>
  <r>
    <x v="18"/>
    <x v="21"/>
    <s v="Combined Heat and Power, Industrial Power"/>
    <x v="6"/>
    <n v="1888586"/>
  </r>
  <r>
    <x v="18"/>
    <x v="21"/>
    <s v="Combined Heat and Power, Electric Power"/>
    <x v="0"/>
    <n v="574517"/>
  </r>
  <r>
    <x v="18"/>
    <x v="21"/>
    <s v="Combined Heat and Power, Electric Power"/>
    <x v="1"/>
    <n v="154696"/>
  </r>
  <r>
    <x v="18"/>
    <x v="21"/>
    <s v="Combined Heat and Power, Electric Power"/>
    <x v="12"/>
    <n v="113391"/>
  </r>
  <r>
    <x v="18"/>
    <x v="21"/>
    <s v="Combined Heat and Power, Electric Power"/>
    <x v="8"/>
    <n v="7702"/>
  </r>
  <r>
    <x v="18"/>
    <x v="21"/>
    <s v="Combined Heat and Power, Electric Power"/>
    <x v="4"/>
    <n v="3927"/>
  </r>
  <r>
    <x v="18"/>
    <x v="21"/>
    <s v="Combined Heat and Power, Electric Power"/>
    <x v="6"/>
    <n v="294801"/>
  </r>
  <r>
    <x v="18"/>
    <x v="21"/>
    <s v="Combined Heat and Power, Commercial Power"/>
    <x v="0"/>
    <n v="177026"/>
  </r>
  <r>
    <x v="18"/>
    <x v="21"/>
    <s v="Combined Heat and Power, Commercial Power"/>
    <x v="3"/>
    <n v="0"/>
  </r>
  <r>
    <x v="18"/>
    <x v="21"/>
    <s v="Combined Heat and Power, Commercial Power"/>
    <x v="12"/>
    <n v="76660"/>
  </r>
  <r>
    <x v="18"/>
    <x v="21"/>
    <s v="Combined Heat and Power, Commercial Power"/>
    <x v="8"/>
    <n v="97565"/>
  </r>
  <r>
    <x v="18"/>
    <x v="21"/>
    <s v="Combined Heat and Power, Commercial Power"/>
    <x v="4"/>
    <n v="2414"/>
  </r>
  <r>
    <x v="18"/>
    <x v="21"/>
    <s v="Combined Heat and Power, Commercial Power"/>
    <x v="6"/>
    <n v="387"/>
  </r>
  <r>
    <x v="18"/>
    <x v="22"/>
    <s v="Total Electric Power Industry"/>
    <x v="0"/>
    <n v="114989806"/>
  </r>
  <r>
    <x v="18"/>
    <x v="22"/>
    <s v="Total Electric Power Industry"/>
    <x v="1"/>
    <n v="69855436"/>
  </r>
  <r>
    <x v="18"/>
    <x v="22"/>
    <s v="Total Electric Power Industry"/>
    <x v="2"/>
    <n v="1364378"/>
  </r>
  <r>
    <x v="18"/>
    <x v="22"/>
    <s v="Total Electric Power Industry"/>
    <x v="3"/>
    <n v="9602037"/>
  </r>
  <r>
    <x v="18"/>
    <x v="22"/>
    <s v="Total Electric Power Industry"/>
    <x v="7"/>
    <n v="31484428"/>
  </r>
  <r>
    <x v="18"/>
    <x v="22"/>
    <s v="Total Electric Power Industry"/>
    <x v="12"/>
    <n v="285942"/>
  </r>
  <r>
    <x v="18"/>
    <x v="22"/>
    <s v="Total Electric Power Industry"/>
    <x v="8"/>
    <n v="739537"/>
  </r>
  <r>
    <x v="18"/>
    <x v="22"/>
    <s v="Total Electric Power Industry"/>
    <x v="9"/>
    <n v="264407"/>
  </r>
  <r>
    <x v="18"/>
    <x v="22"/>
    <s v="Total Electric Power Industry"/>
    <x v="4"/>
    <n v="457538"/>
  </r>
  <r>
    <x v="18"/>
    <x v="22"/>
    <s v="Total Electric Power Industry"/>
    <x v="10"/>
    <n v="-915502"/>
  </r>
  <r>
    <x v="18"/>
    <x v="22"/>
    <s v="Total Electric Power Industry"/>
    <x v="5"/>
    <n v="141182"/>
  </r>
  <r>
    <x v="18"/>
    <x v="22"/>
    <s v="Total Electric Power Industry"/>
    <x v="6"/>
    <n v="1710423"/>
  </r>
  <r>
    <x v="18"/>
    <x v="22"/>
    <s v="Electric Generators, Independent Power Producers"/>
    <x v="0"/>
    <n v="10953505"/>
  </r>
  <r>
    <x v="18"/>
    <x v="22"/>
    <s v="Electric Generators, Independent Power Producers"/>
    <x v="1"/>
    <n v="58315"/>
  </r>
  <r>
    <x v="18"/>
    <x v="22"/>
    <s v="Electric Generators, Independent Power Producers"/>
    <x v="2"/>
    <n v="90705"/>
  </r>
  <r>
    <x v="18"/>
    <x v="22"/>
    <s v="Electric Generators, Independent Power Producers"/>
    <x v="3"/>
    <n v="2218762"/>
  </r>
  <r>
    <x v="18"/>
    <x v="22"/>
    <s v="Electric Generators, Independent Power Producers"/>
    <x v="7"/>
    <n v="6834736"/>
  </r>
  <r>
    <x v="18"/>
    <x v="22"/>
    <s v="Electric Generators, Independent Power Producers"/>
    <x v="12"/>
    <n v="78859"/>
  </r>
  <r>
    <x v="18"/>
    <x v="22"/>
    <s v="Electric Generators, Independent Power Producers"/>
    <x v="8"/>
    <n v="550595"/>
  </r>
  <r>
    <x v="18"/>
    <x v="22"/>
    <s v="Electric Generators, Independent Power Producers"/>
    <x v="9"/>
    <n v="0"/>
  </r>
  <r>
    <x v="18"/>
    <x v="22"/>
    <s v="Electric Generators, Independent Power Producers"/>
    <x v="4"/>
    <n v="0"/>
  </r>
  <r>
    <x v="18"/>
    <x v="22"/>
    <s v="Electric Generators, Independent Power Producers"/>
    <x v="5"/>
    <n v="141182"/>
  </r>
  <r>
    <x v="18"/>
    <x v="22"/>
    <s v="Electric Generators, Independent Power Producers"/>
    <x v="6"/>
    <n v="980352"/>
  </r>
  <r>
    <x v="18"/>
    <x v="22"/>
    <s v="Electric Generators, Electric Utilities"/>
    <x v="0"/>
    <n v="94503953"/>
  </r>
  <r>
    <x v="18"/>
    <x v="22"/>
    <s v="Electric Generators, Electric Utilities"/>
    <x v="1"/>
    <n v="68421489"/>
  </r>
  <r>
    <x v="18"/>
    <x v="22"/>
    <s v="Electric Generators, Electric Utilities"/>
    <x v="2"/>
    <n v="1247863"/>
  </r>
  <r>
    <x v="18"/>
    <x v="22"/>
    <s v="Electric Generators, Electric Utilities"/>
    <x v="3"/>
    <n v="784967"/>
  </r>
  <r>
    <x v="18"/>
    <x v="22"/>
    <s v="Electric Generators, Electric Utilities"/>
    <x v="7"/>
    <n v="24649692"/>
  </r>
  <r>
    <x v="18"/>
    <x v="22"/>
    <s v="Electric Generators, Electric Utilities"/>
    <x v="12"/>
    <n v="33777"/>
  </r>
  <r>
    <x v="18"/>
    <x v="22"/>
    <s v="Electric Generators, Electric Utilities"/>
    <x v="8"/>
    <n v="63"/>
  </r>
  <r>
    <x v="18"/>
    <x v="22"/>
    <s v="Electric Generators, Electric Utilities"/>
    <x v="9"/>
    <n v="0"/>
  </r>
  <r>
    <x v="18"/>
    <x v="22"/>
    <s v="Electric Generators, Electric Utilities"/>
    <x v="4"/>
    <n v="281604"/>
  </r>
  <r>
    <x v="18"/>
    <x v="22"/>
    <s v="Electric Generators, Electric Utilities"/>
    <x v="10"/>
    <n v="-915502"/>
  </r>
  <r>
    <x v="18"/>
    <x v="22"/>
    <s v="Combined Heat and Power, Industrial Power"/>
    <x v="0"/>
    <n v="1647284"/>
  </r>
  <r>
    <x v="18"/>
    <x v="22"/>
    <s v="Combined Heat and Power, Industrial Power"/>
    <x v="1"/>
    <n v="727347"/>
  </r>
  <r>
    <x v="18"/>
    <x v="22"/>
    <s v="Combined Heat and Power, Industrial Power"/>
    <x v="2"/>
    <n v="25810"/>
  </r>
  <r>
    <x v="18"/>
    <x v="22"/>
    <s v="Combined Heat and Power, Industrial Power"/>
    <x v="3"/>
    <n v="90773"/>
  </r>
  <r>
    <x v="18"/>
    <x v="22"/>
    <s v="Combined Heat and Power, Industrial Power"/>
    <x v="12"/>
    <n v="4839"/>
  </r>
  <r>
    <x v="18"/>
    <x v="22"/>
    <s v="Combined Heat and Power, Industrial Power"/>
    <x v="8"/>
    <n v="1307"/>
  </r>
  <r>
    <x v="18"/>
    <x v="22"/>
    <s v="Combined Heat and Power, Industrial Power"/>
    <x v="4"/>
    <n v="95153"/>
  </r>
  <r>
    <x v="18"/>
    <x v="22"/>
    <s v="Combined Heat and Power, Industrial Power"/>
    <x v="6"/>
    <n v="702055"/>
  </r>
  <r>
    <x v="18"/>
    <x v="22"/>
    <s v="Combined Heat and Power, Electric Power"/>
    <x v="0"/>
    <n v="7349933"/>
  </r>
  <r>
    <x v="18"/>
    <x v="22"/>
    <s v="Combined Heat and Power, Electric Power"/>
    <x v="1"/>
    <n v="358132"/>
  </r>
  <r>
    <x v="18"/>
    <x v="22"/>
    <s v="Combined Heat and Power, Electric Power"/>
    <x v="3"/>
    <n v="6495078"/>
  </r>
  <r>
    <x v="18"/>
    <x v="22"/>
    <s v="Combined Heat and Power, Electric Power"/>
    <x v="12"/>
    <n v="70734"/>
  </r>
  <r>
    <x v="18"/>
    <x v="22"/>
    <s v="Combined Heat and Power, Electric Power"/>
    <x v="8"/>
    <n v="63183"/>
  </r>
  <r>
    <x v="18"/>
    <x v="22"/>
    <s v="Combined Heat and Power, Electric Power"/>
    <x v="9"/>
    <n v="264407"/>
  </r>
  <r>
    <x v="18"/>
    <x v="22"/>
    <s v="Combined Heat and Power, Electric Power"/>
    <x v="4"/>
    <n v="74692"/>
  </r>
  <r>
    <x v="18"/>
    <x v="22"/>
    <s v="Combined Heat and Power, Electric Power"/>
    <x v="6"/>
    <n v="23707"/>
  </r>
  <r>
    <x v="18"/>
    <x v="22"/>
    <s v="Combined Heat and Power, Commercial Power"/>
    <x v="0"/>
    <n v="535131"/>
  </r>
  <r>
    <x v="18"/>
    <x v="22"/>
    <s v="Combined Heat and Power, Commercial Power"/>
    <x v="1"/>
    <n v="290153"/>
  </r>
  <r>
    <x v="18"/>
    <x v="22"/>
    <s v="Combined Heat and Power, Commercial Power"/>
    <x v="3"/>
    <n v="12457"/>
  </r>
  <r>
    <x v="18"/>
    <x v="22"/>
    <s v="Combined Heat and Power, Commercial Power"/>
    <x v="12"/>
    <n v="97732"/>
  </r>
  <r>
    <x v="18"/>
    <x v="22"/>
    <s v="Combined Heat and Power, Commercial Power"/>
    <x v="8"/>
    <n v="124389"/>
  </r>
  <r>
    <x v="18"/>
    <x v="22"/>
    <s v="Combined Heat and Power, Commercial Power"/>
    <x v="4"/>
    <n v="6091"/>
  </r>
  <r>
    <x v="18"/>
    <x v="22"/>
    <s v="Combined Heat and Power, Commercial Power"/>
    <x v="6"/>
    <n v="4310"/>
  </r>
  <r>
    <x v="18"/>
    <x v="23"/>
    <s v="Total Electric Power Industry"/>
    <x v="0"/>
    <n v="54763360"/>
  </r>
  <r>
    <x v="18"/>
    <x v="23"/>
    <s v="Total Electric Power Industry"/>
    <x v="1"/>
    <n v="31755253"/>
  </r>
  <r>
    <x v="18"/>
    <x v="23"/>
    <s v="Total Electric Power Industry"/>
    <x v="2"/>
    <n v="727061"/>
  </r>
  <r>
    <x v="18"/>
    <x v="23"/>
    <s v="Total Electric Power Industry"/>
    <x v="3"/>
    <n v="2865846"/>
  </r>
  <r>
    <x v="18"/>
    <x v="23"/>
    <s v="Total Electric Power Industry"/>
    <x v="7"/>
    <n v="12996838"/>
  </r>
  <r>
    <x v="18"/>
    <x v="23"/>
    <s v="Total Electric Power Industry"/>
    <x v="12"/>
    <n v="309342"/>
  </r>
  <r>
    <x v="18"/>
    <x v="23"/>
    <s v="Total Electric Power Industry"/>
    <x v="8"/>
    <n v="771042"/>
  </r>
  <r>
    <x v="18"/>
    <x v="23"/>
    <s v="Total Electric Power Industry"/>
    <x v="9"/>
    <n v="26520"/>
  </r>
  <r>
    <x v="18"/>
    <x v="23"/>
    <s v="Total Electric Power Industry"/>
    <x v="4"/>
    <n v="231617"/>
  </r>
  <r>
    <x v="18"/>
    <x v="23"/>
    <s v="Total Electric Power Industry"/>
    <x v="5"/>
    <n v="4354620"/>
  </r>
  <r>
    <x v="18"/>
    <x v="23"/>
    <s v="Total Electric Power Industry"/>
    <x v="6"/>
    <n v="725220"/>
  </r>
  <r>
    <x v="18"/>
    <x v="23"/>
    <s v="Electric Generators, Independent Power Producers"/>
    <x v="0"/>
    <n v="5472490"/>
  </r>
  <r>
    <x v="18"/>
    <x v="23"/>
    <s v="Electric Generators, Independent Power Producers"/>
    <x v="2"/>
    <n v="49029"/>
  </r>
  <r>
    <x v="18"/>
    <x v="23"/>
    <s v="Electric Generators, Independent Power Producers"/>
    <x v="3"/>
    <n v="476904"/>
  </r>
  <r>
    <x v="18"/>
    <x v="23"/>
    <s v="Electric Generators, Independent Power Producers"/>
    <x v="12"/>
    <n v="96161"/>
  </r>
  <r>
    <x v="18"/>
    <x v="23"/>
    <s v="Electric Generators, Independent Power Producers"/>
    <x v="8"/>
    <n v="534415"/>
  </r>
  <r>
    <x v="18"/>
    <x v="23"/>
    <s v="Electric Generators, Independent Power Producers"/>
    <x v="4"/>
    <n v="12597"/>
  </r>
  <r>
    <x v="18"/>
    <x v="23"/>
    <s v="Electric Generators, Independent Power Producers"/>
    <x v="5"/>
    <n v="4303384"/>
  </r>
  <r>
    <x v="18"/>
    <x v="23"/>
    <s v="Electric Generators, Electric Utilities"/>
    <x v="0"/>
    <n v="46758314"/>
  </r>
  <r>
    <x v="18"/>
    <x v="23"/>
    <s v="Electric Generators, Electric Utilities"/>
    <x v="1"/>
    <n v="30771207"/>
  </r>
  <r>
    <x v="18"/>
    <x v="23"/>
    <s v="Electric Generators, Electric Utilities"/>
    <x v="2"/>
    <n v="554068"/>
  </r>
  <r>
    <x v="18"/>
    <x v="23"/>
    <s v="Electric Generators, Electric Utilities"/>
    <x v="3"/>
    <n v="1723799"/>
  </r>
  <r>
    <x v="18"/>
    <x v="23"/>
    <s v="Electric Generators, Electric Utilities"/>
    <x v="7"/>
    <n v="12996838"/>
  </r>
  <r>
    <x v="18"/>
    <x v="23"/>
    <s v="Electric Generators, Electric Utilities"/>
    <x v="12"/>
    <n v="152645"/>
  </r>
  <r>
    <x v="18"/>
    <x v="23"/>
    <s v="Electric Generators, Electric Utilities"/>
    <x v="8"/>
    <n v="219829"/>
  </r>
  <r>
    <x v="18"/>
    <x v="23"/>
    <s v="Electric Generators, Electric Utilities"/>
    <x v="9"/>
    <n v="26520"/>
  </r>
  <r>
    <x v="18"/>
    <x v="23"/>
    <s v="Electric Generators, Electric Utilities"/>
    <x v="4"/>
    <n v="211633"/>
  </r>
  <r>
    <x v="18"/>
    <x v="23"/>
    <s v="Electric Generators, Electric Utilities"/>
    <x v="5"/>
    <n v="51236"/>
  </r>
  <r>
    <x v="18"/>
    <x v="23"/>
    <s v="Electric Generators, Electric Utilities"/>
    <x v="6"/>
    <n v="50539"/>
  </r>
  <r>
    <x v="18"/>
    <x v="23"/>
    <s v="Combined Heat and Power, Industrial Power"/>
    <x v="0"/>
    <n v="1650776"/>
  </r>
  <r>
    <x v="18"/>
    <x v="23"/>
    <s v="Combined Heat and Power, Industrial Power"/>
    <x v="1"/>
    <n v="948979"/>
  </r>
  <r>
    <x v="18"/>
    <x v="23"/>
    <s v="Combined Heat and Power, Industrial Power"/>
    <x v="2"/>
    <n v="117633"/>
  </r>
  <r>
    <x v="18"/>
    <x v="23"/>
    <s v="Combined Heat and Power, Industrial Power"/>
    <x v="3"/>
    <n v="55427"/>
  </r>
  <r>
    <x v="18"/>
    <x v="23"/>
    <s v="Combined Heat and Power, Industrial Power"/>
    <x v="12"/>
    <n v="53268"/>
  </r>
  <r>
    <x v="18"/>
    <x v="23"/>
    <s v="Combined Heat and Power, Industrial Power"/>
    <x v="8"/>
    <n v="7547"/>
  </r>
  <r>
    <x v="18"/>
    <x v="23"/>
    <s v="Combined Heat and Power, Industrial Power"/>
    <x v="4"/>
    <n v="1822"/>
  </r>
  <r>
    <x v="18"/>
    <x v="23"/>
    <s v="Combined Heat and Power, Industrial Power"/>
    <x v="6"/>
    <n v="466100"/>
  </r>
  <r>
    <x v="18"/>
    <x v="23"/>
    <s v="Combined Heat and Power, Electric Power"/>
    <x v="0"/>
    <n v="783566"/>
  </r>
  <r>
    <x v="18"/>
    <x v="23"/>
    <s v="Combined Heat and Power, Electric Power"/>
    <x v="1"/>
    <n v="35067"/>
  </r>
  <r>
    <x v="18"/>
    <x v="23"/>
    <s v="Combined Heat and Power, Electric Power"/>
    <x v="2"/>
    <n v="6331"/>
  </r>
  <r>
    <x v="18"/>
    <x v="23"/>
    <s v="Combined Heat and Power, Electric Power"/>
    <x v="3"/>
    <n v="533587"/>
  </r>
  <r>
    <x v="18"/>
    <x v="23"/>
    <s v="Combined Heat and Power, Electric Power"/>
    <x v="4"/>
    <n v="0"/>
  </r>
  <r>
    <x v="18"/>
    <x v="23"/>
    <s v="Combined Heat and Power, Electric Power"/>
    <x v="6"/>
    <n v="208581"/>
  </r>
  <r>
    <x v="18"/>
    <x v="23"/>
    <s v="Combined Heat and Power, Commercial Power"/>
    <x v="0"/>
    <n v="98214"/>
  </r>
  <r>
    <x v="18"/>
    <x v="23"/>
    <s v="Combined Heat and Power, Commercial Power"/>
    <x v="3"/>
    <n v="76129"/>
  </r>
  <r>
    <x v="18"/>
    <x v="23"/>
    <s v="Combined Heat and Power, Commercial Power"/>
    <x v="12"/>
    <n v="7269"/>
  </r>
  <r>
    <x v="18"/>
    <x v="23"/>
    <s v="Combined Heat and Power, Commercial Power"/>
    <x v="8"/>
    <n v="9251"/>
  </r>
  <r>
    <x v="18"/>
    <x v="23"/>
    <s v="Combined Heat and Power, Commercial Power"/>
    <x v="4"/>
    <n v="5566"/>
  </r>
  <r>
    <x v="18"/>
    <x v="24"/>
    <s v="Total Electric Power Industry"/>
    <x v="0"/>
    <n v="91028795"/>
  </r>
  <r>
    <x v="18"/>
    <x v="24"/>
    <s v="Total Electric Power Industry"/>
    <x v="1"/>
    <n v="73531660"/>
  </r>
  <r>
    <x v="18"/>
    <x v="24"/>
    <s v="Total Electric Power Industry"/>
    <x v="2"/>
    <n v="2046773"/>
  </r>
  <r>
    <x v="18"/>
    <x v="24"/>
    <s v="Total Electric Power Industry"/>
    <x v="3"/>
    <n v="5196137"/>
  </r>
  <r>
    <x v="18"/>
    <x v="24"/>
    <s v="Total Electric Power Industry"/>
    <x v="7"/>
    <n v="9378629"/>
  </r>
  <r>
    <x v="18"/>
    <x v="24"/>
    <s v="Total Electric Power Industry"/>
    <x v="12"/>
    <n v="24208"/>
  </r>
  <r>
    <x v="18"/>
    <x v="24"/>
    <s v="Total Electric Power Industry"/>
    <x v="8"/>
    <n v="41100"/>
  </r>
  <r>
    <x v="18"/>
    <x v="24"/>
    <s v="Total Electric Power Industry"/>
    <x v="9"/>
    <n v="2587"/>
  </r>
  <r>
    <x v="18"/>
    <x v="24"/>
    <s v="Total Electric Power Industry"/>
    <x v="4"/>
    <n v="57421"/>
  </r>
  <r>
    <x v="18"/>
    <x v="24"/>
    <s v="Total Electric Power Industry"/>
    <x v="10"/>
    <n v="545355"/>
  </r>
  <r>
    <x v="18"/>
    <x v="24"/>
    <s v="Total Electric Power Industry"/>
    <x v="5"/>
    <n v="203313"/>
  </r>
  <r>
    <x v="18"/>
    <x v="24"/>
    <s v="Total Electric Power Industry"/>
    <x v="6"/>
    <n v="1613"/>
  </r>
  <r>
    <x v="18"/>
    <x v="24"/>
    <s v="Electric Generators, Independent Power Producers"/>
    <x v="0"/>
    <n v="1422675"/>
  </r>
  <r>
    <x v="18"/>
    <x v="24"/>
    <s v="Electric Generators, Independent Power Producers"/>
    <x v="3"/>
    <n v="1219362"/>
  </r>
  <r>
    <x v="18"/>
    <x v="24"/>
    <s v="Electric Generators, Independent Power Producers"/>
    <x v="5"/>
    <n v="203313"/>
  </r>
  <r>
    <x v="18"/>
    <x v="24"/>
    <s v="Electric Generators, Electric Utilities"/>
    <x v="0"/>
    <n v="89178555"/>
  </r>
  <r>
    <x v="18"/>
    <x v="24"/>
    <s v="Electric Generators, Electric Utilities"/>
    <x v="1"/>
    <n v="73246599"/>
  </r>
  <r>
    <x v="18"/>
    <x v="24"/>
    <s v="Electric Generators, Electric Utilities"/>
    <x v="2"/>
    <n v="2046773"/>
  </r>
  <r>
    <x v="18"/>
    <x v="24"/>
    <s v="Electric Generators, Electric Utilities"/>
    <x v="3"/>
    <n v="3847997"/>
  </r>
  <r>
    <x v="18"/>
    <x v="24"/>
    <s v="Electric Generators, Electric Utilities"/>
    <x v="7"/>
    <n v="9378629"/>
  </r>
  <r>
    <x v="18"/>
    <x v="24"/>
    <s v="Electric Generators, Electric Utilities"/>
    <x v="12"/>
    <n v="20393"/>
  </r>
  <r>
    <x v="18"/>
    <x v="24"/>
    <s v="Electric Generators, Electric Utilities"/>
    <x v="8"/>
    <n v="33603"/>
  </r>
  <r>
    <x v="18"/>
    <x v="24"/>
    <s v="Electric Generators, Electric Utilities"/>
    <x v="9"/>
    <n v="2587"/>
  </r>
  <r>
    <x v="18"/>
    <x v="24"/>
    <s v="Electric Generators, Electric Utilities"/>
    <x v="4"/>
    <n v="56620"/>
  </r>
  <r>
    <x v="18"/>
    <x v="24"/>
    <s v="Electric Generators, Electric Utilities"/>
    <x v="10"/>
    <n v="545355"/>
  </r>
  <r>
    <x v="18"/>
    <x v="24"/>
    <s v="Combined Heat and Power, Industrial Power"/>
    <x v="0"/>
    <n v="149688"/>
  </r>
  <r>
    <x v="18"/>
    <x v="24"/>
    <s v="Combined Heat and Power, Industrial Power"/>
    <x v="1"/>
    <n v="139756"/>
  </r>
  <r>
    <x v="18"/>
    <x v="24"/>
    <s v="Combined Heat and Power, Industrial Power"/>
    <x v="3"/>
    <n v="698"/>
  </r>
  <r>
    <x v="18"/>
    <x v="24"/>
    <s v="Combined Heat and Power, Industrial Power"/>
    <x v="8"/>
    <n v="7496"/>
  </r>
  <r>
    <x v="18"/>
    <x v="24"/>
    <s v="Combined Heat and Power, Industrial Power"/>
    <x v="4"/>
    <n v="125"/>
  </r>
  <r>
    <x v="18"/>
    <x v="24"/>
    <s v="Combined Heat and Power, Industrial Power"/>
    <x v="6"/>
    <n v="1613"/>
  </r>
  <r>
    <x v="18"/>
    <x v="24"/>
    <s v="Combined Heat and Power, Electric Power"/>
    <x v="0"/>
    <n v="126817"/>
  </r>
  <r>
    <x v="18"/>
    <x v="24"/>
    <s v="Combined Heat and Power, Electric Power"/>
    <x v="3"/>
    <n v="126817"/>
  </r>
  <r>
    <x v="18"/>
    <x v="24"/>
    <s v="Combined Heat and Power, Commercial Power"/>
    <x v="0"/>
    <n v="151060"/>
  </r>
  <r>
    <x v="18"/>
    <x v="24"/>
    <s v="Combined Heat and Power, Commercial Power"/>
    <x v="1"/>
    <n v="145306"/>
  </r>
  <r>
    <x v="18"/>
    <x v="24"/>
    <s v="Combined Heat and Power, Commercial Power"/>
    <x v="3"/>
    <n v="1262"/>
  </r>
  <r>
    <x v="18"/>
    <x v="24"/>
    <s v="Combined Heat and Power, Commercial Power"/>
    <x v="12"/>
    <n v="3815"/>
  </r>
  <r>
    <x v="18"/>
    <x v="24"/>
    <s v="Combined Heat and Power, Commercial Power"/>
    <x v="4"/>
    <n v="676"/>
  </r>
  <r>
    <x v="18"/>
    <x v="25"/>
    <s v="Total Electric Power Industry"/>
    <x v="0"/>
    <n v="48205711"/>
  </r>
  <r>
    <x v="18"/>
    <x v="25"/>
    <s v="Total Electric Power Industry"/>
    <x v="1"/>
    <n v="16683402"/>
  </r>
  <r>
    <x v="18"/>
    <x v="25"/>
    <s v="Total Electric Power Industry"/>
    <x v="3"/>
    <n v="20607427"/>
  </r>
  <r>
    <x v="18"/>
    <x v="25"/>
    <s v="Total Electric Power Industry"/>
    <x v="7"/>
    <n v="9396790"/>
  </r>
  <r>
    <x v="18"/>
    <x v="25"/>
    <s v="Total Electric Power Industry"/>
    <x v="12"/>
    <n v="10040"/>
  </r>
  <r>
    <x v="18"/>
    <x v="25"/>
    <s v="Total Electric Power Industry"/>
    <x v="8"/>
    <n v="5051"/>
  </r>
  <r>
    <x v="18"/>
    <x v="25"/>
    <s v="Total Electric Power Industry"/>
    <x v="9"/>
    <n v="40445"/>
  </r>
  <r>
    <x v="18"/>
    <x v="25"/>
    <s v="Total Electric Power Industry"/>
    <x v="4"/>
    <n v="76281"/>
  </r>
  <r>
    <x v="18"/>
    <x v="25"/>
    <s v="Total Electric Power Industry"/>
    <x v="6"/>
    <n v="1386275"/>
  </r>
  <r>
    <x v="18"/>
    <x v="25"/>
    <s v="Electric Generators, Independent Power Producers"/>
    <x v="0"/>
    <n v="12652637"/>
  </r>
  <r>
    <x v="18"/>
    <x v="25"/>
    <s v="Electric Generators, Independent Power Producers"/>
    <x v="1"/>
    <n v="2641866"/>
  </r>
  <r>
    <x v="18"/>
    <x v="25"/>
    <s v="Electric Generators, Independent Power Producers"/>
    <x v="3"/>
    <n v="10004649"/>
  </r>
  <r>
    <x v="18"/>
    <x v="25"/>
    <s v="Electric Generators, Independent Power Producers"/>
    <x v="12"/>
    <n v="6123"/>
  </r>
  <r>
    <x v="18"/>
    <x v="25"/>
    <s v="Electric Generators, Electric Utilities"/>
    <x v="0"/>
    <n v="33796221"/>
  </r>
  <r>
    <x v="18"/>
    <x v="25"/>
    <s v="Electric Generators, Electric Utilities"/>
    <x v="1"/>
    <n v="14033627"/>
  </r>
  <r>
    <x v="18"/>
    <x v="25"/>
    <s v="Electric Generators, Electric Utilities"/>
    <x v="3"/>
    <n v="10294163"/>
  </r>
  <r>
    <x v="18"/>
    <x v="25"/>
    <s v="Electric Generators, Electric Utilities"/>
    <x v="7"/>
    <n v="9396790"/>
  </r>
  <r>
    <x v="18"/>
    <x v="25"/>
    <s v="Electric Generators, Electric Utilities"/>
    <x v="4"/>
    <n v="71597"/>
  </r>
  <r>
    <x v="18"/>
    <x v="25"/>
    <s v="Electric Generators, Electric Utilities"/>
    <x v="6"/>
    <n v="44"/>
  </r>
  <r>
    <x v="18"/>
    <x v="25"/>
    <s v="Combined Heat and Power, Industrial Power"/>
    <x v="0"/>
    <n v="1744934"/>
  </r>
  <r>
    <x v="18"/>
    <x v="25"/>
    <s v="Combined Heat and Power, Industrial Power"/>
    <x v="1"/>
    <n v="7909"/>
  </r>
  <r>
    <x v="18"/>
    <x v="25"/>
    <s v="Combined Heat and Power, Industrial Power"/>
    <x v="3"/>
    <n v="296697"/>
  </r>
  <r>
    <x v="18"/>
    <x v="25"/>
    <s v="Combined Heat and Power, Industrial Power"/>
    <x v="12"/>
    <n v="3917"/>
  </r>
  <r>
    <x v="18"/>
    <x v="25"/>
    <s v="Combined Heat and Power, Industrial Power"/>
    <x v="8"/>
    <n v="5051"/>
  </r>
  <r>
    <x v="18"/>
    <x v="25"/>
    <s v="Combined Heat and Power, Industrial Power"/>
    <x v="9"/>
    <n v="40445"/>
  </r>
  <r>
    <x v="18"/>
    <x v="25"/>
    <s v="Combined Heat and Power, Industrial Power"/>
    <x v="4"/>
    <n v="4684"/>
  </r>
  <r>
    <x v="18"/>
    <x v="25"/>
    <s v="Combined Heat and Power, Industrial Power"/>
    <x v="6"/>
    <n v="1386231"/>
  </r>
  <r>
    <x v="18"/>
    <x v="25"/>
    <s v="Combined Heat and Power, Commercial Power"/>
    <x v="0"/>
    <n v="11918"/>
  </r>
  <r>
    <x v="18"/>
    <x v="25"/>
    <s v="Combined Heat and Power, Commercial Power"/>
    <x v="3"/>
    <n v="11918"/>
  </r>
  <r>
    <x v="18"/>
    <x v="26"/>
    <s v="Total Electric Power Industry"/>
    <x v="0"/>
    <n v="29637137"/>
  </r>
  <r>
    <x v="18"/>
    <x v="26"/>
    <s v="Total Electric Power Industry"/>
    <x v="1"/>
    <n v="18331532"/>
  </r>
  <r>
    <x v="18"/>
    <x v="26"/>
    <s v="Total Electric Power Industry"/>
    <x v="2"/>
    <n v="9999557"/>
  </r>
  <r>
    <x v="18"/>
    <x v="26"/>
    <s v="Total Electric Power Industry"/>
    <x v="3"/>
    <n v="65659"/>
  </r>
  <r>
    <x v="18"/>
    <x v="26"/>
    <s v="Total Electric Power Industry"/>
    <x v="12"/>
    <n v="111371"/>
  </r>
  <r>
    <x v="18"/>
    <x v="26"/>
    <s v="Total Electric Power Industry"/>
    <x v="9"/>
    <n v="5772"/>
  </r>
  <r>
    <x v="18"/>
    <x v="26"/>
    <s v="Total Electric Power Industry"/>
    <x v="4"/>
    <n v="419150"/>
  </r>
  <r>
    <x v="18"/>
    <x v="26"/>
    <s v="Total Electric Power Industry"/>
    <x v="5"/>
    <n v="593138"/>
  </r>
  <r>
    <x v="18"/>
    <x v="26"/>
    <s v="Total Electric Power Industry"/>
    <x v="6"/>
    <n v="110958"/>
  </r>
  <r>
    <x v="18"/>
    <x v="26"/>
    <s v="Electric Generators, Independent Power Producers"/>
    <x v="0"/>
    <n v="22201776"/>
  </r>
  <r>
    <x v="18"/>
    <x v="26"/>
    <s v="Electric Generators, Independent Power Producers"/>
    <x v="1"/>
    <n v="18000899"/>
  </r>
  <r>
    <x v="18"/>
    <x v="26"/>
    <s v="Electric Generators, Independent Power Producers"/>
    <x v="2"/>
    <n v="3432611"/>
  </r>
  <r>
    <x v="18"/>
    <x v="26"/>
    <s v="Electric Generators, Independent Power Producers"/>
    <x v="3"/>
    <n v="50650"/>
  </r>
  <r>
    <x v="18"/>
    <x v="26"/>
    <s v="Electric Generators, Independent Power Producers"/>
    <x v="12"/>
    <n v="111371"/>
  </r>
  <r>
    <x v="18"/>
    <x v="26"/>
    <s v="Electric Generators, Independent Power Producers"/>
    <x v="4"/>
    <n v="13107"/>
  </r>
  <r>
    <x v="18"/>
    <x v="26"/>
    <s v="Electric Generators, Independent Power Producers"/>
    <x v="5"/>
    <n v="593138"/>
  </r>
  <r>
    <x v="18"/>
    <x v="26"/>
    <s v="Electric Generators, Electric Utilities"/>
    <x v="0"/>
    <n v="6902037"/>
  </r>
  <r>
    <x v="18"/>
    <x v="26"/>
    <s v="Electric Generators, Electric Utilities"/>
    <x v="1"/>
    <n v="330634"/>
  </r>
  <r>
    <x v="18"/>
    <x v="26"/>
    <s v="Electric Generators, Electric Utilities"/>
    <x v="2"/>
    <n v="6566946"/>
  </r>
  <r>
    <x v="18"/>
    <x v="26"/>
    <s v="Electric Generators, Electric Utilities"/>
    <x v="3"/>
    <n v="3430"/>
  </r>
  <r>
    <x v="18"/>
    <x v="26"/>
    <s v="Electric Generators, Electric Utilities"/>
    <x v="4"/>
    <n v="1027"/>
  </r>
  <r>
    <x v="18"/>
    <x v="26"/>
    <s v="Combined Heat and Power, Industrial Power"/>
    <x v="0"/>
    <n v="128382"/>
  </r>
  <r>
    <x v="18"/>
    <x v="26"/>
    <s v="Combined Heat and Power, Industrial Power"/>
    <x v="3"/>
    <n v="11578"/>
  </r>
  <r>
    <x v="18"/>
    <x v="26"/>
    <s v="Combined Heat and Power, Industrial Power"/>
    <x v="9"/>
    <n v="5578"/>
  </r>
  <r>
    <x v="18"/>
    <x v="26"/>
    <s v="Combined Heat and Power, Industrial Power"/>
    <x v="4"/>
    <n v="268"/>
  </r>
  <r>
    <x v="18"/>
    <x v="26"/>
    <s v="Combined Heat and Power, Industrial Power"/>
    <x v="6"/>
    <n v="110958"/>
  </r>
  <r>
    <x v="18"/>
    <x v="26"/>
    <s v="Combined Heat and Power, Electric Power"/>
    <x v="0"/>
    <n v="404942"/>
  </r>
  <r>
    <x v="18"/>
    <x v="26"/>
    <s v="Combined Heat and Power, Electric Power"/>
    <x v="9"/>
    <n v="194"/>
  </r>
  <r>
    <x v="18"/>
    <x v="26"/>
    <s v="Combined Heat and Power, Electric Power"/>
    <x v="4"/>
    <n v="404748"/>
  </r>
  <r>
    <x v="18"/>
    <x v="27"/>
    <s v="Total Electric Power Industry"/>
    <x v="0"/>
    <n v="125239063"/>
  </r>
  <r>
    <x v="18"/>
    <x v="27"/>
    <s v="Total Electric Power Industry"/>
    <x v="1"/>
    <n v="75814787"/>
  </r>
  <r>
    <x v="18"/>
    <x v="27"/>
    <s v="Total Electric Power Industry"/>
    <x v="2"/>
    <n v="3033642"/>
  </r>
  <r>
    <x v="18"/>
    <x v="27"/>
    <s v="Total Electric Power Industry"/>
    <x v="3"/>
    <n v="4177342"/>
  </r>
  <r>
    <x v="18"/>
    <x v="27"/>
    <s v="Total Electric Power Industry"/>
    <x v="7"/>
    <n v="39776280"/>
  </r>
  <r>
    <x v="18"/>
    <x v="27"/>
    <s v="Total Electric Power Industry"/>
    <x v="12"/>
    <n v="315642"/>
  </r>
  <r>
    <x v="18"/>
    <x v="27"/>
    <s v="Total Electric Power Industry"/>
    <x v="8"/>
    <n v="120482"/>
  </r>
  <r>
    <x v="18"/>
    <x v="27"/>
    <s v="Total Electric Power Industry"/>
    <x v="9"/>
    <n v="0"/>
  </r>
  <r>
    <x v="18"/>
    <x v="27"/>
    <s v="Total Electric Power Industry"/>
    <x v="4"/>
    <n v="320221"/>
  </r>
  <r>
    <x v="18"/>
    <x v="27"/>
    <s v="Total Electric Power Industry"/>
    <x v="10"/>
    <n v="-121064"/>
  </r>
  <r>
    <x v="18"/>
    <x v="27"/>
    <s v="Total Electric Power Industry"/>
    <x v="13"/>
    <n v="1801"/>
  </r>
  <r>
    <x v="18"/>
    <x v="27"/>
    <s v="Total Electric Power Industry"/>
    <x v="6"/>
    <n v="1799930"/>
  </r>
  <r>
    <x v="18"/>
    <x v="27"/>
    <s v="Electric Generators, Independent Power Producers"/>
    <x v="0"/>
    <n v="1397821"/>
  </r>
  <r>
    <x v="18"/>
    <x v="27"/>
    <s v="Electric Generators, Independent Power Producers"/>
    <x v="2"/>
    <n v="15938"/>
  </r>
  <r>
    <x v="18"/>
    <x v="27"/>
    <s v="Electric Generators, Independent Power Producers"/>
    <x v="3"/>
    <n v="907378"/>
  </r>
  <r>
    <x v="18"/>
    <x v="27"/>
    <s v="Electric Generators, Independent Power Producers"/>
    <x v="12"/>
    <n v="10614"/>
  </r>
  <r>
    <x v="18"/>
    <x v="27"/>
    <s v="Electric Generators, Independent Power Producers"/>
    <x v="8"/>
    <n v="107025"/>
  </r>
  <r>
    <x v="18"/>
    <x v="27"/>
    <s v="Electric Generators, Independent Power Producers"/>
    <x v="9"/>
    <n v="0"/>
  </r>
  <r>
    <x v="18"/>
    <x v="27"/>
    <s v="Electric Generators, Independent Power Producers"/>
    <x v="4"/>
    <n v="2643"/>
  </r>
  <r>
    <x v="18"/>
    <x v="27"/>
    <s v="Electric Generators, Independent Power Producers"/>
    <x v="13"/>
    <n v="1801"/>
  </r>
  <r>
    <x v="18"/>
    <x v="27"/>
    <s v="Electric Generators, Independent Power Producers"/>
    <x v="6"/>
    <n v="352422"/>
  </r>
  <r>
    <x v="18"/>
    <x v="27"/>
    <s v="Electric Generators, Electric Utilities"/>
    <x v="0"/>
    <n v="118778090"/>
  </r>
  <r>
    <x v="18"/>
    <x v="27"/>
    <s v="Electric Generators, Electric Utilities"/>
    <x v="1"/>
    <n v="72625233"/>
  </r>
  <r>
    <x v="18"/>
    <x v="27"/>
    <s v="Electric Generators, Electric Utilities"/>
    <x v="2"/>
    <n v="3007639"/>
  </r>
  <r>
    <x v="18"/>
    <x v="27"/>
    <s v="Electric Generators, Electric Utilities"/>
    <x v="3"/>
    <n v="3257556"/>
  </r>
  <r>
    <x v="18"/>
    <x v="27"/>
    <s v="Electric Generators, Electric Utilities"/>
    <x v="7"/>
    <n v="39776280"/>
  </r>
  <r>
    <x v="18"/>
    <x v="27"/>
    <s v="Electric Generators, Electric Utilities"/>
    <x v="4"/>
    <n v="232446"/>
  </r>
  <r>
    <x v="18"/>
    <x v="27"/>
    <s v="Electric Generators, Electric Utilities"/>
    <x v="10"/>
    <n v="-121064"/>
  </r>
  <r>
    <x v="18"/>
    <x v="27"/>
    <s v="Combined Heat and Power, Industrial Power"/>
    <x v="0"/>
    <n v="2044048"/>
  </r>
  <r>
    <x v="18"/>
    <x v="27"/>
    <s v="Combined Heat and Power, Industrial Power"/>
    <x v="1"/>
    <n v="304665"/>
  </r>
  <r>
    <x v="18"/>
    <x v="27"/>
    <s v="Combined Heat and Power, Industrial Power"/>
    <x v="2"/>
    <n v="2443"/>
  </r>
  <r>
    <x v="18"/>
    <x v="27"/>
    <s v="Combined Heat and Power, Industrial Power"/>
    <x v="3"/>
    <n v="11817"/>
  </r>
  <r>
    <x v="18"/>
    <x v="27"/>
    <s v="Combined Heat and Power, Industrial Power"/>
    <x v="12"/>
    <n v="241306"/>
  </r>
  <r>
    <x v="18"/>
    <x v="27"/>
    <s v="Combined Heat and Power, Industrial Power"/>
    <x v="8"/>
    <n v="0"/>
  </r>
  <r>
    <x v="18"/>
    <x v="27"/>
    <s v="Combined Heat and Power, Industrial Power"/>
    <x v="4"/>
    <n v="83244"/>
  </r>
  <r>
    <x v="18"/>
    <x v="27"/>
    <s v="Combined Heat and Power, Industrial Power"/>
    <x v="6"/>
    <n v="1400573"/>
  </r>
  <r>
    <x v="18"/>
    <x v="27"/>
    <s v="Combined Heat and Power, Electric Power"/>
    <x v="0"/>
    <n v="2929299"/>
  </r>
  <r>
    <x v="18"/>
    <x v="27"/>
    <s v="Combined Heat and Power, Electric Power"/>
    <x v="1"/>
    <n v="2803365"/>
  </r>
  <r>
    <x v="18"/>
    <x v="27"/>
    <s v="Combined Heat and Power, Electric Power"/>
    <x v="12"/>
    <n v="63722"/>
  </r>
  <r>
    <x v="18"/>
    <x v="27"/>
    <s v="Combined Heat and Power, Electric Power"/>
    <x v="8"/>
    <n v="13457"/>
  </r>
  <r>
    <x v="18"/>
    <x v="27"/>
    <s v="Combined Heat and Power, Electric Power"/>
    <x v="4"/>
    <n v="1820"/>
  </r>
  <r>
    <x v="18"/>
    <x v="27"/>
    <s v="Combined Heat and Power, Electric Power"/>
    <x v="6"/>
    <n v="46935"/>
  </r>
  <r>
    <x v="18"/>
    <x v="27"/>
    <s v="Combined Heat and Power, Commercial Power"/>
    <x v="0"/>
    <n v="89804"/>
  </r>
  <r>
    <x v="18"/>
    <x v="27"/>
    <s v="Combined Heat and Power, Commercial Power"/>
    <x v="1"/>
    <n v="81523"/>
  </r>
  <r>
    <x v="18"/>
    <x v="27"/>
    <s v="Combined Heat and Power, Commercial Power"/>
    <x v="2"/>
    <n v="7622"/>
  </r>
  <r>
    <x v="18"/>
    <x v="27"/>
    <s v="Combined Heat and Power, Commercial Power"/>
    <x v="3"/>
    <n v="591"/>
  </r>
  <r>
    <x v="18"/>
    <x v="27"/>
    <s v="Combined Heat and Power, Commercial Power"/>
    <x v="4"/>
    <n v="68"/>
  </r>
  <r>
    <x v="18"/>
    <x v="28"/>
    <s v="Total Electric Power Industry"/>
    <x v="0"/>
    <n v="32734579"/>
  </r>
  <r>
    <x v="18"/>
    <x v="28"/>
    <s v="Total Electric Power Industry"/>
    <x v="1"/>
    <n v="29672230"/>
  </r>
  <r>
    <x v="18"/>
    <x v="28"/>
    <s v="Total Electric Power Industry"/>
    <x v="2"/>
    <n v="1252790"/>
  </r>
  <r>
    <x v="18"/>
    <x v="28"/>
    <s v="Total Electric Power Industry"/>
    <x v="3"/>
    <n v="-51"/>
  </r>
  <r>
    <x v="18"/>
    <x v="28"/>
    <s v="Total Electric Power Industry"/>
    <x v="12"/>
    <n v="54133"/>
  </r>
  <r>
    <x v="18"/>
    <x v="28"/>
    <s v="Total Electric Power Industry"/>
    <x v="8"/>
    <n v="12927"/>
  </r>
  <r>
    <x v="18"/>
    <x v="28"/>
    <s v="Total Electric Power Industry"/>
    <x v="9"/>
    <n v="0"/>
  </r>
  <r>
    <x v="18"/>
    <x v="28"/>
    <s v="Total Electric Power Industry"/>
    <x v="4"/>
    <n v="49092"/>
  </r>
  <r>
    <x v="18"/>
    <x v="28"/>
    <s v="Total Electric Power Industry"/>
    <x v="5"/>
    <n v="1693458"/>
  </r>
  <r>
    <x v="18"/>
    <x v="28"/>
    <s v="Electric Generators, Independent Power Producers"/>
    <x v="0"/>
    <n v="1686577"/>
  </r>
  <r>
    <x v="18"/>
    <x v="28"/>
    <s v="Electric Generators, Independent Power Producers"/>
    <x v="5"/>
    <n v="1686577"/>
  </r>
  <r>
    <x v="18"/>
    <x v="28"/>
    <s v="Electric Generators, Electric Utilities"/>
    <x v="0"/>
    <n v="30852784"/>
  </r>
  <r>
    <x v="18"/>
    <x v="28"/>
    <s v="Electric Generators, Electric Utilities"/>
    <x v="1"/>
    <n v="29551647"/>
  </r>
  <r>
    <x v="18"/>
    <x v="28"/>
    <s v="Electric Generators, Electric Utilities"/>
    <x v="2"/>
    <n v="1252790"/>
  </r>
  <r>
    <x v="18"/>
    <x v="28"/>
    <s v="Electric Generators, Electric Utilities"/>
    <x v="3"/>
    <n v="-51"/>
  </r>
  <r>
    <x v="18"/>
    <x v="28"/>
    <s v="Electric Generators, Electric Utilities"/>
    <x v="12"/>
    <n v="540"/>
  </r>
  <r>
    <x v="18"/>
    <x v="28"/>
    <s v="Electric Generators, Electric Utilities"/>
    <x v="4"/>
    <n v="40977"/>
  </r>
  <r>
    <x v="18"/>
    <x v="28"/>
    <s v="Electric Generators, Electric Utilities"/>
    <x v="5"/>
    <n v="6881"/>
  </r>
  <r>
    <x v="18"/>
    <x v="28"/>
    <s v="Combined Heat and Power, Industrial Power"/>
    <x v="0"/>
    <n v="194932"/>
  </r>
  <r>
    <x v="18"/>
    <x v="28"/>
    <s v="Combined Heat and Power, Industrial Power"/>
    <x v="1"/>
    <n v="120583"/>
  </r>
  <r>
    <x v="18"/>
    <x v="28"/>
    <s v="Combined Heat and Power, Industrial Power"/>
    <x v="3"/>
    <n v="0"/>
  </r>
  <r>
    <x v="18"/>
    <x v="28"/>
    <s v="Combined Heat and Power, Industrial Power"/>
    <x v="12"/>
    <n v="53593"/>
  </r>
  <r>
    <x v="18"/>
    <x v="28"/>
    <s v="Combined Heat and Power, Industrial Power"/>
    <x v="8"/>
    <n v="12927"/>
  </r>
  <r>
    <x v="18"/>
    <x v="28"/>
    <s v="Combined Heat and Power, Industrial Power"/>
    <x v="9"/>
    <n v="0"/>
  </r>
  <r>
    <x v="18"/>
    <x v="28"/>
    <s v="Combined Heat and Power, Industrial Power"/>
    <x v="4"/>
    <n v="7829"/>
  </r>
  <r>
    <x v="18"/>
    <x v="28"/>
    <s v="Combined Heat and Power, Commercial Power"/>
    <x v="0"/>
    <n v="286"/>
  </r>
  <r>
    <x v="18"/>
    <x v="28"/>
    <s v="Combined Heat and Power, Commercial Power"/>
    <x v="4"/>
    <n v="286"/>
  </r>
  <r>
    <x v="18"/>
    <x v="29"/>
    <s v="Total Electric Power Industry"/>
    <x v="0"/>
    <n v="32373522"/>
  </r>
  <r>
    <x v="18"/>
    <x v="29"/>
    <s v="Total Electric Power Industry"/>
    <x v="1"/>
    <n v="21479773"/>
  </r>
  <r>
    <x v="18"/>
    <x v="29"/>
    <s v="Total Electric Power Industry"/>
    <x v="2"/>
    <n v="346456"/>
  </r>
  <r>
    <x v="18"/>
    <x v="29"/>
    <s v="Total Electric Power Industry"/>
    <x v="3"/>
    <n v="758487"/>
  </r>
  <r>
    <x v="18"/>
    <x v="29"/>
    <s v="Total Electric Power Industry"/>
    <x v="7"/>
    <n v="9479039"/>
  </r>
  <r>
    <x v="18"/>
    <x v="29"/>
    <s v="Total Electric Power Industry"/>
    <x v="8"/>
    <n v="60929"/>
  </r>
  <r>
    <x v="18"/>
    <x v="29"/>
    <s v="Total Electric Power Industry"/>
    <x v="9"/>
    <n v="0"/>
  </r>
  <r>
    <x v="18"/>
    <x v="29"/>
    <s v="Total Electric Power Industry"/>
    <x v="4"/>
    <n v="34655"/>
  </r>
  <r>
    <x v="18"/>
    <x v="29"/>
    <s v="Total Electric Power Industry"/>
    <x v="5"/>
    <n v="214184"/>
  </r>
  <r>
    <x v="18"/>
    <x v="29"/>
    <s v="Electric Generators, Electric Utilities"/>
    <x v="0"/>
    <n v="32355676"/>
  </r>
  <r>
    <x v="18"/>
    <x v="29"/>
    <s v="Electric Generators, Electric Utilities"/>
    <x v="1"/>
    <n v="21479723"/>
  </r>
  <r>
    <x v="18"/>
    <x v="29"/>
    <s v="Electric Generators, Electric Utilities"/>
    <x v="2"/>
    <n v="346456"/>
  </r>
  <r>
    <x v="18"/>
    <x v="29"/>
    <s v="Electric Generators, Electric Utilities"/>
    <x v="3"/>
    <n v="757060"/>
  </r>
  <r>
    <x v="18"/>
    <x v="29"/>
    <s v="Electric Generators, Electric Utilities"/>
    <x v="7"/>
    <n v="9479039"/>
  </r>
  <r>
    <x v="18"/>
    <x v="29"/>
    <s v="Electric Generators, Electric Utilities"/>
    <x v="8"/>
    <n v="44559"/>
  </r>
  <r>
    <x v="18"/>
    <x v="29"/>
    <s v="Electric Generators, Electric Utilities"/>
    <x v="9"/>
    <n v="0"/>
  </r>
  <r>
    <x v="18"/>
    <x v="29"/>
    <s v="Electric Generators, Electric Utilities"/>
    <x v="4"/>
    <n v="34655"/>
  </r>
  <r>
    <x v="18"/>
    <x v="29"/>
    <s v="Electric Generators, Electric Utilities"/>
    <x v="5"/>
    <n v="214184"/>
  </r>
  <r>
    <x v="18"/>
    <x v="29"/>
    <s v="Combined Heat and Power, Industrial Power"/>
    <x v="0"/>
    <n v="49"/>
  </r>
  <r>
    <x v="18"/>
    <x v="29"/>
    <s v="Combined Heat and Power, Industrial Power"/>
    <x v="1"/>
    <n v="49"/>
  </r>
  <r>
    <x v="18"/>
    <x v="29"/>
    <s v="Combined Heat and Power, Electric Power"/>
    <x v="0"/>
    <n v="4873"/>
  </r>
  <r>
    <x v="18"/>
    <x v="29"/>
    <s v="Combined Heat and Power, Electric Power"/>
    <x v="3"/>
    <n v="1365"/>
  </r>
  <r>
    <x v="18"/>
    <x v="29"/>
    <s v="Combined Heat and Power, Electric Power"/>
    <x v="8"/>
    <n v="3508"/>
  </r>
  <r>
    <x v="18"/>
    <x v="29"/>
    <s v="Combined Heat and Power, Commercial Power"/>
    <x v="0"/>
    <n v="12924"/>
  </r>
  <r>
    <x v="18"/>
    <x v="29"/>
    <s v="Combined Heat and Power, Commercial Power"/>
    <x v="3"/>
    <n v="63"/>
  </r>
  <r>
    <x v="18"/>
    <x v="29"/>
    <s v="Combined Heat and Power, Commercial Power"/>
    <x v="8"/>
    <n v="12861"/>
  </r>
  <r>
    <x v="18"/>
    <x v="30"/>
    <s v="Total Electric Power Industry"/>
    <x v="0"/>
    <n v="22876992"/>
  </r>
  <r>
    <x v="18"/>
    <x v="30"/>
    <s v="Total Electric Power Industry"/>
    <x v="1"/>
    <n v="3450770"/>
  </r>
  <r>
    <x v="18"/>
    <x v="30"/>
    <s v="Total Electric Power Industry"/>
    <x v="2"/>
    <n v="1633224"/>
  </r>
  <r>
    <x v="18"/>
    <x v="30"/>
    <s v="Total Electric Power Industry"/>
    <x v="3"/>
    <n v="7073351"/>
  </r>
  <r>
    <x v="18"/>
    <x v="30"/>
    <s v="Total Electric Power Industry"/>
    <x v="7"/>
    <n v="9350314"/>
  </r>
  <r>
    <x v="18"/>
    <x v="30"/>
    <s v="Total Electric Power Industry"/>
    <x v="12"/>
    <n v="58068"/>
  </r>
  <r>
    <x v="18"/>
    <x v="30"/>
    <s v="Total Electric Power Industry"/>
    <x v="8"/>
    <n v="155025"/>
  </r>
  <r>
    <x v="18"/>
    <x v="30"/>
    <s v="Total Electric Power Industry"/>
    <x v="4"/>
    <n v="136281"/>
  </r>
  <r>
    <x v="18"/>
    <x v="30"/>
    <s v="Total Electric Power Industry"/>
    <x v="5"/>
    <n v="10319"/>
  </r>
  <r>
    <x v="18"/>
    <x v="30"/>
    <s v="Total Electric Power Industry"/>
    <x v="6"/>
    <n v="1009640"/>
  </r>
  <r>
    <x v="18"/>
    <x v="30"/>
    <s v="Electric Generators, Independent Power Producers"/>
    <x v="0"/>
    <n v="18471030"/>
  </r>
  <r>
    <x v="18"/>
    <x v="30"/>
    <s v="Electric Generators, Independent Power Producers"/>
    <x v="2"/>
    <n v="1229504"/>
  </r>
  <r>
    <x v="18"/>
    <x v="30"/>
    <s v="Electric Generators, Independent Power Producers"/>
    <x v="3"/>
    <n v="7036180"/>
  </r>
  <r>
    <x v="18"/>
    <x v="30"/>
    <s v="Electric Generators, Independent Power Producers"/>
    <x v="7"/>
    <n v="9350314"/>
  </r>
  <r>
    <x v="18"/>
    <x v="30"/>
    <s v="Electric Generators, Independent Power Producers"/>
    <x v="12"/>
    <n v="58068"/>
  </r>
  <r>
    <x v="18"/>
    <x v="30"/>
    <s v="Electric Generators, Independent Power Producers"/>
    <x v="8"/>
    <n v="155025"/>
  </r>
  <r>
    <x v="18"/>
    <x v="30"/>
    <s v="Electric Generators, Independent Power Producers"/>
    <x v="4"/>
    <n v="6269"/>
  </r>
  <r>
    <x v="18"/>
    <x v="30"/>
    <s v="Electric Generators, Independent Power Producers"/>
    <x v="5"/>
    <n v="10319"/>
  </r>
  <r>
    <x v="18"/>
    <x v="30"/>
    <s v="Electric Generators, Independent Power Producers"/>
    <x v="6"/>
    <n v="625352"/>
  </r>
  <r>
    <x v="18"/>
    <x v="30"/>
    <s v="Electric Generators, Electric Utilities"/>
    <x v="0"/>
    <n v="4348148"/>
  </r>
  <r>
    <x v="18"/>
    <x v="30"/>
    <s v="Electric Generators, Electric Utilities"/>
    <x v="1"/>
    <n v="3450770"/>
  </r>
  <r>
    <x v="18"/>
    <x v="30"/>
    <s v="Electric Generators, Electric Utilities"/>
    <x v="2"/>
    <n v="396042"/>
  </r>
  <r>
    <x v="18"/>
    <x v="30"/>
    <s v="Electric Generators, Electric Utilities"/>
    <x v="3"/>
    <n v="5992"/>
  </r>
  <r>
    <x v="18"/>
    <x v="30"/>
    <s v="Electric Generators, Electric Utilities"/>
    <x v="4"/>
    <n v="111375"/>
  </r>
  <r>
    <x v="18"/>
    <x v="30"/>
    <s v="Electric Generators, Electric Utilities"/>
    <x v="6"/>
    <n v="383970"/>
  </r>
  <r>
    <x v="18"/>
    <x v="30"/>
    <s v="Combined Heat and Power, Industrial Power"/>
    <x v="0"/>
    <n v="39972"/>
  </r>
  <r>
    <x v="18"/>
    <x v="30"/>
    <s v="Combined Heat and Power, Industrial Power"/>
    <x v="2"/>
    <n v="7678"/>
  </r>
  <r>
    <x v="18"/>
    <x v="30"/>
    <s v="Combined Heat and Power, Industrial Power"/>
    <x v="3"/>
    <n v="31179"/>
  </r>
  <r>
    <x v="18"/>
    <x v="30"/>
    <s v="Combined Heat and Power, Industrial Power"/>
    <x v="4"/>
    <n v="797"/>
  </r>
  <r>
    <x v="18"/>
    <x v="30"/>
    <s v="Combined Heat and Power, Industrial Power"/>
    <x v="6"/>
    <n v="318"/>
  </r>
  <r>
    <x v="18"/>
    <x v="30"/>
    <s v="Combined Heat and Power, Commercial Power"/>
    <x v="0"/>
    <n v="17841"/>
  </r>
  <r>
    <x v="18"/>
    <x v="30"/>
    <s v="Combined Heat and Power, Commercial Power"/>
    <x v="4"/>
    <n v="17841"/>
  </r>
  <r>
    <x v="18"/>
    <x v="31"/>
    <s v="Total Electric Power Industry"/>
    <x v="0"/>
    <n v="63674789"/>
  </r>
  <r>
    <x v="18"/>
    <x v="31"/>
    <s v="Total Electric Power Industry"/>
    <x v="1"/>
    <n v="9028491"/>
  </r>
  <r>
    <x v="18"/>
    <x v="31"/>
    <s v="Total Electric Power Industry"/>
    <x v="2"/>
    <n v="25773"/>
  </r>
  <r>
    <x v="18"/>
    <x v="31"/>
    <s v="Total Electric Power Industry"/>
    <x v="3"/>
    <n v="20751755"/>
  </r>
  <r>
    <x v="18"/>
    <x v="31"/>
    <s v="Total Electric Power Industry"/>
    <x v="7"/>
    <n v="32194798"/>
  </r>
  <r>
    <x v="18"/>
    <x v="31"/>
    <s v="Total Electric Power Industry"/>
    <x v="12"/>
    <n v="559390"/>
  </r>
  <r>
    <x v="18"/>
    <x v="31"/>
    <s v="Total Electric Power Industry"/>
    <x v="8"/>
    <n v="881736"/>
  </r>
  <r>
    <x v="18"/>
    <x v="31"/>
    <s v="Total Electric Power Industry"/>
    <x v="9"/>
    <n v="158826"/>
  </r>
  <r>
    <x v="18"/>
    <x v="31"/>
    <s v="Total Electric Power Industry"/>
    <x v="4"/>
    <n v="325312"/>
  </r>
  <r>
    <x v="18"/>
    <x v="31"/>
    <s v="Total Electric Power Industry"/>
    <x v="10"/>
    <n v="-274845"/>
  </r>
  <r>
    <x v="18"/>
    <x v="31"/>
    <s v="Total Electric Power Industry"/>
    <x v="13"/>
    <n v="2669"/>
  </r>
  <r>
    <x v="18"/>
    <x v="31"/>
    <s v="Total Electric Power Industry"/>
    <x v="5"/>
    <n v="20885"/>
  </r>
  <r>
    <x v="18"/>
    <x v="31"/>
    <s v="Electric Generators, Independent Power Producers"/>
    <x v="0"/>
    <n v="52291974"/>
  </r>
  <r>
    <x v="18"/>
    <x v="31"/>
    <s v="Electric Generators, Independent Power Producers"/>
    <x v="1"/>
    <n v="5354702"/>
  </r>
  <r>
    <x v="18"/>
    <x v="31"/>
    <s v="Electric Generators, Independent Power Producers"/>
    <x v="2"/>
    <n v="25773"/>
  </r>
  <r>
    <x v="18"/>
    <x v="31"/>
    <s v="Electric Generators, Independent Power Producers"/>
    <x v="3"/>
    <n v="13114363"/>
  </r>
  <r>
    <x v="18"/>
    <x v="31"/>
    <s v="Electric Generators, Independent Power Producers"/>
    <x v="7"/>
    <n v="32194798"/>
  </r>
  <r>
    <x v="18"/>
    <x v="31"/>
    <s v="Electric Generators, Independent Power Producers"/>
    <x v="12"/>
    <n v="496494"/>
  </r>
  <r>
    <x v="18"/>
    <x v="31"/>
    <s v="Electric Generators, Independent Power Producers"/>
    <x v="8"/>
    <n v="878731"/>
  </r>
  <r>
    <x v="18"/>
    <x v="31"/>
    <s v="Electric Generators, Independent Power Producers"/>
    <x v="4"/>
    <n v="203558"/>
  </r>
  <r>
    <x v="18"/>
    <x v="31"/>
    <s v="Electric Generators, Independent Power Producers"/>
    <x v="13"/>
    <n v="2669"/>
  </r>
  <r>
    <x v="18"/>
    <x v="31"/>
    <s v="Electric Generators, Independent Power Producers"/>
    <x v="5"/>
    <n v="20885"/>
  </r>
  <r>
    <x v="18"/>
    <x v="31"/>
    <s v="Electric Generators, Electric Utilities"/>
    <x v="0"/>
    <n v="-206308"/>
  </r>
  <r>
    <x v="18"/>
    <x v="31"/>
    <s v="Electric Generators, Electric Utilities"/>
    <x v="1"/>
    <n v="39614"/>
  </r>
  <r>
    <x v="18"/>
    <x v="31"/>
    <s v="Electric Generators, Electric Utilities"/>
    <x v="3"/>
    <n v="14984"/>
  </r>
  <r>
    <x v="18"/>
    <x v="31"/>
    <s v="Electric Generators, Electric Utilities"/>
    <x v="4"/>
    <n v="13938"/>
  </r>
  <r>
    <x v="18"/>
    <x v="31"/>
    <s v="Electric Generators, Electric Utilities"/>
    <x v="10"/>
    <n v="-274845"/>
  </r>
  <r>
    <x v="18"/>
    <x v="31"/>
    <s v="Combined Heat and Power, Industrial Power"/>
    <x v="0"/>
    <n v="761694"/>
  </r>
  <r>
    <x v="18"/>
    <x v="31"/>
    <s v="Combined Heat and Power, Industrial Power"/>
    <x v="3"/>
    <n v="538285"/>
  </r>
  <r>
    <x v="18"/>
    <x v="31"/>
    <s v="Combined Heat and Power, Industrial Power"/>
    <x v="12"/>
    <n v="62896"/>
  </r>
  <r>
    <x v="18"/>
    <x v="31"/>
    <s v="Combined Heat and Power, Industrial Power"/>
    <x v="8"/>
    <n v="883"/>
  </r>
  <r>
    <x v="18"/>
    <x v="31"/>
    <s v="Combined Heat and Power, Industrial Power"/>
    <x v="9"/>
    <n v="158826"/>
  </r>
  <r>
    <x v="18"/>
    <x v="31"/>
    <s v="Combined Heat and Power, Industrial Power"/>
    <x v="4"/>
    <n v="805"/>
  </r>
  <r>
    <x v="18"/>
    <x v="31"/>
    <s v="Combined Heat and Power, Electric Power"/>
    <x v="0"/>
    <n v="10739832"/>
  </r>
  <r>
    <x v="18"/>
    <x v="31"/>
    <s v="Combined Heat and Power, Electric Power"/>
    <x v="1"/>
    <n v="3634174"/>
  </r>
  <r>
    <x v="18"/>
    <x v="31"/>
    <s v="Combined Heat and Power, Electric Power"/>
    <x v="3"/>
    <n v="6999850"/>
  </r>
  <r>
    <x v="18"/>
    <x v="31"/>
    <s v="Combined Heat and Power, Electric Power"/>
    <x v="9"/>
    <n v="0"/>
  </r>
  <r>
    <x v="18"/>
    <x v="31"/>
    <s v="Combined Heat and Power, Electric Power"/>
    <x v="4"/>
    <n v="105808"/>
  </r>
  <r>
    <x v="18"/>
    <x v="31"/>
    <s v="Combined Heat and Power, Commercial Power"/>
    <x v="0"/>
    <n v="87597"/>
  </r>
  <r>
    <x v="18"/>
    <x v="31"/>
    <s v="Combined Heat and Power, Commercial Power"/>
    <x v="3"/>
    <n v="84272"/>
  </r>
  <r>
    <x v="18"/>
    <x v="31"/>
    <s v="Combined Heat and Power, Commercial Power"/>
    <x v="8"/>
    <n v="2122"/>
  </r>
  <r>
    <x v="18"/>
    <x v="31"/>
    <s v="Combined Heat and Power, Commercial Power"/>
    <x v="4"/>
    <n v="1203"/>
  </r>
  <r>
    <x v="18"/>
    <x v="32"/>
    <s v="Total Electric Power Industry"/>
    <x v="0"/>
    <n v="37009837"/>
  </r>
  <r>
    <x v="18"/>
    <x v="32"/>
    <s v="Total Electric Power Industry"/>
    <x v="1"/>
    <n v="27014233"/>
  </r>
  <r>
    <x v="18"/>
    <x v="32"/>
    <s v="Total Electric Power Industry"/>
    <x v="2"/>
    <n v="312288"/>
  </r>
  <r>
    <x v="18"/>
    <x v="32"/>
    <s v="Total Electric Power Industry"/>
    <x v="3"/>
    <n v="7966007"/>
  </r>
  <r>
    <x v="18"/>
    <x v="32"/>
    <s v="Total Electric Power Industry"/>
    <x v="12"/>
    <n v="3049"/>
  </r>
  <r>
    <x v="18"/>
    <x v="32"/>
    <s v="Total Electric Power Industry"/>
    <x v="8"/>
    <n v="18885"/>
  </r>
  <r>
    <x v="18"/>
    <x v="32"/>
    <s v="Total Electric Power Industry"/>
    <x v="4"/>
    <n v="52589"/>
  </r>
  <r>
    <x v="18"/>
    <x v="32"/>
    <s v="Total Electric Power Industry"/>
    <x v="5"/>
    <n v="1642787"/>
  </r>
  <r>
    <x v="18"/>
    <x v="32"/>
    <s v="Electric Generators, Independent Power Producers"/>
    <x v="0"/>
    <n v="2420350"/>
  </r>
  <r>
    <x v="18"/>
    <x v="32"/>
    <s v="Electric Generators, Independent Power Producers"/>
    <x v="3"/>
    <n v="777020"/>
  </r>
  <r>
    <x v="18"/>
    <x v="32"/>
    <s v="Electric Generators, Independent Power Producers"/>
    <x v="4"/>
    <n v="543"/>
  </r>
  <r>
    <x v="18"/>
    <x v="32"/>
    <s v="Electric Generators, Independent Power Producers"/>
    <x v="5"/>
    <n v="1642787"/>
  </r>
  <r>
    <x v="18"/>
    <x v="32"/>
    <s v="Electric Generators, Electric Utilities"/>
    <x v="0"/>
    <n v="33844547"/>
  </r>
  <r>
    <x v="18"/>
    <x v="32"/>
    <s v="Electric Generators, Electric Utilities"/>
    <x v="1"/>
    <n v="27014233"/>
  </r>
  <r>
    <x v="18"/>
    <x v="32"/>
    <s v="Electric Generators, Electric Utilities"/>
    <x v="2"/>
    <n v="312288"/>
  </r>
  <r>
    <x v="18"/>
    <x v="32"/>
    <s v="Electric Generators, Electric Utilities"/>
    <x v="3"/>
    <n v="6466013"/>
  </r>
  <r>
    <x v="18"/>
    <x v="32"/>
    <s v="Electric Generators, Electric Utilities"/>
    <x v="4"/>
    <n v="52012"/>
  </r>
  <r>
    <x v="18"/>
    <x v="32"/>
    <s v="Combined Heat and Power, Industrial Power"/>
    <x v="0"/>
    <n v="229510"/>
  </r>
  <r>
    <x v="18"/>
    <x v="32"/>
    <s v="Combined Heat and Power, Industrial Power"/>
    <x v="3"/>
    <n v="226428"/>
  </r>
  <r>
    <x v="18"/>
    <x v="32"/>
    <s v="Combined Heat and Power, Industrial Power"/>
    <x v="12"/>
    <n v="3049"/>
  </r>
  <r>
    <x v="18"/>
    <x v="32"/>
    <s v="Combined Heat and Power, Industrial Power"/>
    <x v="4"/>
    <n v="33"/>
  </r>
  <r>
    <x v="18"/>
    <x v="32"/>
    <s v="Combined Heat and Power, Electric Power"/>
    <x v="0"/>
    <n v="464384"/>
  </r>
  <r>
    <x v="18"/>
    <x v="32"/>
    <s v="Combined Heat and Power, Electric Power"/>
    <x v="3"/>
    <n v="445499"/>
  </r>
  <r>
    <x v="18"/>
    <x v="32"/>
    <s v="Combined Heat and Power, Electric Power"/>
    <x v="8"/>
    <n v="18885"/>
  </r>
  <r>
    <x v="18"/>
    <x v="32"/>
    <s v="Combined Heat and Power, Commercial Power"/>
    <x v="0"/>
    <n v="51046"/>
  </r>
  <r>
    <x v="18"/>
    <x v="32"/>
    <s v="Combined Heat and Power, Commercial Power"/>
    <x v="3"/>
    <n v="51046"/>
  </r>
  <r>
    <x v="18"/>
    <x v="33"/>
    <s v="Total Electric Power Industry"/>
    <x v="0"/>
    <n v="35089974"/>
  </r>
  <r>
    <x v="18"/>
    <x v="33"/>
    <s v="Total Electric Power Industry"/>
    <x v="1"/>
    <n v="7812352"/>
  </r>
  <r>
    <x v="18"/>
    <x v="33"/>
    <s v="Total Electric Power Industry"/>
    <x v="11"/>
    <n v="1382820"/>
  </r>
  <r>
    <x v="18"/>
    <x v="33"/>
    <s v="Total Electric Power Industry"/>
    <x v="2"/>
    <n v="1750620"/>
  </r>
  <r>
    <x v="18"/>
    <x v="33"/>
    <s v="Total Electric Power Industry"/>
    <x v="3"/>
    <n v="23971911"/>
  </r>
  <r>
    <x v="18"/>
    <x v="33"/>
    <s v="Total Electric Power Industry"/>
    <x v="9"/>
    <n v="1987"/>
  </r>
  <r>
    <x v="18"/>
    <x v="33"/>
    <s v="Total Electric Power Industry"/>
    <x v="4"/>
    <n v="14270"/>
  </r>
  <r>
    <x v="18"/>
    <x v="33"/>
    <s v="Total Electric Power Industry"/>
    <x v="13"/>
    <n v="156013"/>
  </r>
  <r>
    <x v="18"/>
    <x v="33"/>
    <s v="Electric Generators, Independent Power Producers"/>
    <x v="0"/>
    <n v="9872122"/>
  </r>
  <r>
    <x v="18"/>
    <x v="33"/>
    <s v="Electric Generators, Independent Power Producers"/>
    <x v="1"/>
    <n v="927832"/>
  </r>
  <r>
    <x v="18"/>
    <x v="33"/>
    <s v="Electric Generators, Independent Power Producers"/>
    <x v="11"/>
    <n v="1382820"/>
  </r>
  <r>
    <x v="18"/>
    <x v="33"/>
    <s v="Electric Generators, Independent Power Producers"/>
    <x v="2"/>
    <n v="8131"/>
  </r>
  <r>
    <x v="18"/>
    <x v="33"/>
    <s v="Electric Generators, Independent Power Producers"/>
    <x v="3"/>
    <n v="7393276"/>
  </r>
  <r>
    <x v="18"/>
    <x v="33"/>
    <s v="Electric Generators, Independent Power Producers"/>
    <x v="4"/>
    <n v="4051"/>
  </r>
  <r>
    <x v="18"/>
    <x v="33"/>
    <s v="Electric Generators, Independent Power Producers"/>
    <x v="13"/>
    <n v="156013"/>
  </r>
  <r>
    <x v="18"/>
    <x v="33"/>
    <s v="Electric Generators, Electric Utilities"/>
    <x v="0"/>
    <n v="22979409"/>
  </r>
  <r>
    <x v="18"/>
    <x v="33"/>
    <s v="Electric Generators, Electric Utilities"/>
    <x v="1"/>
    <n v="6884521"/>
  </r>
  <r>
    <x v="18"/>
    <x v="33"/>
    <s v="Electric Generators, Electric Utilities"/>
    <x v="2"/>
    <n v="1742489"/>
  </r>
  <r>
    <x v="18"/>
    <x v="33"/>
    <s v="Electric Generators, Electric Utilities"/>
    <x v="3"/>
    <n v="14342535"/>
  </r>
  <r>
    <x v="18"/>
    <x v="33"/>
    <s v="Electric Generators, Electric Utilities"/>
    <x v="4"/>
    <n v="9865"/>
  </r>
  <r>
    <x v="18"/>
    <x v="33"/>
    <s v="Combined Heat and Power, Industrial Power"/>
    <x v="0"/>
    <n v="338507"/>
  </r>
  <r>
    <x v="18"/>
    <x v="33"/>
    <s v="Combined Heat and Power, Industrial Power"/>
    <x v="3"/>
    <n v="338507"/>
  </r>
  <r>
    <x v="18"/>
    <x v="33"/>
    <s v="Combined Heat and Power, Industrial Power"/>
    <x v="13"/>
    <n v="0"/>
  </r>
  <r>
    <x v="18"/>
    <x v="33"/>
    <s v="Combined Heat and Power, Electric Power"/>
    <x v="0"/>
    <n v="1899936"/>
  </r>
  <r>
    <x v="18"/>
    <x v="33"/>
    <s v="Combined Heat and Power, Electric Power"/>
    <x v="3"/>
    <n v="1897594"/>
  </r>
  <r>
    <x v="18"/>
    <x v="33"/>
    <s v="Combined Heat and Power, Electric Power"/>
    <x v="9"/>
    <n v="1987"/>
  </r>
  <r>
    <x v="18"/>
    <x v="33"/>
    <s v="Combined Heat and Power, Electric Power"/>
    <x v="4"/>
    <n v="355"/>
  </r>
  <r>
    <x v="18"/>
    <x v="34"/>
    <s v="Total Electric Power Industry"/>
    <x v="0"/>
    <n v="140322100"/>
  </r>
  <r>
    <x v="18"/>
    <x v="34"/>
    <s v="Total Electric Power Industry"/>
    <x v="1"/>
    <n v="19154125"/>
  </r>
  <r>
    <x v="18"/>
    <x v="34"/>
    <s v="Total Electric Power Industry"/>
    <x v="2"/>
    <n v="26723131"/>
  </r>
  <r>
    <x v="18"/>
    <x v="34"/>
    <s v="Total Electric Power Industry"/>
    <x v="3"/>
    <n v="43856460"/>
  </r>
  <r>
    <x v="18"/>
    <x v="34"/>
    <s v="Total Electric Power Industry"/>
    <x v="7"/>
    <n v="43209171"/>
  </r>
  <r>
    <x v="18"/>
    <x v="34"/>
    <s v="Total Electric Power Industry"/>
    <x v="12"/>
    <n v="987366"/>
  </r>
  <r>
    <x v="18"/>
    <x v="34"/>
    <s v="Total Electric Power Industry"/>
    <x v="8"/>
    <n v="1512860"/>
  </r>
  <r>
    <x v="18"/>
    <x v="34"/>
    <s v="Total Electric Power Industry"/>
    <x v="4"/>
    <n v="3745328"/>
  </r>
  <r>
    <x v="18"/>
    <x v="34"/>
    <s v="Total Electric Power Industry"/>
    <x v="10"/>
    <n v="-672139"/>
  </r>
  <r>
    <x v="18"/>
    <x v="34"/>
    <s v="Total Electric Power Industry"/>
    <x v="5"/>
    <n v="1250700"/>
  </r>
  <r>
    <x v="18"/>
    <x v="34"/>
    <s v="Total Electric Power Industry"/>
    <x v="6"/>
    <n v="555097"/>
  </r>
  <r>
    <x v="18"/>
    <x v="34"/>
    <s v="Electric Generators, Independent Power Producers"/>
    <x v="0"/>
    <n v="89612048"/>
  </r>
  <r>
    <x v="18"/>
    <x v="34"/>
    <s v="Electric Generators, Independent Power Producers"/>
    <x v="1"/>
    <n v="17538992"/>
  </r>
  <r>
    <x v="18"/>
    <x v="34"/>
    <s v="Electric Generators, Independent Power Producers"/>
    <x v="2"/>
    <n v="4951179"/>
  </r>
  <r>
    <x v="18"/>
    <x v="34"/>
    <s v="Electric Generators, Independent Power Producers"/>
    <x v="3"/>
    <n v="19077167"/>
  </r>
  <r>
    <x v="18"/>
    <x v="34"/>
    <s v="Electric Generators, Independent Power Producers"/>
    <x v="7"/>
    <n v="43209171"/>
  </r>
  <r>
    <x v="18"/>
    <x v="34"/>
    <s v="Electric Generators, Independent Power Producers"/>
    <x v="12"/>
    <n v="795777"/>
  </r>
  <r>
    <x v="18"/>
    <x v="34"/>
    <s v="Electric Generators, Independent Power Producers"/>
    <x v="8"/>
    <n v="1269021"/>
  </r>
  <r>
    <x v="18"/>
    <x v="34"/>
    <s v="Electric Generators, Independent Power Producers"/>
    <x v="4"/>
    <n v="1348617"/>
  </r>
  <r>
    <x v="18"/>
    <x v="34"/>
    <s v="Electric Generators, Independent Power Producers"/>
    <x v="5"/>
    <n v="1250700"/>
  </r>
  <r>
    <x v="18"/>
    <x v="34"/>
    <s v="Electric Generators, Independent Power Producers"/>
    <x v="6"/>
    <n v="171422"/>
  </r>
  <r>
    <x v="18"/>
    <x v="34"/>
    <s v="Electric Generators, Electric Utilities"/>
    <x v="0"/>
    <n v="38170043"/>
  </r>
  <r>
    <x v="18"/>
    <x v="34"/>
    <s v="Electric Generators, Electric Utilities"/>
    <x v="1"/>
    <n v="388760"/>
  </r>
  <r>
    <x v="18"/>
    <x v="34"/>
    <s v="Electric Generators, Electric Utilities"/>
    <x v="2"/>
    <n v="21703390"/>
  </r>
  <r>
    <x v="18"/>
    <x v="34"/>
    <s v="Electric Generators, Electric Utilities"/>
    <x v="3"/>
    <n v="14549728"/>
  </r>
  <r>
    <x v="18"/>
    <x v="34"/>
    <s v="Electric Generators, Electric Utilities"/>
    <x v="4"/>
    <n v="2200304"/>
  </r>
  <r>
    <x v="18"/>
    <x v="34"/>
    <s v="Electric Generators, Electric Utilities"/>
    <x v="10"/>
    <n v="-672139"/>
  </r>
  <r>
    <x v="18"/>
    <x v="34"/>
    <s v="Combined Heat and Power, Industrial Power"/>
    <x v="0"/>
    <n v="1154340"/>
  </r>
  <r>
    <x v="18"/>
    <x v="34"/>
    <s v="Combined Heat and Power, Industrial Power"/>
    <x v="1"/>
    <n v="480607"/>
  </r>
  <r>
    <x v="18"/>
    <x v="34"/>
    <s v="Combined Heat and Power, Industrial Power"/>
    <x v="2"/>
    <n v="68560"/>
  </r>
  <r>
    <x v="18"/>
    <x v="34"/>
    <s v="Combined Heat and Power, Industrial Power"/>
    <x v="3"/>
    <n v="251587"/>
  </r>
  <r>
    <x v="18"/>
    <x v="34"/>
    <s v="Combined Heat and Power, Industrial Power"/>
    <x v="4"/>
    <n v="114511"/>
  </r>
  <r>
    <x v="18"/>
    <x v="34"/>
    <s v="Combined Heat and Power, Industrial Power"/>
    <x v="6"/>
    <n v="239075"/>
  </r>
  <r>
    <x v="18"/>
    <x v="34"/>
    <s v="Combined Heat and Power, Electric Power"/>
    <x v="0"/>
    <n v="10721630"/>
  </r>
  <r>
    <x v="18"/>
    <x v="34"/>
    <s v="Combined Heat and Power, Electric Power"/>
    <x v="1"/>
    <n v="726308"/>
  </r>
  <r>
    <x v="18"/>
    <x v="34"/>
    <s v="Combined Heat and Power, Electric Power"/>
    <x v="3"/>
    <n v="9606785"/>
  </r>
  <r>
    <x v="18"/>
    <x v="34"/>
    <s v="Combined Heat and Power, Electric Power"/>
    <x v="12"/>
    <n v="90650"/>
  </r>
  <r>
    <x v="18"/>
    <x v="34"/>
    <s v="Combined Heat and Power, Electric Power"/>
    <x v="8"/>
    <n v="115372"/>
  </r>
  <r>
    <x v="18"/>
    <x v="34"/>
    <s v="Combined Heat and Power, Electric Power"/>
    <x v="4"/>
    <n v="37915"/>
  </r>
  <r>
    <x v="18"/>
    <x v="34"/>
    <s v="Combined Heat and Power, Electric Power"/>
    <x v="6"/>
    <n v="144599"/>
  </r>
  <r>
    <x v="18"/>
    <x v="34"/>
    <s v="Combined Heat and Power, Commercial Power"/>
    <x v="0"/>
    <n v="664040"/>
  </r>
  <r>
    <x v="18"/>
    <x v="34"/>
    <s v="Combined Heat and Power, Commercial Power"/>
    <x v="1"/>
    <n v="19458"/>
  </r>
  <r>
    <x v="18"/>
    <x v="34"/>
    <s v="Combined Heat and Power, Commercial Power"/>
    <x v="2"/>
    <n v="2"/>
  </r>
  <r>
    <x v="18"/>
    <x v="34"/>
    <s v="Combined Heat and Power, Commercial Power"/>
    <x v="3"/>
    <n v="371193"/>
  </r>
  <r>
    <x v="18"/>
    <x v="34"/>
    <s v="Combined Heat and Power, Commercial Power"/>
    <x v="12"/>
    <n v="100939"/>
  </r>
  <r>
    <x v="18"/>
    <x v="34"/>
    <s v="Combined Heat and Power, Commercial Power"/>
    <x v="8"/>
    <n v="128467"/>
  </r>
  <r>
    <x v="18"/>
    <x v="34"/>
    <s v="Combined Heat and Power, Commercial Power"/>
    <x v="4"/>
    <n v="43981"/>
  </r>
  <r>
    <x v="18"/>
    <x v="35"/>
    <s v="Total Electric Power Industry"/>
    <x v="0"/>
    <n v="153412251"/>
  </r>
  <r>
    <x v="18"/>
    <x v="35"/>
    <s v="Total Electric Power Industry"/>
    <x v="1"/>
    <n v="130694310"/>
  </r>
  <r>
    <x v="18"/>
    <x v="35"/>
    <s v="Total Electric Power Industry"/>
    <x v="2"/>
    <n v="386435"/>
  </r>
  <r>
    <x v="18"/>
    <x v="35"/>
    <s v="Total Electric Power Industry"/>
    <x v="3"/>
    <n v="2484391"/>
  </r>
  <r>
    <x v="18"/>
    <x v="35"/>
    <s v="Total Electric Power Industry"/>
    <x v="7"/>
    <n v="17513878"/>
  </r>
  <r>
    <x v="18"/>
    <x v="35"/>
    <s v="Total Electric Power Industry"/>
    <x v="12"/>
    <n v="11000"/>
  </r>
  <r>
    <x v="18"/>
    <x v="35"/>
    <s v="Total Electric Power Industry"/>
    <x v="8"/>
    <n v="190175"/>
  </r>
  <r>
    <x v="18"/>
    <x v="35"/>
    <s v="Total Electric Power Industry"/>
    <x v="9"/>
    <n v="260924"/>
  </r>
  <r>
    <x v="18"/>
    <x v="35"/>
    <s v="Total Electric Power Industry"/>
    <x v="4"/>
    <n v="1437938"/>
  </r>
  <r>
    <x v="18"/>
    <x v="35"/>
    <s v="Total Electric Power Industry"/>
    <x v="5"/>
    <n v="15084"/>
  </r>
  <r>
    <x v="18"/>
    <x v="35"/>
    <s v="Total Electric Power Industry"/>
    <x v="6"/>
    <n v="418117"/>
  </r>
  <r>
    <x v="18"/>
    <x v="35"/>
    <s v="Electric Generators, Independent Power Producers"/>
    <x v="0"/>
    <n v="53646205"/>
  </r>
  <r>
    <x v="18"/>
    <x v="35"/>
    <s v="Electric Generators, Independent Power Producers"/>
    <x v="1"/>
    <n v="33010237"/>
  </r>
  <r>
    <x v="18"/>
    <x v="35"/>
    <s v="Electric Generators, Independent Power Producers"/>
    <x v="3"/>
    <n v="1854659"/>
  </r>
  <r>
    <x v="18"/>
    <x v="35"/>
    <s v="Electric Generators, Independent Power Producers"/>
    <x v="7"/>
    <n v="17513878"/>
  </r>
  <r>
    <x v="18"/>
    <x v="35"/>
    <s v="Electric Generators, Independent Power Producers"/>
    <x v="8"/>
    <n v="182666"/>
  </r>
  <r>
    <x v="18"/>
    <x v="35"/>
    <s v="Electric Generators, Independent Power Producers"/>
    <x v="4"/>
    <n v="1084765"/>
  </r>
  <r>
    <x v="18"/>
    <x v="35"/>
    <s v="Electric Generators, Electric Utilities"/>
    <x v="0"/>
    <n v="98396809"/>
  </r>
  <r>
    <x v="18"/>
    <x v="35"/>
    <s v="Electric Generators, Electric Utilities"/>
    <x v="1"/>
    <n v="97315864"/>
  </r>
  <r>
    <x v="18"/>
    <x v="35"/>
    <s v="Electric Generators, Electric Utilities"/>
    <x v="2"/>
    <n v="386435"/>
  </r>
  <r>
    <x v="18"/>
    <x v="35"/>
    <s v="Electric Generators, Electric Utilities"/>
    <x v="3"/>
    <n v="435717"/>
  </r>
  <r>
    <x v="18"/>
    <x v="35"/>
    <s v="Electric Generators, Electric Utilities"/>
    <x v="12"/>
    <n v="0"/>
  </r>
  <r>
    <x v="18"/>
    <x v="35"/>
    <s v="Electric Generators, Electric Utilities"/>
    <x v="9"/>
    <n v="102"/>
  </r>
  <r>
    <x v="18"/>
    <x v="35"/>
    <s v="Electric Generators, Electric Utilities"/>
    <x v="4"/>
    <n v="243608"/>
  </r>
  <r>
    <x v="18"/>
    <x v="35"/>
    <s v="Electric Generators, Electric Utilities"/>
    <x v="5"/>
    <n v="15084"/>
  </r>
  <r>
    <x v="18"/>
    <x v="35"/>
    <s v="Combined Heat and Power, Industrial Power"/>
    <x v="0"/>
    <n v="1071588"/>
  </r>
  <r>
    <x v="18"/>
    <x v="35"/>
    <s v="Combined Heat and Power, Industrial Power"/>
    <x v="1"/>
    <n v="368209"/>
  </r>
  <r>
    <x v="18"/>
    <x v="35"/>
    <s v="Combined Heat and Power, Industrial Power"/>
    <x v="3"/>
    <n v="33450"/>
  </r>
  <r>
    <x v="18"/>
    <x v="35"/>
    <s v="Combined Heat and Power, Industrial Power"/>
    <x v="12"/>
    <n v="11000"/>
  </r>
  <r>
    <x v="18"/>
    <x v="35"/>
    <s v="Combined Heat and Power, Industrial Power"/>
    <x v="8"/>
    <n v="7509"/>
  </r>
  <r>
    <x v="18"/>
    <x v="35"/>
    <s v="Combined Heat and Power, Industrial Power"/>
    <x v="9"/>
    <n v="152815"/>
  </r>
  <r>
    <x v="18"/>
    <x v="35"/>
    <s v="Combined Heat and Power, Industrial Power"/>
    <x v="4"/>
    <n v="109564"/>
  </r>
  <r>
    <x v="18"/>
    <x v="35"/>
    <s v="Combined Heat and Power, Industrial Power"/>
    <x v="6"/>
    <n v="389041"/>
  </r>
  <r>
    <x v="18"/>
    <x v="35"/>
    <s v="Combined Heat and Power, Electric Power"/>
    <x v="0"/>
    <n v="297649"/>
  </r>
  <r>
    <x v="18"/>
    <x v="35"/>
    <s v="Combined Heat and Power, Electric Power"/>
    <x v="3"/>
    <n v="160566"/>
  </r>
  <r>
    <x v="18"/>
    <x v="35"/>
    <s v="Combined Heat and Power, Electric Power"/>
    <x v="9"/>
    <n v="108007"/>
  </r>
  <r>
    <x v="18"/>
    <x v="35"/>
    <s v="Combined Heat and Power, Electric Power"/>
    <x v="6"/>
    <n v="29076"/>
  </r>
  <r>
    <x v="18"/>
    <x v="36"/>
    <s v="Total Electric Power Industry"/>
    <x v="0"/>
    <n v="76328908"/>
  </r>
  <r>
    <x v="18"/>
    <x v="36"/>
    <s v="Total Electric Power Industry"/>
    <x v="1"/>
    <n v="36314917"/>
  </r>
  <r>
    <x v="18"/>
    <x v="36"/>
    <s v="Total Electric Power Industry"/>
    <x v="2"/>
    <n v="3811273"/>
  </r>
  <r>
    <x v="18"/>
    <x v="36"/>
    <s v="Total Electric Power Industry"/>
    <x v="3"/>
    <n v="33774167"/>
  </r>
  <r>
    <x v="18"/>
    <x v="36"/>
    <s v="Total Electric Power Industry"/>
    <x v="12"/>
    <n v="12691"/>
  </r>
  <r>
    <x v="18"/>
    <x v="36"/>
    <s v="Total Electric Power Industry"/>
    <x v="8"/>
    <n v="169618"/>
  </r>
  <r>
    <x v="18"/>
    <x v="36"/>
    <s v="Total Electric Power Industry"/>
    <x v="9"/>
    <n v="10219"/>
  </r>
  <r>
    <x v="18"/>
    <x v="36"/>
    <s v="Total Electric Power Industry"/>
    <x v="4"/>
    <n v="22536"/>
  </r>
  <r>
    <x v="18"/>
    <x v="36"/>
    <s v="Total Electric Power Industry"/>
    <x v="10"/>
    <n v="-167598"/>
  </r>
  <r>
    <x v="18"/>
    <x v="36"/>
    <s v="Total Electric Power Industry"/>
    <x v="5"/>
    <n v="2358080"/>
  </r>
  <r>
    <x v="18"/>
    <x v="36"/>
    <s v="Total Electric Power Industry"/>
    <x v="6"/>
    <n v="23006"/>
  </r>
  <r>
    <x v="18"/>
    <x v="36"/>
    <s v="Electric Generators, Independent Power Producers"/>
    <x v="0"/>
    <n v="12651408"/>
  </r>
  <r>
    <x v="18"/>
    <x v="36"/>
    <s v="Electric Generators, Independent Power Producers"/>
    <x v="3"/>
    <n v="10722863"/>
  </r>
  <r>
    <x v="18"/>
    <x v="36"/>
    <s v="Electric Generators, Independent Power Producers"/>
    <x v="4"/>
    <n v="0"/>
  </r>
  <r>
    <x v="18"/>
    <x v="36"/>
    <s v="Electric Generators, Independent Power Producers"/>
    <x v="5"/>
    <n v="1928545"/>
  </r>
  <r>
    <x v="18"/>
    <x v="36"/>
    <s v="Electric Generators, Electric Utilities"/>
    <x v="0"/>
    <n v="60074823"/>
  </r>
  <r>
    <x v="18"/>
    <x v="36"/>
    <s v="Electric Generators, Electric Utilities"/>
    <x v="1"/>
    <n v="33625415"/>
  </r>
  <r>
    <x v="18"/>
    <x v="36"/>
    <s v="Electric Generators, Electric Utilities"/>
    <x v="2"/>
    <n v="3811273"/>
  </r>
  <r>
    <x v="18"/>
    <x v="36"/>
    <s v="Electric Generators, Electric Utilities"/>
    <x v="3"/>
    <n v="22363598"/>
  </r>
  <r>
    <x v="18"/>
    <x v="36"/>
    <s v="Electric Generators, Electric Utilities"/>
    <x v="4"/>
    <n v="12600"/>
  </r>
  <r>
    <x v="18"/>
    <x v="36"/>
    <s v="Electric Generators, Electric Utilities"/>
    <x v="10"/>
    <n v="-167598"/>
  </r>
  <r>
    <x v="18"/>
    <x v="36"/>
    <s v="Electric Generators, Electric Utilities"/>
    <x v="5"/>
    <n v="429535"/>
  </r>
  <r>
    <x v="18"/>
    <x v="36"/>
    <s v="Combined Heat and Power, Industrial Power"/>
    <x v="0"/>
    <n v="895762"/>
  </r>
  <r>
    <x v="18"/>
    <x v="36"/>
    <s v="Combined Heat and Power, Industrial Power"/>
    <x v="1"/>
    <n v="439536"/>
  </r>
  <r>
    <x v="18"/>
    <x v="36"/>
    <s v="Combined Heat and Power, Industrial Power"/>
    <x v="3"/>
    <n v="236656"/>
  </r>
  <r>
    <x v="18"/>
    <x v="36"/>
    <s v="Combined Heat and Power, Industrial Power"/>
    <x v="12"/>
    <n v="12691"/>
  </r>
  <r>
    <x v="18"/>
    <x v="36"/>
    <s v="Combined Heat and Power, Industrial Power"/>
    <x v="8"/>
    <n v="164175"/>
  </r>
  <r>
    <x v="18"/>
    <x v="36"/>
    <s v="Combined Heat and Power, Industrial Power"/>
    <x v="9"/>
    <n v="10219"/>
  </r>
  <r>
    <x v="18"/>
    <x v="36"/>
    <s v="Combined Heat and Power, Industrial Power"/>
    <x v="4"/>
    <n v="9480"/>
  </r>
  <r>
    <x v="18"/>
    <x v="36"/>
    <s v="Combined Heat and Power, Industrial Power"/>
    <x v="6"/>
    <n v="23006"/>
  </r>
  <r>
    <x v="18"/>
    <x v="36"/>
    <s v="Combined Heat and Power, Electric Power"/>
    <x v="0"/>
    <n v="2682498"/>
  </r>
  <r>
    <x v="18"/>
    <x v="36"/>
    <s v="Combined Heat and Power, Electric Power"/>
    <x v="1"/>
    <n v="2249967"/>
  </r>
  <r>
    <x v="18"/>
    <x v="36"/>
    <s v="Combined Heat and Power, Electric Power"/>
    <x v="3"/>
    <n v="427087"/>
  </r>
  <r>
    <x v="18"/>
    <x v="36"/>
    <s v="Combined Heat and Power, Electric Power"/>
    <x v="8"/>
    <n v="5443"/>
  </r>
  <r>
    <x v="18"/>
    <x v="36"/>
    <s v="Combined Heat and Power, Commercial Power"/>
    <x v="0"/>
    <n v="24418"/>
  </r>
  <r>
    <x v="18"/>
    <x v="36"/>
    <s v="Combined Heat and Power, Commercial Power"/>
    <x v="3"/>
    <n v="23963"/>
  </r>
  <r>
    <x v="18"/>
    <x v="36"/>
    <s v="Combined Heat and Power, Commercial Power"/>
    <x v="4"/>
    <n v="455"/>
  </r>
  <r>
    <x v="18"/>
    <x v="37"/>
    <s v="Total Electric Power Industry"/>
    <x v="0"/>
    <n v="58718438"/>
  </r>
  <r>
    <x v="18"/>
    <x v="37"/>
    <s v="Total Electric Power Industry"/>
    <x v="1"/>
    <n v="4044319"/>
  </r>
  <r>
    <x v="18"/>
    <x v="37"/>
    <s v="Total Electric Power Industry"/>
    <x v="2"/>
    <n v="33805024"/>
  </r>
  <r>
    <x v="18"/>
    <x v="37"/>
    <s v="Total Electric Power Industry"/>
    <x v="3"/>
    <n v="17387162"/>
  </r>
  <r>
    <x v="18"/>
    <x v="37"/>
    <s v="Total Electric Power Industry"/>
    <x v="12"/>
    <n v="44042"/>
  </r>
  <r>
    <x v="18"/>
    <x v="37"/>
    <s v="Total Electric Power Industry"/>
    <x v="8"/>
    <n v="130747"/>
  </r>
  <r>
    <x v="18"/>
    <x v="37"/>
    <s v="Total Electric Power Industry"/>
    <x v="9"/>
    <n v="0"/>
  </r>
  <r>
    <x v="18"/>
    <x v="37"/>
    <s v="Total Electric Power Industry"/>
    <x v="4"/>
    <n v="14793"/>
  </r>
  <r>
    <x v="18"/>
    <x v="37"/>
    <s v="Total Electric Power Industry"/>
    <x v="5"/>
    <n v="2575234"/>
  </r>
  <r>
    <x v="18"/>
    <x v="37"/>
    <s v="Total Electric Power Industry"/>
    <x v="6"/>
    <n v="717117"/>
  </r>
  <r>
    <x v="18"/>
    <x v="37"/>
    <s v="Electric Generators, Independent Power Producers"/>
    <x v="0"/>
    <n v="5800971"/>
  </r>
  <r>
    <x v="18"/>
    <x v="37"/>
    <s v="Electric Generators, Independent Power Producers"/>
    <x v="2"/>
    <n v="247068"/>
  </r>
  <r>
    <x v="18"/>
    <x v="37"/>
    <s v="Electric Generators, Independent Power Producers"/>
    <x v="3"/>
    <n v="3736510"/>
  </r>
  <r>
    <x v="18"/>
    <x v="37"/>
    <s v="Electric Generators, Independent Power Producers"/>
    <x v="5"/>
    <n v="1817393"/>
  </r>
  <r>
    <x v="18"/>
    <x v="37"/>
    <s v="Electric Generators, Electric Utilities"/>
    <x v="0"/>
    <n v="44590530"/>
  </r>
  <r>
    <x v="18"/>
    <x v="37"/>
    <s v="Electric Generators, Electric Utilities"/>
    <x v="1"/>
    <n v="4044319"/>
  </r>
  <r>
    <x v="18"/>
    <x v="37"/>
    <s v="Electric Generators, Electric Utilities"/>
    <x v="2"/>
    <n v="33557956"/>
  </r>
  <r>
    <x v="18"/>
    <x v="37"/>
    <s v="Electric Generators, Electric Utilities"/>
    <x v="3"/>
    <n v="6159726"/>
  </r>
  <r>
    <x v="18"/>
    <x v="37"/>
    <s v="Electric Generators, Electric Utilities"/>
    <x v="8"/>
    <n v="60714"/>
  </r>
  <r>
    <x v="18"/>
    <x v="37"/>
    <s v="Electric Generators, Electric Utilities"/>
    <x v="9"/>
    <n v="0"/>
  </r>
  <r>
    <x v="18"/>
    <x v="37"/>
    <s v="Electric Generators, Electric Utilities"/>
    <x v="4"/>
    <n v="9974"/>
  </r>
  <r>
    <x v="18"/>
    <x v="37"/>
    <s v="Electric Generators, Electric Utilities"/>
    <x v="5"/>
    <n v="757841"/>
  </r>
  <r>
    <x v="18"/>
    <x v="37"/>
    <s v="Combined Heat and Power, Industrial Power"/>
    <x v="0"/>
    <n v="1348367"/>
  </r>
  <r>
    <x v="18"/>
    <x v="37"/>
    <s v="Combined Heat and Power, Industrial Power"/>
    <x v="3"/>
    <n v="836562"/>
  </r>
  <r>
    <x v="18"/>
    <x v="37"/>
    <s v="Combined Heat and Power, Industrial Power"/>
    <x v="12"/>
    <n v="6147"/>
  </r>
  <r>
    <x v="18"/>
    <x v="37"/>
    <s v="Combined Heat and Power, Industrial Power"/>
    <x v="4"/>
    <n v="4819"/>
  </r>
  <r>
    <x v="18"/>
    <x v="37"/>
    <s v="Combined Heat and Power, Industrial Power"/>
    <x v="6"/>
    <n v="500839"/>
  </r>
  <r>
    <x v="18"/>
    <x v="37"/>
    <s v="Combined Heat and Power, Electric Power"/>
    <x v="0"/>
    <n v="6952104"/>
  </r>
  <r>
    <x v="18"/>
    <x v="37"/>
    <s v="Combined Heat and Power, Electric Power"/>
    <x v="3"/>
    <n v="6649700"/>
  </r>
  <r>
    <x v="18"/>
    <x v="37"/>
    <s v="Combined Heat and Power, Electric Power"/>
    <x v="12"/>
    <n v="37895"/>
  </r>
  <r>
    <x v="18"/>
    <x v="37"/>
    <s v="Combined Heat and Power, Electric Power"/>
    <x v="8"/>
    <n v="48231"/>
  </r>
  <r>
    <x v="18"/>
    <x v="37"/>
    <s v="Combined Heat and Power, Electric Power"/>
    <x v="6"/>
    <n v="216278"/>
  </r>
  <r>
    <x v="18"/>
    <x v="37"/>
    <s v="Combined Heat and Power, Commercial Power"/>
    <x v="0"/>
    <n v="26466"/>
  </r>
  <r>
    <x v="18"/>
    <x v="37"/>
    <s v="Combined Heat and Power, Commercial Power"/>
    <x v="3"/>
    <n v="4664"/>
  </r>
  <r>
    <x v="18"/>
    <x v="37"/>
    <s v="Combined Heat and Power, Commercial Power"/>
    <x v="8"/>
    <n v="21802"/>
  </r>
  <r>
    <x v="18"/>
    <x v="37"/>
    <s v="Combined Heat and Power, Commercial Power"/>
    <x v="4"/>
    <n v="0"/>
  </r>
  <r>
    <x v="18"/>
    <x v="38"/>
    <s v="Total Electric Power Industry"/>
    <x v="0"/>
    <n v="222350925"/>
  </r>
  <r>
    <x v="18"/>
    <x v="38"/>
    <s v="Total Electric Power Industry"/>
    <x v="1"/>
    <n v="117583412"/>
  </r>
  <r>
    <x v="18"/>
    <x v="38"/>
    <s v="Total Electric Power Industry"/>
    <x v="2"/>
    <n v="2548858"/>
  </r>
  <r>
    <x v="18"/>
    <x v="38"/>
    <s v="Total Electric Power Industry"/>
    <x v="3"/>
    <n v="18730607"/>
  </r>
  <r>
    <x v="18"/>
    <x v="38"/>
    <s v="Total Electric Power Industry"/>
    <x v="7"/>
    <n v="78658093"/>
  </r>
  <r>
    <x v="18"/>
    <x v="38"/>
    <s v="Total Electric Power Industry"/>
    <x v="12"/>
    <n v="832354"/>
  </r>
  <r>
    <x v="18"/>
    <x v="38"/>
    <s v="Total Electric Power Industry"/>
    <x v="8"/>
    <n v="1416201"/>
  </r>
  <r>
    <x v="18"/>
    <x v="38"/>
    <s v="Total Electric Power Industry"/>
    <x v="9"/>
    <n v="609664"/>
  </r>
  <r>
    <x v="18"/>
    <x v="38"/>
    <s v="Total Electric Power Industry"/>
    <x v="4"/>
    <n v="937924"/>
  </r>
  <r>
    <x v="18"/>
    <x v="38"/>
    <s v="Total Electric Power Industry"/>
    <x v="10"/>
    <n v="-353762"/>
  </r>
  <r>
    <x v="18"/>
    <x v="38"/>
    <s v="Total Electric Power Industry"/>
    <x v="13"/>
    <n v="175"/>
  </r>
  <r>
    <x v="18"/>
    <x v="38"/>
    <s v="Total Electric Power Industry"/>
    <x v="5"/>
    <n v="729425"/>
  </r>
  <r>
    <x v="18"/>
    <x v="38"/>
    <s v="Total Electric Power Industry"/>
    <x v="6"/>
    <n v="657976"/>
  </r>
  <r>
    <x v="18"/>
    <x v="38"/>
    <s v="Electric Generators, Independent Power Producers"/>
    <x v="0"/>
    <n v="209081197"/>
  </r>
  <r>
    <x v="18"/>
    <x v="38"/>
    <s v="Electric Generators, Independent Power Producers"/>
    <x v="1"/>
    <n v="111412759"/>
  </r>
  <r>
    <x v="18"/>
    <x v="38"/>
    <s v="Electric Generators, Independent Power Producers"/>
    <x v="2"/>
    <n v="1349810"/>
  </r>
  <r>
    <x v="18"/>
    <x v="38"/>
    <s v="Electric Generators, Independent Power Producers"/>
    <x v="3"/>
    <n v="14911478"/>
  </r>
  <r>
    <x v="18"/>
    <x v="38"/>
    <s v="Electric Generators, Independent Power Producers"/>
    <x v="7"/>
    <n v="78658093"/>
  </r>
  <r>
    <x v="18"/>
    <x v="38"/>
    <s v="Electric Generators, Independent Power Producers"/>
    <x v="12"/>
    <n v="608243"/>
  </r>
  <r>
    <x v="18"/>
    <x v="38"/>
    <s v="Electric Generators, Independent Power Producers"/>
    <x v="8"/>
    <n v="1034030"/>
  </r>
  <r>
    <x v="18"/>
    <x v="38"/>
    <s v="Electric Generators, Independent Power Producers"/>
    <x v="9"/>
    <n v="549"/>
  </r>
  <r>
    <x v="18"/>
    <x v="38"/>
    <s v="Electric Generators, Independent Power Producers"/>
    <x v="4"/>
    <n v="729282"/>
  </r>
  <r>
    <x v="18"/>
    <x v="38"/>
    <s v="Electric Generators, Independent Power Producers"/>
    <x v="10"/>
    <n v="-353762"/>
  </r>
  <r>
    <x v="18"/>
    <x v="38"/>
    <s v="Electric Generators, Independent Power Producers"/>
    <x v="13"/>
    <n v="175"/>
  </r>
  <r>
    <x v="18"/>
    <x v="38"/>
    <s v="Electric Generators, Independent Power Producers"/>
    <x v="5"/>
    <n v="729425"/>
  </r>
  <r>
    <x v="18"/>
    <x v="38"/>
    <s v="Electric Generators, Independent Power Producers"/>
    <x v="6"/>
    <n v="1115"/>
  </r>
  <r>
    <x v="18"/>
    <x v="38"/>
    <s v="Electric Generators, Electric Utilities"/>
    <x v="0"/>
    <n v="1224597"/>
  </r>
  <r>
    <x v="18"/>
    <x v="38"/>
    <s v="Electric Generators, Electric Utilities"/>
    <x v="2"/>
    <n v="1199048"/>
  </r>
  <r>
    <x v="18"/>
    <x v="38"/>
    <s v="Electric Generators, Electric Utilities"/>
    <x v="3"/>
    <n v="24676"/>
  </r>
  <r>
    <x v="18"/>
    <x v="38"/>
    <s v="Electric Generators, Electric Utilities"/>
    <x v="4"/>
    <n v="873"/>
  </r>
  <r>
    <x v="18"/>
    <x v="38"/>
    <s v="Combined Heat and Power, Industrial Power"/>
    <x v="0"/>
    <n v="2821311"/>
  </r>
  <r>
    <x v="18"/>
    <x v="38"/>
    <s v="Combined Heat and Power, Industrial Power"/>
    <x v="1"/>
    <n v="1156154"/>
  </r>
  <r>
    <x v="18"/>
    <x v="38"/>
    <s v="Combined Heat and Power, Industrial Power"/>
    <x v="3"/>
    <n v="475998"/>
  </r>
  <r>
    <x v="18"/>
    <x v="38"/>
    <s v="Combined Heat and Power, Industrial Power"/>
    <x v="8"/>
    <n v="2387"/>
  </r>
  <r>
    <x v="18"/>
    <x v="38"/>
    <s v="Combined Heat and Power, Industrial Power"/>
    <x v="9"/>
    <n v="558380"/>
  </r>
  <r>
    <x v="18"/>
    <x v="38"/>
    <s v="Combined Heat and Power, Industrial Power"/>
    <x v="4"/>
    <n v="176511"/>
  </r>
  <r>
    <x v="18"/>
    <x v="38"/>
    <s v="Combined Heat and Power, Industrial Power"/>
    <x v="6"/>
    <n v="451879"/>
  </r>
  <r>
    <x v="18"/>
    <x v="38"/>
    <s v="Combined Heat and Power, Electric Power"/>
    <x v="0"/>
    <n v="8978185"/>
  </r>
  <r>
    <x v="18"/>
    <x v="38"/>
    <s v="Combined Heat and Power, Electric Power"/>
    <x v="1"/>
    <n v="5011623"/>
  </r>
  <r>
    <x v="18"/>
    <x v="38"/>
    <s v="Combined Heat and Power, Electric Power"/>
    <x v="3"/>
    <n v="3275748"/>
  </r>
  <r>
    <x v="18"/>
    <x v="38"/>
    <s v="Combined Heat and Power, Electric Power"/>
    <x v="12"/>
    <n v="137011"/>
  </r>
  <r>
    <x v="18"/>
    <x v="38"/>
    <s v="Combined Heat and Power, Electric Power"/>
    <x v="8"/>
    <n v="268930"/>
  </r>
  <r>
    <x v="18"/>
    <x v="38"/>
    <s v="Combined Heat and Power, Electric Power"/>
    <x v="9"/>
    <n v="50734"/>
  </r>
  <r>
    <x v="18"/>
    <x v="38"/>
    <s v="Combined Heat and Power, Electric Power"/>
    <x v="4"/>
    <n v="29158"/>
  </r>
  <r>
    <x v="18"/>
    <x v="38"/>
    <s v="Combined Heat and Power, Electric Power"/>
    <x v="6"/>
    <n v="204982"/>
  </r>
  <r>
    <x v="18"/>
    <x v="38"/>
    <s v="Combined Heat and Power, Commercial Power"/>
    <x v="0"/>
    <n v="245635"/>
  </r>
  <r>
    <x v="18"/>
    <x v="38"/>
    <s v="Combined Heat and Power, Commercial Power"/>
    <x v="1"/>
    <n v="2875"/>
  </r>
  <r>
    <x v="18"/>
    <x v="38"/>
    <s v="Combined Heat and Power, Commercial Power"/>
    <x v="3"/>
    <n v="42707"/>
  </r>
  <r>
    <x v="18"/>
    <x v="38"/>
    <s v="Combined Heat and Power, Commercial Power"/>
    <x v="12"/>
    <n v="87100"/>
  </r>
  <r>
    <x v="18"/>
    <x v="38"/>
    <s v="Combined Heat and Power, Commercial Power"/>
    <x v="8"/>
    <n v="110854"/>
  </r>
  <r>
    <x v="18"/>
    <x v="38"/>
    <s v="Combined Heat and Power, Commercial Power"/>
    <x v="4"/>
    <n v="2100"/>
  </r>
  <r>
    <x v="18"/>
    <x v="39"/>
    <s v="Total Electric Power Industry"/>
    <x v="0"/>
    <n v="7387266"/>
  </r>
  <r>
    <x v="18"/>
    <x v="39"/>
    <s v="Total Electric Power Industry"/>
    <x v="2"/>
    <n v="4977"/>
  </r>
  <r>
    <x v="18"/>
    <x v="39"/>
    <s v="Total Electric Power Industry"/>
    <x v="3"/>
    <n v="7197548"/>
  </r>
  <r>
    <x v="18"/>
    <x v="39"/>
    <s v="Total Electric Power Industry"/>
    <x v="8"/>
    <n v="158407"/>
  </r>
  <r>
    <x v="18"/>
    <x v="39"/>
    <s v="Total Electric Power Industry"/>
    <x v="4"/>
    <n v="26334"/>
  </r>
  <r>
    <x v="18"/>
    <x v="39"/>
    <s v="Electric Generators, Independent Power Producers"/>
    <x v="0"/>
    <n v="7323912"/>
  </r>
  <r>
    <x v="18"/>
    <x v="39"/>
    <s v="Electric Generators, Independent Power Producers"/>
    <x v="2"/>
    <n v="4977"/>
  </r>
  <r>
    <x v="18"/>
    <x v="39"/>
    <s v="Electric Generators, Independent Power Producers"/>
    <x v="3"/>
    <n v="7147218"/>
  </r>
  <r>
    <x v="18"/>
    <x v="39"/>
    <s v="Electric Generators, Independent Power Producers"/>
    <x v="8"/>
    <n v="158407"/>
  </r>
  <r>
    <x v="18"/>
    <x v="39"/>
    <s v="Electric Generators, Independent Power Producers"/>
    <x v="4"/>
    <n v="13310"/>
  </r>
  <r>
    <x v="18"/>
    <x v="39"/>
    <s v="Electric Generators, Electric Utilities"/>
    <x v="0"/>
    <n v="10612"/>
  </r>
  <r>
    <x v="18"/>
    <x v="39"/>
    <s v="Electric Generators, Electric Utilities"/>
    <x v="4"/>
    <n v="10612"/>
  </r>
  <r>
    <x v="18"/>
    <x v="39"/>
    <s v="Combined Heat and Power, Commercial Power"/>
    <x v="0"/>
    <n v="52742"/>
  </r>
  <r>
    <x v="18"/>
    <x v="39"/>
    <s v="Combined Heat and Power, Commercial Power"/>
    <x v="3"/>
    <n v="50330"/>
  </r>
  <r>
    <x v="18"/>
    <x v="39"/>
    <s v="Combined Heat and Power, Commercial Power"/>
    <x v="4"/>
    <n v="2412"/>
  </r>
  <r>
    <x v="18"/>
    <x v="40"/>
    <s v="Total Electric Power Industry"/>
    <x v="0"/>
    <n v="100978005"/>
  </r>
  <r>
    <x v="18"/>
    <x v="40"/>
    <s v="Total Electric Power Industry"/>
    <x v="1"/>
    <n v="41539695"/>
  </r>
  <r>
    <x v="18"/>
    <x v="40"/>
    <s v="Total Electric Power Industry"/>
    <x v="2"/>
    <n v="1123115"/>
  </r>
  <r>
    <x v="18"/>
    <x v="40"/>
    <s v="Total Electric Power Industry"/>
    <x v="3"/>
    <n v="5728988"/>
  </r>
  <r>
    <x v="18"/>
    <x v="40"/>
    <s v="Total Electric Power Industry"/>
    <x v="7"/>
    <n v="51762950"/>
  </r>
  <r>
    <x v="18"/>
    <x v="40"/>
    <s v="Total Electric Power Industry"/>
    <x v="12"/>
    <n v="93529"/>
  </r>
  <r>
    <x v="18"/>
    <x v="40"/>
    <s v="Total Electric Power Industry"/>
    <x v="8"/>
    <n v="119759"/>
  </r>
  <r>
    <x v="18"/>
    <x v="40"/>
    <s v="Total Electric Power Industry"/>
    <x v="9"/>
    <n v="0"/>
  </r>
  <r>
    <x v="18"/>
    <x v="40"/>
    <s v="Total Electric Power Industry"/>
    <x v="4"/>
    <n v="180467"/>
  </r>
  <r>
    <x v="18"/>
    <x v="40"/>
    <s v="Total Electric Power Industry"/>
    <x v="10"/>
    <n v="-1266564"/>
  </r>
  <r>
    <x v="18"/>
    <x v="40"/>
    <s v="Total Electric Power Industry"/>
    <x v="6"/>
    <n v="1696067"/>
  </r>
  <r>
    <x v="18"/>
    <x v="40"/>
    <s v="Electric Generators, Independent Power Producers"/>
    <x v="0"/>
    <n v="752524"/>
  </r>
  <r>
    <x v="18"/>
    <x v="40"/>
    <s v="Electric Generators, Independent Power Producers"/>
    <x v="1"/>
    <n v="112383"/>
  </r>
  <r>
    <x v="18"/>
    <x v="40"/>
    <s v="Electric Generators, Independent Power Producers"/>
    <x v="2"/>
    <n v="22093"/>
  </r>
  <r>
    <x v="18"/>
    <x v="40"/>
    <s v="Electric Generators, Independent Power Producers"/>
    <x v="3"/>
    <n v="608868"/>
  </r>
  <r>
    <x v="18"/>
    <x v="40"/>
    <s v="Electric Generators, Independent Power Producers"/>
    <x v="8"/>
    <n v="9172"/>
  </r>
  <r>
    <x v="18"/>
    <x v="40"/>
    <s v="Electric Generators, Independent Power Producers"/>
    <x v="4"/>
    <n v="8"/>
  </r>
  <r>
    <x v="18"/>
    <x v="40"/>
    <s v="Electric Generators, Electric Utilities"/>
    <x v="0"/>
    <n v="97921204"/>
  </r>
  <r>
    <x v="18"/>
    <x v="40"/>
    <s v="Electric Generators, Electric Utilities"/>
    <x v="1"/>
    <n v="41184319"/>
  </r>
  <r>
    <x v="18"/>
    <x v="40"/>
    <s v="Electric Generators, Electric Utilities"/>
    <x v="2"/>
    <n v="1100451"/>
  </r>
  <r>
    <x v="18"/>
    <x v="40"/>
    <s v="Electric Generators, Electric Utilities"/>
    <x v="3"/>
    <n v="4610728"/>
  </r>
  <r>
    <x v="18"/>
    <x v="40"/>
    <s v="Electric Generators, Electric Utilities"/>
    <x v="7"/>
    <n v="51762950"/>
  </r>
  <r>
    <x v="18"/>
    <x v="40"/>
    <s v="Electric Generators, Electric Utilities"/>
    <x v="8"/>
    <n v="77770"/>
  </r>
  <r>
    <x v="18"/>
    <x v="40"/>
    <s v="Electric Generators, Electric Utilities"/>
    <x v="4"/>
    <n v="160102"/>
  </r>
  <r>
    <x v="18"/>
    <x v="40"/>
    <s v="Electric Generators, Electric Utilities"/>
    <x v="10"/>
    <n v="-1266564"/>
  </r>
  <r>
    <x v="18"/>
    <x v="40"/>
    <s v="Electric Generators, Electric Utilities"/>
    <x v="6"/>
    <n v="291449"/>
  </r>
  <r>
    <x v="18"/>
    <x v="40"/>
    <s v="Combined Heat and Power, Industrial Power"/>
    <x v="0"/>
    <n v="1738279"/>
  </r>
  <r>
    <x v="18"/>
    <x v="40"/>
    <s v="Combined Heat and Power, Industrial Power"/>
    <x v="1"/>
    <n v="242993"/>
  </r>
  <r>
    <x v="18"/>
    <x v="40"/>
    <s v="Combined Heat and Power, Industrial Power"/>
    <x v="3"/>
    <n v="3692"/>
  </r>
  <r>
    <x v="18"/>
    <x v="40"/>
    <s v="Combined Heat and Power, Industrial Power"/>
    <x v="12"/>
    <n v="67745"/>
  </r>
  <r>
    <x v="18"/>
    <x v="40"/>
    <s v="Combined Heat and Power, Industrial Power"/>
    <x v="9"/>
    <n v="0"/>
  </r>
  <r>
    <x v="18"/>
    <x v="40"/>
    <s v="Combined Heat and Power, Industrial Power"/>
    <x v="4"/>
    <n v="19232"/>
  </r>
  <r>
    <x v="18"/>
    <x v="40"/>
    <s v="Combined Heat and Power, Industrial Power"/>
    <x v="6"/>
    <n v="1404618"/>
  </r>
  <r>
    <x v="18"/>
    <x v="40"/>
    <s v="Combined Heat and Power, Electric Power"/>
    <x v="0"/>
    <n v="505700"/>
  </r>
  <r>
    <x v="18"/>
    <x v="40"/>
    <s v="Combined Heat and Power, Electric Power"/>
    <x v="3"/>
    <n v="505700"/>
  </r>
  <r>
    <x v="18"/>
    <x v="40"/>
    <s v="Combined Heat and Power, Electric Power"/>
    <x v="4"/>
    <n v="0"/>
  </r>
  <r>
    <x v="18"/>
    <x v="40"/>
    <s v="Combined Heat and Power, Commercial Power"/>
    <x v="0"/>
    <n v="60298"/>
  </r>
  <r>
    <x v="18"/>
    <x v="40"/>
    <s v="Combined Heat and Power, Commercial Power"/>
    <x v="2"/>
    <n v="571"/>
  </r>
  <r>
    <x v="18"/>
    <x v="40"/>
    <s v="Combined Heat and Power, Commercial Power"/>
    <x v="3"/>
    <n v="1"/>
  </r>
  <r>
    <x v="18"/>
    <x v="40"/>
    <s v="Combined Heat and Power, Commercial Power"/>
    <x v="12"/>
    <n v="25785"/>
  </r>
  <r>
    <x v="18"/>
    <x v="40"/>
    <s v="Combined Heat and Power, Commercial Power"/>
    <x v="8"/>
    <n v="32817"/>
  </r>
  <r>
    <x v="18"/>
    <x v="40"/>
    <s v="Combined Heat and Power, Commercial Power"/>
    <x v="4"/>
    <n v="1125"/>
  </r>
  <r>
    <x v="18"/>
    <x v="41"/>
    <s v="Total Electric Power Industry"/>
    <x v="0"/>
    <n v="7082672"/>
  </r>
  <r>
    <x v="18"/>
    <x v="41"/>
    <s v="Total Electric Power Industry"/>
    <x v="1"/>
    <n v="3660482"/>
  </r>
  <r>
    <x v="18"/>
    <x v="41"/>
    <s v="Total Electric Power Industry"/>
    <x v="2"/>
    <n v="2993107"/>
  </r>
  <r>
    <x v="18"/>
    <x v="41"/>
    <s v="Total Electric Power Industry"/>
    <x v="3"/>
    <n v="228569"/>
  </r>
  <r>
    <x v="18"/>
    <x v="41"/>
    <s v="Total Electric Power Industry"/>
    <x v="12"/>
    <n v="30538"/>
  </r>
  <r>
    <x v="18"/>
    <x v="41"/>
    <s v="Total Electric Power Industry"/>
    <x v="8"/>
    <n v="1665"/>
  </r>
  <r>
    <x v="18"/>
    <x v="41"/>
    <s v="Total Electric Power Industry"/>
    <x v="4"/>
    <n v="23175"/>
  </r>
  <r>
    <x v="18"/>
    <x v="41"/>
    <s v="Total Electric Power Industry"/>
    <x v="5"/>
    <n v="145136"/>
  </r>
  <r>
    <x v="18"/>
    <x v="41"/>
    <s v="Electric Generators, Independent Power Producers"/>
    <x v="0"/>
    <n v="140306"/>
  </r>
  <r>
    <x v="18"/>
    <x v="41"/>
    <s v="Electric Generators, Independent Power Producers"/>
    <x v="4"/>
    <n v="623"/>
  </r>
  <r>
    <x v="18"/>
    <x v="41"/>
    <s v="Electric Generators, Independent Power Producers"/>
    <x v="5"/>
    <n v="139683"/>
  </r>
  <r>
    <x v="18"/>
    <x v="41"/>
    <s v="Electric Generators, Electric Utilities"/>
    <x v="0"/>
    <n v="6942317"/>
  </r>
  <r>
    <x v="18"/>
    <x v="41"/>
    <s v="Electric Generators, Electric Utilities"/>
    <x v="1"/>
    <n v="3660482"/>
  </r>
  <r>
    <x v="18"/>
    <x v="41"/>
    <s v="Electric Generators, Electric Utilities"/>
    <x v="2"/>
    <n v="2993107"/>
  </r>
  <r>
    <x v="18"/>
    <x v="41"/>
    <s v="Electric Generators, Electric Utilities"/>
    <x v="3"/>
    <n v="228569"/>
  </r>
  <r>
    <x v="18"/>
    <x v="41"/>
    <s v="Electric Generators, Electric Utilities"/>
    <x v="12"/>
    <n v="30538"/>
  </r>
  <r>
    <x v="18"/>
    <x v="41"/>
    <s v="Electric Generators, Electric Utilities"/>
    <x v="8"/>
    <n v="1665"/>
  </r>
  <r>
    <x v="18"/>
    <x v="41"/>
    <s v="Electric Generators, Electric Utilities"/>
    <x v="4"/>
    <n v="22503"/>
  </r>
  <r>
    <x v="18"/>
    <x v="41"/>
    <s v="Electric Generators, Electric Utilities"/>
    <x v="5"/>
    <n v="5453"/>
  </r>
  <r>
    <x v="18"/>
    <x v="41"/>
    <s v="Combined Heat and Power, Commercial Power"/>
    <x v="0"/>
    <n v="49"/>
  </r>
  <r>
    <x v="18"/>
    <x v="41"/>
    <s v="Combined Heat and Power, Commercial Power"/>
    <x v="4"/>
    <n v="49"/>
  </r>
  <r>
    <x v="18"/>
    <x v="42"/>
    <s v="Total Electric Power Industry"/>
    <x v="0"/>
    <n v="90663312"/>
  </r>
  <r>
    <x v="18"/>
    <x v="42"/>
    <s v="Total Electric Power Industry"/>
    <x v="1"/>
    <n v="57058129"/>
  </r>
  <r>
    <x v="18"/>
    <x v="42"/>
    <s v="Total Electric Power Industry"/>
    <x v="2"/>
    <n v="5646073"/>
  </r>
  <r>
    <x v="18"/>
    <x v="42"/>
    <s v="Total Electric Power Industry"/>
    <x v="3"/>
    <n v="467230"/>
  </r>
  <r>
    <x v="18"/>
    <x v="42"/>
    <s v="Total Electric Power Industry"/>
    <x v="7"/>
    <n v="27029617"/>
  </r>
  <r>
    <x v="18"/>
    <x v="42"/>
    <s v="Total Electric Power Industry"/>
    <x v="12"/>
    <n v="7917"/>
  </r>
  <r>
    <x v="18"/>
    <x v="42"/>
    <s v="Total Electric Power Industry"/>
    <x v="8"/>
    <n v="35900"/>
  </r>
  <r>
    <x v="18"/>
    <x v="42"/>
    <s v="Total Electric Power Industry"/>
    <x v="9"/>
    <n v="12030"/>
  </r>
  <r>
    <x v="18"/>
    <x v="42"/>
    <s v="Total Electric Power Industry"/>
    <x v="4"/>
    <n v="215684"/>
  </r>
  <r>
    <x v="18"/>
    <x v="42"/>
    <s v="Total Electric Power Industry"/>
    <x v="10"/>
    <n v="-738679"/>
  </r>
  <r>
    <x v="18"/>
    <x v="42"/>
    <s v="Total Electric Power Industry"/>
    <x v="5"/>
    <n v="50117"/>
  </r>
  <r>
    <x v="18"/>
    <x v="42"/>
    <s v="Total Electric Power Industry"/>
    <x v="6"/>
    <n v="879293"/>
  </r>
  <r>
    <x v="18"/>
    <x v="42"/>
    <s v="Electric Generators, Independent Power Producers"/>
    <x v="0"/>
    <n v="78121"/>
  </r>
  <r>
    <x v="18"/>
    <x v="42"/>
    <s v="Electric Generators, Independent Power Producers"/>
    <x v="3"/>
    <n v="2272"/>
  </r>
  <r>
    <x v="18"/>
    <x v="42"/>
    <s v="Electric Generators, Independent Power Producers"/>
    <x v="8"/>
    <n v="27351"/>
  </r>
  <r>
    <x v="18"/>
    <x v="42"/>
    <s v="Electric Generators, Independent Power Producers"/>
    <x v="5"/>
    <n v="48498"/>
  </r>
  <r>
    <x v="18"/>
    <x v="42"/>
    <s v="Electric Generators, Electric Utilities"/>
    <x v="0"/>
    <n v="88262641"/>
  </r>
  <r>
    <x v="18"/>
    <x v="42"/>
    <s v="Electric Generators, Electric Utilities"/>
    <x v="1"/>
    <n v="55752210"/>
  </r>
  <r>
    <x v="18"/>
    <x v="42"/>
    <s v="Electric Generators, Electric Utilities"/>
    <x v="2"/>
    <n v="5646073"/>
  </r>
  <r>
    <x v="18"/>
    <x v="42"/>
    <s v="Electric Generators, Electric Utilities"/>
    <x v="3"/>
    <n v="364568"/>
  </r>
  <r>
    <x v="18"/>
    <x v="42"/>
    <s v="Electric Generators, Electric Utilities"/>
    <x v="7"/>
    <n v="27029617"/>
  </r>
  <r>
    <x v="18"/>
    <x v="42"/>
    <s v="Electric Generators, Electric Utilities"/>
    <x v="8"/>
    <n v="0"/>
  </r>
  <r>
    <x v="18"/>
    <x v="42"/>
    <s v="Electric Generators, Electric Utilities"/>
    <x v="4"/>
    <n v="207233"/>
  </r>
  <r>
    <x v="18"/>
    <x v="42"/>
    <s v="Electric Generators, Electric Utilities"/>
    <x v="10"/>
    <n v="-738679"/>
  </r>
  <r>
    <x v="18"/>
    <x v="42"/>
    <s v="Electric Generators, Electric Utilities"/>
    <x v="5"/>
    <n v="1619"/>
  </r>
  <r>
    <x v="18"/>
    <x v="42"/>
    <s v="Combined Heat and Power, Industrial Power"/>
    <x v="0"/>
    <n v="2240454"/>
  </r>
  <r>
    <x v="18"/>
    <x v="42"/>
    <s v="Combined Heat and Power, Industrial Power"/>
    <x v="1"/>
    <n v="1304194"/>
  </r>
  <r>
    <x v="18"/>
    <x v="42"/>
    <s v="Combined Heat and Power, Industrial Power"/>
    <x v="3"/>
    <n v="20019"/>
  </r>
  <r>
    <x v="18"/>
    <x v="42"/>
    <s v="Combined Heat and Power, Industrial Power"/>
    <x v="12"/>
    <n v="7917"/>
  </r>
  <r>
    <x v="18"/>
    <x v="42"/>
    <s v="Combined Heat and Power, Industrial Power"/>
    <x v="8"/>
    <n v="8549"/>
  </r>
  <r>
    <x v="18"/>
    <x v="42"/>
    <s v="Combined Heat and Power, Industrial Power"/>
    <x v="9"/>
    <n v="12030"/>
  </r>
  <r>
    <x v="18"/>
    <x v="42"/>
    <s v="Combined Heat and Power, Industrial Power"/>
    <x v="4"/>
    <n v="8451"/>
  </r>
  <r>
    <x v="18"/>
    <x v="42"/>
    <s v="Combined Heat and Power, Industrial Power"/>
    <x v="6"/>
    <n v="879293"/>
  </r>
  <r>
    <x v="18"/>
    <x v="42"/>
    <s v="Combined Heat and Power, Commercial Power"/>
    <x v="0"/>
    <n v="82096"/>
  </r>
  <r>
    <x v="18"/>
    <x v="42"/>
    <s v="Combined Heat and Power, Commercial Power"/>
    <x v="1"/>
    <n v="1725"/>
  </r>
  <r>
    <x v="18"/>
    <x v="42"/>
    <s v="Combined Heat and Power, Commercial Power"/>
    <x v="3"/>
    <n v="80371"/>
  </r>
  <r>
    <x v="18"/>
    <x v="43"/>
    <s v="Total Electric Power Industry"/>
    <x v="0"/>
    <n v="404787781"/>
  </r>
  <r>
    <x v="18"/>
    <x v="43"/>
    <s v="Total Electric Power Industry"/>
    <x v="1"/>
    <n v="147131841"/>
  </r>
  <r>
    <x v="18"/>
    <x v="43"/>
    <s v="Total Electric Power Industry"/>
    <x v="2"/>
    <n v="1039467"/>
  </r>
  <r>
    <x v="18"/>
    <x v="43"/>
    <s v="Total Electric Power Industry"/>
    <x v="3"/>
    <n v="193247078"/>
  </r>
  <r>
    <x v="18"/>
    <x v="43"/>
    <s v="Total Electric Power Industry"/>
    <x v="7"/>
    <n v="40727370"/>
  </r>
  <r>
    <x v="18"/>
    <x v="43"/>
    <s v="Total Electric Power Industry"/>
    <x v="12"/>
    <n v="568905"/>
  </r>
  <r>
    <x v="18"/>
    <x v="43"/>
    <s v="Total Electric Power Industry"/>
    <x v="8"/>
    <n v="438473"/>
  </r>
  <r>
    <x v="18"/>
    <x v="43"/>
    <s v="Total Electric Power Industry"/>
    <x v="9"/>
    <n v="3400506"/>
  </r>
  <r>
    <x v="18"/>
    <x v="43"/>
    <s v="Total Electric Power Industry"/>
    <x v="4"/>
    <n v="1033520"/>
  </r>
  <r>
    <x v="18"/>
    <x v="43"/>
    <s v="Total Electric Power Industry"/>
    <x v="5"/>
    <n v="16225022"/>
  </r>
  <r>
    <x v="18"/>
    <x v="43"/>
    <s v="Total Electric Power Industry"/>
    <x v="6"/>
    <n v="975599"/>
  </r>
  <r>
    <x v="18"/>
    <x v="43"/>
    <s v="Electric Generators, Independent Power Producers"/>
    <x v="0"/>
    <n v="229158970"/>
  </r>
  <r>
    <x v="18"/>
    <x v="43"/>
    <s v="Electric Generators, Independent Power Producers"/>
    <x v="1"/>
    <n v="84869030"/>
  </r>
  <r>
    <x v="18"/>
    <x v="43"/>
    <s v="Electric Generators, Independent Power Producers"/>
    <x v="2"/>
    <n v="50282"/>
  </r>
  <r>
    <x v="18"/>
    <x v="43"/>
    <s v="Electric Generators, Independent Power Producers"/>
    <x v="3"/>
    <n v="86813711"/>
  </r>
  <r>
    <x v="18"/>
    <x v="43"/>
    <s v="Electric Generators, Independent Power Producers"/>
    <x v="7"/>
    <n v="40727370"/>
  </r>
  <r>
    <x v="18"/>
    <x v="43"/>
    <s v="Electric Generators, Independent Power Producers"/>
    <x v="12"/>
    <n v="0"/>
  </r>
  <r>
    <x v="18"/>
    <x v="43"/>
    <s v="Electric Generators, Independent Power Producers"/>
    <x v="8"/>
    <n v="387819"/>
  </r>
  <r>
    <x v="18"/>
    <x v="43"/>
    <s v="Electric Generators, Independent Power Producers"/>
    <x v="9"/>
    <n v="0"/>
  </r>
  <r>
    <x v="18"/>
    <x v="43"/>
    <s v="Electric Generators, Independent Power Producers"/>
    <x v="4"/>
    <n v="87015"/>
  </r>
  <r>
    <x v="18"/>
    <x v="43"/>
    <s v="Electric Generators, Independent Power Producers"/>
    <x v="5"/>
    <n v="16223743"/>
  </r>
  <r>
    <x v="18"/>
    <x v="43"/>
    <s v="Electric Generators, Electric Utilities"/>
    <x v="0"/>
    <n v="94637160"/>
  </r>
  <r>
    <x v="18"/>
    <x v="43"/>
    <s v="Electric Generators, Electric Utilities"/>
    <x v="1"/>
    <n v="62262810"/>
  </r>
  <r>
    <x v="18"/>
    <x v="43"/>
    <s v="Electric Generators, Electric Utilities"/>
    <x v="2"/>
    <n v="989185"/>
  </r>
  <r>
    <x v="18"/>
    <x v="43"/>
    <s v="Electric Generators, Electric Utilities"/>
    <x v="3"/>
    <n v="31102952"/>
  </r>
  <r>
    <x v="18"/>
    <x v="43"/>
    <s v="Electric Generators, Electric Utilities"/>
    <x v="12"/>
    <n v="255358"/>
  </r>
  <r>
    <x v="18"/>
    <x v="43"/>
    <s v="Electric Generators, Electric Utilities"/>
    <x v="4"/>
    <n v="25575"/>
  </r>
  <r>
    <x v="18"/>
    <x v="43"/>
    <s v="Electric Generators, Electric Utilities"/>
    <x v="5"/>
    <n v="1279"/>
  </r>
  <r>
    <x v="18"/>
    <x v="43"/>
    <s v="Combined Heat and Power, Industrial Power"/>
    <x v="0"/>
    <n v="34739659"/>
  </r>
  <r>
    <x v="18"/>
    <x v="43"/>
    <s v="Combined Heat and Power, Industrial Power"/>
    <x v="1"/>
    <n v="0"/>
  </r>
  <r>
    <x v="18"/>
    <x v="43"/>
    <s v="Combined Heat and Power, Industrial Power"/>
    <x v="3"/>
    <n v="31728743"/>
  </r>
  <r>
    <x v="18"/>
    <x v="43"/>
    <s v="Combined Heat and Power, Industrial Power"/>
    <x v="12"/>
    <n v="313547"/>
  </r>
  <r>
    <x v="18"/>
    <x v="43"/>
    <s v="Combined Heat and Power, Industrial Power"/>
    <x v="8"/>
    <n v="14351"/>
  </r>
  <r>
    <x v="18"/>
    <x v="43"/>
    <s v="Combined Heat and Power, Industrial Power"/>
    <x v="9"/>
    <n v="1604512"/>
  </r>
  <r>
    <x v="18"/>
    <x v="43"/>
    <s v="Combined Heat and Power, Industrial Power"/>
    <x v="4"/>
    <n v="102905"/>
  </r>
  <r>
    <x v="18"/>
    <x v="43"/>
    <s v="Combined Heat and Power, Industrial Power"/>
    <x v="6"/>
    <n v="975599"/>
  </r>
  <r>
    <x v="18"/>
    <x v="43"/>
    <s v="Combined Heat and Power, Electric Power"/>
    <x v="0"/>
    <n v="45785202"/>
  </r>
  <r>
    <x v="18"/>
    <x v="43"/>
    <s v="Combined Heat and Power, Electric Power"/>
    <x v="3"/>
    <n v="43172031"/>
  </r>
  <r>
    <x v="18"/>
    <x v="43"/>
    <s v="Combined Heat and Power, Electric Power"/>
    <x v="12"/>
    <n v="0"/>
  </r>
  <r>
    <x v="18"/>
    <x v="43"/>
    <s v="Combined Heat and Power, Electric Power"/>
    <x v="9"/>
    <n v="1795994"/>
  </r>
  <r>
    <x v="18"/>
    <x v="43"/>
    <s v="Combined Heat and Power, Electric Power"/>
    <x v="4"/>
    <n v="817178"/>
  </r>
  <r>
    <x v="18"/>
    <x v="43"/>
    <s v="Combined Heat and Power, Commercial Power"/>
    <x v="0"/>
    <n v="466791"/>
  </r>
  <r>
    <x v="18"/>
    <x v="43"/>
    <s v="Combined Heat and Power, Commercial Power"/>
    <x v="3"/>
    <n v="429641"/>
  </r>
  <r>
    <x v="18"/>
    <x v="43"/>
    <s v="Combined Heat and Power, Commercial Power"/>
    <x v="8"/>
    <n v="36303"/>
  </r>
  <r>
    <x v="18"/>
    <x v="43"/>
    <s v="Combined Heat and Power, Commercial Power"/>
    <x v="4"/>
    <n v="846"/>
  </r>
  <r>
    <x v="18"/>
    <x v="44"/>
    <s v="Total Electric Power Industry"/>
    <x v="0"/>
    <n v="4119387760"/>
  </r>
  <r>
    <x v="18"/>
    <x v="44"/>
    <s v="Total Electric Power Industry"/>
    <x v="1"/>
    <n v="1985801247"/>
  </r>
  <r>
    <x v="18"/>
    <x v="44"/>
    <s v="Total Electric Power Industry"/>
    <x v="11"/>
    <n v="14839977"/>
  </r>
  <r>
    <x v="18"/>
    <x v="44"/>
    <s v="Total Electric Power Industry"/>
    <x v="2"/>
    <n v="254831385"/>
  </r>
  <r>
    <x v="18"/>
    <x v="44"/>
    <s v="Total Electric Power Industry"/>
    <x v="3"/>
    <n v="882980599"/>
  </r>
  <r>
    <x v="18"/>
    <x v="44"/>
    <s v="Total Electric Power Industry"/>
    <x v="7"/>
    <n v="806208435"/>
  </r>
  <r>
    <x v="18"/>
    <x v="44"/>
    <s v="Total Electric Power Industry"/>
    <x v="12"/>
    <n v="11803665"/>
  </r>
  <r>
    <x v="18"/>
    <x v="44"/>
    <s v="Total Electric Power Industry"/>
    <x v="8"/>
    <n v="17733759"/>
  </r>
  <r>
    <x v="18"/>
    <x v="44"/>
    <s v="Total Electric Power Industry"/>
    <x v="9"/>
    <n v="11706876"/>
  </r>
  <r>
    <x v="18"/>
    <x v="44"/>
    <s v="Total Electric Power Industry"/>
    <x v="4"/>
    <n v="46242612"/>
  </r>
  <r>
    <x v="18"/>
    <x v="44"/>
    <s v="Total Electric Power Industry"/>
    <x v="10"/>
    <n v="-6288062"/>
  </r>
  <r>
    <x v="18"/>
    <x v="44"/>
    <s v="Total Electric Power Industry"/>
    <x v="13"/>
    <n v="864315"/>
  </r>
  <r>
    <x v="18"/>
    <x v="44"/>
    <s v="Total Electric Power Industry"/>
    <x v="5"/>
    <n v="55363100"/>
  </r>
  <r>
    <x v="18"/>
    <x v="44"/>
    <s v="Total Electric Power Industry"/>
    <x v="6"/>
    <n v="37299853"/>
  </r>
  <r>
    <x v="18"/>
    <x v="44"/>
    <s v="Electric Generators, Independent Power Producers"/>
    <x v="0"/>
    <n v="1332067733"/>
  </r>
  <r>
    <x v="18"/>
    <x v="44"/>
    <s v="Electric Generators, Independent Power Producers"/>
    <x v="1"/>
    <n v="465557982"/>
  </r>
  <r>
    <x v="18"/>
    <x v="44"/>
    <s v="Electric Generators, Independent Power Producers"/>
    <x v="11"/>
    <n v="13642771"/>
  </r>
  <r>
    <x v="18"/>
    <x v="44"/>
    <s v="Electric Generators, Independent Power Producers"/>
    <x v="2"/>
    <n v="23444328"/>
  </r>
  <r>
    <x v="18"/>
    <x v="44"/>
    <s v="Electric Generators, Independent Power Producers"/>
    <x v="3"/>
    <n v="363138306"/>
  </r>
  <r>
    <x v="18"/>
    <x v="44"/>
    <s v="Electric Generators, Independent Power Producers"/>
    <x v="7"/>
    <n v="381952099"/>
  </r>
  <r>
    <x v="18"/>
    <x v="44"/>
    <s v="Electric Generators, Independent Power Producers"/>
    <x v="12"/>
    <n v="5616036"/>
  </r>
  <r>
    <x v="18"/>
    <x v="44"/>
    <s v="Electric Generators, Independent Power Producers"/>
    <x v="8"/>
    <n v="12658557"/>
  </r>
  <r>
    <x v="18"/>
    <x v="44"/>
    <s v="Electric Generators, Independent Power Producers"/>
    <x v="9"/>
    <n v="569"/>
  </r>
  <r>
    <x v="18"/>
    <x v="44"/>
    <s v="Electric Generators, Independent Power Producers"/>
    <x v="4"/>
    <n v="11145320"/>
  </r>
  <r>
    <x v="18"/>
    <x v="44"/>
    <s v="Electric Generators, Independent Power Producers"/>
    <x v="10"/>
    <n v="-1145371"/>
  </r>
  <r>
    <x v="18"/>
    <x v="44"/>
    <s v="Electric Generators, Independent Power Producers"/>
    <x v="13"/>
    <n v="847216"/>
  </r>
  <r>
    <x v="18"/>
    <x v="44"/>
    <s v="Electric Generators, Independent Power Producers"/>
    <x v="5"/>
    <n v="48464213"/>
  </r>
  <r>
    <x v="18"/>
    <x v="44"/>
    <s v="Electric Generators, Independent Power Producers"/>
    <x v="6"/>
    <n v="6745708"/>
  </r>
  <r>
    <x v="18"/>
    <x v="44"/>
    <s v="Electric Generators, Electric Utilities"/>
    <x v="0"/>
    <n v="2475366697"/>
  </r>
  <r>
    <x v="18"/>
    <x v="44"/>
    <s v="Electric Generators, Electric Utilities"/>
    <x v="1"/>
    <n v="1466395192"/>
  </r>
  <r>
    <x v="18"/>
    <x v="44"/>
    <s v="Electric Generators, Electric Utilities"/>
    <x v="11"/>
    <n v="1197206"/>
  </r>
  <r>
    <x v="18"/>
    <x v="44"/>
    <s v="Electric Generators, Electric Utilities"/>
    <x v="2"/>
    <n v="229644880"/>
  </r>
  <r>
    <x v="18"/>
    <x v="44"/>
    <s v="Electric Generators, Electric Utilities"/>
    <x v="3"/>
    <n v="320189965"/>
  </r>
  <r>
    <x v="18"/>
    <x v="44"/>
    <s v="Electric Generators, Electric Utilities"/>
    <x v="7"/>
    <n v="424256336"/>
  </r>
  <r>
    <x v="18"/>
    <x v="44"/>
    <s v="Electric Generators, Electric Utilities"/>
    <x v="12"/>
    <n v="545295"/>
  </r>
  <r>
    <x v="18"/>
    <x v="44"/>
    <s v="Electric Generators, Electric Utilities"/>
    <x v="8"/>
    <n v="1307133"/>
  </r>
  <r>
    <x v="18"/>
    <x v="44"/>
    <s v="Electric Generators, Electric Utilities"/>
    <x v="9"/>
    <n v="45941"/>
  </r>
  <r>
    <x v="18"/>
    <x v="44"/>
    <s v="Electric Generators, Electric Utilities"/>
    <x v="4"/>
    <n v="28123785"/>
  </r>
  <r>
    <x v="18"/>
    <x v="44"/>
    <s v="Electric Generators, Electric Utilities"/>
    <x v="10"/>
    <n v="-5142691"/>
  </r>
  <r>
    <x v="18"/>
    <x v="44"/>
    <s v="Electric Generators, Electric Utilities"/>
    <x v="13"/>
    <n v="17019"/>
  </r>
  <r>
    <x v="18"/>
    <x v="44"/>
    <s v="Electric Generators, Electric Utilities"/>
    <x v="5"/>
    <n v="6898887"/>
  </r>
  <r>
    <x v="18"/>
    <x v="44"/>
    <s v="Electric Generators, Electric Utilities"/>
    <x v="6"/>
    <n v="1887748"/>
  </r>
  <r>
    <x v="18"/>
    <x v="44"/>
    <s v="Combined Heat and Power, Industrial Power"/>
    <x v="0"/>
    <n v="137113172"/>
  </r>
  <r>
    <x v="18"/>
    <x v="44"/>
    <s v="Combined Heat and Power, Industrial Power"/>
    <x v="1"/>
    <n v="15702543"/>
  </r>
  <r>
    <x v="18"/>
    <x v="44"/>
    <s v="Combined Heat and Power, Industrial Power"/>
    <x v="2"/>
    <n v="1675889"/>
  </r>
  <r>
    <x v="18"/>
    <x v="44"/>
    <s v="Combined Heat and Power, Industrial Power"/>
    <x v="3"/>
    <n v="76421301"/>
  </r>
  <r>
    <x v="18"/>
    <x v="44"/>
    <s v="Combined Heat and Power, Industrial Power"/>
    <x v="12"/>
    <n v="4124817"/>
  </r>
  <r>
    <x v="18"/>
    <x v="44"/>
    <s v="Combined Heat and Power, Industrial Power"/>
    <x v="8"/>
    <n v="821394"/>
  </r>
  <r>
    <x v="18"/>
    <x v="44"/>
    <s v="Combined Heat and Power, Industrial Power"/>
    <x v="9"/>
    <n v="8507173"/>
  </r>
  <r>
    <x v="18"/>
    <x v="44"/>
    <s v="Combined Heat and Power, Industrial Power"/>
    <x v="4"/>
    <n v="3219167"/>
  </r>
  <r>
    <x v="18"/>
    <x v="44"/>
    <s v="Combined Heat and Power, Industrial Power"/>
    <x v="13"/>
    <n v="0"/>
  </r>
  <r>
    <x v="18"/>
    <x v="44"/>
    <s v="Combined Heat and Power, Industrial Power"/>
    <x v="6"/>
    <n v="26640889"/>
  </r>
  <r>
    <x v="18"/>
    <x v="44"/>
    <s v="Combined Heat and Power, Electric Power"/>
    <x v="0"/>
    <n v="166914506"/>
  </r>
  <r>
    <x v="18"/>
    <x v="44"/>
    <s v="Combined Heat and Power, Electric Power"/>
    <x v="1"/>
    <n v="36884408"/>
  </r>
  <r>
    <x v="18"/>
    <x v="44"/>
    <s v="Combined Heat and Power, Electric Power"/>
    <x v="2"/>
    <n v="6331"/>
  </r>
  <r>
    <x v="18"/>
    <x v="44"/>
    <s v="Combined Heat and Power, Electric Power"/>
    <x v="3"/>
    <n v="119043240"/>
  </r>
  <r>
    <x v="18"/>
    <x v="44"/>
    <s v="Combined Heat and Power, Electric Power"/>
    <x v="12"/>
    <n v="797985"/>
  </r>
  <r>
    <x v="18"/>
    <x v="44"/>
    <s v="Combined Heat and Power, Electric Power"/>
    <x v="8"/>
    <n v="1413030"/>
  </r>
  <r>
    <x v="18"/>
    <x v="44"/>
    <s v="Combined Heat and Power, Electric Power"/>
    <x v="9"/>
    <n v="3153193"/>
  </r>
  <r>
    <x v="18"/>
    <x v="44"/>
    <s v="Combined Heat and Power, Electric Power"/>
    <x v="4"/>
    <n v="3612114"/>
  </r>
  <r>
    <x v="18"/>
    <x v="44"/>
    <s v="Combined Heat and Power, Electric Power"/>
    <x v="6"/>
    <n v="2004205"/>
  </r>
  <r>
    <x v="18"/>
    <x v="44"/>
    <s v="Combined Heat and Power, Commercial Power"/>
    <x v="0"/>
    <n v="7925652"/>
  </r>
  <r>
    <x v="18"/>
    <x v="44"/>
    <s v="Combined Heat and Power, Commercial Power"/>
    <x v="1"/>
    <n v="1261122"/>
  </r>
  <r>
    <x v="18"/>
    <x v="44"/>
    <s v="Combined Heat and Power, Commercial Power"/>
    <x v="2"/>
    <n v="59957"/>
  </r>
  <r>
    <x v="18"/>
    <x v="44"/>
    <s v="Combined Heat and Power, Commercial Power"/>
    <x v="3"/>
    <n v="4187787"/>
  </r>
  <r>
    <x v="18"/>
    <x v="44"/>
    <s v="Combined Heat and Power, Commercial Power"/>
    <x v="12"/>
    <n v="719532"/>
  </r>
  <r>
    <x v="18"/>
    <x v="44"/>
    <s v="Combined Heat and Power, Commercial Power"/>
    <x v="8"/>
    <n v="1533645"/>
  </r>
  <r>
    <x v="18"/>
    <x v="44"/>
    <s v="Combined Heat and Power, Commercial Power"/>
    <x v="9"/>
    <n v="0"/>
  </r>
  <r>
    <x v="18"/>
    <x v="44"/>
    <s v="Combined Heat and Power, Commercial Power"/>
    <x v="4"/>
    <n v="142226"/>
  </r>
  <r>
    <x v="18"/>
    <x v="44"/>
    <s v="Combined Heat and Power, Commercial Power"/>
    <x v="13"/>
    <n v="80"/>
  </r>
  <r>
    <x v="18"/>
    <x v="44"/>
    <s v="Combined Heat and Power, Commercial Power"/>
    <x v="6"/>
    <n v="21303"/>
  </r>
  <r>
    <x v="18"/>
    <x v="45"/>
    <s v="Total Electric Power Industry"/>
    <x v="0"/>
    <n v="46578763"/>
  </r>
  <r>
    <x v="18"/>
    <x v="45"/>
    <s v="Total Electric Power Industry"/>
    <x v="1"/>
    <n v="38020367"/>
  </r>
  <r>
    <x v="18"/>
    <x v="45"/>
    <s v="Total Electric Power Industry"/>
    <x v="11"/>
    <n v="254277"/>
  </r>
  <r>
    <x v="18"/>
    <x v="45"/>
    <s v="Total Electric Power Industry"/>
    <x v="2"/>
    <n v="668084"/>
  </r>
  <r>
    <x v="18"/>
    <x v="45"/>
    <s v="Total Electric Power Industry"/>
    <x v="3"/>
    <n v="7366307"/>
  </r>
  <r>
    <x v="18"/>
    <x v="45"/>
    <s v="Total Electric Power Industry"/>
    <x v="12"/>
    <n v="142743"/>
  </r>
  <r>
    <x v="18"/>
    <x v="45"/>
    <s v="Total Electric Power Industry"/>
    <x v="8"/>
    <n v="23685"/>
  </r>
  <r>
    <x v="18"/>
    <x v="45"/>
    <s v="Total Electric Power Industry"/>
    <x v="9"/>
    <n v="35788"/>
  </r>
  <r>
    <x v="18"/>
    <x v="45"/>
    <s v="Total Electric Power Industry"/>
    <x v="4"/>
    <n v="43612"/>
  </r>
  <r>
    <x v="18"/>
    <x v="45"/>
    <s v="Total Electric Power Industry"/>
    <x v="5"/>
    <n v="23900"/>
  </r>
  <r>
    <x v="18"/>
    <x v="45"/>
    <s v="Electric Generators, Independent Power Producers"/>
    <x v="0"/>
    <n v="976356"/>
  </r>
  <r>
    <x v="18"/>
    <x v="45"/>
    <s v="Electric Generators, Independent Power Producers"/>
    <x v="1"/>
    <n v="414164"/>
  </r>
  <r>
    <x v="18"/>
    <x v="45"/>
    <s v="Electric Generators, Independent Power Producers"/>
    <x v="2"/>
    <n v="9051"/>
  </r>
  <r>
    <x v="18"/>
    <x v="45"/>
    <s v="Electric Generators, Independent Power Producers"/>
    <x v="3"/>
    <n v="504393"/>
  </r>
  <r>
    <x v="18"/>
    <x v="45"/>
    <s v="Electric Generators, Independent Power Producers"/>
    <x v="8"/>
    <n v="24848"/>
  </r>
  <r>
    <x v="18"/>
    <x v="45"/>
    <s v="Electric Generators, Independent Power Producers"/>
    <x v="4"/>
    <n v="0"/>
  </r>
  <r>
    <x v="18"/>
    <x v="45"/>
    <s v="Electric Generators, Independent Power Producers"/>
    <x v="5"/>
    <n v="23900"/>
  </r>
  <r>
    <x v="18"/>
    <x v="45"/>
    <s v="Electric Generators, Electric Utilities"/>
    <x v="0"/>
    <n v="44424071"/>
  </r>
  <r>
    <x v="18"/>
    <x v="45"/>
    <s v="Electric Generators, Electric Utilities"/>
    <x v="1"/>
    <n v="36761964"/>
  </r>
  <r>
    <x v="18"/>
    <x v="45"/>
    <s v="Electric Generators, Electric Utilities"/>
    <x v="11"/>
    <n v="254277"/>
  </r>
  <r>
    <x v="18"/>
    <x v="45"/>
    <s v="Electric Generators, Electric Utilities"/>
    <x v="2"/>
    <n v="659033"/>
  </r>
  <r>
    <x v="18"/>
    <x v="45"/>
    <s v="Electric Generators, Electric Utilities"/>
    <x v="3"/>
    <n v="6705185"/>
  </r>
  <r>
    <x v="18"/>
    <x v="45"/>
    <s v="Electric Generators, Electric Utilities"/>
    <x v="4"/>
    <n v="43612"/>
  </r>
  <r>
    <x v="18"/>
    <x v="45"/>
    <s v="Combined Heat and Power, Industrial Power"/>
    <x v="0"/>
    <n v="1174649"/>
  </r>
  <r>
    <x v="18"/>
    <x v="45"/>
    <s v="Combined Heat and Power, Industrial Power"/>
    <x v="1"/>
    <n v="844238"/>
  </r>
  <r>
    <x v="18"/>
    <x v="45"/>
    <s v="Combined Heat and Power, Industrial Power"/>
    <x v="3"/>
    <n v="150967"/>
  </r>
  <r>
    <x v="18"/>
    <x v="45"/>
    <s v="Combined Heat and Power, Industrial Power"/>
    <x v="12"/>
    <n v="143656"/>
  </r>
  <r>
    <x v="18"/>
    <x v="45"/>
    <s v="Combined Heat and Power, Industrial Power"/>
    <x v="9"/>
    <n v="35788"/>
  </r>
  <r>
    <x v="18"/>
    <x v="45"/>
    <s v="Combined Heat and Power, Electric Power"/>
    <x v="0"/>
    <n v="-2076"/>
  </r>
  <r>
    <x v="18"/>
    <x v="45"/>
    <s v="Combined Heat and Power, Electric Power"/>
    <x v="12"/>
    <n v="-913"/>
  </r>
  <r>
    <x v="18"/>
    <x v="45"/>
    <s v="Combined Heat and Power, Electric Power"/>
    <x v="8"/>
    <n v="-1163"/>
  </r>
  <r>
    <x v="18"/>
    <x v="45"/>
    <s v="Combined Heat and Power, Electric Power"/>
    <x v="4"/>
    <n v="0"/>
  </r>
  <r>
    <x v="18"/>
    <x v="45"/>
    <s v="Combined Heat and Power, Commercial Power"/>
    <x v="0"/>
    <n v="5762"/>
  </r>
  <r>
    <x v="18"/>
    <x v="45"/>
    <s v="Combined Heat and Power, Commercial Power"/>
    <x v="3"/>
    <n v="5762"/>
  </r>
  <r>
    <x v="18"/>
    <x v="45"/>
    <s v="Combined Heat and Power, Commercial Power"/>
    <x v="9"/>
    <n v="0"/>
  </r>
  <r>
    <x v="18"/>
    <x v="45"/>
    <s v="Combined Heat and Power, Commercial Power"/>
    <x v="4"/>
    <n v="0"/>
  </r>
  <r>
    <x v="18"/>
    <x v="46"/>
    <s v="Total Electric Power Industry"/>
    <x v="0"/>
    <n v="72678531"/>
  </r>
  <r>
    <x v="18"/>
    <x v="46"/>
    <s v="Total Electric Power Industry"/>
    <x v="1"/>
    <n v="31776356"/>
  </r>
  <r>
    <x v="18"/>
    <x v="46"/>
    <s v="Total Electric Power Industry"/>
    <x v="2"/>
    <n v="1010993"/>
  </r>
  <r>
    <x v="18"/>
    <x v="46"/>
    <s v="Total Electric Power Industry"/>
    <x v="3"/>
    <n v="9315083"/>
  </r>
  <r>
    <x v="18"/>
    <x v="46"/>
    <s v="Total Electric Power Industry"/>
    <x v="7"/>
    <n v="27930764"/>
  </r>
  <r>
    <x v="18"/>
    <x v="46"/>
    <s v="Total Electric Power Industry"/>
    <x v="12"/>
    <n v="434205"/>
  </r>
  <r>
    <x v="18"/>
    <x v="46"/>
    <s v="Total Electric Power Industry"/>
    <x v="8"/>
    <n v="782172"/>
  </r>
  <r>
    <x v="18"/>
    <x v="46"/>
    <s v="Total Electric Power Industry"/>
    <x v="4"/>
    <n v="1150360"/>
  </r>
  <r>
    <x v="18"/>
    <x v="46"/>
    <s v="Total Electric Power Industry"/>
    <x v="10"/>
    <n v="-1637688"/>
  </r>
  <r>
    <x v="18"/>
    <x v="46"/>
    <s v="Total Electric Power Industry"/>
    <x v="6"/>
    <n v="1916288"/>
  </r>
  <r>
    <x v="18"/>
    <x v="46"/>
    <s v="Electric Generators, Independent Power Producers"/>
    <x v="0"/>
    <n v="4969674"/>
  </r>
  <r>
    <x v="18"/>
    <x v="46"/>
    <s v="Electric Generators, Independent Power Producers"/>
    <x v="1"/>
    <n v="808244"/>
  </r>
  <r>
    <x v="18"/>
    <x v="46"/>
    <s v="Electric Generators, Independent Power Producers"/>
    <x v="2"/>
    <n v="54671"/>
  </r>
  <r>
    <x v="18"/>
    <x v="46"/>
    <s v="Electric Generators, Independent Power Producers"/>
    <x v="3"/>
    <n v="3189137"/>
  </r>
  <r>
    <x v="18"/>
    <x v="46"/>
    <s v="Electric Generators, Independent Power Producers"/>
    <x v="12"/>
    <n v="259028"/>
  </r>
  <r>
    <x v="18"/>
    <x v="46"/>
    <s v="Electric Generators, Independent Power Producers"/>
    <x v="8"/>
    <n v="560897"/>
  </r>
  <r>
    <x v="18"/>
    <x v="46"/>
    <s v="Electric Generators, Independent Power Producers"/>
    <x v="4"/>
    <n v="97696"/>
  </r>
  <r>
    <x v="18"/>
    <x v="46"/>
    <s v="Electric Generators, Electric Utilities"/>
    <x v="0"/>
    <n v="59780402"/>
  </r>
  <r>
    <x v="18"/>
    <x v="46"/>
    <s v="Electric Generators, Electric Utilities"/>
    <x v="1"/>
    <n v="25779154"/>
  </r>
  <r>
    <x v="18"/>
    <x v="46"/>
    <s v="Electric Generators, Electric Utilities"/>
    <x v="2"/>
    <n v="947412"/>
  </r>
  <r>
    <x v="18"/>
    <x v="46"/>
    <s v="Electric Generators, Electric Utilities"/>
    <x v="3"/>
    <n v="5350551"/>
  </r>
  <r>
    <x v="18"/>
    <x v="46"/>
    <s v="Electric Generators, Electric Utilities"/>
    <x v="7"/>
    <n v="27930764"/>
  </r>
  <r>
    <x v="18"/>
    <x v="46"/>
    <s v="Electric Generators, Electric Utilities"/>
    <x v="4"/>
    <n v="903428"/>
  </r>
  <r>
    <x v="18"/>
    <x v="46"/>
    <s v="Electric Generators, Electric Utilities"/>
    <x v="10"/>
    <n v="-1637688"/>
  </r>
  <r>
    <x v="18"/>
    <x v="46"/>
    <s v="Electric Generators, Electric Utilities"/>
    <x v="6"/>
    <n v="506781"/>
  </r>
  <r>
    <x v="18"/>
    <x v="46"/>
    <s v="Combined Heat and Power, Industrial Power"/>
    <x v="0"/>
    <n v="2522070"/>
  </r>
  <r>
    <x v="18"/>
    <x v="46"/>
    <s v="Combined Heat and Power, Industrial Power"/>
    <x v="1"/>
    <n v="908302"/>
  </r>
  <r>
    <x v="18"/>
    <x v="46"/>
    <s v="Combined Heat and Power, Industrial Power"/>
    <x v="2"/>
    <n v="8910"/>
  </r>
  <r>
    <x v="18"/>
    <x v="46"/>
    <s v="Combined Heat and Power, Industrial Power"/>
    <x v="3"/>
    <n v="132640"/>
  </r>
  <r>
    <x v="18"/>
    <x v="46"/>
    <s v="Combined Heat and Power, Industrial Power"/>
    <x v="12"/>
    <n v="1721"/>
  </r>
  <r>
    <x v="18"/>
    <x v="46"/>
    <s v="Combined Heat and Power, Industrial Power"/>
    <x v="8"/>
    <n v="20824"/>
  </r>
  <r>
    <x v="18"/>
    <x v="46"/>
    <s v="Combined Heat and Power, Industrial Power"/>
    <x v="4"/>
    <n v="40166"/>
  </r>
  <r>
    <x v="18"/>
    <x v="46"/>
    <s v="Combined Heat and Power, Industrial Power"/>
    <x v="6"/>
    <n v="1409507"/>
  </r>
  <r>
    <x v="18"/>
    <x v="46"/>
    <s v="Combined Heat and Power, Electric Power"/>
    <x v="0"/>
    <n v="5020046"/>
  </r>
  <r>
    <x v="18"/>
    <x v="46"/>
    <s v="Combined Heat and Power, Electric Power"/>
    <x v="1"/>
    <n v="4252266"/>
  </r>
  <r>
    <x v="18"/>
    <x v="46"/>
    <s v="Combined Heat and Power, Electric Power"/>
    <x v="3"/>
    <n v="642755"/>
  </r>
  <r>
    <x v="18"/>
    <x v="46"/>
    <s v="Combined Heat and Power, Electric Power"/>
    <x v="12"/>
    <n v="15956"/>
  </r>
  <r>
    <x v="18"/>
    <x v="46"/>
    <s v="Combined Heat and Power, Electric Power"/>
    <x v="4"/>
    <n v="109069"/>
  </r>
  <r>
    <x v="18"/>
    <x v="46"/>
    <s v="Combined Heat and Power, Commercial Power"/>
    <x v="0"/>
    <n v="386340"/>
  </r>
  <r>
    <x v="18"/>
    <x v="46"/>
    <s v="Combined Heat and Power, Commercial Power"/>
    <x v="1"/>
    <n v="28390"/>
  </r>
  <r>
    <x v="18"/>
    <x v="46"/>
    <s v="Combined Heat and Power, Commercial Power"/>
    <x v="12"/>
    <n v="157499"/>
  </r>
  <r>
    <x v="18"/>
    <x v="46"/>
    <s v="Combined Heat and Power, Commercial Power"/>
    <x v="8"/>
    <n v="200451"/>
  </r>
  <r>
    <x v="18"/>
    <x v="46"/>
    <s v="Combined Heat and Power, Commercial Power"/>
    <x v="4"/>
    <n v="0"/>
  </r>
  <r>
    <x v="18"/>
    <x v="47"/>
    <s v="Total Electric Power Industry"/>
    <x v="0"/>
    <n v="6820216"/>
  </r>
  <r>
    <x v="18"/>
    <x v="47"/>
    <s v="Total Electric Power Industry"/>
    <x v="2"/>
    <n v="1492904"/>
  </r>
  <r>
    <x v="18"/>
    <x v="47"/>
    <s v="Total Electric Power Industry"/>
    <x v="3"/>
    <n v="2655"/>
  </r>
  <r>
    <x v="18"/>
    <x v="47"/>
    <s v="Total Electric Power Industry"/>
    <x v="7"/>
    <n v="4895053"/>
  </r>
  <r>
    <x v="18"/>
    <x v="47"/>
    <s v="Total Electric Power Industry"/>
    <x v="8"/>
    <n v="0"/>
  </r>
  <r>
    <x v="18"/>
    <x v="47"/>
    <s v="Total Electric Power Industry"/>
    <x v="4"/>
    <n v="4266"/>
  </r>
  <r>
    <x v="18"/>
    <x v="47"/>
    <s v="Total Electric Power Industry"/>
    <x v="5"/>
    <n v="10235"/>
  </r>
  <r>
    <x v="18"/>
    <x v="47"/>
    <s v="Total Electric Power Industry"/>
    <x v="6"/>
    <n v="415103"/>
  </r>
  <r>
    <x v="18"/>
    <x v="47"/>
    <s v="Electric Generators, Independent Power Producers"/>
    <x v="0"/>
    <n v="6046320"/>
  </r>
  <r>
    <x v="18"/>
    <x v="47"/>
    <s v="Electric Generators, Independent Power Producers"/>
    <x v="2"/>
    <n v="985601"/>
  </r>
  <r>
    <x v="18"/>
    <x v="47"/>
    <s v="Electric Generators, Independent Power Producers"/>
    <x v="7"/>
    <n v="4895053"/>
  </r>
  <r>
    <x v="18"/>
    <x v="47"/>
    <s v="Electric Generators, Independent Power Producers"/>
    <x v="8"/>
    <n v="0"/>
  </r>
  <r>
    <x v="18"/>
    <x v="47"/>
    <s v="Electric Generators, Independent Power Producers"/>
    <x v="6"/>
    <n v="165666"/>
  </r>
  <r>
    <x v="18"/>
    <x v="47"/>
    <s v="Electric Generators, Electric Utilities"/>
    <x v="0"/>
    <n v="752800"/>
  </r>
  <r>
    <x v="18"/>
    <x v="47"/>
    <s v="Electric Generators, Electric Utilities"/>
    <x v="2"/>
    <n v="486207"/>
  </r>
  <r>
    <x v="18"/>
    <x v="47"/>
    <s v="Electric Generators, Electric Utilities"/>
    <x v="3"/>
    <n v="2655"/>
  </r>
  <r>
    <x v="18"/>
    <x v="47"/>
    <s v="Electric Generators, Electric Utilities"/>
    <x v="4"/>
    <n v="4266"/>
  </r>
  <r>
    <x v="18"/>
    <x v="47"/>
    <s v="Electric Generators, Electric Utilities"/>
    <x v="5"/>
    <n v="10235"/>
  </r>
  <r>
    <x v="18"/>
    <x v="47"/>
    <s v="Electric Generators, Electric Utilities"/>
    <x v="6"/>
    <n v="249437"/>
  </r>
  <r>
    <x v="18"/>
    <x v="47"/>
    <s v="Combined Heat and Power, Industrial Power"/>
    <x v="0"/>
    <n v="21096"/>
  </r>
  <r>
    <x v="18"/>
    <x v="47"/>
    <s v="Combined Heat and Power, Industrial Power"/>
    <x v="2"/>
    <n v="21096"/>
  </r>
  <r>
    <x v="18"/>
    <x v="47"/>
    <s v="Combined Heat and Power, Industrial Power"/>
    <x v="6"/>
    <n v="0"/>
  </r>
  <r>
    <x v="18"/>
    <x v="48"/>
    <s v="Total Electric Power Industry"/>
    <x v="0"/>
    <n v="110828451"/>
  </r>
  <r>
    <x v="18"/>
    <x v="48"/>
    <s v="Total Electric Power Industry"/>
    <x v="1"/>
    <n v="8761644"/>
  </r>
  <r>
    <x v="18"/>
    <x v="48"/>
    <s v="Total Electric Power Industry"/>
    <x v="2"/>
    <n v="77636758"/>
  </r>
  <r>
    <x v="18"/>
    <x v="48"/>
    <s v="Total Electric Power Industry"/>
    <x v="3"/>
    <n v="9809354"/>
  </r>
  <r>
    <x v="18"/>
    <x v="48"/>
    <s v="Total Electric Power Industry"/>
    <x v="7"/>
    <n v="9269639"/>
  </r>
  <r>
    <x v="18"/>
    <x v="48"/>
    <s v="Total Electric Power Industry"/>
    <x v="12"/>
    <n v="56377"/>
  </r>
  <r>
    <x v="18"/>
    <x v="48"/>
    <s v="Total Electric Power Industry"/>
    <x v="8"/>
    <n v="167881"/>
  </r>
  <r>
    <x v="18"/>
    <x v="48"/>
    <s v="Total Electric Power Industry"/>
    <x v="9"/>
    <n v="272339"/>
  </r>
  <r>
    <x v="18"/>
    <x v="48"/>
    <s v="Total Electric Power Industry"/>
    <x v="4"/>
    <n v="35189"/>
  </r>
  <r>
    <x v="18"/>
    <x v="48"/>
    <s v="Total Electric Power Industry"/>
    <x v="10"/>
    <n v="48713"/>
  </r>
  <r>
    <x v="18"/>
    <x v="48"/>
    <s v="Total Electric Power Industry"/>
    <x v="13"/>
    <n v="0"/>
  </r>
  <r>
    <x v="18"/>
    <x v="48"/>
    <s v="Total Electric Power Industry"/>
    <x v="5"/>
    <n v="3657484"/>
  </r>
  <r>
    <x v="18"/>
    <x v="48"/>
    <s v="Total Electric Power Industry"/>
    <x v="6"/>
    <n v="1113073"/>
  </r>
  <r>
    <x v="18"/>
    <x v="48"/>
    <s v="Electric Generators, Independent Power Producers"/>
    <x v="0"/>
    <n v="14907806"/>
  </r>
  <r>
    <x v="18"/>
    <x v="48"/>
    <s v="Electric Generators, Independent Power Producers"/>
    <x v="1"/>
    <n v="8727176"/>
  </r>
  <r>
    <x v="18"/>
    <x v="48"/>
    <s v="Electric Generators, Independent Power Producers"/>
    <x v="2"/>
    <n v="156922"/>
  </r>
  <r>
    <x v="18"/>
    <x v="48"/>
    <s v="Electric Generators, Independent Power Producers"/>
    <x v="3"/>
    <n v="4215159"/>
  </r>
  <r>
    <x v="18"/>
    <x v="48"/>
    <s v="Electric Generators, Independent Power Producers"/>
    <x v="12"/>
    <n v="56377"/>
  </r>
  <r>
    <x v="18"/>
    <x v="48"/>
    <s v="Electric Generators, Independent Power Producers"/>
    <x v="8"/>
    <n v="73277"/>
  </r>
  <r>
    <x v="18"/>
    <x v="48"/>
    <s v="Electric Generators, Independent Power Producers"/>
    <x v="4"/>
    <n v="9908"/>
  </r>
  <r>
    <x v="18"/>
    <x v="48"/>
    <s v="Electric Generators, Independent Power Producers"/>
    <x v="5"/>
    <n v="1668987"/>
  </r>
  <r>
    <x v="18"/>
    <x v="48"/>
    <s v="Electric Generators, Electric Utilities"/>
    <x v="0"/>
    <n v="93162079"/>
  </r>
  <r>
    <x v="18"/>
    <x v="48"/>
    <s v="Electric Generators, Electric Utilities"/>
    <x v="2"/>
    <n v="77431888"/>
  </r>
  <r>
    <x v="18"/>
    <x v="48"/>
    <s v="Electric Generators, Electric Utilities"/>
    <x v="3"/>
    <n v="4130896"/>
  </r>
  <r>
    <x v="18"/>
    <x v="48"/>
    <s v="Electric Generators, Electric Utilities"/>
    <x v="7"/>
    <n v="9269639"/>
  </r>
  <r>
    <x v="18"/>
    <x v="48"/>
    <s v="Electric Generators, Electric Utilities"/>
    <x v="8"/>
    <n v="82683"/>
  </r>
  <r>
    <x v="18"/>
    <x v="48"/>
    <s v="Electric Generators, Electric Utilities"/>
    <x v="4"/>
    <n v="9252"/>
  </r>
  <r>
    <x v="18"/>
    <x v="48"/>
    <s v="Electric Generators, Electric Utilities"/>
    <x v="10"/>
    <n v="48713"/>
  </r>
  <r>
    <x v="18"/>
    <x v="48"/>
    <s v="Electric Generators, Electric Utilities"/>
    <x v="13"/>
    <n v="0"/>
  </r>
  <r>
    <x v="18"/>
    <x v="48"/>
    <s v="Electric Generators, Electric Utilities"/>
    <x v="5"/>
    <n v="1988497"/>
  </r>
  <r>
    <x v="18"/>
    <x v="48"/>
    <s v="Electric Generators, Electric Utilities"/>
    <x v="6"/>
    <n v="200512"/>
  </r>
  <r>
    <x v="18"/>
    <x v="48"/>
    <s v="Combined Heat and Power, Industrial Power"/>
    <x v="0"/>
    <n v="836018"/>
  </r>
  <r>
    <x v="18"/>
    <x v="48"/>
    <s v="Combined Heat and Power, Industrial Power"/>
    <x v="1"/>
    <n v="34468"/>
  </r>
  <r>
    <x v="18"/>
    <x v="48"/>
    <s v="Combined Heat and Power, Industrial Power"/>
    <x v="2"/>
    <n v="2323"/>
  </r>
  <r>
    <x v="18"/>
    <x v="48"/>
    <s v="Combined Heat and Power, Industrial Power"/>
    <x v="3"/>
    <n v="37034"/>
  </r>
  <r>
    <x v="18"/>
    <x v="48"/>
    <s v="Combined Heat and Power, Industrial Power"/>
    <x v="8"/>
    <n v="11921"/>
  </r>
  <r>
    <x v="18"/>
    <x v="48"/>
    <s v="Combined Heat and Power, Industrial Power"/>
    <x v="4"/>
    <n v="15195"/>
  </r>
  <r>
    <x v="18"/>
    <x v="48"/>
    <s v="Combined Heat and Power, Industrial Power"/>
    <x v="6"/>
    <n v="735077"/>
  </r>
  <r>
    <x v="18"/>
    <x v="48"/>
    <s v="Combined Heat and Power, Electric Power"/>
    <x v="0"/>
    <n v="1859588"/>
  </r>
  <r>
    <x v="18"/>
    <x v="48"/>
    <s v="Combined Heat and Power, Electric Power"/>
    <x v="3"/>
    <n v="1409309"/>
  </r>
  <r>
    <x v="18"/>
    <x v="48"/>
    <s v="Combined Heat and Power, Electric Power"/>
    <x v="9"/>
    <n v="272339"/>
  </r>
  <r>
    <x v="18"/>
    <x v="48"/>
    <s v="Combined Heat and Power, Electric Power"/>
    <x v="4"/>
    <n v="456"/>
  </r>
  <r>
    <x v="18"/>
    <x v="48"/>
    <s v="Combined Heat and Power, Electric Power"/>
    <x v="6"/>
    <n v="177484"/>
  </r>
  <r>
    <x v="18"/>
    <x v="48"/>
    <s v="Combined Heat and Power, Commercial Power"/>
    <x v="0"/>
    <n v="62959"/>
  </r>
  <r>
    <x v="18"/>
    <x v="48"/>
    <s v="Combined Heat and Power, Commercial Power"/>
    <x v="2"/>
    <n v="45625"/>
  </r>
  <r>
    <x v="18"/>
    <x v="48"/>
    <s v="Combined Heat and Power, Commercial Power"/>
    <x v="3"/>
    <n v="16956"/>
  </r>
  <r>
    <x v="18"/>
    <x v="48"/>
    <s v="Combined Heat and Power, Commercial Power"/>
    <x v="4"/>
    <n v="378"/>
  </r>
  <r>
    <x v="18"/>
    <x v="49"/>
    <s v="Total Electric Power Industry"/>
    <x v="0"/>
    <n v="63479555"/>
  </r>
  <r>
    <x v="18"/>
    <x v="49"/>
    <s v="Total Electric Power Industry"/>
    <x v="1"/>
    <n v="41705860"/>
  </r>
  <r>
    <x v="18"/>
    <x v="49"/>
    <s v="Total Electric Power Industry"/>
    <x v="2"/>
    <n v="1616142"/>
  </r>
  <r>
    <x v="18"/>
    <x v="49"/>
    <s v="Total Electric Power Industry"/>
    <x v="3"/>
    <n v="5243589"/>
  </r>
  <r>
    <x v="18"/>
    <x v="49"/>
    <s v="Total Electric Power Industry"/>
    <x v="7"/>
    <n v="12154510"/>
  </r>
  <r>
    <x v="18"/>
    <x v="49"/>
    <s v="Total Electric Power Industry"/>
    <x v="12"/>
    <n v="74358"/>
  </r>
  <r>
    <x v="18"/>
    <x v="49"/>
    <s v="Total Electric Power Industry"/>
    <x v="8"/>
    <n v="491754"/>
  </r>
  <r>
    <x v="18"/>
    <x v="49"/>
    <s v="Total Electric Power Industry"/>
    <x v="4"/>
    <n v="931160"/>
  </r>
  <r>
    <x v="18"/>
    <x v="49"/>
    <s v="Total Electric Power Industry"/>
    <x v="5"/>
    <n v="487141"/>
  </r>
  <r>
    <x v="18"/>
    <x v="49"/>
    <s v="Total Electric Power Industry"/>
    <x v="6"/>
    <n v="775040"/>
  </r>
  <r>
    <x v="18"/>
    <x v="49"/>
    <s v="Electric Generators, Independent Power Producers"/>
    <x v="0"/>
    <n v="14498692"/>
  </r>
  <r>
    <x v="18"/>
    <x v="49"/>
    <s v="Electric Generators, Independent Power Producers"/>
    <x v="1"/>
    <n v="21269"/>
  </r>
  <r>
    <x v="18"/>
    <x v="49"/>
    <s v="Electric Generators, Independent Power Producers"/>
    <x v="2"/>
    <n v="25022"/>
  </r>
  <r>
    <x v="18"/>
    <x v="49"/>
    <s v="Electric Generators, Independent Power Producers"/>
    <x v="3"/>
    <n v="1696169"/>
  </r>
  <r>
    <x v="18"/>
    <x v="49"/>
    <s v="Electric Generators, Independent Power Producers"/>
    <x v="7"/>
    <n v="12154510"/>
  </r>
  <r>
    <x v="18"/>
    <x v="49"/>
    <s v="Electric Generators, Independent Power Producers"/>
    <x v="8"/>
    <n v="376516"/>
  </r>
  <r>
    <x v="18"/>
    <x v="49"/>
    <s v="Electric Generators, Independent Power Producers"/>
    <x v="4"/>
    <n v="1456"/>
  </r>
  <r>
    <x v="18"/>
    <x v="49"/>
    <s v="Electric Generators, Independent Power Producers"/>
    <x v="5"/>
    <n v="223749"/>
  </r>
  <r>
    <x v="18"/>
    <x v="49"/>
    <s v="Electric Generators, Electric Utilities"/>
    <x v="0"/>
    <n v="45536712"/>
  </r>
  <r>
    <x v="18"/>
    <x v="49"/>
    <s v="Electric Generators, Electric Utilities"/>
    <x v="1"/>
    <n v="40452933"/>
  </r>
  <r>
    <x v="18"/>
    <x v="49"/>
    <s v="Electric Generators, Electric Utilities"/>
    <x v="2"/>
    <n v="1427741"/>
  </r>
  <r>
    <x v="18"/>
    <x v="49"/>
    <s v="Electric Generators, Electric Utilities"/>
    <x v="3"/>
    <n v="2457177"/>
  </r>
  <r>
    <x v="18"/>
    <x v="49"/>
    <s v="Electric Generators, Electric Utilities"/>
    <x v="12"/>
    <n v="41280"/>
  </r>
  <r>
    <x v="18"/>
    <x v="49"/>
    <s v="Electric Generators, Electric Utilities"/>
    <x v="8"/>
    <n v="41365"/>
  </r>
  <r>
    <x v="18"/>
    <x v="49"/>
    <s v="Electric Generators, Electric Utilities"/>
    <x v="4"/>
    <n v="647602"/>
  </r>
  <r>
    <x v="18"/>
    <x v="49"/>
    <s v="Electric Generators, Electric Utilities"/>
    <x v="5"/>
    <n v="263392"/>
  </r>
  <r>
    <x v="18"/>
    <x v="49"/>
    <s v="Electric Generators, Electric Utilities"/>
    <x v="6"/>
    <n v="205223"/>
  </r>
  <r>
    <x v="18"/>
    <x v="49"/>
    <s v="Combined Heat and Power, Industrial Power"/>
    <x v="0"/>
    <n v="2329386"/>
  </r>
  <r>
    <x v="18"/>
    <x v="49"/>
    <s v="Combined Heat and Power, Industrial Power"/>
    <x v="1"/>
    <n v="1117882"/>
  </r>
  <r>
    <x v="18"/>
    <x v="49"/>
    <s v="Combined Heat and Power, Industrial Power"/>
    <x v="2"/>
    <n v="163373"/>
  </r>
  <r>
    <x v="18"/>
    <x v="49"/>
    <s v="Combined Heat and Power, Industrial Power"/>
    <x v="3"/>
    <n v="152300"/>
  </r>
  <r>
    <x v="18"/>
    <x v="49"/>
    <s v="Combined Heat and Power, Industrial Power"/>
    <x v="12"/>
    <n v="33079"/>
  </r>
  <r>
    <x v="18"/>
    <x v="49"/>
    <s v="Combined Heat and Power, Industrial Power"/>
    <x v="8"/>
    <n v="14731"/>
  </r>
  <r>
    <x v="18"/>
    <x v="49"/>
    <s v="Combined Heat and Power, Industrial Power"/>
    <x v="4"/>
    <n v="278204"/>
  </r>
  <r>
    <x v="18"/>
    <x v="49"/>
    <s v="Combined Heat and Power, Industrial Power"/>
    <x v="6"/>
    <n v="569817"/>
  </r>
  <r>
    <x v="18"/>
    <x v="49"/>
    <s v="Combined Heat and Power, Electric Power"/>
    <x v="0"/>
    <n v="943351"/>
  </r>
  <r>
    <x v="18"/>
    <x v="49"/>
    <s v="Combined Heat and Power, Electric Power"/>
    <x v="1"/>
    <n v="62883"/>
  </r>
  <r>
    <x v="18"/>
    <x v="49"/>
    <s v="Combined Heat and Power, Electric Power"/>
    <x v="3"/>
    <n v="856694"/>
  </r>
  <r>
    <x v="18"/>
    <x v="49"/>
    <s v="Combined Heat and Power, Electric Power"/>
    <x v="8"/>
    <n v="19971"/>
  </r>
  <r>
    <x v="18"/>
    <x v="49"/>
    <s v="Combined Heat and Power, Electric Power"/>
    <x v="4"/>
    <n v="3803"/>
  </r>
  <r>
    <x v="18"/>
    <x v="49"/>
    <s v="Combined Heat and Power, Commercial Power"/>
    <x v="0"/>
    <n v="171414"/>
  </r>
  <r>
    <x v="18"/>
    <x v="49"/>
    <s v="Combined Heat and Power, Commercial Power"/>
    <x v="1"/>
    <n v="50893"/>
  </r>
  <r>
    <x v="18"/>
    <x v="49"/>
    <s v="Combined Heat and Power, Commercial Power"/>
    <x v="2"/>
    <n v="6"/>
  </r>
  <r>
    <x v="18"/>
    <x v="49"/>
    <s v="Combined Heat and Power, Commercial Power"/>
    <x v="3"/>
    <n v="81249"/>
  </r>
  <r>
    <x v="18"/>
    <x v="49"/>
    <s v="Combined Heat and Power, Commercial Power"/>
    <x v="8"/>
    <n v="39172"/>
  </r>
  <r>
    <x v="18"/>
    <x v="49"/>
    <s v="Combined Heat and Power, Commercial Power"/>
    <x v="4"/>
    <n v="94"/>
  </r>
  <r>
    <x v="18"/>
    <x v="50"/>
    <s v="Total Electric Power Industry"/>
    <x v="0"/>
    <n v="91123097"/>
  </r>
  <r>
    <x v="18"/>
    <x v="50"/>
    <s v="Total Electric Power Industry"/>
    <x v="1"/>
    <n v="89113480"/>
  </r>
  <r>
    <x v="18"/>
    <x v="50"/>
    <s v="Total Electric Power Industry"/>
    <x v="2"/>
    <n v="1248037"/>
  </r>
  <r>
    <x v="18"/>
    <x v="50"/>
    <s v="Total Electric Power Industry"/>
    <x v="3"/>
    <n v="180410"/>
  </r>
  <r>
    <x v="18"/>
    <x v="50"/>
    <s v="Total Electric Power Industry"/>
    <x v="12"/>
    <n v="2199"/>
  </r>
  <r>
    <x v="18"/>
    <x v="50"/>
    <s v="Total Electric Power Industry"/>
    <x v="8"/>
    <n v="0"/>
  </r>
  <r>
    <x v="18"/>
    <x v="50"/>
    <s v="Total Electric Power Industry"/>
    <x v="9"/>
    <n v="50251"/>
  </r>
  <r>
    <x v="18"/>
    <x v="50"/>
    <s v="Total Electric Power Industry"/>
    <x v="4"/>
    <n v="137199"/>
  </r>
  <r>
    <x v="18"/>
    <x v="50"/>
    <s v="Total Electric Power Industry"/>
    <x v="5"/>
    <n v="391910"/>
  </r>
  <r>
    <x v="18"/>
    <x v="50"/>
    <s v="Total Electric Power Industry"/>
    <x v="6"/>
    <n v="-390"/>
  </r>
  <r>
    <x v="18"/>
    <x v="50"/>
    <s v="Electric Generators, Independent Power Producers"/>
    <x v="0"/>
    <n v="23138417"/>
  </r>
  <r>
    <x v="18"/>
    <x v="50"/>
    <s v="Electric Generators, Independent Power Producers"/>
    <x v="1"/>
    <n v="22261773"/>
  </r>
  <r>
    <x v="18"/>
    <x v="50"/>
    <s v="Electric Generators, Independent Power Producers"/>
    <x v="2"/>
    <n v="374986"/>
  </r>
  <r>
    <x v="18"/>
    <x v="50"/>
    <s v="Electric Generators, Independent Power Producers"/>
    <x v="3"/>
    <n v="109744"/>
  </r>
  <r>
    <x v="18"/>
    <x v="50"/>
    <s v="Electric Generators, Independent Power Producers"/>
    <x v="4"/>
    <n v="4"/>
  </r>
  <r>
    <x v="18"/>
    <x v="50"/>
    <s v="Electric Generators, Independent Power Producers"/>
    <x v="5"/>
    <n v="391910"/>
  </r>
  <r>
    <x v="18"/>
    <x v="50"/>
    <s v="Electric Generators, Electric Utilities"/>
    <x v="0"/>
    <n v="66666509"/>
  </r>
  <r>
    <x v="18"/>
    <x v="50"/>
    <s v="Electric Generators, Electric Utilities"/>
    <x v="1"/>
    <n v="66023240"/>
  </r>
  <r>
    <x v="18"/>
    <x v="50"/>
    <s v="Electric Generators, Electric Utilities"/>
    <x v="2"/>
    <n v="445779"/>
  </r>
  <r>
    <x v="18"/>
    <x v="50"/>
    <s v="Electric Generators, Electric Utilities"/>
    <x v="3"/>
    <n v="58629"/>
  </r>
  <r>
    <x v="18"/>
    <x v="50"/>
    <s v="Electric Generators, Electric Utilities"/>
    <x v="12"/>
    <n v="2056"/>
  </r>
  <r>
    <x v="18"/>
    <x v="50"/>
    <s v="Electric Generators, Electric Utilities"/>
    <x v="8"/>
    <n v="0"/>
  </r>
  <r>
    <x v="18"/>
    <x v="50"/>
    <s v="Electric Generators, Electric Utilities"/>
    <x v="4"/>
    <n v="137195"/>
  </r>
  <r>
    <x v="18"/>
    <x v="50"/>
    <s v="Electric Generators, Electric Utilities"/>
    <x v="6"/>
    <n v="-390"/>
  </r>
  <r>
    <x v="18"/>
    <x v="50"/>
    <s v="Combined Heat and Power, Industrial Power"/>
    <x v="0"/>
    <n v="906758"/>
  </r>
  <r>
    <x v="18"/>
    <x v="50"/>
    <s v="Combined Heat and Power, Industrial Power"/>
    <x v="1"/>
    <n v="417054"/>
  </r>
  <r>
    <x v="18"/>
    <x v="50"/>
    <s v="Combined Heat and Power, Industrial Power"/>
    <x v="2"/>
    <n v="427272"/>
  </r>
  <r>
    <x v="18"/>
    <x v="50"/>
    <s v="Combined Heat and Power, Industrial Power"/>
    <x v="3"/>
    <n v="12037"/>
  </r>
  <r>
    <x v="18"/>
    <x v="50"/>
    <s v="Combined Heat and Power, Industrial Power"/>
    <x v="12"/>
    <n v="143"/>
  </r>
  <r>
    <x v="18"/>
    <x v="50"/>
    <s v="Combined Heat and Power, Industrial Power"/>
    <x v="9"/>
    <n v="50251"/>
  </r>
  <r>
    <x v="18"/>
    <x v="50"/>
    <s v="Combined Heat and Power, Electric Power"/>
    <x v="0"/>
    <n v="411413"/>
  </r>
  <r>
    <x v="18"/>
    <x v="50"/>
    <s v="Combined Heat and Power, Electric Power"/>
    <x v="1"/>
    <n v="411413"/>
  </r>
  <r>
    <x v="18"/>
    <x v="50"/>
    <s v="Combined Heat and Power, Electric Power"/>
    <x v="3"/>
    <n v="0"/>
  </r>
  <r>
    <x v="18"/>
    <x v="51"/>
    <s v="Total Electric Power Industry"/>
    <x v="0"/>
    <n v="46500448"/>
  </r>
  <r>
    <x v="18"/>
    <x v="51"/>
    <s v="Total Electric Power Industry"/>
    <x v="1"/>
    <n v="43807903"/>
  </r>
  <r>
    <x v="18"/>
    <x v="51"/>
    <s v="Total Electric Power Industry"/>
    <x v="2"/>
    <n v="835275"/>
  </r>
  <r>
    <x v="18"/>
    <x v="51"/>
    <s v="Total Electric Power Industry"/>
    <x v="3"/>
    <n v="494679"/>
  </r>
  <r>
    <x v="18"/>
    <x v="51"/>
    <s v="Total Electric Power Industry"/>
    <x v="12"/>
    <n v="67377"/>
  </r>
  <r>
    <x v="18"/>
    <x v="51"/>
    <s v="Total Electric Power Industry"/>
    <x v="9"/>
    <n v="288645"/>
  </r>
  <r>
    <x v="18"/>
    <x v="51"/>
    <s v="Total Electric Power Industry"/>
    <x v="4"/>
    <n v="44027"/>
  </r>
  <r>
    <x v="18"/>
    <x v="51"/>
    <s v="Total Electric Power Industry"/>
    <x v="5"/>
    <n v="962542"/>
  </r>
  <r>
    <x v="18"/>
    <x v="51"/>
    <s v="Electric Generators, Independent Power Producers"/>
    <x v="0"/>
    <n v="1627490"/>
  </r>
  <r>
    <x v="18"/>
    <x v="51"/>
    <s v="Electric Generators, Independent Power Producers"/>
    <x v="1"/>
    <n v="700639"/>
  </r>
  <r>
    <x v="18"/>
    <x v="51"/>
    <s v="Electric Generators, Independent Power Producers"/>
    <x v="3"/>
    <n v="9130"/>
  </r>
  <r>
    <x v="18"/>
    <x v="51"/>
    <s v="Electric Generators, Independent Power Producers"/>
    <x v="5"/>
    <n v="917721"/>
  </r>
  <r>
    <x v="18"/>
    <x v="51"/>
    <s v="Electric Generators, Electric Utilities"/>
    <x v="0"/>
    <n v="43909400"/>
  </r>
  <r>
    <x v="18"/>
    <x v="51"/>
    <s v="Electric Generators, Electric Utilities"/>
    <x v="1"/>
    <n v="42900080"/>
  </r>
  <r>
    <x v="18"/>
    <x v="51"/>
    <s v="Electric Generators, Electric Utilities"/>
    <x v="2"/>
    <n v="835275"/>
  </r>
  <r>
    <x v="18"/>
    <x v="51"/>
    <s v="Electric Generators, Electric Utilities"/>
    <x v="3"/>
    <n v="85459"/>
  </r>
  <r>
    <x v="18"/>
    <x v="51"/>
    <s v="Electric Generators, Electric Utilities"/>
    <x v="4"/>
    <n v="43765"/>
  </r>
  <r>
    <x v="18"/>
    <x v="51"/>
    <s v="Electric Generators, Electric Utilities"/>
    <x v="5"/>
    <n v="44821"/>
  </r>
  <r>
    <x v="18"/>
    <x v="51"/>
    <s v="Combined Heat and Power, Industrial Power"/>
    <x v="0"/>
    <n v="963558"/>
  </r>
  <r>
    <x v="18"/>
    <x v="51"/>
    <s v="Combined Heat and Power, Industrial Power"/>
    <x v="1"/>
    <n v="207184"/>
  </r>
  <r>
    <x v="18"/>
    <x v="51"/>
    <s v="Combined Heat and Power, Industrial Power"/>
    <x v="3"/>
    <n v="400090"/>
  </r>
  <r>
    <x v="18"/>
    <x v="51"/>
    <s v="Combined Heat and Power, Industrial Power"/>
    <x v="12"/>
    <n v="67377"/>
  </r>
  <r>
    <x v="18"/>
    <x v="51"/>
    <s v="Combined Heat and Power, Industrial Power"/>
    <x v="9"/>
    <n v="288645"/>
  </r>
  <r>
    <x v="18"/>
    <x v="51"/>
    <s v="Combined Heat and Power, Industrial Power"/>
    <x v="4"/>
    <n v="262"/>
  </r>
  <r>
    <x v="19"/>
    <x v="0"/>
    <s v="Total Electric Power Industry"/>
    <x v="0"/>
    <n v="6702159"/>
  </r>
  <r>
    <x v="19"/>
    <x v="0"/>
    <s v="Total Electric Power Industry"/>
    <x v="1"/>
    <n v="630592"/>
  </r>
  <r>
    <x v="19"/>
    <x v="0"/>
    <s v="Total Electric Power Industry"/>
    <x v="2"/>
    <n v="1323744"/>
  </r>
  <r>
    <x v="19"/>
    <x v="0"/>
    <s v="Total Electric Power Industry"/>
    <x v="3"/>
    <n v="3577403"/>
  </r>
  <r>
    <x v="19"/>
    <x v="0"/>
    <s v="Total Electric Power Industry"/>
    <x v="12"/>
    <n v="0"/>
  </r>
  <r>
    <x v="19"/>
    <x v="0"/>
    <s v="Total Electric Power Industry"/>
    <x v="8"/>
    <n v="6511"/>
  </r>
  <r>
    <x v="19"/>
    <x v="0"/>
    <s v="Total Electric Power Industry"/>
    <x v="4"/>
    <n v="1156882"/>
  </r>
  <r>
    <x v="19"/>
    <x v="0"/>
    <s v="Total Electric Power Industry"/>
    <x v="5"/>
    <n v="7027"/>
  </r>
  <r>
    <x v="19"/>
    <x v="0"/>
    <s v="Electric Generators, Electric Utilities"/>
    <x v="0"/>
    <n v="6166762"/>
  </r>
  <r>
    <x v="19"/>
    <x v="0"/>
    <s v="Electric Generators, Electric Utilities"/>
    <x v="1"/>
    <n v="212944"/>
  </r>
  <r>
    <x v="19"/>
    <x v="0"/>
    <s v="Electric Generators, Electric Utilities"/>
    <x v="2"/>
    <n v="1323744"/>
  </r>
  <r>
    <x v="19"/>
    <x v="0"/>
    <s v="Electric Generators, Electric Utilities"/>
    <x v="3"/>
    <n v="3518554"/>
  </r>
  <r>
    <x v="19"/>
    <x v="0"/>
    <s v="Electric Generators, Electric Utilities"/>
    <x v="12"/>
    <n v="0"/>
  </r>
  <r>
    <x v="19"/>
    <x v="0"/>
    <s v="Electric Generators, Electric Utilities"/>
    <x v="4"/>
    <n v="1104493"/>
  </r>
  <r>
    <x v="19"/>
    <x v="0"/>
    <s v="Electric Generators, Electric Utilities"/>
    <x v="5"/>
    <n v="7027"/>
  </r>
  <r>
    <x v="19"/>
    <x v="0"/>
    <s v="Combined Heat and Power, Industrial Power"/>
    <x v="0"/>
    <n v="109199"/>
  </r>
  <r>
    <x v="19"/>
    <x v="0"/>
    <s v="Combined Heat and Power, Industrial Power"/>
    <x v="3"/>
    <n v="58849"/>
  </r>
  <r>
    <x v="19"/>
    <x v="0"/>
    <s v="Combined Heat and Power, Industrial Power"/>
    <x v="8"/>
    <n v="6511"/>
  </r>
  <r>
    <x v="19"/>
    <x v="0"/>
    <s v="Combined Heat and Power, Industrial Power"/>
    <x v="4"/>
    <n v="43839"/>
  </r>
  <r>
    <x v="19"/>
    <x v="0"/>
    <s v="Combined Heat and Power, Electric Power"/>
    <x v="0"/>
    <n v="209379"/>
  </r>
  <r>
    <x v="19"/>
    <x v="0"/>
    <s v="Combined Heat and Power, Electric Power"/>
    <x v="1"/>
    <n v="209379"/>
  </r>
  <r>
    <x v="19"/>
    <x v="0"/>
    <s v="Combined Heat and Power, Commercial Power"/>
    <x v="0"/>
    <n v="216819"/>
  </r>
  <r>
    <x v="19"/>
    <x v="0"/>
    <s v="Combined Heat and Power, Commercial Power"/>
    <x v="1"/>
    <n v="208269"/>
  </r>
  <r>
    <x v="19"/>
    <x v="0"/>
    <s v="Combined Heat and Power, Commercial Power"/>
    <x v="3"/>
    <n v="0"/>
  </r>
  <r>
    <x v="19"/>
    <x v="0"/>
    <s v="Combined Heat and Power, Commercial Power"/>
    <x v="4"/>
    <n v="8550"/>
  </r>
  <r>
    <x v="19"/>
    <x v="1"/>
    <s v="Total Electric Power Industry"/>
    <x v="0"/>
    <n v="143255556"/>
  </r>
  <r>
    <x v="19"/>
    <x v="1"/>
    <s v="Total Electric Power Industry"/>
    <x v="1"/>
    <n v="55608724"/>
  </r>
  <r>
    <x v="19"/>
    <x v="1"/>
    <s v="Total Electric Power Industry"/>
    <x v="2"/>
    <n v="12535373"/>
  </r>
  <r>
    <x v="19"/>
    <x v="1"/>
    <s v="Total Electric Power Industry"/>
    <x v="3"/>
    <n v="31617083"/>
  </r>
  <r>
    <x v="19"/>
    <x v="1"/>
    <s v="Total Electric Power Industry"/>
    <x v="7"/>
    <n v="39716204"/>
  </r>
  <r>
    <x v="19"/>
    <x v="1"/>
    <s v="Total Electric Power Industry"/>
    <x v="12"/>
    <n v="374314"/>
  </r>
  <r>
    <x v="19"/>
    <x v="1"/>
    <s v="Total Electric Power Industry"/>
    <x v="8"/>
    <n v="14482"/>
  </r>
  <r>
    <x v="19"/>
    <x v="1"/>
    <s v="Total Electric Power Industry"/>
    <x v="9"/>
    <n v="134728"/>
  </r>
  <r>
    <x v="19"/>
    <x v="1"/>
    <s v="Total Electric Power Industry"/>
    <x v="4"/>
    <n v="219274"/>
  </r>
  <r>
    <x v="19"/>
    <x v="1"/>
    <s v="Total Electric Power Industry"/>
    <x v="6"/>
    <n v="3035375"/>
  </r>
  <r>
    <x v="19"/>
    <x v="1"/>
    <s v="Electric Generators, Independent Power Producers"/>
    <x v="0"/>
    <n v="15302426"/>
  </r>
  <r>
    <x v="19"/>
    <x v="1"/>
    <s v="Electric Generators, Independent Power Producers"/>
    <x v="3"/>
    <n v="15286564"/>
  </r>
  <r>
    <x v="19"/>
    <x v="1"/>
    <s v="Electric Generators, Independent Power Producers"/>
    <x v="4"/>
    <n v="15862"/>
  </r>
  <r>
    <x v="19"/>
    <x v="1"/>
    <s v="Electric Generators, Electric Utilities"/>
    <x v="0"/>
    <n v="118781555"/>
  </r>
  <r>
    <x v="19"/>
    <x v="1"/>
    <s v="Electric Generators, Electric Utilities"/>
    <x v="1"/>
    <n v="55083056"/>
  </r>
  <r>
    <x v="19"/>
    <x v="1"/>
    <s v="Electric Generators, Electric Utilities"/>
    <x v="2"/>
    <n v="12535373"/>
  </r>
  <r>
    <x v="19"/>
    <x v="1"/>
    <s v="Electric Generators, Electric Utilities"/>
    <x v="3"/>
    <n v="11368420"/>
  </r>
  <r>
    <x v="19"/>
    <x v="1"/>
    <s v="Electric Generators, Electric Utilities"/>
    <x v="7"/>
    <n v="39716204"/>
  </r>
  <r>
    <x v="19"/>
    <x v="1"/>
    <s v="Electric Generators, Electric Utilities"/>
    <x v="8"/>
    <n v="2050"/>
  </r>
  <r>
    <x v="19"/>
    <x v="1"/>
    <s v="Electric Generators, Electric Utilities"/>
    <x v="4"/>
    <n v="76452"/>
  </r>
  <r>
    <x v="19"/>
    <x v="1"/>
    <s v="Combined Heat and Power, Industrial Power"/>
    <x v="0"/>
    <n v="4565712"/>
  </r>
  <r>
    <x v="19"/>
    <x v="1"/>
    <s v="Combined Heat and Power, Industrial Power"/>
    <x v="1"/>
    <n v="415445"/>
  </r>
  <r>
    <x v="19"/>
    <x v="1"/>
    <s v="Combined Heat and Power, Industrial Power"/>
    <x v="3"/>
    <n v="712439"/>
  </r>
  <r>
    <x v="19"/>
    <x v="1"/>
    <s v="Combined Heat and Power, Industrial Power"/>
    <x v="12"/>
    <n v="374314"/>
  </r>
  <r>
    <x v="19"/>
    <x v="1"/>
    <s v="Combined Heat and Power, Industrial Power"/>
    <x v="8"/>
    <n v="12432"/>
  </r>
  <r>
    <x v="19"/>
    <x v="1"/>
    <s v="Combined Heat and Power, Industrial Power"/>
    <x v="9"/>
    <n v="134728"/>
  </r>
  <r>
    <x v="19"/>
    <x v="1"/>
    <s v="Combined Heat and Power, Industrial Power"/>
    <x v="4"/>
    <n v="126959"/>
  </r>
  <r>
    <x v="19"/>
    <x v="1"/>
    <s v="Combined Heat and Power, Industrial Power"/>
    <x v="6"/>
    <n v="2789395"/>
  </r>
  <r>
    <x v="19"/>
    <x v="1"/>
    <s v="Combined Heat and Power, Electric Power"/>
    <x v="0"/>
    <n v="4605863"/>
  </r>
  <r>
    <x v="19"/>
    <x v="1"/>
    <s v="Combined Heat and Power, Electric Power"/>
    <x v="1"/>
    <n v="110223"/>
  </r>
  <r>
    <x v="19"/>
    <x v="1"/>
    <s v="Combined Heat and Power, Electric Power"/>
    <x v="3"/>
    <n v="4249660"/>
  </r>
  <r>
    <x v="19"/>
    <x v="1"/>
    <s v="Combined Heat and Power, Electric Power"/>
    <x v="6"/>
    <n v="245980"/>
  </r>
  <r>
    <x v="19"/>
    <x v="2"/>
    <s v="Total Electric Power Industry"/>
    <x v="0"/>
    <n v="57457739"/>
  </r>
  <r>
    <x v="19"/>
    <x v="2"/>
    <s v="Total Electric Power Industry"/>
    <x v="1"/>
    <n v="25075250"/>
  </r>
  <r>
    <x v="19"/>
    <x v="2"/>
    <s v="Total Electric Power Industry"/>
    <x v="2"/>
    <n v="4192706"/>
  </r>
  <r>
    <x v="19"/>
    <x v="2"/>
    <s v="Total Electric Power Industry"/>
    <x v="3"/>
    <n v="11221413"/>
  </r>
  <r>
    <x v="19"/>
    <x v="2"/>
    <s v="Total Electric Power Industry"/>
    <x v="7"/>
    <n v="15169966"/>
  </r>
  <r>
    <x v="19"/>
    <x v="2"/>
    <s v="Total Electric Power Industry"/>
    <x v="12"/>
    <n v="24019"/>
  </r>
  <r>
    <x v="19"/>
    <x v="2"/>
    <s v="Total Electric Power Industry"/>
    <x v="8"/>
    <n v="57050"/>
  </r>
  <r>
    <x v="19"/>
    <x v="2"/>
    <s v="Total Electric Power Industry"/>
    <x v="4"/>
    <n v="88470"/>
  </r>
  <r>
    <x v="19"/>
    <x v="2"/>
    <s v="Total Electric Power Industry"/>
    <x v="10"/>
    <n v="100365"/>
  </r>
  <r>
    <x v="19"/>
    <x v="2"/>
    <s v="Total Electric Power Industry"/>
    <x v="6"/>
    <n v="1528501"/>
  </r>
  <r>
    <x v="19"/>
    <x v="2"/>
    <s v="Electric Generators, Independent Power Producers"/>
    <x v="0"/>
    <n v="8786161"/>
  </r>
  <r>
    <x v="19"/>
    <x v="2"/>
    <s v="Electric Generators, Independent Power Producers"/>
    <x v="2"/>
    <n v="51742"/>
  </r>
  <r>
    <x v="19"/>
    <x v="2"/>
    <s v="Electric Generators, Independent Power Producers"/>
    <x v="3"/>
    <n v="8700048"/>
  </r>
  <r>
    <x v="19"/>
    <x v="2"/>
    <s v="Electric Generators, Independent Power Producers"/>
    <x v="8"/>
    <n v="34371"/>
  </r>
  <r>
    <x v="19"/>
    <x v="2"/>
    <s v="Electric Generators, Electric Utilities"/>
    <x v="0"/>
    <n v="45423149"/>
  </r>
  <r>
    <x v="19"/>
    <x v="2"/>
    <s v="Electric Generators, Electric Utilities"/>
    <x v="1"/>
    <n v="24986333"/>
  </r>
  <r>
    <x v="19"/>
    <x v="2"/>
    <s v="Electric Generators, Electric Utilities"/>
    <x v="2"/>
    <n v="4140964"/>
  </r>
  <r>
    <x v="19"/>
    <x v="2"/>
    <s v="Electric Generators, Electric Utilities"/>
    <x v="3"/>
    <n v="944559"/>
  </r>
  <r>
    <x v="19"/>
    <x v="2"/>
    <s v="Electric Generators, Electric Utilities"/>
    <x v="7"/>
    <n v="15169966"/>
  </r>
  <r>
    <x v="19"/>
    <x v="2"/>
    <s v="Electric Generators, Electric Utilities"/>
    <x v="4"/>
    <n v="80962"/>
  </r>
  <r>
    <x v="19"/>
    <x v="2"/>
    <s v="Electric Generators, Electric Utilities"/>
    <x v="10"/>
    <n v="100365"/>
  </r>
  <r>
    <x v="19"/>
    <x v="2"/>
    <s v="Combined Heat and Power, Industrial Power"/>
    <x v="0"/>
    <n v="1884481"/>
  </r>
  <r>
    <x v="19"/>
    <x v="2"/>
    <s v="Combined Heat and Power, Industrial Power"/>
    <x v="1"/>
    <n v="88917"/>
  </r>
  <r>
    <x v="19"/>
    <x v="2"/>
    <s v="Combined Heat and Power, Industrial Power"/>
    <x v="3"/>
    <n v="232593"/>
  </r>
  <r>
    <x v="19"/>
    <x v="2"/>
    <s v="Combined Heat and Power, Industrial Power"/>
    <x v="12"/>
    <n v="24019"/>
  </r>
  <r>
    <x v="19"/>
    <x v="2"/>
    <s v="Combined Heat and Power, Industrial Power"/>
    <x v="8"/>
    <n v="2944"/>
  </r>
  <r>
    <x v="19"/>
    <x v="2"/>
    <s v="Combined Heat and Power, Industrial Power"/>
    <x v="4"/>
    <n v="7508"/>
  </r>
  <r>
    <x v="19"/>
    <x v="2"/>
    <s v="Combined Heat and Power, Industrial Power"/>
    <x v="6"/>
    <n v="1528501"/>
  </r>
  <r>
    <x v="19"/>
    <x v="2"/>
    <s v="Combined Heat and Power, Electric Power"/>
    <x v="0"/>
    <n v="1361416"/>
  </r>
  <r>
    <x v="19"/>
    <x v="2"/>
    <s v="Combined Heat and Power, Electric Power"/>
    <x v="3"/>
    <n v="1343771"/>
  </r>
  <r>
    <x v="19"/>
    <x v="2"/>
    <s v="Combined Heat and Power, Electric Power"/>
    <x v="8"/>
    <n v="17645"/>
  </r>
  <r>
    <x v="19"/>
    <x v="2"/>
    <s v="Combined Heat and Power, Electric Power"/>
    <x v="4"/>
    <n v="0"/>
  </r>
  <r>
    <x v="19"/>
    <x v="2"/>
    <s v="Combined Heat and Power, Commercial Power"/>
    <x v="0"/>
    <n v="2532"/>
  </r>
  <r>
    <x v="19"/>
    <x v="2"/>
    <s v="Combined Heat and Power, Commercial Power"/>
    <x v="3"/>
    <n v="442"/>
  </r>
  <r>
    <x v="19"/>
    <x v="2"/>
    <s v="Combined Heat and Power, Commercial Power"/>
    <x v="8"/>
    <n v="2090"/>
  </r>
  <r>
    <x v="19"/>
    <x v="3"/>
    <s v="Total Electric Power Industry"/>
    <x v="0"/>
    <n v="111971250"/>
  </r>
  <r>
    <x v="19"/>
    <x v="3"/>
    <s v="Total Electric Power Industry"/>
    <x v="1"/>
    <n v="39706817"/>
  </r>
  <r>
    <x v="19"/>
    <x v="3"/>
    <s v="Total Electric Power Industry"/>
    <x v="2"/>
    <n v="6427345"/>
  </r>
  <r>
    <x v="19"/>
    <x v="3"/>
    <s v="Total Electric Power Industry"/>
    <x v="3"/>
    <n v="34739170"/>
  </r>
  <r>
    <x v="19"/>
    <x v="3"/>
    <s v="Total Electric Power Industry"/>
    <x v="7"/>
    <n v="30661851"/>
  </r>
  <r>
    <x v="19"/>
    <x v="3"/>
    <s v="Total Electric Power Industry"/>
    <x v="12"/>
    <n v="1567"/>
  </r>
  <r>
    <x v="19"/>
    <x v="3"/>
    <s v="Total Electric Power Industry"/>
    <x v="8"/>
    <n v="21990"/>
  </r>
  <r>
    <x v="19"/>
    <x v="3"/>
    <s v="Total Electric Power Industry"/>
    <x v="4"/>
    <n v="62699"/>
  </r>
  <r>
    <x v="19"/>
    <x v="3"/>
    <s v="Total Electric Power Industry"/>
    <x v="10"/>
    <n v="169480"/>
  </r>
  <r>
    <x v="19"/>
    <x v="3"/>
    <s v="Total Electric Power Industry"/>
    <x v="13"/>
    <n v="14145"/>
  </r>
  <r>
    <x v="19"/>
    <x v="3"/>
    <s v="Total Electric Power Industry"/>
    <x v="5"/>
    <n v="29545"/>
  </r>
  <r>
    <x v="19"/>
    <x v="3"/>
    <s v="Total Electric Power Industry"/>
    <x v="6"/>
    <n v="136641"/>
  </r>
  <r>
    <x v="19"/>
    <x v="3"/>
    <s v="Electric Generators, Independent Power Producers"/>
    <x v="0"/>
    <n v="21713272"/>
  </r>
  <r>
    <x v="19"/>
    <x v="3"/>
    <s v="Electric Generators, Independent Power Producers"/>
    <x v="3"/>
    <n v="21545518"/>
  </r>
  <r>
    <x v="19"/>
    <x v="3"/>
    <s v="Electric Generators, Independent Power Producers"/>
    <x v="12"/>
    <n v="1567"/>
  </r>
  <r>
    <x v="19"/>
    <x v="3"/>
    <s v="Electric Generators, Independent Power Producers"/>
    <x v="13"/>
    <n v="0"/>
  </r>
  <r>
    <x v="19"/>
    <x v="3"/>
    <s v="Electric Generators, Independent Power Producers"/>
    <x v="5"/>
    <n v="29545"/>
  </r>
  <r>
    <x v="19"/>
    <x v="3"/>
    <s v="Electric Generators, Independent Power Producers"/>
    <x v="6"/>
    <n v="136641"/>
  </r>
  <r>
    <x v="19"/>
    <x v="3"/>
    <s v="Electric Generators, Electric Utilities"/>
    <x v="0"/>
    <n v="89640192"/>
  </r>
  <r>
    <x v="19"/>
    <x v="3"/>
    <s v="Electric Generators, Electric Utilities"/>
    <x v="1"/>
    <n v="39464060"/>
  </r>
  <r>
    <x v="19"/>
    <x v="3"/>
    <s v="Electric Generators, Electric Utilities"/>
    <x v="2"/>
    <n v="6427345"/>
  </r>
  <r>
    <x v="19"/>
    <x v="3"/>
    <s v="Electric Generators, Electric Utilities"/>
    <x v="3"/>
    <n v="12823631"/>
  </r>
  <r>
    <x v="19"/>
    <x v="3"/>
    <s v="Electric Generators, Electric Utilities"/>
    <x v="7"/>
    <n v="30661851"/>
  </r>
  <r>
    <x v="19"/>
    <x v="3"/>
    <s v="Electric Generators, Electric Utilities"/>
    <x v="8"/>
    <n v="18299"/>
  </r>
  <r>
    <x v="19"/>
    <x v="3"/>
    <s v="Electric Generators, Electric Utilities"/>
    <x v="4"/>
    <n v="61381"/>
  </r>
  <r>
    <x v="19"/>
    <x v="3"/>
    <s v="Electric Generators, Electric Utilities"/>
    <x v="10"/>
    <n v="169480"/>
  </r>
  <r>
    <x v="19"/>
    <x v="3"/>
    <s v="Electric Generators, Electric Utilities"/>
    <x v="13"/>
    <n v="14145"/>
  </r>
  <r>
    <x v="19"/>
    <x v="3"/>
    <s v="Combined Heat and Power, Industrial Power"/>
    <x v="0"/>
    <n v="244801"/>
  </r>
  <r>
    <x v="19"/>
    <x v="3"/>
    <s v="Combined Heat and Power, Industrial Power"/>
    <x v="1"/>
    <n v="242757"/>
  </r>
  <r>
    <x v="19"/>
    <x v="3"/>
    <s v="Combined Heat and Power, Industrial Power"/>
    <x v="3"/>
    <n v="828"/>
  </r>
  <r>
    <x v="19"/>
    <x v="3"/>
    <s v="Combined Heat and Power, Industrial Power"/>
    <x v="4"/>
    <n v="1216"/>
  </r>
  <r>
    <x v="19"/>
    <x v="3"/>
    <s v="Combined Heat and Power, Electric Power"/>
    <x v="0"/>
    <n v="301143"/>
  </r>
  <r>
    <x v="19"/>
    <x v="3"/>
    <s v="Combined Heat and Power, Electric Power"/>
    <x v="3"/>
    <n v="301143"/>
  </r>
  <r>
    <x v="19"/>
    <x v="3"/>
    <s v="Combined Heat and Power, Commercial Power"/>
    <x v="0"/>
    <n v="71842"/>
  </r>
  <r>
    <x v="19"/>
    <x v="3"/>
    <s v="Combined Heat and Power, Commercial Power"/>
    <x v="3"/>
    <n v="68049"/>
  </r>
  <r>
    <x v="19"/>
    <x v="3"/>
    <s v="Combined Heat and Power, Commercial Power"/>
    <x v="8"/>
    <n v="3691"/>
  </r>
  <r>
    <x v="19"/>
    <x v="3"/>
    <s v="Combined Heat and Power, Commercial Power"/>
    <x v="4"/>
    <n v="102"/>
  </r>
  <r>
    <x v="19"/>
    <x v="4"/>
    <s v="Total Electric Power Industry"/>
    <x v="0"/>
    <n v="204776132"/>
  </r>
  <r>
    <x v="19"/>
    <x v="4"/>
    <s v="Total Electric Power Industry"/>
    <x v="1"/>
    <n v="2049947"/>
  </r>
  <r>
    <x v="19"/>
    <x v="4"/>
    <s v="Total Electric Power Industry"/>
    <x v="11"/>
    <n v="12852783"/>
  </r>
  <r>
    <x v="19"/>
    <x v="4"/>
    <s v="Total Electric Power Industry"/>
    <x v="2"/>
    <n v="27888036"/>
  </r>
  <r>
    <x v="19"/>
    <x v="4"/>
    <s v="Total Electric Power Industry"/>
    <x v="3"/>
    <n v="113463455"/>
  </r>
  <r>
    <x v="19"/>
    <x v="4"/>
    <s v="Total Electric Power Industry"/>
    <x v="7"/>
    <n v="31763804"/>
  </r>
  <r>
    <x v="19"/>
    <x v="4"/>
    <s v="Total Electric Power Industry"/>
    <x v="12"/>
    <n v="752687"/>
  </r>
  <r>
    <x v="19"/>
    <x v="4"/>
    <s v="Total Electric Power Industry"/>
    <x v="8"/>
    <n v="2467660"/>
  </r>
  <r>
    <x v="19"/>
    <x v="4"/>
    <s v="Total Electric Power Industry"/>
    <x v="9"/>
    <n v="1622844"/>
  </r>
  <r>
    <x v="19"/>
    <x v="4"/>
    <s v="Total Electric Power Industry"/>
    <x v="4"/>
    <n v="1542848"/>
  </r>
  <r>
    <x v="19"/>
    <x v="4"/>
    <s v="Total Electric Power Industry"/>
    <x v="10"/>
    <n v="152849"/>
  </r>
  <r>
    <x v="19"/>
    <x v="4"/>
    <s v="Total Electric Power Industry"/>
    <x v="13"/>
    <n v="647390"/>
  </r>
  <r>
    <x v="19"/>
    <x v="4"/>
    <s v="Total Electric Power Industry"/>
    <x v="5"/>
    <n v="5839813"/>
  </r>
  <r>
    <x v="19"/>
    <x v="4"/>
    <s v="Total Electric Power Industry"/>
    <x v="6"/>
    <n v="3732016"/>
  </r>
  <r>
    <x v="19"/>
    <x v="4"/>
    <s v="Electric Generators, Independent Power Producers"/>
    <x v="0"/>
    <n v="80766990"/>
  </r>
  <r>
    <x v="19"/>
    <x v="4"/>
    <s v="Electric Generators, Independent Power Producers"/>
    <x v="1"/>
    <n v="0"/>
  </r>
  <r>
    <x v="19"/>
    <x v="4"/>
    <s v="Electric Generators, Independent Power Producers"/>
    <x v="11"/>
    <n v="11949729"/>
  </r>
  <r>
    <x v="19"/>
    <x v="4"/>
    <s v="Electric Generators, Independent Power Producers"/>
    <x v="2"/>
    <n v="1480673"/>
  </r>
  <r>
    <x v="19"/>
    <x v="4"/>
    <s v="Electric Generators, Independent Power Producers"/>
    <x v="3"/>
    <n v="55763885"/>
  </r>
  <r>
    <x v="19"/>
    <x v="4"/>
    <s v="Electric Generators, Independent Power Producers"/>
    <x v="12"/>
    <n v="89697"/>
  </r>
  <r>
    <x v="19"/>
    <x v="4"/>
    <s v="Electric Generators, Independent Power Producers"/>
    <x v="8"/>
    <n v="1546368"/>
  </r>
  <r>
    <x v="19"/>
    <x v="4"/>
    <s v="Electric Generators, Independent Power Producers"/>
    <x v="9"/>
    <n v="0"/>
  </r>
  <r>
    <x v="19"/>
    <x v="4"/>
    <s v="Electric Generators, Independent Power Producers"/>
    <x v="4"/>
    <n v="989242"/>
  </r>
  <r>
    <x v="19"/>
    <x v="4"/>
    <s v="Electric Generators, Independent Power Producers"/>
    <x v="13"/>
    <n v="642717"/>
  </r>
  <r>
    <x v="19"/>
    <x v="4"/>
    <s v="Electric Generators, Independent Power Producers"/>
    <x v="5"/>
    <n v="5530865"/>
  </r>
  <r>
    <x v="19"/>
    <x v="4"/>
    <s v="Electric Generators, Independent Power Producers"/>
    <x v="6"/>
    <n v="2773815"/>
  </r>
  <r>
    <x v="19"/>
    <x v="4"/>
    <s v="Electric Generators, Electric Utilities"/>
    <x v="0"/>
    <n v="85123706"/>
  </r>
  <r>
    <x v="19"/>
    <x v="4"/>
    <s v="Electric Generators, Electric Utilities"/>
    <x v="11"/>
    <n v="903054"/>
  </r>
  <r>
    <x v="19"/>
    <x v="4"/>
    <s v="Electric Generators, Electric Utilities"/>
    <x v="2"/>
    <n v="26407034"/>
  </r>
  <r>
    <x v="19"/>
    <x v="4"/>
    <s v="Electric Generators, Electric Utilities"/>
    <x v="3"/>
    <n v="25237449"/>
  </r>
  <r>
    <x v="19"/>
    <x v="4"/>
    <s v="Electric Generators, Electric Utilities"/>
    <x v="7"/>
    <n v="31763804"/>
  </r>
  <r>
    <x v="19"/>
    <x v="4"/>
    <s v="Electric Generators, Electric Utilities"/>
    <x v="12"/>
    <n v="0"/>
  </r>
  <r>
    <x v="19"/>
    <x v="4"/>
    <s v="Electric Generators, Electric Utilities"/>
    <x v="8"/>
    <n v="235020"/>
  </r>
  <r>
    <x v="19"/>
    <x v="4"/>
    <s v="Electric Generators, Electric Utilities"/>
    <x v="9"/>
    <n v="60250"/>
  </r>
  <r>
    <x v="19"/>
    <x v="4"/>
    <s v="Electric Generators, Electric Utilities"/>
    <x v="4"/>
    <n v="50625"/>
  </r>
  <r>
    <x v="19"/>
    <x v="4"/>
    <s v="Electric Generators, Electric Utilities"/>
    <x v="10"/>
    <n v="152849"/>
  </r>
  <r>
    <x v="19"/>
    <x v="4"/>
    <s v="Electric Generators, Electric Utilities"/>
    <x v="13"/>
    <n v="4673"/>
  </r>
  <r>
    <x v="19"/>
    <x v="4"/>
    <s v="Electric Generators, Electric Utilities"/>
    <x v="5"/>
    <n v="308948"/>
  </r>
  <r>
    <x v="19"/>
    <x v="4"/>
    <s v="Combined Heat and Power, Industrial Power"/>
    <x v="0"/>
    <n v="15632805"/>
  </r>
  <r>
    <x v="19"/>
    <x v="4"/>
    <s v="Combined Heat and Power, Industrial Power"/>
    <x v="1"/>
    <n v="372746"/>
  </r>
  <r>
    <x v="19"/>
    <x v="4"/>
    <s v="Combined Heat and Power, Industrial Power"/>
    <x v="3"/>
    <n v="12400790"/>
  </r>
  <r>
    <x v="19"/>
    <x v="4"/>
    <s v="Combined Heat and Power, Industrial Power"/>
    <x v="12"/>
    <n v="546585"/>
  </r>
  <r>
    <x v="19"/>
    <x v="4"/>
    <s v="Combined Heat and Power, Industrial Power"/>
    <x v="9"/>
    <n v="1562032"/>
  </r>
  <r>
    <x v="19"/>
    <x v="4"/>
    <s v="Combined Heat and Power, Industrial Power"/>
    <x v="4"/>
    <n v="69716"/>
  </r>
  <r>
    <x v="19"/>
    <x v="4"/>
    <s v="Combined Heat and Power, Industrial Power"/>
    <x v="6"/>
    <n v="680936"/>
  </r>
  <r>
    <x v="19"/>
    <x v="4"/>
    <s v="Combined Heat and Power, Electric Power"/>
    <x v="0"/>
    <n v="21008878"/>
  </r>
  <r>
    <x v="19"/>
    <x v="4"/>
    <s v="Combined Heat and Power, Electric Power"/>
    <x v="1"/>
    <n v="1677201"/>
  </r>
  <r>
    <x v="19"/>
    <x v="4"/>
    <s v="Combined Heat and Power, Electric Power"/>
    <x v="3"/>
    <n v="18295989"/>
  </r>
  <r>
    <x v="19"/>
    <x v="4"/>
    <s v="Combined Heat and Power, Electric Power"/>
    <x v="12"/>
    <n v="116404"/>
  </r>
  <r>
    <x v="19"/>
    <x v="4"/>
    <s v="Combined Heat and Power, Electric Power"/>
    <x v="8"/>
    <n v="208592"/>
  </r>
  <r>
    <x v="19"/>
    <x v="4"/>
    <s v="Combined Heat and Power, Electric Power"/>
    <x v="9"/>
    <n v="562"/>
  </r>
  <r>
    <x v="19"/>
    <x v="4"/>
    <s v="Combined Heat and Power, Electric Power"/>
    <x v="4"/>
    <n v="432864"/>
  </r>
  <r>
    <x v="19"/>
    <x v="4"/>
    <s v="Combined Heat and Power, Electric Power"/>
    <x v="6"/>
    <n v="277264"/>
  </r>
  <r>
    <x v="19"/>
    <x v="4"/>
    <s v="Combined Heat and Power, Commercial Power"/>
    <x v="0"/>
    <n v="2243754"/>
  </r>
  <r>
    <x v="19"/>
    <x v="4"/>
    <s v="Combined Heat and Power, Commercial Power"/>
    <x v="2"/>
    <n v="330"/>
  </r>
  <r>
    <x v="19"/>
    <x v="4"/>
    <s v="Combined Heat and Power, Commercial Power"/>
    <x v="3"/>
    <n v="1765342"/>
  </r>
  <r>
    <x v="19"/>
    <x v="4"/>
    <s v="Combined Heat and Power, Commercial Power"/>
    <x v="12"/>
    <n v="1"/>
  </r>
  <r>
    <x v="19"/>
    <x v="4"/>
    <s v="Combined Heat and Power, Commercial Power"/>
    <x v="8"/>
    <n v="477680"/>
  </r>
  <r>
    <x v="19"/>
    <x v="4"/>
    <s v="Combined Heat and Power, Commercial Power"/>
    <x v="9"/>
    <n v="0"/>
  </r>
  <r>
    <x v="19"/>
    <x v="4"/>
    <s v="Combined Heat and Power, Commercial Power"/>
    <x v="4"/>
    <n v="402"/>
  </r>
  <r>
    <x v="19"/>
    <x v="5"/>
    <s v="Total Electric Power Industry"/>
    <x v="0"/>
    <n v="50565952"/>
  </r>
  <r>
    <x v="19"/>
    <x v="5"/>
    <s v="Total Electric Power Industry"/>
    <x v="1"/>
    <n v="31636023"/>
  </r>
  <r>
    <x v="19"/>
    <x v="5"/>
    <s v="Total Electric Power Industry"/>
    <x v="2"/>
    <n v="1885724"/>
  </r>
  <r>
    <x v="19"/>
    <x v="5"/>
    <s v="Total Electric Power Industry"/>
    <x v="3"/>
    <n v="13840025"/>
  </r>
  <r>
    <x v="19"/>
    <x v="5"/>
    <s v="Total Electric Power Industry"/>
    <x v="12"/>
    <n v="53411"/>
  </r>
  <r>
    <x v="19"/>
    <x v="5"/>
    <s v="Total Electric Power Industry"/>
    <x v="8"/>
    <n v="56164"/>
  </r>
  <r>
    <x v="19"/>
    <x v="5"/>
    <s v="Total Electric Power Industry"/>
    <x v="9"/>
    <n v="0"/>
  </r>
  <r>
    <x v="19"/>
    <x v="5"/>
    <s v="Total Electric Power Industry"/>
    <x v="4"/>
    <n v="13453"/>
  </r>
  <r>
    <x v="19"/>
    <x v="5"/>
    <s v="Total Electric Power Industry"/>
    <x v="10"/>
    <n v="-108658"/>
  </r>
  <r>
    <x v="19"/>
    <x v="5"/>
    <s v="Total Electric Power Industry"/>
    <x v="13"/>
    <n v="25585"/>
  </r>
  <r>
    <x v="19"/>
    <x v="5"/>
    <s v="Total Electric Power Industry"/>
    <x v="5"/>
    <n v="3163836"/>
  </r>
  <r>
    <x v="19"/>
    <x v="5"/>
    <s v="Total Electric Power Industry"/>
    <x v="6"/>
    <n v="388"/>
  </r>
  <r>
    <x v="19"/>
    <x v="5"/>
    <s v="Electric Generators, Independent Power Producers"/>
    <x v="0"/>
    <n v="11514548"/>
  </r>
  <r>
    <x v="19"/>
    <x v="5"/>
    <s v="Electric Generators, Independent Power Producers"/>
    <x v="2"/>
    <n v="158871"/>
  </r>
  <r>
    <x v="19"/>
    <x v="5"/>
    <s v="Electric Generators, Independent Power Producers"/>
    <x v="3"/>
    <n v="8189672"/>
  </r>
  <r>
    <x v="19"/>
    <x v="5"/>
    <s v="Electric Generators, Independent Power Producers"/>
    <x v="12"/>
    <n v="17496"/>
  </r>
  <r>
    <x v="19"/>
    <x v="5"/>
    <s v="Electric Generators, Independent Power Producers"/>
    <x v="8"/>
    <n v="17463"/>
  </r>
  <r>
    <x v="19"/>
    <x v="5"/>
    <s v="Electric Generators, Independent Power Producers"/>
    <x v="4"/>
    <n v="700"/>
  </r>
  <r>
    <x v="19"/>
    <x v="5"/>
    <s v="Electric Generators, Independent Power Producers"/>
    <x v="13"/>
    <n v="25585"/>
  </r>
  <r>
    <x v="19"/>
    <x v="5"/>
    <s v="Electric Generators, Independent Power Producers"/>
    <x v="5"/>
    <n v="3104761"/>
  </r>
  <r>
    <x v="19"/>
    <x v="5"/>
    <s v="Electric Generators, Electric Utilities"/>
    <x v="0"/>
    <n v="37467527"/>
  </r>
  <r>
    <x v="19"/>
    <x v="5"/>
    <s v="Electric Generators, Electric Utilities"/>
    <x v="1"/>
    <n v="31454143"/>
  </r>
  <r>
    <x v="19"/>
    <x v="5"/>
    <s v="Electric Generators, Electric Utilities"/>
    <x v="2"/>
    <n v="1726853"/>
  </r>
  <r>
    <x v="19"/>
    <x v="5"/>
    <s v="Electric Generators, Electric Utilities"/>
    <x v="3"/>
    <n v="4323143"/>
  </r>
  <r>
    <x v="19"/>
    <x v="5"/>
    <s v="Electric Generators, Electric Utilities"/>
    <x v="4"/>
    <n v="12583"/>
  </r>
  <r>
    <x v="19"/>
    <x v="5"/>
    <s v="Electric Generators, Electric Utilities"/>
    <x v="10"/>
    <n v="-108658"/>
  </r>
  <r>
    <x v="19"/>
    <x v="5"/>
    <s v="Electric Generators, Electric Utilities"/>
    <x v="5"/>
    <n v="59075"/>
  </r>
  <r>
    <x v="19"/>
    <x v="5"/>
    <s v="Electric Generators, Electric Utilities"/>
    <x v="6"/>
    <n v="388"/>
  </r>
  <r>
    <x v="19"/>
    <x v="5"/>
    <s v="Combined Heat and Power, Industrial Power"/>
    <x v="0"/>
    <n v="50043"/>
  </r>
  <r>
    <x v="19"/>
    <x v="5"/>
    <s v="Combined Heat and Power, Industrial Power"/>
    <x v="3"/>
    <n v="14123"/>
  </r>
  <r>
    <x v="19"/>
    <x v="5"/>
    <s v="Combined Heat and Power, Industrial Power"/>
    <x v="12"/>
    <n v="35915"/>
  </r>
  <r>
    <x v="19"/>
    <x v="5"/>
    <s v="Combined Heat and Power, Industrial Power"/>
    <x v="4"/>
    <n v="5"/>
  </r>
  <r>
    <x v="19"/>
    <x v="5"/>
    <s v="Combined Heat and Power, Electric Power"/>
    <x v="0"/>
    <n v="1530733"/>
  </r>
  <r>
    <x v="19"/>
    <x v="5"/>
    <s v="Combined Heat and Power, Electric Power"/>
    <x v="1"/>
    <n v="181880"/>
  </r>
  <r>
    <x v="19"/>
    <x v="5"/>
    <s v="Combined Heat and Power, Electric Power"/>
    <x v="3"/>
    <n v="1309994"/>
  </r>
  <r>
    <x v="19"/>
    <x v="5"/>
    <s v="Combined Heat and Power, Electric Power"/>
    <x v="8"/>
    <n v="38701"/>
  </r>
  <r>
    <x v="19"/>
    <x v="5"/>
    <s v="Combined Heat and Power, Electric Power"/>
    <x v="9"/>
    <n v="0"/>
  </r>
  <r>
    <x v="19"/>
    <x v="5"/>
    <s v="Combined Heat and Power, Electric Power"/>
    <x v="4"/>
    <n v="158"/>
  </r>
  <r>
    <x v="19"/>
    <x v="5"/>
    <s v="Combined Heat and Power, Commercial Power"/>
    <x v="0"/>
    <n v="3101"/>
  </r>
  <r>
    <x v="19"/>
    <x v="5"/>
    <s v="Combined Heat and Power, Commercial Power"/>
    <x v="3"/>
    <n v="3093"/>
  </r>
  <r>
    <x v="19"/>
    <x v="5"/>
    <s v="Combined Heat and Power, Commercial Power"/>
    <x v="4"/>
    <n v="8"/>
  </r>
  <r>
    <x v="19"/>
    <x v="6"/>
    <s v="Total Electric Power Industry"/>
    <x v="0"/>
    <n v="31206222"/>
  </r>
  <r>
    <x v="19"/>
    <x v="6"/>
    <s v="Total Electric Power Industry"/>
    <x v="1"/>
    <n v="2453497"/>
  </r>
  <r>
    <x v="19"/>
    <x v="6"/>
    <s v="Total Electric Power Industry"/>
    <x v="2"/>
    <n v="509546"/>
  </r>
  <r>
    <x v="19"/>
    <x v="6"/>
    <s v="Total Electric Power Industry"/>
    <x v="3"/>
    <n v="9809351"/>
  </r>
  <r>
    <x v="19"/>
    <x v="6"/>
    <s v="Total Electric Power Industry"/>
    <x v="7"/>
    <n v="16657382"/>
  </r>
  <r>
    <x v="19"/>
    <x v="6"/>
    <s v="Total Electric Power Industry"/>
    <x v="12"/>
    <n v="713453"/>
  </r>
  <r>
    <x v="19"/>
    <x v="6"/>
    <s v="Total Electric Power Industry"/>
    <x v="8"/>
    <n v="758108"/>
  </r>
  <r>
    <x v="19"/>
    <x v="6"/>
    <s v="Total Electric Power Industry"/>
    <x v="9"/>
    <n v="0"/>
  </r>
  <r>
    <x v="19"/>
    <x v="6"/>
    <s v="Total Electric Power Industry"/>
    <x v="4"/>
    <n v="298878"/>
  </r>
  <r>
    <x v="19"/>
    <x v="6"/>
    <s v="Total Electric Power Industry"/>
    <x v="10"/>
    <n v="5385"/>
  </r>
  <r>
    <x v="19"/>
    <x v="6"/>
    <s v="Total Electric Power Industry"/>
    <x v="6"/>
    <n v="622"/>
  </r>
  <r>
    <x v="19"/>
    <x v="6"/>
    <s v="Electric Generators, Independent Power Producers"/>
    <x v="0"/>
    <n v="28959236"/>
  </r>
  <r>
    <x v="19"/>
    <x v="6"/>
    <s v="Electric Generators, Independent Power Producers"/>
    <x v="1"/>
    <n v="994940"/>
  </r>
  <r>
    <x v="19"/>
    <x v="6"/>
    <s v="Electric Generators, Independent Power Producers"/>
    <x v="2"/>
    <n v="467358"/>
  </r>
  <r>
    <x v="19"/>
    <x v="6"/>
    <s v="Electric Generators, Independent Power Producers"/>
    <x v="3"/>
    <n v="9089235"/>
  </r>
  <r>
    <x v="19"/>
    <x v="6"/>
    <s v="Electric Generators, Independent Power Producers"/>
    <x v="7"/>
    <n v="16657382"/>
  </r>
  <r>
    <x v="19"/>
    <x v="6"/>
    <s v="Electric Generators, Independent Power Producers"/>
    <x v="12"/>
    <n v="700234"/>
  </r>
  <r>
    <x v="19"/>
    <x v="6"/>
    <s v="Electric Generators, Independent Power Producers"/>
    <x v="8"/>
    <n v="758108"/>
  </r>
  <r>
    <x v="19"/>
    <x v="6"/>
    <s v="Electric Generators, Independent Power Producers"/>
    <x v="9"/>
    <n v="0"/>
  </r>
  <r>
    <x v="19"/>
    <x v="6"/>
    <s v="Electric Generators, Independent Power Producers"/>
    <x v="4"/>
    <n v="285973"/>
  </r>
  <r>
    <x v="19"/>
    <x v="6"/>
    <s v="Electric Generators, Independent Power Producers"/>
    <x v="10"/>
    <n v="5385"/>
  </r>
  <r>
    <x v="19"/>
    <x v="6"/>
    <s v="Electric Generators, Independent Power Producers"/>
    <x v="6"/>
    <n v="622"/>
  </r>
  <r>
    <x v="19"/>
    <x v="6"/>
    <s v="Electric Generators, Electric Utilities"/>
    <x v="0"/>
    <n v="47137"/>
  </r>
  <r>
    <x v="19"/>
    <x v="6"/>
    <s v="Electric Generators, Electric Utilities"/>
    <x v="2"/>
    <n v="42188"/>
  </r>
  <r>
    <x v="19"/>
    <x v="6"/>
    <s v="Electric Generators, Electric Utilities"/>
    <x v="3"/>
    <n v="2484"/>
  </r>
  <r>
    <x v="19"/>
    <x v="6"/>
    <s v="Electric Generators, Electric Utilities"/>
    <x v="4"/>
    <n v="2465"/>
  </r>
  <r>
    <x v="19"/>
    <x v="6"/>
    <s v="Combined Heat and Power, Industrial Power"/>
    <x v="0"/>
    <n v="279200"/>
  </r>
  <r>
    <x v="19"/>
    <x v="6"/>
    <s v="Combined Heat and Power, Industrial Power"/>
    <x v="3"/>
    <n v="259318"/>
  </r>
  <r>
    <x v="19"/>
    <x v="6"/>
    <s v="Combined Heat and Power, Industrial Power"/>
    <x v="12"/>
    <n v="13219"/>
  </r>
  <r>
    <x v="19"/>
    <x v="6"/>
    <s v="Combined Heat and Power, Industrial Power"/>
    <x v="4"/>
    <n v="6663"/>
  </r>
  <r>
    <x v="19"/>
    <x v="6"/>
    <s v="Combined Heat and Power, Electric Power"/>
    <x v="0"/>
    <n v="1874004"/>
  </r>
  <r>
    <x v="19"/>
    <x v="6"/>
    <s v="Combined Heat and Power, Electric Power"/>
    <x v="1"/>
    <n v="1458558"/>
  </r>
  <r>
    <x v="19"/>
    <x v="6"/>
    <s v="Combined Heat and Power, Electric Power"/>
    <x v="3"/>
    <n v="411669"/>
  </r>
  <r>
    <x v="19"/>
    <x v="6"/>
    <s v="Combined Heat and Power, Electric Power"/>
    <x v="4"/>
    <n v="3777"/>
  </r>
  <r>
    <x v="19"/>
    <x v="6"/>
    <s v="Combined Heat and Power, Commercial Power"/>
    <x v="0"/>
    <n v="46645"/>
  </r>
  <r>
    <x v="19"/>
    <x v="6"/>
    <s v="Combined Heat and Power, Commercial Power"/>
    <x v="3"/>
    <n v="46645"/>
  </r>
  <r>
    <x v="19"/>
    <x v="6"/>
    <s v="Combined Heat and Power, Commercial Power"/>
    <x v="4"/>
    <n v="0"/>
  </r>
  <r>
    <x v="19"/>
    <x v="7"/>
    <s v="Total Electric Power Industry"/>
    <x v="0"/>
    <n v="35499"/>
  </r>
  <r>
    <x v="19"/>
    <x v="7"/>
    <s v="Total Electric Power Industry"/>
    <x v="4"/>
    <n v="35499"/>
  </r>
  <r>
    <x v="19"/>
    <x v="7"/>
    <s v="Electric Generators, Independent Power Producers"/>
    <x v="0"/>
    <n v="35499"/>
  </r>
  <r>
    <x v="19"/>
    <x v="7"/>
    <s v="Electric Generators, Independent Power Producers"/>
    <x v="4"/>
    <n v="35499"/>
  </r>
  <r>
    <x v="19"/>
    <x v="8"/>
    <s v="Total Electric Power Industry"/>
    <x v="0"/>
    <n v="4841563"/>
  </r>
  <r>
    <x v="19"/>
    <x v="8"/>
    <s v="Total Electric Power Industry"/>
    <x v="1"/>
    <n v="2848171"/>
  </r>
  <r>
    <x v="19"/>
    <x v="8"/>
    <s v="Total Electric Power Industry"/>
    <x v="3"/>
    <n v="1376401"/>
  </r>
  <r>
    <x v="19"/>
    <x v="8"/>
    <s v="Total Electric Power Industry"/>
    <x v="12"/>
    <n v="5877"/>
  </r>
  <r>
    <x v="19"/>
    <x v="8"/>
    <s v="Total Electric Power Industry"/>
    <x v="8"/>
    <n v="125611"/>
  </r>
  <r>
    <x v="19"/>
    <x v="8"/>
    <s v="Total Electric Power Industry"/>
    <x v="9"/>
    <n v="227137"/>
  </r>
  <r>
    <x v="19"/>
    <x v="8"/>
    <s v="Total Electric Power Industry"/>
    <x v="4"/>
    <n v="258366"/>
  </r>
  <r>
    <x v="19"/>
    <x v="8"/>
    <s v="Electric Generators, Independent Power Producers"/>
    <x v="0"/>
    <n v="3694580"/>
  </r>
  <r>
    <x v="19"/>
    <x v="8"/>
    <s v="Electric Generators, Independent Power Producers"/>
    <x v="1"/>
    <n v="2316795"/>
  </r>
  <r>
    <x v="19"/>
    <x v="8"/>
    <s v="Electric Generators, Independent Power Producers"/>
    <x v="3"/>
    <n v="1281073"/>
  </r>
  <r>
    <x v="19"/>
    <x v="8"/>
    <s v="Electric Generators, Independent Power Producers"/>
    <x v="8"/>
    <n v="40675"/>
  </r>
  <r>
    <x v="19"/>
    <x v="8"/>
    <s v="Electric Generators, Independent Power Producers"/>
    <x v="4"/>
    <n v="56037"/>
  </r>
  <r>
    <x v="19"/>
    <x v="8"/>
    <s v="Electric Generators, Electric Utilities"/>
    <x v="0"/>
    <n v="12768"/>
  </r>
  <r>
    <x v="19"/>
    <x v="8"/>
    <s v="Electric Generators, Electric Utilities"/>
    <x v="3"/>
    <n v="12311"/>
  </r>
  <r>
    <x v="19"/>
    <x v="8"/>
    <s v="Electric Generators, Electric Utilities"/>
    <x v="4"/>
    <n v="457"/>
  </r>
  <r>
    <x v="19"/>
    <x v="8"/>
    <s v="Combined Heat and Power, Industrial Power"/>
    <x v="0"/>
    <n v="458880"/>
  </r>
  <r>
    <x v="19"/>
    <x v="8"/>
    <s v="Combined Heat and Power, Industrial Power"/>
    <x v="1"/>
    <n v="16175"/>
  </r>
  <r>
    <x v="19"/>
    <x v="8"/>
    <s v="Combined Heat and Power, Industrial Power"/>
    <x v="3"/>
    <n v="54004"/>
  </r>
  <r>
    <x v="19"/>
    <x v="8"/>
    <s v="Combined Heat and Power, Industrial Power"/>
    <x v="12"/>
    <n v="5877"/>
  </r>
  <r>
    <x v="19"/>
    <x v="8"/>
    <s v="Combined Heat and Power, Industrial Power"/>
    <x v="9"/>
    <n v="227137"/>
  </r>
  <r>
    <x v="19"/>
    <x v="8"/>
    <s v="Combined Heat and Power, Industrial Power"/>
    <x v="4"/>
    <n v="155686"/>
  </r>
  <r>
    <x v="19"/>
    <x v="8"/>
    <s v="Combined Heat and Power, Electric Power"/>
    <x v="0"/>
    <n v="675335"/>
  </r>
  <r>
    <x v="19"/>
    <x v="8"/>
    <s v="Combined Heat and Power, Electric Power"/>
    <x v="1"/>
    <n v="515201"/>
  </r>
  <r>
    <x v="19"/>
    <x v="8"/>
    <s v="Combined Heat and Power, Electric Power"/>
    <x v="3"/>
    <n v="29013"/>
  </r>
  <r>
    <x v="19"/>
    <x v="8"/>
    <s v="Combined Heat and Power, Electric Power"/>
    <x v="8"/>
    <n v="84936"/>
  </r>
  <r>
    <x v="19"/>
    <x v="8"/>
    <s v="Combined Heat and Power, Electric Power"/>
    <x v="4"/>
    <n v="46185"/>
  </r>
  <r>
    <x v="19"/>
    <x v="9"/>
    <s v="Total Electric Power Industry"/>
    <x v="0"/>
    <n v="217952308"/>
  </r>
  <r>
    <x v="19"/>
    <x v="9"/>
    <s v="Total Electric Power Industry"/>
    <x v="1"/>
    <n v="54003072"/>
  </r>
  <r>
    <x v="19"/>
    <x v="9"/>
    <s v="Total Electric Power Industry"/>
    <x v="2"/>
    <n v="208202"/>
  </r>
  <r>
    <x v="19"/>
    <x v="9"/>
    <s v="Total Electric Power Industry"/>
    <x v="3"/>
    <n v="118322308"/>
  </r>
  <r>
    <x v="19"/>
    <x v="9"/>
    <s v="Total Electric Power Industry"/>
    <x v="7"/>
    <n v="29117877"/>
  </r>
  <r>
    <x v="19"/>
    <x v="9"/>
    <s v="Total Electric Power Industry"/>
    <x v="12"/>
    <n v="2732701"/>
  </r>
  <r>
    <x v="19"/>
    <x v="9"/>
    <s v="Total Electric Power Industry"/>
    <x v="8"/>
    <n v="2376737"/>
  </r>
  <r>
    <x v="19"/>
    <x v="9"/>
    <s v="Total Electric Power Industry"/>
    <x v="9"/>
    <n v="6800"/>
  </r>
  <r>
    <x v="19"/>
    <x v="9"/>
    <s v="Total Electric Power Industry"/>
    <x v="4"/>
    <n v="9221017"/>
  </r>
  <r>
    <x v="19"/>
    <x v="9"/>
    <s v="Total Electric Power Industry"/>
    <x v="13"/>
    <n v="9470"/>
  </r>
  <r>
    <x v="19"/>
    <x v="9"/>
    <s v="Total Electric Power Industry"/>
    <x v="6"/>
    <n v="1954125"/>
  </r>
  <r>
    <x v="19"/>
    <x v="9"/>
    <s v="Electric Generators, Independent Power Producers"/>
    <x v="0"/>
    <n v="10773917"/>
  </r>
  <r>
    <x v="19"/>
    <x v="9"/>
    <s v="Electric Generators, Independent Power Producers"/>
    <x v="3"/>
    <n v="7501741"/>
  </r>
  <r>
    <x v="19"/>
    <x v="9"/>
    <s v="Electric Generators, Independent Power Producers"/>
    <x v="12"/>
    <n v="1247113"/>
  </r>
  <r>
    <x v="19"/>
    <x v="9"/>
    <s v="Electric Generators, Independent Power Producers"/>
    <x v="8"/>
    <n v="1759583"/>
  </r>
  <r>
    <x v="19"/>
    <x v="9"/>
    <s v="Electric Generators, Independent Power Producers"/>
    <x v="9"/>
    <n v="13"/>
  </r>
  <r>
    <x v="19"/>
    <x v="9"/>
    <s v="Electric Generators, Independent Power Producers"/>
    <x v="4"/>
    <n v="84736"/>
  </r>
  <r>
    <x v="19"/>
    <x v="9"/>
    <s v="Electric Generators, Independent Power Producers"/>
    <x v="6"/>
    <n v="180731"/>
  </r>
  <r>
    <x v="19"/>
    <x v="9"/>
    <s v="Electric Generators, Electric Utilities"/>
    <x v="0"/>
    <n v="195063261"/>
  </r>
  <r>
    <x v="19"/>
    <x v="9"/>
    <s v="Electric Generators, Electric Utilities"/>
    <x v="1"/>
    <n v="49942611"/>
  </r>
  <r>
    <x v="19"/>
    <x v="9"/>
    <s v="Electric Generators, Electric Utilities"/>
    <x v="2"/>
    <n v="208202"/>
  </r>
  <r>
    <x v="19"/>
    <x v="9"/>
    <s v="Electric Generators, Electric Utilities"/>
    <x v="3"/>
    <n v="106669479"/>
  </r>
  <r>
    <x v="19"/>
    <x v="9"/>
    <s v="Electric Generators, Electric Utilities"/>
    <x v="7"/>
    <n v="29117877"/>
  </r>
  <r>
    <x v="19"/>
    <x v="9"/>
    <s v="Electric Generators, Electric Utilities"/>
    <x v="8"/>
    <n v="86756"/>
  </r>
  <r>
    <x v="19"/>
    <x v="9"/>
    <s v="Electric Generators, Electric Utilities"/>
    <x v="9"/>
    <n v="0"/>
  </r>
  <r>
    <x v="19"/>
    <x v="9"/>
    <s v="Electric Generators, Electric Utilities"/>
    <x v="4"/>
    <n v="9028865"/>
  </r>
  <r>
    <x v="19"/>
    <x v="9"/>
    <s v="Electric Generators, Electric Utilities"/>
    <x v="13"/>
    <n v="9470"/>
  </r>
  <r>
    <x v="19"/>
    <x v="9"/>
    <s v="Combined Heat and Power, Industrial Power"/>
    <x v="0"/>
    <n v="4848201"/>
  </r>
  <r>
    <x v="19"/>
    <x v="9"/>
    <s v="Combined Heat and Power, Industrial Power"/>
    <x v="1"/>
    <n v="278209"/>
  </r>
  <r>
    <x v="19"/>
    <x v="9"/>
    <s v="Combined Heat and Power, Industrial Power"/>
    <x v="3"/>
    <n v="1048329"/>
  </r>
  <r>
    <x v="19"/>
    <x v="9"/>
    <s v="Combined Heat and Power, Industrial Power"/>
    <x v="12"/>
    <n v="1485588"/>
  </r>
  <r>
    <x v="19"/>
    <x v="9"/>
    <s v="Combined Heat and Power, Industrial Power"/>
    <x v="8"/>
    <n v="302935"/>
  </r>
  <r>
    <x v="19"/>
    <x v="9"/>
    <s v="Combined Heat and Power, Industrial Power"/>
    <x v="9"/>
    <n v="6787"/>
  </r>
  <r>
    <x v="19"/>
    <x v="9"/>
    <s v="Combined Heat and Power, Industrial Power"/>
    <x v="4"/>
    <n v="97454"/>
  </r>
  <r>
    <x v="19"/>
    <x v="9"/>
    <s v="Combined Heat and Power, Industrial Power"/>
    <x v="6"/>
    <n v="1628898"/>
  </r>
  <r>
    <x v="19"/>
    <x v="9"/>
    <s v="Combined Heat and Power, Electric Power"/>
    <x v="0"/>
    <n v="7202635"/>
  </r>
  <r>
    <x v="19"/>
    <x v="9"/>
    <s v="Combined Heat and Power, Electric Power"/>
    <x v="1"/>
    <n v="3782252"/>
  </r>
  <r>
    <x v="19"/>
    <x v="9"/>
    <s v="Combined Heat and Power, Electric Power"/>
    <x v="3"/>
    <n v="3078848"/>
  </r>
  <r>
    <x v="19"/>
    <x v="9"/>
    <s v="Combined Heat and Power, Electric Power"/>
    <x v="12"/>
    <n v="0"/>
  </r>
  <r>
    <x v="19"/>
    <x v="9"/>
    <s v="Combined Heat and Power, Electric Power"/>
    <x v="8"/>
    <n v="187079"/>
  </r>
  <r>
    <x v="19"/>
    <x v="9"/>
    <s v="Combined Heat and Power, Electric Power"/>
    <x v="9"/>
    <n v="0"/>
  </r>
  <r>
    <x v="19"/>
    <x v="9"/>
    <s v="Combined Heat and Power, Electric Power"/>
    <x v="4"/>
    <n v="9961"/>
  </r>
  <r>
    <x v="19"/>
    <x v="9"/>
    <s v="Combined Heat and Power, Electric Power"/>
    <x v="6"/>
    <n v="144495"/>
  </r>
  <r>
    <x v="19"/>
    <x v="9"/>
    <s v="Combined Heat and Power, Commercial Power"/>
    <x v="0"/>
    <n v="64295"/>
  </r>
  <r>
    <x v="19"/>
    <x v="9"/>
    <s v="Combined Heat and Power, Commercial Power"/>
    <x v="3"/>
    <n v="23911"/>
  </r>
  <r>
    <x v="19"/>
    <x v="9"/>
    <s v="Combined Heat and Power, Commercial Power"/>
    <x v="8"/>
    <n v="40384"/>
  </r>
  <r>
    <x v="19"/>
    <x v="9"/>
    <s v="Combined Heat and Power, Commercial Power"/>
    <x v="4"/>
    <n v="0"/>
  </r>
  <r>
    <x v="19"/>
    <x v="10"/>
    <s v="Total Electric Power Industry"/>
    <x v="0"/>
    <n v="128698376"/>
  </r>
  <r>
    <x v="19"/>
    <x v="10"/>
    <s v="Total Electric Power Industry"/>
    <x v="1"/>
    <n v="69478196"/>
  </r>
  <r>
    <x v="19"/>
    <x v="10"/>
    <s v="Total Electric Power Industry"/>
    <x v="2"/>
    <n v="3259683"/>
  </r>
  <r>
    <x v="19"/>
    <x v="10"/>
    <s v="Total Electric Power Industry"/>
    <x v="3"/>
    <n v="20505749"/>
  </r>
  <r>
    <x v="19"/>
    <x v="10"/>
    <s v="Total Electric Power Industry"/>
    <x v="7"/>
    <n v="31682579"/>
  </r>
  <r>
    <x v="19"/>
    <x v="10"/>
    <s v="Total Electric Power Industry"/>
    <x v="12"/>
    <n v="25337"/>
  </r>
  <r>
    <x v="19"/>
    <x v="10"/>
    <s v="Total Electric Power Industry"/>
    <x v="8"/>
    <n v="79600"/>
  </r>
  <r>
    <x v="19"/>
    <x v="10"/>
    <s v="Total Electric Power Industry"/>
    <x v="4"/>
    <n v="649674"/>
  </r>
  <r>
    <x v="19"/>
    <x v="10"/>
    <s v="Total Electric Power Industry"/>
    <x v="10"/>
    <n v="271988"/>
  </r>
  <r>
    <x v="19"/>
    <x v="10"/>
    <s v="Total Electric Power Industry"/>
    <x v="6"/>
    <n v="2745569"/>
  </r>
  <r>
    <x v="19"/>
    <x v="10"/>
    <s v="Electric Generators, Independent Power Producers"/>
    <x v="0"/>
    <n v="9080363"/>
  </r>
  <r>
    <x v="19"/>
    <x v="10"/>
    <s v="Electric Generators, Independent Power Producers"/>
    <x v="2"/>
    <n v="3503"/>
  </r>
  <r>
    <x v="19"/>
    <x v="10"/>
    <s v="Electric Generators, Independent Power Producers"/>
    <x v="3"/>
    <n v="9041587"/>
  </r>
  <r>
    <x v="19"/>
    <x v="10"/>
    <s v="Electric Generators, Independent Power Producers"/>
    <x v="12"/>
    <n v="0"/>
  </r>
  <r>
    <x v="19"/>
    <x v="10"/>
    <s v="Electric Generators, Independent Power Producers"/>
    <x v="8"/>
    <n v="29737"/>
  </r>
  <r>
    <x v="19"/>
    <x v="10"/>
    <s v="Electric Generators, Independent Power Producers"/>
    <x v="4"/>
    <n v="5536"/>
  </r>
  <r>
    <x v="19"/>
    <x v="10"/>
    <s v="Electric Generators, Independent Power Producers"/>
    <x v="6"/>
    <n v="0"/>
  </r>
  <r>
    <x v="19"/>
    <x v="10"/>
    <s v="Electric Generators, Electric Utilities"/>
    <x v="0"/>
    <n v="115074702"/>
  </r>
  <r>
    <x v="19"/>
    <x v="10"/>
    <s v="Electric Generators, Electric Utilities"/>
    <x v="1"/>
    <n v="68863420"/>
  </r>
  <r>
    <x v="19"/>
    <x v="10"/>
    <s v="Electric Generators, Electric Utilities"/>
    <x v="2"/>
    <n v="3248591"/>
  </r>
  <r>
    <x v="19"/>
    <x v="10"/>
    <s v="Electric Generators, Electric Utilities"/>
    <x v="3"/>
    <n v="10943291"/>
  </r>
  <r>
    <x v="19"/>
    <x v="10"/>
    <s v="Electric Generators, Electric Utilities"/>
    <x v="7"/>
    <n v="31682579"/>
  </r>
  <r>
    <x v="19"/>
    <x v="10"/>
    <s v="Electric Generators, Electric Utilities"/>
    <x v="4"/>
    <n v="64833"/>
  </r>
  <r>
    <x v="19"/>
    <x v="10"/>
    <s v="Electric Generators, Electric Utilities"/>
    <x v="10"/>
    <n v="271988"/>
  </r>
  <r>
    <x v="19"/>
    <x v="10"/>
    <s v="Combined Heat and Power, Industrial Power"/>
    <x v="0"/>
    <n v="4493861"/>
  </r>
  <r>
    <x v="19"/>
    <x v="10"/>
    <s v="Combined Heat and Power, Industrial Power"/>
    <x v="1"/>
    <n v="614776"/>
  </r>
  <r>
    <x v="19"/>
    <x v="10"/>
    <s v="Combined Heat and Power, Industrial Power"/>
    <x v="2"/>
    <n v="7589"/>
  </r>
  <r>
    <x v="19"/>
    <x v="10"/>
    <s v="Combined Heat and Power, Industrial Power"/>
    <x v="3"/>
    <n v="499927"/>
  </r>
  <r>
    <x v="19"/>
    <x v="10"/>
    <s v="Combined Heat and Power, Industrial Power"/>
    <x v="12"/>
    <n v="25337"/>
  </r>
  <r>
    <x v="19"/>
    <x v="10"/>
    <s v="Combined Heat and Power, Industrial Power"/>
    <x v="8"/>
    <n v="28881"/>
  </r>
  <r>
    <x v="19"/>
    <x v="10"/>
    <s v="Combined Heat and Power, Industrial Power"/>
    <x v="4"/>
    <n v="571781"/>
  </r>
  <r>
    <x v="19"/>
    <x v="10"/>
    <s v="Combined Heat and Power, Industrial Power"/>
    <x v="6"/>
    <n v="2745569"/>
  </r>
  <r>
    <x v="19"/>
    <x v="10"/>
    <s v="Combined Heat and Power, Electric Power"/>
    <x v="0"/>
    <n v="25308"/>
  </r>
  <r>
    <x v="19"/>
    <x v="10"/>
    <s v="Combined Heat and Power, Electric Power"/>
    <x v="3"/>
    <n v="20945"/>
  </r>
  <r>
    <x v="19"/>
    <x v="10"/>
    <s v="Combined Heat and Power, Electric Power"/>
    <x v="4"/>
    <n v="4363"/>
  </r>
  <r>
    <x v="19"/>
    <x v="10"/>
    <s v="Combined Heat and Power, Commercial Power"/>
    <x v="0"/>
    <n v="24142"/>
  </r>
  <r>
    <x v="19"/>
    <x v="10"/>
    <s v="Combined Heat and Power, Commercial Power"/>
    <x v="3"/>
    <n v="0"/>
  </r>
  <r>
    <x v="19"/>
    <x v="10"/>
    <s v="Combined Heat and Power, Commercial Power"/>
    <x v="8"/>
    <n v="20982"/>
  </r>
  <r>
    <x v="19"/>
    <x v="10"/>
    <s v="Combined Heat and Power, Commercial Power"/>
    <x v="4"/>
    <n v="3160"/>
  </r>
  <r>
    <x v="19"/>
    <x v="11"/>
    <s v="Total Electric Power Industry"/>
    <x v="0"/>
    <n v="11010533"/>
  </r>
  <r>
    <x v="19"/>
    <x v="11"/>
    <s v="Total Electric Power Industry"/>
    <x v="1"/>
    <n v="1500166"/>
  </r>
  <r>
    <x v="19"/>
    <x v="11"/>
    <s v="Total Electric Power Industry"/>
    <x v="11"/>
    <n v="167591"/>
  </r>
  <r>
    <x v="19"/>
    <x v="11"/>
    <s v="Total Electric Power Industry"/>
    <x v="2"/>
    <n v="112649"/>
  </r>
  <r>
    <x v="19"/>
    <x v="11"/>
    <s v="Total Electric Power Industry"/>
    <x v="12"/>
    <n v="381432"/>
  </r>
  <r>
    <x v="19"/>
    <x v="11"/>
    <s v="Total Electric Power Industry"/>
    <x v="8"/>
    <n v="284427"/>
  </r>
  <r>
    <x v="19"/>
    <x v="11"/>
    <s v="Total Electric Power Industry"/>
    <x v="9"/>
    <n v="22345"/>
  </r>
  <r>
    <x v="19"/>
    <x v="11"/>
    <s v="Total Electric Power Industry"/>
    <x v="4"/>
    <n v="8289107"/>
  </r>
  <r>
    <x v="19"/>
    <x v="11"/>
    <s v="Total Electric Power Industry"/>
    <x v="13"/>
    <n v="1390"/>
  </r>
  <r>
    <x v="19"/>
    <x v="11"/>
    <s v="Total Electric Power Industry"/>
    <x v="5"/>
    <n v="251427"/>
  </r>
  <r>
    <x v="19"/>
    <x v="11"/>
    <s v="Electric Generators, Independent Power Producers"/>
    <x v="0"/>
    <n v="803741"/>
  </r>
  <r>
    <x v="19"/>
    <x v="11"/>
    <s v="Electric Generators, Independent Power Producers"/>
    <x v="11"/>
    <n v="167591"/>
  </r>
  <r>
    <x v="19"/>
    <x v="11"/>
    <s v="Electric Generators, Independent Power Producers"/>
    <x v="2"/>
    <n v="48651"/>
  </r>
  <r>
    <x v="19"/>
    <x v="11"/>
    <s v="Electric Generators, Independent Power Producers"/>
    <x v="4"/>
    <n v="334767"/>
  </r>
  <r>
    <x v="19"/>
    <x v="11"/>
    <s v="Electric Generators, Independent Power Producers"/>
    <x v="13"/>
    <n v="1390"/>
  </r>
  <r>
    <x v="19"/>
    <x v="11"/>
    <s v="Electric Generators, Independent Power Producers"/>
    <x v="5"/>
    <n v="251342"/>
  </r>
  <r>
    <x v="19"/>
    <x v="11"/>
    <s v="Electric Generators, Electric Utilities"/>
    <x v="0"/>
    <n v="6509550"/>
  </r>
  <r>
    <x v="19"/>
    <x v="11"/>
    <s v="Electric Generators, Electric Utilities"/>
    <x v="2"/>
    <n v="28608"/>
  </r>
  <r>
    <x v="19"/>
    <x v="11"/>
    <s v="Electric Generators, Electric Utilities"/>
    <x v="12"/>
    <n v="215398"/>
  </r>
  <r>
    <x v="19"/>
    <x v="11"/>
    <s v="Electric Generators, Electric Utilities"/>
    <x v="8"/>
    <n v="3277"/>
  </r>
  <r>
    <x v="19"/>
    <x v="11"/>
    <s v="Electric Generators, Electric Utilities"/>
    <x v="4"/>
    <n v="6262182"/>
  </r>
  <r>
    <x v="19"/>
    <x v="11"/>
    <s v="Electric Generators, Electric Utilities"/>
    <x v="5"/>
    <n v="85"/>
  </r>
  <r>
    <x v="19"/>
    <x v="11"/>
    <s v="Combined Heat and Power, Industrial Power"/>
    <x v="0"/>
    <n v="252535"/>
  </r>
  <r>
    <x v="19"/>
    <x v="11"/>
    <s v="Combined Heat and Power, Industrial Power"/>
    <x v="2"/>
    <n v="35390"/>
  </r>
  <r>
    <x v="19"/>
    <x v="11"/>
    <s v="Combined Heat and Power, Industrial Power"/>
    <x v="8"/>
    <n v="10376"/>
  </r>
  <r>
    <x v="19"/>
    <x v="11"/>
    <s v="Combined Heat and Power, Industrial Power"/>
    <x v="9"/>
    <n v="22345"/>
  </r>
  <r>
    <x v="19"/>
    <x v="11"/>
    <s v="Combined Heat and Power, Industrial Power"/>
    <x v="4"/>
    <n v="184424"/>
  </r>
  <r>
    <x v="19"/>
    <x v="11"/>
    <s v="Combined Heat and Power, Electric Power"/>
    <x v="0"/>
    <n v="3121676"/>
  </r>
  <r>
    <x v="19"/>
    <x v="11"/>
    <s v="Combined Heat and Power, Electric Power"/>
    <x v="1"/>
    <n v="1500166"/>
  </r>
  <r>
    <x v="19"/>
    <x v="11"/>
    <s v="Combined Heat and Power, Electric Power"/>
    <x v="12"/>
    <n v="24554"/>
  </r>
  <r>
    <x v="19"/>
    <x v="11"/>
    <s v="Combined Heat and Power, Electric Power"/>
    <x v="8"/>
    <n v="90706"/>
  </r>
  <r>
    <x v="19"/>
    <x v="11"/>
    <s v="Combined Heat and Power, Electric Power"/>
    <x v="4"/>
    <n v="1506250"/>
  </r>
  <r>
    <x v="19"/>
    <x v="11"/>
    <s v="Combined Heat and Power, Commercial Power"/>
    <x v="0"/>
    <n v="323031"/>
  </r>
  <r>
    <x v="19"/>
    <x v="11"/>
    <s v="Combined Heat and Power, Commercial Power"/>
    <x v="12"/>
    <n v="141480"/>
  </r>
  <r>
    <x v="19"/>
    <x v="11"/>
    <s v="Combined Heat and Power, Commercial Power"/>
    <x v="8"/>
    <n v="180068"/>
  </r>
  <r>
    <x v="19"/>
    <x v="11"/>
    <s v="Combined Heat and Power, Commercial Power"/>
    <x v="4"/>
    <n v="1484"/>
  </r>
  <r>
    <x v="19"/>
    <x v="12"/>
    <s v="Total Electric Power Industry"/>
    <x v="0"/>
    <n v="51860063"/>
  </r>
  <r>
    <x v="19"/>
    <x v="12"/>
    <s v="Total Electric Power Industry"/>
    <x v="1"/>
    <n v="37351436"/>
  </r>
  <r>
    <x v="19"/>
    <x v="12"/>
    <s v="Total Electric Power Industry"/>
    <x v="2"/>
    <n v="971165"/>
  </r>
  <r>
    <x v="19"/>
    <x v="12"/>
    <s v="Total Electric Power Industry"/>
    <x v="3"/>
    <n v="1184217"/>
  </r>
  <r>
    <x v="19"/>
    <x v="12"/>
    <s v="Total Electric Power Industry"/>
    <x v="7"/>
    <n v="4678931"/>
  </r>
  <r>
    <x v="19"/>
    <x v="12"/>
    <s v="Total Electric Power Industry"/>
    <x v="12"/>
    <n v="463"/>
  </r>
  <r>
    <x v="19"/>
    <x v="12"/>
    <s v="Total Electric Power Industry"/>
    <x v="8"/>
    <n v="167887"/>
  </r>
  <r>
    <x v="19"/>
    <x v="12"/>
    <s v="Total Electric Power Industry"/>
    <x v="4"/>
    <n v="85251"/>
  </r>
  <r>
    <x v="19"/>
    <x v="12"/>
    <s v="Total Electric Power Industry"/>
    <x v="5"/>
    <n v="7420520"/>
  </r>
  <r>
    <x v="19"/>
    <x v="12"/>
    <s v="Total Electric Power Industry"/>
    <x v="6"/>
    <n v="194"/>
  </r>
  <r>
    <x v="19"/>
    <x v="12"/>
    <s v="Electric Generators, Independent Power Producers"/>
    <x v="0"/>
    <n v="8604192"/>
  </r>
  <r>
    <x v="19"/>
    <x v="12"/>
    <s v="Electric Generators, Independent Power Producers"/>
    <x v="2"/>
    <n v="7739"/>
  </r>
  <r>
    <x v="19"/>
    <x v="12"/>
    <s v="Electric Generators, Independent Power Producers"/>
    <x v="3"/>
    <n v="15"/>
  </r>
  <r>
    <x v="19"/>
    <x v="12"/>
    <s v="Electric Generators, Independent Power Producers"/>
    <x v="7"/>
    <n v="4678931"/>
  </r>
  <r>
    <x v="19"/>
    <x v="12"/>
    <s v="Electric Generators, Independent Power Producers"/>
    <x v="8"/>
    <n v="93924"/>
  </r>
  <r>
    <x v="19"/>
    <x v="12"/>
    <s v="Electric Generators, Independent Power Producers"/>
    <x v="4"/>
    <n v="1123"/>
  </r>
  <r>
    <x v="19"/>
    <x v="12"/>
    <s v="Electric Generators, Independent Power Producers"/>
    <x v="5"/>
    <n v="3822460"/>
  </r>
  <r>
    <x v="19"/>
    <x v="12"/>
    <s v="Electric Generators, Electric Utilities"/>
    <x v="0"/>
    <n v="41723059"/>
  </r>
  <r>
    <x v="19"/>
    <x v="12"/>
    <s v="Electric Generators, Electric Utilities"/>
    <x v="1"/>
    <n v="35964155"/>
  </r>
  <r>
    <x v="19"/>
    <x v="12"/>
    <s v="Electric Generators, Electric Utilities"/>
    <x v="2"/>
    <n v="963426"/>
  </r>
  <r>
    <x v="19"/>
    <x v="12"/>
    <s v="Electric Generators, Electric Utilities"/>
    <x v="3"/>
    <n v="1091328"/>
  </r>
  <r>
    <x v="19"/>
    <x v="12"/>
    <s v="Electric Generators, Electric Utilities"/>
    <x v="12"/>
    <n v="463"/>
  </r>
  <r>
    <x v="19"/>
    <x v="12"/>
    <s v="Electric Generators, Electric Utilities"/>
    <x v="8"/>
    <n v="26881"/>
  </r>
  <r>
    <x v="19"/>
    <x v="12"/>
    <s v="Electric Generators, Electric Utilities"/>
    <x v="4"/>
    <n v="78553"/>
  </r>
  <r>
    <x v="19"/>
    <x v="12"/>
    <s v="Electric Generators, Electric Utilities"/>
    <x v="5"/>
    <n v="3598060"/>
  </r>
  <r>
    <x v="19"/>
    <x v="12"/>
    <s v="Electric Generators, Electric Utilities"/>
    <x v="6"/>
    <n v="194"/>
  </r>
  <r>
    <x v="19"/>
    <x v="12"/>
    <s v="Combined Heat and Power, Industrial Power"/>
    <x v="0"/>
    <n v="1299495"/>
  </r>
  <r>
    <x v="19"/>
    <x v="12"/>
    <s v="Combined Heat and Power, Industrial Power"/>
    <x v="1"/>
    <n v="1192286"/>
  </r>
  <r>
    <x v="19"/>
    <x v="12"/>
    <s v="Combined Heat and Power, Industrial Power"/>
    <x v="3"/>
    <n v="85087"/>
  </r>
  <r>
    <x v="19"/>
    <x v="12"/>
    <s v="Combined Heat and Power, Industrial Power"/>
    <x v="8"/>
    <n v="21984"/>
  </r>
  <r>
    <x v="19"/>
    <x v="12"/>
    <s v="Combined Heat and Power, Industrial Power"/>
    <x v="4"/>
    <n v="138"/>
  </r>
  <r>
    <x v="19"/>
    <x v="12"/>
    <s v="Combined Heat and Power, Commercial Power"/>
    <x v="0"/>
    <n v="233318"/>
  </r>
  <r>
    <x v="19"/>
    <x v="12"/>
    <s v="Combined Heat and Power, Commercial Power"/>
    <x v="1"/>
    <n v="194995"/>
  </r>
  <r>
    <x v="19"/>
    <x v="12"/>
    <s v="Combined Heat and Power, Commercial Power"/>
    <x v="3"/>
    <n v="7787"/>
  </r>
  <r>
    <x v="19"/>
    <x v="12"/>
    <s v="Combined Heat and Power, Commercial Power"/>
    <x v="8"/>
    <n v="25099"/>
  </r>
  <r>
    <x v="19"/>
    <x v="12"/>
    <s v="Combined Heat and Power, Commercial Power"/>
    <x v="4"/>
    <n v="5437"/>
  </r>
  <r>
    <x v="19"/>
    <x v="13"/>
    <s v="Total Electric Power Industry"/>
    <x v="0"/>
    <n v="13100152"/>
  </r>
  <r>
    <x v="19"/>
    <x v="13"/>
    <s v="Total Electric Power Industry"/>
    <x v="1"/>
    <n v="82565"/>
  </r>
  <r>
    <x v="19"/>
    <x v="13"/>
    <s v="Total Electric Power Industry"/>
    <x v="11"/>
    <n v="75950"/>
  </r>
  <r>
    <x v="19"/>
    <x v="13"/>
    <s v="Total Electric Power Industry"/>
    <x v="2"/>
    <n v="10434264"/>
  </r>
  <r>
    <x v="19"/>
    <x v="13"/>
    <s v="Total Electric Power Industry"/>
    <x v="3"/>
    <n v="1643595"/>
  </r>
  <r>
    <x v="19"/>
    <x v="13"/>
    <s v="Total Electric Power Industry"/>
    <x v="12"/>
    <n v="72371"/>
  </r>
  <r>
    <x v="19"/>
    <x v="13"/>
    <s v="Total Electric Power Industry"/>
    <x v="8"/>
    <n v="0"/>
  </r>
  <r>
    <x v="19"/>
    <x v="13"/>
    <s v="Total Electric Power Industry"/>
    <x v="4"/>
    <n v="41"/>
  </r>
  <r>
    <x v="19"/>
    <x v="13"/>
    <s v="Total Electric Power Industry"/>
    <x v="5"/>
    <n v="313418"/>
  </r>
  <r>
    <x v="19"/>
    <x v="13"/>
    <s v="Total Electric Power Industry"/>
    <x v="6"/>
    <n v="477948"/>
  </r>
  <r>
    <x v="19"/>
    <x v="13"/>
    <s v="Electric Generators, Independent Power Producers"/>
    <x v="0"/>
    <n v="2324071"/>
  </r>
  <r>
    <x v="19"/>
    <x v="13"/>
    <s v="Electric Generators, Independent Power Producers"/>
    <x v="11"/>
    <n v="75950"/>
  </r>
  <r>
    <x v="19"/>
    <x v="13"/>
    <s v="Electric Generators, Independent Power Producers"/>
    <x v="2"/>
    <n v="743668"/>
  </r>
  <r>
    <x v="19"/>
    <x v="13"/>
    <s v="Electric Generators, Independent Power Producers"/>
    <x v="3"/>
    <n v="1191035"/>
  </r>
  <r>
    <x v="19"/>
    <x v="13"/>
    <s v="Electric Generators, Independent Power Producers"/>
    <x v="5"/>
    <n v="313418"/>
  </r>
  <r>
    <x v="19"/>
    <x v="13"/>
    <s v="Electric Generators, Electric Utilities"/>
    <x v="0"/>
    <n v="9977502"/>
  </r>
  <r>
    <x v="19"/>
    <x v="13"/>
    <s v="Electric Generators, Electric Utilities"/>
    <x v="2"/>
    <n v="9690596"/>
  </r>
  <r>
    <x v="19"/>
    <x v="13"/>
    <s v="Electric Generators, Electric Utilities"/>
    <x v="3"/>
    <n v="286865"/>
  </r>
  <r>
    <x v="19"/>
    <x v="13"/>
    <s v="Electric Generators, Electric Utilities"/>
    <x v="4"/>
    <n v="41"/>
  </r>
  <r>
    <x v="19"/>
    <x v="13"/>
    <s v="Combined Heat and Power, Industrial Power"/>
    <x v="0"/>
    <n v="606546"/>
  </r>
  <r>
    <x v="19"/>
    <x v="13"/>
    <s v="Combined Heat and Power, Industrial Power"/>
    <x v="1"/>
    <n v="82565"/>
  </r>
  <r>
    <x v="19"/>
    <x v="13"/>
    <s v="Combined Heat and Power, Industrial Power"/>
    <x v="3"/>
    <n v="49275"/>
  </r>
  <r>
    <x v="19"/>
    <x v="13"/>
    <s v="Combined Heat and Power, Industrial Power"/>
    <x v="12"/>
    <n v="72371"/>
  </r>
  <r>
    <x v="19"/>
    <x v="13"/>
    <s v="Combined Heat and Power, Industrial Power"/>
    <x v="4"/>
    <n v="0"/>
  </r>
  <r>
    <x v="19"/>
    <x v="13"/>
    <s v="Combined Heat and Power, Industrial Power"/>
    <x v="6"/>
    <n v="402335"/>
  </r>
  <r>
    <x v="19"/>
    <x v="13"/>
    <s v="Combined Heat and Power, Electric Power"/>
    <x v="0"/>
    <n v="192033"/>
  </r>
  <r>
    <x v="19"/>
    <x v="13"/>
    <s v="Combined Heat and Power, Electric Power"/>
    <x v="3"/>
    <n v="116420"/>
  </r>
  <r>
    <x v="19"/>
    <x v="13"/>
    <s v="Combined Heat and Power, Electric Power"/>
    <x v="8"/>
    <n v="0"/>
  </r>
  <r>
    <x v="19"/>
    <x v="13"/>
    <s v="Combined Heat and Power, Electric Power"/>
    <x v="6"/>
    <n v="75613"/>
  </r>
  <r>
    <x v="19"/>
    <x v="14"/>
    <s v="Total Electric Power Industry"/>
    <x v="0"/>
    <n v="193864357"/>
  </r>
  <r>
    <x v="19"/>
    <x v="14"/>
    <s v="Total Electric Power Industry"/>
    <x v="1"/>
    <n v="89966860"/>
  </r>
  <r>
    <x v="19"/>
    <x v="14"/>
    <s v="Total Electric Power Industry"/>
    <x v="2"/>
    <n v="136380"/>
  </r>
  <r>
    <x v="19"/>
    <x v="14"/>
    <s v="Total Electric Power Industry"/>
    <x v="3"/>
    <n v="4494720"/>
  </r>
  <r>
    <x v="19"/>
    <x v="14"/>
    <s v="Total Electric Power Industry"/>
    <x v="7"/>
    <n v="95473920"/>
  </r>
  <r>
    <x v="19"/>
    <x v="14"/>
    <s v="Total Electric Power Industry"/>
    <x v="12"/>
    <n v="61820"/>
  </r>
  <r>
    <x v="19"/>
    <x v="14"/>
    <s v="Total Electric Power Industry"/>
    <x v="8"/>
    <n v="709743"/>
  </r>
  <r>
    <x v="19"/>
    <x v="14"/>
    <s v="Total Electric Power Industry"/>
    <x v="9"/>
    <n v="88374"/>
  </r>
  <r>
    <x v="19"/>
    <x v="14"/>
    <s v="Total Electric Power Industry"/>
    <x v="4"/>
    <n v="112531"/>
  </r>
  <r>
    <x v="19"/>
    <x v="14"/>
    <s v="Total Electric Power Industry"/>
    <x v="13"/>
    <n v="16"/>
  </r>
  <r>
    <x v="19"/>
    <x v="14"/>
    <s v="Total Electric Power Industry"/>
    <x v="5"/>
    <n v="2819532"/>
  </r>
  <r>
    <x v="19"/>
    <x v="14"/>
    <s v="Total Electric Power Industry"/>
    <x v="6"/>
    <n v="461"/>
  </r>
  <r>
    <x v="19"/>
    <x v="14"/>
    <s v="Electric Generators, Independent Power Producers"/>
    <x v="0"/>
    <n v="179908306"/>
  </r>
  <r>
    <x v="19"/>
    <x v="14"/>
    <s v="Electric Generators, Independent Power Producers"/>
    <x v="1"/>
    <n v="77753756"/>
  </r>
  <r>
    <x v="19"/>
    <x v="14"/>
    <s v="Electric Generators, Independent Power Producers"/>
    <x v="2"/>
    <n v="90898"/>
  </r>
  <r>
    <x v="19"/>
    <x v="14"/>
    <s v="Electric Generators, Independent Power Producers"/>
    <x v="3"/>
    <n v="2962414"/>
  </r>
  <r>
    <x v="19"/>
    <x v="14"/>
    <s v="Electric Generators, Independent Power Producers"/>
    <x v="7"/>
    <n v="95473920"/>
  </r>
  <r>
    <x v="19"/>
    <x v="14"/>
    <s v="Electric Generators, Independent Power Producers"/>
    <x v="12"/>
    <n v="17504"/>
  </r>
  <r>
    <x v="19"/>
    <x v="14"/>
    <s v="Electric Generators, Independent Power Producers"/>
    <x v="8"/>
    <n v="709136"/>
  </r>
  <r>
    <x v="19"/>
    <x v="14"/>
    <s v="Electric Generators, Independent Power Producers"/>
    <x v="4"/>
    <n v="84408"/>
  </r>
  <r>
    <x v="19"/>
    <x v="14"/>
    <s v="Electric Generators, Independent Power Producers"/>
    <x v="13"/>
    <n v="16"/>
  </r>
  <r>
    <x v="19"/>
    <x v="14"/>
    <s v="Electric Generators, Independent Power Producers"/>
    <x v="5"/>
    <n v="2816253"/>
  </r>
  <r>
    <x v="19"/>
    <x v="14"/>
    <s v="Electric Generators, Electric Utilities"/>
    <x v="0"/>
    <n v="10633876"/>
  </r>
  <r>
    <x v="19"/>
    <x v="14"/>
    <s v="Electric Generators, Electric Utilities"/>
    <x v="1"/>
    <n v="10395045"/>
  </r>
  <r>
    <x v="19"/>
    <x v="14"/>
    <s v="Electric Generators, Electric Utilities"/>
    <x v="2"/>
    <n v="45482"/>
  </r>
  <r>
    <x v="19"/>
    <x v="14"/>
    <s v="Electric Generators, Electric Utilities"/>
    <x v="3"/>
    <n v="162303"/>
  </r>
  <r>
    <x v="19"/>
    <x v="14"/>
    <s v="Electric Generators, Electric Utilities"/>
    <x v="4"/>
    <n v="27767"/>
  </r>
  <r>
    <x v="19"/>
    <x v="14"/>
    <s v="Electric Generators, Electric Utilities"/>
    <x v="5"/>
    <n v="3279"/>
  </r>
  <r>
    <x v="19"/>
    <x v="14"/>
    <s v="Combined Heat and Power, Industrial Power"/>
    <x v="0"/>
    <n v="2350767"/>
  </r>
  <r>
    <x v="19"/>
    <x v="14"/>
    <s v="Combined Heat and Power, Industrial Power"/>
    <x v="1"/>
    <n v="1722922"/>
  </r>
  <r>
    <x v="19"/>
    <x v="14"/>
    <s v="Combined Heat and Power, Industrial Power"/>
    <x v="3"/>
    <n v="506908"/>
  </r>
  <r>
    <x v="19"/>
    <x v="14"/>
    <s v="Combined Heat and Power, Industrial Power"/>
    <x v="12"/>
    <n v="44316"/>
  </r>
  <r>
    <x v="19"/>
    <x v="14"/>
    <s v="Combined Heat and Power, Industrial Power"/>
    <x v="9"/>
    <n v="76155"/>
  </r>
  <r>
    <x v="19"/>
    <x v="14"/>
    <s v="Combined Heat and Power, Industrial Power"/>
    <x v="4"/>
    <n v="6"/>
  </r>
  <r>
    <x v="19"/>
    <x v="14"/>
    <s v="Combined Heat and Power, Industrial Power"/>
    <x v="6"/>
    <n v="461"/>
  </r>
  <r>
    <x v="19"/>
    <x v="14"/>
    <s v="Combined Heat and Power, Electric Power"/>
    <x v="0"/>
    <n v="531194"/>
  </r>
  <r>
    <x v="19"/>
    <x v="14"/>
    <s v="Combined Heat and Power, Electric Power"/>
    <x v="1"/>
    <n v="44710"/>
  </r>
  <r>
    <x v="19"/>
    <x v="14"/>
    <s v="Combined Heat and Power, Electric Power"/>
    <x v="3"/>
    <n v="474220"/>
  </r>
  <r>
    <x v="19"/>
    <x v="14"/>
    <s v="Combined Heat and Power, Electric Power"/>
    <x v="8"/>
    <n v="44"/>
  </r>
  <r>
    <x v="19"/>
    <x v="14"/>
    <s v="Combined Heat and Power, Electric Power"/>
    <x v="9"/>
    <n v="12219"/>
  </r>
  <r>
    <x v="19"/>
    <x v="14"/>
    <s v="Combined Heat and Power, Commercial Power"/>
    <x v="0"/>
    <n v="440215"/>
  </r>
  <r>
    <x v="19"/>
    <x v="14"/>
    <s v="Combined Heat and Power, Commercial Power"/>
    <x v="1"/>
    <n v="50427"/>
  </r>
  <r>
    <x v="19"/>
    <x v="14"/>
    <s v="Combined Heat and Power, Commercial Power"/>
    <x v="3"/>
    <n v="388874"/>
  </r>
  <r>
    <x v="19"/>
    <x v="14"/>
    <s v="Combined Heat and Power, Commercial Power"/>
    <x v="8"/>
    <n v="563"/>
  </r>
  <r>
    <x v="19"/>
    <x v="14"/>
    <s v="Combined Heat and Power, Commercial Power"/>
    <x v="4"/>
    <n v="350"/>
  </r>
  <r>
    <x v="19"/>
    <x v="15"/>
    <s v="Total Electric Power Industry"/>
    <x v="0"/>
    <n v="116670280"/>
  </r>
  <r>
    <x v="19"/>
    <x v="15"/>
    <s v="Total Electric Power Industry"/>
    <x v="1"/>
    <n v="108311698"/>
  </r>
  <r>
    <x v="19"/>
    <x v="15"/>
    <s v="Total Electric Power Industry"/>
    <x v="2"/>
    <n v="503470"/>
  </r>
  <r>
    <x v="19"/>
    <x v="15"/>
    <s v="Total Electric Power Industry"/>
    <x v="3"/>
    <n v="3829658"/>
  </r>
  <r>
    <x v="19"/>
    <x v="15"/>
    <s v="Total Electric Power Industry"/>
    <x v="12"/>
    <n v="342796"/>
  </r>
  <r>
    <x v="19"/>
    <x v="15"/>
    <s v="Total Electric Power Industry"/>
    <x v="8"/>
    <n v="302644"/>
  </r>
  <r>
    <x v="19"/>
    <x v="15"/>
    <s v="Total Electric Power Industry"/>
    <x v="9"/>
    <n v="1820065"/>
  </r>
  <r>
    <x v="19"/>
    <x v="15"/>
    <s v="Total Electric Power Industry"/>
    <x v="4"/>
    <n v="156757"/>
  </r>
  <r>
    <x v="19"/>
    <x v="15"/>
    <s v="Total Electric Power Industry"/>
    <x v="5"/>
    <n v="1403192"/>
  </r>
  <r>
    <x v="19"/>
    <x v="15"/>
    <s v="Electric Generators, Independent Power Producers"/>
    <x v="0"/>
    <n v="4227581"/>
  </r>
  <r>
    <x v="19"/>
    <x v="15"/>
    <s v="Electric Generators, Independent Power Producers"/>
    <x v="1"/>
    <n v="2738592"/>
  </r>
  <r>
    <x v="19"/>
    <x v="15"/>
    <s v="Electric Generators, Independent Power Producers"/>
    <x v="3"/>
    <n v="85797"/>
  </r>
  <r>
    <x v="19"/>
    <x v="15"/>
    <s v="Electric Generators, Independent Power Producers"/>
    <x v="5"/>
    <n v="1403192"/>
  </r>
  <r>
    <x v="19"/>
    <x v="15"/>
    <s v="Electric Generators, Electric Utilities"/>
    <x v="0"/>
    <n v="103594020"/>
  </r>
  <r>
    <x v="19"/>
    <x v="15"/>
    <s v="Electric Generators, Electric Utilities"/>
    <x v="1"/>
    <n v="101000267"/>
  </r>
  <r>
    <x v="19"/>
    <x v="15"/>
    <s v="Electric Generators, Electric Utilities"/>
    <x v="2"/>
    <n v="503470"/>
  </r>
  <r>
    <x v="19"/>
    <x v="15"/>
    <s v="Electric Generators, Electric Utilities"/>
    <x v="3"/>
    <n v="1698145"/>
  </r>
  <r>
    <x v="19"/>
    <x v="15"/>
    <s v="Electric Generators, Electric Utilities"/>
    <x v="8"/>
    <n v="259483"/>
  </r>
  <r>
    <x v="19"/>
    <x v="15"/>
    <s v="Electric Generators, Electric Utilities"/>
    <x v="4"/>
    <n v="132655"/>
  </r>
  <r>
    <x v="19"/>
    <x v="15"/>
    <s v="Combined Heat and Power, Industrial Power"/>
    <x v="0"/>
    <n v="2671224"/>
  </r>
  <r>
    <x v="19"/>
    <x v="15"/>
    <s v="Combined Heat and Power, Industrial Power"/>
    <x v="1"/>
    <n v="43092"/>
  </r>
  <r>
    <x v="19"/>
    <x v="15"/>
    <s v="Combined Heat and Power, Industrial Power"/>
    <x v="3"/>
    <n v="445948"/>
  </r>
  <r>
    <x v="19"/>
    <x v="15"/>
    <s v="Combined Heat and Power, Industrial Power"/>
    <x v="12"/>
    <n v="326456"/>
  </r>
  <r>
    <x v="19"/>
    <x v="15"/>
    <s v="Combined Heat and Power, Industrial Power"/>
    <x v="8"/>
    <n v="22365"/>
  </r>
  <r>
    <x v="19"/>
    <x v="15"/>
    <s v="Combined Heat and Power, Industrial Power"/>
    <x v="9"/>
    <n v="1820065"/>
  </r>
  <r>
    <x v="19"/>
    <x v="15"/>
    <s v="Combined Heat and Power, Industrial Power"/>
    <x v="4"/>
    <n v="13297"/>
  </r>
  <r>
    <x v="19"/>
    <x v="15"/>
    <s v="Combined Heat and Power, Electric Power"/>
    <x v="0"/>
    <n v="5984426"/>
  </r>
  <r>
    <x v="19"/>
    <x v="15"/>
    <s v="Combined Heat and Power, Electric Power"/>
    <x v="1"/>
    <n v="4409906"/>
  </r>
  <r>
    <x v="19"/>
    <x v="15"/>
    <s v="Combined Heat and Power, Electric Power"/>
    <x v="3"/>
    <n v="1565003"/>
  </r>
  <r>
    <x v="19"/>
    <x v="15"/>
    <s v="Combined Heat and Power, Electric Power"/>
    <x v="9"/>
    <n v="0"/>
  </r>
  <r>
    <x v="19"/>
    <x v="15"/>
    <s v="Combined Heat and Power, Electric Power"/>
    <x v="4"/>
    <n v="9517"/>
  </r>
  <r>
    <x v="19"/>
    <x v="15"/>
    <s v="Combined Heat and Power, Commercial Power"/>
    <x v="0"/>
    <n v="193029"/>
  </r>
  <r>
    <x v="19"/>
    <x v="15"/>
    <s v="Combined Heat and Power, Commercial Power"/>
    <x v="1"/>
    <n v="119841"/>
  </r>
  <r>
    <x v="19"/>
    <x v="15"/>
    <s v="Combined Heat and Power, Commercial Power"/>
    <x v="3"/>
    <n v="34765"/>
  </r>
  <r>
    <x v="19"/>
    <x v="15"/>
    <s v="Combined Heat and Power, Commercial Power"/>
    <x v="12"/>
    <n v="16339"/>
  </r>
  <r>
    <x v="19"/>
    <x v="15"/>
    <s v="Combined Heat and Power, Commercial Power"/>
    <x v="8"/>
    <n v="20796"/>
  </r>
  <r>
    <x v="19"/>
    <x v="15"/>
    <s v="Combined Heat and Power, Commercial Power"/>
    <x v="4"/>
    <n v="1288"/>
  </r>
  <r>
    <x v="19"/>
    <x v="16"/>
    <s v="Total Electric Power Industry"/>
    <x v="0"/>
    <n v="46677308"/>
  </r>
  <r>
    <x v="19"/>
    <x v="16"/>
    <s v="Total Electric Power Industry"/>
    <x v="1"/>
    <n v="32243043"/>
  </r>
  <r>
    <x v="19"/>
    <x v="16"/>
    <s v="Total Electric Power Industry"/>
    <x v="2"/>
    <n v="12798"/>
  </r>
  <r>
    <x v="19"/>
    <x v="16"/>
    <s v="Total Electric Power Industry"/>
    <x v="3"/>
    <n v="2668891"/>
  </r>
  <r>
    <x v="19"/>
    <x v="16"/>
    <s v="Total Electric Power Industry"/>
    <x v="7"/>
    <n v="8768548"/>
  </r>
  <r>
    <x v="19"/>
    <x v="16"/>
    <s v="Total Electric Power Industry"/>
    <x v="8"/>
    <n v="0"/>
  </r>
  <r>
    <x v="19"/>
    <x v="16"/>
    <s v="Total Electric Power Industry"/>
    <x v="4"/>
    <n v="120761"/>
  </r>
  <r>
    <x v="19"/>
    <x v="16"/>
    <s v="Total Electric Power Industry"/>
    <x v="5"/>
    <n v="2863267"/>
  </r>
  <r>
    <x v="19"/>
    <x v="16"/>
    <s v="Electric Generators, Independent Power Producers"/>
    <x v="0"/>
    <n v="2234084"/>
  </r>
  <r>
    <x v="19"/>
    <x v="16"/>
    <s v="Electric Generators, Independent Power Producers"/>
    <x v="2"/>
    <n v="12798"/>
  </r>
  <r>
    <x v="19"/>
    <x v="16"/>
    <s v="Electric Generators, Independent Power Producers"/>
    <x v="5"/>
    <n v="2221286"/>
  </r>
  <r>
    <x v="19"/>
    <x v="16"/>
    <s v="Electric Generators, Electric Utilities"/>
    <x v="0"/>
    <n v="44443224"/>
  </r>
  <r>
    <x v="19"/>
    <x v="16"/>
    <s v="Electric Generators, Electric Utilities"/>
    <x v="1"/>
    <n v="32243043"/>
  </r>
  <r>
    <x v="19"/>
    <x v="16"/>
    <s v="Electric Generators, Electric Utilities"/>
    <x v="3"/>
    <n v="2668891"/>
  </r>
  <r>
    <x v="19"/>
    <x v="16"/>
    <s v="Electric Generators, Electric Utilities"/>
    <x v="7"/>
    <n v="8768548"/>
  </r>
  <r>
    <x v="19"/>
    <x v="16"/>
    <s v="Electric Generators, Electric Utilities"/>
    <x v="8"/>
    <n v="0"/>
  </r>
  <r>
    <x v="19"/>
    <x v="16"/>
    <s v="Electric Generators, Electric Utilities"/>
    <x v="4"/>
    <n v="120761"/>
  </r>
  <r>
    <x v="19"/>
    <x v="16"/>
    <s v="Electric Generators, Electric Utilities"/>
    <x v="5"/>
    <n v="641981"/>
  </r>
  <r>
    <x v="19"/>
    <x v="16"/>
    <s v="Combined Heat and Power, Industrial Power"/>
    <x v="0"/>
    <n v="0"/>
  </r>
  <r>
    <x v="19"/>
    <x v="16"/>
    <s v="Combined Heat and Power, Industrial Power"/>
    <x v="3"/>
    <n v="0"/>
  </r>
  <r>
    <x v="19"/>
    <x v="16"/>
    <s v="Combined Heat and Power, Commercial Power"/>
    <x v="0"/>
    <n v="0"/>
  </r>
  <r>
    <x v="19"/>
    <x v="16"/>
    <s v="Combined Heat and Power, Commercial Power"/>
    <x v="3"/>
    <n v="0"/>
  </r>
  <r>
    <x v="19"/>
    <x v="16"/>
    <s v="Combined Heat and Power, Commercial Power"/>
    <x v="4"/>
    <n v="0"/>
  </r>
  <r>
    <x v="19"/>
    <x v="17"/>
    <s v="Total Electric Power Industry"/>
    <x v="0"/>
    <n v="90630427"/>
  </r>
  <r>
    <x v="19"/>
    <x v="17"/>
    <s v="Total Electric Power Industry"/>
    <x v="1"/>
    <n v="84037596"/>
  </r>
  <r>
    <x v="19"/>
    <x v="17"/>
    <s v="Total Electric Power Industry"/>
    <x v="2"/>
    <n v="3317641"/>
  </r>
  <r>
    <x v="19"/>
    <x v="17"/>
    <s v="Total Electric Power Industry"/>
    <x v="3"/>
    <n v="878430"/>
  </r>
  <r>
    <x v="19"/>
    <x v="17"/>
    <s v="Total Electric Power Industry"/>
    <x v="12"/>
    <n v="12629"/>
  </r>
  <r>
    <x v="19"/>
    <x v="17"/>
    <s v="Total Electric Power Industry"/>
    <x v="8"/>
    <n v="100874"/>
  </r>
  <r>
    <x v="19"/>
    <x v="17"/>
    <s v="Total Electric Power Industry"/>
    <x v="9"/>
    <n v="4314"/>
  </r>
  <r>
    <x v="19"/>
    <x v="17"/>
    <s v="Total Electric Power Industry"/>
    <x v="4"/>
    <n v="2016282"/>
  </r>
  <r>
    <x v="19"/>
    <x v="17"/>
    <s v="Total Electric Power Industry"/>
    <x v="6"/>
    <n v="262660"/>
  </r>
  <r>
    <x v="19"/>
    <x v="17"/>
    <s v="Electric Generators, Independent Power Producers"/>
    <x v="0"/>
    <n v="118946"/>
  </r>
  <r>
    <x v="19"/>
    <x v="17"/>
    <s v="Electric Generators, Independent Power Producers"/>
    <x v="2"/>
    <n v="9577"/>
  </r>
  <r>
    <x v="19"/>
    <x v="17"/>
    <s v="Electric Generators, Independent Power Producers"/>
    <x v="3"/>
    <n v="109369"/>
  </r>
  <r>
    <x v="19"/>
    <x v="17"/>
    <s v="Electric Generators, Electric Utilities"/>
    <x v="0"/>
    <n v="90029962"/>
  </r>
  <r>
    <x v="19"/>
    <x v="17"/>
    <s v="Electric Generators, Electric Utilities"/>
    <x v="1"/>
    <n v="84037596"/>
  </r>
  <r>
    <x v="19"/>
    <x v="17"/>
    <s v="Electric Generators, Electric Utilities"/>
    <x v="2"/>
    <n v="3308064"/>
  </r>
  <r>
    <x v="19"/>
    <x v="17"/>
    <s v="Electric Generators, Electric Utilities"/>
    <x v="3"/>
    <n v="554684"/>
  </r>
  <r>
    <x v="19"/>
    <x v="17"/>
    <s v="Electric Generators, Electric Utilities"/>
    <x v="12"/>
    <n v="12629"/>
  </r>
  <r>
    <x v="19"/>
    <x v="17"/>
    <s v="Electric Generators, Electric Utilities"/>
    <x v="8"/>
    <n v="96393"/>
  </r>
  <r>
    <x v="19"/>
    <x v="17"/>
    <s v="Electric Generators, Electric Utilities"/>
    <x v="9"/>
    <n v="4314"/>
  </r>
  <r>
    <x v="19"/>
    <x v="17"/>
    <s v="Electric Generators, Electric Utilities"/>
    <x v="4"/>
    <n v="2016282"/>
  </r>
  <r>
    <x v="19"/>
    <x v="17"/>
    <s v="Combined Heat and Power, Industrial Power"/>
    <x v="0"/>
    <n v="481519"/>
  </r>
  <r>
    <x v="19"/>
    <x v="17"/>
    <s v="Combined Heat and Power, Industrial Power"/>
    <x v="3"/>
    <n v="214377"/>
  </r>
  <r>
    <x v="19"/>
    <x v="17"/>
    <s v="Combined Heat and Power, Industrial Power"/>
    <x v="8"/>
    <n v="4481"/>
  </r>
  <r>
    <x v="19"/>
    <x v="17"/>
    <s v="Combined Heat and Power, Industrial Power"/>
    <x v="6"/>
    <n v="262660"/>
  </r>
  <r>
    <x v="19"/>
    <x v="18"/>
    <s v="Total Electric Power Industry"/>
    <x v="0"/>
    <n v="90993676"/>
  </r>
  <r>
    <x v="19"/>
    <x v="18"/>
    <s v="Total Electric Power Industry"/>
    <x v="1"/>
    <n v="23067136"/>
  </r>
  <r>
    <x v="19"/>
    <x v="18"/>
    <s v="Total Electric Power Industry"/>
    <x v="2"/>
    <n v="1236351"/>
  </r>
  <r>
    <x v="19"/>
    <x v="18"/>
    <s v="Total Electric Power Industry"/>
    <x v="3"/>
    <n v="44003264"/>
  </r>
  <r>
    <x v="19"/>
    <x v="18"/>
    <s v="Total Electric Power Industry"/>
    <x v="7"/>
    <n v="16782077"/>
  </r>
  <r>
    <x v="19"/>
    <x v="18"/>
    <s v="Total Electric Power Industry"/>
    <x v="12"/>
    <n v="456186"/>
  </r>
  <r>
    <x v="19"/>
    <x v="18"/>
    <s v="Total Electric Power Industry"/>
    <x v="8"/>
    <n v="67186"/>
  </r>
  <r>
    <x v="19"/>
    <x v="18"/>
    <s v="Total Electric Power Industry"/>
    <x v="9"/>
    <n v="1226994"/>
  </r>
  <r>
    <x v="19"/>
    <x v="18"/>
    <s v="Total Electric Power Industry"/>
    <x v="4"/>
    <n v="1857709"/>
  </r>
  <r>
    <x v="19"/>
    <x v="18"/>
    <s v="Total Electric Power Industry"/>
    <x v="6"/>
    <n v="2296773"/>
  </r>
  <r>
    <x v="19"/>
    <x v="18"/>
    <s v="Electric Generators, Independent Power Producers"/>
    <x v="0"/>
    <n v="16746137"/>
  </r>
  <r>
    <x v="19"/>
    <x v="18"/>
    <s v="Electric Generators, Independent Power Producers"/>
    <x v="1"/>
    <n v="12040956"/>
  </r>
  <r>
    <x v="19"/>
    <x v="18"/>
    <s v="Electric Generators, Independent Power Producers"/>
    <x v="2"/>
    <n v="1236351"/>
  </r>
  <r>
    <x v="19"/>
    <x v="18"/>
    <s v="Electric Generators, Independent Power Producers"/>
    <x v="3"/>
    <n v="3385427"/>
  </r>
  <r>
    <x v="19"/>
    <x v="18"/>
    <s v="Electric Generators, Independent Power Producers"/>
    <x v="8"/>
    <n v="66166"/>
  </r>
  <r>
    <x v="19"/>
    <x v="18"/>
    <s v="Electric Generators, Independent Power Producers"/>
    <x v="4"/>
    <n v="17237"/>
  </r>
  <r>
    <x v="19"/>
    <x v="18"/>
    <s v="Electric Generators, Electric Utilities"/>
    <x v="0"/>
    <n v="43591889"/>
  </r>
  <r>
    <x v="19"/>
    <x v="18"/>
    <s v="Electric Generators, Electric Utilities"/>
    <x v="1"/>
    <n v="11024590"/>
  </r>
  <r>
    <x v="19"/>
    <x v="18"/>
    <s v="Electric Generators, Electric Utilities"/>
    <x v="3"/>
    <n v="14325223"/>
  </r>
  <r>
    <x v="19"/>
    <x v="18"/>
    <s v="Electric Generators, Electric Utilities"/>
    <x v="7"/>
    <n v="16782077"/>
  </r>
  <r>
    <x v="19"/>
    <x v="18"/>
    <s v="Electric Generators, Electric Utilities"/>
    <x v="4"/>
    <n v="1459999"/>
  </r>
  <r>
    <x v="19"/>
    <x v="18"/>
    <s v="Combined Heat and Power, Industrial Power"/>
    <x v="0"/>
    <n v="25774795"/>
  </r>
  <r>
    <x v="19"/>
    <x v="18"/>
    <s v="Combined Heat and Power, Industrial Power"/>
    <x v="1"/>
    <n v="1591"/>
  </r>
  <r>
    <x v="19"/>
    <x v="18"/>
    <s v="Combined Heat and Power, Industrial Power"/>
    <x v="3"/>
    <n v="21666962"/>
  </r>
  <r>
    <x v="19"/>
    <x v="18"/>
    <s v="Combined Heat and Power, Industrial Power"/>
    <x v="12"/>
    <n v="456186"/>
  </r>
  <r>
    <x v="19"/>
    <x v="18"/>
    <s v="Combined Heat and Power, Industrial Power"/>
    <x v="8"/>
    <n v="1020"/>
  </r>
  <r>
    <x v="19"/>
    <x v="18"/>
    <s v="Combined Heat and Power, Industrial Power"/>
    <x v="9"/>
    <n v="971791"/>
  </r>
  <r>
    <x v="19"/>
    <x v="18"/>
    <s v="Combined Heat and Power, Industrial Power"/>
    <x v="4"/>
    <n v="380473"/>
  </r>
  <r>
    <x v="19"/>
    <x v="18"/>
    <s v="Combined Heat and Power, Industrial Power"/>
    <x v="6"/>
    <n v="2296773"/>
  </r>
  <r>
    <x v="19"/>
    <x v="18"/>
    <s v="Combined Heat and Power, Electric Power"/>
    <x v="0"/>
    <n v="4836103"/>
  </r>
  <r>
    <x v="19"/>
    <x v="18"/>
    <s v="Combined Heat and Power, Electric Power"/>
    <x v="3"/>
    <n v="4580901"/>
  </r>
  <r>
    <x v="19"/>
    <x v="18"/>
    <s v="Combined Heat and Power, Electric Power"/>
    <x v="9"/>
    <n v="255202"/>
  </r>
  <r>
    <x v="19"/>
    <x v="18"/>
    <s v="Combined Heat and Power, Electric Power"/>
    <x v="4"/>
    <n v="0"/>
  </r>
  <r>
    <x v="19"/>
    <x v="18"/>
    <s v="Combined Heat and Power, Commercial Power"/>
    <x v="0"/>
    <n v="44752"/>
  </r>
  <r>
    <x v="19"/>
    <x v="18"/>
    <s v="Combined Heat and Power, Commercial Power"/>
    <x v="3"/>
    <n v="44752"/>
  </r>
  <r>
    <x v="19"/>
    <x v="19"/>
    <s v="Total Electric Power Industry"/>
    <x v="0"/>
    <n v="38966651"/>
  </r>
  <r>
    <x v="19"/>
    <x v="19"/>
    <s v="Total Electric Power Industry"/>
    <x v="1"/>
    <n v="9028110"/>
  </r>
  <r>
    <x v="19"/>
    <x v="19"/>
    <s v="Total Electric Power Industry"/>
    <x v="2"/>
    <n v="1201076"/>
  </r>
  <r>
    <x v="19"/>
    <x v="19"/>
    <s v="Total Electric Power Industry"/>
    <x v="3"/>
    <n v="20987836"/>
  </r>
  <r>
    <x v="19"/>
    <x v="19"/>
    <s v="Total Electric Power Industry"/>
    <x v="7"/>
    <n v="5396021"/>
  </r>
  <r>
    <x v="19"/>
    <x v="19"/>
    <s v="Total Electric Power Industry"/>
    <x v="12"/>
    <n v="760909"/>
  </r>
  <r>
    <x v="19"/>
    <x v="19"/>
    <s v="Total Electric Power Industry"/>
    <x v="8"/>
    <n v="1107875"/>
  </r>
  <r>
    <x v="19"/>
    <x v="19"/>
    <s v="Total Electric Power Industry"/>
    <x v="4"/>
    <n v="897078"/>
  </r>
  <r>
    <x v="19"/>
    <x v="19"/>
    <s v="Total Electric Power Industry"/>
    <x v="10"/>
    <n v="-533636"/>
  </r>
  <r>
    <x v="19"/>
    <x v="19"/>
    <s v="Total Electric Power Industry"/>
    <x v="13"/>
    <n v="43"/>
  </r>
  <r>
    <x v="19"/>
    <x v="19"/>
    <s v="Total Electric Power Industry"/>
    <x v="5"/>
    <n v="5956"/>
  </r>
  <r>
    <x v="19"/>
    <x v="19"/>
    <s v="Total Electric Power Industry"/>
    <x v="6"/>
    <n v="115384"/>
  </r>
  <r>
    <x v="19"/>
    <x v="19"/>
    <s v="Electric Generators, Independent Power Producers"/>
    <x v="0"/>
    <n v="35883397"/>
  </r>
  <r>
    <x v="19"/>
    <x v="19"/>
    <s v="Electric Generators, Independent Power Producers"/>
    <x v="1"/>
    <n v="9005818"/>
  </r>
  <r>
    <x v="19"/>
    <x v="19"/>
    <s v="Electric Generators, Independent Power Producers"/>
    <x v="2"/>
    <n v="900631"/>
  </r>
  <r>
    <x v="19"/>
    <x v="19"/>
    <s v="Electric Generators, Independent Power Producers"/>
    <x v="3"/>
    <n v="18350064"/>
  </r>
  <r>
    <x v="19"/>
    <x v="19"/>
    <s v="Electric Generators, Independent Power Producers"/>
    <x v="7"/>
    <n v="5396021"/>
  </r>
  <r>
    <x v="19"/>
    <x v="19"/>
    <s v="Electric Generators, Independent Power Producers"/>
    <x v="12"/>
    <n v="760909"/>
  </r>
  <r>
    <x v="19"/>
    <x v="19"/>
    <s v="Electric Generators, Independent Power Producers"/>
    <x v="8"/>
    <n v="1103995"/>
  </r>
  <r>
    <x v="19"/>
    <x v="19"/>
    <s v="Electric Generators, Independent Power Producers"/>
    <x v="4"/>
    <n v="783999"/>
  </r>
  <r>
    <x v="19"/>
    <x v="19"/>
    <s v="Electric Generators, Independent Power Producers"/>
    <x v="10"/>
    <n v="-533636"/>
  </r>
  <r>
    <x v="19"/>
    <x v="19"/>
    <s v="Electric Generators, Independent Power Producers"/>
    <x v="5"/>
    <n v="212"/>
  </r>
  <r>
    <x v="19"/>
    <x v="19"/>
    <s v="Electric Generators, Independent Power Producers"/>
    <x v="6"/>
    <n v="115384"/>
  </r>
  <r>
    <x v="19"/>
    <x v="19"/>
    <s v="Electric Generators, Electric Utilities"/>
    <x v="0"/>
    <n v="447912"/>
  </r>
  <r>
    <x v="19"/>
    <x v="19"/>
    <s v="Electric Generators, Electric Utilities"/>
    <x v="2"/>
    <n v="285205"/>
  </r>
  <r>
    <x v="19"/>
    <x v="19"/>
    <s v="Electric Generators, Electric Utilities"/>
    <x v="3"/>
    <n v="124473"/>
  </r>
  <r>
    <x v="19"/>
    <x v="19"/>
    <s v="Electric Generators, Electric Utilities"/>
    <x v="4"/>
    <n v="32698"/>
  </r>
  <r>
    <x v="19"/>
    <x v="19"/>
    <s v="Electric Generators, Electric Utilities"/>
    <x v="5"/>
    <n v="5536"/>
  </r>
  <r>
    <x v="19"/>
    <x v="19"/>
    <s v="Combined Heat and Power, Industrial Power"/>
    <x v="0"/>
    <n v="192662"/>
  </r>
  <r>
    <x v="19"/>
    <x v="19"/>
    <s v="Combined Heat and Power, Industrial Power"/>
    <x v="1"/>
    <n v="22292"/>
  </r>
  <r>
    <x v="19"/>
    <x v="19"/>
    <s v="Combined Heat and Power, Industrial Power"/>
    <x v="2"/>
    <n v="9090"/>
  </r>
  <r>
    <x v="19"/>
    <x v="19"/>
    <s v="Combined Heat and Power, Industrial Power"/>
    <x v="3"/>
    <n v="151430"/>
  </r>
  <r>
    <x v="19"/>
    <x v="19"/>
    <s v="Combined Heat and Power, Industrial Power"/>
    <x v="4"/>
    <n v="9850"/>
  </r>
  <r>
    <x v="19"/>
    <x v="19"/>
    <s v="Combined Heat and Power, Electric Power"/>
    <x v="0"/>
    <n v="1917792"/>
  </r>
  <r>
    <x v="19"/>
    <x v="19"/>
    <s v="Combined Heat and Power, Electric Power"/>
    <x v="3"/>
    <n v="1905969"/>
  </r>
  <r>
    <x v="19"/>
    <x v="19"/>
    <s v="Combined Heat and Power, Electric Power"/>
    <x v="4"/>
    <n v="11823"/>
  </r>
  <r>
    <x v="19"/>
    <x v="19"/>
    <s v="Combined Heat and Power, Commercial Power"/>
    <x v="0"/>
    <n v="524889"/>
  </r>
  <r>
    <x v="19"/>
    <x v="19"/>
    <s v="Combined Heat and Power, Commercial Power"/>
    <x v="1"/>
    <n v="0"/>
  </r>
  <r>
    <x v="19"/>
    <x v="19"/>
    <s v="Combined Heat and Power, Commercial Power"/>
    <x v="2"/>
    <n v="6150"/>
  </r>
  <r>
    <x v="19"/>
    <x v="19"/>
    <s v="Combined Heat and Power, Commercial Power"/>
    <x v="3"/>
    <n v="455900"/>
  </r>
  <r>
    <x v="19"/>
    <x v="19"/>
    <s v="Combined Heat and Power, Commercial Power"/>
    <x v="8"/>
    <n v="3880"/>
  </r>
  <r>
    <x v="19"/>
    <x v="19"/>
    <s v="Combined Heat and Power, Commercial Power"/>
    <x v="4"/>
    <n v="58708"/>
  </r>
  <r>
    <x v="19"/>
    <x v="19"/>
    <s v="Combined Heat and Power, Commercial Power"/>
    <x v="13"/>
    <n v="43"/>
  </r>
  <r>
    <x v="19"/>
    <x v="19"/>
    <s v="Combined Heat and Power, Commercial Power"/>
    <x v="5"/>
    <n v="208"/>
  </r>
  <r>
    <x v="19"/>
    <x v="20"/>
    <s v="Total Electric Power Industry"/>
    <x v="0"/>
    <n v="43774832"/>
  </r>
  <r>
    <x v="19"/>
    <x v="20"/>
    <s v="Total Electric Power Industry"/>
    <x v="1"/>
    <n v="24162345"/>
  </r>
  <r>
    <x v="19"/>
    <x v="20"/>
    <s v="Total Electric Power Industry"/>
    <x v="2"/>
    <n v="1888769"/>
  </r>
  <r>
    <x v="19"/>
    <x v="20"/>
    <s v="Total Electric Power Industry"/>
    <x v="3"/>
    <n v="1767845"/>
  </r>
  <r>
    <x v="19"/>
    <x v="20"/>
    <s v="Total Electric Power Industry"/>
    <x v="7"/>
    <n v="14550119"/>
  </r>
  <r>
    <x v="19"/>
    <x v="20"/>
    <s v="Total Electric Power Industry"/>
    <x v="12"/>
    <n v="255891"/>
  </r>
  <r>
    <x v="19"/>
    <x v="20"/>
    <s v="Total Electric Power Industry"/>
    <x v="8"/>
    <n v="375722"/>
  </r>
  <r>
    <x v="19"/>
    <x v="20"/>
    <s v="Total Electric Power Industry"/>
    <x v="9"/>
    <n v="269182"/>
  </r>
  <r>
    <x v="19"/>
    <x v="20"/>
    <s v="Total Electric Power Industry"/>
    <x v="4"/>
    <n v="329900"/>
  </r>
  <r>
    <x v="19"/>
    <x v="20"/>
    <s v="Total Electric Power Industry"/>
    <x v="6"/>
    <n v="175057"/>
  </r>
  <r>
    <x v="19"/>
    <x v="20"/>
    <s v="Electric Generators, Independent Power Producers"/>
    <x v="0"/>
    <n v="40492074"/>
  </r>
  <r>
    <x v="19"/>
    <x v="20"/>
    <s v="Electric Generators, Independent Power Producers"/>
    <x v="1"/>
    <n v="22790609"/>
  </r>
  <r>
    <x v="19"/>
    <x v="20"/>
    <s v="Electric Generators, Independent Power Producers"/>
    <x v="2"/>
    <n v="1888769"/>
  </r>
  <r>
    <x v="19"/>
    <x v="20"/>
    <s v="Electric Generators, Independent Power Producers"/>
    <x v="3"/>
    <n v="638879"/>
  </r>
  <r>
    <x v="19"/>
    <x v="20"/>
    <s v="Electric Generators, Independent Power Producers"/>
    <x v="7"/>
    <n v="14550119"/>
  </r>
  <r>
    <x v="19"/>
    <x v="20"/>
    <s v="Electric Generators, Independent Power Producers"/>
    <x v="12"/>
    <n v="123403"/>
  </r>
  <r>
    <x v="19"/>
    <x v="20"/>
    <s v="Electric Generators, Independent Power Producers"/>
    <x v="8"/>
    <n v="190938"/>
  </r>
  <r>
    <x v="19"/>
    <x v="20"/>
    <s v="Electric Generators, Independent Power Producers"/>
    <x v="4"/>
    <n v="309358"/>
  </r>
  <r>
    <x v="19"/>
    <x v="20"/>
    <s v="Electric Generators, Electric Utilities"/>
    <x v="0"/>
    <n v="2294"/>
  </r>
  <r>
    <x v="19"/>
    <x v="20"/>
    <s v="Electric Generators, Electric Utilities"/>
    <x v="3"/>
    <n v="0"/>
  </r>
  <r>
    <x v="19"/>
    <x v="20"/>
    <s v="Electric Generators, Electric Utilities"/>
    <x v="4"/>
    <n v="2294"/>
  </r>
  <r>
    <x v="19"/>
    <x v="20"/>
    <s v="Combined Heat and Power, Industrial Power"/>
    <x v="0"/>
    <n v="453133"/>
  </r>
  <r>
    <x v="19"/>
    <x v="20"/>
    <s v="Combined Heat and Power, Industrial Power"/>
    <x v="1"/>
    <n v="228891"/>
  </r>
  <r>
    <x v="19"/>
    <x v="20"/>
    <s v="Combined Heat and Power, Industrial Power"/>
    <x v="3"/>
    <n v="59567"/>
  </r>
  <r>
    <x v="19"/>
    <x v="20"/>
    <s v="Combined Heat and Power, Industrial Power"/>
    <x v="4"/>
    <n v="5015"/>
  </r>
  <r>
    <x v="19"/>
    <x v="20"/>
    <s v="Combined Heat and Power, Industrial Power"/>
    <x v="6"/>
    <n v="159661"/>
  </r>
  <r>
    <x v="19"/>
    <x v="20"/>
    <s v="Combined Heat and Power, Electric Power"/>
    <x v="0"/>
    <n v="2795440"/>
  </r>
  <r>
    <x v="19"/>
    <x v="20"/>
    <s v="Combined Heat and Power, Electric Power"/>
    <x v="1"/>
    <n v="1142846"/>
  </r>
  <r>
    <x v="19"/>
    <x v="20"/>
    <s v="Combined Heat and Power, Electric Power"/>
    <x v="3"/>
    <n v="1069397"/>
  </r>
  <r>
    <x v="19"/>
    <x v="20"/>
    <s v="Combined Heat and Power, Electric Power"/>
    <x v="12"/>
    <n v="132488"/>
  </r>
  <r>
    <x v="19"/>
    <x v="20"/>
    <s v="Combined Heat and Power, Electric Power"/>
    <x v="8"/>
    <n v="168616"/>
  </r>
  <r>
    <x v="19"/>
    <x v="20"/>
    <s v="Combined Heat and Power, Electric Power"/>
    <x v="9"/>
    <n v="269182"/>
  </r>
  <r>
    <x v="19"/>
    <x v="20"/>
    <s v="Combined Heat and Power, Electric Power"/>
    <x v="4"/>
    <n v="12911"/>
  </r>
  <r>
    <x v="19"/>
    <x v="20"/>
    <s v="Combined Heat and Power, Commercial Power"/>
    <x v="0"/>
    <n v="31890"/>
  </r>
  <r>
    <x v="19"/>
    <x v="20"/>
    <s v="Combined Heat and Power, Commercial Power"/>
    <x v="1"/>
    <n v="0"/>
  </r>
  <r>
    <x v="19"/>
    <x v="20"/>
    <s v="Combined Heat and Power, Commercial Power"/>
    <x v="3"/>
    <n v="2"/>
  </r>
  <r>
    <x v="19"/>
    <x v="20"/>
    <s v="Combined Heat and Power, Commercial Power"/>
    <x v="12"/>
    <n v="0"/>
  </r>
  <r>
    <x v="19"/>
    <x v="20"/>
    <s v="Combined Heat and Power, Commercial Power"/>
    <x v="8"/>
    <n v="16169"/>
  </r>
  <r>
    <x v="19"/>
    <x v="20"/>
    <s v="Combined Heat and Power, Commercial Power"/>
    <x v="4"/>
    <n v="323"/>
  </r>
  <r>
    <x v="19"/>
    <x v="20"/>
    <s v="Combined Heat and Power, Commercial Power"/>
    <x v="6"/>
    <n v="15396"/>
  </r>
  <r>
    <x v="19"/>
    <x v="21"/>
    <s v="Total Electric Power Industry"/>
    <x v="0"/>
    <n v="16349849"/>
  </r>
  <r>
    <x v="19"/>
    <x v="21"/>
    <s v="Total Electric Power Industry"/>
    <x v="1"/>
    <n v="72146"/>
  </r>
  <r>
    <x v="19"/>
    <x v="21"/>
    <s v="Total Electric Power Industry"/>
    <x v="2"/>
    <n v="4211679"/>
  </r>
  <r>
    <x v="19"/>
    <x v="21"/>
    <s v="Total Electric Power Industry"/>
    <x v="3"/>
    <n v="7355394"/>
  </r>
  <r>
    <x v="19"/>
    <x v="21"/>
    <s v="Total Electric Power Industry"/>
    <x v="12"/>
    <n v="338953"/>
  </r>
  <r>
    <x v="19"/>
    <x v="21"/>
    <s v="Total Electric Power Industry"/>
    <x v="8"/>
    <n v="272871"/>
  </r>
  <r>
    <x v="19"/>
    <x v="21"/>
    <s v="Total Electric Power Industry"/>
    <x v="4"/>
    <n v="433433"/>
  </r>
  <r>
    <x v="19"/>
    <x v="21"/>
    <s v="Total Electric Power Industry"/>
    <x v="5"/>
    <n v="298623"/>
  </r>
  <r>
    <x v="19"/>
    <x v="21"/>
    <s v="Total Electric Power Industry"/>
    <x v="6"/>
    <n v="3366750"/>
  </r>
  <r>
    <x v="19"/>
    <x v="21"/>
    <s v="Electric Generators, Independent Power Producers"/>
    <x v="0"/>
    <n v="10946052"/>
  </r>
  <r>
    <x v="19"/>
    <x v="21"/>
    <s v="Electric Generators, Independent Power Producers"/>
    <x v="2"/>
    <n v="3454424"/>
  </r>
  <r>
    <x v="19"/>
    <x v="21"/>
    <s v="Electric Generators, Independent Power Producers"/>
    <x v="3"/>
    <n v="5317526"/>
  </r>
  <r>
    <x v="19"/>
    <x v="21"/>
    <s v="Electric Generators, Independent Power Producers"/>
    <x v="12"/>
    <n v="91181"/>
  </r>
  <r>
    <x v="19"/>
    <x v="21"/>
    <s v="Electric Generators, Independent Power Producers"/>
    <x v="8"/>
    <n v="131422"/>
  </r>
  <r>
    <x v="19"/>
    <x v="21"/>
    <s v="Electric Generators, Independent Power Producers"/>
    <x v="4"/>
    <n v="237525"/>
  </r>
  <r>
    <x v="19"/>
    <x v="21"/>
    <s v="Electric Generators, Independent Power Producers"/>
    <x v="5"/>
    <n v="298623"/>
  </r>
  <r>
    <x v="19"/>
    <x v="21"/>
    <s v="Electric Generators, Independent Power Producers"/>
    <x v="6"/>
    <n v="1415351"/>
  </r>
  <r>
    <x v="19"/>
    <x v="21"/>
    <s v="Electric Generators, Electric Utilities"/>
    <x v="0"/>
    <n v="867"/>
  </r>
  <r>
    <x v="19"/>
    <x v="21"/>
    <s v="Electric Generators, Electric Utilities"/>
    <x v="4"/>
    <n v="867"/>
  </r>
  <r>
    <x v="19"/>
    <x v="21"/>
    <s v="Combined Heat and Power, Industrial Power"/>
    <x v="0"/>
    <n v="4739851"/>
  </r>
  <r>
    <x v="19"/>
    <x v="21"/>
    <s v="Combined Heat and Power, Industrial Power"/>
    <x v="1"/>
    <n v="39489"/>
  </r>
  <r>
    <x v="19"/>
    <x v="21"/>
    <s v="Combined Heat and Power, Industrial Power"/>
    <x v="2"/>
    <n v="757255"/>
  </r>
  <r>
    <x v="19"/>
    <x v="21"/>
    <s v="Combined Heat and Power, Industrial Power"/>
    <x v="3"/>
    <n v="2037630"/>
  </r>
  <r>
    <x v="19"/>
    <x v="21"/>
    <s v="Combined Heat and Power, Industrial Power"/>
    <x v="12"/>
    <n v="53769"/>
  </r>
  <r>
    <x v="19"/>
    <x v="21"/>
    <s v="Combined Heat and Power, Industrial Power"/>
    <x v="8"/>
    <n v="36986"/>
  </r>
  <r>
    <x v="19"/>
    <x v="21"/>
    <s v="Combined Heat and Power, Industrial Power"/>
    <x v="4"/>
    <n v="183838"/>
  </r>
  <r>
    <x v="19"/>
    <x v="21"/>
    <s v="Combined Heat and Power, Industrial Power"/>
    <x v="6"/>
    <n v="1630885"/>
  </r>
  <r>
    <x v="19"/>
    <x v="21"/>
    <s v="Combined Heat and Power, Electric Power"/>
    <x v="0"/>
    <n v="478959"/>
  </r>
  <r>
    <x v="19"/>
    <x v="21"/>
    <s v="Combined Heat and Power, Electric Power"/>
    <x v="1"/>
    <n v="32657"/>
  </r>
  <r>
    <x v="19"/>
    <x v="21"/>
    <s v="Combined Heat and Power, Electric Power"/>
    <x v="12"/>
    <n v="114777"/>
  </r>
  <r>
    <x v="19"/>
    <x v="21"/>
    <s v="Combined Heat and Power, Electric Power"/>
    <x v="8"/>
    <n v="3632"/>
  </r>
  <r>
    <x v="19"/>
    <x v="21"/>
    <s v="Combined Heat and Power, Electric Power"/>
    <x v="4"/>
    <n v="8488"/>
  </r>
  <r>
    <x v="19"/>
    <x v="21"/>
    <s v="Combined Heat and Power, Electric Power"/>
    <x v="6"/>
    <n v="319405"/>
  </r>
  <r>
    <x v="19"/>
    <x v="21"/>
    <s v="Combined Heat and Power, Commercial Power"/>
    <x v="0"/>
    <n v="184120"/>
  </r>
  <r>
    <x v="19"/>
    <x v="21"/>
    <s v="Combined Heat and Power, Commercial Power"/>
    <x v="3"/>
    <n v="238"/>
  </r>
  <r>
    <x v="19"/>
    <x v="21"/>
    <s v="Combined Heat and Power, Commercial Power"/>
    <x v="12"/>
    <n v="79225"/>
  </r>
  <r>
    <x v="19"/>
    <x v="21"/>
    <s v="Combined Heat and Power, Commercial Power"/>
    <x v="8"/>
    <n v="100832"/>
  </r>
  <r>
    <x v="19"/>
    <x v="21"/>
    <s v="Combined Heat and Power, Commercial Power"/>
    <x v="4"/>
    <n v="2716"/>
  </r>
  <r>
    <x v="19"/>
    <x v="21"/>
    <s v="Combined Heat and Power, Commercial Power"/>
    <x v="6"/>
    <n v="1109"/>
  </r>
  <r>
    <x v="19"/>
    <x v="22"/>
    <s v="Total Electric Power Industry"/>
    <x v="0"/>
    <n v="101202605"/>
  </r>
  <r>
    <x v="19"/>
    <x v="22"/>
    <s v="Total Electric Power Industry"/>
    <x v="1"/>
    <n v="66847683"/>
  </r>
  <r>
    <x v="19"/>
    <x v="22"/>
    <s v="Total Electric Power Industry"/>
    <x v="2"/>
    <n v="1371926"/>
  </r>
  <r>
    <x v="19"/>
    <x v="22"/>
    <s v="Total Electric Power Industry"/>
    <x v="3"/>
    <n v="8419551"/>
  </r>
  <r>
    <x v="19"/>
    <x v="22"/>
    <s v="Total Electric Power Industry"/>
    <x v="7"/>
    <n v="21851009"/>
  </r>
  <r>
    <x v="19"/>
    <x v="22"/>
    <s v="Total Electric Power Industry"/>
    <x v="12"/>
    <n v="344358"/>
  </r>
  <r>
    <x v="19"/>
    <x v="22"/>
    <s v="Total Electric Power Industry"/>
    <x v="8"/>
    <n v="834012"/>
  </r>
  <r>
    <x v="19"/>
    <x v="22"/>
    <s v="Total Electric Power Industry"/>
    <x v="9"/>
    <n v="202510"/>
  </r>
  <r>
    <x v="19"/>
    <x v="22"/>
    <s v="Total Electric Power Industry"/>
    <x v="4"/>
    <n v="399249"/>
  </r>
  <r>
    <x v="19"/>
    <x v="22"/>
    <s v="Total Electric Power Industry"/>
    <x v="10"/>
    <n v="-856864"/>
  </r>
  <r>
    <x v="19"/>
    <x v="22"/>
    <s v="Total Electric Power Industry"/>
    <x v="5"/>
    <n v="300172"/>
  </r>
  <r>
    <x v="19"/>
    <x v="22"/>
    <s v="Total Electric Power Industry"/>
    <x v="6"/>
    <n v="1489001"/>
  </r>
  <r>
    <x v="19"/>
    <x v="22"/>
    <s v="Electric Generators, Independent Power Producers"/>
    <x v="0"/>
    <n v="10449447"/>
  </r>
  <r>
    <x v="19"/>
    <x v="22"/>
    <s v="Electric Generators, Independent Power Producers"/>
    <x v="1"/>
    <n v="15041"/>
  </r>
  <r>
    <x v="19"/>
    <x v="22"/>
    <s v="Electric Generators, Independent Power Producers"/>
    <x v="2"/>
    <n v="113340"/>
  </r>
  <r>
    <x v="19"/>
    <x v="22"/>
    <s v="Electric Generators, Independent Power Producers"/>
    <x v="3"/>
    <n v="2345799"/>
  </r>
  <r>
    <x v="19"/>
    <x v="22"/>
    <s v="Electric Generators, Independent Power Producers"/>
    <x v="7"/>
    <n v="6118710"/>
  </r>
  <r>
    <x v="19"/>
    <x v="22"/>
    <s v="Electric Generators, Independent Power Producers"/>
    <x v="12"/>
    <n v="88464"/>
  </r>
  <r>
    <x v="19"/>
    <x v="22"/>
    <s v="Electric Generators, Independent Power Producers"/>
    <x v="8"/>
    <n v="615995"/>
  </r>
  <r>
    <x v="19"/>
    <x v="22"/>
    <s v="Electric Generators, Independent Power Producers"/>
    <x v="9"/>
    <n v="0"/>
  </r>
  <r>
    <x v="19"/>
    <x v="22"/>
    <s v="Electric Generators, Independent Power Producers"/>
    <x v="4"/>
    <n v="0"/>
  </r>
  <r>
    <x v="19"/>
    <x v="22"/>
    <s v="Electric Generators, Independent Power Producers"/>
    <x v="5"/>
    <n v="300172"/>
  </r>
  <r>
    <x v="19"/>
    <x v="22"/>
    <s v="Electric Generators, Independent Power Producers"/>
    <x v="6"/>
    <n v="851926"/>
  </r>
  <r>
    <x v="19"/>
    <x v="22"/>
    <s v="Electric Generators, Electric Utilities"/>
    <x v="0"/>
    <n v="82787341"/>
  </r>
  <r>
    <x v="19"/>
    <x v="22"/>
    <s v="Electric Generators, Electric Utilities"/>
    <x v="1"/>
    <n v="65867455"/>
  </r>
  <r>
    <x v="19"/>
    <x v="22"/>
    <s v="Electric Generators, Electric Utilities"/>
    <x v="2"/>
    <n v="1234066"/>
  </r>
  <r>
    <x v="19"/>
    <x v="22"/>
    <s v="Electric Generators, Electric Utilities"/>
    <x v="3"/>
    <n v="563510"/>
  </r>
  <r>
    <x v="19"/>
    <x v="22"/>
    <s v="Electric Generators, Electric Utilities"/>
    <x v="7"/>
    <n v="15732299"/>
  </r>
  <r>
    <x v="19"/>
    <x v="22"/>
    <s v="Electric Generators, Electric Utilities"/>
    <x v="12"/>
    <n v="31676"/>
  </r>
  <r>
    <x v="19"/>
    <x v="22"/>
    <s v="Electric Generators, Electric Utilities"/>
    <x v="8"/>
    <n v="11"/>
  </r>
  <r>
    <x v="19"/>
    <x v="22"/>
    <s v="Electric Generators, Electric Utilities"/>
    <x v="9"/>
    <n v="0"/>
  </r>
  <r>
    <x v="19"/>
    <x v="22"/>
    <s v="Electric Generators, Electric Utilities"/>
    <x v="4"/>
    <n v="215189"/>
  </r>
  <r>
    <x v="19"/>
    <x v="22"/>
    <s v="Electric Generators, Electric Utilities"/>
    <x v="10"/>
    <n v="-856864"/>
  </r>
  <r>
    <x v="19"/>
    <x v="22"/>
    <s v="Combined Heat and Power, Industrial Power"/>
    <x v="0"/>
    <n v="1158593"/>
  </r>
  <r>
    <x v="19"/>
    <x v="22"/>
    <s v="Combined Heat and Power, Industrial Power"/>
    <x v="1"/>
    <n v="308223"/>
  </r>
  <r>
    <x v="19"/>
    <x v="22"/>
    <s v="Combined Heat and Power, Industrial Power"/>
    <x v="2"/>
    <n v="24520"/>
  </r>
  <r>
    <x v="19"/>
    <x v="22"/>
    <s v="Combined Heat and Power, Industrial Power"/>
    <x v="3"/>
    <n v="82607"/>
  </r>
  <r>
    <x v="19"/>
    <x v="22"/>
    <s v="Combined Heat and Power, Industrial Power"/>
    <x v="12"/>
    <n v="25500"/>
  </r>
  <r>
    <x v="19"/>
    <x v="22"/>
    <s v="Combined Heat and Power, Industrial Power"/>
    <x v="8"/>
    <n v="5123"/>
  </r>
  <r>
    <x v="19"/>
    <x v="22"/>
    <s v="Combined Heat and Power, Industrial Power"/>
    <x v="4"/>
    <n v="99174"/>
  </r>
  <r>
    <x v="19"/>
    <x v="22"/>
    <s v="Combined Heat and Power, Industrial Power"/>
    <x v="6"/>
    <n v="613445"/>
  </r>
  <r>
    <x v="19"/>
    <x v="22"/>
    <s v="Combined Heat and Power, Electric Power"/>
    <x v="0"/>
    <n v="6203600"/>
  </r>
  <r>
    <x v="19"/>
    <x v="22"/>
    <s v="Combined Heat and Power, Electric Power"/>
    <x v="1"/>
    <n v="368939"/>
  </r>
  <r>
    <x v="19"/>
    <x v="22"/>
    <s v="Combined Heat and Power, Electric Power"/>
    <x v="3"/>
    <n v="5392986"/>
  </r>
  <r>
    <x v="19"/>
    <x v="22"/>
    <s v="Combined Heat and Power, Electric Power"/>
    <x v="12"/>
    <n v="80509"/>
  </r>
  <r>
    <x v="19"/>
    <x v="22"/>
    <s v="Combined Heat and Power, Electric Power"/>
    <x v="8"/>
    <n v="62434"/>
  </r>
  <r>
    <x v="19"/>
    <x v="22"/>
    <s v="Combined Heat and Power, Electric Power"/>
    <x v="9"/>
    <n v="202510"/>
  </r>
  <r>
    <x v="19"/>
    <x v="22"/>
    <s v="Combined Heat and Power, Electric Power"/>
    <x v="4"/>
    <n v="76154"/>
  </r>
  <r>
    <x v="19"/>
    <x v="22"/>
    <s v="Combined Heat and Power, Electric Power"/>
    <x v="6"/>
    <n v="20069"/>
  </r>
  <r>
    <x v="19"/>
    <x v="22"/>
    <s v="Combined Heat and Power, Commercial Power"/>
    <x v="0"/>
    <n v="603624"/>
  </r>
  <r>
    <x v="19"/>
    <x v="22"/>
    <s v="Combined Heat and Power, Commercial Power"/>
    <x v="1"/>
    <n v="288025"/>
  </r>
  <r>
    <x v="19"/>
    <x v="22"/>
    <s v="Combined Heat and Power, Commercial Power"/>
    <x v="3"/>
    <n v="34648"/>
  </r>
  <r>
    <x v="19"/>
    <x v="22"/>
    <s v="Combined Heat and Power, Commercial Power"/>
    <x v="12"/>
    <n v="118209"/>
  </r>
  <r>
    <x v="19"/>
    <x v="22"/>
    <s v="Combined Heat and Power, Commercial Power"/>
    <x v="8"/>
    <n v="150449"/>
  </r>
  <r>
    <x v="19"/>
    <x v="22"/>
    <s v="Combined Heat and Power, Commercial Power"/>
    <x v="4"/>
    <n v="8732"/>
  </r>
  <r>
    <x v="19"/>
    <x v="22"/>
    <s v="Combined Heat and Power, Commercial Power"/>
    <x v="6"/>
    <n v="3561"/>
  </r>
  <r>
    <x v="19"/>
    <x v="23"/>
    <s v="Total Electric Power Industry"/>
    <x v="0"/>
    <n v="52491849"/>
  </r>
  <r>
    <x v="19"/>
    <x v="23"/>
    <s v="Total Electric Power Industry"/>
    <x v="1"/>
    <n v="29327226"/>
  </r>
  <r>
    <x v="19"/>
    <x v="23"/>
    <s v="Total Electric Power Industry"/>
    <x v="2"/>
    <n v="809088"/>
  </r>
  <r>
    <x v="19"/>
    <x v="23"/>
    <s v="Total Electric Power Industry"/>
    <x v="3"/>
    <n v="2846483"/>
  </r>
  <r>
    <x v="19"/>
    <x v="23"/>
    <s v="Total Electric Power Industry"/>
    <x v="7"/>
    <n v="12393425"/>
  </r>
  <r>
    <x v="19"/>
    <x v="23"/>
    <s v="Total Electric Power Industry"/>
    <x v="12"/>
    <n v="289599"/>
  </r>
  <r>
    <x v="19"/>
    <x v="23"/>
    <s v="Total Electric Power Industry"/>
    <x v="8"/>
    <n v="887304"/>
  </r>
  <r>
    <x v="19"/>
    <x v="23"/>
    <s v="Total Electric Power Industry"/>
    <x v="9"/>
    <n v="24112"/>
  </r>
  <r>
    <x v="19"/>
    <x v="23"/>
    <s v="Total Electric Power Industry"/>
    <x v="4"/>
    <n v="65259"/>
  </r>
  <r>
    <x v="19"/>
    <x v="23"/>
    <s v="Total Electric Power Industry"/>
    <x v="5"/>
    <n v="5053022"/>
  </r>
  <r>
    <x v="19"/>
    <x v="23"/>
    <s v="Total Electric Power Industry"/>
    <x v="6"/>
    <n v="796331"/>
  </r>
  <r>
    <x v="19"/>
    <x v="23"/>
    <s v="Electric Generators, Independent Power Producers"/>
    <x v="0"/>
    <n v="5851191"/>
  </r>
  <r>
    <x v="19"/>
    <x v="23"/>
    <s v="Electric Generators, Independent Power Producers"/>
    <x v="2"/>
    <n v="140905"/>
  </r>
  <r>
    <x v="19"/>
    <x v="23"/>
    <s v="Electric Generators, Independent Power Producers"/>
    <x v="3"/>
    <n v="346374"/>
  </r>
  <r>
    <x v="19"/>
    <x v="23"/>
    <s v="Electric Generators, Independent Power Producers"/>
    <x v="12"/>
    <n v="83683"/>
  </r>
  <r>
    <x v="19"/>
    <x v="23"/>
    <s v="Electric Generators, Independent Power Producers"/>
    <x v="8"/>
    <n v="602452"/>
  </r>
  <r>
    <x v="19"/>
    <x v="23"/>
    <s v="Electric Generators, Independent Power Producers"/>
    <x v="4"/>
    <n v="8097"/>
  </r>
  <r>
    <x v="19"/>
    <x v="23"/>
    <s v="Electric Generators, Independent Power Producers"/>
    <x v="5"/>
    <n v="4669680"/>
  </r>
  <r>
    <x v="19"/>
    <x v="23"/>
    <s v="Electric Generators, Electric Utilities"/>
    <x v="0"/>
    <n v="44442211"/>
  </r>
  <r>
    <x v="19"/>
    <x v="23"/>
    <s v="Electric Generators, Electric Utilities"/>
    <x v="1"/>
    <n v="28582304"/>
  </r>
  <r>
    <x v="19"/>
    <x v="23"/>
    <s v="Electric Generators, Electric Utilities"/>
    <x v="2"/>
    <n v="529995"/>
  </r>
  <r>
    <x v="19"/>
    <x v="23"/>
    <s v="Electric Generators, Electric Utilities"/>
    <x v="3"/>
    <n v="2046949"/>
  </r>
  <r>
    <x v="19"/>
    <x v="23"/>
    <s v="Electric Generators, Electric Utilities"/>
    <x v="7"/>
    <n v="12393425"/>
  </r>
  <r>
    <x v="19"/>
    <x v="23"/>
    <s v="Electric Generators, Electric Utilities"/>
    <x v="12"/>
    <n v="132735"/>
  </r>
  <r>
    <x v="19"/>
    <x v="23"/>
    <s v="Electric Generators, Electric Utilities"/>
    <x v="8"/>
    <n v="212430"/>
  </r>
  <r>
    <x v="19"/>
    <x v="23"/>
    <s v="Electric Generators, Electric Utilities"/>
    <x v="9"/>
    <n v="24112"/>
  </r>
  <r>
    <x v="19"/>
    <x v="23"/>
    <s v="Electric Generators, Electric Utilities"/>
    <x v="4"/>
    <n v="49502"/>
  </r>
  <r>
    <x v="19"/>
    <x v="23"/>
    <s v="Electric Generators, Electric Utilities"/>
    <x v="5"/>
    <n v="383342"/>
  </r>
  <r>
    <x v="19"/>
    <x v="23"/>
    <s v="Electric Generators, Electric Utilities"/>
    <x v="6"/>
    <n v="87418"/>
  </r>
  <r>
    <x v="19"/>
    <x v="23"/>
    <s v="Combined Heat and Power, Industrial Power"/>
    <x v="0"/>
    <n v="1440881"/>
  </r>
  <r>
    <x v="19"/>
    <x v="23"/>
    <s v="Combined Heat and Power, Industrial Power"/>
    <x v="1"/>
    <n v="709823"/>
  </r>
  <r>
    <x v="19"/>
    <x v="23"/>
    <s v="Combined Heat and Power, Industrial Power"/>
    <x v="2"/>
    <n v="133985"/>
  </r>
  <r>
    <x v="19"/>
    <x v="23"/>
    <s v="Combined Heat and Power, Industrial Power"/>
    <x v="3"/>
    <n v="60137"/>
  </r>
  <r>
    <x v="19"/>
    <x v="23"/>
    <s v="Combined Heat and Power, Industrial Power"/>
    <x v="12"/>
    <n v="49497"/>
  </r>
  <r>
    <x v="19"/>
    <x v="23"/>
    <s v="Combined Heat and Power, Industrial Power"/>
    <x v="8"/>
    <n v="7647"/>
  </r>
  <r>
    <x v="19"/>
    <x v="23"/>
    <s v="Combined Heat and Power, Industrial Power"/>
    <x v="4"/>
    <n v="2703"/>
  </r>
  <r>
    <x v="19"/>
    <x v="23"/>
    <s v="Combined Heat and Power, Industrial Power"/>
    <x v="6"/>
    <n v="477088"/>
  </r>
  <r>
    <x v="19"/>
    <x v="23"/>
    <s v="Combined Heat and Power, Electric Power"/>
    <x v="0"/>
    <n v="627532"/>
  </r>
  <r>
    <x v="19"/>
    <x v="23"/>
    <s v="Combined Heat and Power, Electric Power"/>
    <x v="1"/>
    <n v="35099"/>
  </r>
  <r>
    <x v="19"/>
    <x v="23"/>
    <s v="Combined Heat and Power, Electric Power"/>
    <x v="2"/>
    <n v="4203"/>
  </r>
  <r>
    <x v="19"/>
    <x v="23"/>
    <s v="Combined Heat and Power, Electric Power"/>
    <x v="3"/>
    <n v="299379"/>
  </r>
  <r>
    <x v="19"/>
    <x v="23"/>
    <s v="Combined Heat and Power, Electric Power"/>
    <x v="8"/>
    <n v="57026"/>
  </r>
  <r>
    <x v="19"/>
    <x v="23"/>
    <s v="Combined Heat and Power, Electric Power"/>
    <x v="4"/>
    <n v="0"/>
  </r>
  <r>
    <x v="19"/>
    <x v="23"/>
    <s v="Combined Heat and Power, Electric Power"/>
    <x v="6"/>
    <n v="231826"/>
  </r>
  <r>
    <x v="19"/>
    <x v="23"/>
    <s v="Combined Heat and Power, Commercial Power"/>
    <x v="0"/>
    <n v="130034"/>
  </r>
  <r>
    <x v="19"/>
    <x v="23"/>
    <s v="Combined Heat and Power, Commercial Power"/>
    <x v="3"/>
    <n v="93644"/>
  </r>
  <r>
    <x v="19"/>
    <x v="23"/>
    <s v="Combined Heat and Power, Commercial Power"/>
    <x v="12"/>
    <n v="23685"/>
  </r>
  <r>
    <x v="19"/>
    <x v="23"/>
    <s v="Combined Heat and Power, Commercial Power"/>
    <x v="8"/>
    <n v="7748"/>
  </r>
  <r>
    <x v="19"/>
    <x v="23"/>
    <s v="Combined Heat and Power, Commercial Power"/>
    <x v="4"/>
    <n v="4957"/>
  </r>
  <r>
    <x v="19"/>
    <x v="24"/>
    <s v="Total Electric Power Industry"/>
    <x v="0"/>
    <n v="88354272"/>
  </r>
  <r>
    <x v="19"/>
    <x v="24"/>
    <s v="Total Electric Power Industry"/>
    <x v="1"/>
    <n v="71611240"/>
  </r>
  <r>
    <x v="19"/>
    <x v="24"/>
    <s v="Total Electric Power Industry"/>
    <x v="2"/>
    <n v="1816693"/>
  </r>
  <r>
    <x v="19"/>
    <x v="24"/>
    <s v="Total Electric Power Industry"/>
    <x v="3"/>
    <n v="3416231"/>
  </r>
  <r>
    <x v="19"/>
    <x v="24"/>
    <s v="Total Electric Power Industry"/>
    <x v="7"/>
    <n v="10247116"/>
  </r>
  <r>
    <x v="19"/>
    <x v="24"/>
    <s v="Total Electric Power Industry"/>
    <x v="12"/>
    <n v="27423"/>
  </r>
  <r>
    <x v="19"/>
    <x v="24"/>
    <s v="Total Electric Power Industry"/>
    <x v="8"/>
    <n v="73338"/>
  </r>
  <r>
    <x v="19"/>
    <x v="24"/>
    <s v="Total Electric Power Industry"/>
    <x v="9"/>
    <n v="6532"/>
  </r>
  <r>
    <x v="19"/>
    <x v="24"/>
    <s v="Total Electric Power Industry"/>
    <x v="4"/>
    <n v="87519"/>
  </r>
  <r>
    <x v="19"/>
    <x v="24"/>
    <s v="Total Electric Power Industry"/>
    <x v="10"/>
    <n v="566713"/>
  </r>
  <r>
    <x v="19"/>
    <x v="24"/>
    <s v="Total Electric Power Industry"/>
    <x v="5"/>
    <n v="499377"/>
  </r>
  <r>
    <x v="19"/>
    <x v="24"/>
    <s v="Total Electric Power Industry"/>
    <x v="6"/>
    <n v="2090"/>
  </r>
  <r>
    <x v="19"/>
    <x v="24"/>
    <s v="Electric Generators, Independent Power Producers"/>
    <x v="0"/>
    <n v="1382896"/>
  </r>
  <r>
    <x v="19"/>
    <x v="24"/>
    <s v="Electric Generators, Independent Power Producers"/>
    <x v="3"/>
    <n v="869292"/>
  </r>
  <r>
    <x v="19"/>
    <x v="24"/>
    <s v="Electric Generators, Independent Power Producers"/>
    <x v="8"/>
    <n v="14227"/>
  </r>
  <r>
    <x v="19"/>
    <x v="24"/>
    <s v="Electric Generators, Independent Power Producers"/>
    <x v="5"/>
    <n v="499377"/>
  </r>
  <r>
    <x v="19"/>
    <x v="24"/>
    <s v="Electric Generators, Electric Utilities"/>
    <x v="0"/>
    <n v="86704766"/>
  </r>
  <r>
    <x v="19"/>
    <x v="24"/>
    <s v="Electric Generators, Electric Utilities"/>
    <x v="1"/>
    <n v="71401581"/>
  </r>
  <r>
    <x v="19"/>
    <x v="24"/>
    <s v="Electric Generators, Electric Utilities"/>
    <x v="2"/>
    <n v="1816693"/>
  </r>
  <r>
    <x v="19"/>
    <x v="24"/>
    <s v="Electric Generators, Electric Utilities"/>
    <x v="3"/>
    <n v="2500771"/>
  </r>
  <r>
    <x v="19"/>
    <x v="24"/>
    <s v="Electric Generators, Electric Utilities"/>
    <x v="7"/>
    <n v="10247116"/>
  </r>
  <r>
    <x v="19"/>
    <x v="24"/>
    <s v="Electric Generators, Electric Utilities"/>
    <x v="12"/>
    <n v="23908"/>
  </r>
  <r>
    <x v="19"/>
    <x v="24"/>
    <s v="Electric Generators, Electric Utilities"/>
    <x v="8"/>
    <n v="54371"/>
  </r>
  <r>
    <x v="19"/>
    <x v="24"/>
    <s v="Electric Generators, Electric Utilities"/>
    <x v="9"/>
    <n v="6532"/>
  </r>
  <r>
    <x v="19"/>
    <x v="24"/>
    <s v="Electric Generators, Electric Utilities"/>
    <x v="4"/>
    <n v="87081"/>
  </r>
  <r>
    <x v="19"/>
    <x v="24"/>
    <s v="Electric Generators, Electric Utilities"/>
    <x v="10"/>
    <n v="566713"/>
  </r>
  <r>
    <x v="19"/>
    <x v="24"/>
    <s v="Combined Heat and Power, Industrial Power"/>
    <x v="0"/>
    <n v="120828"/>
  </r>
  <r>
    <x v="19"/>
    <x v="24"/>
    <s v="Combined Heat and Power, Industrial Power"/>
    <x v="1"/>
    <n v="112485"/>
  </r>
  <r>
    <x v="19"/>
    <x v="24"/>
    <s v="Combined Heat and Power, Industrial Power"/>
    <x v="3"/>
    <n v="807"/>
  </r>
  <r>
    <x v="19"/>
    <x v="24"/>
    <s v="Combined Heat and Power, Industrial Power"/>
    <x v="8"/>
    <n v="4740"/>
  </r>
  <r>
    <x v="19"/>
    <x v="24"/>
    <s v="Combined Heat and Power, Industrial Power"/>
    <x v="4"/>
    <n v="707"/>
  </r>
  <r>
    <x v="19"/>
    <x v="24"/>
    <s v="Combined Heat and Power, Industrial Power"/>
    <x v="6"/>
    <n v="2090"/>
  </r>
  <r>
    <x v="19"/>
    <x v="24"/>
    <s v="Combined Heat and Power, Electric Power"/>
    <x v="0"/>
    <n v="41372"/>
  </r>
  <r>
    <x v="19"/>
    <x v="24"/>
    <s v="Combined Heat and Power, Electric Power"/>
    <x v="3"/>
    <n v="41372"/>
  </r>
  <r>
    <x v="19"/>
    <x v="24"/>
    <s v="Combined Heat and Power, Commercial Power"/>
    <x v="0"/>
    <n v="104410"/>
  </r>
  <r>
    <x v="19"/>
    <x v="24"/>
    <s v="Combined Heat and Power, Commercial Power"/>
    <x v="1"/>
    <n v="97174"/>
  </r>
  <r>
    <x v="19"/>
    <x v="24"/>
    <s v="Combined Heat and Power, Commercial Power"/>
    <x v="3"/>
    <n v="3990"/>
  </r>
  <r>
    <x v="19"/>
    <x v="24"/>
    <s v="Combined Heat and Power, Commercial Power"/>
    <x v="12"/>
    <n v="3515"/>
  </r>
  <r>
    <x v="19"/>
    <x v="24"/>
    <s v="Combined Heat and Power, Commercial Power"/>
    <x v="4"/>
    <n v="-268"/>
  </r>
  <r>
    <x v="19"/>
    <x v="25"/>
    <s v="Total Electric Power Industry"/>
    <x v="0"/>
    <n v="48701484"/>
  </r>
  <r>
    <x v="19"/>
    <x v="25"/>
    <s v="Total Electric Power Industry"/>
    <x v="1"/>
    <n v="12957662"/>
  </r>
  <r>
    <x v="19"/>
    <x v="25"/>
    <s v="Total Electric Power Industry"/>
    <x v="3"/>
    <n v="23267299"/>
  </r>
  <r>
    <x v="19"/>
    <x v="25"/>
    <s v="Total Electric Power Industry"/>
    <x v="7"/>
    <n v="10998515"/>
  </r>
  <r>
    <x v="19"/>
    <x v="25"/>
    <s v="Total Electric Power Industry"/>
    <x v="12"/>
    <n v="12393"/>
  </r>
  <r>
    <x v="19"/>
    <x v="25"/>
    <s v="Total Electric Power Industry"/>
    <x v="8"/>
    <n v="6960"/>
  </r>
  <r>
    <x v="19"/>
    <x v="25"/>
    <s v="Total Electric Power Industry"/>
    <x v="9"/>
    <n v="24735"/>
  </r>
  <r>
    <x v="19"/>
    <x v="25"/>
    <s v="Total Electric Power Industry"/>
    <x v="4"/>
    <n v="16601"/>
  </r>
  <r>
    <x v="19"/>
    <x v="25"/>
    <s v="Total Electric Power Industry"/>
    <x v="6"/>
    <n v="1417319"/>
  </r>
  <r>
    <x v="19"/>
    <x v="25"/>
    <s v="Electric Generators, Independent Power Producers"/>
    <x v="0"/>
    <n v="12129173"/>
  </r>
  <r>
    <x v="19"/>
    <x v="25"/>
    <s v="Electric Generators, Independent Power Producers"/>
    <x v="1"/>
    <n v="3344657"/>
  </r>
  <r>
    <x v="19"/>
    <x v="25"/>
    <s v="Electric Generators, Independent Power Producers"/>
    <x v="3"/>
    <n v="8782068"/>
  </r>
  <r>
    <x v="19"/>
    <x v="25"/>
    <s v="Electric Generators, Independent Power Producers"/>
    <x v="12"/>
    <n v="2448"/>
  </r>
  <r>
    <x v="19"/>
    <x v="25"/>
    <s v="Electric Generators, Electric Utilities"/>
    <x v="0"/>
    <n v="34759024"/>
  </r>
  <r>
    <x v="19"/>
    <x v="25"/>
    <s v="Electric Generators, Electric Utilities"/>
    <x v="1"/>
    <n v="9610808"/>
  </r>
  <r>
    <x v="19"/>
    <x v="25"/>
    <s v="Electric Generators, Electric Utilities"/>
    <x v="3"/>
    <n v="14137226"/>
  </r>
  <r>
    <x v="19"/>
    <x v="25"/>
    <s v="Electric Generators, Electric Utilities"/>
    <x v="7"/>
    <n v="10998515"/>
  </r>
  <r>
    <x v="19"/>
    <x v="25"/>
    <s v="Electric Generators, Electric Utilities"/>
    <x v="4"/>
    <n v="12475"/>
  </r>
  <r>
    <x v="19"/>
    <x v="25"/>
    <s v="Combined Heat and Power, Industrial Power"/>
    <x v="0"/>
    <n v="1789235"/>
  </r>
  <r>
    <x v="19"/>
    <x v="25"/>
    <s v="Combined Heat and Power, Industrial Power"/>
    <x v="1"/>
    <n v="2197"/>
  </r>
  <r>
    <x v="19"/>
    <x v="25"/>
    <s v="Combined Heat and Power, Industrial Power"/>
    <x v="3"/>
    <n v="323953"/>
  </r>
  <r>
    <x v="19"/>
    <x v="25"/>
    <s v="Combined Heat and Power, Industrial Power"/>
    <x v="12"/>
    <n v="9945"/>
  </r>
  <r>
    <x v="19"/>
    <x v="25"/>
    <s v="Combined Heat and Power, Industrial Power"/>
    <x v="8"/>
    <n v="6960"/>
  </r>
  <r>
    <x v="19"/>
    <x v="25"/>
    <s v="Combined Heat and Power, Industrial Power"/>
    <x v="9"/>
    <n v="24735"/>
  </r>
  <r>
    <x v="19"/>
    <x v="25"/>
    <s v="Combined Heat and Power, Industrial Power"/>
    <x v="4"/>
    <n v="4126"/>
  </r>
  <r>
    <x v="19"/>
    <x v="25"/>
    <s v="Combined Heat and Power, Industrial Power"/>
    <x v="6"/>
    <n v="1417319"/>
  </r>
  <r>
    <x v="19"/>
    <x v="25"/>
    <s v="Combined Heat and Power, Commercial Power"/>
    <x v="0"/>
    <n v="24052"/>
  </r>
  <r>
    <x v="19"/>
    <x v="25"/>
    <s v="Combined Heat and Power, Commercial Power"/>
    <x v="3"/>
    <n v="24052"/>
  </r>
  <r>
    <x v="19"/>
    <x v="26"/>
    <s v="Total Electric Power Industry"/>
    <x v="0"/>
    <n v="26712735"/>
  </r>
  <r>
    <x v="19"/>
    <x v="26"/>
    <s v="Total Electric Power Industry"/>
    <x v="1"/>
    <n v="15611279"/>
  </r>
  <r>
    <x v="19"/>
    <x v="26"/>
    <s v="Total Electric Power Industry"/>
    <x v="2"/>
    <n v="9505940"/>
  </r>
  <r>
    <x v="19"/>
    <x v="26"/>
    <s v="Total Electric Power Industry"/>
    <x v="3"/>
    <n v="77762"/>
  </r>
  <r>
    <x v="19"/>
    <x v="26"/>
    <s v="Total Electric Power Industry"/>
    <x v="12"/>
    <n v="110308"/>
  </r>
  <r>
    <x v="19"/>
    <x v="26"/>
    <s v="Total Electric Power Industry"/>
    <x v="9"/>
    <n v="1447"/>
  </r>
  <r>
    <x v="19"/>
    <x v="26"/>
    <s v="Total Electric Power Industry"/>
    <x v="4"/>
    <n v="490433"/>
  </r>
  <r>
    <x v="19"/>
    <x v="26"/>
    <s v="Total Electric Power Industry"/>
    <x v="5"/>
    <n v="820924"/>
  </r>
  <r>
    <x v="19"/>
    <x v="26"/>
    <s v="Total Electric Power Industry"/>
    <x v="6"/>
    <n v="94642"/>
  </r>
  <r>
    <x v="19"/>
    <x v="26"/>
    <s v="Electric Generators, Independent Power Producers"/>
    <x v="0"/>
    <n v="19852665"/>
  </r>
  <r>
    <x v="19"/>
    <x v="26"/>
    <s v="Electric Generators, Independent Power Producers"/>
    <x v="1"/>
    <n v="15295395"/>
  </r>
  <r>
    <x v="19"/>
    <x v="26"/>
    <s v="Electric Generators, Independent Power Producers"/>
    <x v="2"/>
    <n v="3616123"/>
  </r>
  <r>
    <x v="19"/>
    <x v="26"/>
    <s v="Electric Generators, Independent Power Producers"/>
    <x v="3"/>
    <n v="67066"/>
  </r>
  <r>
    <x v="19"/>
    <x v="26"/>
    <s v="Electric Generators, Independent Power Producers"/>
    <x v="12"/>
    <n v="110308"/>
  </r>
  <r>
    <x v="19"/>
    <x v="26"/>
    <s v="Electric Generators, Independent Power Producers"/>
    <x v="4"/>
    <n v="10540"/>
  </r>
  <r>
    <x v="19"/>
    <x v="26"/>
    <s v="Electric Generators, Independent Power Producers"/>
    <x v="5"/>
    <n v="753233"/>
  </r>
  <r>
    <x v="19"/>
    <x v="26"/>
    <s v="Electric Generators, Electric Utilities"/>
    <x v="0"/>
    <n v="6275963"/>
  </r>
  <r>
    <x v="19"/>
    <x v="26"/>
    <s v="Electric Generators, Electric Utilities"/>
    <x v="1"/>
    <n v="315884"/>
  </r>
  <r>
    <x v="19"/>
    <x v="26"/>
    <s v="Electric Generators, Electric Utilities"/>
    <x v="2"/>
    <n v="5889817"/>
  </r>
  <r>
    <x v="19"/>
    <x v="26"/>
    <s v="Electric Generators, Electric Utilities"/>
    <x v="3"/>
    <n v="2268"/>
  </r>
  <r>
    <x v="19"/>
    <x v="26"/>
    <s v="Electric Generators, Electric Utilities"/>
    <x v="4"/>
    <n v="302"/>
  </r>
  <r>
    <x v="19"/>
    <x v="26"/>
    <s v="Electric Generators, Electric Utilities"/>
    <x v="5"/>
    <n v="67691"/>
  </r>
  <r>
    <x v="19"/>
    <x v="26"/>
    <s v="Combined Heat and Power, Industrial Power"/>
    <x v="0"/>
    <n v="104773"/>
  </r>
  <r>
    <x v="19"/>
    <x v="26"/>
    <s v="Combined Heat and Power, Industrial Power"/>
    <x v="3"/>
    <n v="8427"/>
  </r>
  <r>
    <x v="19"/>
    <x v="26"/>
    <s v="Combined Heat and Power, Industrial Power"/>
    <x v="9"/>
    <n v="1253"/>
  </r>
  <r>
    <x v="19"/>
    <x v="26"/>
    <s v="Combined Heat and Power, Industrial Power"/>
    <x v="4"/>
    <n v="450"/>
  </r>
  <r>
    <x v="19"/>
    <x v="26"/>
    <s v="Combined Heat and Power, Industrial Power"/>
    <x v="6"/>
    <n v="94642"/>
  </r>
  <r>
    <x v="19"/>
    <x v="26"/>
    <s v="Combined Heat and Power, Electric Power"/>
    <x v="0"/>
    <n v="479335"/>
  </r>
  <r>
    <x v="19"/>
    <x v="26"/>
    <s v="Combined Heat and Power, Electric Power"/>
    <x v="9"/>
    <n v="194"/>
  </r>
  <r>
    <x v="19"/>
    <x v="26"/>
    <s v="Combined Heat and Power, Electric Power"/>
    <x v="4"/>
    <n v="479141"/>
  </r>
  <r>
    <x v="19"/>
    <x v="27"/>
    <s v="Total Electric Power Industry"/>
    <x v="0"/>
    <n v="118407403"/>
  </r>
  <r>
    <x v="19"/>
    <x v="27"/>
    <s v="Total Electric Power Industry"/>
    <x v="1"/>
    <n v="65082782"/>
  </r>
  <r>
    <x v="19"/>
    <x v="27"/>
    <s v="Total Electric Power Industry"/>
    <x v="2"/>
    <n v="5171257"/>
  </r>
  <r>
    <x v="19"/>
    <x v="27"/>
    <s v="Total Electric Power Industry"/>
    <x v="3"/>
    <n v="4851885"/>
  </r>
  <r>
    <x v="19"/>
    <x v="27"/>
    <s v="Total Electric Power Industry"/>
    <x v="7"/>
    <n v="40847711"/>
  </r>
  <r>
    <x v="19"/>
    <x v="27"/>
    <s v="Total Electric Power Industry"/>
    <x v="12"/>
    <n v="220428"/>
  </r>
  <r>
    <x v="19"/>
    <x v="27"/>
    <s v="Total Electric Power Industry"/>
    <x v="8"/>
    <n v="131491"/>
  </r>
  <r>
    <x v="19"/>
    <x v="27"/>
    <s v="Total Electric Power Industry"/>
    <x v="9"/>
    <n v="0"/>
  </r>
  <r>
    <x v="19"/>
    <x v="27"/>
    <s v="Total Electric Power Industry"/>
    <x v="4"/>
    <n v="296859"/>
  </r>
  <r>
    <x v="19"/>
    <x v="27"/>
    <s v="Total Electric Power Industry"/>
    <x v="10"/>
    <n v="43077"/>
  </r>
  <r>
    <x v="19"/>
    <x v="27"/>
    <s v="Total Electric Power Industry"/>
    <x v="13"/>
    <n v="4563"/>
  </r>
  <r>
    <x v="19"/>
    <x v="27"/>
    <s v="Total Electric Power Industry"/>
    <x v="6"/>
    <n v="1757350"/>
  </r>
  <r>
    <x v="19"/>
    <x v="27"/>
    <s v="Electric Generators, Independent Power Producers"/>
    <x v="0"/>
    <n v="1340907"/>
  </r>
  <r>
    <x v="19"/>
    <x v="27"/>
    <s v="Electric Generators, Independent Power Producers"/>
    <x v="2"/>
    <n v="29790"/>
  </r>
  <r>
    <x v="19"/>
    <x v="27"/>
    <s v="Electric Generators, Independent Power Producers"/>
    <x v="3"/>
    <n v="898068"/>
  </r>
  <r>
    <x v="19"/>
    <x v="27"/>
    <s v="Electric Generators, Independent Power Producers"/>
    <x v="12"/>
    <n v="8617"/>
  </r>
  <r>
    <x v="19"/>
    <x v="27"/>
    <s v="Electric Generators, Independent Power Producers"/>
    <x v="8"/>
    <n v="107366"/>
  </r>
  <r>
    <x v="19"/>
    <x v="27"/>
    <s v="Electric Generators, Independent Power Producers"/>
    <x v="9"/>
    <n v="0"/>
  </r>
  <r>
    <x v="19"/>
    <x v="27"/>
    <s v="Electric Generators, Independent Power Producers"/>
    <x v="4"/>
    <n v="1764"/>
  </r>
  <r>
    <x v="19"/>
    <x v="27"/>
    <s v="Electric Generators, Independent Power Producers"/>
    <x v="13"/>
    <n v="4563"/>
  </r>
  <r>
    <x v="19"/>
    <x v="27"/>
    <s v="Electric Generators, Independent Power Producers"/>
    <x v="6"/>
    <n v="290739"/>
  </r>
  <r>
    <x v="19"/>
    <x v="27"/>
    <s v="Electric Generators, Electric Utilities"/>
    <x v="0"/>
    <n v="112961309"/>
  </r>
  <r>
    <x v="19"/>
    <x v="27"/>
    <s v="Electric Generators, Electric Utilities"/>
    <x v="1"/>
    <n v="62765545"/>
  </r>
  <r>
    <x v="19"/>
    <x v="27"/>
    <s v="Electric Generators, Electric Utilities"/>
    <x v="2"/>
    <n v="5125576"/>
  </r>
  <r>
    <x v="19"/>
    <x v="27"/>
    <s v="Electric Generators, Electric Utilities"/>
    <x v="3"/>
    <n v="3945064"/>
  </r>
  <r>
    <x v="19"/>
    <x v="27"/>
    <s v="Electric Generators, Electric Utilities"/>
    <x v="7"/>
    <n v="40847711"/>
  </r>
  <r>
    <x v="19"/>
    <x v="27"/>
    <s v="Electric Generators, Electric Utilities"/>
    <x v="4"/>
    <n v="232119"/>
  </r>
  <r>
    <x v="19"/>
    <x v="27"/>
    <s v="Electric Generators, Electric Utilities"/>
    <x v="10"/>
    <n v="43077"/>
  </r>
  <r>
    <x v="19"/>
    <x v="27"/>
    <s v="Electric Generators, Electric Utilities"/>
    <x v="6"/>
    <n v="2216"/>
  </r>
  <r>
    <x v="19"/>
    <x v="27"/>
    <s v="Combined Heat and Power, Industrial Power"/>
    <x v="0"/>
    <n v="1853036"/>
  </r>
  <r>
    <x v="19"/>
    <x v="27"/>
    <s v="Combined Heat and Power, Industrial Power"/>
    <x v="1"/>
    <n v="319808"/>
  </r>
  <r>
    <x v="19"/>
    <x v="27"/>
    <s v="Combined Heat and Power, Industrial Power"/>
    <x v="2"/>
    <n v="2183"/>
  </r>
  <r>
    <x v="19"/>
    <x v="27"/>
    <s v="Combined Heat and Power, Industrial Power"/>
    <x v="3"/>
    <n v="7579"/>
  </r>
  <r>
    <x v="19"/>
    <x v="27"/>
    <s v="Combined Heat and Power, Industrial Power"/>
    <x v="12"/>
    <n v="198723"/>
  </r>
  <r>
    <x v="19"/>
    <x v="27"/>
    <s v="Combined Heat and Power, Industrial Power"/>
    <x v="8"/>
    <n v="3459"/>
  </r>
  <r>
    <x v="19"/>
    <x v="27"/>
    <s v="Combined Heat and Power, Industrial Power"/>
    <x v="4"/>
    <n v="59096"/>
  </r>
  <r>
    <x v="19"/>
    <x v="27"/>
    <s v="Combined Heat and Power, Industrial Power"/>
    <x v="6"/>
    <n v="1262187"/>
  </r>
  <r>
    <x v="19"/>
    <x v="27"/>
    <s v="Combined Heat and Power, Electric Power"/>
    <x v="0"/>
    <n v="2187502"/>
  </r>
  <r>
    <x v="19"/>
    <x v="27"/>
    <s v="Combined Heat and Power, Electric Power"/>
    <x v="1"/>
    <n v="1947703"/>
  </r>
  <r>
    <x v="19"/>
    <x v="27"/>
    <s v="Combined Heat and Power, Electric Power"/>
    <x v="12"/>
    <n v="13088"/>
  </r>
  <r>
    <x v="19"/>
    <x v="27"/>
    <s v="Combined Heat and Power, Electric Power"/>
    <x v="8"/>
    <n v="20666"/>
  </r>
  <r>
    <x v="19"/>
    <x v="27"/>
    <s v="Combined Heat and Power, Electric Power"/>
    <x v="4"/>
    <n v="3838"/>
  </r>
  <r>
    <x v="19"/>
    <x v="27"/>
    <s v="Combined Heat and Power, Electric Power"/>
    <x v="6"/>
    <n v="202207"/>
  </r>
  <r>
    <x v="19"/>
    <x v="27"/>
    <s v="Combined Heat and Power, Commercial Power"/>
    <x v="0"/>
    <n v="64649"/>
  </r>
  <r>
    <x v="19"/>
    <x v="27"/>
    <s v="Combined Heat and Power, Commercial Power"/>
    <x v="1"/>
    <n v="49727"/>
  </r>
  <r>
    <x v="19"/>
    <x v="27"/>
    <s v="Combined Heat and Power, Commercial Power"/>
    <x v="2"/>
    <n v="13708"/>
  </r>
  <r>
    <x v="19"/>
    <x v="27"/>
    <s v="Combined Heat and Power, Commercial Power"/>
    <x v="3"/>
    <n v="1173"/>
  </r>
  <r>
    <x v="19"/>
    <x v="27"/>
    <s v="Combined Heat and Power, Commercial Power"/>
    <x v="4"/>
    <n v="41"/>
  </r>
  <r>
    <x v="19"/>
    <x v="28"/>
    <s v="Total Electric Power Industry"/>
    <x v="0"/>
    <n v="34196467"/>
  </r>
  <r>
    <x v="19"/>
    <x v="28"/>
    <s v="Total Electric Power Industry"/>
    <x v="1"/>
    <n v="29606966"/>
  </r>
  <r>
    <x v="19"/>
    <x v="28"/>
    <s v="Total Electric Power Industry"/>
    <x v="2"/>
    <n v="1475251"/>
  </r>
  <r>
    <x v="19"/>
    <x v="28"/>
    <s v="Total Electric Power Industry"/>
    <x v="3"/>
    <n v="16606"/>
  </r>
  <r>
    <x v="19"/>
    <x v="28"/>
    <s v="Total Electric Power Industry"/>
    <x v="12"/>
    <n v="0"/>
  </r>
  <r>
    <x v="19"/>
    <x v="28"/>
    <s v="Total Electric Power Industry"/>
    <x v="8"/>
    <n v="11572"/>
  </r>
  <r>
    <x v="19"/>
    <x v="28"/>
    <s v="Total Electric Power Industry"/>
    <x v="9"/>
    <n v="43526"/>
  </r>
  <r>
    <x v="19"/>
    <x v="28"/>
    <s v="Total Electric Power Industry"/>
    <x v="4"/>
    <n v="45016"/>
  </r>
  <r>
    <x v="19"/>
    <x v="28"/>
    <s v="Total Electric Power Industry"/>
    <x v="5"/>
    <n v="2997530"/>
  </r>
  <r>
    <x v="19"/>
    <x v="28"/>
    <s v="Electric Generators, Independent Power Producers"/>
    <x v="0"/>
    <n v="2625307"/>
  </r>
  <r>
    <x v="19"/>
    <x v="28"/>
    <s v="Electric Generators, Independent Power Producers"/>
    <x v="5"/>
    <n v="2625307"/>
  </r>
  <r>
    <x v="19"/>
    <x v="28"/>
    <s v="Electric Generators, Electric Utilities"/>
    <x v="0"/>
    <n v="31375152"/>
  </r>
  <r>
    <x v="19"/>
    <x v="28"/>
    <s v="Electric Generators, Electric Utilities"/>
    <x v="1"/>
    <n v="29486194"/>
  </r>
  <r>
    <x v="19"/>
    <x v="28"/>
    <s v="Electric Generators, Electric Utilities"/>
    <x v="2"/>
    <n v="1475251"/>
  </r>
  <r>
    <x v="19"/>
    <x v="28"/>
    <s v="Electric Generators, Electric Utilities"/>
    <x v="3"/>
    <n v="9"/>
  </r>
  <r>
    <x v="19"/>
    <x v="28"/>
    <s v="Electric Generators, Electric Utilities"/>
    <x v="12"/>
    <n v="0"/>
  </r>
  <r>
    <x v="19"/>
    <x v="28"/>
    <s v="Electric Generators, Electric Utilities"/>
    <x v="4"/>
    <n v="41475"/>
  </r>
  <r>
    <x v="19"/>
    <x v="28"/>
    <s v="Electric Generators, Electric Utilities"/>
    <x v="5"/>
    <n v="372223"/>
  </r>
  <r>
    <x v="19"/>
    <x v="28"/>
    <s v="Combined Heat and Power, Industrial Power"/>
    <x v="0"/>
    <n v="195922"/>
  </r>
  <r>
    <x v="19"/>
    <x v="28"/>
    <s v="Combined Heat and Power, Industrial Power"/>
    <x v="1"/>
    <n v="120771"/>
  </r>
  <r>
    <x v="19"/>
    <x v="28"/>
    <s v="Combined Heat and Power, Industrial Power"/>
    <x v="3"/>
    <n v="16597"/>
  </r>
  <r>
    <x v="19"/>
    <x v="28"/>
    <s v="Combined Heat and Power, Industrial Power"/>
    <x v="8"/>
    <n v="11572"/>
  </r>
  <r>
    <x v="19"/>
    <x v="28"/>
    <s v="Combined Heat and Power, Industrial Power"/>
    <x v="9"/>
    <n v="43526"/>
  </r>
  <r>
    <x v="19"/>
    <x v="28"/>
    <s v="Combined Heat and Power, Industrial Power"/>
    <x v="4"/>
    <n v="3456"/>
  </r>
  <r>
    <x v="19"/>
    <x v="28"/>
    <s v="Combined Heat and Power, Commercial Power"/>
    <x v="0"/>
    <n v="85"/>
  </r>
  <r>
    <x v="19"/>
    <x v="28"/>
    <s v="Combined Heat and Power, Commercial Power"/>
    <x v="4"/>
    <n v="85"/>
  </r>
  <r>
    <x v="19"/>
    <x v="29"/>
    <s v="Total Electric Power Industry"/>
    <x v="0"/>
    <n v="34001892"/>
  </r>
  <r>
    <x v="19"/>
    <x v="29"/>
    <s v="Total Electric Power Industry"/>
    <x v="1"/>
    <n v="23349780"/>
  </r>
  <r>
    <x v="19"/>
    <x v="29"/>
    <s v="Total Electric Power Industry"/>
    <x v="2"/>
    <n v="433690"/>
  </r>
  <r>
    <x v="19"/>
    <x v="29"/>
    <s v="Total Electric Power Industry"/>
    <x v="3"/>
    <n v="311581"/>
  </r>
  <r>
    <x v="19"/>
    <x v="29"/>
    <s v="Total Electric Power Industry"/>
    <x v="7"/>
    <n v="9435142"/>
  </r>
  <r>
    <x v="19"/>
    <x v="29"/>
    <s v="Total Electric Power Industry"/>
    <x v="8"/>
    <n v="66195"/>
  </r>
  <r>
    <x v="19"/>
    <x v="29"/>
    <s v="Total Electric Power Industry"/>
    <x v="4"/>
    <n v="22869"/>
  </r>
  <r>
    <x v="19"/>
    <x v="29"/>
    <s v="Total Electric Power Industry"/>
    <x v="5"/>
    <n v="382634"/>
  </r>
  <r>
    <x v="19"/>
    <x v="29"/>
    <s v="Electric Generators, Independent Power Producers"/>
    <x v="0"/>
    <n v="164662"/>
  </r>
  <r>
    <x v="19"/>
    <x v="29"/>
    <s v="Electric Generators, Independent Power Producers"/>
    <x v="5"/>
    <n v="164662"/>
  </r>
  <r>
    <x v="19"/>
    <x v="29"/>
    <s v="Electric Generators, Electric Utilities"/>
    <x v="0"/>
    <n v="33776062"/>
  </r>
  <r>
    <x v="19"/>
    <x v="29"/>
    <s v="Electric Generators, Electric Utilities"/>
    <x v="1"/>
    <n v="23307746"/>
  </r>
  <r>
    <x v="19"/>
    <x v="29"/>
    <s v="Electric Generators, Electric Utilities"/>
    <x v="2"/>
    <n v="433690"/>
  </r>
  <r>
    <x v="19"/>
    <x v="29"/>
    <s v="Electric Generators, Electric Utilities"/>
    <x v="3"/>
    <n v="311194"/>
  </r>
  <r>
    <x v="19"/>
    <x v="29"/>
    <s v="Electric Generators, Electric Utilities"/>
    <x v="7"/>
    <n v="9435142"/>
  </r>
  <r>
    <x v="19"/>
    <x v="29"/>
    <s v="Electric Generators, Electric Utilities"/>
    <x v="8"/>
    <n v="47449"/>
  </r>
  <r>
    <x v="19"/>
    <x v="29"/>
    <s v="Electric Generators, Electric Utilities"/>
    <x v="4"/>
    <n v="22869"/>
  </r>
  <r>
    <x v="19"/>
    <x v="29"/>
    <s v="Electric Generators, Electric Utilities"/>
    <x v="5"/>
    <n v="217972"/>
  </r>
  <r>
    <x v="19"/>
    <x v="29"/>
    <s v="Combined Heat and Power, Industrial Power"/>
    <x v="0"/>
    <n v="42034"/>
  </r>
  <r>
    <x v="19"/>
    <x v="29"/>
    <s v="Combined Heat and Power, Industrial Power"/>
    <x v="1"/>
    <n v="42034"/>
  </r>
  <r>
    <x v="19"/>
    <x v="29"/>
    <s v="Combined Heat and Power, Electric Power"/>
    <x v="0"/>
    <n v="4720"/>
  </r>
  <r>
    <x v="19"/>
    <x v="29"/>
    <s v="Combined Heat and Power, Electric Power"/>
    <x v="3"/>
    <n v="97"/>
  </r>
  <r>
    <x v="19"/>
    <x v="29"/>
    <s v="Combined Heat and Power, Electric Power"/>
    <x v="8"/>
    <n v="4623"/>
  </r>
  <r>
    <x v="19"/>
    <x v="29"/>
    <s v="Combined Heat and Power, Commercial Power"/>
    <x v="0"/>
    <n v="14414"/>
  </r>
  <r>
    <x v="19"/>
    <x v="29"/>
    <s v="Combined Heat and Power, Commercial Power"/>
    <x v="3"/>
    <n v="291"/>
  </r>
  <r>
    <x v="19"/>
    <x v="29"/>
    <s v="Combined Heat and Power, Commercial Power"/>
    <x v="8"/>
    <n v="14123"/>
  </r>
  <r>
    <x v="19"/>
    <x v="30"/>
    <s v="Total Electric Power Industry"/>
    <x v="0"/>
    <n v="20164122"/>
  </r>
  <r>
    <x v="19"/>
    <x v="30"/>
    <s v="Total Electric Power Industry"/>
    <x v="1"/>
    <n v="2885668"/>
  </r>
  <r>
    <x v="19"/>
    <x v="30"/>
    <s v="Total Electric Power Industry"/>
    <x v="2"/>
    <n v="1680492"/>
  </r>
  <r>
    <x v="19"/>
    <x v="30"/>
    <s v="Total Electric Power Industry"/>
    <x v="3"/>
    <n v="5342357"/>
  </r>
  <r>
    <x v="19"/>
    <x v="30"/>
    <s v="Total Electric Power Industry"/>
    <x v="7"/>
    <n v="8816673"/>
  </r>
  <r>
    <x v="19"/>
    <x v="30"/>
    <s v="Total Electric Power Industry"/>
    <x v="12"/>
    <n v="57915"/>
  </r>
  <r>
    <x v="19"/>
    <x v="30"/>
    <s v="Total Electric Power Industry"/>
    <x v="8"/>
    <n v="151278"/>
  </r>
  <r>
    <x v="19"/>
    <x v="30"/>
    <s v="Total Electric Power Industry"/>
    <x v="4"/>
    <n v="183081"/>
  </r>
  <r>
    <x v="19"/>
    <x v="30"/>
    <s v="Total Electric Power Industry"/>
    <x v="5"/>
    <n v="62477"/>
  </r>
  <r>
    <x v="19"/>
    <x v="30"/>
    <s v="Total Electric Power Industry"/>
    <x v="6"/>
    <n v="984181"/>
  </r>
  <r>
    <x v="19"/>
    <x v="30"/>
    <s v="Electric Generators, Independent Power Producers"/>
    <x v="0"/>
    <n v="16314225"/>
  </r>
  <r>
    <x v="19"/>
    <x v="30"/>
    <s v="Electric Generators, Independent Power Producers"/>
    <x v="2"/>
    <n v="1269620"/>
  </r>
  <r>
    <x v="19"/>
    <x v="30"/>
    <s v="Electric Generators, Independent Power Producers"/>
    <x v="3"/>
    <n v="5283199"/>
  </r>
  <r>
    <x v="19"/>
    <x v="30"/>
    <s v="Electric Generators, Independent Power Producers"/>
    <x v="7"/>
    <n v="8816673"/>
  </r>
  <r>
    <x v="19"/>
    <x v="30"/>
    <s v="Electric Generators, Independent Power Producers"/>
    <x v="12"/>
    <n v="57915"/>
  </r>
  <r>
    <x v="19"/>
    <x v="30"/>
    <s v="Electric Generators, Independent Power Producers"/>
    <x v="8"/>
    <n v="151278"/>
  </r>
  <r>
    <x v="19"/>
    <x v="30"/>
    <s v="Electric Generators, Independent Power Producers"/>
    <x v="4"/>
    <n v="7074"/>
  </r>
  <r>
    <x v="19"/>
    <x v="30"/>
    <s v="Electric Generators, Independent Power Producers"/>
    <x v="5"/>
    <n v="62477"/>
  </r>
  <r>
    <x v="19"/>
    <x v="30"/>
    <s v="Electric Generators, Independent Power Producers"/>
    <x v="6"/>
    <n v="665989"/>
  </r>
  <r>
    <x v="19"/>
    <x v="30"/>
    <s v="Electric Generators, Electric Utilities"/>
    <x v="0"/>
    <n v="3788395"/>
  </r>
  <r>
    <x v="19"/>
    <x v="30"/>
    <s v="Electric Generators, Electric Utilities"/>
    <x v="1"/>
    <n v="2885668"/>
  </r>
  <r>
    <x v="19"/>
    <x v="30"/>
    <s v="Electric Generators, Electric Utilities"/>
    <x v="2"/>
    <n v="401855"/>
  </r>
  <r>
    <x v="19"/>
    <x v="30"/>
    <s v="Electric Generators, Electric Utilities"/>
    <x v="3"/>
    <n v="34798"/>
  </r>
  <r>
    <x v="19"/>
    <x v="30"/>
    <s v="Electric Generators, Electric Utilities"/>
    <x v="4"/>
    <n v="148562"/>
  </r>
  <r>
    <x v="19"/>
    <x v="30"/>
    <s v="Electric Generators, Electric Utilities"/>
    <x v="6"/>
    <n v="317511"/>
  </r>
  <r>
    <x v="19"/>
    <x v="30"/>
    <s v="Combined Heat and Power, Industrial Power"/>
    <x v="0"/>
    <n v="34912"/>
  </r>
  <r>
    <x v="19"/>
    <x v="30"/>
    <s v="Combined Heat and Power, Industrial Power"/>
    <x v="2"/>
    <n v="9017"/>
  </r>
  <r>
    <x v="19"/>
    <x v="30"/>
    <s v="Combined Heat and Power, Industrial Power"/>
    <x v="3"/>
    <n v="24360"/>
  </r>
  <r>
    <x v="19"/>
    <x v="30"/>
    <s v="Combined Heat and Power, Industrial Power"/>
    <x v="4"/>
    <n v="855"/>
  </r>
  <r>
    <x v="19"/>
    <x v="30"/>
    <s v="Combined Heat and Power, Industrial Power"/>
    <x v="6"/>
    <n v="680"/>
  </r>
  <r>
    <x v="19"/>
    <x v="30"/>
    <s v="Combined Heat and Power, Commercial Power"/>
    <x v="0"/>
    <n v="26590"/>
  </r>
  <r>
    <x v="19"/>
    <x v="30"/>
    <s v="Combined Heat and Power, Commercial Power"/>
    <x v="4"/>
    <n v="26590"/>
  </r>
  <r>
    <x v="19"/>
    <x v="31"/>
    <s v="Total Electric Power Industry"/>
    <x v="0"/>
    <n v="61811239"/>
  </r>
  <r>
    <x v="19"/>
    <x v="31"/>
    <s v="Total Electric Power Industry"/>
    <x v="1"/>
    <n v="5099868"/>
  </r>
  <r>
    <x v="19"/>
    <x v="31"/>
    <s v="Total Electric Power Industry"/>
    <x v="2"/>
    <n v="32081"/>
  </r>
  <r>
    <x v="19"/>
    <x v="31"/>
    <s v="Total Electric Power Industry"/>
    <x v="3"/>
    <n v="20624990"/>
  </r>
  <r>
    <x v="19"/>
    <x v="31"/>
    <s v="Total Electric Power Industry"/>
    <x v="7"/>
    <n v="34327954"/>
  </r>
  <r>
    <x v="19"/>
    <x v="31"/>
    <s v="Total Electric Power Industry"/>
    <x v="12"/>
    <n v="520308"/>
  </r>
  <r>
    <x v="19"/>
    <x v="31"/>
    <s v="Total Electric Power Industry"/>
    <x v="8"/>
    <n v="928206"/>
  </r>
  <r>
    <x v="19"/>
    <x v="31"/>
    <s v="Total Electric Power Industry"/>
    <x v="9"/>
    <n v="169730"/>
  </r>
  <r>
    <x v="19"/>
    <x v="31"/>
    <s v="Total Electric Power Industry"/>
    <x v="4"/>
    <n v="278191"/>
  </r>
  <r>
    <x v="19"/>
    <x v="31"/>
    <s v="Total Electric Power Industry"/>
    <x v="10"/>
    <n v="-201714"/>
  </r>
  <r>
    <x v="19"/>
    <x v="31"/>
    <s v="Total Electric Power Industry"/>
    <x v="13"/>
    <n v="10707"/>
  </r>
  <r>
    <x v="19"/>
    <x v="31"/>
    <s v="Total Electric Power Industry"/>
    <x v="5"/>
    <n v="20918"/>
  </r>
  <r>
    <x v="19"/>
    <x v="31"/>
    <s v="Electric Generators, Independent Power Producers"/>
    <x v="0"/>
    <n v="52181631"/>
  </r>
  <r>
    <x v="19"/>
    <x v="31"/>
    <s v="Electric Generators, Independent Power Producers"/>
    <x v="1"/>
    <n v="3130473"/>
  </r>
  <r>
    <x v="19"/>
    <x v="31"/>
    <s v="Electric Generators, Independent Power Producers"/>
    <x v="2"/>
    <n v="32081"/>
  </r>
  <r>
    <x v="19"/>
    <x v="31"/>
    <s v="Electric Generators, Independent Power Producers"/>
    <x v="3"/>
    <n v="13582525"/>
  </r>
  <r>
    <x v="19"/>
    <x v="31"/>
    <s v="Electric Generators, Independent Power Producers"/>
    <x v="7"/>
    <n v="34327954"/>
  </r>
  <r>
    <x v="19"/>
    <x v="31"/>
    <s v="Electric Generators, Independent Power Producers"/>
    <x v="12"/>
    <n v="317873"/>
  </r>
  <r>
    <x v="19"/>
    <x v="31"/>
    <s v="Electric Generators, Independent Power Producers"/>
    <x v="8"/>
    <n v="592395"/>
  </r>
  <r>
    <x v="19"/>
    <x v="31"/>
    <s v="Electric Generators, Independent Power Producers"/>
    <x v="4"/>
    <n v="166706"/>
  </r>
  <r>
    <x v="19"/>
    <x v="31"/>
    <s v="Electric Generators, Independent Power Producers"/>
    <x v="13"/>
    <n v="10707"/>
  </r>
  <r>
    <x v="19"/>
    <x v="31"/>
    <s v="Electric Generators, Independent Power Producers"/>
    <x v="5"/>
    <n v="20918"/>
  </r>
  <r>
    <x v="19"/>
    <x v="31"/>
    <s v="Electric Generators, Electric Utilities"/>
    <x v="0"/>
    <n v="-186672"/>
  </r>
  <r>
    <x v="19"/>
    <x v="31"/>
    <s v="Electric Generators, Electric Utilities"/>
    <x v="1"/>
    <n v="12392"/>
  </r>
  <r>
    <x v="19"/>
    <x v="31"/>
    <s v="Electric Generators, Electric Utilities"/>
    <x v="4"/>
    <n v="2650"/>
  </r>
  <r>
    <x v="19"/>
    <x v="31"/>
    <s v="Electric Generators, Electric Utilities"/>
    <x v="10"/>
    <n v="-201714"/>
  </r>
  <r>
    <x v="19"/>
    <x v="31"/>
    <s v="Combined Heat and Power, Industrial Power"/>
    <x v="0"/>
    <n v="714602"/>
  </r>
  <r>
    <x v="19"/>
    <x v="31"/>
    <s v="Combined Heat and Power, Industrial Power"/>
    <x v="3"/>
    <n v="511641"/>
  </r>
  <r>
    <x v="19"/>
    <x v="31"/>
    <s v="Combined Heat and Power, Industrial Power"/>
    <x v="12"/>
    <n v="29897"/>
  </r>
  <r>
    <x v="19"/>
    <x v="31"/>
    <s v="Combined Heat and Power, Industrial Power"/>
    <x v="9"/>
    <n v="169730"/>
  </r>
  <r>
    <x v="19"/>
    <x v="31"/>
    <s v="Combined Heat and Power, Industrial Power"/>
    <x v="4"/>
    <n v="3334"/>
  </r>
  <r>
    <x v="19"/>
    <x v="31"/>
    <s v="Combined Heat and Power, Electric Power"/>
    <x v="0"/>
    <n v="8716571"/>
  </r>
  <r>
    <x v="19"/>
    <x v="31"/>
    <s v="Combined Heat and Power, Electric Power"/>
    <x v="1"/>
    <n v="1957003"/>
  </r>
  <r>
    <x v="19"/>
    <x v="31"/>
    <s v="Combined Heat and Power, Electric Power"/>
    <x v="3"/>
    <n v="6450487"/>
  </r>
  <r>
    <x v="19"/>
    <x v="31"/>
    <s v="Combined Heat and Power, Electric Power"/>
    <x v="12"/>
    <n v="40369"/>
  </r>
  <r>
    <x v="19"/>
    <x v="31"/>
    <s v="Combined Heat and Power, Electric Power"/>
    <x v="8"/>
    <n v="164065"/>
  </r>
  <r>
    <x v="19"/>
    <x v="31"/>
    <s v="Combined Heat and Power, Electric Power"/>
    <x v="4"/>
    <n v="104647"/>
  </r>
  <r>
    <x v="19"/>
    <x v="31"/>
    <s v="Combined Heat and Power, Commercial Power"/>
    <x v="0"/>
    <n v="385107"/>
  </r>
  <r>
    <x v="19"/>
    <x v="31"/>
    <s v="Combined Heat and Power, Commercial Power"/>
    <x v="3"/>
    <n v="80339"/>
  </r>
  <r>
    <x v="19"/>
    <x v="31"/>
    <s v="Combined Heat and Power, Commercial Power"/>
    <x v="12"/>
    <n v="132168"/>
  </r>
  <r>
    <x v="19"/>
    <x v="31"/>
    <s v="Combined Heat and Power, Commercial Power"/>
    <x v="8"/>
    <n v="171747"/>
  </r>
  <r>
    <x v="19"/>
    <x v="31"/>
    <s v="Combined Heat and Power, Commercial Power"/>
    <x v="4"/>
    <n v="854"/>
  </r>
  <r>
    <x v="19"/>
    <x v="32"/>
    <s v="Total Electric Power Industry"/>
    <x v="0"/>
    <n v="39674339"/>
  </r>
  <r>
    <x v="19"/>
    <x v="32"/>
    <s v="Total Electric Power Industry"/>
    <x v="1"/>
    <n v="29117308"/>
  </r>
  <r>
    <x v="19"/>
    <x v="32"/>
    <s v="Total Electric Power Industry"/>
    <x v="2"/>
    <n v="270963"/>
  </r>
  <r>
    <x v="19"/>
    <x v="32"/>
    <s v="Total Electric Power Industry"/>
    <x v="3"/>
    <n v="8661073"/>
  </r>
  <r>
    <x v="19"/>
    <x v="32"/>
    <s v="Total Electric Power Industry"/>
    <x v="8"/>
    <n v="33664"/>
  </r>
  <r>
    <x v="19"/>
    <x v="32"/>
    <s v="Total Electric Power Industry"/>
    <x v="4"/>
    <n v="44613"/>
  </r>
  <r>
    <x v="19"/>
    <x v="32"/>
    <s v="Total Electric Power Industry"/>
    <x v="5"/>
    <n v="1546718"/>
  </r>
  <r>
    <x v="19"/>
    <x v="32"/>
    <s v="Electric Generators, Independent Power Producers"/>
    <x v="0"/>
    <n v="4880798"/>
  </r>
  <r>
    <x v="19"/>
    <x v="32"/>
    <s v="Electric Generators, Independent Power Producers"/>
    <x v="3"/>
    <n v="3334080"/>
  </r>
  <r>
    <x v="19"/>
    <x v="32"/>
    <s v="Electric Generators, Independent Power Producers"/>
    <x v="4"/>
    <n v="0"/>
  </r>
  <r>
    <x v="19"/>
    <x v="32"/>
    <s v="Electric Generators, Independent Power Producers"/>
    <x v="5"/>
    <n v="1546718"/>
  </r>
  <r>
    <x v="19"/>
    <x v="32"/>
    <s v="Electric Generators, Electric Utilities"/>
    <x v="0"/>
    <n v="34245148"/>
  </r>
  <r>
    <x v="19"/>
    <x v="32"/>
    <s v="Electric Generators, Electric Utilities"/>
    <x v="1"/>
    <n v="29117308"/>
  </r>
  <r>
    <x v="19"/>
    <x v="32"/>
    <s v="Electric Generators, Electric Utilities"/>
    <x v="2"/>
    <n v="270963"/>
  </r>
  <r>
    <x v="19"/>
    <x v="32"/>
    <s v="Electric Generators, Electric Utilities"/>
    <x v="3"/>
    <n v="4812278"/>
  </r>
  <r>
    <x v="19"/>
    <x v="32"/>
    <s v="Electric Generators, Electric Utilities"/>
    <x v="4"/>
    <n v="44599"/>
  </r>
  <r>
    <x v="19"/>
    <x v="32"/>
    <s v="Combined Heat and Power, Industrial Power"/>
    <x v="0"/>
    <n v="317"/>
  </r>
  <r>
    <x v="19"/>
    <x v="32"/>
    <s v="Combined Heat and Power, Industrial Power"/>
    <x v="3"/>
    <n v="303"/>
  </r>
  <r>
    <x v="19"/>
    <x v="32"/>
    <s v="Combined Heat and Power, Industrial Power"/>
    <x v="4"/>
    <n v="14"/>
  </r>
  <r>
    <x v="19"/>
    <x v="32"/>
    <s v="Combined Heat and Power, Electric Power"/>
    <x v="0"/>
    <n v="477229"/>
  </r>
  <r>
    <x v="19"/>
    <x v="32"/>
    <s v="Combined Heat and Power, Electric Power"/>
    <x v="3"/>
    <n v="443565"/>
  </r>
  <r>
    <x v="19"/>
    <x v="32"/>
    <s v="Combined Heat and Power, Electric Power"/>
    <x v="8"/>
    <n v="33664"/>
  </r>
  <r>
    <x v="19"/>
    <x v="32"/>
    <s v="Combined Heat and Power, Commercial Power"/>
    <x v="0"/>
    <n v="70847"/>
  </r>
  <r>
    <x v="19"/>
    <x v="32"/>
    <s v="Combined Heat and Power, Commercial Power"/>
    <x v="3"/>
    <n v="70847"/>
  </r>
  <r>
    <x v="19"/>
    <x v="33"/>
    <s v="Total Electric Power Industry"/>
    <x v="0"/>
    <n v="37705133"/>
  </r>
  <r>
    <x v="19"/>
    <x v="33"/>
    <s v="Total Electric Power Industry"/>
    <x v="1"/>
    <n v="7539936"/>
  </r>
  <r>
    <x v="19"/>
    <x v="33"/>
    <s v="Total Electric Power Industry"/>
    <x v="11"/>
    <n v="1633213"/>
  </r>
  <r>
    <x v="19"/>
    <x v="33"/>
    <s v="Total Electric Power Industry"/>
    <x v="2"/>
    <n v="2460595"/>
  </r>
  <r>
    <x v="19"/>
    <x v="33"/>
    <s v="Total Electric Power Industry"/>
    <x v="3"/>
    <n v="25877621"/>
  </r>
  <r>
    <x v="19"/>
    <x v="33"/>
    <s v="Total Electric Power Industry"/>
    <x v="9"/>
    <n v="2385"/>
  </r>
  <r>
    <x v="19"/>
    <x v="33"/>
    <s v="Total Electric Power Industry"/>
    <x v="4"/>
    <n v="16184"/>
  </r>
  <r>
    <x v="19"/>
    <x v="33"/>
    <s v="Total Electric Power Industry"/>
    <x v="13"/>
    <n v="174309"/>
  </r>
  <r>
    <x v="19"/>
    <x v="33"/>
    <s v="Total Electric Power Industry"/>
    <x v="6"/>
    <n v="890"/>
  </r>
  <r>
    <x v="19"/>
    <x v="33"/>
    <s v="Electric Generators, Independent Power Producers"/>
    <x v="0"/>
    <n v="9392644"/>
  </r>
  <r>
    <x v="19"/>
    <x v="33"/>
    <s v="Electric Generators, Independent Power Producers"/>
    <x v="1"/>
    <n v="1163050"/>
  </r>
  <r>
    <x v="19"/>
    <x v="33"/>
    <s v="Electric Generators, Independent Power Producers"/>
    <x v="11"/>
    <n v="1633213"/>
  </r>
  <r>
    <x v="19"/>
    <x v="33"/>
    <s v="Electric Generators, Independent Power Producers"/>
    <x v="2"/>
    <n v="35007"/>
  </r>
  <r>
    <x v="19"/>
    <x v="33"/>
    <s v="Electric Generators, Independent Power Producers"/>
    <x v="3"/>
    <n v="6380158"/>
  </r>
  <r>
    <x v="19"/>
    <x v="33"/>
    <s v="Electric Generators, Independent Power Producers"/>
    <x v="4"/>
    <n v="6907"/>
  </r>
  <r>
    <x v="19"/>
    <x v="33"/>
    <s v="Electric Generators, Independent Power Producers"/>
    <x v="13"/>
    <n v="174309"/>
  </r>
  <r>
    <x v="19"/>
    <x v="33"/>
    <s v="Electric Generators, Electric Utilities"/>
    <x v="0"/>
    <n v="26095005"/>
  </r>
  <r>
    <x v="19"/>
    <x v="33"/>
    <s v="Electric Generators, Electric Utilities"/>
    <x v="1"/>
    <n v="6376887"/>
  </r>
  <r>
    <x v="19"/>
    <x v="33"/>
    <s v="Electric Generators, Electric Utilities"/>
    <x v="2"/>
    <n v="2425588"/>
  </r>
  <r>
    <x v="19"/>
    <x v="33"/>
    <s v="Electric Generators, Electric Utilities"/>
    <x v="3"/>
    <n v="17283168"/>
  </r>
  <r>
    <x v="19"/>
    <x v="33"/>
    <s v="Electric Generators, Electric Utilities"/>
    <x v="4"/>
    <n v="8472"/>
  </r>
  <r>
    <x v="19"/>
    <x v="33"/>
    <s v="Electric Generators, Electric Utilities"/>
    <x v="6"/>
    <n v="890"/>
  </r>
  <r>
    <x v="19"/>
    <x v="33"/>
    <s v="Combined Heat and Power, Industrial Power"/>
    <x v="0"/>
    <n v="204781"/>
  </r>
  <r>
    <x v="19"/>
    <x v="33"/>
    <s v="Combined Heat and Power, Industrial Power"/>
    <x v="3"/>
    <n v="204781"/>
  </r>
  <r>
    <x v="19"/>
    <x v="33"/>
    <s v="Combined Heat and Power, Industrial Power"/>
    <x v="13"/>
    <n v="0"/>
  </r>
  <r>
    <x v="19"/>
    <x v="33"/>
    <s v="Combined Heat and Power, Electric Power"/>
    <x v="0"/>
    <n v="2012703"/>
  </r>
  <r>
    <x v="19"/>
    <x v="33"/>
    <s v="Combined Heat and Power, Electric Power"/>
    <x v="3"/>
    <n v="2009514"/>
  </r>
  <r>
    <x v="19"/>
    <x v="33"/>
    <s v="Combined Heat and Power, Electric Power"/>
    <x v="9"/>
    <n v="2385"/>
  </r>
  <r>
    <x v="19"/>
    <x v="33"/>
    <s v="Combined Heat and Power, Electric Power"/>
    <x v="4"/>
    <n v="804"/>
  </r>
  <r>
    <x v="19"/>
    <x v="33"/>
    <s v="Combined Heat and Power, Commercial Power"/>
    <x v="0"/>
    <n v="0"/>
  </r>
  <r>
    <x v="19"/>
    <x v="33"/>
    <s v="Combined Heat and Power, Commercial Power"/>
    <x v="3"/>
    <n v="0"/>
  </r>
  <r>
    <x v="19"/>
    <x v="34"/>
    <s v="Total Electric Power Industry"/>
    <x v="0"/>
    <n v="133150550"/>
  </r>
  <r>
    <x v="19"/>
    <x v="34"/>
    <s v="Total Electric Power Industry"/>
    <x v="1"/>
    <n v="12758873"/>
  </r>
  <r>
    <x v="19"/>
    <x v="34"/>
    <s v="Total Electric Power Industry"/>
    <x v="2"/>
    <n v="27615106"/>
  </r>
  <r>
    <x v="19"/>
    <x v="34"/>
    <s v="Total Electric Power Industry"/>
    <x v="3"/>
    <n v="41779597"/>
  </r>
  <r>
    <x v="19"/>
    <x v="34"/>
    <s v="Total Electric Power Industry"/>
    <x v="7"/>
    <n v="43484614"/>
  </r>
  <r>
    <x v="19"/>
    <x v="34"/>
    <s v="Total Electric Power Industry"/>
    <x v="12"/>
    <n v="877433"/>
  </r>
  <r>
    <x v="19"/>
    <x v="34"/>
    <s v="Total Electric Power Industry"/>
    <x v="8"/>
    <n v="1664816"/>
  </r>
  <r>
    <x v="19"/>
    <x v="34"/>
    <s v="Total Electric Power Industry"/>
    <x v="4"/>
    <n v="2648306"/>
  </r>
  <r>
    <x v="19"/>
    <x v="34"/>
    <s v="Total Electric Power Industry"/>
    <x v="10"/>
    <n v="-480387"/>
  </r>
  <r>
    <x v="19"/>
    <x v="34"/>
    <s v="Total Electric Power Industry"/>
    <x v="5"/>
    <n v="2266339"/>
  </r>
  <r>
    <x v="19"/>
    <x v="34"/>
    <s v="Total Electric Power Industry"/>
    <x v="6"/>
    <n v="535853"/>
  </r>
  <r>
    <x v="19"/>
    <x v="34"/>
    <s v="Electric Generators, Independent Power Producers"/>
    <x v="0"/>
    <n v="86856192"/>
  </r>
  <r>
    <x v="19"/>
    <x v="34"/>
    <s v="Electric Generators, Independent Power Producers"/>
    <x v="1"/>
    <n v="12038038"/>
  </r>
  <r>
    <x v="19"/>
    <x v="34"/>
    <s v="Electric Generators, Independent Power Producers"/>
    <x v="2"/>
    <n v="4900318"/>
  </r>
  <r>
    <x v="19"/>
    <x v="34"/>
    <s v="Electric Generators, Independent Power Producers"/>
    <x v="3"/>
    <n v="20769853"/>
  </r>
  <r>
    <x v="19"/>
    <x v="34"/>
    <s v="Electric Generators, Independent Power Producers"/>
    <x v="7"/>
    <n v="43484614"/>
  </r>
  <r>
    <x v="19"/>
    <x v="34"/>
    <s v="Electric Generators, Independent Power Producers"/>
    <x v="12"/>
    <n v="698753"/>
  </r>
  <r>
    <x v="19"/>
    <x v="34"/>
    <s v="Electric Generators, Independent Power Producers"/>
    <x v="8"/>
    <n v="1437405"/>
  </r>
  <r>
    <x v="19"/>
    <x v="34"/>
    <s v="Electric Generators, Independent Power Producers"/>
    <x v="4"/>
    <n v="1137075"/>
  </r>
  <r>
    <x v="19"/>
    <x v="34"/>
    <s v="Electric Generators, Independent Power Producers"/>
    <x v="5"/>
    <n v="2266339"/>
  </r>
  <r>
    <x v="19"/>
    <x v="34"/>
    <s v="Electric Generators, Independent Power Producers"/>
    <x v="6"/>
    <n v="123798"/>
  </r>
  <r>
    <x v="19"/>
    <x v="34"/>
    <s v="Electric Generators, Electric Utilities"/>
    <x v="0"/>
    <n v="35771414"/>
  </r>
  <r>
    <x v="19"/>
    <x v="34"/>
    <s v="Electric Generators, Electric Utilities"/>
    <x v="1"/>
    <n v="66064"/>
  </r>
  <r>
    <x v="19"/>
    <x v="34"/>
    <s v="Electric Generators, Electric Utilities"/>
    <x v="2"/>
    <n v="22590043"/>
  </r>
  <r>
    <x v="19"/>
    <x v="34"/>
    <s v="Electric Generators, Electric Utilities"/>
    <x v="3"/>
    <n v="12259072"/>
  </r>
  <r>
    <x v="19"/>
    <x v="34"/>
    <s v="Electric Generators, Electric Utilities"/>
    <x v="4"/>
    <n v="1336621"/>
  </r>
  <r>
    <x v="19"/>
    <x v="34"/>
    <s v="Electric Generators, Electric Utilities"/>
    <x v="10"/>
    <n v="-480387"/>
  </r>
  <r>
    <x v="19"/>
    <x v="34"/>
    <s v="Combined Heat and Power, Industrial Power"/>
    <x v="0"/>
    <n v="1111183"/>
  </r>
  <r>
    <x v="19"/>
    <x v="34"/>
    <s v="Combined Heat and Power, Industrial Power"/>
    <x v="1"/>
    <n v="318908"/>
  </r>
  <r>
    <x v="19"/>
    <x v="34"/>
    <s v="Combined Heat and Power, Industrial Power"/>
    <x v="2"/>
    <n v="120573"/>
  </r>
  <r>
    <x v="19"/>
    <x v="34"/>
    <s v="Combined Heat and Power, Industrial Power"/>
    <x v="3"/>
    <n v="249285"/>
  </r>
  <r>
    <x v="19"/>
    <x v="34"/>
    <s v="Combined Heat and Power, Industrial Power"/>
    <x v="4"/>
    <n v="136491"/>
  </r>
  <r>
    <x v="19"/>
    <x v="34"/>
    <s v="Combined Heat and Power, Industrial Power"/>
    <x v="6"/>
    <n v="285926"/>
  </r>
  <r>
    <x v="19"/>
    <x v="34"/>
    <s v="Combined Heat and Power, Electric Power"/>
    <x v="0"/>
    <n v="8866160"/>
  </r>
  <r>
    <x v="19"/>
    <x v="34"/>
    <s v="Combined Heat and Power, Electric Power"/>
    <x v="1"/>
    <n v="333528"/>
  </r>
  <r>
    <x v="19"/>
    <x v="34"/>
    <s v="Combined Heat and Power, Electric Power"/>
    <x v="3"/>
    <n v="8196275"/>
  </r>
  <r>
    <x v="19"/>
    <x v="34"/>
    <s v="Combined Heat and Power, Electric Power"/>
    <x v="12"/>
    <n v="87710"/>
  </r>
  <r>
    <x v="19"/>
    <x v="34"/>
    <s v="Combined Heat and Power, Electric Power"/>
    <x v="8"/>
    <n v="111631"/>
  </r>
  <r>
    <x v="19"/>
    <x v="34"/>
    <s v="Combined Heat and Power, Electric Power"/>
    <x v="4"/>
    <n v="10887"/>
  </r>
  <r>
    <x v="19"/>
    <x v="34"/>
    <s v="Combined Heat and Power, Electric Power"/>
    <x v="6"/>
    <n v="126129"/>
  </r>
  <r>
    <x v="19"/>
    <x v="34"/>
    <s v="Combined Heat and Power, Commercial Power"/>
    <x v="0"/>
    <n v="545600"/>
  </r>
  <r>
    <x v="19"/>
    <x v="34"/>
    <s v="Combined Heat and Power, Commercial Power"/>
    <x v="1"/>
    <n v="2334"/>
  </r>
  <r>
    <x v="19"/>
    <x v="34"/>
    <s v="Combined Heat and Power, Commercial Power"/>
    <x v="2"/>
    <n v="4173"/>
  </r>
  <r>
    <x v="19"/>
    <x v="34"/>
    <s v="Combined Heat and Power, Commercial Power"/>
    <x v="3"/>
    <n v="305112"/>
  </r>
  <r>
    <x v="19"/>
    <x v="34"/>
    <s v="Combined Heat and Power, Commercial Power"/>
    <x v="12"/>
    <n v="90970"/>
  </r>
  <r>
    <x v="19"/>
    <x v="34"/>
    <s v="Combined Heat and Power, Commercial Power"/>
    <x v="8"/>
    <n v="115780"/>
  </r>
  <r>
    <x v="19"/>
    <x v="34"/>
    <s v="Combined Heat and Power, Commercial Power"/>
    <x v="4"/>
    <n v="27231"/>
  </r>
  <r>
    <x v="19"/>
    <x v="35"/>
    <s v="Total Electric Power Industry"/>
    <x v="0"/>
    <n v="136090225"/>
  </r>
  <r>
    <x v="19"/>
    <x v="35"/>
    <s v="Total Electric Power Industry"/>
    <x v="1"/>
    <n v="113711997"/>
  </r>
  <r>
    <x v="19"/>
    <x v="35"/>
    <s v="Total Electric Power Industry"/>
    <x v="2"/>
    <n v="527746"/>
  </r>
  <r>
    <x v="19"/>
    <x v="35"/>
    <s v="Total Electric Power Industry"/>
    <x v="3"/>
    <n v="4650456"/>
  </r>
  <r>
    <x v="19"/>
    <x v="35"/>
    <s v="Total Electric Power Industry"/>
    <x v="7"/>
    <n v="15206084"/>
  </r>
  <r>
    <x v="19"/>
    <x v="35"/>
    <s v="Total Electric Power Industry"/>
    <x v="12"/>
    <n v="11312"/>
  </r>
  <r>
    <x v="19"/>
    <x v="35"/>
    <s v="Total Electric Power Industry"/>
    <x v="8"/>
    <n v="209611"/>
  </r>
  <r>
    <x v="19"/>
    <x v="35"/>
    <s v="Total Electric Power Industry"/>
    <x v="9"/>
    <n v="37477"/>
  </r>
  <r>
    <x v="19"/>
    <x v="35"/>
    <s v="Total Electric Power Industry"/>
    <x v="4"/>
    <n v="1311743"/>
  </r>
  <r>
    <x v="19"/>
    <x v="35"/>
    <s v="Total Electric Power Industry"/>
    <x v="5"/>
    <n v="14114"/>
  </r>
  <r>
    <x v="19"/>
    <x v="35"/>
    <s v="Total Electric Power Industry"/>
    <x v="6"/>
    <n v="409685"/>
  </r>
  <r>
    <x v="19"/>
    <x v="35"/>
    <s v="Electric Generators, Independent Power Producers"/>
    <x v="0"/>
    <n v="40775148"/>
  </r>
  <r>
    <x v="19"/>
    <x v="35"/>
    <s v="Electric Generators, Independent Power Producers"/>
    <x v="1"/>
    <n v="20714120"/>
  </r>
  <r>
    <x v="19"/>
    <x v="35"/>
    <s v="Electric Generators, Independent Power Producers"/>
    <x v="3"/>
    <n v="3650818"/>
  </r>
  <r>
    <x v="19"/>
    <x v="35"/>
    <s v="Electric Generators, Independent Power Producers"/>
    <x v="7"/>
    <n v="15206084"/>
  </r>
  <r>
    <x v="19"/>
    <x v="35"/>
    <s v="Electric Generators, Independent Power Producers"/>
    <x v="8"/>
    <n v="198144"/>
  </r>
  <r>
    <x v="19"/>
    <x v="35"/>
    <s v="Electric Generators, Independent Power Producers"/>
    <x v="4"/>
    <n v="1005982"/>
  </r>
  <r>
    <x v="19"/>
    <x v="35"/>
    <s v="Electric Generators, Electric Utilities"/>
    <x v="0"/>
    <n v="93939609"/>
  </r>
  <r>
    <x v="19"/>
    <x v="35"/>
    <s v="Electric Generators, Electric Utilities"/>
    <x v="1"/>
    <n v="92371924"/>
  </r>
  <r>
    <x v="19"/>
    <x v="35"/>
    <s v="Electric Generators, Electric Utilities"/>
    <x v="2"/>
    <n v="527746"/>
  </r>
  <r>
    <x v="19"/>
    <x v="35"/>
    <s v="Electric Generators, Electric Utilities"/>
    <x v="3"/>
    <n v="820233"/>
  </r>
  <r>
    <x v="19"/>
    <x v="35"/>
    <s v="Electric Generators, Electric Utilities"/>
    <x v="9"/>
    <n v="811"/>
  </r>
  <r>
    <x v="19"/>
    <x v="35"/>
    <s v="Electric Generators, Electric Utilities"/>
    <x v="4"/>
    <n v="204781"/>
  </r>
  <r>
    <x v="19"/>
    <x v="35"/>
    <s v="Electric Generators, Electric Utilities"/>
    <x v="5"/>
    <n v="14114"/>
  </r>
  <r>
    <x v="19"/>
    <x v="35"/>
    <s v="Combined Heat and Power, Industrial Power"/>
    <x v="0"/>
    <n v="903040"/>
  </r>
  <r>
    <x v="19"/>
    <x v="35"/>
    <s v="Combined Heat and Power, Industrial Power"/>
    <x v="1"/>
    <n v="328707"/>
  </r>
  <r>
    <x v="19"/>
    <x v="35"/>
    <s v="Combined Heat and Power, Industrial Power"/>
    <x v="3"/>
    <n v="30339"/>
  </r>
  <r>
    <x v="19"/>
    <x v="35"/>
    <s v="Combined Heat and Power, Industrial Power"/>
    <x v="12"/>
    <n v="11312"/>
  </r>
  <r>
    <x v="19"/>
    <x v="35"/>
    <s v="Combined Heat and Power, Industrial Power"/>
    <x v="8"/>
    <n v="11467"/>
  </r>
  <r>
    <x v="19"/>
    <x v="35"/>
    <s v="Combined Heat and Power, Industrial Power"/>
    <x v="9"/>
    <n v="33590"/>
  </r>
  <r>
    <x v="19"/>
    <x v="35"/>
    <s v="Combined Heat and Power, Industrial Power"/>
    <x v="4"/>
    <n v="100980"/>
  </r>
  <r>
    <x v="19"/>
    <x v="35"/>
    <s v="Combined Heat and Power, Industrial Power"/>
    <x v="6"/>
    <n v="386645"/>
  </r>
  <r>
    <x v="19"/>
    <x v="35"/>
    <s v="Combined Heat and Power, Electric Power"/>
    <x v="0"/>
    <n v="472428"/>
  </r>
  <r>
    <x v="19"/>
    <x v="35"/>
    <s v="Combined Heat and Power, Electric Power"/>
    <x v="1"/>
    <n v="297246"/>
  </r>
  <r>
    <x v="19"/>
    <x v="35"/>
    <s v="Combined Heat and Power, Electric Power"/>
    <x v="3"/>
    <n v="149066"/>
  </r>
  <r>
    <x v="19"/>
    <x v="35"/>
    <s v="Combined Heat and Power, Electric Power"/>
    <x v="9"/>
    <n v="3076"/>
  </r>
  <r>
    <x v="19"/>
    <x v="35"/>
    <s v="Combined Heat and Power, Electric Power"/>
    <x v="6"/>
    <n v="23041"/>
  </r>
  <r>
    <x v="19"/>
    <x v="35"/>
    <s v="Combined Heat and Power, Commercial Power"/>
    <x v="0"/>
    <n v="0"/>
  </r>
  <r>
    <x v="19"/>
    <x v="35"/>
    <s v="Combined Heat and Power, Commercial Power"/>
    <x v="1"/>
    <n v="0"/>
  </r>
  <r>
    <x v="19"/>
    <x v="35"/>
    <s v="Combined Heat and Power, Commercial Power"/>
    <x v="3"/>
    <n v="0"/>
  </r>
  <r>
    <x v="19"/>
    <x v="36"/>
    <s v="Total Electric Power Industry"/>
    <x v="0"/>
    <n v="75066809"/>
  </r>
  <r>
    <x v="19"/>
    <x v="36"/>
    <s v="Total Electric Power Industry"/>
    <x v="1"/>
    <n v="34059107"/>
  </r>
  <r>
    <x v="19"/>
    <x v="36"/>
    <s v="Total Electric Power Industry"/>
    <x v="2"/>
    <n v="3552573"/>
  </r>
  <r>
    <x v="19"/>
    <x v="36"/>
    <s v="Total Electric Power Industry"/>
    <x v="3"/>
    <n v="34631299"/>
  </r>
  <r>
    <x v="19"/>
    <x v="36"/>
    <s v="Total Electric Power Industry"/>
    <x v="12"/>
    <n v="1925"/>
  </r>
  <r>
    <x v="19"/>
    <x v="36"/>
    <s v="Total Electric Power Industry"/>
    <x v="8"/>
    <n v="163010"/>
  </r>
  <r>
    <x v="19"/>
    <x v="36"/>
    <s v="Total Electric Power Industry"/>
    <x v="9"/>
    <n v="0"/>
  </r>
  <r>
    <x v="19"/>
    <x v="36"/>
    <s v="Total Electric Power Industry"/>
    <x v="4"/>
    <n v="9463"/>
  </r>
  <r>
    <x v="19"/>
    <x v="36"/>
    <s v="Total Electric Power Industry"/>
    <x v="10"/>
    <n v="-116831"/>
  </r>
  <r>
    <x v="19"/>
    <x v="36"/>
    <s v="Total Electric Power Industry"/>
    <x v="5"/>
    <n v="2698199"/>
  </r>
  <r>
    <x v="19"/>
    <x v="36"/>
    <s v="Total Electric Power Industry"/>
    <x v="6"/>
    <n v="68064"/>
  </r>
  <r>
    <x v="19"/>
    <x v="36"/>
    <s v="Electric Generators, Independent Power Producers"/>
    <x v="0"/>
    <n v="14422750"/>
  </r>
  <r>
    <x v="19"/>
    <x v="36"/>
    <s v="Electric Generators, Independent Power Producers"/>
    <x v="3"/>
    <n v="12113150"/>
  </r>
  <r>
    <x v="19"/>
    <x v="36"/>
    <s v="Electric Generators, Independent Power Producers"/>
    <x v="5"/>
    <n v="2309600"/>
  </r>
  <r>
    <x v="19"/>
    <x v="36"/>
    <s v="Electric Generators, Electric Utilities"/>
    <x v="0"/>
    <n v="57516914"/>
  </r>
  <r>
    <x v="19"/>
    <x v="36"/>
    <s v="Electric Generators, Electric Utilities"/>
    <x v="1"/>
    <n v="31645255"/>
  </r>
  <r>
    <x v="19"/>
    <x v="36"/>
    <s v="Electric Generators, Electric Utilities"/>
    <x v="2"/>
    <n v="3552573"/>
  </r>
  <r>
    <x v="19"/>
    <x v="36"/>
    <s v="Electric Generators, Electric Utilities"/>
    <x v="3"/>
    <n v="22034885"/>
  </r>
  <r>
    <x v="19"/>
    <x v="36"/>
    <s v="Electric Generators, Electric Utilities"/>
    <x v="4"/>
    <n v="12433"/>
  </r>
  <r>
    <x v="19"/>
    <x v="36"/>
    <s v="Electric Generators, Electric Utilities"/>
    <x v="10"/>
    <n v="-116831"/>
  </r>
  <r>
    <x v="19"/>
    <x v="36"/>
    <s v="Electric Generators, Electric Utilities"/>
    <x v="5"/>
    <n v="388599"/>
  </r>
  <r>
    <x v="19"/>
    <x v="36"/>
    <s v="Combined Heat and Power, Industrial Power"/>
    <x v="0"/>
    <n v="778304"/>
  </r>
  <r>
    <x v="19"/>
    <x v="36"/>
    <s v="Combined Heat and Power, Industrial Power"/>
    <x v="1"/>
    <n v="398274"/>
  </r>
  <r>
    <x v="19"/>
    <x v="36"/>
    <s v="Combined Heat and Power, Industrial Power"/>
    <x v="3"/>
    <n v="150145"/>
  </r>
  <r>
    <x v="19"/>
    <x v="36"/>
    <s v="Combined Heat and Power, Industrial Power"/>
    <x v="12"/>
    <n v="1925"/>
  </r>
  <r>
    <x v="19"/>
    <x v="36"/>
    <s v="Combined Heat and Power, Industrial Power"/>
    <x v="8"/>
    <n v="163010"/>
  </r>
  <r>
    <x v="19"/>
    <x v="36"/>
    <s v="Combined Heat and Power, Industrial Power"/>
    <x v="9"/>
    <n v="0"/>
  </r>
  <r>
    <x v="19"/>
    <x v="36"/>
    <s v="Combined Heat and Power, Industrial Power"/>
    <x v="4"/>
    <n v="-3114"/>
  </r>
  <r>
    <x v="19"/>
    <x v="36"/>
    <s v="Combined Heat and Power, Industrial Power"/>
    <x v="6"/>
    <n v="68064"/>
  </r>
  <r>
    <x v="19"/>
    <x v="36"/>
    <s v="Combined Heat and Power, Electric Power"/>
    <x v="0"/>
    <n v="2318470"/>
  </r>
  <r>
    <x v="19"/>
    <x v="36"/>
    <s v="Combined Heat and Power, Electric Power"/>
    <x v="1"/>
    <n v="2015578"/>
  </r>
  <r>
    <x v="19"/>
    <x v="36"/>
    <s v="Combined Heat and Power, Electric Power"/>
    <x v="3"/>
    <n v="302892"/>
  </r>
  <r>
    <x v="19"/>
    <x v="36"/>
    <s v="Combined Heat and Power, Electric Power"/>
    <x v="8"/>
    <n v="0"/>
  </r>
  <r>
    <x v="19"/>
    <x v="36"/>
    <s v="Combined Heat and Power, Commercial Power"/>
    <x v="0"/>
    <n v="30371"/>
  </r>
  <r>
    <x v="19"/>
    <x v="36"/>
    <s v="Combined Heat and Power, Commercial Power"/>
    <x v="3"/>
    <n v="30227"/>
  </r>
  <r>
    <x v="19"/>
    <x v="36"/>
    <s v="Combined Heat and Power, Commercial Power"/>
    <x v="4"/>
    <n v="144"/>
  </r>
  <r>
    <x v="19"/>
    <x v="37"/>
    <s v="Total Electric Power Industry"/>
    <x v="0"/>
    <n v="56690856"/>
  </r>
  <r>
    <x v="19"/>
    <x v="37"/>
    <s v="Total Electric Power Industry"/>
    <x v="1"/>
    <n v="3196902"/>
  </r>
  <r>
    <x v="19"/>
    <x v="37"/>
    <s v="Total Electric Power Industry"/>
    <x v="2"/>
    <n v="33033513"/>
  </r>
  <r>
    <x v="19"/>
    <x v="37"/>
    <s v="Total Electric Power Industry"/>
    <x v="3"/>
    <n v="16133451"/>
  </r>
  <r>
    <x v="19"/>
    <x v="37"/>
    <s v="Total Electric Power Industry"/>
    <x v="12"/>
    <n v="46609"/>
  </r>
  <r>
    <x v="19"/>
    <x v="37"/>
    <s v="Total Electric Power Industry"/>
    <x v="8"/>
    <n v="128332"/>
  </r>
  <r>
    <x v="19"/>
    <x v="37"/>
    <s v="Total Electric Power Industry"/>
    <x v="4"/>
    <n v="7955"/>
  </r>
  <r>
    <x v="19"/>
    <x v="37"/>
    <s v="Total Electric Power Industry"/>
    <x v="5"/>
    <n v="3469714"/>
  </r>
  <r>
    <x v="19"/>
    <x v="37"/>
    <s v="Total Electric Power Industry"/>
    <x v="6"/>
    <n v="674381"/>
  </r>
  <r>
    <x v="19"/>
    <x v="37"/>
    <s v="Electric Generators, Independent Power Producers"/>
    <x v="0"/>
    <n v="6620706"/>
  </r>
  <r>
    <x v="19"/>
    <x v="37"/>
    <s v="Electric Generators, Independent Power Producers"/>
    <x v="2"/>
    <n v="242672"/>
  </r>
  <r>
    <x v="19"/>
    <x v="37"/>
    <s v="Electric Generators, Independent Power Producers"/>
    <x v="3"/>
    <n v="3509223"/>
  </r>
  <r>
    <x v="19"/>
    <x v="37"/>
    <s v="Electric Generators, Independent Power Producers"/>
    <x v="8"/>
    <n v="1602"/>
  </r>
  <r>
    <x v="19"/>
    <x v="37"/>
    <s v="Electric Generators, Independent Power Producers"/>
    <x v="5"/>
    <n v="2867209"/>
  </r>
  <r>
    <x v="19"/>
    <x v="37"/>
    <s v="Electric Generators, Electric Utilities"/>
    <x v="0"/>
    <n v="42703218"/>
  </r>
  <r>
    <x v="19"/>
    <x v="37"/>
    <s v="Electric Generators, Electric Utilities"/>
    <x v="1"/>
    <n v="3196902"/>
  </r>
  <r>
    <x v="19"/>
    <x v="37"/>
    <s v="Electric Generators, Electric Utilities"/>
    <x v="2"/>
    <n v="32790841"/>
  </r>
  <r>
    <x v="19"/>
    <x v="37"/>
    <s v="Electric Generators, Electric Utilities"/>
    <x v="3"/>
    <n v="6050538"/>
  </r>
  <r>
    <x v="19"/>
    <x v="37"/>
    <s v="Electric Generators, Electric Utilities"/>
    <x v="8"/>
    <n v="59608"/>
  </r>
  <r>
    <x v="19"/>
    <x v="37"/>
    <s v="Electric Generators, Electric Utilities"/>
    <x v="4"/>
    <n v="2825"/>
  </r>
  <r>
    <x v="19"/>
    <x v="37"/>
    <s v="Electric Generators, Electric Utilities"/>
    <x v="5"/>
    <n v="602505"/>
  </r>
  <r>
    <x v="19"/>
    <x v="37"/>
    <s v="Combined Heat and Power, Industrial Power"/>
    <x v="0"/>
    <n v="962785"/>
  </r>
  <r>
    <x v="19"/>
    <x v="37"/>
    <s v="Combined Heat and Power, Industrial Power"/>
    <x v="3"/>
    <n v="493807"/>
  </r>
  <r>
    <x v="19"/>
    <x v="37"/>
    <s v="Combined Heat and Power, Industrial Power"/>
    <x v="12"/>
    <n v="8300"/>
  </r>
  <r>
    <x v="19"/>
    <x v="37"/>
    <s v="Combined Heat and Power, Industrial Power"/>
    <x v="4"/>
    <n v="5130"/>
  </r>
  <r>
    <x v="19"/>
    <x v="37"/>
    <s v="Combined Heat and Power, Industrial Power"/>
    <x v="6"/>
    <n v="455548"/>
  </r>
  <r>
    <x v="19"/>
    <x v="37"/>
    <s v="Combined Heat and Power, Electric Power"/>
    <x v="0"/>
    <n v="6385776"/>
  </r>
  <r>
    <x v="19"/>
    <x v="37"/>
    <s v="Combined Heat and Power, Electric Power"/>
    <x v="3"/>
    <n v="6079879"/>
  </r>
  <r>
    <x v="19"/>
    <x v="37"/>
    <s v="Combined Heat and Power, Electric Power"/>
    <x v="12"/>
    <n v="38308"/>
  </r>
  <r>
    <x v="19"/>
    <x v="37"/>
    <s v="Combined Heat and Power, Electric Power"/>
    <x v="8"/>
    <n v="48755"/>
  </r>
  <r>
    <x v="19"/>
    <x v="37"/>
    <s v="Combined Heat and Power, Electric Power"/>
    <x v="6"/>
    <n v="218833"/>
  </r>
  <r>
    <x v="19"/>
    <x v="37"/>
    <s v="Combined Heat and Power, Commercial Power"/>
    <x v="0"/>
    <n v="18371"/>
  </r>
  <r>
    <x v="19"/>
    <x v="37"/>
    <s v="Combined Heat and Power, Commercial Power"/>
    <x v="3"/>
    <n v="4"/>
  </r>
  <r>
    <x v="19"/>
    <x v="37"/>
    <s v="Combined Heat and Power, Commercial Power"/>
    <x v="8"/>
    <n v="18367"/>
  </r>
  <r>
    <x v="19"/>
    <x v="37"/>
    <s v="Combined Heat and Power, Commercial Power"/>
    <x v="4"/>
    <n v="0"/>
  </r>
  <r>
    <x v="19"/>
    <x v="38"/>
    <s v="Total Electric Power Industry"/>
    <x v="0"/>
    <n v="219496144"/>
  </r>
  <r>
    <x v="19"/>
    <x v="38"/>
    <s v="Total Electric Power Industry"/>
    <x v="1"/>
    <n v="105474534"/>
  </r>
  <r>
    <x v="19"/>
    <x v="38"/>
    <s v="Total Electric Power Industry"/>
    <x v="2"/>
    <n v="2682866"/>
  </r>
  <r>
    <x v="19"/>
    <x v="38"/>
    <s v="Total Electric Power Industry"/>
    <x v="3"/>
    <n v="29214955"/>
  </r>
  <r>
    <x v="19"/>
    <x v="38"/>
    <s v="Total Electric Power Industry"/>
    <x v="7"/>
    <n v="77327686"/>
  </r>
  <r>
    <x v="19"/>
    <x v="38"/>
    <s v="Total Electric Power Industry"/>
    <x v="12"/>
    <n v="817094"/>
  </r>
  <r>
    <x v="19"/>
    <x v="38"/>
    <s v="Total Electric Power Industry"/>
    <x v="8"/>
    <n v="1579336"/>
  </r>
  <r>
    <x v="19"/>
    <x v="38"/>
    <s v="Total Electric Power Industry"/>
    <x v="9"/>
    <n v="442504"/>
  </r>
  <r>
    <x v="19"/>
    <x v="38"/>
    <s v="Total Electric Power Industry"/>
    <x v="4"/>
    <n v="915087"/>
  </r>
  <r>
    <x v="19"/>
    <x v="38"/>
    <s v="Total Electric Power Industry"/>
    <x v="10"/>
    <n v="-730511"/>
  </r>
  <r>
    <x v="19"/>
    <x v="38"/>
    <s v="Total Electric Power Industry"/>
    <x v="13"/>
    <n v="3562"/>
  </r>
  <r>
    <x v="19"/>
    <x v="38"/>
    <s v="Total Electric Power Industry"/>
    <x v="5"/>
    <n v="1074788"/>
  </r>
  <r>
    <x v="19"/>
    <x v="38"/>
    <s v="Total Electric Power Industry"/>
    <x v="6"/>
    <n v="694242"/>
  </r>
  <r>
    <x v="19"/>
    <x v="38"/>
    <s v="Electric Generators, Independent Power Producers"/>
    <x v="0"/>
    <n v="205083196"/>
  </r>
  <r>
    <x v="19"/>
    <x v="38"/>
    <s v="Electric Generators, Independent Power Producers"/>
    <x v="1"/>
    <n v="99399266"/>
  </r>
  <r>
    <x v="19"/>
    <x v="38"/>
    <s v="Electric Generators, Independent Power Producers"/>
    <x v="2"/>
    <n v="1529816"/>
  </r>
  <r>
    <x v="19"/>
    <x v="38"/>
    <s v="Electric Generators, Independent Power Producers"/>
    <x v="3"/>
    <n v="24010319"/>
  </r>
  <r>
    <x v="19"/>
    <x v="38"/>
    <s v="Electric Generators, Independent Power Producers"/>
    <x v="7"/>
    <n v="77327686"/>
  </r>
  <r>
    <x v="19"/>
    <x v="38"/>
    <s v="Electric Generators, Independent Power Producers"/>
    <x v="12"/>
    <n v="604839"/>
  </r>
  <r>
    <x v="19"/>
    <x v="38"/>
    <s v="Electric Generators, Independent Power Producers"/>
    <x v="8"/>
    <n v="1127238"/>
  </r>
  <r>
    <x v="19"/>
    <x v="38"/>
    <s v="Electric Generators, Independent Power Producers"/>
    <x v="9"/>
    <n v="792"/>
  </r>
  <r>
    <x v="19"/>
    <x v="38"/>
    <s v="Electric Generators, Independent Power Producers"/>
    <x v="4"/>
    <n v="732905"/>
  </r>
  <r>
    <x v="19"/>
    <x v="38"/>
    <s v="Electric Generators, Independent Power Producers"/>
    <x v="10"/>
    <n v="-730511"/>
  </r>
  <r>
    <x v="19"/>
    <x v="38"/>
    <s v="Electric Generators, Independent Power Producers"/>
    <x v="13"/>
    <n v="3562"/>
  </r>
  <r>
    <x v="19"/>
    <x v="38"/>
    <s v="Electric Generators, Independent Power Producers"/>
    <x v="5"/>
    <n v="1074788"/>
  </r>
  <r>
    <x v="19"/>
    <x v="38"/>
    <s v="Electric Generators, Independent Power Producers"/>
    <x v="6"/>
    <n v="2495"/>
  </r>
  <r>
    <x v="19"/>
    <x v="38"/>
    <s v="Electric Generators, Electric Utilities"/>
    <x v="0"/>
    <n v="1159659"/>
  </r>
  <r>
    <x v="19"/>
    <x v="38"/>
    <s v="Electric Generators, Electric Utilities"/>
    <x v="1"/>
    <n v="0"/>
  </r>
  <r>
    <x v="19"/>
    <x v="38"/>
    <s v="Electric Generators, Electric Utilities"/>
    <x v="2"/>
    <n v="1153050"/>
  </r>
  <r>
    <x v="19"/>
    <x v="38"/>
    <s v="Electric Generators, Electric Utilities"/>
    <x v="3"/>
    <n v="5899"/>
  </r>
  <r>
    <x v="19"/>
    <x v="38"/>
    <s v="Electric Generators, Electric Utilities"/>
    <x v="4"/>
    <n v="710"/>
  </r>
  <r>
    <x v="19"/>
    <x v="38"/>
    <s v="Combined Heat and Power, Industrial Power"/>
    <x v="0"/>
    <n v="2736055"/>
  </r>
  <r>
    <x v="19"/>
    <x v="38"/>
    <s v="Combined Heat and Power, Industrial Power"/>
    <x v="1"/>
    <n v="1137422"/>
  </r>
  <r>
    <x v="19"/>
    <x v="38"/>
    <s v="Combined Heat and Power, Industrial Power"/>
    <x v="3"/>
    <n v="514275"/>
  </r>
  <r>
    <x v="19"/>
    <x v="38"/>
    <s v="Combined Heat and Power, Industrial Power"/>
    <x v="8"/>
    <n v="2759"/>
  </r>
  <r>
    <x v="19"/>
    <x v="38"/>
    <s v="Combined Heat and Power, Industrial Power"/>
    <x v="9"/>
    <n v="441712"/>
  </r>
  <r>
    <x v="19"/>
    <x v="38"/>
    <s v="Combined Heat and Power, Industrial Power"/>
    <x v="4"/>
    <n v="145387"/>
  </r>
  <r>
    <x v="19"/>
    <x v="38"/>
    <s v="Combined Heat and Power, Industrial Power"/>
    <x v="6"/>
    <n v="494500"/>
  </r>
  <r>
    <x v="19"/>
    <x v="38"/>
    <s v="Combined Heat and Power, Electric Power"/>
    <x v="0"/>
    <n v="10277785"/>
  </r>
  <r>
    <x v="19"/>
    <x v="38"/>
    <s v="Combined Heat and Power, Electric Power"/>
    <x v="1"/>
    <n v="4936548"/>
  </r>
  <r>
    <x v="19"/>
    <x v="38"/>
    <s v="Combined Heat and Power, Electric Power"/>
    <x v="3"/>
    <n v="4639310"/>
  </r>
  <r>
    <x v="19"/>
    <x v="38"/>
    <s v="Combined Heat and Power, Electric Power"/>
    <x v="12"/>
    <n v="128214"/>
  </r>
  <r>
    <x v="19"/>
    <x v="38"/>
    <s v="Combined Heat and Power, Electric Power"/>
    <x v="8"/>
    <n v="342375"/>
  </r>
  <r>
    <x v="19"/>
    <x v="38"/>
    <s v="Combined Heat and Power, Electric Power"/>
    <x v="9"/>
    <n v="0"/>
  </r>
  <r>
    <x v="19"/>
    <x v="38"/>
    <s v="Combined Heat and Power, Electric Power"/>
    <x v="4"/>
    <n v="34091"/>
  </r>
  <r>
    <x v="19"/>
    <x v="38"/>
    <s v="Combined Heat and Power, Electric Power"/>
    <x v="6"/>
    <n v="197247"/>
  </r>
  <r>
    <x v="19"/>
    <x v="38"/>
    <s v="Combined Heat and Power, Commercial Power"/>
    <x v="0"/>
    <n v="239448"/>
  </r>
  <r>
    <x v="19"/>
    <x v="38"/>
    <s v="Combined Heat and Power, Commercial Power"/>
    <x v="1"/>
    <n v="1298"/>
  </r>
  <r>
    <x v="19"/>
    <x v="38"/>
    <s v="Combined Heat and Power, Commercial Power"/>
    <x v="3"/>
    <n v="45152"/>
  </r>
  <r>
    <x v="19"/>
    <x v="38"/>
    <s v="Combined Heat and Power, Commercial Power"/>
    <x v="12"/>
    <n v="84041"/>
  </r>
  <r>
    <x v="19"/>
    <x v="38"/>
    <s v="Combined Heat and Power, Commercial Power"/>
    <x v="8"/>
    <n v="106964"/>
  </r>
  <r>
    <x v="19"/>
    <x v="38"/>
    <s v="Combined Heat and Power, Commercial Power"/>
    <x v="4"/>
    <n v="1994"/>
  </r>
  <r>
    <x v="19"/>
    <x v="39"/>
    <s v="Total Electric Power Industry"/>
    <x v="0"/>
    <n v="7696824"/>
  </r>
  <r>
    <x v="19"/>
    <x v="39"/>
    <s v="Total Electric Power Industry"/>
    <x v="2"/>
    <n v="4736"/>
  </r>
  <r>
    <x v="19"/>
    <x v="39"/>
    <s v="Total Electric Power Industry"/>
    <x v="3"/>
    <n v="7530358"/>
  </r>
  <r>
    <x v="19"/>
    <x v="39"/>
    <s v="Total Electric Power Industry"/>
    <x v="8"/>
    <n v="144600"/>
  </r>
  <r>
    <x v="19"/>
    <x v="39"/>
    <s v="Total Electric Power Industry"/>
    <x v="4"/>
    <n v="17131"/>
  </r>
  <r>
    <x v="19"/>
    <x v="39"/>
    <s v="Electric Generators, Independent Power Producers"/>
    <x v="0"/>
    <n v="7633479"/>
  </r>
  <r>
    <x v="19"/>
    <x v="39"/>
    <s v="Electric Generators, Independent Power Producers"/>
    <x v="2"/>
    <n v="4736"/>
  </r>
  <r>
    <x v="19"/>
    <x v="39"/>
    <s v="Electric Generators, Independent Power Producers"/>
    <x v="3"/>
    <n v="7482817"/>
  </r>
  <r>
    <x v="19"/>
    <x v="39"/>
    <s v="Electric Generators, Independent Power Producers"/>
    <x v="8"/>
    <n v="144600"/>
  </r>
  <r>
    <x v="19"/>
    <x v="39"/>
    <s v="Electric Generators, Independent Power Producers"/>
    <x v="4"/>
    <n v="1326"/>
  </r>
  <r>
    <x v="19"/>
    <x v="39"/>
    <s v="Electric Generators, Electric Utilities"/>
    <x v="0"/>
    <n v="10612"/>
  </r>
  <r>
    <x v="19"/>
    <x v="39"/>
    <s v="Electric Generators, Electric Utilities"/>
    <x v="4"/>
    <n v="10612"/>
  </r>
  <r>
    <x v="19"/>
    <x v="39"/>
    <s v="Combined Heat and Power, Commercial Power"/>
    <x v="0"/>
    <n v="52733"/>
  </r>
  <r>
    <x v="19"/>
    <x v="39"/>
    <s v="Combined Heat and Power, Commercial Power"/>
    <x v="3"/>
    <n v="47540"/>
  </r>
  <r>
    <x v="19"/>
    <x v="39"/>
    <s v="Combined Heat and Power, Commercial Power"/>
    <x v="4"/>
    <n v="5193"/>
  </r>
  <r>
    <x v="19"/>
    <x v="40"/>
    <s v="Total Electric Power Industry"/>
    <x v="0"/>
    <n v="100125486"/>
  </r>
  <r>
    <x v="19"/>
    <x v="40"/>
    <s v="Total Electric Power Industry"/>
    <x v="1"/>
    <n v="34477512"/>
  </r>
  <r>
    <x v="19"/>
    <x v="40"/>
    <s v="Total Electric Power Industry"/>
    <x v="2"/>
    <n v="2332005"/>
  </r>
  <r>
    <x v="19"/>
    <x v="40"/>
    <s v="Total Electric Power Industry"/>
    <x v="3"/>
    <n v="9780193"/>
  </r>
  <r>
    <x v="19"/>
    <x v="40"/>
    <s v="Total Electric Power Industry"/>
    <x v="7"/>
    <n v="52149734"/>
  </r>
  <r>
    <x v="19"/>
    <x v="40"/>
    <s v="Total Electric Power Industry"/>
    <x v="12"/>
    <n v="91029"/>
  </r>
  <r>
    <x v="19"/>
    <x v="40"/>
    <s v="Total Electric Power Industry"/>
    <x v="8"/>
    <n v="137254"/>
  </r>
  <r>
    <x v="19"/>
    <x v="40"/>
    <s v="Total Electric Power Industry"/>
    <x v="9"/>
    <n v="0"/>
  </r>
  <r>
    <x v="19"/>
    <x v="40"/>
    <s v="Total Electric Power Industry"/>
    <x v="4"/>
    <n v="523484"/>
  </r>
  <r>
    <x v="19"/>
    <x v="40"/>
    <s v="Total Electric Power Industry"/>
    <x v="10"/>
    <n v="-976443"/>
  </r>
  <r>
    <x v="19"/>
    <x v="40"/>
    <s v="Total Electric Power Industry"/>
    <x v="6"/>
    <n v="1610717"/>
  </r>
  <r>
    <x v="19"/>
    <x v="40"/>
    <s v="Electric Generators, Independent Power Producers"/>
    <x v="0"/>
    <n v="429575"/>
  </r>
  <r>
    <x v="19"/>
    <x v="40"/>
    <s v="Electric Generators, Independent Power Producers"/>
    <x v="2"/>
    <n v="53538"/>
  </r>
  <r>
    <x v="19"/>
    <x v="40"/>
    <s v="Electric Generators, Independent Power Producers"/>
    <x v="3"/>
    <n v="351511"/>
  </r>
  <r>
    <x v="19"/>
    <x v="40"/>
    <s v="Electric Generators, Independent Power Producers"/>
    <x v="8"/>
    <n v="24504"/>
  </r>
  <r>
    <x v="19"/>
    <x v="40"/>
    <s v="Electric Generators, Independent Power Producers"/>
    <x v="4"/>
    <n v="22"/>
  </r>
  <r>
    <x v="19"/>
    <x v="40"/>
    <s v="Electric Generators, Electric Utilities"/>
    <x v="0"/>
    <n v="97336653"/>
  </r>
  <r>
    <x v="19"/>
    <x v="40"/>
    <s v="Electric Generators, Electric Utilities"/>
    <x v="1"/>
    <n v="34146526"/>
  </r>
  <r>
    <x v="19"/>
    <x v="40"/>
    <s v="Electric Generators, Electric Utilities"/>
    <x v="2"/>
    <n v="2277232"/>
  </r>
  <r>
    <x v="19"/>
    <x v="40"/>
    <s v="Electric Generators, Electric Utilities"/>
    <x v="3"/>
    <n v="8876536"/>
  </r>
  <r>
    <x v="19"/>
    <x v="40"/>
    <s v="Electric Generators, Electric Utilities"/>
    <x v="7"/>
    <n v="52149734"/>
  </r>
  <r>
    <x v="19"/>
    <x v="40"/>
    <s v="Electric Generators, Electric Utilities"/>
    <x v="8"/>
    <n v="90546"/>
  </r>
  <r>
    <x v="19"/>
    <x v="40"/>
    <s v="Electric Generators, Electric Utilities"/>
    <x v="4"/>
    <n v="490911"/>
  </r>
  <r>
    <x v="19"/>
    <x v="40"/>
    <s v="Electric Generators, Electric Utilities"/>
    <x v="10"/>
    <n v="-976443"/>
  </r>
  <r>
    <x v="19"/>
    <x v="40"/>
    <s v="Electric Generators, Electric Utilities"/>
    <x v="6"/>
    <n v="281612"/>
  </r>
  <r>
    <x v="19"/>
    <x v="40"/>
    <s v="Combined Heat and Power, Industrial Power"/>
    <x v="0"/>
    <n v="1668206"/>
  </r>
  <r>
    <x v="19"/>
    <x v="40"/>
    <s v="Combined Heat and Power, Industrial Power"/>
    <x v="1"/>
    <n v="223797"/>
  </r>
  <r>
    <x v="19"/>
    <x v="40"/>
    <s v="Combined Heat and Power, Industrial Power"/>
    <x v="3"/>
    <n v="9216"/>
  </r>
  <r>
    <x v="19"/>
    <x v="40"/>
    <s v="Combined Heat and Power, Industrial Power"/>
    <x v="12"/>
    <n v="73584"/>
  </r>
  <r>
    <x v="19"/>
    <x v="40"/>
    <s v="Combined Heat and Power, Industrial Power"/>
    <x v="9"/>
    <n v="0"/>
  </r>
  <r>
    <x v="19"/>
    <x v="40"/>
    <s v="Combined Heat and Power, Industrial Power"/>
    <x v="4"/>
    <n v="32504"/>
  </r>
  <r>
    <x v="19"/>
    <x v="40"/>
    <s v="Combined Heat and Power, Industrial Power"/>
    <x v="6"/>
    <n v="1329106"/>
  </r>
  <r>
    <x v="19"/>
    <x v="40"/>
    <s v="Combined Heat and Power, Electric Power"/>
    <x v="0"/>
    <n v="650103"/>
  </r>
  <r>
    <x v="19"/>
    <x v="40"/>
    <s v="Combined Heat and Power, Electric Power"/>
    <x v="1"/>
    <n v="107190"/>
  </r>
  <r>
    <x v="19"/>
    <x v="40"/>
    <s v="Combined Heat and Power, Electric Power"/>
    <x v="3"/>
    <n v="542913"/>
  </r>
  <r>
    <x v="19"/>
    <x v="40"/>
    <s v="Combined Heat and Power, Electric Power"/>
    <x v="4"/>
    <n v="0"/>
  </r>
  <r>
    <x v="19"/>
    <x v="40"/>
    <s v="Combined Heat and Power, Commercial Power"/>
    <x v="0"/>
    <n v="40949"/>
  </r>
  <r>
    <x v="19"/>
    <x v="40"/>
    <s v="Combined Heat and Power, Commercial Power"/>
    <x v="2"/>
    <n v="1235"/>
  </r>
  <r>
    <x v="19"/>
    <x v="40"/>
    <s v="Combined Heat and Power, Commercial Power"/>
    <x v="3"/>
    <n v="17"/>
  </r>
  <r>
    <x v="19"/>
    <x v="40"/>
    <s v="Combined Heat and Power, Commercial Power"/>
    <x v="12"/>
    <n v="17446"/>
  </r>
  <r>
    <x v="19"/>
    <x v="40"/>
    <s v="Combined Heat and Power, Commercial Power"/>
    <x v="8"/>
    <n v="22204"/>
  </r>
  <r>
    <x v="19"/>
    <x v="40"/>
    <s v="Combined Heat and Power, Commercial Power"/>
    <x v="4"/>
    <n v="47"/>
  </r>
  <r>
    <x v="19"/>
    <x v="41"/>
    <s v="Total Electric Power Industry"/>
    <x v="0"/>
    <n v="8196531"/>
  </r>
  <r>
    <x v="19"/>
    <x v="41"/>
    <s v="Total Electric Power Industry"/>
    <x v="1"/>
    <n v="3217353"/>
  </r>
  <r>
    <x v="19"/>
    <x v="41"/>
    <s v="Total Electric Power Industry"/>
    <x v="2"/>
    <n v="4432451"/>
  </r>
  <r>
    <x v="19"/>
    <x v="41"/>
    <s v="Total Electric Power Industry"/>
    <x v="3"/>
    <n v="80334"/>
  </r>
  <r>
    <x v="19"/>
    <x v="41"/>
    <s v="Total Electric Power Industry"/>
    <x v="12"/>
    <n v="31318"/>
  </r>
  <r>
    <x v="19"/>
    <x v="41"/>
    <s v="Total Electric Power Industry"/>
    <x v="8"/>
    <n v="5775"/>
  </r>
  <r>
    <x v="19"/>
    <x v="41"/>
    <s v="Total Electric Power Industry"/>
    <x v="4"/>
    <n v="8320"/>
  </r>
  <r>
    <x v="19"/>
    <x v="41"/>
    <s v="Total Electric Power Industry"/>
    <x v="5"/>
    <n v="420981"/>
  </r>
  <r>
    <x v="19"/>
    <x v="41"/>
    <s v="Electric Generators, Independent Power Producers"/>
    <x v="0"/>
    <n v="416228"/>
  </r>
  <r>
    <x v="19"/>
    <x v="41"/>
    <s v="Electric Generators, Independent Power Producers"/>
    <x v="4"/>
    <n v="429"/>
  </r>
  <r>
    <x v="19"/>
    <x v="41"/>
    <s v="Electric Generators, Independent Power Producers"/>
    <x v="5"/>
    <n v="415799"/>
  </r>
  <r>
    <x v="19"/>
    <x v="41"/>
    <s v="Electric Generators, Electric Utilities"/>
    <x v="0"/>
    <n v="7780254"/>
  </r>
  <r>
    <x v="19"/>
    <x v="41"/>
    <s v="Electric Generators, Electric Utilities"/>
    <x v="1"/>
    <n v="3217353"/>
  </r>
  <r>
    <x v="19"/>
    <x v="41"/>
    <s v="Electric Generators, Electric Utilities"/>
    <x v="2"/>
    <n v="4432451"/>
  </r>
  <r>
    <x v="19"/>
    <x v="41"/>
    <s v="Electric Generators, Electric Utilities"/>
    <x v="3"/>
    <n v="80334"/>
  </r>
  <r>
    <x v="19"/>
    <x v="41"/>
    <s v="Electric Generators, Electric Utilities"/>
    <x v="12"/>
    <n v="31318"/>
  </r>
  <r>
    <x v="19"/>
    <x v="41"/>
    <s v="Electric Generators, Electric Utilities"/>
    <x v="8"/>
    <n v="5775"/>
  </r>
  <r>
    <x v="19"/>
    <x v="41"/>
    <s v="Electric Generators, Electric Utilities"/>
    <x v="4"/>
    <n v="7842"/>
  </r>
  <r>
    <x v="19"/>
    <x v="41"/>
    <s v="Electric Generators, Electric Utilities"/>
    <x v="5"/>
    <n v="5182"/>
  </r>
  <r>
    <x v="19"/>
    <x v="41"/>
    <s v="Combined Heat and Power, Commercial Power"/>
    <x v="0"/>
    <n v="49"/>
  </r>
  <r>
    <x v="19"/>
    <x v="41"/>
    <s v="Combined Heat and Power, Commercial Power"/>
    <x v="4"/>
    <n v="49"/>
  </r>
  <r>
    <x v="19"/>
    <x v="42"/>
    <s v="Total Electric Power Industry"/>
    <x v="0"/>
    <n v="79716889"/>
  </r>
  <r>
    <x v="19"/>
    <x v="42"/>
    <s v="Total Electric Power Industry"/>
    <x v="1"/>
    <n v="41633240"/>
  </r>
  <r>
    <x v="19"/>
    <x v="42"/>
    <s v="Total Electric Power Industry"/>
    <x v="2"/>
    <n v="10211962"/>
  </r>
  <r>
    <x v="19"/>
    <x v="42"/>
    <s v="Total Electric Power Industry"/>
    <x v="3"/>
    <n v="409321"/>
  </r>
  <r>
    <x v="19"/>
    <x v="42"/>
    <s v="Total Electric Power Industry"/>
    <x v="7"/>
    <n v="26962001"/>
  </r>
  <r>
    <x v="19"/>
    <x v="42"/>
    <s v="Total Electric Power Industry"/>
    <x v="12"/>
    <n v="788"/>
  </r>
  <r>
    <x v="19"/>
    <x v="42"/>
    <s v="Total Electric Power Industry"/>
    <x v="8"/>
    <n v="36300"/>
  </r>
  <r>
    <x v="19"/>
    <x v="42"/>
    <s v="Total Electric Power Industry"/>
    <x v="9"/>
    <n v="12010"/>
  </r>
  <r>
    <x v="19"/>
    <x v="42"/>
    <s v="Total Electric Power Industry"/>
    <x v="4"/>
    <n v="186930"/>
  </r>
  <r>
    <x v="19"/>
    <x v="42"/>
    <s v="Total Electric Power Industry"/>
    <x v="10"/>
    <n v="-649832"/>
  </r>
  <r>
    <x v="19"/>
    <x v="42"/>
    <s v="Total Electric Power Industry"/>
    <x v="5"/>
    <n v="51747"/>
  </r>
  <r>
    <x v="19"/>
    <x v="42"/>
    <s v="Total Electric Power Industry"/>
    <x v="6"/>
    <n v="862421"/>
  </r>
  <r>
    <x v="19"/>
    <x v="42"/>
    <s v="Electric Generators, Independent Power Producers"/>
    <x v="0"/>
    <n v="80293"/>
  </r>
  <r>
    <x v="19"/>
    <x v="42"/>
    <s v="Electric Generators, Independent Power Producers"/>
    <x v="8"/>
    <n v="28891"/>
  </r>
  <r>
    <x v="19"/>
    <x v="42"/>
    <s v="Electric Generators, Independent Power Producers"/>
    <x v="5"/>
    <n v="51402"/>
  </r>
  <r>
    <x v="19"/>
    <x v="42"/>
    <s v="Electric Generators, Electric Utilities"/>
    <x v="0"/>
    <n v="77432806"/>
  </r>
  <r>
    <x v="19"/>
    <x v="42"/>
    <s v="Electric Generators, Electric Utilities"/>
    <x v="1"/>
    <n v="40426487"/>
  </r>
  <r>
    <x v="19"/>
    <x v="42"/>
    <s v="Electric Generators, Electric Utilities"/>
    <x v="2"/>
    <n v="10211962"/>
  </r>
  <r>
    <x v="19"/>
    <x v="42"/>
    <s v="Electric Generators, Electric Utilities"/>
    <x v="3"/>
    <n v="299544"/>
  </r>
  <r>
    <x v="19"/>
    <x v="42"/>
    <s v="Electric Generators, Electric Utilities"/>
    <x v="7"/>
    <n v="26962001"/>
  </r>
  <r>
    <x v="19"/>
    <x v="42"/>
    <s v="Electric Generators, Electric Utilities"/>
    <x v="8"/>
    <n v="8"/>
  </r>
  <r>
    <x v="19"/>
    <x v="42"/>
    <s v="Electric Generators, Electric Utilities"/>
    <x v="4"/>
    <n v="182291"/>
  </r>
  <r>
    <x v="19"/>
    <x v="42"/>
    <s v="Electric Generators, Electric Utilities"/>
    <x v="10"/>
    <n v="-649832"/>
  </r>
  <r>
    <x v="19"/>
    <x v="42"/>
    <s v="Electric Generators, Electric Utilities"/>
    <x v="5"/>
    <n v="345"/>
  </r>
  <r>
    <x v="19"/>
    <x v="42"/>
    <s v="Combined Heat and Power, Industrial Power"/>
    <x v="0"/>
    <n v="2086559"/>
  </r>
  <r>
    <x v="19"/>
    <x v="42"/>
    <s v="Combined Heat and Power, Industrial Power"/>
    <x v="1"/>
    <n v="1178691"/>
  </r>
  <r>
    <x v="19"/>
    <x v="42"/>
    <s v="Combined Heat and Power, Industrial Power"/>
    <x v="3"/>
    <n v="20608"/>
  </r>
  <r>
    <x v="19"/>
    <x v="42"/>
    <s v="Combined Heat and Power, Industrial Power"/>
    <x v="12"/>
    <n v="788"/>
  </r>
  <r>
    <x v="19"/>
    <x v="42"/>
    <s v="Combined Heat and Power, Industrial Power"/>
    <x v="8"/>
    <n v="7401"/>
  </r>
  <r>
    <x v="19"/>
    <x v="42"/>
    <s v="Combined Heat and Power, Industrial Power"/>
    <x v="9"/>
    <n v="12010"/>
  </r>
  <r>
    <x v="19"/>
    <x v="42"/>
    <s v="Combined Heat and Power, Industrial Power"/>
    <x v="4"/>
    <n v="4639"/>
  </r>
  <r>
    <x v="19"/>
    <x v="42"/>
    <s v="Combined Heat and Power, Industrial Power"/>
    <x v="6"/>
    <n v="862421"/>
  </r>
  <r>
    <x v="19"/>
    <x v="42"/>
    <s v="Combined Heat and Power, Commercial Power"/>
    <x v="0"/>
    <n v="117231"/>
  </r>
  <r>
    <x v="19"/>
    <x v="42"/>
    <s v="Combined Heat and Power, Commercial Power"/>
    <x v="1"/>
    <n v="28062"/>
  </r>
  <r>
    <x v="19"/>
    <x v="42"/>
    <s v="Combined Heat and Power, Commercial Power"/>
    <x v="3"/>
    <n v="89169"/>
  </r>
  <r>
    <x v="19"/>
    <x v="43"/>
    <s v="Total Electric Power Industry"/>
    <x v="0"/>
    <n v="397167910"/>
  </r>
  <r>
    <x v="19"/>
    <x v="43"/>
    <s v="Total Electric Power Industry"/>
    <x v="1"/>
    <n v="139106597"/>
  </r>
  <r>
    <x v="19"/>
    <x v="43"/>
    <s v="Total Electric Power Industry"/>
    <x v="2"/>
    <n v="1028657"/>
  </r>
  <r>
    <x v="19"/>
    <x v="43"/>
    <s v="Total Electric Power Industry"/>
    <x v="3"/>
    <n v="189066483"/>
  </r>
  <r>
    <x v="19"/>
    <x v="43"/>
    <s v="Total Electric Power Industry"/>
    <x v="7"/>
    <n v="41497617"/>
  </r>
  <r>
    <x v="19"/>
    <x v="43"/>
    <s v="Total Electric Power Industry"/>
    <x v="12"/>
    <n v="310169"/>
  </r>
  <r>
    <x v="19"/>
    <x v="43"/>
    <s v="Total Electric Power Industry"/>
    <x v="8"/>
    <n v="429075"/>
  </r>
  <r>
    <x v="19"/>
    <x v="43"/>
    <s v="Total Electric Power Industry"/>
    <x v="9"/>
    <n v="3649305"/>
  </r>
  <r>
    <x v="19"/>
    <x v="43"/>
    <s v="Total Electric Power Industry"/>
    <x v="4"/>
    <n v="1404606"/>
  </r>
  <r>
    <x v="19"/>
    <x v="43"/>
    <s v="Total Electric Power Industry"/>
    <x v="5"/>
    <n v="20026103"/>
  </r>
  <r>
    <x v="19"/>
    <x v="43"/>
    <s v="Total Electric Power Industry"/>
    <x v="6"/>
    <n v="649298"/>
  </r>
  <r>
    <x v="19"/>
    <x v="43"/>
    <s v="Electric Generators, Independent Power Producers"/>
    <x v="0"/>
    <n v="227006941"/>
  </r>
  <r>
    <x v="19"/>
    <x v="43"/>
    <s v="Electric Generators, Independent Power Producers"/>
    <x v="1"/>
    <n v="81420694"/>
  </r>
  <r>
    <x v="19"/>
    <x v="43"/>
    <s v="Electric Generators, Independent Power Producers"/>
    <x v="2"/>
    <n v="45288"/>
  </r>
  <r>
    <x v="19"/>
    <x v="43"/>
    <s v="Electric Generators, Independent Power Producers"/>
    <x v="3"/>
    <n v="83454535"/>
  </r>
  <r>
    <x v="19"/>
    <x v="43"/>
    <s v="Electric Generators, Independent Power Producers"/>
    <x v="7"/>
    <n v="41497617"/>
  </r>
  <r>
    <x v="19"/>
    <x v="43"/>
    <s v="Electric Generators, Independent Power Producers"/>
    <x v="8"/>
    <n v="378278"/>
  </r>
  <r>
    <x v="19"/>
    <x v="43"/>
    <s v="Electric Generators, Independent Power Producers"/>
    <x v="9"/>
    <n v="0"/>
  </r>
  <r>
    <x v="19"/>
    <x v="43"/>
    <s v="Electric Generators, Independent Power Producers"/>
    <x v="4"/>
    <n v="185426"/>
  </r>
  <r>
    <x v="19"/>
    <x v="43"/>
    <s v="Electric Generators, Independent Power Producers"/>
    <x v="5"/>
    <n v="20025104"/>
  </r>
  <r>
    <x v="19"/>
    <x v="43"/>
    <s v="Electric Generators, Electric Utilities"/>
    <x v="0"/>
    <n v="90418339"/>
  </r>
  <r>
    <x v="19"/>
    <x v="43"/>
    <s v="Electric Generators, Electric Utilities"/>
    <x v="1"/>
    <n v="57685903"/>
  </r>
  <r>
    <x v="19"/>
    <x v="43"/>
    <s v="Electric Generators, Electric Utilities"/>
    <x v="2"/>
    <n v="983369"/>
  </r>
  <r>
    <x v="19"/>
    <x v="43"/>
    <s v="Electric Generators, Electric Utilities"/>
    <x v="3"/>
    <n v="31718223"/>
  </r>
  <r>
    <x v="19"/>
    <x v="43"/>
    <s v="Electric Generators, Electric Utilities"/>
    <x v="12"/>
    <n v="3784"/>
  </r>
  <r>
    <x v="19"/>
    <x v="43"/>
    <s v="Electric Generators, Electric Utilities"/>
    <x v="4"/>
    <n v="26061"/>
  </r>
  <r>
    <x v="19"/>
    <x v="43"/>
    <s v="Electric Generators, Electric Utilities"/>
    <x v="5"/>
    <n v="999"/>
  </r>
  <r>
    <x v="19"/>
    <x v="43"/>
    <s v="Combined Heat and Power, Industrial Power"/>
    <x v="0"/>
    <n v="34494295"/>
  </r>
  <r>
    <x v="19"/>
    <x v="43"/>
    <s v="Combined Heat and Power, Industrial Power"/>
    <x v="3"/>
    <n v="31671990"/>
  </r>
  <r>
    <x v="19"/>
    <x v="43"/>
    <s v="Combined Heat and Power, Industrial Power"/>
    <x v="12"/>
    <n v="306385"/>
  </r>
  <r>
    <x v="19"/>
    <x v="43"/>
    <s v="Combined Heat and Power, Industrial Power"/>
    <x v="8"/>
    <n v="15798"/>
  </r>
  <r>
    <x v="19"/>
    <x v="43"/>
    <s v="Combined Heat and Power, Industrial Power"/>
    <x v="9"/>
    <n v="1678542"/>
  </r>
  <r>
    <x v="19"/>
    <x v="43"/>
    <s v="Combined Heat and Power, Industrial Power"/>
    <x v="4"/>
    <n v="172282"/>
  </r>
  <r>
    <x v="19"/>
    <x v="43"/>
    <s v="Combined Heat and Power, Industrial Power"/>
    <x v="6"/>
    <n v="649298"/>
  </r>
  <r>
    <x v="19"/>
    <x v="43"/>
    <s v="Combined Heat and Power, Electric Power"/>
    <x v="0"/>
    <n v="44780254"/>
  </r>
  <r>
    <x v="19"/>
    <x v="43"/>
    <s v="Combined Heat and Power, Electric Power"/>
    <x v="3"/>
    <n v="41791590"/>
  </r>
  <r>
    <x v="19"/>
    <x v="43"/>
    <s v="Combined Heat and Power, Electric Power"/>
    <x v="12"/>
    <n v="0"/>
  </r>
  <r>
    <x v="19"/>
    <x v="43"/>
    <s v="Combined Heat and Power, Electric Power"/>
    <x v="9"/>
    <n v="1970763"/>
  </r>
  <r>
    <x v="19"/>
    <x v="43"/>
    <s v="Combined Heat and Power, Electric Power"/>
    <x v="4"/>
    <n v="1017902"/>
  </r>
  <r>
    <x v="19"/>
    <x v="43"/>
    <s v="Combined Heat and Power, Commercial Power"/>
    <x v="0"/>
    <n v="468080"/>
  </r>
  <r>
    <x v="19"/>
    <x v="43"/>
    <s v="Combined Heat and Power, Commercial Power"/>
    <x v="3"/>
    <n v="430146"/>
  </r>
  <r>
    <x v="19"/>
    <x v="43"/>
    <s v="Combined Heat and Power, Commercial Power"/>
    <x v="8"/>
    <n v="34999"/>
  </r>
  <r>
    <x v="19"/>
    <x v="43"/>
    <s v="Combined Heat and Power, Commercial Power"/>
    <x v="4"/>
    <n v="2935"/>
  </r>
  <r>
    <x v="19"/>
    <x v="44"/>
    <s v="Total Electric Power Industry"/>
    <x v="0"/>
    <n v="3950330926"/>
  </r>
  <r>
    <x v="19"/>
    <x v="44"/>
    <s v="Total Electric Power Industry"/>
    <x v="1"/>
    <n v="1755904253"/>
  </r>
  <r>
    <x v="19"/>
    <x v="44"/>
    <s v="Total Electric Power Industry"/>
    <x v="11"/>
    <n v="15008658"/>
  </r>
  <r>
    <x v="19"/>
    <x v="44"/>
    <s v="Total Electric Power Industry"/>
    <x v="2"/>
    <n v="273445094"/>
  </r>
  <r>
    <x v="19"/>
    <x v="44"/>
    <s v="Total Electric Power Industry"/>
    <x v="3"/>
    <n v="920978681"/>
  </r>
  <r>
    <x v="19"/>
    <x v="44"/>
    <s v="Total Electric Power Industry"/>
    <x v="7"/>
    <n v="798854585"/>
  </r>
  <r>
    <x v="19"/>
    <x v="44"/>
    <s v="Total Electric Power Industry"/>
    <x v="12"/>
    <n v="11928334"/>
  </r>
  <r>
    <x v="19"/>
    <x v="44"/>
    <s v="Total Electric Power Industry"/>
    <x v="8"/>
    <n v="18442596"/>
  </r>
  <r>
    <x v="19"/>
    <x v="44"/>
    <s v="Total Electric Power Industry"/>
    <x v="9"/>
    <n v="10632107"/>
  </r>
  <r>
    <x v="19"/>
    <x v="44"/>
    <s v="Total Electric Power Industry"/>
    <x v="4"/>
    <n v="38936515"/>
  </r>
  <r>
    <x v="19"/>
    <x v="44"/>
    <s v="Total Electric Power Industry"/>
    <x v="10"/>
    <n v="-4627345"/>
  </r>
  <r>
    <x v="19"/>
    <x v="44"/>
    <s v="Total Electric Power Industry"/>
    <x v="13"/>
    <n v="891179"/>
  </r>
  <r>
    <x v="19"/>
    <x v="44"/>
    <s v="Total Electric Power Industry"/>
    <x v="5"/>
    <n v="73886132"/>
  </r>
  <r>
    <x v="19"/>
    <x v="44"/>
    <s v="Total Electric Power Industry"/>
    <x v="6"/>
    <n v="36050138"/>
  </r>
  <r>
    <x v="19"/>
    <x v="44"/>
    <s v="Electric Generators, Independent Power Producers"/>
    <x v="0"/>
    <n v="1277915522"/>
  </r>
  <r>
    <x v="19"/>
    <x v="44"/>
    <s v="Electric Generators, Independent Power Producers"/>
    <x v="1"/>
    <n v="389783170"/>
  </r>
  <r>
    <x v="19"/>
    <x v="44"/>
    <s v="Electric Generators, Independent Power Producers"/>
    <x v="11"/>
    <n v="13826483"/>
  </r>
  <r>
    <x v="19"/>
    <x v="44"/>
    <s v="Electric Generators, Independent Power Producers"/>
    <x v="2"/>
    <n v="24304134"/>
  </r>
  <r>
    <x v="19"/>
    <x v="44"/>
    <s v="Electric Generators, Independent Power Producers"/>
    <x v="3"/>
    <n v="373553535"/>
  </r>
  <r>
    <x v="19"/>
    <x v="44"/>
    <s v="Electric Generators, Independent Power Producers"/>
    <x v="7"/>
    <n v="381579470"/>
  </r>
  <r>
    <x v="19"/>
    <x v="44"/>
    <s v="Electric Generators, Independent Power Producers"/>
    <x v="12"/>
    <n v="5340946"/>
  </r>
  <r>
    <x v="19"/>
    <x v="44"/>
    <s v="Electric Generators, Independent Power Producers"/>
    <x v="8"/>
    <n v="12968295"/>
  </r>
  <r>
    <x v="19"/>
    <x v="44"/>
    <s v="Electric Generators, Independent Power Producers"/>
    <x v="9"/>
    <n v="806"/>
  </r>
  <r>
    <x v="19"/>
    <x v="44"/>
    <s v="Electric Generators, Independent Power Producers"/>
    <x v="4"/>
    <n v="6683805"/>
  </r>
  <r>
    <x v="19"/>
    <x v="44"/>
    <s v="Electric Generators, Independent Power Producers"/>
    <x v="10"/>
    <n v="-1258762"/>
  </r>
  <r>
    <x v="19"/>
    <x v="44"/>
    <s v="Electric Generators, Independent Power Producers"/>
    <x v="13"/>
    <n v="862849"/>
  </r>
  <r>
    <x v="19"/>
    <x v="44"/>
    <s v="Electric Generators, Independent Power Producers"/>
    <x v="5"/>
    <n v="63538187"/>
  </r>
  <r>
    <x v="19"/>
    <x v="44"/>
    <s v="Electric Generators, Independent Power Producers"/>
    <x v="6"/>
    <n v="6732604"/>
  </r>
  <r>
    <x v="19"/>
    <x v="44"/>
    <s v="Electric Generators, Electric Utilities"/>
    <x v="0"/>
    <n v="2372775997"/>
  </r>
  <r>
    <x v="19"/>
    <x v="44"/>
    <s v="Electric Generators, Electric Utilities"/>
    <x v="1"/>
    <n v="1322092036"/>
  </r>
  <r>
    <x v="19"/>
    <x v="44"/>
    <s v="Electric Generators, Electric Utilities"/>
    <x v="11"/>
    <n v="1182175"/>
  </r>
  <r>
    <x v="19"/>
    <x v="44"/>
    <s v="Electric Generators, Electric Utilities"/>
    <x v="2"/>
    <n v="247197556"/>
  </r>
  <r>
    <x v="19"/>
    <x v="44"/>
    <s v="Electric Generators, Electric Utilities"/>
    <x v="3"/>
    <n v="349166308"/>
  </r>
  <r>
    <x v="19"/>
    <x v="44"/>
    <s v="Electric Generators, Electric Utilities"/>
    <x v="7"/>
    <n v="417275115"/>
  </r>
  <r>
    <x v="19"/>
    <x v="44"/>
    <s v="Electric Generators, Electric Utilities"/>
    <x v="12"/>
    <n v="483248"/>
  </r>
  <r>
    <x v="19"/>
    <x v="44"/>
    <s v="Electric Generators, Electric Utilities"/>
    <x v="8"/>
    <n v="1311695"/>
  </r>
  <r>
    <x v="19"/>
    <x v="44"/>
    <s v="Electric Generators, Electric Utilities"/>
    <x v="9"/>
    <n v="96019"/>
  </r>
  <r>
    <x v="19"/>
    <x v="44"/>
    <s v="Electric Generators, Electric Utilities"/>
    <x v="4"/>
    <n v="25216814"/>
  </r>
  <r>
    <x v="19"/>
    <x v="44"/>
    <s v="Electric Generators, Electric Utilities"/>
    <x v="10"/>
    <n v="-3368583"/>
  </r>
  <r>
    <x v="19"/>
    <x v="44"/>
    <s v="Electric Generators, Electric Utilities"/>
    <x v="13"/>
    <n v="28288"/>
  </r>
  <r>
    <x v="19"/>
    <x v="44"/>
    <s v="Electric Generators, Electric Utilities"/>
    <x v="5"/>
    <n v="10347737"/>
  </r>
  <r>
    <x v="19"/>
    <x v="44"/>
    <s v="Electric Generators, Electric Utilities"/>
    <x v="6"/>
    <n v="1747589"/>
  </r>
  <r>
    <x v="19"/>
    <x v="44"/>
    <s v="Combined Heat and Power, Industrial Power"/>
    <x v="0"/>
    <n v="132329109"/>
  </r>
  <r>
    <x v="19"/>
    <x v="44"/>
    <s v="Combined Heat and Power, Industrial Power"/>
    <x v="1"/>
    <n v="13685701"/>
  </r>
  <r>
    <x v="19"/>
    <x v="44"/>
    <s v="Combined Heat and Power, Industrial Power"/>
    <x v="2"/>
    <n v="1868336"/>
  </r>
  <r>
    <x v="19"/>
    <x v="44"/>
    <s v="Combined Heat and Power, Industrial Power"/>
    <x v="3"/>
    <n v="75747924"/>
  </r>
  <r>
    <x v="19"/>
    <x v="44"/>
    <s v="Combined Heat and Power, Industrial Power"/>
    <x v="12"/>
    <n v="4457306"/>
  </r>
  <r>
    <x v="19"/>
    <x v="44"/>
    <s v="Combined Heat and Power, Industrial Power"/>
    <x v="8"/>
    <n v="740469"/>
  </r>
  <r>
    <x v="19"/>
    <x v="44"/>
    <s v="Combined Heat and Power, Industrial Power"/>
    <x v="9"/>
    <n v="7574301"/>
  </r>
  <r>
    <x v="19"/>
    <x v="44"/>
    <s v="Combined Heat and Power, Industrial Power"/>
    <x v="4"/>
    <n v="2962917"/>
  </r>
  <r>
    <x v="19"/>
    <x v="44"/>
    <s v="Combined Heat and Power, Industrial Power"/>
    <x v="13"/>
    <n v="0"/>
  </r>
  <r>
    <x v="19"/>
    <x v="44"/>
    <s v="Combined Heat and Power, Industrial Power"/>
    <x v="6"/>
    <n v="25292157"/>
  </r>
  <r>
    <x v="19"/>
    <x v="44"/>
    <s v="Combined Heat and Power, Electric Power"/>
    <x v="0"/>
    <n v="159145778"/>
  </r>
  <r>
    <x v="19"/>
    <x v="44"/>
    <s v="Combined Heat and Power, Electric Power"/>
    <x v="1"/>
    <n v="29247820"/>
  </r>
  <r>
    <x v="19"/>
    <x v="44"/>
    <s v="Combined Heat and Power, Electric Power"/>
    <x v="2"/>
    <n v="4203"/>
  </r>
  <r>
    <x v="19"/>
    <x v="44"/>
    <s v="Combined Heat and Power, Electric Power"/>
    <x v="3"/>
    <n v="118285808"/>
  </r>
  <r>
    <x v="19"/>
    <x v="44"/>
    <s v="Combined Heat and Power, Electric Power"/>
    <x v="12"/>
    <n v="804985"/>
  </r>
  <r>
    <x v="19"/>
    <x v="44"/>
    <s v="Combined Heat and Power, Electric Power"/>
    <x v="8"/>
    <n v="1673853"/>
  </r>
  <r>
    <x v="19"/>
    <x v="44"/>
    <s v="Combined Heat and Power, Electric Power"/>
    <x v="9"/>
    <n v="2960982"/>
  </r>
  <r>
    <x v="19"/>
    <x v="44"/>
    <s v="Combined Heat and Power, Electric Power"/>
    <x v="4"/>
    <n v="3910406"/>
  </r>
  <r>
    <x v="19"/>
    <x v="44"/>
    <s v="Combined Heat and Power, Electric Power"/>
    <x v="6"/>
    <n v="2257722"/>
  </r>
  <r>
    <x v="19"/>
    <x v="44"/>
    <s v="Combined Heat and Power, Commercial Power"/>
    <x v="0"/>
    <n v="8164521"/>
  </r>
  <r>
    <x v="19"/>
    <x v="44"/>
    <s v="Combined Heat and Power, Commercial Power"/>
    <x v="1"/>
    <n v="1095527"/>
  </r>
  <r>
    <x v="19"/>
    <x v="44"/>
    <s v="Combined Heat and Power, Commercial Power"/>
    <x v="2"/>
    <n v="70866"/>
  </r>
  <r>
    <x v="19"/>
    <x v="44"/>
    <s v="Combined Heat and Power, Commercial Power"/>
    <x v="3"/>
    <n v="4225105"/>
  </r>
  <r>
    <x v="19"/>
    <x v="44"/>
    <s v="Combined Heat and Power, Commercial Power"/>
    <x v="12"/>
    <n v="841850"/>
  </r>
  <r>
    <x v="19"/>
    <x v="44"/>
    <s v="Combined Heat and Power, Commercial Power"/>
    <x v="8"/>
    <n v="1748284"/>
  </r>
  <r>
    <x v="19"/>
    <x v="44"/>
    <s v="Combined Heat and Power, Commercial Power"/>
    <x v="9"/>
    <n v="0"/>
  </r>
  <r>
    <x v="19"/>
    <x v="44"/>
    <s v="Combined Heat and Power, Commercial Power"/>
    <x v="4"/>
    <n v="162573"/>
  </r>
  <r>
    <x v="19"/>
    <x v="44"/>
    <s v="Combined Heat and Power, Commercial Power"/>
    <x v="13"/>
    <n v="43"/>
  </r>
  <r>
    <x v="19"/>
    <x v="44"/>
    <s v="Combined Heat and Power, Commercial Power"/>
    <x v="5"/>
    <n v="208"/>
  </r>
  <r>
    <x v="19"/>
    <x v="44"/>
    <s v="Combined Heat and Power, Commercial Power"/>
    <x v="6"/>
    <n v="20066"/>
  </r>
  <r>
    <x v="19"/>
    <x v="45"/>
    <s v="Total Electric Power Industry"/>
    <x v="0"/>
    <n v="43542946"/>
  </r>
  <r>
    <x v="19"/>
    <x v="45"/>
    <s v="Total Electric Power Industry"/>
    <x v="1"/>
    <n v="35526126"/>
  </r>
  <r>
    <x v="19"/>
    <x v="45"/>
    <s v="Total Electric Power Industry"/>
    <x v="11"/>
    <n v="279121"/>
  </r>
  <r>
    <x v="19"/>
    <x v="45"/>
    <s v="Total Electric Power Industry"/>
    <x v="2"/>
    <n v="835257"/>
  </r>
  <r>
    <x v="19"/>
    <x v="45"/>
    <s v="Total Electric Power Industry"/>
    <x v="3"/>
    <n v="6444042"/>
  </r>
  <r>
    <x v="19"/>
    <x v="45"/>
    <s v="Total Electric Power Industry"/>
    <x v="12"/>
    <n v="186994"/>
  </r>
  <r>
    <x v="19"/>
    <x v="45"/>
    <s v="Total Electric Power Industry"/>
    <x v="8"/>
    <n v="47878"/>
  </r>
  <r>
    <x v="19"/>
    <x v="45"/>
    <s v="Total Electric Power Industry"/>
    <x v="9"/>
    <n v="27933"/>
  </r>
  <r>
    <x v="19"/>
    <x v="45"/>
    <s v="Total Electric Power Industry"/>
    <x v="4"/>
    <n v="36057"/>
  </r>
  <r>
    <x v="19"/>
    <x v="45"/>
    <s v="Total Electric Power Industry"/>
    <x v="5"/>
    <n v="159537"/>
  </r>
  <r>
    <x v="19"/>
    <x v="45"/>
    <s v="Electric Generators, Independent Power Producers"/>
    <x v="0"/>
    <n v="1324982"/>
  </r>
  <r>
    <x v="19"/>
    <x v="45"/>
    <s v="Electric Generators, Independent Power Producers"/>
    <x v="1"/>
    <n v="410933"/>
  </r>
  <r>
    <x v="19"/>
    <x v="45"/>
    <s v="Electric Generators, Independent Power Producers"/>
    <x v="2"/>
    <n v="8261"/>
  </r>
  <r>
    <x v="19"/>
    <x v="45"/>
    <s v="Electric Generators, Independent Power Producers"/>
    <x v="3"/>
    <n v="703976"/>
  </r>
  <r>
    <x v="19"/>
    <x v="45"/>
    <s v="Electric Generators, Independent Power Producers"/>
    <x v="8"/>
    <n v="42275"/>
  </r>
  <r>
    <x v="19"/>
    <x v="45"/>
    <s v="Electric Generators, Independent Power Producers"/>
    <x v="4"/>
    <n v="0"/>
  </r>
  <r>
    <x v="19"/>
    <x v="45"/>
    <s v="Electric Generators, Independent Power Producers"/>
    <x v="5"/>
    <n v="159537"/>
  </r>
  <r>
    <x v="19"/>
    <x v="45"/>
    <s v="Electric Generators, Electric Utilities"/>
    <x v="0"/>
    <n v="40991819"/>
  </r>
  <r>
    <x v="19"/>
    <x v="45"/>
    <s v="Electric Generators, Electric Utilities"/>
    <x v="1"/>
    <n v="34284061"/>
  </r>
  <r>
    <x v="19"/>
    <x v="45"/>
    <s v="Electric Generators, Electric Utilities"/>
    <x v="11"/>
    <n v="279121"/>
  </r>
  <r>
    <x v="19"/>
    <x v="45"/>
    <s v="Electric Generators, Electric Utilities"/>
    <x v="2"/>
    <n v="826996"/>
  </r>
  <r>
    <x v="19"/>
    <x v="45"/>
    <s v="Electric Generators, Electric Utilities"/>
    <x v="3"/>
    <n v="5565584"/>
  </r>
  <r>
    <x v="19"/>
    <x v="45"/>
    <s v="Electric Generators, Electric Utilities"/>
    <x v="4"/>
    <n v="36057"/>
  </r>
  <r>
    <x v="19"/>
    <x v="45"/>
    <s v="Combined Heat and Power, Industrial Power"/>
    <x v="0"/>
    <n v="1213382"/>
  </r>
  <r>
    <x v="19"/>
    <x v="45"/>
    <s v="Combined Heat and Power, Industrial Power"/>
    <x v="1"/>
    <n v="831132"/>
  </r>
  <r>
    <x v="19"/>
    <x v="45"/>
    <s v="Combined Heat and Power, Industrial Power"/>
    <x v="3"/>
    <n v="171725"/>
  </r>
  <r>
    <x v="19"/>
    <x v="45"/>
    <s v="Combined Heat and Power, Industrial Power"/>
    <x v="12"/>
    <n v="182592"/>
  </r>
  <r>
    <x v="19"/>
    <x v="45"/>
    <s v="Combined Heat and Power, Industrial Power"/>
    <x v="9"/>
    <n v="27933"/>
  </r>
  <r>
    <x v="19"/>
    <x v="45"/>
    <s v="Combined Heat and Power, Electric Power"/>
    <x v="0"/>
    <n v="10006"/>
  </r>
  <r>
    <x v="19"/>
    <x v="45"/>
    <s v="Combined Heat and Power, Electric Power"/>
    <x v="12"/>
    <n v="4402"/>
  </r>
  <r>
    <x v="19"/>
    <x v="45"/>
    <s v="Combined Heat and Power, Electric Power"/>
    <x v="8"/>
    <n v="5603"/>
  </r>
  <r>
    <x v="19"/>
    <x v="45"/>
    <s v="Combined Heat and Power, Electric Power"/>
    <x v="4"/>
    <n v="0"/>
  </r>
  <r>
    <x v="19"/>
    <x v="45"/>
    <s v="Combined Heat and Power, Commercial Power"/>
    <x v="0"/>
    <n v="2757"/>
  </r>
  <r>
    <x v="19"/>
    <x v="45"/>
    <s v="Combined Heat and Power, Commercial Power"/>
    <x v="3"/>
    <n v="2757"/>
  </r>
  <r>
    <x v="19"/>
    <x v="45"/>
    <s v="Combined Heat and Power, Commercial Power"/>
    <x v="9"/>
    <n v="0"/>
  </r>
  <r>
    <x v="19"/>
    <x v="45"/>
    <s v="Combined Heat and Power, Commercial Power"/>
    <x v="4"/>
    <n v="0"/>
  </r>
  <r>
    <x v="19"/>
    <x v="46"/>
    <s v="Total Electric Power Industry"/>
    <x v="0"/>
    <n v="70082066"/>
  </r>
  <r>
    <x v="19"/>
    <x v="46"/>
    <s v="Total Electric Power Industry"/>
    <x v="1"/>
    <n v="25599288"/>
  </r>
  <r>
    <x v="19"/>
    <x v="46"/>
    <s v="Total Electric Power Industry"/>
    <x v="2"/>
    <n v="1478630"/>
  </r>
  <r>
    <x v="19"/>
    <x v="46"/>
    <s v="Total Electric Power Industry"/>
    <x v="3"/>
    <n v="12201384"/>
  </r>
  <r>
    <x v="19"/>
    <x v="46"/>
    <s v="Total Electric Power Industry"/>
    <x v="7"/>
    <n v="28212252"/>
  </r>
  <r>
    <x v="19"/>
    <x v="46"/>
    <s v="Total Electric Power Industry"/>
    <x v="12"/>
    <n v="420042"/>
  </r>
  <r>
    <x v="19"/>
    <x v="46"/>
    <s v="Total Electric Power Industry"/>
    <x v="8"/>
    <n v="709203"/>
  </r>
  <r>
    <x v="19"/>
    <x v="46"/>
    <s v="Total Electric Power Industry"/>
    <x v="4"/>
    <n v="1087660"/>
  </r>
  <r>
    <x v="19"/>
    <x v="46"/>
    <s v="Total Electric Power Industry"/>
    <x v="10"/>
    <n v="-1334709"/>
  </r>
  <r>
    <x v="19"/>
    <x v="46"/>
    <s v="Total Electric Power Industry"/>
    <x v="6"/>
    <n v="1708316"/>
  </r>
  <r>
    <x v="19"/>
    <x v="46"/>
    <s v="Electric Generators, Independent Power Producers"/>
    <x v="0"/>
    <n v="5627311"/>
  </r>
  <r>
    <x v="19"/>
    <x v="46"/>
    <s v="Electric Generators, Independent Power Producers"/>
    <x v="1"/>
    <n v="611515"/>
  </r>
  <r>
    <x v="19"/>
    <x v="46"/>
    <s v="Electric Generators, Independent Power Producers"/>
    <x v="2"/>
    <n v="72294"/>
  </r>
  <r>
    <x v="19"/>
    <x v="46"/>
    <s v="Electric Generators, Independent Power Producers"/>
    <x v="3"/>
    <n v="4006198"/>
  </r>
  <r>
    <x v="19"/>
    <x v="46"/>
    <s v="Electric Generators, Independent Power Producers"/>
    <x v="12"/>
    <n v="259987"/>
  </r>
  <r>
    <x v="19"/>
    <x v="46"/>
    <s v="Electric Generators, Independent Power Producers"/>
    <x v="8"/>
    <n v="523284"/>
  </r>
  <r>
    <x v="19"/>
    <x v="46"/>
    <s v="Electric Generators, Independent Power Producers"/>
    <x v="4"/>
    <n v="154033"/>
  </r>
  <r>
    <x v="19"/>
    <x v="46"/>
    <s v="Electric Generators, Electric Utilities"/>
    <x v="0"/>
    <n v="59225368"/>
  </r>
  <r>
    <x v="19"/>
    <x v="46"/>
    <s v="Electric Generators, Electric Utilities"/>
    <x v="1"/>
    <n v="22424638"/>
  </r>
  <r>
    <x v="19"/>
    <x v="46"/>
    <s v="Electric Generators, Electric Utilities"/>
    <x v="2"/>
    <n v="1396112"/>
  </r>
  <r>
    <x v="19"/>
    <x v="46"/>
    <s v="Electric Generators, Electric Utilities"/>
    <x v="3"/>
    <n v="7348089"/>
  </r>
  <r>
    <x v="19"/>
    <x v="46"/>
    <s v="Electric Generators, Electric Utilities"/>
    <x v="7"/>
    <n v="28212252"/>
  </r>
  <r>
    <x v="19"/>
    <x v="46"/>
    <s v="Electric Generators, Electric Utilities"/>
    <x v="4"/>
    <n v="738411"/>
  </r>
  <r>
    <x v="19"/>
    <x v="46"/>
    <s v="Electric Generators, Electric Utilities"/>
    <x v="10"/>
    <n v="-1334709"/>
  </r>
  <r>
    <x v="19"/>
    <x v="46"/>
    <s v="Electric Generators, Electric Utilities"/>
    <x v="6"/>
    <n v="440576"/>
  </r>
  <r>
    <x v="19"/>
    <x v="46"/>
    <s v="Combined Heat and Power, Industrial Power"/>
    <x v="0"/>
    <n v="2287814"/>
  </r>
  <r>
    <x v="19"/>
    <x v="46"/>
    <s v="Combined Heat and Power, Industrial Power"/>
    <x v="1"/>
    <n v="775273"/>
  </r>
  <r>
    <x v="19"/>
    <x v="46"/>
    <s v="Combined Heat and Power, Industrial Power"/>
    <x v="2"/>
    <n v="10224"/>
  </r>
  <r>
    <x v="19"/>
    <x v="46"/>
    <s v="Combined Heat and Power, Industrial Power"/>
    <x v="3"/>
    <n v="148995"/>
  </r>
  <r>
    <x v="19"/>
    <x v="46"/>
    <s v="Combined Heat and Power, Industrial Power"/>
    <x v="12"/>
    <n v="1124"/>
  </r>
  <r>
    <x v="19"/>
    <x v="46"/>
    <s v="Combined Heat and Power, Industrial Power"/>
    <x v="8"/>
    <n v="14396"/>
  </r>
  <r>
    <x v="19"/>
    <x v="46"/>
    <s v="Combined Heat and Power, Industrial Power"/>
    <x v="4"/>
    <n v="70061"/>
  </r>
  <r>
    <x v="19"/>
    <x v="46"/>
    <s v="Combined Heat and Power, Industrial Power"/>
    <x v="6"/>
    <n v="1267740"/>
  </r>
  <r>
    <x v="19"/>
    <x v="46"/>
    <s v="Combined Heat and Power, Electric Power"/>
    <x v="0"/>
    <n v="2607854"/>
  </r>
  <r>
    <x v="19"/>
    <x v="46"/>
    <s v="Combined Heat and Power, Electric Power"/>
    <x v="1"/>
    <n v="1761501"/>
  </r>
  <r>
    <x v="19"/>
    <x v="46"/>
    <s v="Combined Heat and Power, Electric Power"/>
    <x v="3"/>
    <n v="698102"/>
  </r>
  <r>
    <x v="19"/>
    <x v="46"/>
    <s v="Combined Heat and Power, Electric Power"/>
    <x v="12"/>
    <n v="24160"/>
  </r>
  <r>
    <x v="19"/>
    <x v="46"/>
    <s v="Combined Heat and Power, Electric Power"/>
    <x v="4"/>
    <n v="124091"/>
  </r>
  <r>
    <x v="19"/>
    <x v="46"/>
    <s v="Combined Heat and Power, Commercial Power"/>
    <x v="0"/>
    <n v="333718"/>
  </r>
  <r>
    <x v="19"/>
    <x v="46"/>
    <s v="Combined Heat and Power, Commercial Power"/>
    <x v="1"/>
    <n v="26360"/>
  </r>
  <r>
    <x v="19"/>
    <x v="46"/>
    <s v="Combined Heat and Power, Commercial Power"/>
    <x v="12"/>
    <n v="134771"/>
  </r>
  <r>
    <x v="19"/>
    <x v="46"/>
    <s v="Combined Heat and Power, Commercial Power"/>
    <x v="8"/>
    <n v="171523"/>
  </r>
  <r>
    <x v="19"/>
    <x v="46"/>
    <s v="Combined Heat and Power, Commercial Power"/>
    <x v="4"/>
    <n v="1064"/>
  </r>
  <r>
    <x v="19"/>
    <x v="47"/>
    <s v="Total Electric Power Industry"/>
    <x v="0"/>
    <n v="7282348"/>
  </r>
  <r>
    <x v="19"/>
    <x v="47"/>
    <s v="Total Electric Power Industry"/>
    <x v="2"/>
    <n v="1485825"/>
  </r>
  <r>
    <x v="19"/>
    <x v="47"/>
    <s v="Total Electric Power Industry"/>
    <x v="3"/>
    <n v="4431"/>
  </r>
  <r>
    <x v="19"/>
    <x v="47"/>
    <s v="Total Electric Power Industry"/>
    <x v="7"/>
    <n v="5360608"/>
  </r>
  <r>
    <x v="19"/>
    <x v="47"/>
    <s v="Total Electric Power Industry"/>
    <x v="8"/>
    <n v="24190"/>
  </r>
  <r>
    <x v="19"/>
    <x v="47"/>
    <s v="Total Electric Power Industry"/>
    <x v="4"/>
    <n v="2439"/>
  </r>
  <r>
    <x v="19"/>
    <x v="47"/>
    <s v="Total Electric Power Industry"/>
    <x v="5"/>
    <n v="11589"/>
  </r>
  <r>
    <x v="19"/>
    <x v="47"/>
    <s v="Total Electric Power Industry"/>
    <x v="6"/>
    <n v="393266"/>
  </r>
  <r>
    <x v="19"/>
    <x v="47"/>
    <s v="Electric Generators, Independent Power Producers"/>
    <x v="0"/>
    <n v="6545869"/>
  </r>
  <r>
    <x v="19"/>
    <x v="47"/>
    <s v="Electric Generators, Independent Power Producers"/>
    <x v="2"/>
    <n v="985958"/>
  </r>
  <r>
    <x v="19"/>
    <x v="47"/>
    <s v="Electric Generators, Independent Power Producers"/>
    <x v="7"/>
    <n v="5360608"/>
  </r>
  <r>
    <x v="19"/>
    <x v="47"/>
    <s v="Electric Generators, Independent Power Producers"/>
    <x v="8"/>
    <n v="24190"/>
  </r>
  <r>
    <x v="19"/>
    <x v="47"/>
    <s v="Electric Generators, Independent Power Producers"/>
    <x v="6"/>
    <n v="175113"/>
  </r>
  <r>
    <x v="19"/>
    <x v="47"/>
    <s v="Electric Generators, Electric Utilities"/>
    <x v="0"/>
    <n v="711507"/>
  </r>
  <r>
    <x v="19"/>
    <x v="47"/>
    <s v="Electric Generators, Electric Utilities"/>
    <x v="2"/>
    <n v="474895"/>
  </r>
  <r>
    <x v="19"/>
    <x v="47"/>
    <s v="Electric Generators, Electric Utilities"/>
    <x v="3"/>
    <n v="4431"/>
  </r>
  <r>
    <x v="19"/>
    <x v="47"/>
    <s v="Electric Generators, Electric Utilities"/>
    <x v="4"/>
    <n v="2439"/>
  </r>
  <r>
    <x v="19"/>
    <x v="47"/>
    <s v="Electric Generators, Electric Utilities"/>
    <x v="5"/>
    <n v="11589"/>
  </r>
  <r>
    <x v="19"/>
    <x v="47"/>
    <s v="Electric Generators, Electric Utilities"/>
    <x v="6"/>
    <n v="218153"/>
  </r>
  <r>
    <x v="19"/>
    <x v="47"/>
    <s v="Combined Heat and Power, Industrial Power"/>
    <x v="0"/>
    <n v="24972"/>
  </r>
  <r>
    <x v="19"/>
    <x v="47"/>
    <s v="Combined Heat and Power, Industrial Power"/>
    <x v="2"/>
    <n v="24972"/>
  </r>
  <r>
    <x v="19"/>
    <x v="47"/>
    <s v="Combined Heat and Power, Industrial Power"/>
    <x v="6"/>
    <n v="0"/>
  </r>
  <r>
    <x v="19"/>
    <x v="48"/>
    <s v="Total Electric Power Industry"/>
    <x v="0"/>
    <n v="104470133"/>
  </r>
  <r>
    <x v="19"/>
    <x v="48"/>
    <s v="Total Electric Power Industry"/>
    <x v="1"/>
    <n v="7477773"/>
  </r>
  <r>
    <x v="19"/>
    <x v="48"/>
    <s v="Total Electric Power Industry"/>
    <x v="2"/>
    <n v="72932704"/>
  </r>
  <r>
    <x v="19"/>
    <x v="48"/>
    <s v="Total Electric Power Industry"/>
    <x v="3"/>
    <n v="11971141"/>
  </r>
  <r>
    <x v="19"/>
    <x v="48"/>
    <s v="Total Electric Power Industry"/>
    <x v="7"/>
    <n v="6634014"/>
  </r>
  <r>
    <x v="19"/>
    <x v="48"/>
    <s v="Total Electric Power Industry"/>
    <x v="12"/>
    <n v="58956"/>
  </r>
  <r>
    <x v="19"/>
    <x v="48"/>
    <s v="Total Electric Power Industry"/>
    <x v="8"/>
    <n v="167023"/>
  </r>
  <r>
    <x v="19"/>
    <x v="48"/>
    <s v="Total Electric Power Industry"/>
    <x v="9"/>
    <n v="244888"/>
  </r>
  <r>
    <x v="19"/>
    <x v="48"/>
    <s v="Total Electric Power Industry"/>
    <x v="4"/>
    <n v="53604"/>
  </r>
  <r>
    <x v="19"/>
    <x v="48"/>
    <s v="Total Electric Power Industry"/>
    <x v="10"/>
    <n v="52383"/>
  </r>
  <r>
    <x v="19"/>
    <x v="48"/>
    <s v="Total Electric Power Industry"/>
    <x v="13"/>
    <n v="0"/>
  </r>
  <r>
    <x v="19"/>
    <x v="48"/>
    <s v="Total Electric Power Industry"/>
    <x v="5"/>
    <n v="3572486"/>
  </r>
  <r>
    <x v="19"/>
    <x v="48"/>
    <s v="Total Electric Power Industry"/>
    <x v="6"/>
    <n v="1305162"/>
  </r>
  <r>
    <x v="19"/>
    <x v="48"/>
    <s v="Electric Generators, Independent Power Producers"/>
    <x v="0"/>
    <n v="10530950"/>
  </r>
  <r>
    <x v="19"/>
    <x v="48"/>
    <s v="Electric Generators, Independent Power Producers"/>
    <x v="1"/>
    <n v="7438653"/>
  </r>
  <r>
    <x v="19"/>
    <x v="48"/>
    <s v="Electric Generators, Independent Power Producers"/>
    <x v="2"/>
    <n v="158235"/>
  </r>
  <r>
    <x v="19"/>
    <x v="48"/>
    <s v="Electric Generators, Independent Power Producers"/>
    <x v="3"/>
    <n v="1289718"/>
  </r>
  <r>
    <x v="19"/>
    <x v="48"/>
    <s v="Electric Generators, Independent Power Producers"/>
    <x v="12"/>
    <n v="58956"/>
  </r>
  <r>
    <x v="19"/>
    <x v="48"/>
    <s v="Electric Generators, Independent Power Producers"/>
    <x v="8"/>
    <n v="75452"/>
  </r>
  <r>
    <x v="19"/>
    <x v="48"/>
    <s v="Electric Generators, Independent Power Producers"/>
    <x v="4"/>
    <n v="11354"/>
  </r>
  <r>
    <x v="19"/>
    <x v="48"/>
    <s v="Electric Generators, Independent Power Producers"/>
    <x v="5"/>
    <n v="1498582"/>
  </r>
  <r>
    <x v="19"/>
    <x v="48"/>
    <s v="Electric Generators, Electric Utilities"/>
    <x v="0"/>
    <n v="90733028"/>
  </r>
  <r>
    <x v="19"/>
    <x v="48"/>
    <s v="Electric Generators, Electric Utilities"/>
    <x v="2"/>
    <n v="72727385"/>
  </r>
  <r>
    <x v="19"/>
    <x v="48"/>
    <s v="Electric Generators, Electric Utilities"/>
    <x v="3"/>
    <n v="8965723"/>
  </r>
  <r>
    <x v="19"/>
    <x v="48"/>
    <s v="Electric Generators, Electric Utilities"/>
    <x v="7"/>
    <n v="6634014"/>
  </r>
  <r>
    <x v="19"/>
    <x v="48"/>
    <s v="Electric Generators, Electric Utilities"/>
    <x v="8"/>
    <n v="80616"/>
  </r>
  <r>
    <x v="19"/>
    <x v="48"/>
    <s v="Electric Generators, Electric Utilities"/>
    <x v="4"/>
    <n v="16054"/>
  </r>
  <r>
    <x v="19"/>
    <x v="48"/>
    <s v="Electric Generators, Electric Utilities"/>
    <x v="10"/>
    <n v="52383"/>
  </r>
  <r>
    <x v="19"/>
    <x v="48"/>
    <s v="Electric Generators, Electric Utilities"/>
    <x v="13"/>
    <n v="0"/>
  </r>
  <r>
    <x v="19"/>
    <x v="48"/>
    <s v="Electric Generators, Electric Utilities"/>
    <x v="5"/>
    <n v="2073904"/>
  </r>
  <r>
    <x v="19"/>
    <x v="48"/>
    <s v="Electric Generators, Electric Utilities"/>
    <x v="6"/>
    <n v="182949"/>
  </r>
  <r>
    <x v="19"/>
    <x v="48"/>
    <s v="Combined Heat and Power, Industrial Power"/>
    <x v="0"/>
    <n v="1062360"/>
  </r>
  <r>
    <x v="19"/>
    <x v="48"/>
    <s v="Combined Heat and Power, Industrial Power"/>
    <x v="1"/>
    <n v="39120"/>
  </r>
  <r>
    <x v="19"/>
    <x v="48"/>
    <s v="Combined Heat and Power, Industrial Power"/>
    <x v="2"/>
    <n v="1817"/>
  </r>
  <r>
    <x v="19"/>
    <x v="48"/>
    <s v="Combined Heat and Power, Industrial Power"/>
    <x v="3"/>
    <n v="48780"/>
  </r>
  <r>
    <x v="19"/>
    <x v="48"/>
    <s v="Combined Heat and Power, Industrial Power"/>
    <x v="8"/>
    <n v="10954"/>
  </r>
  <r>
    <x v="19"/>
    <x v="48"/>
    <s v="Combined Heat and Power, Industrial Power"/>
    <x v="4"/>
    <n v="15090"/>
  </r>
  <r>
    <x v="19"/>
    <x v="48"/>
    <s v="Combined Heat and Power, Industrial Power"/>
    <x v="6"/>
    <n v="946599"/>
  </r>
  <r>
    <x v="19"/>
    <x v="48"/>
    <s v="Combined Heat and Power, Electric Power"/>
    <x v="0"/>
    <n v="2084959"/>
  </r>
  <r>
    <x v="19"/>
    <x v="48"/>
    <s v="Combined Heat and Power, Electric Power"/>
    <x v="3"/>
    <n v="1653748"/>
  </r>
  <r>
    <x v="19"/>
    <x v="48"/>
    <s v="Combined Heat and Power, Electric Power"/>
    <x v="9"/>
    <n v="244888"/>
  </r>
  <r>
    <x v="19"/>
    <x v="48"/>
    <s v="Combined Heat and Power, Electric Power"/>
    <x v="4"/>
    <n v="10709"/>
  </r>
  <r>
    <x v="19"/>
    <x v="48"/>
    <s v="Combined Heat and Power, Electric Power"/>
    <x v="6"/>
    <n v="175614"/>
  </r>
  <r>
    <x v="19"/>
    <x v="48"/>
    <s v="Combined Heat and Power, Commercial Power"/>
    <x v="0"/>
    <n v="58836"/>
  </r>
  <r>
    <x v="19"/>
    <x v="48"/>
    <s v="Combined Heat and Power, Commercial Power"/>
    <x v="2"/>
    <n v="45267"/>
  </r>
  <r>
    <x v="19"/>
    <x v="48"/>
    <s v="Combined Heat and Power, Commercial Power"/>
    <x v="3"/>
    <n v="13173"/>
  </r>
  <r>
    <x v="19"/>
    <x v="48"/>
    <s v="Combined Heat and Power, Commercial Power"/>
    <x v="4"/>
    <n v="397"/>
  </r>
  <r>
    <x v="19"/>
    <x v="49"/>
    <s v="Total Electric Power Industry"/>
    <x v="0"/>
    <n v="59959060"/>
  </r>
  <r>
    <x v="19"/>
    <x v="49"/>
    <s v="Total Electric Power Industry"/>
    <x v="1"/>
    <n v="37279995"/>
  </r>
  <r>
    <x v="19"/>
    <x v="49"/>
    <s v="Total Electric Power Industry"/>
    <x v="2"/>
    <n v="1393988"/>
  </r>
  <r>
    <x v="19"/>
    <x v="49"/>
    <s v="Total Electric Power Industry"/>
    <x v="3"/>
    <n v="5484140"/>
  </r>
  <r>
    <x v="19"/>
    <x v="49"/>
    <s v="Total Electric Power Industry"/>
    <x v="7"/>
    <n v="12683151"/>
  </r>
  <r>
    <x v="19"/>
    <x v="49"/>
    <s v="Total Electric Power Industry"/>
    <x v="12"/>
    <n v="65040"/>
  </r>
  <r>
    <x v="19"/>
    <x v="49"/>
    <s v="Total Electric Power Industry"/>
    <x v="8"/>
    <n v="519174"/>
  </r>
  <r>
    <x v="19"/>
    <x v="49"/>
    <s v="Total Electric Power Industry"/>
    <x v="4"/>
    <n v="712451"/>
  </r>
  <r>
    <x v="19"/>
    <x v="49"/>
    <s v="Total Electric Power Industry"/>
    <x v="5"/>
    <n v="1051965"/>
  </r>
  <r>
    <x v="19"/>
    <x v="49"/>
    <s v="Total Electric Power Industry"/>
    <x v="6"/>
    <n v="769156"/>
  </r>
  <r>
    <x v="19"/>
    <x v="49"/>
    <s v="Electric Generators, Independent Power Producers"/>
    <x v="0"/>
    <n v="15463079"/>
  </r>
  <r>
    <x v="19"/>
    <x v="49"/>
    <s v="Electric Generators, Independent Power Producers"/>
    <x v="1"/>
    <n v="20561"/>
  </r>
  <r>
    <x v="19"/>
    <x v="49"/>
    <s v="Electric Generators, Independent Power Producers"/>
    <x v="2"/>
    <n v="54682"/>
  </r>
  <r>
    <x v="19"/>
    <x v="49"/>
    <s v="Electric Generators, Independent Power Producers"/>
    <x v="3"/>
    <n v="1810857"/>
  </r>
  <r>
    <x v="19"/>
    <x v="49"/>
    <s v="Electric Generators, Independent Power Producers"/>
    <x v="7"/>
    <n v="12683151"/>
  </r>
  <r>
    <x v="19"/>
    <x v="49"/>
    <s v="Electric Generators, Independent Power Producers"/>
    <x v="8"/>
    <n v="396833"/>
  </r>
  <r>
    <x v="19"/>
    <x v="49"/>
    <s v="Electric Generators, Independent Power Producers"/>
    <x v="4"/>
    <n v="298"/>
  </r>
  <r>
    <x v="19"/>
    <x v="49"/>
    <s v="Electric Generators, Independent Power Producers"/>
    <x v="5"/>
    <n v="496696"/>
  </r>
  <r>
    <x v="19"/>
    <x v="49"/>
    <s v="Electric Generators, Electric Utilities"/>
    <x v="0"/>
    <n v="41375366"/>
  </r>
  <r>
    <x v="19"/>
    <x v="49"/>
    <s v="Electric Generators, Electric Utilities"/>
    <x v="1"/>
    <n v="36238643"/>
  </r>
  <r>
    <x v="19"/>
    <x v="49"/>
    <s v="Electric Generators, Electric Utilities"/>
    <x v="2"/>
    <n v="1226149"/>
  </r>
  <r>
    <x v="19"/>
    <x v="49"/>
    <s v="Electric Generators, Electric Utilities"/>
    <x v="3"/>
    <n v="2616299"/>
  </r>
  <r>
    <x v="19"/>
    <x v="49"/>
    <s v="Electric Generators, Electric Utilities"/>
    <x v="12"/>
    <n v="30916"/>
  </r>
  <r>
    <x v="19"/>
    <x v="49"/>
    <s v="Electric Generators, Electric Utilities"/>
    <x v="8"/>
    <n v="32872"/>
  </r>
  <r>
    <x v="19"/>
    <x v="49"/>
    <s v="Electric Generators, Electric Utilities"/>
    <x v="4"/>
    <n v="458848"/>
  </r>
  <r>
    <x v="19"/>
    <x v="49"/>
    <s v="Electric Generators, Electric Utilities"/>
    <x v="5"/>
    <n v="555269"/>
  </r>
  <r>
    <x v="19"/>
    <x v="49"/>
    <s v="Electric Generators, Electric Utilities"/>
    <x v="6"/>
    <n v="216371"/>
  </r>
  <r>
    <x v="19"/>
    <x v="49"/>
    <s v="Combined Heat and Power, Industrial Power"/>
    <x v="0"/>
    <n v="2060727"/>
  </r>
  <r>
    <x v="19"/>
    <x v="49"/>
    <s v="Combined Heat and Power, Industrial Power"/>
    <x v="1"/>
    <n v="982670"/>
  </r>
  <r>
    <x v="19"/>
    <x v="49"/>
    <s v="Combined Heat and Power, Industrial Power"/>
    <x v="2"/>
    <n v="113155"/>
  </r>
  <r>
    <x v="19"/>
    <x v="49"/>
    <s v="Combined Heat and Power, Industrial Power"/>
    <x v="3"/>
    <n v="102266"/>
  </r>
  <r>
    <x v="19"/>
    <x v="49"/>
    <s v="Combined Heat and Power, Industrial Power"/>
    <x v="12"/>
    <n v="34124"/>
  </r>
  <r>
    <x v="19"/>
    <x v="49"/>
    <s v="Combined Heat and Power, Industrial Power"/>
    <x v="8"/>
    <n v="24265"/>
  </r>
  <r>
    <x v="19"/>
    <x v="49"/>
    <s v="Combined Heat and Power, Industrial Power"/>
    <x v="4"/>
    <n v="251461"/>
  </r>
  <r>
    <x v="19"/>
    <x v="49"/>
    <s v="Combined Heat and Power, Industrial Power"/>
    <x v="6"/>
    <n v="552785"/>
  </r>
  <r>
    <x v="19"/>
    <x v="49"/>
    <s v="Combined Heat and Power, Electric Power"/>
    <x v="0"/>
    <n v="875699"/>
  </r>
  <r>
    <x v="19"/>
    <x v="49"/>
    <s v="Combined Heat and Power, Electric Power"/>
    <x v="1"/>
    <n v="9105"/>
  </r>
  <r>
    <x v="19"/>
    <x v="49"/>
    <s v="Combined Heat and Power, Electric Power"/>
    <x v="3"/>
    <n v="841693"/>
  </r>
  <r>
    <x v="19"/>
    <x v="49"/>
    <s v="Combined Heat and Power, Electric Power"/>
    <x v="8"/>
    <n v="23058"/>
  </r>
  <r>
    <x v="19"/>
    <x v="49"/>
    <s v="Combined Heat and Power, Electric Power"/>
    <x v="4"/>
    <n v="1843"/>
  </r>
  <r>
    <x v="19"/>
    <x v="49"/>
    <s v="Combined Heat and Power, Commercial Power"/>
    <x v="0"/>
    <n v="184190"/>
  </r>
  <r>
    <x v="19"/>
    <x v="49"/>
    <s v="Combined Heat and Power, Commercial Power"/>
    <x v="1"/>
    <n v="29016"/>
  </r>
  <r>
    <x v="19"/>
    <x v="49"/>
    <s v="Combined Heat and Power, Commercial Power"/>
    <x v="2"/>
    <n v="3"/>
  </r>
  <r>
    <x v="19"/>
    <x v="49"/>
    <s v="Combined Heat and Power, Commercial Power"/>
    <x v="3"/>
    <n v="113025"/>
  </r>
  <r>
    <x v="19"/>
    <x v="49"/>
    <s v="Combined Heat and Power, Commercial Power"/>
    <x v="8"/>
    <n v="42146"/>
  </r>
  <r>
    <x v="19"/>
    <x v="49"/>
    <s v="Combined Heat and Power, Commercial Power"/>
    <x v="4"/>
    <n v="0"/>
  </r>
  <r>
    <x v="19"/>
    <x v="50"/>
    <s v="Total Electric Power Industry"/>
    <x v="0"/>
    <n v="70782514"/>
  </r>
  <r>
    <x v="19"/>
    <x v="50"/>
    <s v="Total Electric Power Industry"/>
    <x v="1"/>
    <n v="68079900"/>
  </r>
  <r>
    <x v="19"/>
    <x v="50"/>
    <s v="Total Electric Power Industry"/>
    <x v="2"/>
    <n v="1645927"/>
  </r>
  <r>
    <x v="19"/>
    <x v="50"/>
    <s v="Total Electric Power Industry"/>
    <x v="3"/>
    <n v="109435"/>
  </r>
  <r>
    <x v="19"/>
    <x v="50"/>
    <s v="Total Electric Power Industry"/>
    <x v="12"/>
    <n v="465"/>
  </r>
  <r>
    <x v="19"/>
    <x v="50"/>
    <s v="Total Electric Power Industry"/>
    <x v="8"/>
    <n v="-149"/>
  </r>
  <r>
    <x v="19"/>
    <x v="50"/>
    <s v="Total Electric Power Industry"/>
    <x v="9"/>
    <n v="35868"/>
  </r>
  <r>
    <x v="19"/>
    <x v="50"/>
    <s v="Total Electric Power Industry"/>
    <x v="4"/>
    <n v="169318"/>
  </r>
  <r>
    <x v="19"/>
    <x v="50"/>
    <s v="Total Electric Power Industry"/>
    <x v="5"/>
    <n v="742439"/>
  </r>
  <r>
    <x v="19"/>
    <x v="50"/>
    <s v="Total Electric Power Industry"/>
    <x v="6"/>
    <n v="-689"/>
  </r>
  <r>
    <x v="19"/>
    <x v="50"/>
    <s v="Electric Generators, Independent Power Producers"/>
    <x v="0"/>
    <n v="17700136"/>
  </r>
  <r>
    <x v="19"/>
    <x v="50"/>
    <s v="Electric Generators, Independent Power Producers"/>
    <x v="1"/>
    <n v="16421090"/>
  </r>
  <r>
    <x v="19"/>
    <x v="50"/>
    <s v="Electric Generators, Independent Power Producers"/>
    <x v="2"/>
    <n v="455819"/>
  </r>
  <r>
    <x v="19"/>
    <x v="50"/>
    <s v="Electric Generators, Independent Power Producers"/>
    <x v="3"/>
    <n v="68923"/>
  </r>
  <r>
    <x v="19"/>
    <x v="50"/>
    <s v="Electric Generators, Independent Power Producers"/>
    <x v="4"/>
    <n v="11865"/>
  </r>
  <r>
    <x v="19"/>
    <x v="50"/>
    <s v="Electric Generators, Independent Power Producers"/>
    <x v="5"/>
    <n v="742439"/>
  </r>
  <r>
    <x v="19"/>
    <x v="50"/>
    <s v="Electric Generators, Electric Utilities"/>
    <x v="0"/>
    <n v="51708607"/>
  </r>
  <r>
    <x v="19"/>
    <x v="50"/>
    <s v="Electric Generators, Electric Utilities"/>
    <x v="1"/>
    <n v="50946969"/>
  </r>
  <r>
    <x v="19"/>
    <x v="50"/>
    <s v="Electric Generators, Electric Utilities"/>
    <x v="2"/>
    <n v="571541"/>
  </r>
  <r>
    <x v="19"/>
    <x v="50"/>
    <s v="Electric Generators, Electric Utilities"/>
    <x v="3"/>
    <n v="33060"/>
  </r>
  <r>
    <x v="19"/>
    <x v="50"/>
    <s v="Electric Generators, Electric Utilities"/>
    <x v="12"/>
    <n v="422"/>
  </r>
  <r>
    <x v="19"/>
    <x v="50"/>
    <s v="Electric Generators, Electric Utilities"/>
    <x v="8"/>
    <n v="-149"/>
  </r>
  <r>
    <x v="19"/>
    <x v="50"/>
    <s v="Electric Generators, Electric Utilities"/>
    <x v="4"/>
    <n v="157453"/>
  </r>
  <r>
    <x v="19"/>
    <x v="50"/>
    <s v="Electric Generators, Electric Utilities"/>
    <x v="6"/>
    <n v="-689"/>
  </r>
  <r>
    <x v="19"/>
    <x v="50"/>
    <s v="Combined Heat and Power, Industrial Power"/>
    <x v="0"/>
    <n v="960368"/>
  </r>
  <r>
    <x v="19"/>
    <x v="50"/>
    <s v="Combined Heat and Power, Industrial Power"/>
    <x v="1"/>
    <n v="298437"/>
  </r>
  <r>
    <x v="19"/>
    <x v="50"/>
    <s v="Combined Heat and Power, Industrial Power"/>
    <x v="2"/>
    <n v="618567"/>
  </r>
  <r>
    <x v="19"/>
    <x v="50"/>
    <s v="Combined Heat and Power, Industrial Power"/>
    <x v="3"/>
    <n v="7452"/>
  </r>
  <r>
    <x v="19"/>
    <x v="50"/>
    <s v="Combined Heat and Power, Industrial Power"/>
    <x v="12"/>
    <n v="43"/>
  </r>
  <r>
    <x v="19"/>
    <x v="50"/>
    <s v="Combined Heat and Power, Industrial Power"/>
    <x v="9"/>
    <n v="35868"/>
  </r>
  <r>
    <x v="19"/>
    <x v="50"/>
    <s v="Combined Heat and Power, Electric Power"/>
    <x v="0"/>
    <n v="413403"/>
  </r>
  <r>
    <x v="19"/>
    <x v="50"/>
    <s v="Combined Heat and Power, Electric Power"/>
    <x v="1"/>
    <n v="413403"/>
  </r>
  <r>
    <x v="19"/>
    <x v="50"/>
    <s v="Combined Heat and Power, Electric Power"/>
    <x v="3"/>
    <n v="0"/>
  </r>
  <r>
    <x v="19"/>
    <x v="51"/>
    <s v="Total Electric Power Industry"/>
    <x v="0"/>
    <n v="46029212"/>
  </r>
  <r>
    <x v="19"/>
    <x v="51"/>
    <s v="Total Electric Power Industry"/>
    <x v="1"/>
    <n v="41954266"/>
  </r>
  <r>
    <x v="19"/>
    <x v="51"/>
    <s v="Total Electric Power Industry"/>
    <x v="2"/>
    <n v="966572"/>
  </r>
  <r>
    <x v="19"/>
    <x v="51"/>
    <s v="Total Electric Power Industry"/>
    <x v="3"/>
    <n v="488014"/>
  </r>
  <r>
    <x v="19"/>
    <x v="51"/>
    <s v="Total Electric Power Industry"/>
    <x v="12"/>
    <n v="59613"/>
  </r>
  <r>
    <x v="19"/>
    <x v="51"/>
    <s v="Total Electric Power Industry"/>
    <x v="9"/>
    <n v="284361"/>
  </r>
  <r>
    <x v="19"/>
    <x v="51"/>
    <s v="Total Electric Power Industry"/>
    <x v="4"/>
    <n v="50181"/>
  </r>
  <r>
    <x v="19"/>
    <x v="51"/>
    <s v="Total Electric Power Industry"/>
    <x v="5"/>
    <n v="2226205"/>
  </r>
  <r>
    <x v="19"/>
    <x v="51"/>
    <s v="Electric Generators, Independent Power Producers"/>
    <x v="0"/>
    <n v="1917569"/>
  </r>
  <r>
    <x v="19"/>
    <x v="51"/>
    <s v="Electric Generators, Independent Power Producers"/>
    <x v="1"/>
    <n v="718217"/>
  </r>
  <r>
    <x v="19"/>
    <x v="51"/>
    <s v="Electric Generators, Independent Power Producers"/>
    <x v="3"/>
    <n v="3159"/>
  </r>
  <r>
    <x v="19"/>
    <x v="51"/>
    <s v="Electric Generators, Independent Power Producers"/>
    <x v="5"/>
    <n v="1196193"/>
  </r>
  <r>
    <x v="19"/>
    <x v="51"/>
    <s v="Electric Generators, Electric Utilities"/>
    <x v="0"/>
    <n v="43182207"/>
  </r>
  <r>
    <x v="19"/>
    <x v="51"/>
    <s v="Electric Generators, Electric Utilities"/>
    <x v="1"/>
    <n v="41040274"/>
  </r>
  <r>
    <x v="19"/>
    <x v="51"/>
    <s v="Electric Generators, Electric Utilities"/>
    <x v="2"/>
    <n v="966572"/>
  </r>
  <r>
    <x v="19"/>
    <x v="51"/>
    <s v="Electric Generators, Electric Utilities"/>
    <x v="3"/>
    <n v="95392"/>
  </r>
  <r>
    <x v="19"/>
    <x v="51"/>
    <s v="Electric Generators, Electric Utilities"/>
    <x v="4"/>
    <n v="49958"/>
  </r>
  <r>
    <x v="19"/>
    <x v="51"/>
    <s v="Electric Generators, Electric Utilities"/>
    <x v="5"/>
    <n v="1030012"/>
  </r>
  <r>
    <x v="19"/>
    <x v="51"/>
    <s v="Combined Heat and Power, Industrial Power"/>
    <x v="0"/>
    <n v="929437"/>
  </r>
  <r>
    <x v="19"/>
    <x v="51"/>
    <s v="Combined Heat and Power, Industrial Power"/>
    <x v="1"/>
    <n v="195776"/>
  </r>
  <r>
    <x v="19"/>
    <x v="51"/>
    <s v="Combined Heat and Power, Industrial Power"/>
    <x v="3"/>
    <n v="389463"/>
  </r>
  <r>
    <x v="19"/>
    <x v="51"/>
    <s v="Combined Heat and Power, Industrial Power"/>
    <x v="12"/>
    <n v="59613"/>
  </r>
  <r>
    <x v="19"/>
    <x v="51"/>
    <s v="Combined Heat and Power, Industrial Power"/>
    <x v="9"/>
    <n v="284361"/>
  </r>
  <r>
    <x v="19"/>
    <x v="51"/>
    <s v="Combined Heat and Power, Industrial Power"/>
    <x v="4"/>
    <n v="223"/>
  </r>
  <r>
    <x v="20"/>
    <x v="0"/>
    <s v="Total Electric Power Industry"/>
    <x v="0"/>
    <n v="6759576"/>
  </r>
  <r>
    <x v="20"/>
    <x v="0"/>
    <s v="Total Electric Power Industry"/>
    <x v="1"/>
    <n v="620443"/>
  </r>
  <r>
    <x v="20"/>
    <x v="0"/>
    <s v="Total Electric Power Industry"/>
    <x v="2"/>
    <n v="1433141"/>
  </r>
  <r>
    <x v="20"/>
    <x v="0"/>
    <s v="Total Electric Power Industry"/>
    <x v="3"/>
    <n v="3750024"/>
  </r>
  <r>
    <x v="20"/>
    <x v="0"/>
    <s v="Total Electric Power Industry"/>
    <x v="12"/>
    <n v="0"/>
  </r>
  <r>
    <x v="20"/>
    <x v="0"/>
    <s v="Total Electric Power Industry"/>
    <x v="8"/>
    <n v="6304"/>
  </r>
  <r>
    <x v="20"/>
    <x v="0"/>
    <s v="Total Electric Power Industry"/>
    <x v="4"/>
    <n v="937056"/>
  </r>
  <r>
    <x v="20"/>
    <x v="0"/>
    <s v="Total Electric Power Industry"/>
    <x v="5"/>
    <n v="12607"/>
  </r>
  <r>
    <x v="20"/>
    <x v="0"/>
    <s v="Electric Generators, Independent Power Producers"/>
    <x v="0"/>
    <n v="0"/>
  </r>
  <r>
    <x v="20"/>
    <x v="0"/>
    <s v="Electric Generators, Independent Power Producers"/>
    <x v="12"/>
    <n v="0"/>
  </r>
  <r>
    <x v="20"/>
    <x v="0"/>
    <s v="Electric Generators, Electric Utilities"/>
    <x v="0"/>
    <n v="6205050"/>
  </r>
  <r>
    <x v="20"/>
    <x v="0"/>
    <s v="Electric Generators, Electric Utilities"/>
    <x v="1"/>
    <n v="189477"/>
  </r>
  <r>
    <x v="20"/>
    <x v="0"/>
    <s v="Electric Generators, Electric Utilities"/>
    <x v="2"/>
    <n v="1433141"/>
  </r>
  <r>
    <x v="20"/>
    <x v="0"/>
    <s v="Electric Generators, Electric Utilities"/>
    <x v="3"/>
    <n v="3684809"/>
  </r>
  <r>
    <x v="20"/>
    <x v="0"/>
    <s v="Electric Generators, Electric Utilities"/>
    <x v="12"/>
    <n v="0"/>
  </r>
  <r>
    <x v="20"/>
    <x v="0"/>
    <s v="Electric Generators, Electric Utilities"/>
    <x v="4"/>
    <n v="885016"/>
  </r>
  <r>
    <x v="20"/>
    <x v="0"/>
    <s v="Electric Generators, Electric Utilities"/>
    <x v="5"/>
    <n v="12607"/>
  </r>
  <r>
    <x v="20"/>
    <x v="0"/>
    <s v="Combined Heat and Power, Industrial Power"/>
    <x v="0"/>
    <n v="115944"/>
  </r>
  <r>
    <x v="20"/>
    <x v="0"/>
    <s v="Combined Heat and Power, Industrial Power"/>
    <x v="3"/>
    <n v="64575"/>
  </r>
  <r>
    <x v="20"/>
    <x v="0"/>
    <s v="Combined Heat and Power, Industrial Power"/>
    <x v="8"/>
    <n v="6304"/>
  </r>
  <r>
    <x v="20"/>
    <x v="0"/>
    <s v="Combined Heat and Power, Industrial Power"/>
    <x v="4"/>
    <n v="45064"/>
  </r>
  <r>
    <x v="20"/>
    <x v="0"/>
    <s v="Combined Heat and Power, Electric Power"/>
    <x v="0"/>
    <n v="204196"/>
  </r>
  <r>
    <x v="20"/>
    <x v="0"/>
    <s v="Combined Heat and Power, Electric Power"/>
    <x v="1"/>
    <n v="204196"/>
  </r>
  <r>
    <x v="20"/>
    <x v="0"/>
    <s v="Combined Heat and Power, Commercial Power"/>
    <x v="0"/>
    <n v="234386"/>
  </r>
  <r>
    <x v="20"/>
    <x v="0"/>
    <s v="Combined Heat and Power, Commercial Power"/>
    <x v="1"/>
    <n v="226771"/>
  </r>
  <r>
    <x v="20"/>
    <x v="0"/>
    <s v="Combined Heat and Power, Commercial Power"/>
    <x v="3"/>
    <n v="640"/>
  </r>
  <r>
    <x v="20"/>
    <x v="0"/>
    <s v="Combined Heat and Power, Commercial Power"/>
    <x v="4"/>
    <n v="6976"/>
  </r>
  <r>
    <x v="20"/>
    <x v="1"/>
    <s v="Total Electric Power Industry"/>
    <x v="0"/>
    <n v="152150512"/>
  </r>
  <r>
    <x v="20"/>
    <x v="1"/>
    <s v="Total Electric Power Industry"/>
    <x v="1"/>
    <n v="63050411"/>
  </r>
  <r>
    <x v="20"/>
    <x v="1"/>
    <s v="Total Electric Power Industry"/>
    <x v="2"/>
    <n v="8704254"/>
  </r>
  <r>
    <x v="20"/>
    <x v="1"/>
    <s v="Total Electric Power Industry"/>
    <x v="3"/>
    <n v="39235017"/>
  </r>
  <r>
    <x v="20"/>
    <x v="1"/>
    <s v="Total Electric Power Industry"/>
    <x v="7"/>
    <n v="37940821"/>
  </r>
  <r>
    <x v="20"/>
    <x v="1"/>
    <s v="Total Electric Power Industry"/>
    <x v="12"/>
    <n v="366444"/>
  </r>
  <r>
    <x v="20"/>
    <x v="1"/>
    <s v="Total Electric Power Industry"/>
    <x v="8"/>
    <n v="11533"/>
  </r>
  <r>
    <x v="20"/>
    <x v="1"/>
    <s v="Total Electric Power Industry"/>
    <x v="9"/>
    <n v="276725"/>
  </r>
  <r>
    <x v="20"/>
    <x v="1"/>
    <s v="Total Electric Power Industry"/>
    <x v="4"/>
    <n v="199854"/>
  </r>
  <r>
    <x v="20"/>
    <x v="1"/>
    <s v="Total Electric Power Industry"/>
    <x v="6"/>
    <n v="2365453"/>
  </r>
  <r>
    <x v="20"/>
    <x v="1"/>
    <s v="Electric Generators, Independent Power Producers"/>
    <x v="0"/>
    <n v="20923024"/>
  </r>
  <r>
    <x v="20"/>
    <x v="1"/>
    <s v="Electric Generators, Independent Power Producers"/>
    <x v="3"/>
    <n v="20907505"/>
  </r>
  <r>
    <x v="20"/>
    <x v="1"/>
    <s v="Electric Generators, Independent Power Producers"/>
    <x v="4"/>
    <n v="15519"/>
  </r>
  <r>
    <x v="20"/>
    <x v="1"/>
    <s v="Electric Generators, Electric Utilities"/>
    <x v="0"/>
    <n v="122766490"/>
  </r>
  <r>
    <x v="20"/>
    <x v="1"/>
    <s v="Electric Generators, Electric Utilities"/>
    <x v="1"/>
    <n v="62502076"/>
  </r>
  <r>
    <x v="20"/>
    <x v="1"/>
    <s v="Electric Generators, Electric Utilities"/>
    <x v="2"/>
    <n v="8704254"/>
  </r>
  <r>
    <x v="20"/>
    <x v="1"/>
    <s v="Electric Generators, Electric Utilities"/>
    <x v="3"/>
    <n v="13519713"/>
  </r>
  <r>
    <x v="20"/>
    <x v="1"/>
    <s v="Electric Generators, Electric Utilities"/>
    <x v="7"/>
    <n v="37940821"/>
  </r>
  <r>
    <x v="20"/>
    <x v="1"/>
    <s v="Electric Generators, Electric Utilities"/>
    <x v="8"/>
    <n v="1190"/>
  </r>
  <r>
    <x v="20"/>
    <x v="1"/>
    <s v="Electric Generators, Electric Utilities"/>
    <x v="4"/>
    <n v="98436"/>
  </r>
  <r>
    <x v="20"/>
    <x v="1"/>
    <s v="Electric Generators, Electric Utilities"/>
    <x v="6"/>
    <n v="0"/>
  </r>
  <r>
    <x v="20"/>
    <x v="1"/>
    <s v="Combined Heat and Power, Industrial Power"/>
    <x v="0"/>
    <n v="4217849"/>
  </r>
  <r>
    <x v="20"/>
    <x v="1"/>
    <s v="Combined Heat and Power, Industrial Power"/>
    <x v="1"/>
    <n v="435499"/>
  </r>
  <r>
    <x v="20"/>
    <x v="1"/>
    <s v="Combined Heat and Power, Industrial Power"/>
    <x v="3"/>
    <n v="937442"/>
  </r>
  <r>
    <x v="20"/>
    <x v="1"/>
    <s v="Combined Heat and Power, Industrial Power"/>
    <x v="12"/>
    <n v="366444"/>
  </r>
  <r>
    <x v="20"/>
    <x v="1"/>
    <s v="Combined Heat and Power, Industrial Power"/>
    <x v="8"/>
    <n v="10342"/>
  </r>
  <r>
    <x v="20"/>
    <x v="1"/>
    <s v="Combined Heat and Power, Industrial Power"/>
    <x v="9"/>
    <n v="276725"/>
  </r>
  <r>
    <x v="20"/>
    <x v="1"/>
    <s v="Combined Heat and Power, Industrial Power"/>
    <x v="4"/>
    <n v="85898"/>
  </r>
  <r>
    <x v="20"/>
    <x v="1"/>
    <s v="Combined Heat and Power, Industrial Power"/>
    <x v="6"/>
    <n v="2105498"/>
  </r>
  <r>
    <x v="20"/>
    <x v="1"/>
    <s v="Combined Heat and Power, Electric Power"/>
    <x v="0"/>
    <n v="4243149"/>
  </r>
  <r>
    <x v="20"/>
    <x v="1"/>
    <s v="Combined Heat and Power, Electric Power"/>
    <x v="1"/>
    <n v="112835"/>
  </r>
  <r>
    <x v="20"/>
    <x v="1"/>
    <s v="Combined Heat and Power, Electric Power"/>
    <x v="3"/>
    <n v="3870358"/>
  </r>
  <r>
    <x v="20"/>
    <x v="1"/>
    <s v="Combined Heat and Power, Electric Power"/>
    <x v="6"/>
    <n v="259956"/>
  </r>
  <r>
    <x v="20"/>
    <x v="2"/>
    <s v="Total Electric Power Industry"/>
    <x v="0"/>
    <n v="61000185"/>
  </r>
  <r>
    <x v="20"/>
    <x v="2"/>
    <s v="Total Electric Power Industry"/>
    <x v="1"/>
    <n v="28152445"/>
  </r>
  <r>
    <x v="20"/>
    <x v="2"/>
    <s v="Total Electric Power Industry"/>
    <x v="2"/>
    <n v="3658962"/>
  </r>
  <r>
    <x v="20"/>
    <x v="2"/>
    <s v="Total Electric Power Industry"/>
    <x v="3"/>
    <n v="12469077"/>
  </r>
  <r>
    <x v="20"/>
    <x v="2"/>
    <s v="Total Electric Power Industry"/>
    <x v="7"/>
    <n v="15022678"/>
  </r>
  <r>
    <x v="20"/>
    <x v="2"/>
    <s v="Total Electric Power Industry"/>
    <x v="12"/>
    <n v="28421"/>
  </r>
  <r>
    <x v="20"/>
    <x v="2"/>
    <s v="Total Electric Power Industry"/>
    <x v="8"/>
    <n v="56959"/>
  </r>
  <r>
    <x v="20"/>
    <x v="2"/>
    <s v="Total Electric Power Industry"/>
    <x v="4"/>
    <n v="45179"/>
  </r>
  <r>
    <x v="20"/>
    <x v="2"/>
    <s v="Total Electric Power Industry"/>
    <x v="10"/>
    <n v="-521"/>
  </r>
  <r>
    <x v="20"/>
    <x v="2"/>
    <s v="Total Electric Power Industry"/>
    <x v="6"/>
    <n v="1566984"/>
  </r>
  <r>
    <x v="20"/>
    <x v="2"/>
    <s v="Electric Generators, Independent Power Producers"/>
    <x v="0"/>
    <n v="10731835"/>
  </r>
  <r>
    <x v="20"/>
    <x v="2"/>
    <s v="Electric Generators, Independent Power Producers"/>
    <x v="1"/>
    <n v="1619273"/>
  </r>
  <r>
    <x v="20"/>
    <x v="2"/>
    <s v="Electric Generators, Independent Power Producers"/>
    <x v="2"/>
    <n v="52273"/>
  </r>
  <r>
    <x v="20"/>
    <x v="2"/>
    <s v="Electric Generators, Independent Power Producers"/>
    <x v="3"/>
    <n v="9017087"/>
  </r>
  <r>
    <x v="20"/>
    <x v="2"/>
    <s v="Electric Generators, Independent Power Producers"/>
    <x v="8"/>
    <n v="38323"/>
  </r>
  <r>
    <x v="20"/>
    <x v="2"/>
    <s v="Electric Generators, Independent Power Producers"/>
    <x v="4"/>
    <n v="4879"/>
  </r>
  <r>
    <x v="20"/>
    <x v="2"/>
    <s v="Electric Generators, Electric Utilities"/>
    <x v="0"/>
    <n v="47108063"/>
  </r>
  <r>
    <x v="20"/>
    <x v="2"/>
    <s v="Electric Generators, Electric Utilities"/>
    <x v="1"/>
    <n v="26421729"/>
  </r>
  <r>
    <x v="20"/>
    <x v="2"/>
    <s v="Electric Generators, Electric Utilities"/>
    <x v="2"/>
    <n v="3606689"/>
  </r>
  <r>
    <x v="20"/>
    <x v="2"/>
    <s v="Electric Generators, Electric Utilities"/>
    <x v="3"/>
    <n v="2020347"/>
  </r>
  <r>
    <x v="20"/>
    <x v="2"/>
    <s v="Electric Generators, Electric Utilities"/>
    <x v="7"/>
    <n v="15022678"/>
  </r>
  <r>
    <x v="20"/>
    <x v="2"/>
    <s v="Electric Generators, Electric Utilities"/>
    <x v="4"/>
    <n v="37140"/>
  </r>
  <r>
    <x v="20"/>
    <x v="2"/>
    <s v="Electric Generators, Electric Utilities"/>
    <x v="10"/>
    <n v="-521"/>
  </r>
  <r>
    <x v="20"/>
    <x v="2"/>
    <s v="Combined Heat and Power, Industrial Power"/>
    <x v="0"/>
    <n v="1934355"/>
  </r>
  <r>
    <x v="20"/>
    <x v="2"/>
    <s v="Combined Heat and Power, Industrial Power"/>
    <x v="1"/>
    <n v="111443"/>
  </r>
  <r>
    <x v="20"/>
    <x v="2"/>
    <s v="Combined Heat and Power, Industrial Power"/>
    <x v="3"/>
    <n v="224347"/>
  </r>
  <r>
    <x v="20"/>
    <x v="2"/>
    <s v="Combined Heat and Power, Industrial Power"/>
    <x v="12"/>
    <n v="28421"/>
  </r>
  <r>
    <x v="20"/>
    <x v="2"/>
    <s v="Combined Heat and Power, Industrial Power"/>
    <x v="8"/>
    <n v="0"/>
  </r>
  <r>
    <x v="20"/>
    <x v="2"/>
    <s v="Combined Heat and Power, Industrial Power"/>
    <x v="4"/>
    <n v="3160"/>
  </r>
  <r>
    <x v="20"/>
    <x v="2"/>
    <s v="Combined Heat and Power, Industrial Power"/>
    <x v="6"/>
    <n v="1566984"/>
  </r>
  <r>
    <x v="20"/>
    <x v="2"/>
    <s v="Combined Heat and Power, Electric Power"/>
    <x v="0"/>
    <n v="1220329"/>
  </r>
  <r>
    <x v="20"/>
    <x v="2"/>
    <s v="Combined Heat and Power, Electric Power"/>
    <x v="3"/>
    <n v="1206317"/>
  </r>
  <r>
    <x v="20"/>
    <x v="2"/>
    <s v="Combined Heat and Power, Electric Power"/>
    <x v="8"/>
    <n v="14012"/>
  </r>
  <r>
    <x v="20"/>
    <x v="2"/>
    <s v="Combined Heat and Power, Electric Power"/>
    <x v="4"/>
    <n v="0"/>
  </r>
  <r>
    <x v="20"/>
    <x v="2"/>
    <s v="Combined Heat and Power, Commercial Power"/>
    <x v="0"/>
    <n v="5603"/>
  </r>
  <r>
    <x v="20"/>
    <x v="2"/>
    <s v="Combined Heat and Power, Commercial Power"/>
    <x v="3"/>
    <n v="979"/>
  </r>
  <r>
    <x v="20"/>
    <x v="2"/>
    <s v="Combined Heat and Power, Commercial Power"/>
    <x v="8"/>
    <n v="4624"/>
  </r>
  <r>
    <x v="20"/>
    <x v="3"/>
    <s v="Total Electric Power Industry"/>
    <x v="0"/>
    <n v="111750957"/>
  </r>
  <r>
    <x v="20"/>
    <x v="3"/>
    <s v="Total Electric Power Industry"/>
    <x v="1"/>
    <n v="43643807"/>
  </r>
  <r>
    <x v="20"/>
    <x v="3"/>
    <s v="Total Electric Power Industry"/>
    <x v="2"/>
    <n v="6622160"/>
  </r>
  <r>
    <x v="20"/>
    <x v="3"/>
    <s v="Total Electric Power Industry"/>
    <x v="3"/>
    <n v="29675942"/>
  </r>
  <r>
    <x v="20"/>
    <x v="3"/>
    <s v="Total Electric Power Industry"/>
    <x v="7"/>
    <n v="31199935"/>
  </r>
  <r>
    <x v="20"/>
    <x v="3"/>
    <s v="Total Electric Power Industry"/>
    <x v="12"/>
    <n v="14742"/>
  </r>
  <r>
    <x v="20"/>
    <x v="3"/>
    <s v="Total Electric Power Industry"/>
    <x v="8"/>
    <n v="28411"/>
  </r>
  <r>
    <x v="20"/>
    <x v="3"/>
    <s v="Total Electric Power Industry"/>
    <x v="4"/>
    <n v="66434"/>
  </r>
  <r>
    <x v="20"/>
    <x v="3"/>
    <s v="Total Electric Power Industry"/>
    <x v="10"/>
    <n v="209030"/>
  </r>
  <r>
    <x v="20"/>
    <x v="3"/>
    <s v="Total Electric Power Industry"/>
    <x v="13"/>
    <n v="15754"/>
  </r>
  <r>
    <x v="20"/>
    <x v="3"/>
    <s v="Total Electric Power Industry"/>
    <x v="5"/>
    <n v="134916"/>
  </r>
  <r>
    <x v="20"/>
    <x v="3"/>
    <s v="Total Electric Power Industry"/>
    <x v="6"/>
    <n v="139826"/>
  </r>
  <r>
    <x v="20"/>
    <x v="3"/>
    <s v="Electric Generators, Independent Power Producers"/>
    <x v="0"/>
    <n v="19953866"/>
  </r>
  <r>
    <x v="20"/>
    <x v="3"/>
    <s v="Electric Generators, Independent Power Producers"/>
    <x v="3"/>
    <n v="19661194"/>
  </r>
  <r>
    <x v="20"/>
    <x v="3"/>
    <s v="Electric Generators, Independent Power Producers"/>
    <x v="12"/>
    <n v="14742"/>
  </r>
  <r>
    <x v="20"/>
    <x v="3"/>
    <s v="Electric Generators, Independent Power Producers"/>
    <x v="13"/>
    <n v="3188"/>
  </r>
  <r>
    <x v="20"/>
    <x v="3"/>
    <s v="Electric Generators, Independent Power Producers"/>
    <x v="5"/>
    <n v="134916"/>
  </r>
  <r>
    <x v="20"/>
    <x v="3"/>
    <s v="Electric Generators, Independent Power Producers"/>
    <x v="6"/>
    <n v="139826"/>
  </r>
  <r>
    <x v="20"/>
    <x v="3"/>
    <s v="Electric Generators, Electric Utilities"/>
    <x v="0"/>
    <n v="91232664"/>
  </r>
  <r>
    <x v="20"/>
    <x v="3"/>
    <s v="Electric Generators, Electric Utilities"/>
    <x v="1"/>
    <n v="43347748"/>
  </r>
  <r>
    <x v="20"/>
    <x v="3"/>
    <s v="Electric Generators, Electric Utilities"/>
    <x v="2"/>
    <n v="6622160"/>
  </r>
  <r>
    <x v="20"/>
    <x v="3"/>
    <s v="Electric Generators, Electric Utilities"/>
    <x v="3"/>
    <n v="9753402"/>
  </r>
  <r>
    <x v="20"/>
    <x v="3"/>
    <s v="Electric Generators, Electric Utilities"/>
    <x v="7"/>
    <n v="31199935"/>
  </r>
  <r>
    <x v="20"/>
    <x v="3"/>
    <s v="Electric Generators, Electric Utilities"/>
    <x v="8"/>
    <n v="24384"/>
  </r>
  <r>
    <x v="20"/>
    <x v="3"/>
    <s v="Electric Generators, Electric Utilities"/>
    <x v="4"/>
    <n v="63439"/>
  </r>
  <r>
    <x v="20"/>
    <x v="3"/>
    <s v="Electric Generators, Electric Utilities"/>
    <x v="10"/>
    <n v="209030"/>
  </r>
  <r>
    <x v="20"/>
    <x v="3"/>
    <s v="Electric Generators, Electric Utilities"/>
    <x v="13"/>
    <n v="12566"/>
  </r>
  <r>
    <x v="20"/>
    <x v="3"/>
    <s v="Combined Heat and Power, Industrial Power"/>
    <x v="0"/>
    <n v="304160"/>
  </r>
  <r>
    <x v="20"/>
    <x v="3"/>
    <s v="Combined Heat and Power, Industrial Power"/>
    <x v="1"/>
    <n v="296059"/>
  </r>
  <r>
    <x v="20"/>
    <x v="3"/>
    <s v="Combined Heat and Power, Industrial Power"/>
    <x v="3"/>
    <n v="5153"/>
  </r>
  <r>
    <x v="20"/>
    <x v="3"/>
    <s v="Combined Heat and Power, Industrial Power"/>
    <x v="4"/>
    <n v="2948"/>
  </r>
  <r>
    <x v="20"/>
    <x v="3"/>
    <s v="Combined Heat and Power, Electric Power"/>
    <x v="0"/>
    <n v="187909"/>
  </r>
  <r>
    <x v="20"/>
    <x v="3"/>
    <s v="Combined Heat and Power, Electric Power"/>
    <x v="3"/>
    <n v="187909"/>
  </r>
  <r>
    <x v="20"/>
    <x v="3"/>
    <s v="Combined Heat and Power, Commercial Power"/>
    <x v="0"/>
    <n v="72359"/>
  </r>
  <r>
    <x v="20"/>
    <x v="3"/>
    <s v="Combined Heat and Power, Commercial Power"/>
    <x v="3"/>
    <n v="68284"/>
  </r>
  <r>
    <x v="20"/>
    <x v="3"/>
    <s v="Combined Heat and Power, Commercial Power"/>
    <x v="8"/>
    <n v="4027"/>
  </r>
  <r>
    <x v="20"/>
    <x v="3"/>
    <s v="Combined Heat and Power, Commercial Power"/>
    <x v="4"/>
    <n v="48"/>
  </r>
  <r>
    <x v="20"/>
    <x v="4"/>
    <s v="Total Electric Power Industry"/>
    <x v="0"/>
    <n v="204125596"/>
  </r>
  <r>
    <x v="20"/>
    <x v="4"/>
    <s v="Total Electric Power Industry"/>
    <x v="1"/>
    <n v="2100221"/>
  </r>
  <r>
    <x v="20"/>
    <x v="4"/>
    <s v="Total Electric Power Industry"/>
    <x v="11"/>
    <n v="12600098"/>
  </r>
  <r>
    <x v="20"/>
    <x v="4"/>
    <s v="Total Electric Power Industry"/>
    <x v="2"/>
    <n v="33430870"/>
  </r>
  <r>
    <x v="20"/>
    <x v="4"/>
    <s v="Total Electric Power Industry"/>
    <x v="3"/>
    <n v="107522313"/>
  </r>
  <r>
    <x v="20"/>
    <x v="4"/>
    <s v="Total Electric Power Industry"/>
    <x v="7"/>
    <n v="32200757"/>
  </r>
  <r>
    <x v="20"/>
    <x v="4"/>
    <s v="Total Electric Power Industry"/>
    <x v="12"/>
    <n v="839048"/>
  </r>
  <r>
    <x v="20"/>
    <x v="4"/>
    <s v="Total Electric Power Industry"/>
    <x v="8"/>
    <n v="2450783"/>
  </r>
  <r>
    <x v="20"/>
    <x v="4"/>
    <s v="Total Electric Power Industry"/>
    <x v="9"/>
    <n v="1694641"/>
  </r>
  <r>
    <x v="20"/>
    <x v="4"/>
    <s v="Total Electric Power Industry"/>
    <x v="4"/>
    <n v="1059289"/>
  </r>
  <r>
    <x v="20"/>
    <x v="4"/>
    <s v="Total Electric Power Industry"/>
    <x v="10"/>
    <n v="-171265"/>
  </r>
  <r>
    <x v="20"/>
    <x v="4"/>
    <s v="Total Electric Power Industry"/>
    <x v="13"/>
    <n v="769331"/>
  </r>
  <r>
    <x v="20"/>
    <x v="4"/>
    <s v="Total Electric Power Industry"/>
    <x v="5"/>
    <n v="6078632"/>
  </r>
  <r>
    <x v="20"/>
    <x v="4"/>
    <s v="Total Electric Power Industry"/>
    <x v="6"/>
    <n v="3550877"/>
  </r>
  <r>
    <x v="20"/>
    <x v="4"/>
    <s v="Electric Generators, Independent Power Producers"/>
    <x v="0"/>
    <n v="69294065"/>
  </r>
  <r>
    <x v="20"/>
    <x v="4"/>
    <s v="Electric Generators, Independent Power Producers"/>
    <x v="1"/>
    <n v="0"/>
  </r>
  <r>
    <x v="20"/>
    <x v="4"/>
    <s v="Electric Generators, Independent Power Producers"/>
    <x v="11"/>
    <n v="11756551"/>
  </r>
  <r>
    <x v="20"/>
    <x v="4"/>
    <s v="Electric Generators, Independent Power Producers"/>
    <x v="2"/>
    <n v="1477459"/>
  </r>
  <r>
    <x v="20"/>
    <x v="4"/>
    <s v="Electric Generators, Independent Power Producers"/>
    <x v="3"/>
    <n v="44561925"/>
  </r>
  <r>
    <x v="20"/>
    <x v="4"/>
    <s v="Electric Generators, Independent Power Producers"/>
    <x v="12"/>
    <n v="90162"/>
  </r>
  <r>
    <x v="20"/>
    <x v="4"/>
    <s v="Electric Generators, Independent Power Producers"/>
    <x v="8"/>
    <n v="1580711"/>
  </r>
  <r>
    <x v="20"/>
    <x v="4"/>
    <s v="Electric Generators, Independent Power Producers"/>
    <x v="9"/>
    <n v="2"/>
  </r>
  <r>
    <x v="20"/>
    <x v="4"/>
    <s v="Electric Generators, Independent Power Producers"/>
    <x v="4"/>
    <n v="912846"/>
  </r>
  <r>
    <x v="20"/>
    <x v="4"/>
    <s v="Electric Generators, Independent Power Producers"/>
    <x v="13"/>
    <n v="752147"/>
  </r>
  <r>
    <x v="20"/>
    <x v="4"/>
    <s v="Electric Generators, Independent Power Producers"/>
    <x v="5"/>
    <n v="5535571"/>
  </r>
  <r>
    <x v="20"/>
    <x v="4"/>
    <s v="Electric Generators, Independent Power Producers"/>
    <x v="6"/>
    <n v="2626690"/>
  </r>
  <r>
    <x v="20"/>
    <x v="4"/>
    <s v="Electric Generators, Electric Utilities"/>
    <x v="0"/>
    <n v="96939535"/>
  </r>
  <r>
    <x v="20"/>
    <x v="4"/>
    <s v="Electric Generators, Electric Utilities"/>
    <x v="11"/>
    <n v="843547"/>
  </r>
  <r>
    <x v="20"/>
    <x v="4"/>
    <s v="Electric Generators, Electric Utilities"/>
    <x v="2"/>
    <n v="31946754"/>
  </r>
  <r>
    <x v="20"/>
    <x v="4"/>
    <s v="Electric Generators, Electric Utilities"/>
    <x v="3"/>
    <n v="31251994"/>
  </r>
  <r>
    <x v="20"/>
    <x v="4"/>
    <s v="Electric Generators, Electric Utilities"/>
    <x v="7"/>
    <n v="32200757"/>
  </r>
  <r>
    <x v="20"/>
    <x v="4"/>
    <s v="Electric Generators, Electric Utilities"/>
    <x v="8"/>
    <n v="228655"/>
  </r>
  <r>
    <x v="20"/>
    <x v="4"/>
    <s v="Electric Generators, Electric Utilities"/>
    <x v="9"/>
    <n v="41963"/>
  </r>
  <r>
    <x v="20"/>
    <x v="4"/>
    <s v="Electric Generators, Electric Utilities"/>
    <x v="4"/>
    <n v="40819"/>
  </r>
  <r>
    <x v="20"/>
    <x v="4"/>
    <s v="Electric Generators, Electric Utilities"/>
    <x v="10"/>
    <n v="-171265"/>
  </r>
  <r>
    <x v="20"/>
    <x v="4"/>
    <s v="Electric Generators, Electric Utilities"/>
    <x v="13"/>
    <n v="13250"/>
  </r>
  <r>
    <x v="20"/>
    <x v="4"/>
    <s v="Electric Generators, Electric Utilities"/>
    <x v="5"/>
    <n v="543061"/>
  </r>
  <r>
    <x v="20"/>
    <x v="4"/>
    <s v="Combined Heat and Power, Industrial Power"/>
    <x v="0"/>
    <n v="16009948"/>
  </r>
  <r>
    <x v="20"/>
    <x v="4"/>
    <s v="Combined Heat and Power, Industrial Power"/>
    <x v="1"/>
    <n v="348744"/>
  </r>
  <r>
    <x v="20"/>
    <x v="4"/>
    <s v="Combined Heat and Power, Industrial Power"/>
    <x v="3"/>
    <n v="12716352"/>
  </r>
  <r>
    <x v="20"/>
    <x v="4"/>
    <s v="Combined Heat and Power, Industrial Power"/>
    <x v="12"/>
    <n v="630216"/>
  </r>
  <r>
    <x v="20"/>
    <x v="4"/>
    <s v="Combined Heat and Power, Industrial Power"/>
    <x v="9"/>
    <n v="1652165"/>
  </r>
  <r>
    <x v="20"/>
    <x v="4"/>
    <s v="Combined Heat and Power, Industrial Power"/>
    <x v="4"/>
    <n v="1852"/>
  </r>
  <r>
    <x v="20"/>
    <x v="4"/>
    <s v="Combined Heat and Power, Industrial Power"/>
    <x v="6"/>
    <n v="660619"/>
  </r>
  <r>
    <x v="20"/>
    <x v="4"/>
    <s v="Combined Heat and Power, Electric Power"/>
    <x v="0"/>
    <n v="19582003"/>
  </r>
  <r>
    <x v="20"/>
    <x v="4"/>
    <s v="Combined Heat and Power, Electric Power"/>
    <x v="1"/>
    <n v="1751477"/>
  </r>
  <r>
    <x v="20"/>
    <x v="4"/>
    <s v="Combined Heat and Power, Electric Power"/>
    <x v="3"/>
    <n v="17109161"/>
  </r>
  <r>
    <x v="20"/>
    <x v="4"/>
    <s v="Combined Heat and Power, Electric Power"/>
    <x v="12"/>
    <n v="118669"/>
  </r>
  <r>
    <x v="20"/>
    <x v="4"/>
    <s v="Combined Heat and Power, Electric Power"/>
    <x v="8"/>
    <n v="235299"/>
  </r>
  <r>
    <x v="20"/>
    <x v="4"/>
    <s v="Combined Heat and Power, Electric Power"/>
    <x v="9"/>
    <n v="510"/>
  </r>
  <r>
    <x v="20"/>
    <x v="4"/>
    <s v="Combined Heat and Power, Electric Power"/>
    <x v="4"/>
    <n v="103317"/>
  </r>
  <r>
    <x v="20"/>
    <x v="4"/>
    <s v="Combined Heat and Power, Electric Power"/>
    <x v="6"/>
    <n v="263569"/>
  </r>
  <r>
    <x v="20"/>
    <x v="4"/>
    <s v="Combined Heat and Power, Commercial Power"/>
    <x v="0"/>
    <n v="2300044"/>
  </r>
  <r>
    <x v="20"/>
    <x v="4"/>
    <s v="Combined Heat and Power, Commercial Power"/>
    <x v="2"/>
    <n v="6657"/>
  </r>
  <r>
    <x v="20"/>
    <x v="4"/>
    <s v="Combined Heat and Power, Commercial Power"/>
    <x v="3"/>
    <n v="1882881"/>
  </r>
  <r>
    <x v="20"/>
    <x v="4"/>
    <s v="Combined Heat and Power, Commercial Power"/>
    <x v="12"/>
    <n v="1"/>
  </r>
  <r>
    <x v="20"/>
    <x v="4"/>
    <s v="Combined Heat and Power, Commercial Power"/>
    <x v="8"/>
    <n v="406117"/>
  </r>
  <r>
    <x v="20"/>
    <x v="4"/>
    <s v="Combined Heat and Power, Commercial Power"/>
    <x v="9"/>
    <n v="0"/>
  </r>
  <r>
    <x v="20"/>
    <x v="4"/>
    <s v="Combined Heat and Power, Commercial Power"/>
    <x v="4"/>
    <n v="455"/>
  </r>
  <r>
    <x v="20"/>
    <x v="4"/>
    <s v="Combined Heat and Power, Commercial Power"/>
    <x v="13"/>
    <n v="3934"/>
  </r>
  <r>
    <x v="20"/>
    <x v="5"/>
    <s v="Total Electric Power Industry"/>
    <x v="0"/>
    <n v="50720792"/>
  </r>
  <r>
    <x v="20"/>
    <x v="5"/>
    <s v="Total Electric Power Industry"/>
    <x v="1"/>
    <n v="34559290"/>
  </r>
  <r>
    <x v="20"/>
    <x v="5"/>
    <s v="Total Electric Power Industry"/>
    <x v="2"/>
    <n v="1578264"/>
  </r>
  <r>
    <x v="20"/>
    <x v="5"/>
    <s v="Total Electric Power Industry"/>
    <x v="3"/>
    <n v="11062275"/>
  </r>
  <r>
    <x v="20"/>
    <x v="5"/>
    <s v="Total Electric Power Industry"/>
    <x v="12"/>
    <n v="69741"/>
  </r>
  <r>
    <x v="20"/>
    <x v="5"/>
    <s v="Total Electric Power Industry"/>
    <x v="8"/>
    <n v="57979"/>
  </r>
  <r>
    <x v="20"/>
    <x v="5"/>
    <s v="Total Electric Power Industry"/>
    <x v="9"/>
    <n v="0"/>
  </r>
  <r>
    <x v="20"/>
    <x v="5"/>
    <s v="Total Electric Power Industry"/>
    <x v="4"/>
    <n v="17482"/>
  </r>
  <r>
    <x v="20"/>
    <x v="5"/>
    <s v="Total Electric Power Industry"/>
    <x v="10"/>
    <n v="-120792"/>
  </r>
  <r>
    <x v="20"/>
    <x v="5"/>
    <s v="Total Electric Power Industry"/>
    <x v="13"/>
    <n v="42498"/>
  </r>
  <r>
    <x v="20"/>
    <x v="5"/>
    <s v="Total Electric Power Industry"/>
    <x v="5"/>
    <n v="3451851"/>
  </r>
  <r>
    <x v="20"/>
    <x v="5"/>
    <s v="Total Electric Power Industry"/>
    <x v="6"/>
    <n v="2205"/>
  </r>
  <r>
    <x v="20"/>
    <x v="5"/>
    <s v="Electric Generators, Independent Power Producers"/>
    <x v="0"/>
    <n v="9937281"/>
  </r>
  <r>
    <x v="20"/>
    <x v="5"/>
    <s v="Electric Generators, Independent Power Producers"/>
    <x v="2"/>
    <n v="148092"/>
  </r>
  <r>
    <x v="20"/>
    <x v="5"/>
    <s v="Electric Generators, Independent Power Producers"/>
    <x v="3"/>
    <n v="6317941"/>
  </r>
  <r>
    <x v="20"/>
    <x v="5"/>
    <s v="Electric Generators, Independent Power Producers"/>
    <x v="12"/>
    <n v="22304"/>
  </r>
  <r>
    <x v="20"/>
    <x v="5"/>
    <s v="Electric Generators, Independent Power Producers"/>
    <x v="8"/>
    <n v="19656"/>
  </r>
  <r>
    <x v="20"/>
    <x v="5"/>
    <s v="Electric Generators, Independent Power Producers"/>
    <x v="4"/>
    <n v="49"/>
  </r>
  <r>
    <x v="20"/>
    <x v="5"/>
    <s v="Electric Generators, Independent Power Producers"/>
    <x v="13"/>
    <n v="42498"/>
  </r>
  <r>
    <x v="20"/>
    <x v="5"/>
    <s v="Electric Generators, Independent Power Producers"/>
    <x v="5"/>
    <n v="3386742"/>
  </r>
  <r>
    <x v="20"/>
    <x v="5"/>
    <s v="Electric Generators, Electric Utilities"/>
    <x v="0"/>
    <n v="39584166"/>
  </r>
  <r>
    <x v="20"/>
    <x v="5"/>
    <s v="Electric Generators, Electric Utilities"/>
    <x v="1"/>
    <n v="34386818"/>
  </r>
  <r>
    <x v="20"/>
    <x v="5"/>
    <s v="Electric Generators, Electric Utilities"/>
    <x v="2"/>
    <n v="1430172"/>
  </r>
  <r>
    <x v="20"/>
    <x v="5"/>
    <s v="Electric Generators, Electric Utilities"/>
    <x v="3"/>
    <n v="3803231"/>
  </r>
  <r>
    <x v="20"/>
    <x v="5"/>
    <s v="Electric Generators, Electric Utilities"/>
    <x v="4"/>
    <n v="17424"/>
  </r>
  <r>
    <x v="20"/>
    <x v="5"/>
    <s v="Electric Generators, Electric Utilities"/>
    <x v="10"/>
    <n v="-120792"/>
  </r>
  <r>
    <x v="20"/>
    <x v="5"/>
    <s v="Electric Generators, Electric Utilities"/>
    <x v="5"/>
    <n v="65109"/>
  </r>
  <r>
    <x v="20"/>
    <x v="5"/>
    <s v="Electric Generators, Electric Utilities"/>
    <x v="6"/>
    <n v="2205"/>
  </r>
  <r>
    <x v="20"/>
    <x v="5"/>
    <s v="Combined Heat and Power, Industrial Power"/>
    <x v="0"/>
    <n v="60588"/>
  </r>
  <r>
    <x v="20"/>
    <x v="5"/>
    <s v="Combined Heat and Power, Industrial Power"/>
    <x v="3"/>
    <n v="13143"/>
  </r>
  <r>
    <x v="20"/>
    <x v="5"/>
    <s v="Combined Heat and Power, Industrial Power"/>
    <x v="12"/>
    <n v="47437"/>
  </r>
  <r>
    <x v="20"/>
    <x v="5"/>
    <s v="Combined Heat and Power, Industrial Power"/>
    <x v="4"/>
    <n v="8"/>
  </r>
  <r>
    <x v="20"/>
    <x v="5"/>
    <s v="Combined Heat and Power, Industrial Power"/>
    <x v="5"/>
    <n v="0"/>
  </r>
  <r>
    <x v="20"/>
    <x v="5"/>
    <s v="Combined Heat and Power, Electric Power"/>
    <x v="0"/>
    <n v="1134511"/>
  </r>
  <r>
    <x v="20"/>
    <x v="5"/>
    <s v="Combined Heat and Power, Electric Power"/>
    <x v="1"/>
    <n v="172472"/>
  </r>
  <r>
    <x v="20"/>
    <x v="5"/>
    <s v="Combined Heat and Power, Electric Power"/>
    <x v="3"/>
    <n v="923716"/>
  </r>
  <r>
    <x v="20"/>
    <x v="5"/>
    <s v="Combined Heat and Power, Electric Power"/>
    <x v="8"/>
    <n v="38323"/>
  </r>
  <r>
    <x v="20"/>
    <x v="5"/>
    <s v="Combined Heat and Power, Electric Power"/>
    <x v="9"/>
    <n v="0"/>
  </r>
  <r>
    <x v="20"/>
    <x v="5"/>
    <s v="Combined Heat and Power, Electric Power"/>
    <x v="4"/>
    <n v="0"/>
  </r>
  <r>
    <x v="20"/>
    <x v="5"/>
    <s v="Combined Heat and Power, Commercial Power"/>
    <x v="0"/>
    <n v="4245"/>
  </r>
  <r>
    <x v="20"/>
    <x v="5"/>
    <s v="Combined Heat and Power, Commercial Power"/>
    <x v="3"/>
    <n v="4243"/>
  </r>
  <r>
    <x v="20"/>
    <x v="5"/>
    <s v="Combined Heat and Power, Commercial Power"/>
    <x v="4"/>
    <n v="2"/>
  </r>
  <r>
    <x v="20"/>
    <x v="5"/>
    <s v="Combined Heat and Power, Commercial Power"/>
    <x v="13"/>
    <n v="0"/>
  </r>
  <r>
    <x v="20"/>
    <x v="5"/>
    <s v="Combined Heat and Power, Commercial Power"/>
    <x v="5"/>
    <n v="0"/>
  </r>
  <r>
    <x v="20"/>
    <x v="6"/>
    <s v="Total Electric Power Industry"/>
    <x v="0"/>
    <n v="33349623"/>
  </r>
  <r>
    <x v="20"/>
    <x v="6"/>
    <s v="Total Electric Power Industry"/>
    <x v="1"/>
    <n v="2604399"/>
  </r>
  <r>
    <x v="20"/>
    <x v="6"/>
    <s v="Total Electric Power Industry"/>
    <x v="2"/>
    <n v="390667"/>
  </r>
  <r>
    <x v="20"/>
    <x v="6"/>
    <s v="Total Electric Power Industry"/>
    <x v="3"/>
    <n v="11715672"/>
  </r>
  <r>
    <x v="20"/>
    <x v="6"/>
    <s v="Total Electric Power Industry"/>
    <x v="7"/>
    <n v="16750304"/>
  </r>
  <r>
    <x v="20"/>
    <x v="6"/>
    <s v="Total Electric Power Industry"/>
    <x v="12"/>
    <n v="716561"/>
  </r>
  <r>
    <x v="20"/>
    <x v="6"/>
    <s v="Total Electric Power Industry"/>
    <x v="8"/>
    <n v="739246"/>
  </r>
  <r>
    <x v="20"/>
    <x v="6"/>
    <s v="Total Electric Power Industry"/>
    <x v="9"/>
    <n v="13936"/>
  </r>
  <r>
    <x v="20"/>
    <x v="6"/>
    <s v="Total Electric Power Industry"/>
    <x v="4"/>
    <n v="408932"/>
  </r>
  <r>
    <x v="20"/>
    <x v="6"/>
    <s v="Total Electric Power Industry"/>
    <x v="10"/>
    <n v="9492"/>
  </r>
  <r>
    <x v="20"/>
    <x v="6"/>
    <s v="Total Electric Power Industry"/>
    <x v="6"/>
    <n v="414"/>
  </r>
  <r>
    <x v="20"/>
    <x v="6"/>
    <s v="Electric Generators, Independent Power Producers"/>
    <x v="0"/>
    <n v="31184688"/>
  </r>
  <r>
    <x v="20"/>
    <x v="6"/>
    <s v="Electric Generators, Independent Power Producers"/>
    <x v="1"/>
    <n v="1216075"/>
  </r>
  <r>
    <x v="20"/>
    <x v="6"/>
    <s v="Electric Generators, Independent Power Producers"/>
    <x v="2"/>
    <n v="358429"/>
  </r>
  <r>
    <x v="20"/>
    <x v="6"/>
    <s v="Electric Generators, Independent Power Producers"/>
    <x v="3"/>
    <n v="10994247"/>
  </r>
  <r>
    <x v="20"/>
    <x v="6"/>
    <s v="Electric Generators, Independent Power Producers"/>
    <x v="7"/>
    <n v="16750304"/>
  </r>
  <r>
    <x v="20"/>
    <x v="6"/>
    <s v="Electric Generators, Independent Power Producers"/>
    <x v="12"/>
    <n v="703478"/>
  </r>
  <r>
    <x v="20"/>
    <x v="6"/>
    <s v="Electric Generators, Independent Power Producers"/>
    <x v="8"/>
    <n v="739246"/>
  </r>
  <r>
    <x v="20"/>
    <x v="6"/>
    <s v="Electric Generators, Independent Power Producers"/>
    <x v="9"/>
    <n v="13936"/>
  </r>
  <r>
    <x v="20"/>
    <x v="6"/>
    <s v="Electric Generators, Independent Power Producers"/>
    <x v="4"/>
    <n v="399067"/>
  </r>
  <r>
    <x v="20"/>
    <x v="6"/>
    <s v="Electric Generators, Independent Power Producers"/>
    <x v="10"/>
    <n v="9492"/>
  </r>
  <r>
    <x v="20"/>
    <x v="6"/>
    <s v="Electric Generators, Independent Power Producers"/>
    <x v="6"/>
    <n v="414"/>
  </r>
  <r>
    <x v="20"/>
    <x v="6"/>
    <s v="Electric Generators, Electric Utilities"/>
    <x v="0"/>
    <n v="65570"/>
  </r>
  <r>
    <x v="20"/>
    <x v="6"/>
    <s v="Electric Generators, Electric Utilities"/>
    <x v="2"/>
    <n v="32238"/>
  </r>
  <r>
    <x v="20"/>
    <x v="6"/>
    <s v="Electric Generators, Electric Utilities"/>
    <x v="3"/>
    <n v="30728"/>
  </r>
  <r>
    <x v="20"/>
    <x v="6"/>
    <s v="Electric Generators, Electric Utilities"/>
    <x v="4"/>
    <n v="2604"/>
  </r>
  <r>
    <x v="20"/>
    <x v="6"/>
    <s v="Combined Heat and Power, Industrial Power"/>
    <x v="0"/>
    <n v="305799"/>
  </r>
  <r>
    <x v="20"/>
    <x v="6"/>
    <s v="Combined Heat and Power, Industrial Power"/>
    <x v="3"/>
    <n v="291251"/>
  </r>
  <r>
    <x v="20"/>
    <x v="6"/>
    <s v="Combined Heat and Power, Industrial Power"/>
    <x v="12"/>
    <n v="13083"/>
  </r>
  <r>
    <x v="20"/>
    <x v="6"/>
    <s v="Combined Heat and Power, Industrial Power"/>
    <x v="4"/>
    <n v="1465"/>
  </r>
  <r>
    <x v="20"/>
    <x v="6"/>
    <s v="Combined Heat and Power, Electric Power"/>
    <x v="0"/>
    <n v="1723788"/>
  </r>
  <r>
    <x v="20"/>
    <x v="6"/>
    <s v="Combined Heat and Power, Electric Power"/>
    <x v="1"/>
    <n v="1388324"/>
  </r>
  <r>
    <x v="20"/>
    <x v="6"/>
    <s v="Combined Heat and Power, Electric Power"/>
    <x v="3"/>
    <n v="329668"/>
  </r>
  <r>
    <x v="20"/>
    <x v="6"/>
    <s v="Combined Heat and Power, Electric Power"/>
    <x v="4"/>
    <n v="5795"/>
  </r>
  <r>
    <x v="20"/>
    <x v="6"/>
    <s v="Combined Heat and Power, Commercial Power"/>
    <x v="0"/>
    <n v="69779"/>
  </r>
  <r>
    <x v="20"/>
    <x v="6"/>
    <s v="Combined Heat and Power, Commercial Power"/>
    <x v="3"/>
    <n v="69779"/>
  </r>
  <r>
    <x v="20"/>
    <x v="6"/>
    <s v="Combined Heat and Power, Commercial Power"/>
    <x v="4"/>
    <n v="0"/>
  </r>
  <r>
    <x v="20"/>
    <x v="7"/>
    <s v="Total Electric Power Industry"/>
    <x v="0"/>
    <n v="199858"/>
  </r>
  <r>
    <x v="20"/>
    <x v="7"/>
    <s v="Total Electric Power Industry"/>
    <x v="4"/>
    <n v="199858"/>
  </r>
  <r>
    <x v="20"/>
    <x v="7"/>
    <s v="Electric Generators, Independent Power Producers"/>
    <x v="0"/>
    <n v="199858"/>
  </r>
  <r>
    <x v="20"/>
    <x v="7"/>
    <s v="Electric Generators, Independent Power Producers"/>
    <x v="4"/>
    <n v="199858"/>
  </r>
  <r>
    <x v="20"/>
    <x v="8"/>
    <s v="Total Electric Power Industry"/>
    <x v="0"/>
    <n v="5627645"/>
  </r>
  <r>
    <x v="20"/>
    <x v="8"/>
    <s v="Total Electric Power Industry"/>
    <x v="1"/>
    <n v="2568370"/>
  </r>
  <r>
    <x v="20"/>
    <x v="8"/>
    <s v="Total Electric Power Industry"/>
    <x v="3"/>
    <n v="2864983"/>
  </r>
  <r>
    <x v="20"/>
    <x v="8"/>
    <s v="Total Electric Power Industry"/>
    <x v="12"/>
    <n v="0"/>
  </r>
  <r>
    <x v="20"/>
    <x v="8"/>
    <s v="Total Electric Power Industry"/>
    <x v="8"/>
    <n v="135641"/>
  </r>
  <r>
    <x v="20"/>
    <x v="8"/>
    <s v="Total Electric Power Industry"/>
    <x v="9"/>
    <n v="0"/>
  </r>
  <r>
    <x v="20"/>
    <x v="8"/>
    <s v="Total Electric Power Industry"/>
    <x v="4"/>
    <n v="56095"/>
  </r>
  <r>
    <x v="20"/>
    <x v="8"/>
    <s v="Total Electric Power Industry"/>
    <x v="5"/>
    <n v="2556"/>
  </r>
  <r>
    <x v="20"/>
    <x v="8"/>
    <s v="Electric Generators, Independent Power Producers"/>
    <x v="0"/>
    <n v="4839273"/>
  </r>
  <r>
    <x v="20"/>
    <x v="8"/>
    <s v="Electric Generators, Independent Power Producers"/>
    <x v="1"/>
    <n v="2271711"/>
  </r>
  <r>
    <x v="20"/>
    <x v="8"/>
    <s v="Electric Generators, Independent Power Producers"/>
    <x v="3"/>
    <n v="2475322"/>
  </r>
  <r>
    <x v="20"/>
    <x v="8"/>
    <s v="Electric Generators, Independent Power Producers"/>
    <x v="8"/>
    <n v="44728"/>
  </r>
  <r>
    <x v="20"/>
    <x v="8"/>
    <s v="Electric Generators, Independent Power Producers"/>
    <x v="4"/>
    <n v="44956"/>
  </r>
  <r>
    <x v="20"/>
    <x v="8"/>
    <s v="Electric Generators, Independent Power Producers"/>
    <x v="5"/>
    <n v="2556"/>
  </r>
  <r>
    <x v="20"/>
    <x v="8"/>
    <s v="Electric Generators, Electric Utilities"/>
    <x v="0"/>
    <n v="30059"/>
  </r>
  <r>
    <x v="20"/>
    <x v="8"/>
    <s v="Electric Generators, Electric Utilities"/>
    <x v="3"/>
    <n v="29216"/>
  </r>
  <r>
    <x v="20"/>
    <x v="8"/>
    <s v="Electric Generators, Electric Utilities"/>
    <x v="4"/>
    <n v="843"/>
  </r>
  <r>
    <x v="20"/>
    <x v="8"/>
    <s v="Combined Heat and Power, Industrial Power"/>
    <x v="0"/>
    <n v="0"/>
  </r>
  <r>
    <x v="20"/>
    <x v="8"/>
    <s v="Combined Heat and Power, Industrial Power"/>
    <x v="3"/>
    <n v="0"/>
  </r>
  <r>
    <x v="20"/>
    <x v="8"/>
    <s v="Combined Heat and Power, Industrial Power"/>
    <x v="12"/>
    <n v="0"/>
  </r>
  <r>
    <x v="20"/>
    <x v="8"/>
    <s v="Combined Heat and Power, Industrial Power"/>
    <x v="9"/>
    <n v="0"/>
  </r>
  <r>
    <x v="20"/>
    <x v="8"/>
    <s v="Combined Heat and Power, Industrial Power"/>
    <x v="4"/>
    <n v="0"/>
  </r>
  <r>
    <x v="20"/>
    <x v="8"/>
    <s v="Combined Heat and Power, Electric Power"/>
    <x v="0"/>
    <n v="758313"/>
  </r>
  <r>
    <x v="20"/>
    <x v="8"/>
    <s v="Combined Heat and Power, Electric Power"/>
    <x v="1"/>
    <n v="296659"/>
  </r>
  <r>
    <x v="20"/>
    <x v="8"/>
    <s v="Combined Heat and Power, Electric Power"/>
    <x v="3"/>
    <n v="360445"/>
  </r>
  <r>
    <x v="20"/>
    <x v="8"/>
    <s v="Combined Heat and Power, Electric Power"/>
    <x v="8"/>
    <n v="90913"/>
  </r>
  <r>
    <x v="20"/>
    <x v="8"/>
    <s v="Combined Heat and Power, Electric Power"/>
    <x v="4"/>
    <n v="10295"/>
  </r>
  <r>
    <x v="20"/>
    <x v="9"/>
    <s v="Total Electric Power Industry"/>
    <x v="0"/>
    <n v="229095935"/>
  </r>
  <r>
    <x v="20"/>
    <x v="9"/>
    <s v="Total Electric Power Industry"/>
    <x v="1"/>
    <n v="59897433"/>
  </r>
  <r>
    <x v="20"/>
    <x v="9"/>
    <s v="Total Electric Power Industry"/>
    <x v="2"/>
    <n v="177474"/>
  </r>
  <r>
    <x v="20"/>
    <x v="9"/>
    <s v="Total Electric Power Industry"/>
    <x v="3"/>
    <n v="128634251"/>
  </r>
  <r>
    <x v="20"/>
    <x v="9"/>
    <s v="Total Electric Power Industry"/>
    <x v="7"/>
    <n v="23935922"/>
  </r>
  <r>
    <x v="20"/>
    <x v="9"/>
    <s v="Total Electric Power Industry"/>
    <x v="12"/>
    <n v="2833559"/>
  </r>
  <r>
    <x v="20"/>
    <x v="9"/>
    <s v="Total Electric Power Industry"/>
    <x v="8"/>
    <n v="2387416"/>
  </r>
  <r>
    <x v="20"/>
    <x v="9"/>
    <s v="Total Electric Power Industry"/>
    <x v="9"/>
    <n v="8075"/>
  </r>
  <r>
    <x v="20"/>
    <x v="9"/>
    <s v="Total Electric Power Industry"/>
    <x v="4"/>
    <n v="9122497"/>
  </r>
  <r>
    <x v="20"/>
    <x v="9"/>
    <s v="Total Electric Power Industry"/>
    <x v="13"/>
    <n v="80440"/>
  </r>
  <r>
    <x v="20"/>
    <x v="9"/>
    <s v="Total Electric Power Industry"/>
    <x v="6"/>
    <n v="2018868"/>
  </r>
  <r>
    <x v="20"/>
    <x v="9"/>
    <s v="Electric Generators, Independent Power Producers"/>
    <x v="0"/>
    <n v="10586569"/>
  </r>
  <r>
    <x v="20"/>
    <x v="9"/>
    <s v="Electric Generators, Independent Power Producers"/>
    <x v="3"/>
    <n v="7090319"/>
  </r>
  <r>
    <x v="20"/>
    <x v="9"/>
    <s v="Electric Generators, Independent Power Producers"/>
    <x v="12"/>
    <n v="1252135"/>
  </r>
  <r>
    <x v="20"/>
    <x v="9"/>
    <s v="Electric Generators, Independent Power Producers"/>
    <x v="8"/>
    <n v="1787575"/>
  </r>
  <r>
    <x v="20"/>
    <x v="9"/>
    <s v="Electric Generators, Independent Power Producers"/>
    <x v="9"/>
    <n v="21"/>
  </r>
  <r>
    <x v="20"/>
    <x v="9"/>
    <s v="Electric Generators, Independent Power Producers"/>
    <x v="4"/>
    <n v="199601"/>
  </r>
  <r>
    <x v="20"/>
    <x v="9"/>
    <s v="Electric Generators, Independent Power Producers"/>
    <x v="13"/>
    <n v="11827"/>
  </r>
  <r>
    <x v="20"/>
    <x v="9"/>
    <s v="Electric Generators, Independent Power Producers"/>
    <x v="6"/>
    <n v="245091"/>
  </r>
  <r>
    <x v="20"/>
    <x v="9"/>
    <s v="Electric Generators, Electric Utilities"/>
    <x v="0"/>
    <n v="206062185"/>
  </r>
  <r>
    <x v="20"/>
    <x v="9"/>
    <s v="Electric Generators, Electric Utilities"/>
    <x v="1"/>
    <n v="56074369"/>
  </r>
  <r>
    <x v="20"/>
    <x v="9"/>
    <s v="Electric Generators, Electric Utilities"/>
    <x v="2"/>
    <n v="177474"/>
  </r>
  <r>
    <x v="20"/>
    <x v="9"/>
    <s v="Electric Generators, Electric Utilities"/>
    <x v="3"/>
    <n v="116880469"/>
  </r>
  <r>
    <x v="20"/>
    <x v="9"/>
    <s v="Electric Generators, Electric Utilities"/>
    <x v="7"/>
    <n v="23935922"/>
  </r>
  <r>
    <x v="20"/>
    <x v="9"/>
    <s v="Electric Generators, Electric Utilities"/>
    <x v="8"/>
    <n v="57941"/>
  </r>
  <r>
    <x v="20"/>
    <x v="9"/>
    <s v="Electric Generators, Electric Utilities"/>
    <x v="4"/>
    <n v="8867397"/>
  </r>
  <r>
    <x v="20"/>
    <x v="9"/>
    <s v="Electric Generators, Electric Utilities"/>
    <x v="13"/>
    <n v="68613"/>
  </r>
  <r>
    <x v="20"/>
    <x v="9"/>
    <s v="Combined Heat and Power, Industrial Power"/>
    <x v="0"/>
    <n v="5464337"/>
  </r>
  <r>
    <x v="20"/>
    <x v="9"/>
    <s v="Combined Heat and Power, Industrial Power"/>
    <x v="1"/>
    <n v="358139"/>
  </r>
  <r>
    <x v="20"/>
    <x v="9"/>
    <s v="Combined Heat and Power, Industrial Power"/>
    <x v="3"/>
    <n v="1520358"/>
  </r>
  <r>
    <x v="20"/>
    <x v="9"/>
    <s v="Combined Heat and Power, Industrial Power"/>
    <x v="12"/>
    <n v="1581424"/>
  </r>
  <r>
    <x v="20"/>
    <x v="9"/>
    <s v="Combined Heat and Power, Industrial Power"/>
    <x v="8"/>
    <n v="322261"/>
  </r>
  <r>
    <x v="20"/>
    <x v="9"/>
    <s v="Combined Heat and Power, Industrial Power"/>
    <x v="9"/>
    <n v="8054"/>
  </r>
  <r>
    <x v="20"/>
    <x v="9"/>
    <s v="Combined Heat and Power, Industrial Power"/>
    <x v="4"/>
    <n v="45758"/>
  </r>
  <r>
    <x v="20"/>
    <x v="9"/>
    <s v="Combined Heat and Power, Industrial Power"/>
    <x v="6"/>
    <n v="1628343"/>
  </r>
  <r>
    <x v="20"/>
    <x v="9"/>
    <s v="Combined Heat and Power, Electric Power"/>
    <x v="0"/>
    <n v="6914176"/>
  </r>
  <r>
    <x v="20"/>
    <x v="9"/>
    <s v="Combined Heat and Power, Electric Power"/>
    <x v="1"/>
    <n v="3464925"/>
  </r>
  <r>
    <x v="20"/>
    <x v="9"/>
    <s v="Combined Heat and Power, Electric Power"/>
    <x v="3"/>
    <n v="3114699"/>
  </r>
  <r>
    <x v="20"/>
    <x v="9"/>
    <s v="Combined Heat and Power, Electric Power"/>
    <x v="12"/>
    <n v="0"/>
  </r>
  <r>
    <x v="20"/>
    <x v="9"/>
    <s v="Combined Heat and Power, Electric Power"/>
    <x v="8"/>
    <n v="179378"/>
  </r>
  <r>
    <x v="20"/>
    <x v="9"/>
    <s v="Combined Heat and Power, Electric Power"/>
    <x v="9"/>
    <n v="0"/>
  </r>
  <r>
    <x v="20"/>
    <x v="9"/>
    <s v="Combined Heat and Power, Electric Power"/>
    <x v="4"/>
    <n v="9741"/>
  </r>
  <r>
    <x v="20"/>
    <x v="9"/>
    <s v="Combined Heat and Power, Electric Power"/>
    <x v="6"/>
    <n v="145433"/>
  </r>
  <r>
    <x v="20"/>
    <x v="9"/>
    <s v="Combined Heat and Power, Commercial Power"/>
    <x v="0"/>
    <n v="68668"/>
  </r>
  <r>
    <x v="20"/>
    <x v="9"/>
    <s v="Combined Heat and Power, Commercial Power"/>
    <x v="3"/>
    <n v="28408"/>
  </r>
  <r>
    <x v="20"/>
    <x v="9"/>
    <s v="Combined Heat and Power, Commercial Power"/>
    <x v="8"/>
    <n v="40261"/>
  </r>
  <r>
    <x v="20"/>
    <x v="9"/>
    <s v="Combined Heat and Power, Commercial Power"/>
    <x v="4"/>
    <n v="0"/>
  </r>
  <r>
    <x v="20"/>
    <x v="10"/>
    <s v="Total Electric Power Industry"/>
    <x v="0"/>
    <n v="137576941"/>
  </r>
  <r>
    <x v="20"/>
    <x v="10"/>
    <s v="Total Electric Power Industry"/>
    <x v="1"/>
    <n v="73298042"/>
  </r>
  <r>
    <x v="20"/>
    <x v="10"/>
    <s v="Total Electric Power Industry"/>
    <x v="2"/>
    <n v="3321702"/>
  </r>
  <r>
    <x v="20"/>
    <x v="10"/>
    <s v="Total Electric Power Industry"/>
    <x v="3"/>
    <n v="23884457"/>
  </r>
  <r>
    <x v="20"/>
    <x v="10"/>
    <s v="Total Electric Power Industry"/>
    <x v="7"/>
    <n v="33512033"/>
  </r>
  <r>
    <x v="20"/>
    <x v="10"/>
    <s v="Total Electric Power Industry"/>
    <x v="12"/>
    <n v="17536"/>
  </r>
  <r>
    <x v="20"/>
    <x v="10"/>
    <s v="Total Electric Power Industry"/>
    <x v="8"/>
    <n v="127001"/>
  </r>
  <r>
    <x v="20"/>
    <x v="10"/>
    <s v="Total Electric Power Industry"/>
    <x v="4"/>
    <n v="640563"/>
  </r>
  <r>
    <x v="20"/>
    <x v="10"/>
    <s v="Total Electric Power Industry"/>
    <x v="10"/>
    <n v="-277954"/>
  </r>
  <r>
    <x v="20"/>
    <x v="10"/>
    <s v="Total Electric Power Industry"/>
    <x v="6"/>
    <n v="3053562"/>
  </r>
  <r>
    <x v="20"/>
    <x v="10"/>
    <s v="Electric Generators, Independent Power Producers"/>
    <x v="0"/>
    <n v="12115416"/>
  </r>
  <r>
    <x v="20"/>
    <x v="10"/>
    <s v="Electric Generators, Independent Power Producers"/>
    <x v="2"/>
    <n v="10917"/>
  </r>
  <r>
    <x v="20"/>
    <x v="10"/>
    <s v="Electric Generators, Independent Power Producers"/>
    <x v="3"/>
    <n v="11940878"/>
  </r>
  <r>
    <x v="20"/>
    <x v="10"/>
    <s v="Electric Generators, Independent Power Producers"/>
    <x v="12"/>
    <n v="0"/>
  </r>
  <r>
    <x v="20"/>
    <x v="10"/>
    <s v="Electric Generators, Independent Power Producers"/>
    <x v="8"/>
    <n v="63294"/>
  </r>
  <r>
    <x v="20"/>
    <x v="10"/>
    <s v="Electric Generators, Independent Power Producers"/>
    <x v="4"/>
    <n v="12438"/>
  </r>
  <r>
    <x v="20"/>
    <x v="10"/>
    <s v="Electric Generators, Independent Power Producers"/>
    <x v="6"/>
    <n v="87889"/>
  </r>
  <r>
    <x v="20"/>
    <x v="10"/>
    <s v="Electric Generators, Electric Utilities"/>
    <x v="0"/>
    <n v="120425913"/>
  </r>
  <r>
    <x v="20"/>
    <x v="10"/>
    <s v="Electric Generators, Electric Utilities"/>
    <x v="1"/>
    <n v="72550375"/>
  </r>
  <r>
    <x v="20"/>
    <x v="10"/>
    <s v="Electric Generators, Electric Utilities"/>
    <x v="2"/>
    <n v="3288341"/>
  </r>
  <r>
    <x v="20"/>
    <x v="10"/>
    <s v="Electric Generators, Electric Utilities"/>
    <x v="3"/>
    <n v="11282297"/>
  </r>
  <r>
    <x v="20"/>
    <x v="10"/>
    <s v="Electric Generators, Electric Utilities"/>
    <x v="7"/>
    <n v="33512033"/>
  </r>
  <r>
    <x v="20"/>
    <x v="10"/>
    <s v="Electric Generators, Electric Utilities"/>
    <x v="8"/>
    <n v="41"/>
  </r>
  <r>
    <x v="20"/>
    <x v="10"/>
    <s v="Electric Generators, Electric Utilities"/>
    <x v="4"/>
    <n v="70781"/>
  </r>
  <r>
    <x v="20"/>
    <x v="10"/>
    <s v="Electric Generators, Electric Utilities"/>
    <x v="10"/>
    <n v="-277954"/>
  </r>
  <r>
    <x v="20"/>
    <x v="10"/>
    <s v="Combined Heat and Power, Industrial Power"/>
    <x v="0"/>
    <n v="4834824"/>
  </r>
  <r>
    <x v="20"/>
    <x v="10"/>
    <s v="Combined Heat and Power, Industrial Power"/>
    <x v="1"/>
    <n v="747667"/>
  </r>
  <r>
    <x v="20"/>
    <x v="10"/>
    <s v="Combined Heat and Power, Industrial Power"/>
    <x v="2"/>
    <n v="22444"/>
  </r>
  <r>
    <x v="20"/>
    <x v="10"/>
    <s v="Combined Heat and Power, Industrial Power"/>
    <x v="3"/>
    <n v="490605"/>
  </r>
  <r>
    <x v="20"/>
    <x v="10"/>
    <s v="Combined Heat and Power, Industrial Power"/>
    <x v="12"/>
    <n v="17536"/>
  </r>
  <r>
    <x v="20"/>
    <x v="10"/>
    <s v="Combined Heat and Power, Industrial Power"/>
    <x v="8"/>
    <n v="43505"/>
  </r>
  <r>
    <x v="20"/>
    <x v="10"/>
    <s v="Combined Heat and Power, Industrial Power"/>
    <x v="4"/>
    <n v="547395"/>
  </r>
  <r>
    <x v="20"/>
    <x v="10"/>
    <s v="Combined Heat and Power, Industrial Power"/>
    <x v="6"/>
    <n v="2965672"/>
  </r>
  <r>
    <x v="20"/>
    <x v="10"/>
    <s v="Combined Heat and Power, Electric Power"/>
    <x v="0"/>
    <n v="178024"/>
  </r>
  <r>
    <x v="20"/>
    <x v="10"/>
    <s v="Combined Heat and Power, Electric Power"/>
    <x v="3"/>
    <n v="170678"/>
  </r>
  <r>
    <x v="20"/>
    <x v="10"/>
    <s v="Combined Heat and Power, Electric Power"/>
    <x v="4"/>
    <n v="7346"/>
  </r>
  <r>
    <x v="20"/>
    <x v="10"/>
    <s v="Combined Heat and Power, Commercial Power"/>
    <x v="0"/>
    <n v="22764"/>
  </r>
  <r>
    <x v="20"/>
    <x v="10"/>
    <s v="Combined Heat and Power, Commercial Power"/>
    <x v="3"/>
    <n v="0"/>
  </r>
  <r>
    <x v="20"/>
    <x v="10"/>
    <s v="Combined Heat and Power, Commercial Power"/>
    <x v="8"/>
    <n v="20161"/>
  </r>
  <r>
    <x v="20"/>
    <x v="10"/>
    <s v="Combined Heat and Power, Commercial Power"/>
    <x v="4"/>
    <n v="2603"/>
  </r>
  <r>
    <x v="20"/>
    <x v="11"/>
    <s v="Total Electric Power Industry"/>
    <x v="0"/>
    <n v="10836036"/>
  </r>
  <r>
    <x v="20"/>
    <x v="11"/>
    <s v="Total Electric Power Industry"/>
    <x v="1"/>
    <n v="1545513"/>
  </r>
  <r>
    <x v="20"/>
    <x v="11"/>
    <s v="Total Electric Power Industry"/>
    <x v="11"/>
    <n v="200595"/>
  </r>
  <r>
    <x v="20"/>
    <x v="11"/>
    <s v="Total Electric Power Industry"/>
    <x v="2"/>
    <n v="70423"/>
  </r>
  <r>
    <x v="20"/>
    <x v="11"/>
    <s v="Total Electric Power Industry"/>
    <x v="12"/>
    <n v="363880"/>
  </r>
  <r>
    <x v="20"/>
    <x v="11"/>
    <s v="Total Electric Power Industry"/>
    <x v="8"/>
    <n v="283474"/>
  </r>
  <r>
    <x v="20"/>
    <x v="11"/>
    <s v="Total Electric Power Industry"/>
    <x v="9"/>
    <n v="21915"/>
  </r>
  <r>
    <x v="20"/>
    <x v="11"/>
    <s v="Total Electric Power Industry"/>
    <x v="4"/>
    <n v="8087337"/>
  </r>
  <r>
    <x v="20"/>
    <x v="11"/>
    <s v="Total Electric Power Industry"/>
    <x v="13"/>
    <n v="1770"/>
  </r>
  <r>
    <x v="20"/>
    <x v="11"/>
    <s v="Total Electric Power Industry"/>
    <x v="5"/>
    <n v="261120"/>
  </r>
  <r>
    <x v="20"/>
    <x v="11"/>
    <s v="Total Electric Power Industry"/>
    <x v="6"/>
    <n v="9"/>
  </r>
  <r>
    <x v="20"/>
    <x v="11"/>
    <s v="Electric Generators, Independent Power Producers"/>
    <x v="0"/>
    <n v="761548"/>
  </r>
  <r>
    <x v="20"/>
    <x v="11"/>
    <s v="Electric Generators, Independent Power Producers"/>
    <x v="11"/>
    <n v="200595"/>
  </r>
  <r>
    <x v="20"/>
    <x v="11"/>
    <s v="Electric Generators, Independent Power Producers"/>
    <x v="2"/>
    <n v="11887"/>
  </r>
  <r>
    <x v="20"/>
    <x v="11"/>
    <s v="Electric Generators, Independent Power Producers"/>
    <x v="4"/>
    <n v="286176"/>
  </r>
  <r>
    <x v="20"/>
    <x v="11"/>
    <s v="Electric Generators, Independent Power Producers"/>
    <x v="13"/>
    <n v="1770"/>
  </r>
  <r>
    <x v="20"/>
    <x v="11"/>
    <s v="Electric Generators, Independent Power Producers"/>
    <x v="5"/>
    <n v="261120"/>
  </r>
  <r>
    <x v="20"/>
    <x v="11"/>
    <s v="Electric Generators, Electric Utilities"/>
    <x v="0"/>
    <n v="6416068"/>
  </r>
  <r>
    <x v="20"/>
    <x v="11"/>
    <s v="Electric Generators, Electric Utilities"/>
    <x v="2"/>
    <n v="16719"/>
  </r>
  <r>
    <x v="20"/>
    <x v="11"/>
    <s v="Electric Generators, Electric Utilities"/>
    <x v="12"/>
    <n v="219068"/>
  </r>
  <r>
    <x v="20"/>
    <x v="11"/>
    <s v="Electric Generators, Electric Utilities"/>
    <x v="8"/>
    <n v="1615"/>
  </r>
  <r>
    <x v="20"/>
    <x v="11"/>
    <s v="Electric Generators, Electric Utilities"/>
    <x v="4"/>
    <n v="6178666"/>
  </r>
  <r>
    <x v="20"/>
    <x v="11"/>
    <s v="Electric Generators, Electric Utilities"/>
    <x v="5"/>
    <n v="0"/>
  </r>
  <r>
    <x v="20"/>
    <x v="11"/>
    <s v="Combined Heat and Power, Industrial Power"/>
    <x v="0"/>
    <n v="400491"/>
  </r>
  <r>
    <x v="20"/>
    <x v="11"/>
    <s v="Combined Heat and Power, Industrial Power"/>
    <x v="1"/>
    <n v="49375"/>
  </r>
  <r>
    <x v="20"/>
    <x v="11"/>
    <s v="Combined Heat and Power, Industrial Power"/>
    <x v="2"/>
    <n v="41817"/>
  </r>
  <r>
    <x v="20"/>
    <x v="11"/>
    <s v="Combined Heat and Power, Industrial Power"/>
    <x v="8"/>
    <n v="107414"/>
  </r>
  <r>
    <x v="20"/>
    <x v="11"/>
    <s v="Combined Heat and Power, Industrial Power"/>
    <x v="9"/>
    <n v="21915"/>
  </r>
  <r>
    <x v="20"/>
    <x v="11"/>
    <s v="Combined Heat and Power, Industrial Power"/>
    <x v="4"/>
    <n v="179961"/>
  </r>
  <r>
    <x v="20"/>
    <x v="11"/>
    <s v="Combined Heat and Power, Industrial Power"/>
    <x v="6"/>
    <n v="9"/>
  </r>
  <r>
    <x v="20"/>
    <x v="11"/>
    <s v="Combined Heat and Power, Electric Power"/>
    <x v="0"/>
    <n v="2945122"/>
  </r>
  <r>
    <x v="20"/>
    <x v="11"/>
    <s v="Combined Heat and Power, Electric Power"/>
    <x v="1"/>
    <n v="1496139"/>
  </r>
  <r>
    <x v="20"/>
    <x v="11"/>
    <s v="Combined Heat and Power, Electric Power"/>
    <x v="12"/>
    <n v="7750"/>
  </r>
  <r>
    <x v="20"/>
    <x v="11"/>
    <s v="Combined Heat and Power, Electric Power"/>
    <x v="4"/>
    <n v="1441233"/>
  </r>
  <r>
    <x v="20"/>
    <x v="11"/>
    <s v="Combined Heat and Power, Commercial Power"/>
    <x v="0"/>
    <n v="312807"/>
  </r>
  <r>
    <x v="20"/>
    <x v="11"/>
    <s v="Combined Heat and Power, Commercial Power"/>
    <x v="12"/>
    <n v="137062"/>
  </r>
  <r>
    <x v="20"/>
    <x v="11"/>
    <s v="Combined Heat and Power, Commercial Power"/>
    <x v="8"/>
    <n v="174445"/>
  </r>
  <r>
    <x v="20"/>
    <x v="11"/>
    <s v="Combined Heat and Power, Commercial Power"/>
    <x v="4"/>
    <n v="1300"/>
  </r>
  <r>
    <x v="20"/>
    <x v="12"/>
    <s v="Total Electric Power Industry"/>
    <x v="0"/>
    <n v="57508721"/>
  </r>
  <r>
    <x v="20"/>
    <x v="12"/>
    <s v="Total Electric Power Industry"/>
    <x v="1"/>
    <n v="41282937"/>
  </r>
  <r>
    <x v="20"/>
    <x v="12"/>
    <s v="Total Electric Power Industry"/>
    <x v="2"/>
    <n v="948168"/>
  </r>
  <r>
    <x v="20"/>
    <x v="12"/>
    <s v="Total Electric Power Industry"/>
    <x v="3"/>
    <n v="1312195"/>
  </r>
  <r>
    <x v="20"/>
    <x v="12"/>
    <s v="Total Electric Power Industry"/>
    <x v="7"/>
    <n v="4450640"/>
  </r>
  <r>
    <x v="20"/>
    <x v="12"/>
    <s v="Total Electric Power Industry"/>
    <x v="8"/>
    <n v="190146"/>
  </r>
  <r>
    <x v="20"/>
    <x v="12"/>
    <s v="Total Electric Power Industry"/>
    <x v="4"/>
    <n v="154297"/>
  </r>
  <r>
    <x v="20"/>
    <x v="12"/>
    <s v="Total Electric Power Industry"/>
    <x v="5"/>
    <n v="9170337"/>
  </r>
  <r>
    <x v="20"/>
    <x v="12"/>
    <s v="Electric Generators, Independent Power Producers"/>
    <x v="0"/>
    <n v="9316019"/>
  </r>
  <r>
    <x v="20"/>
    <x v="12"/>
    <s v="Electric Generators, Independent Power Producers"/>
    <x v="2"/>
    <n v="9071"/>
  </r>
  <r>
    <x v="20"/>
    <x v="12"/>
    <s v="Electric Generators, Independent Power Producers"/>
    <x v="3"/>
    <n v="25"/>
  </r>
  <r>
    <x v="20"/>
    <x v="12"/>
    <s v="Electric Generators, Independent Power Producers"/>
    <x v="7"/>
    <n v="4450640"/>
  </r>
  <r>
    <x v="20"/>
    <x v="12"/>
    <s v="Electric Generators, Independent Power Producers"/>
    <x v="8"/>
    <n v="90839"/>
  </r>
  <r>
    <x v="20"/>
    <x v="12"/>
    <s v="Electric Generators, Independent Power Producers"/>
    <x v="4"/>
    <n v="1912"/>
  </r>
  <r>
    <x v="20"/>
    <x v="12"/>
    <s v="Electric Generators, Independent Power Producers"/>
    <x v="5"/>
    <n v="4763532"/>
  </r>
  <r>
    <x v="20"/>
    <x v="12"/>
    <s v="Electric Generators, Electric Utilities"/>
    <x v="0"/>
    <n v="46188988"/>
  </r>
  <r>
    <x v="20"/>
    <x v="12"/>
    <s v="Electric Generators, Electric Utilities"/>
    <x v="1"/>
    <n v="39367630"/>
  </r>
  <r>
    <x v="20"/>
    <x v="12"/>
    <s v="Electric Generators, Electric Utilities"/>
    <x v="2"/>
    <n v="939097"/>
  </r>
  <r>
    <x v="20"/>
    <x v="12"/>
    <s v="Electric Generators, Electric Utilities"/>
    <x v="3"/>
    <n v="1296718"/>
  </r>
  <r>
    <x v="20"/>
    <x v="12"/>
    <s v="Electric Generators, Electric Utilities"/>
    <x v="8"/>
    <n v="33351"/>
  </r>
  <r>
    <x v="20"/>
    <x v="12"/>
    <s v="Electric Generators, Electric Utilities"/>
    <x v="4"/>
    <n v="145386"/>
  </r>
  <r>
    <x v="20"/>
    <x v="12"/>
    <s v="Electric Generators, Electric Utilities"/>
    <x v="5"/>
    <n v="4406805"/>
  </r>
  <r>
    <x v="20"/>
    <x v="12"/>
    <s v="Combined Heat and Power, Industrial Power"/>
    <x v="0"/>
    <n v="1765013"/>
  </r>
  <r>
    <x v="20"/>
    <x v="12"/>
    <s v="Combined Heat and Power, Industrial Power"/>
    <x v="1"/>
    <n v="1720096"/>
  </r>
  <r>
    <x v="20"/>
    <x v="12"/>
    <s v="Combined Heat and Power, Industrial Power"/>
    <x v="3"/>
    <n v="5528"/>
  </r>
  <r>
    <x v="20"/>
    <x v="12"/>
    <s v="Combined Heat and Power, Industrial Power"/>
    <x v="8"/>
    <n v="39217"/>
  </r>
  <r>
    <x v="20"/>
    <x v="12"/>
    <s v="Combined Heat and Power, Industrial Power"/>
    <x v="4"/>
    <n v="172"/>
  </r>
  <r>
    <x v="20"/>
    <x v="12"/>
    <s v="Combined Heat and Power, Commercial Power"/>
    <x v="0"/>
    <n v="238701"/>
  </r>
  <r>
    <x v="20"/>
    <x v="12"/>
    <s v="Combined Heat and Power, Commercial Power"/>
    <x v="1"/>
    <n v="195212"/>
  </r>
  <r>
    <x v="20"/>
    <x v="12"/>
    <s v="Combined Heat and Power, Commercial Power"/>
    <x v="3"/>
    <n v="9924"/>
  </r>
  <r>
    <x v="20"/>
    <x v="12"/>
    <s v="Combined Heat and Power, Commercial Power"/>
    <x v="8"/>
    <n v="26738"/>
  </r>
  <r>
    <x v="20"/>
    <x v="12"/>
    <s v="Combined Heat and Power, Commercial Power"/>
    <x v="4"/>
    <n v="6827"/>
  </r>
  <r>
    <x v="20"/>
    <x v="13"/>
    <s v="Total Electric Power Industry"/>
    <x v="0"/>
    <n v="12024564"/>
  </r>
  <r>
    <x v="20"/>
    <x v="13"/>
    <s v="Total Electric Power Industry"/>
    <x v="1"/>
    <n v="88278"/>
  </r>
  <r>
    <x v="20"/>
    <x v="13"/>
    <s v="Total Electric Power Industry"/>
    <x v="11"/>
    <n v="71841"/>
  </r>
  <r>
    <x v="20"/>
    <x v="13"/>
    <s v="Total Electric Power Industry"/>
    <x v="2"/>
    <n v="9154244"/>
  </r>
  <r>
    <x v="20"/>
    <x v="13"/>
    <s v="Total Electric Power Industry"/>
    <x v="3"/>
    <n v="1689232"/>
  </r>
  <r>
    <x v="20"/>
    <x v="13"/>
    <s v="Total Electric Power Industry"/>
    <x v="12"/>
    <n v="78726"/>
  </r>
  <r>
    <x v="20"/>
    <x v="13"/>
    <s v="Total Electric Power Industry"/>
    <x v="8"/>
    <n v="23582"/>
  </r>
  <r>
    <x v="20"/>
    <x v="13"/>
    <s v="Total Electric Power Industry"/>
    <x v="4"/>
    <n v="74"/>
  </r>
  <r>
    <x v="20"/>
    <x v="13"/>
    <s v="Total Electric Power Industry"/>
    <x v="5"/>
    <n v="440746"/>
  </r>
  <r>
    <x v="20"/>
    <x v="13"/>
    <s v="Total Electric Power Industry"/>
    <x v="6"/>
    <n v="477841"/>
  </r>
  <r>
    <x v="20"/>
    <x v="13"/>
    <s v="Electric Generators, Independent Power Producers"/>
    <x v="0"/>
    <n v="2673659"/>
  </r>
  <r>
    <x v="20"/>
    <x v="13"/>
    <s v="Electric Generators, Independent Power Producers"/>
    <x v="11"/>
    <n v="71841"/>
  </r>
  <r>
    <x v="20"/>
    <x v="13"/>
    <s v="Electric Generators, Independent Power Producers"/>
    <x v="2"/>
    <n v="735341"/>
  </r>
  <r>
    <x v="20"/>
    <x v="13"/>
    <s v="Electric Generators, Independent Power Producers"/>
    <x v="3"/>
    <n v="1415837"/>
  </r>
  <r>
    <x v="20"/>
    <x v="13"/>
    <s v="Electric Generators, Independent Power Producers"/>
    <x v="8"/>
    <n v="9894"/>
  </r>
  <r>
    <x v="20"/>
    <x v="13"/>
    <s v="Electric Generators, Independent Power Producers"/>
    <x v="5"/>
    <n v="440746"/>
  </r>
  <r>
    <x v="20"/>
    <x v="13"/>
    <s v="Electric Generators, Electric Utilities"/>
    <x v="0"/>
    <n v="8589208"/>
  </r>
  <r>
    <x v="20"/>
    <x v="13"/>
    <s v="Electric Generators, Electric Utilities"/>
    <x v="2"/>
    <n v="8418903"/>
  </r>
  <r>
    <x v="20"/>
    <x v="13"/>
    <s v="Electric Generators, Electric Utilities"/>
    <x v="3"/>
    <n v="170231"/>
  </r>
  <r>
    <x v="20"/>
    <x v="13"/>
    <s v="Electric Generators, Electric Utilities"/>
    <x v="4"/>
    <n v="74"/>
  </r>
  <r>
    <x v="20"/>
    <x v="13"/>
    <s v="Combined Heat and Power, Industrial Power"/>
    <x v="0"/>
    <n v="605667"/>
  </r>
  <r>
    <x v="20"/>
    <x v="13"/>
    <s v="Combined Heat and Power, Industrial Power"/>
    <x v="1"/>
    <n v="88278"/>
  </r>
  <r>
    <x v="20"/>
    <x v="13"/>
    <s v="Combined Heat and Power, Industrial Power"/>
    <x v="3"/>
    <n v="30289"/>
  </r>
  <r>
    <x v="20"/>
    <x v="13"/>
    <s v="Combined Heat and Power, Industrial Power"/>
    <x v="12"/>
    <n v="78726"/>
  </r>
  <r>
    <x v="20"/>
    <x v="13"/>
    <s v="Combined Heat and Power, Industrial Power"/>
    <x v="4"/>
    <n v="0"/>
  </r>
  <r>
    <x v="20"/>
    <x v="13"/>
    <s v="Combined Heat and Power, Industrial Power"/>
    <x v="6"/>
    <n v="408373"/>
  </r>
  <r>
    <x v="20"/>
    <x v="13"/>
    <s v="Combined Heat and Power, Electric Power"/>
    <x v="0"/>
    <n v="156031"/>
  </r>
  <r>
    <x v="20"/>
    <x v="13"/>
    <s v="Combined Heat and Power, Electric Power"/>
    <x v="3"/>
    <n v="72875"/>
  </r>
  <r>
    <x v="20"/>
    <x v="13"/>
    <s v="Combined Heat and Power, Electric Power"/>
    <x v="8"/>
    <n v="13688"/>
  </r>
  <r>
    <x v="20"/>
    <x v="13"/>
    <s v="Combined Heat and Power, Electric Power"/>
    <x v="6"/>
    <n v="69468"/>
  </r>
  <r>
    <x v="20"/>
    <x v="14"/>
    <s v="Total Electric Power Industry"/>
    <x v="0"/>
    <n v="201351872"/>
  </r>
  <r>
    <x v="20"/>
    <x v="14"/>
    <s v="Total Electric Power Industry"/>
    <x v="1"/>
    <n v="93611365"/>
  </r>
  <r>
    <x v="20"/>
    <x v="14"/>
    <s v="Total Electric Power Industry"/>
    <x v="2"/>
    <n v="118543"/>
  </r>
  <r>
    <x v="20"/>
    <x v="14"/>
    <s v="Total Electric Power Industry"/>
    <x v="3"/>
    <n v="5723733"/>
  </r>
  <r>
    <x v="20"/>
    <x v="14"/>
    <s v="Total Electric Power Industry"/>
    <x v="7"/>
    <n v="96189587"/>
  </r>
  <r>
    <x v="20"/>
    <x v="14"/>
    <s v="Total Electric Power Industry"/>
    <x v="12"/>
    <n v="300095"/>
  </r>
  <r>
    <x v="20"/>
    <x v="14"/>
    <s v="Total Electric Power Industry"/>
    <x v="8"/>
    <n v="670260"/>
  </r>
  <r>
    <x v="20"/>
    <x v="14"/>
    <s v="Total Electric Power Industry"/>
    <x v="9"/>
    <n v="160645"/>
  </r>
  <r>
    <x v="20"/>
    <x v="14"/>
    <s v="Total Electric Power Industry"/>
    <x v="4"/>
    <n v="109744"/>
  </r>
  <r>
    <x v="20"/>
    <x v="14"/>
    <s v="Total Electric Power Industry"/>
    <x v="13"/>
    <n v="14145"/>
  </r>
  <r>
    <x v="20"/>
    <x v="14"/>
    <s v="Total Electric Power Industry"/>
    <x v="5"/>
    <n v="4453634"/>
  </r>
  <r>
    <x v="20"/>
    <x v="14"/>
    <s v="Total Electric Power Industry"/>
    <x v="6"/>
    <n v="120"/>
  </r>
  <r>
    <x v="20"/>
    <x v="14"/>
    <s v="Electric Generators, Independent Power Producers"/>
    <x v="0"/>
    <n v="185277996"/>
  </r>
  <r>
    <x v="20"/>
    <x v="14"/>
    <s v="Electric Generators, Independent Power Producers"/>
    <x v="1"/>
    <n v="79818072"/>
  </r>
  <r>
    <x v="20"/>
    <x v="14"/>
    <s v="Electric Generators, Independent Power Producers"/>
    <x v="2"/>
    <n v="75056"/>
  </r>
  <r>
    <x v="20"/>
    <x v="14"/>
    <s v="Electric Generators, Independent Power Producers"/>
    <x v="3"/>
    <n v="3964030"/>
  </r>
  <r>
    <x v="20"/>
    <x v="14"/>
    <s v="Electric Generators, Independent Power Producers"/>
    <x v="7"/>
    <n v="96189587"/>
  </r>
  <r>
    <x v="20"/>
    <x v="14"/>
    <s v="Electric Generators, Independent Power Producers"/>
    <x v="12"/>
    <n v="17075"/>
  </r>
  <r>
    <x v="20"/>
    <x v="14"/>
    <s v="Electric Generators, Independent Power Producers"/>
    <x v="8"/>
    <n v="670166"/>
  </r>
  <r>
    <x v="20"/>
    <x v="14"/>
    <s v="Electric Generators, Independent Power Producers"/>
    <x v="4"/>
    <n v="84332"/>
  </r>
  <r>
    <x v="20"/>
    <x v="14"/>
    <s v="Electric Generators, Independent Power Producers"/>
    <x v="13"/>
    <n v="14145"/>
  </r>
  <r>
    <x v="20"/>
    <x v="14"/>
    <s v="Electric Generators, Independent Power Producers"/>
    <x v="5"/>
    <n v="4445533"/>
  </r>
  <r>
    <x v="20"/>
    <x v="14"/>
    <s v="Electric Generators, Electric Utilities"/>
    <x v="0"/>
    <n v="12418332"/>
  </r>
  <r>
    <x v="20"/>
    <x v="14"/>
    <s v="Electric Generators, Electric Utilities"/>
    <x v="1"/>
    <n v="11854420"/>
  </r>
  <r>
    <x v="20"/>
    <x v="14"/>
    <s v="Electric Generators, Electric Utilities"/>
    <x v="2"/>
    <n v="43487"/>
  </r>
  <r>
    <x v="20"/>
    <x v="14"/>
    <s v="Electric Generators, Electric Utilities"/>
    <x v="3"/>
    <n v="487045"/>
  </r>
  <r>
    <x v="20"/>
    <x v="14"/>
    <s v="Electric Generators, Electric Utilities"/>
    <x v="4"/>
    <n v="25279"/>
  </r>
  <r>
    <x v="20"/>
    <x v="14"/>
    <s v="Electric Generators, Electric Utilities"/>
    <x v="5"/>
    <n v="8101"/>
  </r>
  <r>
    <x v="20"/>
    <x v="14"/>
    <s v="Combined Heat and Power, Industrial Power"/>
    <x v="0"/>
    <n v="2738453"/>
  </r>
  <r>
    <x v="20"/>
    <x v="14"/>
    <s v="Combined Heat and Power, Industrial Power"/>
    <x v="1"/>
    <n v="1851058"/>
  </r>
  <r>
    <x v="20"/>
    <x v="14"/>
    <s v="Combined Heat and Power, Industrial Power"/>
    <x v="3"/>
    <n v="445347"/>
  </r>
  <r>
    <x v="20"/>
    <x v="14"/>
    <s v="Combined Heat and Power, Industrial Power"/>
    <x v="12"/>
    <n v="283020"/>
  </r>
  <r>
    <x v="20"/>
    <x v="14"/>
    <s v="Combined Heat and Power, Industrial Power"/>
    <x v="9"/>
    <n v="158902"/>
  </r>
  <r>
    <x v="20"/>
    <x v="14"/>
    <s v="Combined Heat and Power, Industrial Power"/>
    <x v="4"/>
    <n v="6"/>
  </r>
  <r>
    <x v="20"/>
    <x v="14"/>
    <s v="Combined Heat and Power, Industrial Power"/>
    <x v="6"/>
    <n v="120"/>
  </r>
  <r>
    <x v="20"/>
    <x v="14"/>
    <s v="Combined Heat and Power, Electric Power"/>
    <x v="0"/>
    <n v="484903"/>
  </r>
  <r>
    <x v="20"/>
    <x v="14"/>
    <s v="Combined Heat and Power, Electric Power"/>
    <x v="1"/>
    <n v="40422"/>
  </r>
  <r>
    <x v="20"/>
    <x v="14"/>
    <s v="Combined Heat and Power, Electric Power"/>
    <x v="3"/>
    <n v="442695"/>
  </r>
  <r>
    <x v="20"/>
    <x v="14"/>
    <s v="Combined Heat and Power, Electric Power"/>
    <x v="8"/>
    <n v="43"/>
  </r>
  <r>
    <x v="20"/>
    <x v="14"/>
    <s v="Combined Heat and Power, Electric Power"/>
    <x v="9"/>
    <n v="1743"/>
  </r>
  <r>
    <x v="20"/>
    <x v="14"/>
    <s v="Combined Heat and Power, Electric Power"/>
    <x v="4"/>
    <n v="0"/>
  </r>
  <r>
    <x v="20"/>
    <x v="14"/>
    <s v="Combined Heat and Power, Commercial Power"/>
    <x v="0"/>
    <n v="432188"/>
  </r>
  <r>
    <x v="20"/>
    <x v="14"/>
    <s v="Combined Heat and Power, Commercial Power"/>
    <x v="1"/>
    <n v="47393"/>
  </r>
  <r>
    <x v="20"/>
    <x v="14"/>
    <s v="Combined Heat and Power, Commercial Power"/>
    <x v="3"/>
    <n v="384616"/>
  </r>
  <r>
    <x v="20"/>
    <x v="14"/>
    <s v="Combined Heat and Power, Commercial Power"/>
    <x v="8"/>
    <n v="51"/>
  </r>
  <r>
    <x v="20"/>
    <x v="14"/>
    <s v="Combined Heat and Power, Commercial Power"/>
    <x v="4"/>
    <n v="127"/>
  </r>
  <r>
    <x v="20"/>
    <x v="15"/>
    <s v="Total Electric Power Industry"/>
    <x v="0"/>
    <n v="125180739"/>
  </r>
  <r>
    <x v="20"/>
    <x v="15"/>
    <s v="Total Electric Power Industry"/>
    <x v="1"/>
    <n v="112327658"/>
  </r>
  <r>
    <x v="20"/>
    <x v="15"/>
    <s v="Total Electric Power Industry"/>
    <x v="2"/>
    <n v="453712"/>
  </r>
  <r>
    <x v="20"/>
    <x v="15"/>
    <s v="Total Electric Power Industry"/>
    <x v="3"/>
    <n v="6474986"/>
  </r>
  <r>
    <x v="20"/>
    <x v="15"/>
    <s v="Total Electric Power Industry"/>
    <x v="12"/>
    <n v="380021"/>
  </r>
  <r>
    <x v="20"/>
    <x v="15"/>
    <s v="Total Electric Power Industry"/>
    <x v="8"/>
    <n v="311623"/>
  </r>
  <r>
    <x v="20"/>
    <x v="15"/>
    <s v="Total Electric Power Industry"/>
    <x v="9"/>
    <n v="2144140"/>
  </r>
  <r>
    <x v="20"/>
    <x v="15"/>
    <s v="Total Electric Power Industry"/>
    <x v="4"/>
    <n v="154555"/>
  </r>
  <r>
    <x v="20"/>
    <x v="15"/>
    <s v="Total Electric Power Industry"/>
    <x v="5"/>
    <n v="2934043"/>
  </r>
  <r>
    <x v="20"/>
    <x v="15"/>
    <s v="Electric Generators, Independent Power Producers"/>
    <x v="0"/>
    <n v="6463537"/>
  </r>
  <r>
    <x v="20"/>
    <x v="15"/>
    <s v="Electric Generators, Independent Power Producers"/>
    <x v="1"/>
    <n v="3338028"/>
  </r>
  <r>
    <x v="20"/>
    <x v="15"/>
    <s v="Electric Generators, Independent Power Producers"/>
    <x v="3"/>
    <n v="193557"/>
  </r>
  <r>
    <x v="20"/>
    <x v="15"/>
    <s v="Electric Generators, Independent Power Producers"/>
    <x v="5"/>
    <n v="2931952"/>
  </r>
  <r>
    <x v="20"/>
    <x v="15"/>
    <s v="Electric Generators, Electric Utilities"/>
    <x v="0"/>
    <n v="107852560"/>
  </r>
  <r>
    <x v="20"/>
    <x v="15"/>
    <s v="Electric Generators, Electric Utilities"/>
    <x v="1"/>
    <n v="103204599"/>
  </r>
  <r>
    <x v="20"/>
    <x v="15"/>
    <s v="Electric Generators, Electric Utilities"/>
    <x v="2"/>
    <n v="453712"/>
  </r>
  <r>
    <x v="20"/>
    <x v="15"/>
    <s v="Electric Generators, Electric Utilities"/>
    <x v="3"/>
    <n v="3782280"/>
  </r>
  <r>
    <x v="20"/>
    <x v="15"/>
    <s v="Electric Generators, Electric Utilities"/>
    <x v="8"/>
    <n v="273992"/>
  </r>
  <r>
    <x v="20"/>
    <x v="15"/>
    <s v="Electric Generators, Electric Utilities"/>
    <x v="4"/>
    <n v="137977"/>
  </r>
  <r>
    <x v="20"/>
    <x v="15"/>
    <s v="Combined Heat and Power, Industrial Power"/>
    <x v="0"/>
    <n v="3104799"/>
  </r>
  <r>
    <x v="20"/>
    <x v="15"/>
    <s v="Combined Heat and Power, Industrial Power"/>
    <x v="1"/>
    <n v="44247"/>
  </r>
  <r>
    <x v="20"/>
    <x v="15"/>
    <s v="Combined Heat and Power, Industrial Power"/>
    <x v="3"/>
    <n v="523594"/>
  </r>
  <r>
    <x v="20"/>
    <x v="15"/>
    <s v="Combined Heat and Power, Industrial Power"/>
    <x v="12"/>
    <n v="362465"/>
  </r>
  <r>
    <x v="20"/>
    <x v="15"/>
    <s v="Combined Heat and Power, Industrial Power"/>
    <x v="8"/>
    <n v="15287"/>
  </r>
  <r>
    <x v="20"/>
    <x v="15"/>
    <s v="Combined Heat and Power, Industrial Power"/>
    <x v="9"/>
    <n v="2144140"/>
  </r>
  <r>
    <x v="20"/>
    <x v="15"/>
    <s v="Combined Heat and Power, Industrial Power"/>
    <x v="4"/>
    <n v="15066"/>
  </r>
  <r>
    <x v="20"/>
    <x v="15"/>
    <s v="Combined Heat and Power, Electric Power"/>
    <x v="0"/>
    <n v="7525108"/>
  </r>
  <r>
    <x v="20"/>
    <x v="15"/>
    <s v="Combined Heat and Power, Electric Power"/>
    <x v="1"/>
    <n v="5590458"/>
  </r>
  <r>
    <x v="20"/>
    <x v="15"/>
    <s v="Combined Heat and Power, Electric Power"/>
    <x v="3"/>
    <n v="1934642"/>
  </r>
  <r>
    <x v="20"/>
    <x v="15"/>
    <s v="Combined Heat and Power, Electric Power"/>
    <x v="9"/>
    <n v="0"/>
  </r>
  <r>
    <x v="20"/>
    <x v="15"/>
    <s v="Combined Heat and Power, Electric Power"/>
    <x v="4"/>
    <n v="8"/>
  </r>
  <r>
    <x v="20"/>
    <x v="15"/>
    <s v="Combined Heat and Power, Commercial Power"/>
    <x v="0"/>
    <n v="234734"/>
  </r>
  <r>
    <x v="20"/>
    <x v="15"/>
    <s v="Combined Heat and Power, Commercial Power"/>
    <x v="1"/>
    <n v="150326"/>
  </r>
  <r>
    <x v="20"/>
    <x v="15"/>
    <s v="Combined Heat and Power, Commercial Power"/>
    <x v="3"/>
    <n v="40913"/>
  </r>
  <r>
    <x v="20"/>
    <x v="15"/>
    <s v="Combined Heat and Power, Commercial Power"/>
    <x v="12"/>
    <n v="17556"/>
  </r>
  <r>
    <x v="20"/>
    <x v="15"/>
    <s v="Combined Heat and Power, Commercial Power"/>
    <x v="8"/>
    <n v="22345"/>
  </r>
  <r>
    <x v="20"/>
    <x v="15"/>
    <s v="Combined Heat and Power, Commercial Power"/>
    <x v="4"/>
    <n v="1504"/>
  </r>
  <r>
    <x v="20"/>
    <x v="15"/>
    <s v="Combined Heat and Power, Commercial Power"/>
    <x v="5"/>
    <n v="2090"/>
  </r>
  <r>
    <x v="20"/>
    <x v="16"/>
    <s v="Total Electric Power Industry"/>
    <x v="0"/>
    <n v="47923762"/>
  </r>
  <r>
    <x v="20"/>
    <x v="16"/>
    <s v="Total Electric Power Industry"/>
    <x v="1"/>
    <n v="32505053"/>
  </r>
  <r>
    <x v="20"/>
    <x v="16"/>
    <s v="Total Electric Power Industry"/>
    <x v="2"/>
    <n v="13214"/>
  </r>
  <r>
    <x v="20"/>
    <x v="16"/>
    <s v="Total Electric Power Industry"/>
    <x v="3"/>
    <n v="2287323"/>
  </r>
  <r>
    <x v="20"/>
    <x v="16"/>
    <s v="Total Electric Power Industry"/>
    <x v="7"/>
    <n v="9555712"/>
  </r>
  <r>
    <x v="20"/>
    <x v="16"/>
    <s v="Total Electric Power Industry"/>
    <x v="8"/>
    <n v="54286"/>
  </r>
  <r>
    <x v="20"/>
    <x v="16"/>
    <s v="Total Electric Power Industry"/>
    <x v="4"/>
    <n v="103110"/>
  </r>
  <r>
    <x v="20"/>
    <x v="16"/>
    <s v="Total Electric Power Industry"/>
    <x v="5"/>
    <n v="3405065"/>
  </r>
  <r>
    <x v="20"/>
    <x v="16"/>
    <s v="Electric Generators, Independent Power Producers"/>
    <x v="0"/>
    <n v="2653716"/>
  </r>
  <r>
    <x v="20"/>
    <x v="16"/>
    <s v="Electric Generators, Independent Power Producers"/>
    <x v="2"/>
    <n v="13214"/>
  </r>
  <r>
    <x v="20"/>
    <x v="16"/>
    <s v="Electric Generators, Independent Power Producers"/>
    <x v="8"/>
    <n v="54286"/>
  </r>
  <r>
    <x v="20"/>
    <x v="16"/>
    <s v="Electric Generators, Independent Power Producers"/>
    <x v="5"/>
    <n v="2586216"/>
  </r>
  <r>
    <x v="20"/>
    <x v="16"/>
    <s v="Electric Generators, Electric Utilities"/>
    <x v="0"/>
    <n v="45270047"/>
  </r>
  <r>
    <x v="20"/>
    <x v="16"/>
    <s v="Electric Generators, Electric Utilities"/>
    <x v="1"/>
    <n v="32505053"/>
  </r>
  <r>
    <x v="20"/>
    <x v="16"/>
    <s v="Electric Generators, Electric Utilities"/>
    <x v="3"/>
    <n v="2287323"/>
  </r>
  <r>
    <x v="20"/>
    <x v="16"/>
    <s v="Electric Generators, Electric Utilities"/>
    <x v="7"/>
    <n v="9555712"/>
  </r>
  <r>
    <x v="20"/>
    <x v="16"/>
    <s v="Electric Generators, Electric Utilities"/>
    <x v="8"/>
    <n v="0"/>
  </r>
  <r>
    <x v="20"/>
    <x v="16"/>
    <s v="Electric Generators, Electric Utilities"/>
    <x v="4"/>
    <n v="103110"/>
  </r>
  <r>
    <x v="20"/>
    <x v="16"/>
    <s v="Electric Generators, Electric Utilities"/>
    <x v="5"/>
    <n v="818849"/>
  </r>
  <r>
    <x v="20"/>
    <x v="16"/>
    <s v="Combined Heat and Power, Industrial Power"/>
    <x v="0"/>
    <n v="0"/>
  </r>
  <r>
    <x v="20"/>
    <x v="16"/>
    <s v="Combined Heat and Power, Industrial Power"/>
    <x v="3"/>
    <n v="0"/>
  </r>
  <r>
    <x v="20"/>
    <x v="17"/>
    <s v="Total Electric Power Industry"/>
    <x v="0"/>
    <n v="98217658"/>
  </r>
  <r>
    <x v="20"/>
    <x v="17"/>
    <s v="Total Electric Power Industry"/>
    <x v="1"/>
    <n v="91053858"/>
  </r>
  <r>
    <x v="20"/>
    <x v="17"/>
    <s v="Total Electric Power Industry"/>
    <x v="2"/>
    <n v="2580246"/>
  </r>
  <r>
    <x v="20"/>
    <x v="17"/>
    <s v="Total Electric Power Industry"/>
    <x v="3"/>
    <n v="1840708"/>
  </r>
  <r>
    <x v="20"/>
    <x v="17"/>
    <s v="Total Electric Power Industry"/>
    <x v="12"/>
    <n v="15457"/>
  </r>
  <r>
    <x v="20"/>
    <x v="17"/>
    <s v="Total Electric Power Industry"/>
    <x v="8"/>
    <n v="90803"/>
  </r>
  <r>
    <x v="20"/>
    <x v="17"/>
    <s v="Total Electric Power Industry"/>
    <x v="9"/>
    <n v="2662"/>
  </r>
  <r>
    <x v="20"/>
    <x v="17"/>
    <s v="Total Electric Power Industry"/>
    <x v="4"/>
    <n v="2284852"/>
  </r>
  <r>
    <x v="20"/>
    <x v="17"/>
    <s v="Total Electric Power Industry"/>
    <x v="6"/>
    <n v="349071"/>
  </r>
  <r>
    <x v="20"/>
    <x v="17"/>
    <s v="Electric Generators, Independent Power Producers"/>
    <x v="0"/>
    <n v="171370"/>
  </r>
  <r>
    <x v="20"/>
    <x v="17"/>
    <s v="Electric Generators, Independent Power Producers"/>
    <x v="2"/>
    <n v="8806"/>
  </r>
  <r>
    <x v="20"/>
    <x v="17"/>
    <s v="Electric Generators, Independent Power Producers"/>
    <x v="3"/>
    <n v="162564"/>
  </r>
  <r>
    <x v="20"/>
    <x v="17"/>
    <s v="Electric Generators, Electric Utilities"/>
    <x v="0"/>
    <n v="97472144"/>
  </r>
  <r>
    <x v="20"/>
    <x v="17"/>
    <s v="Electric Generators, Electric Utilities"/>
    <x v="1"/>
    <n v="91053858"/>
  </r>
  <r>
    <x v="20"/>
    <x v="17"/>
    <s v="Electric Generators, Electric Utilities"/>
    <x v="2"/>
    <n v="2571440"/>
  </r>
  <r>
    <x v="20"/>
    <x v="17"/>
    <s v="Electric Generators, Electric Utilities"/>
    <x v="3"/>
    <n v="1454727"/>
  </r>
  <r>
    <x v="20"/>
    <x v="17"/>
    <s v="Electric Generators, Electric Utilities"/>
    <x v="12"/>
    <n v="15457"/>
  </r>
  <r>
    <x v="20"/>
    <x v="17"/>
    <s v="Electric Generators, Electric Utilities"/>
    <x v="8"/>
    <n v="89148"/>
  </r>
  <r>
    <x v="20"/>
    <x v="17"/>
    <s v="Electric Generators, Electric Utilities"/>
    <x v="9"/>
    <n v="2662"/>
  </r>
  <r>
    <x v="20"/>
    <x v="17"/>
    <s v="Electric Generators, Electric Utilities"/>
    <x v="4"/>
    <n v="2284852"/>
  </r>
  <r>
    <x v="20"/>
    <x v="17"/>
    <s v="Combined Heat and Power, Industrial Power"/>
    <x v="0"/>
    <n v="574144"/>
  </r>
  <r>
    <x v="20"/>
    <x v="17"/>
    <s v="Combined Heat and Power, Industrial Power"/>
    <x v="3"/>
    <n v="223418"/>
  </r>
  <r>
    <x v="20"/>
    <x v="17"/>
    <s v="Combined Heat and Power, Industrial Power"/>
    <x v="8"/>
    <n v="1655"/>
  </r>
  <r>
    <x v="20"/>
    <x v="17"/>
    <s v="Combined Heat and Power, Industrial Power"/>
    <x v="6"/>
    <n v="349071"/>
  </r>
  <r>
    <x v="20"/>
    <x v="18"/>
    <s v="Total Electric Power Industry"/>
    <x v="0"/>
    <n v="102884940"/>
  </r>
  <r>
    <x v="20"/>
    <x v="18"/>
    <s v="Total Electric Power Industry"/>
    <x v="1"/>
    <n v="23923749"/>
  </r>
  <r>
    <x v="20"/>
    <x v="18"/>
    <s v="Total Electric Power Industry"/>
    <x v="2"/>
    <n v="1108794"/>
  </r>
  <r>
    <x v="20"/>
    <x v="18"/>
    <s v="Total Electric Power Industry"/>
    <x v="3"/>
    <n v="51344079"/>
  </r>
  <r>
    <x v="20"/>
    <x v="18"/>
    <s v="Total Electric Power Industry"/>
    <x v="7"/>
    <n v="18639347"/>
  </r>
  <r>
    <x v="20"/>
    <x v="18"/>
    <s v="Total Electric Power Industry"/>
    <x v="12"/>
    <n v="559192"/>
  </r>
  <r>
    <x v="20"/>
    <x v="18"/>
    <s v="Total Electric Power Industry"/>
    <x v="8"/>
    <n v="74367"/>
  </r>
  <r>
    <x v="20"/>
    <x v="18"/>
    <s v="Total Electric Power Industry"/>
    <x v="9"/>
    <n v="1561160"/>
  </r>
  <r>
    <x v="20"/>
    <x v="18"/>
    <s v="Total Electric Power Industry"/>
    <x v="4"/>
    <n v="3280844"/>
  </r>
  <r>
    <x v="20"/>
    <x v="18"/>
    <s v="Total Electric Power Industry"/>
    <x v="6"/>
    <n v="2393409"/>
  </r>
  <r>
    <x v="20"/>
    <x v="18"/>
    <s v="Electric Generators, Independent Power Producers"/>
    <x v="0"/>
    <n v="17779825"/>
  </r>
  <r>
    <x v="20"/>
    <x v="18"/>
    <s v="Electric Generators, Independent Power Producers"/>
    <x v="1"/>
    <n v="12697369"/>
  </r>
  <r>
    <x v="20"/>
    <x v="18"/>
    <s v="Electric Generators, Independent Power Producers"/>
    <x v="2"/>
    <n v="1108794"/>
  </r>
  <r>
    <x v="20"/>
    <x v="18"/>
    <s v="Electric Generators, Independent Power Producers"/>
    <x v="3"/>
    <n v="3882790"/>
  </r>
  <r>
    <x v="20"/>
    <x v="18"/>
    <s v="Electric Generators, Independent Power Producers"/>
    <x v="8"/>
    <n v="73359"/>
  </r>
  <r>
    <x v="20"/>
    <x v="18"/>
    <s v="Electric Generators, Independent Power Producers"/>
    <x v="4"/>
    <n v="17513"/>
  </r>
  <r>
    <x v="20"/>
    <x v="18"/>
    <s v="Electric Generators, Electric Utilities"/>
    <x v="0"/>
    <n v="51680682"/>
  </r>
  <r>
    <x v="20"/>
    <x v="18"/>
    <s v="Electric Generators, Electric Utilities"/>
    <x v="1"/>
    <n v="11226380"/>
  </r>
  <r>
    <x v="20"/>
    <x v="18"/>
    <s v="Electric Generators, Electric Utilities"/>
    <x v="3"/>
    <n v="18924155"/>
  </r>
  <r>
    <x v="20"/>
    <x v="18"/>
    <s v="Electric Generators, Electric Utilities"/>
    <x v="7"/>
    <n v="18639347"/>
  </r>
  <r>
    <x v="20"/>
    <x v="18"/>
    <s v="Electric Generators, Electric Utilities"/>
    <x v="4"/>
    <n v="2890800"/>
  </r>
  <r>
    <x v="20"/>
    <x v="18"/>
    <s v="Combined Heat and Power, Industrial Power"/>
    <x v="0"/>
    <n v="28294054"/>
  </r>
  <r>
    <x v="20"/>
    <x v="18"/>
    <s v="Combined Heat and Power, Industrial Power"/>
    <x v="1"/>
    <n v="0"/>
  </r>
  <r>
    <x v="20"/>
    <x v="18"/>
    <s v="Combined Heat and Power, Industrial Power"/>
    <x v="3"/>
    <n v="23657436"/>
  </r>
  <r>
    <x v="20"/>
    <x v="18"/>
    <s v="Combined Heat and Power, Industrial Power"/>
    <x v="12"/>
    <n v="559192"/>
  </r>
  <r>
    <x v="20"/>
    <x v="18"/>
    <s v="Combined Heat and Power, Industrial Power"/>
    <x v="8"/>
    <n v="1008"/>
  </r>
  <r>
    <x v="20"/>
    <x v="18"/>
    <s v="Combined Heat and Power, Industrial Power"/>
    <x v="9"/>
    <n v="1310478"/>
  </r>
  <r>
    <x v="20"/>
    <x v="18"/>
    <s v="Combined Heat and Power, Industrial Power"/>
    <x v="4"/>
    <n v="372531"/>
  </r>
  <r>
    <x v="20"/>
    <x v="18"/>
    <s v="Combined Heat and Power, Industrial Power"/>
    <x v="6"/>
    <n v="2393409"/>
  </r>
  <r>
    <x v="20"/>
    <x v="18"/>
    <s v="Combined Heat and Power, Electric Power"/>
    <x v="0"/>
    <n v="5083189"/>
  </r>
  <r>
    <x v="20"/>
    <x v="18"/>
    <s v="Combined Heat and Power, Electric Power"/>
    <x v="3"/>
    <n v="4832508"/>
  </r>
  <r>
    <x v="20"/>
    <x v="18"/>
    <s v="Combined Heat and Power, Electric Power"/>
    <x v="9"/>
    <n v="250681"/>
  </r>
  <r>
    <x v="20"/>
    <x v="18"/>
    <s v="Combined Heat and Power, Electric Power"/>
    <x v="4"/>
    <n v="0"/>
  </r>
  <r>
    <x v="20"/>
    <x v="18"/>
    <s v="Combined Heat and Power, Commercial Power"/>
    <x v="0"/>
    <n v="47190"/>
  </r>
  <r>
    <x v="20"/>
    <x v="18"/>
    <s v="Combined Heat and Power, Commercial Power"/>
    <x v="3"/>
    <n v="47190"/>
  </r>
  <r>
    <x v="20"/>
    <x v="19"/>
    <s v="Total Electric Power Industry"/>
    <x v="0"/>
    <n v="42804824"/>
  </r>
  <r>
    <x v="20"/>
    <x v="19"/>
    <s v="Total Electric Power Industry"/>
    <x v="1"/>
    <n v="8305890"/>
  </r>
  <r>
    <x v="20"/>
    <x v="19"/>
    <s v="Total Electric Power Industry"/>
    <x v="2"/>
    <n v="996339"/>
  </r>
  <r>
    <x v="20"/>
    <x v="19"/>
    <s v="Total Electric Power Industry"/>
    <x v="3"/>
    <n v="25581752"/>
  </r>
  <r>
    <x v="20"/>
    <x v="19"/>
    <s v="Total Electric Power Industry"/>
    <x v="7"/>
    <n v="5917813"/>
  </r>
  <r>
    <x v="20"/>
    <x v="19"/>
    <s v="Total Electric Power Industry"/>
    <x v="12"/>
    <n v="770629"/>
  </r>
  <r>
    <x v="20"/>
    <x v="19"/>
    <s v="Total Electric Power Industry"/>
    <x v="8"/>
    <n v="1125326"/>
  </r>
  <r>
    <x v="20"/>
    <x v="19"/>
    <s v="Total Electric Power Industry"/>
    <x v="4"/>
    <n v="295736"/>
  </r>
  <r>
    <x v="20"/>
    <x v="19"/>
    <s v="Total Electric Power Industry"/>
    <x v="10"/>
    <n v="-337069"/>
  </r>
  <r>
    <x v="20"/>
    <x v="19"/>
    <s v="Total Electric Power Industry"/>
    <x v="13"/>
    <n v="928"/>
  </r>
  <r>
    <x v="20"/>
    <x v="19"/>
    <s v="Total Electric Power Industry"/>
    <x v="5"/>
    <n v="22068"/>
  </r>
  <r>
    <x v="20"/>
    <x v="19"/>
    <s v="Total Electric Power Industry"/>
    <x v="6"/>
    <n v="125412"/>
  </r>
  <r>
    <x v="20"/>
    <x v="19"/>
    <s v="Electric Generators, Independent Power Producers"/>
    <x v="0"/>
    <n v="38144942"/>
  </r>
  <r>
    <x v="20"/>
    <x v="19"/>
    <s v="Electric Generators, Independent Power Producers"/>
    <x v="1"/>
    <n v="8276889"/>
  </r>
  <r>
    <x v="20"/>
    <x v="19"/>
    <s v="Electric Generators, Independent Power Producers"/>
    <x v="2"/>
    <n v="748515"/>
  </r>
  <r>
    <x v="20"/>
    <x v="19"/>
    <s v="Electric Generators, Independent Power Producers"/>
    <x v="3"/>
    <n v="21311841"/>
  </r>
  <r>
    <x v="20"/>
    <x v="19"/>
    <s v="Electric Generators, Independent Power Producers"/>
    <x v="7"/>
    <n v="5917813"/>
  </r>
  <r>
    <x v="20"/>
    <x v="19"/>
    <s v="Electric Generators, Independent Power Producers"/>
    <x v="12"/>
    <n v="770629"/>
  </r>
  <r>
    <x v="20"/>
    <x v="19"/>
    <s v="Electric Generators, Independent Power Producers"/>
    <x v="8"/>
    <n v="1124693"/>
  </r>
  <r>
    <x v="20"/>
    <x v="19"/>
    <s v="Electric Generators, Independent Power Producers"/>
    <x v="4"/>
    <n v="202020"/>
  </r>
  <r>
    <x v="20"/>
    <x v="19"/>
    <s v="Electric Generators, Independent Power Producers"/>
    <x v="10"/>
    <n v="-337069"/>
  </r>
  <r>
    <x v="20"/>
    <x v="19"/>
    <s v="Electric Generators, Independent Power Producers"/>
    <x v="5"/>
    <n v="4200"/>
  </r>
  <r>
    <x v="20"/>
    <x v="19"/>
    <s v="Electric Generators, Independent Power Producers"/>
    <x v="6"/>
    <n v="125412"/>
  </r>
  <r>
    <x v="20"/>
    <x v="19"/>
    <s v="Electric Generators, Electric Utilities"/>
    <x v="0"/>
    <n v="802906"/>
  </r>
  <r>
    <x v="20"/>
    <x v="19"/>
    <s v="Electric Generators, Electric Utilities"/>
    <x v="2"/>
    <n v="237957"/>
  </r>
  <r>
    <x v="20"/>
    <x v="19"/>
    <s v="Electric Generators, Electric Utilities"/>
    <x v="3"/>
    <n v="506109"/>
  </r>
  <r>
    <x v="20"/>
    <x v="19"/>
    <s v="Electric Generators, Electric Utilities"/>
    <x v="4"/>
    <n v="42546"/>
  </r>
  <r>
    <x v="20"/>
    <x v="19"/>
    <s v="Electric Generators, Electric Utilities"/>
    <x v="13"/>
    <n v="656"/>
  </r>
  <r>
    <x v="20"/>
    <x v="19"/>
    <s v="Electric Generators, Electric Utilities"/>
    <x v="5"/>
    <n v="15638"/>
  </r>
  <r>
    <x v="20"/>
    <x v="19"/>
    <s v="Combined Heat and Power, Industrial Power"/>
    <x v="0"/>
    <n v="168823"/>
  </r>
  <r>
    <x v="20"/>
    <x v="19"/>
    <s v="Combined Heat and Power, Industrial Power"/>
    <x v="1"/>
    <n v="29002"/>
  </r>
  <r>
    <x v="20"/>
    <x v="19"/>
    <s v="Combined Heat and Power, Industrial Power"/>
    <x v="2"/>
    <n v="4699"/>
  </r>
  <r>
    <x v="20"/>
    <x v="19"/>
    <s v="Combined Heat and Power, Industrial Power"/>
    <x v="3"/>
    <n v="134209"/>
  </r>
  <r>
    <x v="20"/>
    <x v="19"/>
    <s v="Combined Heat and Power, Industrial Power"/>
    <x v="4"/>
    <n v="913"/>
  </r>
  <r>
    <x v="20"/>
    <x v="19"/>
    <s v="Combined Heat and Power, Electric Power"/>
    <x v="0"/>
    <n v="3191557"/>
  </r>
  <r>
    <x v="20"/>
    <x v="19"/>
    <s v="Combined Heat and Power, Electric Power"/>
    <x v="3"/>
    <n v="3188166"/>
  </r>
  <r>
    <x v="20"/>
    <x v="19"/>
    <s v="Combined Heat and Power, Electric Power"/>
    <x v="4"/>
    <n v="3391"/>
  </r>
  <r>
    <x v="20"/>
    <x v="19"/>
    <s v="Combined Heat and Power, Commercial Power"/>
    <x v="0"/>
    <n v="496596"/>
  </r>
  <r>
    <x v="20"/>
    <x v="19"/>
    <s v="Combined Heat and Power, Commercial Power"/>
    <x v="1"/>
    <n v="0"/>
  </r>
  <r>
    <x v="20"/>
    <x v="19"/>
    <s v="Combined Heat and Power, Commercial Power"/>
    <x v="2"/>
    <n v="5168"/>
  </r>
  <r>
    <x v="20"/>
    <x v="19"/>
    <s v="Combined Heat and Power, Commercial Power"/>
    <x v="3"/>
    <n v="441427"/>
  </r>
  <r>
    <x v="20"/>
    <x v="19"/>
    <s v="Combined Heat and Power, Commercial Power"/>
    <x v="8"/>
    <n v="633"/>
  </r>
  <r>
    <x v="20"/>
    <x v="19"/>
    <s v="Combined Heat and Power, Commercial Power"/>
    <x v="4"/>
    <n v="46867"/>
  </r>
  <r>
    <x v="20"/>
    <x v="19"/>
    <s v="Combined Heat and Power, Commercial Power"/>
    <x v="13"/>
    <n v="271"/>
  </r>
  <r>
    <x v="20"/>
    <x v="19"/>
    <s v="Combined Heat and Power, Commercial Power"/>
    <x v="5"/>
    <n v="2230"/>
  </r>
  <r>
    <x v="20"/>
    <x v="20"/>
    <s v="Total Electric Power Industry"/>
    <x v="0"/>
    <n v="43607264"/>
  </r>
  <r>
    <x v="20"/>
    <x v="20"/>
    <s v="Total Electric Power Industry"/>
    <x v="1"/>
    <n v="23668205"/>
  </r>
  <r>
    <x v="20"/>
    <x v="20"/>
    <s v="Total Electric Power Industry"/>
    <x v="2"/>
    <n v="1667396"/>
  </r>
  <r>
    <x v="20"/>
    <x v="20"/>
    <s v="Total Electric Power Industry"/>
    <x v="3"/>
    <n v="2896979"/>
  </r>
  <r>
    <x v="20"/>
    <x v="20"/>
    <s v="Total Electric Power Industry"/>
    <x v="7"/>
    <n v="13993948"/>
  </r>
  <r>
    <x v="20"/>
    <x v="20"/>
    <s v="Total Electric Power Industry"/>
    <x v="12"/>
    <n v="269906"/>
  </r>
  <r>
    <x v="20"/>
    <x v="20"/>
    <s v="Total Electric Power Industry"/>
    <x v="8"/>
    <n v="407403"/>
  </r>
  <r>
    <x v="20"/>
    <x v="20"/>
    <s v="Total Electric Power Industry"/>
    <x v="9"/>
    <n v="214727"/>
  </r>
  <r>
    <x v="20"/>
    <x v="20"/>
    <s v="Total Electric Power Industry"/>
    <x v="4"/>
    <n v="322438"/>
  </r>
  <r>
    <x v="20"/>
    <x v="20"/>
    <s v="Total Electric Power Industry"/>
    <x v="13"/>
    <n v="80"/>
  </r>
  <r>
    <x v="20"/>
    <x v="20"/>
    <s v="Total Electric Power Industry"/>
    <x v="5"/>
    <n v="1494"/>
  </r>
  <r>
    <x v="20"/>
    <x v="20"/>
    <s v="Total Electric Power Industry"/>
    <x v="6"/>
    <n v="164688"/>
  </r>
  <r>
    <x v="20"/>
    <x v="20"/>
    <s v="Electric Generators, Independent Power Producers"/>
    <x v="0"/>
    <n v="40878753"/>
  </r>
  <r>
    <x v="20"/>
    <x v="20"/>
    <s v="Electric Generators, Independent Power Producers"/>
    <x v="1"/>
    <n v="22079181"/>
  </r>
  <r>
    <x v="20"/>
    <x v="20"/>
    <s v="Electric Generators, Independent Power Producers"/>
    <x v="2"/>
    <n v="1667396"/>
  </r>
  <r>
    <x v="20"/>
    <x v="20"/>
    <s v="Electric Generators, Independent Power Producers"/>
    <x v="3"/>
    <n v="2487257"/>
  </r>
  <r>
    <x v="20"/>
    <x v="20"/>
    <s v="Electric Generators, Independent Power Producers"/>
    <x v="7"/>
    <n v="13993948"/>
  </r>
  <r>
    <x v="20"/>
    <x v="20"/>
    <s v="Electric Generators, Independent Power Producers"/>
    <x v="12"/>
    <n v="132893"/>
  </r>
  <r>
    <x v="20"/>
    <x v="20"/>
    <s v="Electric Generators, Independent Power Producers"/>
    <x v="8"/>
    <n v="209629"/>
  </r>
  <r>
    <x v="20"/>
    <x v="20"/>
    <s v="Electric Generators, Independent Power Producers"/>
    <x v="4"/>
    <n v="306874"/>
  </r>
  <r>
    <x v="20"/>
    <x v="20"/>
    <s v="Electric Generators, Independent Power Producers"/>
    <x v="13"/>
    <n v="80"/>
  </r>
  <r>
    <x v="20"/>
    <x v="20"/>
    <s v="Electric Generators, Independent Power Producers"/>
    <x v="5"/>
    <n v="1494"/>
  </r>
  <r>
    <x v="20"/>
    <x v="20"/>
    <s v="Electric Generators, Electric Utilities"/>
    <x v="0"/>
    <n v="2996"/>
  </r>
  <r>
    <x v="20"/>
    <x v="20"/>
    <s v="Electric Generators, Electric Utilities"/>
    <x v="3"/>
    <n v="0"/>
  </r>
  <r>
    <x v="20"/>
    <x v="20"/>
    <s v="Electric Generators, Electric Utilities"/>
    <x v="8"/>
    <n v="164"/>
  </r>
  <r>
    <x v="20"/>
    <x v="20"/>
    <s v="Electric Generators, Electric Utilities"/>
    <x v="4"/>
    <n v="2832"/>
  </r>
  <r>
    <x v="20"/>
    <x v="20"/>
    <s v="Combined Heat and Power, Industrial Power"/>
    <x v="0"/>
    <n v="448800"/>
  </r>
  <r>
    <x v="20"/>
    <x v="20"/>
    <s v="Combined Heat and Power, Industrial Power"/>
    <x v="1"/>
    <n v="233451"/>
  </r>
  <r>
    <x v="20"/>
    <x v="20"/>
    <s v="Combined Heat and Power, Industrial Power"/>
    <x v="3"/>
    <n v="57779"/>
  </r>
  <r>
    <x v="20"/>
    <x v="20"/>
    <s v="Combined Heat and Power, Industrial Power"/>
    <x v="4"/>
    <n v="9064"/>
  </r>
  <r>
    <x v="20"/>
    <x v="20"/>
    <s v="Combined Heat and Power, Industrial Power"/>
    <x v="6"/>
    <n v="148506"/>
  </r>
  <r>
    <x v="20"/>
    <x v="20"/>
    <s v="Combined Heat and Power, Electric Power"/>
    <x v="0"/>
    <n v="2236734"/>
  </r>
  <r>
    <x v="20"/>
    <x v="20"/>
    <s v="Combined Heat and Power, Electric Power"/>
    <x v="1"/>
    <n v="1355573"/>
  </r>
  <r>
    <x v="20"/>
    <x v="20"/>
    <s v="Combined Heat and Power, Electric Power"/>
    <x v="3"/>
    <n v="351937"/>
  </r>
  <r>
    <x v="20"/>
    <x v="20"/>
    <s v="Combined Heat and Power, Electric Power"/>
    <x v="12"/>
    <n v="136881"/>
  </r>
  <r>
    <x v="20"/>
    <x v="20"/>
    <s v="Combined Heat and Power, Electric Power"/>
    <x v="8"/>
    <n v="174205"/>
  </r>
  <r>
    <x v="20"/>
    <x v="20"/>
    <s v="Combined Heat and Power, Electric Power"/>
    <x v="9"/>
    <n v="214727"/>
  </r>
  <r>
    <x v="20"/>
    <x v="20"/>
    <s v="Combined Heat and Power, Electric Power"/>
    <x v="4"/>
    <n v="3412"/>
  </r>
  <r>
    <x v="20"/>
    <x v="20"/>
    <s v="Combined Heat and Power, Commercial Power"/>
    <x v="0"/>
    <n v="39980"/>
  </r>
  <r>
    <x v="20"/>
    <x v="20"/>
    <s v="Combined Heat and Power, Commercial Power"/>
    <x v="1"/>
    <n v="0"/>
  </r>
  <r>
    <x v="20"/>
    <x v="20"/>
    <s v="Combined Heat and Power, Commercial Power"/>
    <x v="3"/>
    <n v="6"/>
  </r>
  <r>
    <x v="20"/>
    <x v="20"/>
    <s v="Combined Heat and Power, Commercial Power"/>
    <x v="12"/>
    <n v="132"/>
  </r>
  <r>
    <x v="20"/>
    <x v="20"/>
    <s v="Combined Heat and Power, Commercial Power"/>
    <x v="8"/>
    <n v="23405"/>
  </r>
  <r>
    <x v="20"/>
    <x v="20"/>
    <s v="Combined Heat and Power, Commercial Power"/>
    <x v="4"/>
    <n v="256"/>
  </r>
  <r>
    <x v="20"/>
    <x v="20"/>
    <s v="Combined Heat and Power, Commercial Power"/>
    <x v="6"/>
    <n v="16182"/>
  </r>
  <r>
    <x v="20"/>
    <x v="21"/>
    <s v="Total Electric Power Industry"/>
    <x v="0"/>
    <n v="17018660"/>
  </r>
  <r>
    <x v="20"/>
    <x v="21"/>
    <s v="Total Electric Power Industry"/>
    <x v="1"/>
    <n v="87193"/>
  </r>
  <r>
    <x v="20"/>
    <x v="21"/>
    <s v="Total Electric Power Industry"/>
    <x v="2"/>
    <n v="3810381"/>
  </r>
  <r>
    <x v="20"/>
    <x v="21"/>
    <s v="Total Electric Power Industry"/>
    <x v="3"/>
    <n v="8373606"/>
  </r>
  <r>
    <x v="20"/>
    <x v="21"/>
    <s v="Total Electric Power Industry"/>
    <x v="12"/>
    <n v="322896"/>
  </r>
  <r>
    <x v="20"/>
    <x v="21"/>
    <s v="Total Electric Power Industry"/>
    <x v="8"/>
    <n v="263508"/>
  </r>
  <r>
    <x v="20"/>
    <x v="21"/>
    <s v="Total Electric Power Industry"/>
    <x v="4"/>
    <n v="272300"/>
  </r>
  <r>
    <x v="20"/>
    <x v="21"/>
    <s v="Total Electric Power Industry"/>
    <x v="5"/>
    <n v="499198"/>
  </r>
  <r>
    <x v="20"/>
    <x v="21"/>
    <s v="Total Electric Power Industry"/>
    <x v="6"/>
    <n v="3389577"/>
  </r>
  <r>
    <x v="20"/>
    <x v="21"/>
    <s v="Electric Generators, Independent Power Producers"/>
    <x v="0"/>
    <n v="11278222"/>
  </r>
  <r>
    <x v="20"/>
    <x v="21"/>
    <s v="Electric Generators, Independent Power Producers"/>
    <x v="2"/>
    <n v="3104876"/>
  </r>
  <r>
    <x v="20"/>
    <x v="21"/>
    <s v="Electric Generators, Independent Power Producers"/>
    <x v="3"/>
    <n v="5860957"/>
  </r>
  <r>
    <x v="20"/>
    <x v="21"/>
    <s v="Electric Generators, Independent Power Producers"/>
    <x v="12"/>
    <n v="90979"/>
  </r>
  <r>
    <x v="20"/>
    <x v="21"/>
    <s v="Electric Generators, Independent Power Producers"/>
    <x v="8"/>
    <n v="137867"/>
  </r>
  <r>
    <x v="20"/>
    <x v="21"/>
    <s v="Electric Generators, Independent Power Producers"/>
    <x v="4"/>
    <n v="161153"/>
  </r>
  <r>
    <x v="20"/>
    <x v="21"/>
    <s v="Electric Generators, Independent Power Producers"/>
    <x v="5"/>
    <n v="499198"/>
  </r>
  <r>
    <x v="20"/>
    <x v="21"/>
    <s v="Electric Generators, Independent Power Producers"/>
    <x v="6"/>
    <n v="1423192"/>
  </r>
  <r>
    <x v="20"/>
    <x v="21"/>
    <s v="Electric Generators, Electric Utilities"/>
    <x v="0"/>
    <n v="1759"/>
  </r>
  <r>
    <x v="20"/>
    <x v="21"/>
    <s v="Electric Generators, Electric Utilities"/>
    <x v="4"/>
    <n v="1759"/>
  </r>
  <r>
    <x v="20"/>
    <x v="21"/>
    <s v="Combined Heat and Power, Industrial Power"/>
    <x v="0"/>
    <n v="4956554"/>
  </r>
  <r>
    <x v="20"/>
    <x v="21"/>
    <s v="Combined Heat and Power, Industrial Power"/>
    <x v="1"/>
    <n v="31470"/>
  </r>
  <r>
    <x v="20"/>
    <x v="21"/>
    <s v="Combined Heat and Power, Industrial Power"/>
    <x v="2"/>
    <n v="705505"/>
  </r>
  <r>
    <x v="20"/>
    <x v="21"/>
    <s v="Combined Heat and Power, Industrial Power"/>
    <x v="3"/>
    <n v="2512445"/>
  </r>
  <r>
    <x v="20"/>
    <x v="21"/>
    <s v="Combined Heat and Power, Industrial Power"/>
    <x v="12"/>
    <n v="27873"/>
  </r>
  <r>
    <x v="20"/>
    <x v="21"/>
    <s v="Combined Heat and Power, Industrial Power"/>
    <x v="8"/>
    <n v="21628"/>
  </r>
  <r>
    <x v="20"/>
    <x v="21"/>
    <s v="Combined Heat and Power, Industrial Power"/>
    <x v="4"/>
    <n v="102826"/>
  </r>
  <r>
    <x v="20"/>
    <x v="21"/>
    <s v="Combined Heat and Power, Industrial Power"/>
    <x v="6"/>
    <n v="1554807"/>
  </r>
  <r>
    <x v="20"/>
    <x v="21"/>
    <s v="Combined Heat and Power, Electric Power"/>
    <x v="0"/>
    <n v="603178"/>
  </r>
  <r>
    <x v="20"/>
    <x v="21"/>
    <s v="Combined Heat and Power, Electric Power"/>
    <x v="1"/>
    <n v="55723"/>
  </r>
  <r>
    <x v="20"/>
    <x v="21"/>
    <s v="Combined Heat and Power, Electric Power"/>
    <x v="12"/>
    <n v="126540"/>
  </r>
  <r>
    <x v="20"/>
    <x v="21"/>
    <s v="Combined Heat and Power, Electric Power"/>
    <x v="8"/>
    <n v="5372"/>
  </r>
  <r>
    <x v="20"/>
    <x v="21"/>
    <s v="Combined Heat and Power, Electric Power"/>
    <x v="4"/>
    <n v="3965"/>
  </r>
  <r>
    <x v="20"/>
    <x v="21"/>
    <s v="Combined Heat and Power, Electric Power"/>
    <x v="6"/>
    <n v="411578"/>
  </r>
  <r>
    <x v="20"/>
    <x v="21"/>
    <s v="Combined Heat and Power, Commercial Power"/>
    <x v="0"/>
    <n v="178946"/>
  </r>
  <r>
    <x v="20"/>
    <x v="21"/>
    <s v="Combined Heat and Power, Commercial Power"/>
    <x v="3"/>
    <n v="203"/>
  </r>
  <r>
    <x v="20"/>
    <x v="21"/>
    <s v="Combined Heat and Power, Commercial Power"/>
    <x v="12"/>
    <n v="77505"/>
  </r>
  <r>
    <x v="20"/>
    <x v="21"/>
    <s v="Combined Heat and Power, Commercial Power"/>
    <x v="8"/>
    <n v="98642"/>
  </r>
  <r>
    <x v="20"/>
    <x v="21"/>
    <s v="Combined Heat and Power, Commercial Power"/>
    <x v="4"/>
    <n v="2597"/>
  </r>
  <r>
    <x v="20"/>
    <x v="21"/>
    <s v="Combined Heat and Power, Commercial Power"/>
    <x v="6"/>
    <n v="0"/>
  </r>
  <r>
    <x v="20"/>
    <x v="22"/>
    <s v="Total Electric Power Industry"/>
    <x v="0"/>
    <n v="111551371"/>
  </r>
  <r>
    <x v="20"/>
    <x v="22"/>
    <s v="Total Electric Power Industry"/>
    <x v="1"/>
    <n v="65604374"/>
  </r>
  <r>
    <x v="20"/>
    <x v="22"/>
    <s v="Total Electric Power Industry"/>
    <x v="2"/>
    <n v="1250553"/>
  </r>
  <r>
    <x v="20"/>
    <x v="22"/>
    <s v="Total Electric Power Industry"/>
    <x v="3"/>
    <n v="12249262"/>
  </r>
  <r>
    <x v="20"/>
    <x v="22"/>
    <s v="Total Electric Power Industry"/>
    <x v="7"/>
    <n v="29624580"/>
  </r>
  <r>
    <x v="20"/>
    <x v="22"/>
    <s v="Total Electric Power Industry"/>
    <x v="12"/>
    <n v="331677"/>
  </r>
  <r>
    <x v="20"/>
    <x v="22"/>
    <s v="Total Electric Power Industry"/>
    <x v="8"/>
    <n v="802376"/>
  </r>
  <r>
    <x v="20"/>
    <x v="22"/>
    <s v="Total Electric Power Industry"/>
    <x v="9"/>
    <n v="299005"/>
  </r>
  <r>
    <x v="20"/>
    <x v="22"/>
    <s v="Total Electric Power Industry"/>
    <x v="4"/>
    <n v="382028"/>
  </r>
  <r>
    <x v="20"/>
    <x v="22"/>
    <s v="Total Electric Power Industry"/>
    <x v="10"/>
    <n v="-1022559"/>
  </r>
  <r>
    <x v="20"/>
    <x v="22"/>
    <s v="Total Electric Power Industry"/>
    <x v="5"/>
    <n v="360340"/>
  </r>
  <r>
    <x v="20"/>
    <x v="22"/>
    <s v="Total Electric Power Industry"/>
    <x v="6"/>
    <n v="1669736"/>
  </r>
  <r>
    <x v="20"/>
    <x v="22"/>
    <s v="Electric Generators, Independent Power Producers"/>
    <x v="0"/>
    <n v="12569865"/>
  </r>
  <r>
    <x v="20"/>
    <x v="22"/>
    <s v="Electric Generators, Independent Power Producers"/>
    <x v="1"/>
    <n v="27208"/>
  </r>
  <r>
    <x v="20"/>
    <x v="22"/>
    <s v="Electric Generators, Independent Power Producers"/>
    <x v="2"/>
    <n v="79463"/>
  </r>
  <r>
    <x v="20"/>
    <x v="22"/>
    <s v="Electric Generators, Independent Power Producers"/>
    <x v="3"/>
    <n v="4162500"/>
  </r>
  <r>
    <x v="20"/>
    <x v="22"/>
    <s v="Electric Generators, Independent Power Producers"/>
    <x v="7"/>
    <n v="6240661"/>
  </r>
  <r>
    <x v="20"/>
    <x v="22"/>
    <s v="Electric Generators, Independent Power Producers"/>
    <x v="12"/>
    <n v="102959"/>
  </r>
  <r>
    <x v="20"/>
    <x v="22"/>
    <s v="Electric Generators, Independent Power Producers"/>
    <x v="8"/>
    <n v="632248"/>
  </r>
  <r>
    <x v="20"/>
    <x v="22"/>
    <s v="Electric Generators, Independent Power Producers"/>
    <x v="9"/>
    <n v="0"/>
  </r>
  <r>
    <x v="20"/>
    <x v="22"/>
    <s v="Electric Generators, Independent Power Producers"/>
    <x v="4"/>
    <n v="0"/>
  </r>
  <r>
    <x v="20"/>
    <x v="22"/>
    <s v="Electric Generators, Independent Power Producers"/>
    <x v="5"/>
    <n v="360340"/>
  </r>
  <r>
    <x v="20"/>
    <x v="22"/>
    <s v="Electric Generators, Independent Power Producers"/>
    <x v="6"/>
    <n v="964485"/>
  </r>
  <r>
    <x v="20"/>
    <x v="22"/>
    <s v="Electric Generators, Electric Utilities"/>
    <x v="0"/>
    <n v="89666874"/>
  </r>
  <r>
    <x v="20"/>
    <x v="22"/>
    <s v="Electric Generators, Electric Utilities"/>
    <x v="1"/>
    <n v="64766712"/>
  </r>
  <r>
    <x v="20"/>
    <x v="22"/>
    <s v="Electric Generators, Electric Utilities"/>
    <x v="2"/>
    <n v="1142977"/>
  </r>
  <r>
    <x v="20"/>
    <x v="22"/>
    <s v="Electric Generators, Electric Utilities"/>
    <x v="3"/>
    <n v="1173481"/>
  </r>
  <r>
    <x v="20"/>
    <x v="22"/>
    <s v="Electric Generators, Electric Utilities"/>
    <x v="7"/>
    <n v="23383919"/>
  </r>
  <r>
    <x v="20"/>
    <x v="22"/>
    <s v="Electric Generators, Electric Utilities"/>
    <x v="12"/>
    <n v="27165"/>
  </r>
  <r>
    <x v="20"/>
    <x v="22"/>
    <s v="Electric Generators, Electric Utilities"/>
    <x v="8"/>
    <n v="0"/>
  </r>
  <r>
    <x v="20"/>
    <x v="22"/>
    <s v="Electric Generators, Electric Utilities"/>
    <x v="9"/>
    <n v="0"/>
  </r>
  <r>
    <x v="20"/>
    <x v="22"/>
    <s v="Electric Generators, Electric Utilities"/>
    <x v="4"/>
    <n v="195180"/>
  </r>
  <r>
    <x v="20"/>
    <x v="22"/>
    <s v="Electric Generators, Electric Utilities"/>
    <x v="10"/>
    <n v="-1022559"/>
  </r>
  <r>
    <x v="20"/>
    <x v="22"/>
    <s v="Combined Heat and Power, Industrial Power"/>
    <x v="0"/>
    <n v="1215481"/>
  </r>
  <r>
    <x v="20"/>
    <x v="22"/>
    <s v="Combined Heat and Power, Industrial Power"/>
    <x v="1"/>
    <n v="231533"/>
  </r>
  <r>
    <x v="20"/>
    <x v="22"/>
    <s v="Combined Heat and Power, Industrial Power"/>
    <x v="2"/>
    <n v="28113"/>
  </r>
  <r>
    <x v="20"/>
    <x v="22"/>
    <s v="Combined Heat and Power, Industrial Power"/>
    <x v="3"/>
    <n v="140189"/>
  </r>
  <r>
    <x v="20"/>
    <x v="22"/>
    <s v="Combined Heat and Power, Industrial Power"/>
    <x v="12"/>
    <n v="21871"/>
  </r>
  <r>
    <x v="20"/>
    <x v="22"/>
    <s v="Combined Heat and Power, Industrial Power"/>
    <x v="8"/>
    <n v="7874"/>
  </r>
  <r>
    <x v="20"/>
    <x v="22"/>
    <s v="Combined Heat and Power, Industrial Power"/>
    <x v="4"/>
    <n v="107102"/>
  </r>
  <r>
    <x v="20"/>
    <x v="22"/>
    <s v="Combined Heat and Power, Industrial Power"/>
    <x v="6"/>
    <n v="678799"/>
  </r>
  <r>
    <x v="20"/>
    <x v="22"/>
    <s v="Combined Heat and Power, Electric Power"/>
    <x v="0"/>
    <n v="7474970"/>
  </r>
  <r>
    <x v="20"/>
    <x v="22"/>
    <s v="Combined Heat and Power, Electric Power"/>
    <x v="1"/>
    <n v="343525"/>
  </r>
  <r>
    <x v="20"/>
    <x v="22"/>
    <s v="Combined Heat and Power, Electric Power"/>
    <x v="3"/>
    <n v="6676088"/>
  </r>
  <r>
    <x v="20"/>
    <x v="22"/>
    <s v="Combined Heat and Power, Electric Power"/>
    <x v="12"/>
    <n v="56966"/>
  </r>
  <r>
    <x v="20"/>
    <x v="22"/>
    <s v="Combined Heat and Power, Electric Power"/>
    <x v="8"/>
    <n v="6069"/>
  </r>
  <r>
    <x v="20"/>
    <x v="22"/>
    <s v="Combined Heat and Power, Electric Power"/>
    <x v="9"/>
    <n v="299005"/>
  </r>
  <r>
    <x v="20"/>
    <x v="22"/>
    <s v="Combined Heat and Power, Electric Power"/>
    <x v="4"/>
    <n v="71051"/>
  </r>
  <r>
    <x v="20"/>
    <x v="22"/>
    <s v="Combined Heat and Power, Electric Power"/>
    <x v="6"/>
    <n v="22266"/>
  </r>
  <r>
    <x v="20"/>
    <x v="22"/>
    <s v="Combined Heat and Power, Commercial Power"/>
    <x v="0"/>
    <n v="624181"/>
  </r>
  <r>
    <x v="20"/>
    <x v="22"/>
    <s v="Combined Heat and Power, Commercial Power"/>
    <x v="1"/>
    <n v="235396"/>
  </r>
  <r>
    <x v="20"/>
    <x v="22"/>
    <s v="Combined Heat and Power, Commercial Power"/>
    <x v="3"/>
    <n v="97004"/>
  </r>
  <r>
    <x v="20"/>
    <x v="22"/>
    <s v="Combined Heat and Power, Commercial Power"/>
    <x v="12"/>
    <n v="122715"/>
  </r>
  <r>
    <x v="20"/>
    <x v="22"/>
    <s v="Combined Heat and Power, Commercial Power"/>
    <x v="8"/>
    <n v="156185"/>
  </r>
  <r>
    <x v="20"/>
    <x v="22"/>
    <s v="Combined Heat and Power, Commercial Power"/>
    <x v="4"/>
    <n v="8695"/>
  </r>
  <r>
    <x v="20"/>
    <x v="22"/>
    <s v="Combined Heat and Power, Commercial Power"/>
    <x v="6"/>
    <n v="4186"/>
  </r>
  <r>
    <x v="20"/>
    <x v="23"/>
    <s v="Total Electric Power Industry"/>
    <x v="0"/>
    <n v="53670227"/>
  </r>
  <r>
    <x v="20"/>
    <x v="23"/>
    <s v="Total Electric Power Industry"/>
    <x v="1"/>
    <n v="28082550"/>
  </r>
  <r>
    <x v="20"/>
    <x v="23"/>
    <s v="Total Electric Power Industry"/>
    <x v="2"/>
    <n v="840410"/>
  </r>
  <r>
    <x v="20"/>
    <x v="23"/>
    <s v="Total Electric Power Industry"/>
    <x v="3"/>
    <n v="4340847"/>
  </r>
  <r>
    <x v="20"/>
    <x v="23"/>
    <s v="Total Electric Power Industry"/>
    <x v="7"/>
    <n v="13478046"/>
  </r>
  <r>
    <x v="20"/>
    <x v="23"/>
    <s v="Total Electric Power Industry"/>
    <x v="12"/>
    <n v="257686"/>
  </r>
  <r>
    <x v="20"/>
    <x v="23"/>
    <s v="Total Electric Power Industry"/>
    <x v="8"/>
    <n v="915352"/>
  </r>
  <r>
    <x v="20"/>
    <x v="23"/>
    <s v="Total Electric Power Industry"/>
    <x v="9"/>
    <n v="0"/>
  </r>
  <r>
    <x v="20"/>
    <x v="23"/>
    <s v="Total Electric Power Industry"/>
    <x v="4"/>
    <n v="31056"/>
  </r>
  <r>
    <x v="20"/>
    <x v="23"/>
    <s v="Total Electric Power Industry"/>
    <x v="5"/>
    <n v="4791723"/>
  </r>
  <r>
    <x v="20"/>
    <x v="23"/>
    <s v="Total Electric Power Industry"/>
    <x v="6"/>
    <n v="932558"/>
  </r>
  <r>
    <x v="20"/>
    <x v="23"/>
    <s v="Electric Generators, Independent Power Producers"/>
    <x v="0"/>
    <n v="5909308"/>
  </r>
  <r>
    <x v="20"/>
    <x v="23"/>
    <s v="Electric Generators, Independent Power Producers"/>
    <x v="2"/>
    <n v="178933"/>
  </r>
  <r>
    <x v="20"/>
    <x v="23"/>
    <s v="Electric Generators, Independent Power Producers"/>
    <x v="3"/>
    <n v="618888"/>
  </r>
  <r>
    <x v="20"/>
    <x v="23"/>
    <s v="Electric Generators, Independent Power Producers"/>
    <x v="12"/>
    <n v="111981"/>
  </r>
  <r>
    <x v="20"/>
    <x v="23"/>
    <s v="Electric Generators, Independent Power Producers"/>
    <x v="8"/>
    <n v="607799"/>
  </r>
  <r>
    <x v="20"/>
    <x v="23"/>
    <s v="Electric Generators, Independent Power Producers"/>
    <x v="4"/>
    <n v="1309"/>
  </r>
  <r>
    <x v="20"/>
    <x v="23"/>
    <s v="Electric Generators, Independent Power Producers"/>
    <x v="5"/>
    <n v="4390396"/>
  </r>
  <r>
    <x v="20"/>
    <x v="23"/>
    <s v="Electric Generators, Electric Utilities"/>
    <x v="0"/>
    <n v="45428599"/>
  </r>
  <r>
    <x v="20"/>
    <x v="23"/>
    <s v="Electric Generators, Electric Utilities"/>
    <x v="1"/>
    <n v="27176478"/>
  </r>
  <r>
    <x v="20"/>
    <x v="23"/>
    <s v="Electric Generators, Electric Utilities"/>
    <x v="2"/>
    <n v="534259"/>
  </r>
  <r>
    <x v="20"/>
    <x v="23"/>
    <s v="Electric Generators, Electric Utilities"/>
    <x v="3"/>
    <n v="3235036"/>
  </r>
  <r>
    <x v="20"/>
    <x v="23"/>
    <s v="Electric Generators, Electric Utilities"/>
    <x v="7"/>
    <n v="13478046"/>
  </r>
  <r>
    <x v="20"/>
    <x v="23"/>
    <s v="Electric Generators, Electric Utilities"/>
    <x v="12"/>
    <n v="111974"/>
  </r>
  <r>
    <x v="20"/>
    <x v="23"/>
    <s v="Electric Generators, Electric Utilities"/>
    <x v="8"/>
    <n v="215474"/>
  </r>
  <r>
    <x v="20"/>
    <x v="23"/>
    <s v="Electric Generators, Electric Utilities"/>
    <x v="9"/>
    <n v="0"/>
  </r>
  <r>
    <x v="20"/>
    <x v="23"/>
    <s v="Electric Generators, Electric Utilities"/>
    <x v="4"/>
    <n v="25870"/>
  </r>
  <r>
    <x v="20"/>
    <x v="23"/>
    <s v="Electric Generators, Electric Utilities"/>
    <x v="5"/>
    <n v="389578"/>
  </r>
  <r>
    <x v="20"/>
    <x v="23"/>
    <s v="Electric Generators, Electric Utilities"/>
    <x v="6"/>
    <n v="261884"/>
  </r>
  <r>
    <x v="20"/>
    <x v="23"/>
    <s v="Combined Heat and Power, Industrial Power"/>
    <x v="0"/>
    <n v="1629514"/>
  </r>
  <r>
    <x v="20"/>
    <x v="23"/>
    <s v="Combined Heat and Power, Industrial Power"/>
    <x v="1"/>
    <n v="906072"/>
  </r>
  <r>
    <x v="20"/>
    <x v="23"/>
    <s v="Combined Heat and Power, Industrial Power"/>
    <x v="2"/>
    <n v="127218"/>
  </r>
  <r>
    <x v="20"/>
    <x v="23"/>
    <s v="Combined Heat and Power, Industrial Power"/>
    <x v="3"/>
    <n v="59531"/>
  </r>
  <r>
    <x v="20"/>
    <x v="23"/>
    <s v="Combined Heat and Power, Industrial Power"/>
    <x v="12"/>
    <n v="12039"/>
  </r>
  <r>
    <x v="20"/>
    <x v="23"/>
    <s v="Combined Heat and Power, Industrial Power"/>
    <x v="8"/>
    <n v="11077"/>
  </r>
  <r>
    <x v="20"/>
    <x v="23"/>
    <s v="Combined Heat and Power, Industrial Power"/>
    <x v="4"/>
    <n v="1972"/>
  </r>
  <r>
    <x v="20"/>
    <x v="23"/>
    <s v="Combined Heat and Power, Industrial Power"/>
    <x v="6"/>
    <n v="511606"/>
  </r>
  <r>
    <x v="20"/>
    <x v="23"/>
    <s v="Combined Heat and Power, Electric Power"/>
    <x v="0"/>
    <n v="559934"/>
  </r>
  <r>
    <x v="20"/>
    <x v="23"/>
    <s v="Combined Heat and Power, Electric Power"/>
    <x v="3"/>
    <n v="323728"/>
  </r>
  <r>
    <x v="20"/>
    <x v="23"/>
    <s v="Combined Heat and Power, Electric Power"/>
    <x v="8"/>
    <n v="77138"/>
  </r>
  <r>
    <x v="20"/>
    <x v="23"/>
    <s v="Combined Heat and Power, Electric Power"/>
    <x v="4"/>
    <n v="0"/>
  </r>
  <r>
    <x v="20"/>
    <x v="23"/>
    <s v="Combined Heat and Power, Electric Power"/>
    <x v="6"/>
    <n v="159068"/>
  </r>
  <r>
    <x v="20"/>
    <x v="23"/>
    <s v="Combined Heat and Power, Commercial Power"/>
    <x v="0"/>
    <n v="142872"/>
  </r>
  <r>
    <x v="20"/>
    <x v="23"/>
    <s v="Combined Heat and Power, Commercial Power"/>
    <x v="3"/>
    <n v="103664"/>
  </r>
  <r>
    <x v="20"/>
    <x v="23"/>
    <s v="Combined Heat and Power, Commercial Power"/>
    <x v="12"/>
    <n v="21691"/>
  </r>
  <r>
    <x v="20"/>
    <x v="23"/>
    <s v="Combined Heat and Power, Commercial Power"/>
    <x v="8"/>
    <n v="3863"/>
  </r>
  <r>
    <x v="20"/>
    <x v="23"/>
    <s v="Combined Heat and Power, Commercial Power"/>
    <x v="4"/>
    <n v="1905"/>
  </r>
  <r>
    <x v="20"/>
    <x v="23"/>
    <s v="Combined Heat and Power, Commercial Power"/>
    <x v="5"/>
    <n v="11749"/>
  </r>
  <r>
    <x v="20"/>
    <x v="24"/>
    <s v="Total Electric Power Industry"/>
    <x v="0"/>
    <n v="92312989"/>
  </r>
  <r>
    <x v="20"/>
    <x v="24"/>
    <s v="Total Electric Power Industry"/>
    <x v="1"/>
    <n v="75047229"/>
  </r>
  <r>
    <x v="20"/>
    <x v="24"/>
    <s v="Total Electric Power Industry"/>
    <x v="2"/>
    <n v="1539347"/>
  </r>
  <r>
    <x v="20"/>
    <x v="24"/>
    <s v="Total Electric Power Industry"/>
    <x v="3"/>
    <n v="4689867"/>
  </r>
  <r>
    <x v="20"/>
    <x v="24"/>
    <s v="Total Electric Power Industry"/>
    <x v="7"/>
    <n v="8996033"/>
  </r>
  <r>
    <x v="20"/>
    <x v="24"/>
    <s v="Total Electric Power Industry"/>
    <x v="12"/>
    <n v="32347"/>
  </r>
  <r>
    <x v="20"/>
    <x v="24"/>
    <s v="Total Electric Power Industry"/>
    <x v="8"/>
    <n v="61988"/>
  </r>
  <r>
    <x v="20"/>
    <x v="24"/>
    <s v="Total Electric Power Industry"/>
    <x v="9"/>
    <n v="6990"/>
  </r>
  <r>
    <x v="20"/>
    <x v="24"/>
    <s v="Total Electric Power Industry"/>
    <x v="4"/>
    <n v="125894"/>
  </r>
  <r>
    <x v="20"/>
    <x v="24"/>
    <s v="Total Electric Power Industry"/>
    <x v="10"/>
    <n v="887686"/>
  </r>
  <r>
    <x v="20"/>
    <x v="24"/>
    <s v="Total Electric Power Industry"/>
    <x v="5"/>
    <n v="925490"/>
  </r>
  <r>
    <x v="20"/>
    <x v="24"/>
    <s v="Total Electric Power Industry"/>
    <x v="6"/>
    <n v="119"/>
  </r>
  <r>
    <x v="20"/>
    <x v="24"/>
    <s v="Electric Generators, Independent Power Producers"/>
    <x v="0"/>
    <n v="1842611"/>
  </r>
  <r>
    <x v="20"/>
    <x v="24"/>
    <s v="Electric Generators, Independent Power Producers"/>
    <x v="3"/>
    <n v="895454"/>
  </r>
  <r>
    <x v="20"/>
    <x v="24"/>
    <s v="Electric Generators, Independent Power Producers"/>
    <x v="8"/>
    <n v="21667"/>
  </r>
  <r>
    <x v="20"/>
    <x v="24"/>
    <s v="Electric Generators, Independent Power Producers"/>
    <x v="5"/>
    <n v="925490"/>
  </r>
  <r>
    <x v="20"/>
    <x v="24"/>
    <s v="Electric Generators, Electric Utilities"/>
    <x v="0"/>
    <n v="90176805"/>
  </r>
  <r>
    <x v="20"/>
    <x v="24"/>
    <s v="Electric Generators, Electric Utilities"/>
    <x v="1"/>
    <n v="74829029"/>
  </r>
  <r>
    <x v="20"/>
    <x v="24"/>
    <s v="Electric Generators, Electric Utilities"/>
    <x v="2"/>
    <n v="1539347"/>
  </r>
  <r>
    <x v="20"/>
    <x v="24"/>
    <s v="Electric Generators, Electric Utilities"/>
    <x v="3"/>
    <n v="3728904"/>
  </r>
  <r>
    <x v="20"/>
    <x v="24"/>
    <s v="Electric Generators, Electric Utilities"/>
    <x v="7"/>
    <n v="8996033"/>
  </r>
  <r>
    <x v="20"/>
    <x v="24"/>
    <s v="Electric Generators, Electric Utilities"/>
    <x v="12"/>
    <n v="27375"/>
  </r>
  <r>
    <x v="20"/>
    <x v="24"/>
    <s v="Electric Generators, Electric Utilities"/>
    <x v="8"/>
    <n v="36576"/>
  </r>
  <r>
    <x v="20"/>
    <x v="24"/>
    <s v="Electric Generators, Electric Utilities"/>
    <x v="9"/>
    <n v="6990"/>
  </r>
  <r>
    <x v="20"/>
    <x v="24"/>
    <s v="Electric Generators, Electric Utilities"/>
    <x v="4"/>
    <n v="124866"/>
  </r>
  <r>
    <x v="20"/>
    <x v="24"/>
    <s v="Electric Generators, Electric Utilities"/>
    <x v="10"/>
    <n v="887686"/>
  </r>
  <r>
    <x v="20"/>
    <x v="24"/>
    <s v="Combined Heat and Power, Industrial Power"/>
    <x v="0"/>
    <n v="114435"/>
  </r>
  <r>
    <x v="20"/>
    <x v="24"/>
    <s v="Combined Heat and Power, Industrial Power"/>
    <x v="1"/>
    <n v="108779"/>
  </r>
  <r>
    <x v="20"/>
    <x v="24"/>
    <s v="Combined Heat and Power, Industrial Power"/>
    <x v="3"/>
    <n v="923"/>
  </r>
  <r>
    <x v="20"/>
    <x v="24"/>
    <s v="Combined Heat and Power, Industrial Power"/>
    <x v="8"/>
    <n v="3746"/>
  </r>
  <r>
    <x v="20"/>
    <x v="24"/>
    <s v="Combined Heat and Power, Industrial Power"/>
    <x v="4"/>
    <n v="869"/>
  </r>
  <r>
    <x v="20"/>
    <x v="24"/>
    <s v="Combined Heat and Power, Industrial Power"/>
    <x v="6"/>
    <n v="119"/>
  </r>
  <r>
    <x v="20"/>
    <x v="24"/>
    <s v="Combined Heat and Power, Electric Power"/>
    <x v="0"/>
    <n v="54513"/>
  </r>
  <r>
    <x v="20"/>
    <x v="24"/>
    <s v="Combined Heat and Power, Electric Power"/>
    <x v="3"/>
    <n v="54513"/>
  </r>
  <r>
    <x v="20"/>
    <x v="24"/>
    <s v="Combined Heat and Power, Commercial Power"/>
    <x v="0"/>
    <n v="124625"/>
  </r>
  <r>
    <x v="20"/>
    <x v="24"/>
    <s v="Combined Heat and Power, Commercial Power"/>
    <x v="1"/>
    <n v="109420"/>
  </r>
  <r>
    <x v="20"/>
    <x v="24"/>
    <s v="Combined Heat and Power, Commercial Power"/>
    <x v="3"/>
    <n v="10073"/>
  </r>
  <r>
    <x v="20"/>
    <x v="24"/>
    <s v="Combined Heat and Power, Commercial Power"/>
    <x v="12"/>
    <n v="4972"/>
  </r>
  <r>
    <x v="20"/>
    <x v="24"/>
    <s v="Combined Heat and Power, Commercial Power"/>
    <x v="4"/>
    <n v="159"/>
  </r>
  <r>
    <x v="20"/>
    <x v="25"/>
    <s v="Total Electric Power Industry"/>
    <x v="0"/>
    <n v="54487260"/>
  </r>
  <r>
    <x v="20"/>
    <x v="25"/>
    <s v="Total Electric Power Industry"/>
    <x v="1"/>
    <n v="13628997"/>
  </r>
  <r>
    <x v="20"/>
    <x v="25"/>
    <s v="Total Electric Power Industry"/>
    <x v="3"/>
    <n v="29618922"/>
  </r>
  <r>
    <x v="20"/>
    <x v="25"/>
    <s v="Total Electric Power Industry"/>
    <x v="7"/>
    <n v="9643241"/>
  </r>
  <r>
    <x v="20"/>
    <x v="25"/>
    <s v="Total Electric Power Industry"/>
    <x v="12"/>
    <n v="8696"/>
  </r>
  <r>
    <x v="20"/>
    <x v="25"/>
    <s v="Total Electric Power Industry"/>
    <x v="8"/>
    <n v="991"/>
  </r>
  <r>
    <x v="20"/>
    <x v="25"/>
    <s v="Total Electric Power Industry"/>
    <x v="9"/>
    <n v="1635"/>
  </r>
  <r>
    <x v="20"/>
    <x v="25"/>
    <s v="Total Electric Power Industry"/>
    <x v="4"/>
    <n v="81500"/>
  </r>
  <r>
    <x v="20"/>
    <x v="25"/>
    <s v="Total Electric Power Industry"/>
    <x v="6"/>
    <n v="1503279"/>
  </r>
  <r>
    <x v="20"/>
    <x v="25"/>
    <s v="Electric Generators, Independent Power Producers"/>
    <x v="0"/>
    <n v="11778569"/>
  </r>
  <r>
    <x v="20"/>
    <x v="25"/>
    <s v="Electric Generators, Independent Power Producers"/>
    <x v="1"/>
    <n v="3319288"/>
  </r>
  <r>
    <x v="20"/>
    <x v="25"/>
    <s v="Electric Generators, Independent Power Producers"/>
    <x v="3"/>
    <n v="8457263"/>
  </r>
  <r>
    <x v="20"/>
    <x v="25"/>
    <s v="Electric Generators, Independent Power Producers"/>
    <x v="12"/>
    <n v="511"/>
  </r>
  <r>
    <x v="20"/>
    <x v="25"/>
    <s v="Electric Generators, Independent Power Producers"/>
    <x v="4"/>
    <n v="0"/>
  </r>
  <r>
    <x v="20"/>
    <x v="25"/>
    <s v="Electric Generators, Independent Power Producers"/>
    <x v="6"/>
    <n v="1507"/>
  </r>
  <r>
    <x v="20"/>
    <x v="25"/>
    <s v="Electric Generators, Electric Utilities"/>
    <x v="0"/>
    <n v="40841436"/>
  </r>
  <r>
    <x v="20"/>
    <x v="25"/>
    <s v="Electric Generators, Electric Utilities"/>
    <x v="1"/>
    <n v="10309709"/>
  </r>
  <r>
    <x v="20"/>
    <x v="25"/>
    <s v="Electric Generators, Electric Utilities"/>
    <x v="3"/>
    <n v="20811624"/>
  </r>
  <r>
    <x v="20"/>
    <x v="25"/>
    <s v="Electric Generators, Electric Utilities"/>
    <x v="7"/>
    <n v="9643241"/>
  </r>
  <r>
    <x v="20"/>
    <x v="25"/>
    <s v="Electric Generators, Electric Utilities"/>
    <x v="8"/>
    <n v="5"/>
  </r>
  <r>
    <x v="20"/>
    <x v="25"/>
    <s v="Electric Generators, Electric Utilities"/>
    <x v="4"/>
    <n v="76832"/>
  </r>
  <r>
    <x v="20"/>
    <x v="25"/>
    <s v="Electric Generators, Electric Utilities"/>
    <x v="6"/>
    <n v="25"/>
  </r>
  <r>
    <x v="20"/>
    <x v="25"/>
    <s v="Combined Heat and Power, Industrial Power"/>
    <x v="0"/>
    <n v="1844888"/>
  </r>
  <r>
    <x v="20"/>
    <x v="25"/>
    <s v="Combined Heat and Power, Industrial Power"/>
    <x v="1"/>
    <n v="0"/>
  </r>
  <r>
    <x v="20"/>
    <x v="25"/>
    <s v="Combined Heat and Power, Industrial Power"/>
    <x v="3"/>
    <n v="327668"/>
  </r>
  <r>
    <x v="20"/>
    <x v="25"/>
    <s v="Combined Heat and Power, Industrial Power"/>
    <x v="12"/>
    <n v="8185"/>
  </r>
  <r>
    <x v="20"/>
    <x v="25"/>
    <s v="Combined Heat and Power, Industrial Power"/>
    <x v="8"/>
    <n v="986"/>
  </r>
  <r>
    <x v="20"/>
    <x v="25"/>
    <s v="Combined Heat and Power, Industrial Power"/>
    <x v="9"/>
    <n v="1635"/>
  </r>
  <r>
    <x v="20"/>
    <x v="25"/>
    <s v="Combined Heat and Power, Industrial Power"/>
    <x v="4"/>
    <n v="4668"/>
  </r>
  <r>
    <x v="20"/>
    <x v="25"/>
    <s v="Combined Heat and Power, Industrial Power"/>
    <x v="6"/>
    <n v="1501747"/>
  </r>
  <r>
    <x v="20"/>
    <x v="25"/>
    <s v="Combined Heat and Power, Commercial Power"/>
    <x v="0"/>
    <n v="22368"/>
  </r>
  <r>
    <x v="20"/>
    <x v="25"/>
    <s v="Combined Heat and Power, Commercial Power"/>
    <x v="3"/>
    <n v="22368"/>
  </r>
  <r>
    <x v="20"/>
    <x v="26"/>
    <s v="Total Electric Power Industry"/>
    <x v="0"/>
    <n v="29791181"/>
  </r>
  <r>
    <x v="20"/>
    <x v="26"/>
    <s v="Total Electric Power Industry"/>
    <x v="1"/>
    <n v="18600634"/>
  </r>
  <r>
    <x v="20"/>
    <x v="26"/>
    <s v="Total Electric Power Industry"/>
    <x v="2"/>
    <n v="9414662"/>
  </r>
  <r>
    <x v="20"/>
    <x v="26"/>
    <s v="Total Electric Power Industry"/>
    <x v="3"/>
    <n v="57112"/>
  </r>
  <r>
    <x v="20"/>
    <x v="26"/>
    <s v="Total Electric Power Industry"/>
    <x v="12"/>
    <n v="281214"/>
  </r>
  <r>
    <x v="20"/>
    <x v="26"/>
    <s v="Total Electric Power Industry"/>
    <x v="9"/>
    <n v="1899"/>
  </r>
  <r>
    <x v="20"/>
    <x v="26"/>
    <s v="Total Electric Power Industry"/>
    <x v="4"/>
    <n v="408501"/>
  </r>
  <r>
    <x v="20"/>
    <x v="26"/>
    <s v="Total Electric Power Industry"/>
    <x v="5"/>
    <n v="930233"/>
  </r>
  <r>
    <x v="20"/>
    <x v="26"/>
    <s v="Total Electric Power Industry"/>
    <x v="6"/>
    <n v="96924"/>
  </r>
  <r>
    <x v="20"/>
    <x v="26"/>
    <s v="Electric Generators, Independent Power Producers"/>
    <x v="0"/>
    <n v="23019307"/>
  </r>
  <r>
    <x v="20"/>
    <x v="26"/>
    <s v="Electric Generators, Independent Power Producers"/>
    <x v="1"/>
    <n v="18285840"/>
  </r>
  <r>
    <x v="20"/>
    <x v="26"/>
    <s v="Electric Generators, Independent Power Producers"/>
    <x v="2"/>
    <n v="3559273"/>
  </r>
  <r>
    <x v="20"/>
    <x v="26"/>
    <s v="Electric Generators, Independent Power Producers"/>
    <x v="3"/>
    <n v="19936"/>
  </r>
  <r>
    <x v="20"/>
    <x v="26"/>
    <s v="Electric Generators, Independent Power Producers"/>
    <x v="12"/>
    <n v="281214"/>
  </r>
  <r>
    <x v="20"/>
    <x v="26"/>
    <s v="Electric Generators, Independent Power Producers"/>
    <x v="4"/>
    <n v="10713"/>
  </r>
  <r>
    <x v="20"/>
    <x v="26"/>
    <s v="Electric Generators, Independent Power Producers"/>
    <x v="5"/>
    <n v="862331"/>
  </r>
  <r>
    <x v="20"/>
    <x v="26"/>
    <s v="Electric Generators, Electric Utilities"/>
    <x v="0"/>
    <n v="6271180"/>
  </r>
  <r>
    <x v="20"/>
    <x v="26"/>
    <s v="Electric Generators, Electric Utilities"/>
    <x v="1"/>
    <n v="314795"/>
  </r>
  <r>
    <x v="20"/>
    <x v="26"/>
    <s v="Electric Generators, Electric Utilities"/>
    <x v="2"/>
    <n v="5855389"/>
  </r>
  <r>
    <x v="20"/>
    <x v="26"/>
    <s v="Electric Generators, Electric Utilities"/>
    <x v="3"/>
    <n v="32703"/>
  </r>
  <r>
    <x v="20"/>
    <x v="26"/>
    <s v="Electric Generators, Electric Utilities"/>
    <x v="4"/>
    <n v="392"/>
  </r>
  <r>
    <x v="20"/>
    <x v="26"/>
    <s v="Electric Generators, Electric Utilities"/>
    <x v="5"/>
    <n v="67902"/>
  </r>
  <r>
    <x v="20"/>
    <x v="26"/>
    <s v="Combined Heat and Power, Industrial Power"/>
    <x v="0"/>
    <n v="103166"/>
  </r>
  <r>
    <x v="20"/>
    <x v="26"/>
    <s v="Combined Heat and Power, Industrial Power"/>
    <x v="3"/>
    <n v="4473"/>
  </r>
  <r>
    <x v="20"/>
    <x v="26"/>
    <s v="Combined Heat and Power, Industrial Power"/>
    <x v="9"/>
    <n v="1769"/>
  </r>
  <r>
    <x v="20"/>
    <x v="26"/>
    <s v="Combined Heat and Power, Industrial Power"/>
    <x v="4"/>
    <n v="0"/>
  </r>
  <r>
    <x v="20"/>
    <x v="26"/>
    <s v="Combined Heat and Power, Industrial Power"/>
    <x v="6"/>
    <n v="96924"/>
  </r>
  <r>
    <x v="20"/>
    <x v="26"/>
    <s v="Combined Heat and Power, Electric Power"/>
    <x v="0"/>
    <n v="397527"/>
  </r>
  <r>
    <x v="20"/>
    <x v="26"/>
    <s v="Combined Heat and Power, Electric Power"/>
    <x v="9"/>
    <n v="130"/>
  </r>
  <r>
    <x v="20"/>
    <x v="26"/>
    <s v="Combined Heat and Power, Electric Power"/>
    <x v="4"/>
    <n v="397397"/>
  </r>
  <r>
    <x v="20"/>
    <x v="27"/>
    <s v="Total Electric Power Industry"/>
    <x v="0"/>
    <n v="128678483"/>
  </r>
  <r>
    <x v="20"/>
    <x v="27"/>
    <s v="Total Electric Power Industry"/>
    <x v="1"/>
    <n v="71951214"/>
  </r>
  <r>
    <x v="20"/>
    <x v="27"/>
    <s v="Total Electric Power Industry"/>
    <x v="2"/>
    <n v="4756549"/>
  </r>
  <r>
    <x v="20"/>
    <x v="27"/>
    <s v="Total Electric Power Industry"/>
    <x v="3"/>
    <n v="8447237"/>
  </r>
  <r>
    <x v="20"/>
    <x v="27"/>
    <s v="Total Electric Power Industry"/>
    <x v="7"/>
    <n v="40739529"/>
  </r>
  <r>
    <x v="20"/>
    <x v="27"/>
    <s v="Total Electric Power Industry"/>
    <x v="12"/>
    <n v="407440"/>
  </r>
  <r>
    <x v="20"/>
    <x v="27"/>
    <s v="Total Electric Power Industry"/>
    <x v="8"/>
    <n v="195310"/>
  </r>
  <r>
    <x v="20"/>
    <x v="27"/>
    <s v="Total Electric Power Industry"/>
    <x v="9"/>
    <n v="0"/>
  </r>
  <r>
    <x v="20"/>
    <x v="27"/>
    <s v="Total Electric Power Industry"/>
    <x v="4"/>
    <n v="293373"/>
  </r>
  <r>
    <x v="20"/>
    <x v="27"/>
    <s v="Total Electric Power Industry"/>
    <x v="10"/>
    <n v="0"/>
  </r>
  <r>
    <x v="20"/>
    <x v="27"/>
    <s v="Total Electric Power Industry"/>
    <x v="13"/>
    <n v="11340"/>
  </r>
  <r>
    <x v="20"/>
    <x v="27"/>
    <s v="Total Electric Power Industry"/>
    <x v="6"/>
    <n v="1876492"/>
  </r>
  <r>
    <x v="20"/>
    <x v="27"/>
    <s v="Electric Generators, Independent Power Producers"/>
    <x v="0"/>
    <n v="2605480"/>
  </r>
  <r>
    <x v="20"/>
    <x v="27"/>
    <s v="Electric Generators, Independent Power Producers"/>
    <x v="2"/>
    <n v="34311"/>
  </r>
  <r>
    <x v="20"/>
    <x v="27"/>
    <s v="Electric Generators, Independent Power Producers"/>
    <x v="3"/>
    <n v="2122069"/>
  </r>
  <r>
    <x v="20"/>
    <x v="27"/>
    <s v="Electric Generators, Independent Power Producers"/>
    <x v="12"/>
    <n v="0"/>
  </r>
  <r>
    <x v="20"/>
    <x v="27"/>
    <s v="Electric Generators, Independent Power Producers"/>
    <x v="8"/>
    <n v="117552"/>
  </r>
  <r>
    <x v="20"/>
    <x v="27"/>
    <s v="Electric Generators, Independent Power Producers"/>
    <x v="9"/>
    <n v="0"/>
  </r>
  <r>
    <x v="20"/>
    <x v="27"/>
    <s v="Electric Generators, Independent Power Producers"/>
    <x v="4"/>
    <n v="1254"/>
  </r>
  <r>
    <x v="20"/>
    <x v="27"/>
    <s v="Electric Generators, Independent Power Producers"/>
    <x v="13"/>
    <n v="7792"/>
  </r>
  <r>
    <x v="20"/>
    <x v="27"/>
    <s v="Electric Generators, Independent Power Producers"/>
    <x v="6"/>
    <n v="322501"/>
  </r>
  <r>
    <x v="20"/>
    <x v="27"/>
    <s v="Electric Generators, Electric Utilities"/>
    <x v="0"/>
    <n v="121251138"/>
  </r>
  <r>
    <x v="20"/>
    <x v="27"/>
    <s v="Electric Generators, Electric Utilities"/>
    <x v="1"/>
    <n v="69274374"/>
  </r>
  <r>
    <x v="20"/>
    <x v="27"/>
    <s v="Electric Generators, Electric Utilities"/>
    <x v="2"/>
    <n v="4709155"/>
  </r>
  <r>
    <x v="20"/>
    <x v="27"/>
    <s v="Electric Generators, Electric Utilities"/>
    <x v="3"/>
    <n v="6277283"/>
  </r>
  <r>
    <x v="20"/>
    <x v="27"/>
    <s v="Electric Generators, Electric Utilities"/>
    <x v="7"/>
    <n v="40739529"/>
  </r>
  <r>
    <x v="20"/>
    <x v="27"/>
    <s v="Electric Generators, Electric Utilities"/>
    <x v="4"/>
    <n v="245987"/>
  </r>
  <r>
    <x v="20"/>
    <x v="27"/>
    <s v="Electric Generators, Electric Utilities"/>
    <x v="10"/>
    <n v="0"/>
  </r>
  <r>
    <x v="20"/>
    <x v="27"/>
    <s v="Electric Generators, Electric Utilities"/>
    <x v="13"/>
    <n v="3548"/>
  </r>
  <r>
    <x v="20"/>
    <x v="27"/>
    <s v="Electric Generators, Electric Utilities"/>
    <x v="6"/>
    <n v="1262"/>
  </r>
  <r>
    <x v="20"/>
    <x v="27"/>
    <s v="Combined Heat and Power, Industrial Power"/>
    <x v="0"/>
    <n v="2146387"/>
  </r>
  <r>
    <x v="20"/>
    <x v="27"/>
    <s v="Combined Heat and Power, Industrial Power"/>
    <x v="1"/>
    <n v="370356"/>
  </r>
  <r>
    <x v="20"/>
    <x v="27"/>
    <s v="Combined Heat and Power, Industrial Power"/>
    <x v="2"/>
    <n v="1542"/>
  </r>
  <r>
    <x v="20"/>
    <x v="27"/>
    <s v="Combined Heat and Power, Industrial Power"/>
    <x v="3"/>
    <n v="46755"/>
  </r>
  <r>
    <x v="20"/>
    <x v="27"/>
    <s v="Combined Heat and Power, Industrial Power"/>
    <x v="12"/>
    <n v="379061"/>
  </r>
  <r>
    <x v="20"/>
    <x v="27"/>
    <s v="Combined Heat and Power, Industrial Power"/>
    <x v="8"/>
    <n v="2999"/>
  </r>
  <r>
    <x v="20"/>
    <x v="27"/>
    <s v="Combined Heat and Power, Industrial Power"/>
    <x v="4"/>
    <n v="42575"/>
  </r>
  <r>
    <x v="20"/>
    <x v="27"/>
    <s v="Combined Heat and Power, Industrial Power"/>
    <x v="6"/>
    <n v="1303099"/>
  </r>
  <r>
    <x v="20"/>
    <x v="27"/>
    <s v="Combined Heat and Power, Electric Power"/>
    <x v="0"/>
    <n v="2597870"/>
  </r>
  <r>
    <x v="20"/>
    <x v="27"/>
    <s v="Combined Heat and Power, Electric Power"/>
    <x v="1"/>
    <n v="2241651"/>
  </r>
  <r>
    <x v="20"/>
    <x v="27"/>
    <s v="Combined Heat and Power, Electric Power"/>
    <x v="12"/>
    <n v="28379"/>
  </r>
  <r>
    <x v="20"/>
    <x v="27"/>
    <s v="Combined Heat and Power, Electric Power"/>
    <x v="8"/>
    <n v="74758"/>
  </r>
  <r>
    <x v="20"/>
    <x v="27"/>
    <s v="Combined Heat and Power, Electric Power"/>
    <x v="4"/>
    <n v="3451"/>
  </r>
  <r>
    <x v="20"/>
    <x v="27"/>
    <s v="Combined Heat and Power, Electric Power"/>
    <x v="6"/>
    <n v="249630"/>
  </r>
  <r>
    <x v="20"/>
    <x v="27"/>
    <s v="Combined Heat and Power, Commercial Power"/>
    <x v="0"/>
    <n v="77608"/>
  </r>
  <r>
    <x v="20"/>
    <x v="27"/>
    <s v="Combined Heat and Power, Commercial Power"/>
    <x v="1"/>
    <n v="64833"/>
  </r>
  <r>
    <x v="20"/>
    <x v="27"/>
    <s v="Combined Heat and Power, Commercial Power"/>
    <x v="2"/>
    <n v="11541"/>
  </r>
  <r>
    <x v="20"/>
    <x v="27"/>
    <s v="Combined Heat and Power, Commercial Power"/>
    <x v="3"/>
    <n v="1129"/>
  </r>
  <r>
    <x v="20"/>
    <x v="27"/>
    <s v="Combined Heat and Power, Commercial Power"/>
    <x v="4"/>
    <n v="105"/>
  </r>
  <r>
    <x v="20"/>
    <x v="28"/>
    <s v="Total Electric Power Industry"/>
    <x v="0"/>
    <n v="34739542"/>
  </r>
  <r>
    <x v="20"/>
    <x v="28"/>
    <s v="Total Electric Power Industry"/>
    <x v="1"/>
    <n v="28462040"/>
  </r>
  <r>
    <x v="20"/>
    <x v="28"/>
    <s v="Total Electric Power Industry"/>
    <x v="2"/>
    <n v="2042118"/>
  </r>
  <r>
    <x v="20"/>
    <x v="28"/>
    <s v="Total Electric Power Industry"/>
    <x v="3"/>
    <n v="16353"/>
  </r>
  <r>
    <x v="20"/>
    <x v="28"/>
    <s v="Total Electric Power Industry"/>
    <x v="12"/>
    <n v="37247"/>
  </r>
  <r>
    <x v="20"/>
    <x v="28"/>
    <s v="Total Electric Power Industry"/>
    <x v="8"/>
    <n v="12387"/>
  </r>
  <r>
    <x v="20"/>
    <x v="28"/>
    <s v="Total Electric Power Industry"/>
    <x v="9"/>
    <n v="35536"/>
  </r>
  <r>
    <x v="20"/>
    <x v="28"/>
    <s v="Total Electric Power Industry"/>
    <x v="4"/>
    <n v="38220"/>
  </r>
  <r>
    <x v="20"/>
    <x v="28"/>
    <s v="Total Electric Power Industry"/>
    <x v="5"/>
    <n v="4095641"/>
  </r>
  <r>
    <x v="20"/>
    <x v="28"/>
    <s v="Electric Generators, Independent Power Producers"/>
    <x v="0"/>
    <n v="3216166"/>
  </r>
  <r>
    <x v="20"/>
    <x v="28"/>
    <s v="Electric Generators, Independent Power Producers"/>
    <x v="5"/>
    <n v="3216166"/>
  </r>
  <r>
    <x v="20"/>
    <x v="28"/>
    <s v="Electric Generators, Electric Utilities"/>
    <x v="0"/>
    <n v="31343796"/>
  </r>
  <r>
    <x v="20"/>
    <x v="28"/>
    <s v="Electric Generators, Electric Utilities"/>
    <x v="1"/>
    <n v="28349079"/>
  </r>
  <r>
    <x v="20"/>
    <x v="28"/>
    <s v="Electric Generators, Electric Utilities"/>
    <x v="2"/>
    <n v="2042118"/>
  </r>
  <r>
    <x v="20"/>
    <x v="28"/>
    <s v="Electric Generators, Electric Utilities"/>
    <x v="3"/>
    <n v="22"/>
  </r>
  <r>
    <x v="20"/>
    <x v="28"/>
    <s v="Electric Generators, Electric Utilities"/>
    <x v="12"/>
    <n v="37247"/>
  </r>
  <r>
    <x v="20"/>
    <x v="28"/>
    <s v="Electric Generators, Electric Utilities"/>
    <x v="4"/>
    <n v="35855"/>
  </r>
  <r>
    <x v="20"/>
    <x v="28"/>
    <s v="Electric Generators, Electric Utilities"/>
    <x v="5"/>
    <n v="879475"/>
  </r>
  <r>
    <x v="20"/>
    <x v="28"/>
    <s v="Combined Heat and Power, Industrial Power"/>
    <x v="0"/>
    <n v="179534"/>
  </r>
  <r>
    <x v="20"/>
    <x v="28"/>
    <s v="Combined Heat and Power, Industrial Power"/>
    <x v="1"/>
    <n v="112962"/>
  </r>
  <r>
    <x v="20"/>
    <x v="28"/>
    <s v="Combined Heat and Power, Industrial Power"/>
    <x v="3"/>
    <n v="16330"/>
  </r>
  <r>
    <x v="20"/>
    <x v="28"/>
    <s v="Combined Heat and Power, Industrial Power"/>
    <x v="8"/>
    <n v="12387"/>
  </r>
  <r>
    <x v="20"/>
    <x v="28"/>
    <s v="Combined Heat and Power, Industrial Power"/>
    <x v="9"/>
    <n v="35536"/>
  </r>
  <r>
    <x v="20"/>
    <x v="28"/>
    <s v="Combined Heat and Power, Industrial Power"/>
    <x v="4"/>
    <n v="2319"/>
  </r>
  <r>
    <x v="20"/>
    <x v="28"/>
    <s v="Combined Heat and Power, Commercial Power"/>
    <x v="0"/>
    <n v="46"/>
  </r>
  <r>
    <x v="20"/>
    <x v="28"/>
    <s v="Combined Heat and Power, Commercial Power"/>
    <x v="4"/>
    <n v="46"/>
  </r>
  <r>
    <x v="20"/>
    <x v="29"/>
    <s v="Total Electric Power Industry"/>
    <x v="0"/>
    <n v="36630006"/>
  </r>
  <r>
    <x v="20"/>
    <x v="29"/>
    <s v="Total Electric Power Industry"/>
    <x v="1"/>
    <n v="23362776"/>
  </r>
  <r>
    <x v="20"/>
    <x v="29"/>
    <s v="Total Electric Power Industry"/>
    <x v="2"/>
    <n v="1313856"/>
  </r>
  <r>
    <x v="20"/>
    <x v="29"/>
    <s v="Total Electric Power Industry"/>
    <x v="3"/>
    <n v="375035"/>
  </r>
  <r>
    <x v="20"/>
    <x v="29"/>
    <s v="Total Electric Power Industry"/>
    <x v="7"/>
    <n v="11054337"/>
  </r>
  <r>
    <x v="20"/>
    <x v="29"/>
    <s v="Total Electric Power Industry"/>
    <x v="8"/>
    <n v="71508"/>
  </r>
  <r>
    <x v="20"/>
    <x v="29"/>
    <s v="Total Electric Power Industry"/>
    <x v="4"/>
    <n v="30849"/>
  </r>
  <r>
    <x v="20"/>
    <x v="29"/>
    <s v="Total Electric Power Industry"/>
    <x v="5"/>
    <n v="421645"/>
  </r>
  <r>
    <x v="20"/>
    <x v="29"/>
    <s v="Electric Generators, Independent Power Producers"/>
    <x v="0"/>
    <n v="208275"/>
  </r>
  <r>
    <x v="20"/>
    <x v="29"/>
    <s v="Electric Generators, Independent Power Producers"/>
    <x v="5"/>
    <n v="208275"/>
  </r>
  <r>
    <x v="20"/>
    <x v="29"/>
    <s v="Electric Generators, Electric Utilities"/>
    <x v="0"/>
    <n v="36242921"/>
  </r>
  <r>
    <x v="20"/>
    <x v="29"/>
    <s v="Electric Generators, Electric Utilities"/>
    <x v="1"/>
    <n v="23214616"/>
  </r>
  <r>
    <x v="20"/>
    <x v="29"/>
    <s v="Electric Generators, Electric Utilities"/>
    <x v="2"/>
    <n v="1313856"/>
  </r>
  <r>
    <x v="20"/>
    <x v="29"/>
    <s v="Electric Generators, Electric Utilities"/>
    <x v="3"/>
    <n v="362396"/>
  </r>
  <r>
    <x v="20"/>
    <x v="29"/>
    <s v="Electric Generators, Electric Utilities"/>
    <x v="7"/>
    <n v="11054337"/>
  </r>
  <r>
    <x v="20"/>
    <x v="29"/>
    <s v="Electric Generators, Electric Utilities"/>
    <x v="8"/>
    <n v="53497"/>
  </r>
  <r>
    <x v="20"/>
    <x v="29"/>
    <s v="Electric Generators, Electric Utilities"/>
    <x v="4"/>
    <n v="30849"/>
  </r>
  <r>
    <x v="20"/>
    <x v="29"/>
    <s v="Electric Generators, Electric Utilities"/>
    <x v="5"/>
    <n v="213370"/>
  </r>
  <r>
    <x v="20"/>
    <x v="29"/>
    <s v="Combined Heat and Power, Industrial Power"/>
    <x v="0"/>
    <n v="160448"/>
  </r>
  <r>
    <x v="20"/>
    <x v="29"/>
    <s v="Combined Heat and Power, Industrial Power"/>
    <x v="1"/>
    <n v="148159"/>
  </r>
  <r>
    <x v="20"/>
    <x v="29"/>
    <s v="Combined Heat and Power, Industrial Power"/>
    <x v="3"/>
    <n v="12289"/>
  </r>
  <r>
    <x v="20"/>
    <x v="29"/>
    <s v="Combined Heat and Power, Electric Power"/>
    <x v="0"/>
    <n v="5820"/>
  </r>
  <r>
    <x v="20"/>
    <x v="29"/>
    <s v="Combined Heat and Power, Electric Power"/>
    <x v="3"/>
    <n v="155"/>
  </r>
  <r>
    <x v="20"/>
    <x v="29"/>
    <s v="Combined Heat and Power, Electric Power"/>
    <x v="8"/>
    <n v="5665"/>
  </r>
  <r>
    <x v="20"/>
    <x v="29"/>
    <s v="Combined Heat and Power, Commercial Power"/>
    <x v="0"/>
    <n v="12542"/>
  </r>
  <r>
    <x v="20"/>
    <x v="29"/>
    <s v="Combined Heat and Power, Commercial Power"/>
    <x v="3"/>
    <n v="195"/>
  </r>
  <r>
    <x v="20"/>
    <x v="29"/>
    <s v="Combined Heat and Power, Commercial Power"/>
    <x v="8"/>
    <n v="12347"/>
  </r>
  <r>
    <x v="20"/>
    <x v="30"/>
    <s v="Total Electric Power Industry"/>
    <x v="0"/>
    <n v="22195912"/>
  </r>
  <r>
    <x v="20"/>
    <x v="30"/>
    <s v="Total Electric Power Industry"/>
    <x v="1"/>
    <n v="3082643"/>
  </r>
  <r>
    <x v="20"/>
    <x v="30"/>
    <s v="Total Electric Power Industry"/>
    <x v="2"/>
    <n v="1477583"/>
  </r>
  <r>
    <x v="20"/>
    <x v="30"/>
    <s v="Total Electric Power Industry"/>
    <x v="3"/>
    <n v="5364836"/>
  </r>
  <r>
    <x v="20"/>
    <x v="30"/>
    <s v="Total Electric Power Industry"/>
    <x v="7"/>
    <n v="10910055"/>
  </r>
  <r>
    <x v="20"/>
    <x v="30"/>
    <s v="Total Electric Power Industry"/>
    <x v="12"/>
    <n v="56896"/>
  </r>
  <r>
    <x v="20"/>
    <x v="30"/>
    <s v="Total Electric Power Industry"/>
    <x v="8"/>
    <n v="126772"/>
  </r>
  <r>
    <x v="20"/>
    <x v="30"/>
    <s v="Total Electric Power Industry"/>
    <x v="4"/>
    <n v="71681"/>
  </r>
  <r>
    <x v="20"/>
    <x v="30"/>
    <s v="Total Electric Power Industry"/>
    <x v="5"/>
    <n v="75688"/>
  </r>
  <r>
    <x v="20"/>
    <x v="30"/>
    <s v="Total Electric Power Industry"/>
    <x v="6"/>
    <n v="1029758"/>
  </r>
  <r>
    <x v="20"/>
    <x v="30"/>
    <s v="Electric Generators, Independent Power Producers"/>
    <x v="0"/>
    <n v="18163323"/>
  </r>
  <r>
    <x v="20"/>
    <x v="30"/>
    <s v="Electric Generators, Independent Power Producers"/>
    <x v="2"/>
    <n v="1144455"/>
  </r>
  <r>
    <x v="20"/>
    <x v="30"/>
    <s v="Electric Generators, Independent Power Producers"/>
    <x v="3"/>
    <n v="5161979"/>
  </r>
  <r>
    <x v="20"/>
    <x v="30"/>
    <s v="Electric Generators, Independent Power Producers"/>
    <x v="7"/>
    <n v="10910055"/>
  </r>
  <r>
    <x v="20"/>
    <x v="30"/>
    <s v="Electric Generators, Independent Power Producers"/>
    <x v="12"/>
    <n v="56896"/>
  </r>
  <r>
    <x v="20"/>
    <x v="30"/>
    <s v="Electric Generators, Independent Power Producers"/>
    <x v="8"/>
    <n v="126644"/>
  </r>
  <r>
    <x v="20"/>
    <x v="30"/>
    <s v="Electric Generators, Independent Power Producers"/>
    <x v="4"/>
    <n v="409"/>
  </r>
  <r>
    <x v="20"/>
    <x v="30"/>
    <s v="Electric Generators, Independent Power Producers"/>
    <x v="5"/>
    <n v="75688"/>
  </r>
  <r>
    <x v="20"/>
    <x v="30"/>
    <s v="Electric Generators, Independent Power Producers"/>
    <x v="6"/>
    <n v="687197"/>
  </r>
  <r>
    <x v="20"/>
    <x v="30"/>
    <s v="Electric Generators, Electric Utilities"/>
    <x v="0"/>
    <n v="3979333"/>
  </r>
  <r>
    <x v="20"/>
    <x v="30"/>
    <s v="Electric Generators, Electric Utilities"/>
    <x v="1"/>
    <n v="3082643"/>
  </r>
  <r>
    <x v="20"/>
    <x v="30"/>
    <s v="Electric Generators, Electric Utilities"/>
    <x v="2"/>
    <n v="327960"/>
  </r>
  <r>
    <x v="20"/>
    <x v="30"/>
    <s v="Electric Generators, Electric Utilities"/>
    <x v="3"/>
    <n v="175205"/>
  </r>
  <r>
    <x v="20"/>
    <x v="30"/>
    <s v="Electric Generators, Electric Utilities"/>
    <x v="8"/>
    <n v="128"/>
  </r>
  <r>
    <x v="20"/>
    <x v="30"/>
    <s v="Electric Generators, Electric Utilities"/>
    <x v="4"/>
    <n v="51276"/>
  </r>
  <r>
    <x v="20"/>
    <x v="30"/>
    <s v="Electric Generators, Electric Utilities"/>
    <x v="6"/>
    <n v="342121"/>
  </r>
  <r>
    <x v="20"/>
    <x v="30"/>
    <s v="Combined Heat and Power, Industrial Power"/>
    <x v="0"/>
    <n v="33696"/>
  </r>
  <r>
    <x v="20"/>
    <x v="30"/>
    <s v="Combined Heat and Power, Industrial Power"/>
    <x v="2"/>
    <n v="5168"/>
  </r>
  <r>
    <x v="20"/>
    <x v="30"/>
    <s v="Combined Heat and Power, Industrial Power"/>
    <x v="3"/>
    <n v="27652"/>
  </r>
  <r>
    <x v="20"/>
    <x v="30"/>
    <s v="Combined Heat and Power, Industrial Power"/>
    <x v="4"/>
    <n v="436"/>
  </r>
  <r>
    <x v="20"/>
    <x v="30"/>
    <s v="Combined Heat and Power, Industrial Power"/>
    <x v="6"/>
    <n v="440"/>
  </r>
  <r>
    <x v="20"/>
    <x v="30"/>
    <s v="Combined Heat and Power, Electric Power"/>
    <x v="0"/>
    <n v="0"/>
  </r>
  <r>
    <x v="20"/>
    <x v="30"/>
    <s v="Combined Heat and Power, Electric Power"/>
    <x v="6"/>
    <n v="0"/>
  </r>
  <r>
    <x v="20"/>
    <x v="30"/>
    <s v="Combined Heat and Power, Commercial Power"/>
    <x v="0"/>
    <n v="19560"/>
  </r>
  <r>
    <x v="20"/>
    <x v="30"/>
    <s v="Combined Heat and Power, Commercial Power"/>
    <x v="4"/>
    <n v="19560"/>
  </r>
  <r>
    <x v="20"/>
    <x v="31"/>
    <s v="Total Electric Power Industry"/>
    <x v="0"/>
    <n v="65682494"/>
  </r>
  <r>
    <x v="20"/>
    <x v="31"/>
    <s v="Total Electric Power Industry"/>
    <x v="1"/>
    <n v="6417891"/>
  </r>
  <r>
    <x v="20"/>
    <x v="31"/>
    <s v="Total Electric Power Industry"/>
    <x v="2"/>
    <n v="18119"/>
  </r>
  <r>
    <x v="20"/>
    <x v="31"/>
    <s v="Total Electric Power Industry"/>
    <x v="3"/>
    <n v="24902230"/>
  </r>
  <r>
    <x v="20"/>
    <x v="31"/>
    <s v="Total Electric Power Industry"/>
    <x v="7"/>
    <n v="32771305"/>
  </r>
  <r>
    <x v="20"/>
    <x v="31"/>
    <s v="Total Electric Power Industry"/>
    <x v="12"/>
    <n v="575255"/>
  </r>
  <r>
    <x v="20"/>
    <x v="31"/>
    <s v="Total Electric Power Industry"/>
    <x v="8"/>
    <n v="816317"/>
  </r>
  <r>
    <x v="20"/>
    <x v="31"/>
    <s v="Total Electric Power Industry"/>
    <x v="9"/>
    <n v="106408"/>
  </r>
  <r>
    <x v="20"/>
    <x v="31"/>
    <s v="Total Electric Power Industry"/>
    <x v="4"/>
    <n v="235004"/>
  </r>
  <r>
    <x v="20"/>
    <x v="31"/>
    <s v="Total Electric Power Industry"/>
    <x v="10"/>
    <n v="-193772"/>
  </r>
  <r>
    <x v="20"/>
    <x v="31"/>
    <s v="Total Electric Power Industry"/>
    <x v="13"/>
    <n v="21084"/>
  </r>
  <r>
    <x v="20"/>
    <x v="31"/>
    <s v="Total Electric Power Industry"/>
    <x v="5"/>
    <n v="12653"/>
  </r>
  <r>
    <x v="20"/>
    <x v="31"/>
    <s v="Electric Generators, Independent Power Producers"/>
    <x v="0"/>
    <n v="56686311"/>
  </r>
  <r>
    <x v="20"/>
    <x v="31"/>
    <s v="Electric Generators, Independent Power Producers"/>
    <x v="1"/>
    <n v="4336989"/>
  </r>
  <r>
    <x v="20"/>
    <x v="31"/>
    <s v="Electric Generators, Independent Power Producers"/>
    <x v="2"/>
    <n v="18119"/>
  </r>
  <r>
    <x v="20"/>
    <x v="31"/>
    <s v="Electric Generators, Independent Power Producers"/>
    <x v="3"/>
    <n v="18574669"/>
  </r>
  <r>
    <x v="20"/>
    <x v="31"/>
    <s v="Electric Generators, Independent Power Producers"/>
    <x v="7"/>
    <n v="32771305"/>
  </r>
  <r>
    <x v="20"/>
    <x v="31"/>
    <s v="Electric Generators, Independent Power Producers"/>
    <x v="12"/>
    <n v="310505"/>
  </r>
  <r>
    <x v="20"/>
    <x v="31"/>
    <s v="Electric Generators, Independent Power Producers"/>
    <x v="8"/>
    <n v="539917"/>
  </r>
  <r>
    <x v="20"/>
    <x v="31"/>
    <s v="Electric Generators, Independent Power Producers"/>
    <x v="4"/>
    <n v="101670"/>
  </r>
  <r>
    <x v="20"/>
    <x v="31"/>
    <s v="Electric Generators, Independent Power Producers"/>
    <x v="13"/>
    <n v="20485"/>
  </r>
  <r>
    <x v="20"/>
    <x v="31"/>
    <s v="Electric Generators, Independent Power Producers"/>
    <x v="5"/>
    <n v="12653"/>
  </r>
  <r>
    <x v="20"/>
    <x v="31"/>
    <s v="Electric Generators, Electric Utilities"/>
    <x v="0"/>
    <n v="-186385"/>
  </r>
  <r>
    <x v="20"/>
    <x v="31"/>
    <s v="Electric Generators, Electric Utilities"/>
    <x v="1"/>
    <n v="0"/>
  </r>
  <r>
    <x v="20"/>
    <x v="31"/>
    <s v="Electric Generators, Electric Utilities"/>
    <x v="4"/>
    <n v="7005"/>
  </r>
  <r>
    <x v="20"/>
    <x v="31"/>
    <s v="Electric Generators, Electric Utilities"/>
    <x v="10"/>
    <n v="-193772"/>
  </r>
  <r>
    <x v="20"/>
    <x v="31"/>
    <s v="Electric Generators, Electric Utilities"/>
    <x v="13"/>
    <n v="382"/>
  </r>
  <r>
    <x v="20"/>
    <x v="31"/>
    <s v="Combined Heat and Power, Industrial Power"/>
    <x v="0"/>
    <n v="740483"/>
  </r>
  <r>
    <x v="20"/>
    <x v="31"/>
    <s v="Combined Heat and Power, Industrial Power"/>
    <x v="3"/>
    <n v="539015"/>
  </r>
  <r>
    <x v="20"/>
    <x v="31"/>
    <s v="Combined Heat and Power, Industrial Power"/>
    <x v="12"/>
    <n v="95428"/>
  </r>
  <r>
    <x v="20"/>
    <x v="31"/>
    <s v="Combined Heat and Power, Industrial Power"/>
    <x v="9"/>
    <n v="103637"/>
  </r>
  <r>
    <x v="20"/>
    <x v="31"/>
    <s v="Combined Heat and Power, Industrial Power"/>
    <x v="4"/>
    <n v="2403"/>
  </r>
  <r>
    <x v="20"/>
    <x v="31"/>
    <s v="Combined Heat and Power, Electric Power"/>
    <x v="0"/>
    <n v="8040567"/>
  </r>
  <r>
    <x v="20"/>
    <x v="31"/>
    <s v="Combined Heat and Power, Electric Power"/>
    <x v="1"/>
    <n v="2080902"/>
  </r>
  <r>
    <x v="20"/>
    <x v="31"/>
    <s v="Combined Heat and Power, Electric Power"/>
    <x v="3"/>
    <n v="5686188"/>
  </r>
  <r>
    <x v="20"/>
    <x v="31"/>
    <s v="Combined Heat and Power, Electric Power"/>
    <x v="12"/>
    <n v="39089"/>
  </r>
  <r>
    <x v="20"/>
    <x v="31"/>
    <s v="Combined Heat and Power, Electric Power"/>
    <x v="8"/>
    <n v="110650"/>
  </r>
  <r>
    <x v="20"/>
    <x v="31"/>
    <s v="Combined Heat and Power, Electric Power"/>
    <x v="4"/>
    <n v="123737"/>
  </r>
  <r>
    <x v="20"/>
    <x v="31"/>
    <s v="Combined Heat and Power, Commercial Power"/>
    <x v="0"/>
    <n v="401517"/>
  </r>
  <r>
    <x v="20"/>
    <x v="31"/>
    <s v="Combined Heat and Power, Commercial Power"/>
    <x v="3"/>
    <n v="102358"/>
  </r>
  <r>
    <x v="20"/>
    <x v="31"/>
    <s v="Combined Heat and Power, Commercial Power"/>
    <x v="12"/>
    <n v="130233"/>
  </r>
  <r>
    <x v="20"/>
    <x v="31"/>
    <s v="Combined Heat and Power, Commercial Power"/>
    <x v="8"/>
    <n v="165749"/>
  </r>
  <r>
    <x v="20"/>
    <x v="31"/>
    <s v="Combined Heat and Power, Commercial Power"/>
    <x v="9"/>
    <n v="2771"/>
  </r>
  <r>
    <x v="20"/>
    <x v="31"/>
    <s v="Combined Heat and Power, Commercial Power"/>
    <x v="4"/>
    <n v="189"/>
  </r>
  <r>
    <x v="20"/>
    <x v="31"/>
    <s v="Combined Heat and Power, Commercial Power"/>
    <x v="13"/>
    <n v="217"/>
  </r>
  <r>
    <x v="20"/>
    <x v="32"/>
    <s v="Total Electric Power Industry"/>
    <x v="0"/>
    <n v="36251542"/>
  </r>
  <r>
    <x v="20"/>
    <x v="32"/>
    <s v="Total Electric Power Industry"/>
    <x v="1"/>
    <n v="25617789"/>
  </r>
  <r>
    <x v="20"/>
    <x v="32"/>
    <s v="Total Electric Power Industry"/>
    <x v="2"/>
    <n v="217010"/>
  </r>
  <r>
    <x v="20"/>
    <x v="32"/>
    <s v="Total Electric Power Industry"/>
    <x v="3"/>
    <n v="8512083"/>
  </r>
  <r>
    <x v="20"/>
    <x v="32"/>
    <s v="Total Electric Power Industry"/>
    <x v="8"/>
    <n v="13680"/>
  </r>
  <r>
    <x v="20"/>
    <x v="32"/>
    <s v="Total Electric Power Industry"/>
    <x v="4"/>
    <n v="49869"/>
  </r>
  <r>
    <x v="20"/>
    <x v="32"/>
    <s v="Total Electric Power Industry"/>
    <x v="13"/>
    <n v="8930"/>
  </r>
  <r>
    <x v="20"/>
    <x v="32"/>
    <s v="Total Electric Power Industry"/>
    <x v="5"/>
    <n v="1832182"/>
  </r>
  <r>
    <x v="20"/>
    <x v="32"/>
    <s v="Electric Generators, Independent Power Producers"/>
    <x v="0"/>
    <n v="4912227"/>
  </r>
  <r>
    <x v="20"/>
    <x v="32"/>
    <s v="Electric Generators, Independent Power Producers"/>
    <x v="3"/>
    <n v="3071115"/>
  </r>
  <r>
    <x v="20"/>
    <x v="32"/>
    <s v="Electric Generators, Independent Power Producers"/>
    <x v="4"/>
    <n v="0"/>
  </r>
  <r>
    <x v="20"/>
    <x v="32"/>
    <s v="Electric Generators, Independent Power Producers"/>
    <x v="13"/>
    <n v="8930"/>
  </r>
  <r>
    <x v="20"/>
    <x v="32"/>
    <s v="Electric Generators, Independent Power Producers"/>
    <x v="5"/>
    <n v="1832182"/>
  </r>
  <r>
    <x v="20"/>
    <x v="32"/>
    <s v="Electric Generators, Electric Utilities"/>
    <x v="0"/>
    <n v="30848406"/>
  </r>
  <r>
    <x v="20"/>
    <x v="32"/>
    <s v="Electric Generators, Electric Utilities"/>
    <x v="1"/>
    <n v="25617789"/>
  </r>
  <r>
    <x v="20"/>
    <x v="32"/>
    <s v="Electric Generators, Electric Utilities"/>
    <x v="2"/>
    <n v="217010"/>
  </r>
  <r>
    <x v="20"/>
    <x v="32"/>
    <s v="Electric Generators, Electric Utilities"/>
    <x v="3"/>
    <n v="4964213"/>
  </r>
  <r>
    <x v="20"/>
    <x v="32"/>
    <s v="Electric Generators, Electric Utilities"/>
    <x v="4"/>
    <n v="49394"/>
  </r>
  <r>
    <x v="20"/>
    <x v="32"/>
    <s v="Combined Heat and Power, Industrial Power"/>
    <x v="0"/>
    <n v="251"/>
  </r>
  <r>
    <x v="20"/>
    <x v="32"/>
    <s v="Combined Heat and Power, Industrial Power"/>
    <x v="3"/>
    <n v="242"/>
  </r>
  <r>
    <x v="20"/>
    <x v="32"/>
    <s v="Combined Heat and Power, Industrial Power"/>
    <x v="4"/>
    <n v="9"/>
  </r>
  <r>
    <x v="20"/>
    <x v="32"/>
    <s v="Combined Heat and Power, Electric Power"/>
    <x v="0"/>
    <n v="417179"/>
  </r>
  <r>
    <x v="20"/>
    <x v="32"/>
    <s v="Combined Heat and Power, Electric Power"/>
    <x v="3"/>
    <n v="403500"/>
  </r>
  <r>
    <x v="20"/>
    <x v="32"/>
    <s v="Combined Heat and Power, Electric Power"/>
    <x v="8"/>
    <n v="13680"/>
  </r>
  <r>
    <x v="20"/>
    <x v="32"/>
    <s v="Combined Heat and Power, Commercial Power"/>
    <x v="0"/>
    <n v="73479"/>
  </r>
  <r>
    <x v="20"/>
    <x v="32"/>
    <s v="Combined Heat and Power, Commercial Power"/>
    <x v="3"/>
    <n v="73013"/>
  </r>
  <r>
    <x v="20"/>
    <x v="32"/>
    <s v="Combined Heat and Power, Commercial Power"/>
    <x v="4"/>
    <n v="466"/>
  </r>
  <r>
    <x v="20"/>
    <x v="33"/>
    <s v="Total Electric Power Industry"/>
    <x v="0"/>
    <n v="35146248"/>
  </r>
  <r>
    <x v="20"/>
    <x v="33"/>
    <s v="Total Electric Power Industry"/>
    <x v="1"/>
    <n v="6997302"/>
  </r>
  <r>
    <x v="20"/>
    <x v="33"/>
    <s v="Total Electric Power Industry"/>
    <x v="11"/>
    <n v="2069730"/>
  </r>
  <r>
    <x v="20"/>
    <x v="33"/>
    <s v="Total Electric Power Industry"/>
    <x v="2"/>
    <n v="2157296"/>
  </r>
  <r>
    <x v="20"/>
    <x v="33"/>
    <s v="Total Electric Power Industry"/>
    <x v="3"/>
    <n v="23688192"/>
  </r>
  <r>
    <x v="20"/>
    <x v="33"/>
    <s v="Total Electric Power Industry"/>
    <x v="12"/>
    <n v="0"/>
  </r>
  <r>
    <x v="20"/>
    <x v="33"/>
    <s v="Total Electric Power Industry"/>
    <x v="9"/>
    <n v="5652"/>
  </r>
  <r>
    <x v="20"/>
    <x v="33"/>
    <s v="Total Electric Power Industry"/>
    <x v="4"/>
    <n v="11158"/>
  </r>
  <r>
    <x v="20"/>
    <x v="33"/>
    <s v="Total Electric Power Industry"/>
    <x v="13"/>
    <n v="216917"/>
  </r>
  <r>
    <x v="20"/>
    <x v="33"/>
    <s v="Total Electric Power Industry"/>
    <x v="6"/>
    <n v="0"/>
  </r>
  <r>
    <x v="20"/>
    <x v="33"/>
    <s v="Electric Generators, Independent Power Producers"/>
    <x v="0"/>
    <n v="9015287"/>
  </r>
  <r>
    <x v="20"/>
    <x v="33"/>
    <s v="Electric Generators, Independent Power Producers"/>
    <x v="1"/>
    <n v="1412933"/>
  </r>
  <r>
    <x v="20"/>
    <x v="33"/>
    <s v="Electric Generators, Independent Power Producers"/>
    <x v="11"/>
    <n v="2069730"/>
  </r>
  <r>
    <x v="20"/>
    <x v="33"/>
    <s v="Electric Generators, Independent Power Producers"/>
    <x v="2"/>
    <n v="39550"/>
  </r>
  <r>
    <x v="20"/>
    <x v="33"/>
    <s v="Electric Generators, Independent Power Producers"/>
    <x v="3"/>
    <n v="5274379"/>
  </r>
  <r>
    <x v="20"/>
    <x v="33"/>
    <s v="Electric Generators, Independent Power Producers"/>
    <x v="4"/>
    <n v="3472"/>
  </r>
  <r>
    <x v="20"/>
    <x v="33"/>
    <s v="Electric Generators, Independent Power Producers"/>
    <x v="13"/>
    <n v="215223"/>
  </r>
  <r>
    <x v="20"/>
    <x v="33"/>
    <s v="Electric Generators, Electric Utilities"/>
    <x v="0"/>
    <n v="23710917"/>
  </r>
  <r>
    <x v="20"/>
    <x v="33"/>
    <s v="Electric Generators, Electric Utilities"/>
    <x v="1"/>
    <n v="5584370"/>
  </r>
  <r>
    <x v="20"/>
    <x v="33"/>
    <s v="Electric Generators, Electric Utilities"/>
    <x v="2"/>
    <n v="2117746"/>
  </r>
  <r>
    <x v="20"/>
    <x v="33"/>
    <s v="Electric Generators, Electric Utilities"/>
    <x v="3"/>
    <n v="16001126"/>
  </r>
  <r>
    <x v="20"/>
    <x v="33"/>
    <s v="Electric Generators, Electric Utilities"/>
    <x v="12"/>
    <n v="0"/>
  </r>
  <r>
    <x v="20"/>
    <x v="33"/>
    <s v="Electric Generators, Electric Utilities"/>
    <x v="4"/>
    <n v="7675"/>
  </r>
  <r>
    <x v="20"/>
    <x v="33"/>
    <s v="Electric Generators, Electric Utilities"/>
    <x v="6"/>
    <n v="0"/>
  </r>
  <r>
    <x v="20"/>
    <x v="33"/>
    <s v="Combined Heat and Power, Industrial Power"/>
    <x v="0"/>
    <n v="200879"/>
  </r>
  <r>
    <x v="20"/>
    <x v="33"/>
    <s v="Combined Heat and Power, Industrial Power"/>
    <x v="3"/>
    <n v="199185"/>
  </r>
  <r>
    <x v="20"/>
    <x v="33"/>
    <s v="Combined Heat and Power, Industrial Power"/>
    <x v="13"/>
    <n v="1694"/>
  </r>
  <r>
    <x v="20"/>
    <x v="33"/>
    <s v="Combined Heat and Power, Electric Power"/>
    <x v="0"/>
    <n v="2156977"/>
  </r>
  <r>
    <x v="20"/>
    <x v="33"/>
    <s v="Combined Heat and Power, Electric Power"/>
    <x v="3"/>
    <n v="2151314"/>
  </r>
  <r>
    <x v="20"/>
    <x v="33"/>
    <s v="Combined Heat and Power, Electric Power"/>
    <x v="9"/>
    <n v="5652"/>
  </r>
  <r>
    <x v="20"/>
    <x v="33"/>
    <s v="Combined Heat and Power, Electric Power"/>
    <x v="4"/>
    <n v="11"/>
  </r>
  <r>
    <x v="20"/>
    <x v="33"/>
    <s v="Combined Heat and Power, Commercial Power"/>
    <x v="0"/>
    <n v="62188"/>
  </r>
  <r>
    <x v="20"/>
    <x v="33"/>
    <s v="Combined Heat and Power, Commercial Power"/>
    <x v="3"/>
    <n v="62188"/>
  </r>
  <r>
    <x v="20"/>
    <x v="34"/>
    <s v="Total Electric Power Industry"/>
    <x v="0"/>
    <n v="136961654"/>
  </r>
  <r>
    <x v="20"/>
    <x v="34"/>
    <s v="Total Electric Power Industry"/>
    <x v="1"/>
    <n v="13582766"/>
  </r>
  <r>
    <x v="20"/>
    <x v="34"/>
    <s v="Total Electric Power Industry"/>
    <x v="2"/>
    <n v="25471697"/>
  </r>
  <r>
    <x v="20"/>
    <x v="34"/>
    <s v="Total Electric Power Industry"/>
    <x v="3"/>
    <n v="48915545"/>
  </r>
  <r>
    <x v="20"/>
    <x v="34"/>
    <s v="Total Electric Power Industry"/>
    <x v="7"/>
    <n v="41869535"/>
  </r>
  <r>
    <x v="20"/>
    <x v="34"/>
    <s v="Total Electric Power Industry"/>
    <x v="12"/>
    <n v="831851"/>
  </r>
  <r>
    <x v="20"/>
    <x v="34"/>
    <s v="Total Electric Power Industry"/>
    <x v="8"/>
    <n v="1671090"/>
  </r>
  <r>
    <x v="20"/>
    <x v="34"/>
    <s v="Total Electric Power Industry"/>
    <x v="4"/>
    <n v="2004975"/>
  </r>
  <r>
    <x v="20"/>
    <x v="34"/>
    <s v="Total Electric Power Industry"/>
    <x v="10"/>
    <n v="-529264"/>
  </r>
  <r>
    <x v="20"/>
    <x v="34"/>
    <s v="Total Electric Power Industry"/>
    <x v="5"/>
    <n v="2596154"/>
  </r>
  <r>
    <x v="20"/>
    <x v="34"/>
    <s v="Total Electric Power Industry"/>
    <x v="6"/>
    <n v="547304"/>
  </r>
  <r>
    <x v="20"/>
    <x v="34"/>
    <s v="Electric Generators, Independent Power Producers"/>
    <x v="0"/>
    <n v="89333139"/>
  </r>
  <r>
    <x v="20"/>
    <x v="34"/>
    <s v="Electric Generators, Independent Power Producers"/>
    <x v="1"/>
    <n v="12817355"/>
  </r>
  <r>
    <x v="20"/>
    <x v="34"/>
    <s v="Electric Generators, Independent Power Producers"/>
    <x v="2"/>
    <n v="4522424"/>
  </r>
  <r>
    <x v="20"/>
    <x v="34"/>
    <s v="Electric Generators, Independent Power Producers"/>
    <x v="3"/>
    <n v="24205373"/>
  </r>
  <r>
    <x v="20"/>
    <x v="34"/>
    <s v="Electric Generators, Independent Power Producers"/>
    <x v="7"/>
    <n v="41869535"/>
  </r>
  <r>
    <x v="20"/>
    <x v="34"/>
    <s v="Electric Generators, Independent Power Producers"/>
    <x v="12"/>
    <n v="665399"/>
  </r>
  <r>
    <x v="20"/>
    <x v="34"/>
    <s v="Electric Generators, Independent Power Producers"/>
    <x v="8"/>
    <n v="1459237"/>
  </r>
  <r>
    <x v="20"/>
    <x v="34"/>
    <s v="Electric Generators, Independent Power Producers"/>
    <x v="4"/>
    <n v="1040344"/>
  </r>
  <r>
    <x v="20"/>
    <x v="34"/>
    <s v="Electric Generators, Independent Power Producers"/>
    <x v="5"/>
    <n v="2596154"/>
  </r>
  <r>
    <x v="20"/>
    <x v="34"/>
    <s v="Electric Generators, Independent Power Producers"/>
    <x v="6"/>
    <n v="157318"/>
  </r>
  <r>
    <x v="20"/>
    <x v="34"/>
    <s v="Electric Generators, Electric Utilities"/>
    <x v="0"/>
    <n v="34633335"/>
  </r>
  <r>
    <x v="20"/>
    <x v="34"/>
    <s v="Electric Generators, Electric Utilities"/>
    <x v="1"/>
    <n v="36723"/>
  </r>
  <r>
    <x v="20"/>
    <x v="34"/>
    <s v="Electric Generators, Electric Utilities"/>
    <x v="2"/>
    <n v="20888744"/>
  </r>
  <r>
    <x v="20"/>
    <x v="34"/>
    <s v="Electric Generators, Electric Utilities"/>
    <x v="3"/>
    <n v="13396472"/>
  </r>
  <r>
    <x v="20"/>
    <x v="34"/>
    <s v="Electric Generators, Electric Utilities"/>
    <x v="4"/>
    <n v="840660"/>
  </r>
  <r>
    <x v="20"/>
    <x v="34"/>
    <s v="Electric Generators, Electric Utilities"/>
    <x v="10"/>
    <n v="-529264"/>
  </r>
  <r>
    <x v="20"/>
    <x v="34"/>
    <s v="Combined Heat and Power, Industrial Power"/>
    <x v="0"/>
    <n v="1047082"/>
  </r>
  <r>
    <x v="20"/>
    <x v="34"/>
    <s v="Combined Heat and Power, Industrial Power"/>
    <x v="1"/>
    <n v="368866"/>
  </r>
  <r>
    <x v="20"/>
    <x v="34"/>
    <s v="Combined Heat and Power, Industrial Power"/>
    <x v="2"/>
    <n v="57579"/>
  </r>
  <r>
    <x v="20"/>
    <x v="34"/>
    <s v="Combined Heat and Power, Industrial Power"/>
    <x v="3"/>
    <n v="265529"/>
  </r>
  <r>
    <x v="20"/>
    <x v="34"/>
    <s v="Combined Heat and Power, Industrial Power"/>
    <x v="4"/>
    <n v="99632"/>
  </r>
  <r>
    <x v="20"/>
    <x v="34"/>
    <s v="Combined Heat and Power, Industrial Power"/>
    <x v="6"/>
    <n v="255475"/>
  </r>
  <r>
    <x v="20"/>
    <x v="34"/>
    <s v="Combined Heat and Power, Electric Power"/>
    <x v="0"/>
    <n v="11183162"/>
  </r>
  <r>
    <x v="20"/>
    <x v="34"/>
    <s v="Combined Heat and Power, Electric Power"/>
    <x v="1"/>
    <n v="357828"/>
  </r>
  <r>
    <x v="20"/>
    <x v="34"/>
    <s v="Combined Heat and Power, Electric Power"/>
    <x v="3"/>
    <n v="10504401"/>
  </r>
  <r>
    <x v="20"/>
    <x v="34"/>
    <s v="Combined Heat and Power, Electric Power"/>
    <x v="12"/>
    <n v="78748"/>
  </r>
  <r>
    <x v="20"/>
    <x v="34"/>
    <s v="Combined Heat and Power, Electric Power"/>
    <x v="8"/>
    <n v="100225"/>
  </r>
  <r>
    <x v="20"/>
    <x v="34"/>
    <s v="Combined Heat and Power, Electric Power"/>
    <x v="4"/>
    <n v="7448"/>
  </r>
  <r>
    <x v="20"/>
    <x v="34"/>
    <s v="Combined Heat and Power, Electric Power"/>
    <x v="6"/>
    <n v="134511"/>
  </r>
  <r>
    <x v="20"/>
    <x v="34"/>
    <s v="Combined Heat and Power, Commercial Power"/>
    <x v="0"/>
    <n v="764937"/>
  </r>
  <r>
    <x v="20"/>
    <x v="34"/>
    <s v="Combined Heat and Power, Commercial Power"/>
    <x v="1"/>
    <n v="1994"/>
  </r>
  <r>
    <x v="20"/>
    <x v="34"/>
    <s v="Combined Heat and Power, Commercial Power"/>
    <x v="2"/>
    <n v="2950"/>
  </r>
  <r>
    <x v="20"/>
    <x v="34"/>
    <s v="Combined Heat and Power, Commercial Power"/>
    <x v="3"/>
    <n v="543770"/>
  </r>
  <r>
    <x v="20"/>
    <x v="34"/>
    <s v="Combined Heat and Power, Commercial Power"/>
    <x v="12"/>
    <n v="87704"/>
  </r>
  <r>
    <x v="20"/>
    <x v="34"/>
    <s v="Combined Heat and Power, Commercial Power"/>
    <x v="8"/>
    <n v="111627"/>
  </r>
  <r>
    <x v="20"/>
    <x v="34"/>
    <s v="Combined Heat and Power, Commercial Power"/>
    <x v="4"/>
    <n v="16891"/>
  </r>
  <r>
    <x v="20"/>
    <x v="35"/>
    <s v="Total Electric Power Industry"/>
    <x v="0"/>
    <n v="143598337"/>
  </r>
  <r>
    <x v="20"/>
    <x v="35"/>
    <s v="Total Electric Power Industry"/>
    <x v="1"/>
    <n v="117828009"/>
  </r>
  <r>
    <x v="20"/>
    <x v="35"/>
    <s v="Total Electric Power Industry"/>
    <x v="2"/>
    <n v="429024"/>
  </r>
  <r>
    <x v="20"/>
    <x v="35"/>
    <s v="Total Electric Power Industry"/>
    <x v="3"/>
    <n v="7127859"/>
  </r>
  <r>
    <x v="20"/>
    <x v="35"/>
    <s v="Total Electric Power Industry"/>
    <x v="7"/>
    <n v="15804803"/>
  </r>
  <r>
    <x v="20"/>
    <x v="35"/>
    <s v="Total Electric Power Industry"/>
    <x v="12"/>
    <n v="12030"/>
  </r>
  <r>
    <x v="20"/>
    <x v="35"/>
    <s v="Total Electric Power Industry"/>
    <x v="8"/>
    <n v="275855"/>
  </r>
  <r>
    <x v="20"/>
    <x v="35"/>
    <s v="Total Electric Power Industry"/>
    <x v="9"/>
    <n v="254099"/>
  </r>
  <r>
    <x v="20"/>
    <x v="35"/>
    <s v="Total Electric Power Industry"/>
    <x v="4"/>
    <n v="1442424"/>
  </r>
  <r>
    <x v="20"/>
    <x v="35"/>
    <s v="Total Electric Power Industry"/>
    <x v="13"/>
    <n v="12848"/>
  </r>
  <r>
    <x v="20"/>
    <x v="35"/>
    <s v="Total Electric Power Industry"/>
    <x v="5"/>
    <n v="12576"/>
  </r>
  <r>
    <x v="20"/>
    <x v="35"/>
    <s v="Total Electric Power Industry"/>
    <x v="6"/>
    <n v="398810"/>
  </r>
  <r>
    <x v="20"/>
    <x v="35"/>
    <s v="Electric Generators, Independent Power Producers"/>
    <x v="0"/>
    <n v="49722340"/>
  </r>
  <r>
    <x v="20"/>
    <x v="35"/>
    <s v="Electric Generators, Independent Power Producers"/>
    <x v="1"/>
    <n v="27192085"/>
  </r>
  <r>
    <x v="20"/>
    <x v="35"/>
    <s v="Electric Generators, Independent Power Producers"/>
    <x v="3"/>
    <n v="5339537"/>
  </r>
  <r>
    <x v="20"/>
    <x v="35"/>
    <s v="Electric Generators, Independent Power Producers"/>
    <x v="7"/>
    <n v="15804803"/>
  </r>
  <r>
    <x v="20"/>
    <x v="35"/>
    <s v="Electric Generators, Independent Power Producers"/>
    <x v="12"/>
    <n v="0"/>
  </r>
  <r>
    <x v="20"/>
    <x v="35"/>
    <s v="Electric Generators, Independent Power Producers"/>
    <x v="8"/>
    <n v="263696"/>
  </r>
  <r>
    <x v="20"/>
    <x v="35"/>
    <s v="Electric Generators, Independent Power Producers"/>
    <x v="4"/>
    <n v="1111296"/>
  </r>
  <r>
    <x v="20"/>
    <x v="35"/>
    <s v="Electric Generators, Independent Power Producers"/>
    <x v="13"/>
    <n v="10923"/>
  </r>
  <r>
    <x v="20"/>
    <x v="35"/>
    <s v="Electric Generators, Electric Utilities"/>
    <x v="0"/>
    <n v="92198096"/>
  </r>
  <r>
    <x v="20"/>
    <x v="35"/>
    <s v="Electric Generators, Electric Utilities"/>
    <x v="1"/>
    <n v="89927804"/>
  </r>
  <r>
    <x v="20"/>
    <x v="35"/>
    <s v="Electric Generators, Electric Utilities"/>
    <x v="2"/>
    <n v="429024"/>
  </r>
  <r>
    <x v="20"/>
    <x v="35"/>
    <s v="Electric Generators, Electric Utilities"/>
    <x v="3"/>
    <n v="1587363"/>
  </r>
  <r>
    <x v="20"/>
    <x v="35"/>
    <s v="Electric Generators, Electric Utilities"/>
    <x v="9"/>
    <n v="569"/>
  </r>
  <r>
    <x v="20"/>
    <x v="35"/>
    <s v="Electric Generators, Electric Utilities"/>
    <x v="4"/>
    <n v="238836"/>
  </r>
  <r>
    <x v="20"/>
    <x v="35"/>
    <s v="Electric Generators, Electric Utilities"/>
    <x v="13"/>
    <n v="1925"/>
  </r>
  <r>
    <x v="20"/>
    <x v="35"/>
    <s v="Electric Generators, Electric Utilities"/>
    <x v="5"/>
    <n v="12576"/>
  </r>
  <r>
    <x v="20"/>
    <x v="35"/>
    <s v="Combined Heat and Power, Industrial Power"/>
    <x v="0"/>
    <n v="1025918"/>
  </r>
  <r>
    <x v="20"/>
    <x v="35"/>
    <s v="Combined Heat and Power, Industrial Power"/>
    <x v="1"/>
    <n v="343650"/>
  </r>
  <r>
    <x v="20"/>
    <x v="35"/>
    <s v="Combined Heat and Power, Industrial Power"/>
    <x v="3"/>
    <n v="44944"/>
  </r>
  <r>
    <x v="20"/>
    <x v="35"/>
    <s v="Combined Heat and Power, Industrial Power"/>
    <x v="12"/>
    <n v="12030"/>
  </r>
  <r>
    <x v="20"/>
    <x v="35"/>
    <s v="Combined Heat and Power, Industrial Power"/>
    <x v="8"/>
    <n v="12159"/>
  </r>
  <r>
    <x v="20"/>
    <x v="35"/>
    <s v="Combined Heat and Power, Industrial Power"/>
    <x v="9"/>
    <n v="149570"/>
  </r>
  <r>
    <x v="20"/>
    <x v="35"/>
    <s v="Combined Heat and Power, Industrial Power"/>
    <x v="4"/>
    <n v="92293"/>
  </r>
  <r>
    <x v="20"/>
    <x v="35"/>
    <s v="Combined Heat and Power, Industrial Power"/>
    <x v="6"/>
    <n v="371273"/>
  </r>
  <r>
    <x v="20"/>
    <x v="35"/>
    <s v="Combined Heat and Power, Electric Power"/>
    <x v="0"/>
    <n v="651983"/>
  </r>
  <r>
    <x v="20"/>
    <x v="35"/>
    <s v="Combined Heat and Power, Electric Power"/>
    <x v="1"/>
    <n v="364470"/>
  </r>
  <r>
    <x v="20"/>
    <x v="35"/>
    <s v="Combined Heat and Power, Electric Power"/>
    <x v="3"/>
    <n v="156016"/>
  </r>
  <r>
    <x v="20"/>
    <x v="35"/>
    <s v="Combined Heat and Power, Electric Power"/>
    <x v="9"/>
    <n v="103960"/>
  </r>
  <r>
    <x v="20"/>
    <x v="35"/>
    <s v="Combined Heat and Power, Electric Power"/>
    <x v="6"/>
    <n v="27537"/>
  </r>
  <r>
    <x v="20"/>
    <x v="36"/>
    <s v="Total Electric Power Industry"/>
    <x v="0"/>
    <n v="72250733"/>
  </r>
  <r>
    <x v="20"/>
    <x v="36"/>
    <s v="Total Electric Power Industry"/>
    <x v="1"/>
    <n v="31475137"/>
  </r>
  <r>
    <x v="20"/>
    <x v="36"/>
    <s v="Total Electric Power Industry"/>
    <x v="2"/>
    <n v="2808788"/>
  </r>
  <r>
    <x v="20"/>
    <x v="36"/>
    <s v="Total Electric Power Industry"/>
    <x v="3"/>
    <n v="33941682"/>
  </r>
  <r>
    <x v="20"/>
    <x v="36"/>
    <s v="Total Electric Power Industry"/>
    <x v="12"/>
    <n v="0"/>
  </r>
  <r>
    <x v="20"/>
    <x v="36"/>
    <s v="Total Electric Power Industry"/>
    <x v="8"/>
    <n v="97043"/>
  </r>
  <r>
    <x v="20"/>
    <x v="36"/>
    <s v="Total Electric Power Industry"/>
    <x v="9"/>
    <n v="0"/>
  </r>
  <r>
    <x v="20"/>
    <x v="36"/>
    <s v="Total Electric Power Industry"/>
    <x v="4"/>
    <n v="18089"/>
  </r>
  <r>
    <x v="20"/>
    <x v="36"/>
    <s v="Total Electric Power Industry"/>
    <x v="10"/>
    <n v="-152918"/>
  </r>
  <r>
    <x v="20"/>
    <x v="36"/>
    <s v="Total Electric Power Industry"/>
    <x v="5"/>
    <n v="3808083"/>
  </r>
  <r>
    <x v="20"/>
    <x v="36"/>
    <s v="Total Electric Power Industry"/>
    <x v="6"/>
    <n v="254829"/>
  </r>
  <r>
    <x v="20"/>
    <x v="36"/>
    <s v="Electric Generators, Independent Power Producers"/>
    <x v="0"/>
    <n v="11545564"/>
  </r>
  <r>
    <x v="20"/>
    <x v="36"/>
    <s v="Electric Generators, Independent Power Producers"/>
    <x v="3"/>
    <n v="8442436"/>
  </r>
  <r>
    <x v="20"/>
    <x v="36"/>
    <s v="Electric Generators, Independent Power Producers"/>
    <x v="5"/>
    <n v="3103128"/>
  </r>
  <r>
    <x v="20"/>
    <x v="36"/>
    <s v="Electric Generators, Electric Utilities"/>
    <x v="0"/>
    <n v="57421195"/>
  </r>
  <r>
    <x v="20"/>
    <x v="36"/>
    <s v="Electric Generators, Electric Utilities"/>
    <x v="1"/>
    <n v="29102532"/>
  </r>
  <r>
    <x v="20"/>
    <x v="36"/>
    <s v="Electric Generators, Electric Utilities"/>
    <x v="2"/>
    <n v="2808788"/>
  </r>
  <r>
    <x v="20"/>
    <x v="36"/>
    <s v="Electric Generators, Electric Utilities"/>
    <x v="3"/>
    <n v="24945232"/>
  </r>
  <r>
    <x v="20"/>
    <x v="36"/>
    <s v="Electric Generators, Electric Utilities"/>
    <x v="4"/>
    <n v="12606"/>
  </r>
  <r>
    <x v="20"/>
    <x v="36"/>
    <s v="Electric Generators, Electric Utilities"/>
    <x v="10"/>
    <n v="-152918"/>
  </r>
  <r>
    <x v="20"/>
    <x v="36"/>
    <s v="Electric Generators, Electric Utilities"/>
    <x v="5"/>
    <n v="704955"/>
  </r>
  <r>
    <x v="20"/>
    <x v="36"/>
    <s v="Combined Heat and Power, Industrial Power"/>
    <x v="0"/>
    <n v="876445"/>
  </r>
  <r>
    <x v="20"/>
    <x v="36"/>
    <s v="Combined Heat and Power, Industrial Power"/>
    <x v="1"/>
    <n v="410290"/>
  </r>
  <r>
    <x v="20"/>
    <x v="36"/>
    <s v="Combined Heat and Power, Industrial Power"/>
    <x v="3"/>
    <n v="109328"/>
  </r>
  <r>
    <x v="20"/>
    <x v="36"/>
    <s v="Combined Heat and Power, Industrial Power"/>
    <x v="12"/>
    <n v="0"/>
  </r>
  <r>
    <x v="20"/>
    <x v="36"/>
    <s v="Combined Heat and Power, Industrial Power"/>
    <x v="8"/>
    <n v="97043"/>
  </r>
  <r>
    <x v="20"/>
    <x v="36"/>
    <s v="Combined Heat and Power, Industrial Power"/>
    <x v="9"/>
    <n v="0"/>
  </r>
  <r>
    <x v="20"/>
    <x v="36"/>
    <s v="Combined Heat and Power, Industrial Power"/>
    <x v="4"/>
    <n v="4954"/>
  </r>
  <r>
    <x v="20"/>
    <x v="36"/>
    <s v="Combined Heat and Power, Industrial Power"/>
    <x v="6"/>
    <n v="254829"/>
  </r>
  <r>
    <x v="20"/>
    <x v="36"/>
    <s v="Combined Heat and Power, Electric Power"/>
    <x v="0"/>
    <n v="2381670"/>
  </r>
  <r>
    <x v="20"/>
    <x v="36"/>
    <s v="Combined Heat and Power, Electric Power"/>
    <x v="1"/>
    <n v="1962315"/>
  </r>
  <r>
    <x v="20"/>
    <x v="36"/>
    <s v="Combined Heat and Power, Electric Power"/>
    <x v="3"/>
    <n v="419355"/>
  </r>
  <r>
    <x v="20"/>
    <x v="36"/>
    <s v="Combined Heat and Power, Electric Power"/>
    <x v="8"/>
    <n v="0"/>
  </r>
  <r>
    <x v="20"/>
    <x v="36"/>
    <s v="Combined Heat and Power, Commercial Power"/>
    <x v="0"/>
    <n v="25859"/>
  </r>
  <r>
    <x v="20"/>
    <x v="36"/>
    <s v="Combined Heat and Power, Commercial Power"/>
    <x v="3"/>
    <n v="25330"/>
  </r>
  <r>
    <x v="20"/>
    <x v="36"/>
    <s v="Combined Heat and Power, Commercial Power"/>
    <x v="4"/>
    <n v="529"/>
  </r>
  <r>
    <x v="20"/>
    <x v="37"/>
    <s v="Total Electric Power Industry"/>
    <x v="0"/>
    <n v="55126999"/>
  </r>
  <r>
    <x v="20"/>
    <x v="37"/>
    <s v="Total Electric Power Industry"/>
    <x v="1"/>
    <n v="4126435"/>
  </r>
  <r>
    <x v="20"/>
    <x v="37"/>
    <s v="Total Electric Power Industry"/>
    <x v="2"/>
    <n v="30542260"/>
  </r>
  <r>
    <x v="20"/>
    <x v="37"/>
    <s v="Total Electric Power Industry"/>
    <x v="3"/>
    <n v="15651176"/>
  </r>
  <r>
    <x v="20"/>
    <x v="37"/>
    <s v="Total Electric Power Industry"/>
    <x v="12"/>
    <n v="46828"/>
  </r>
  <r>
    <x v="20"/>
    <x v="37"/>
    <s v="Total Electric Power Industry"/>
    <x v="8"/>
    <n v="204932"/>
  </r>
  <r>
    <x v="20"/>
    <x v="37"/>
    <s v="Total Electric Power Industry"/>
    <x v="4"/>
    <n v="3420"/>
  </r>
  <r>
    <x v="20"/>
    <x v="37"/>
    <s v="Total Electric Power Industry"/>
    <x v="5"/>
    <n v="3920007"/>
  </r>
  <r>
    <x v="20"/>
    <x v="37"/>
    <s v="Total Electric Power Industry"/>
    <x v="6"/>
    <n v="631941"/>
  </r>
  <r>
    <x v="20"/>
    <x v="37"/>
    <s v="Electric Generators, Independent Power Producers"/>
    <x v="0"/>
    <n v="6952755"/>
  </r>
  <r>
    <x v="20"/>
    <x v="37"/>
    <s v="Electric Generators, Independent Power Producers"/>
    <x v="2"/>
    <n v="249450"/>
  </r>
  <r>
    <x v="20"/>
    <x v="37"/>
    <s v="Electric Generators, Independent Power Producers"/>
    <x v="3"/>
    <n v="3247466"/>
  </r>
  <r>
    <x v="20"/>
    <x v="37"/>
    <s v="Electric Generators, Independent Power Producers"/>
    <x v="8"/>
    <n v="71352"/>
  </r>
  <r>
    <x v="20"/>
    <x v="37"/>
    <s v="Electric Generators, Independent Power Producers"/>
    <x v="5"/>
    <n v="3384487"/>
  </r>
  <r>
    <x v="20"/>
    <x v="37"/>
    <s v="Electric Generators, Electric Utilities"/>
    <x v="0"/>
    <n v="41142684"/>
  </r>
  <r>
    <x v="20"/>
    <x v="37"/>
    <s v="Electric Generators, Electric Utilities"/>
    <x v="1"/>
    <n v="4126435"/>
  </r>
  <r>
    <x v="20"/>
    <x v="37"/>
    <s v="Electric Generators, Electric Utilities"/>
    <x v="2"/>
    <n v="30292810"/>
  </r>
  <r>
    <x v="20"/>
    <x v="37"/>
    <s v="Electric Generators, Electric Utilities"/>
    <x v="3"/>
    <n v="6120802"/>
  </r>
  <r>
    <x v="20"/>
    <x v="37"/>
    <s v="Electric Generators, Electric Utilities"/>
    <x v="8"/>
    <n v="63787"/>
  </r>
  <r>
    <x v="20"/>
    <x v="37"/>
    <s v="Electric Generators, Electric Utilities"/>
    <x v="4"/>
    <n v="3330"/>
  </r>
  <r>
    <x v="20"/>
    <x v="37"/>
    <s v="Electric Generators, Electric Utilities"/>
    <x v="5"/>
    <n v="535520"/>
  </r>
  <r>
    <x v="20"/>
    <x v="37"/>
    <s v="Combined Heat and Power, Industrial Power"/>
    <x v="0"/>
    <n v="590034"/>
  </r>
  <r>
    <x v="20"/>
    <x v="37"/>
    <s v="Combined Heat and Power, Industrial Power"/>
    <x v="3"/>
    <n v="119125"/>
  </r>
  <r>
    <x v="20"/>
    <x v="37"/>
    <s v="Combined Heat and Power, Industrial Power"/>
    <x v="12"/>
    <n v="8463"/>
  </r>
  <r>
    <x v="20"/>
    <x v="37"/>
    <s v="Combined Heat and Power, Industrial Power"/>
    <x v="4"/>
    <n v="91"/>
  </r>
  <r>
    <x v="20"/>
    <x v="37"/>
    <s v="Combined Heat and Power, Industrial Power"/>
    <x v="6"/>
    <n v="462356"/>
  </r>
  <r>
    <x v="20"/>
    <x v="37"/>
    <s v="Combined Heat and Power, Electric Power"/>
    <x v="0"/>
    <n v="6420563"/>
  </r>
  <r>
    <x v="20"/>
    <x v="37"/>
    <s v="Combined Heat and Power, Electric Power"/>
    <x v="3"/>
    <n v="6163782"/>
  </r>
  <r>
    <x v="20"/>
    <x v="37"/>
    <s v="Combined Heat and Power, Electric Power"/>
    <x v="12"/>
    <n v="38365"/>
  </r>
  <r>
    <x v="20"/>
    <x v="37"/>
    <s v="Combined Heat and Power, Electric Power"/>
    <x v="8"/>
    <n v="48830"/>
  </r>
  <r>
    <x v="20"/>
    <x v="37"/>
    <s v="Combined Heat and Power, Electric Power"/>
    <x v="6"/>
    <n v="169586"/>
  </r>
  <r>
    <x v="20"/>
    <x v="37"/>
    <s v="Combined Heat and Power, Commercial Power"/>
    <x v="0"/>
    <n v="20963"/>
  </r>
  <r>
    <x v="20"/>
    <x v="37"/>
    <s v="Combined Heat and Power, Commercial Power"/>
    <x v="3"/>
    <n v="0"/>
  </r>
  <r>
    <x v="20"/>
    <x v="37"/>
    <s v="Combined Heat and Power, Commercial Power"/>
    <x v="8"/>
    <n v="20963"/>
  </r>
  <r>
    <x v="20"/>
    <x v="38"/>
    <s v="Total Electric Power Industry"/>
    <x v="0"/>
    <n v="229752306"/>
  </r>
  <r>
    <x v="20"/>
    <x v="38"/>
    <s v="Total Electric Power Industry"/>
    <x v="1"/>
    <n v="110369292"/>
  </r>
  <r>
    <x v="20"/>
    <x v="38"/>
    <s v="Total Electric Power Industry"/>
    <x v="2"/>
    <n v="2332201"/>
  </r>
  <r>
    <x v="20"/>
    <x v="38"/>
    <s v="Total Electric Power Industry"/>
    <x v="3"/>
    <n v="33717608"/>
  </r>
  <r>
    <x v="20"/>
    <x v="38"/>
    <s v="Total Electric Power Industry"/>
    <x v="7"/>
    <n v="77828348"/>
  </r>
  <r>
    <x v="20"/>
    <x v="38"/>
    <s v="Total Electric Power Industry"/>
    <x v="12"/>
    <n v="844607"/>
  </r>
  <r>
    <x v="20"/>
    <x v="38"/>
    <s v="Total Electric Power Industry"/>
    <x v="8"/>
    <n v="1708356"/>
  </r>
  <r>
    <x v="20"/>
    <x v="38"/>
    <s v="Total Electric Power Industry"/>
    <x v="9"/>
    <n v="551509"/>
  </r>
  <r>
    <x v="20"/>
    <x v="38"/>
    <s v="Total Electric Power Industry"/>
    <x v="4"/>
    <n v="571345"/>
  </r>
  <r>
    <x v="20"/>
    <x v="38"/>
    <s v="Total Electric Power Industry"/>
    <x v="10"/>
    <n v="-707779"/>
  </r>
  <r>
    <x v="20"/>
    <x v="38"/>
    <s v="Total Electric Power Industry"/>
    <x v="13"/>
    <n v="7910"/>
  </r>
  <r>
    <x v="20"/>
    <x v="38"/>
    <s v="Total Electric Power Industry"/>
    <x v="5"/>
    <n v="1854032"/>
  </r>
  <r>
    <x v="20"/>
    <x v="38"/>
    <s v="Total Electric Power Industry"/>
    <x v="6"/>
    <n v="674878"/>
  </r>
  <r>
    <x v="20"/>
    <x v="38"/>
    <s v="Electric Generators, Independent Power Producers"/>
    <x v="0"/>
    <n v="213653232"/>
  </r>
  <r>
    <x v="20"/>
    <x v="38"/>
    <s v="Electric Generators, Independent Power Producers"/>
    <x v="1"/>
    <n v="104247191"/>
  </r>
  <r>
    <x v="20"/>
    <x v="38"/>
    <s v="Electric Generators, Independent Power Producers"/>
    <x v="2"/>
    <n v="1260575"/>
  </r>
  <r>
    <x v="20"/>
    <x v="38"/>
    <s v="Electric Generators, Independent Power Producers"/>
    <x v="3"/>
    <n v="26845520"/>
  </r>
  <r>
    <x v="20"/>
    <x v="38"/>
    <s v="Electric Generators, Independent Power Producers"/>
    <x v="7"/>
    <n v="77828348"/>
  </r>
  <r>
    <x v="20"/>
    <x v="38"/>
    <s v="Electric Generators, Independent Power Producers"/>
    <x v="12"/>
    <n v="597561"/>
  </r>
  <r>
    <x v="20"/>
    <x v="38"/>
    <s v="Electric Generators, Independent Power Producers"/>
    <x v="8"/>
    <n v="1169822"/>
  </r>
  <r>
    <x v="20"/>
    <x v="38"/>
    <s v="Electric Generators, Independent Power Producers"/>
    <x v="9"/>
    <n v="634"/>
  </r>
  <r>
    <x v="20"/>
    <x v="38"/>
    <s v="Electric Generators, Independent Power Producers"/>
    <x v="4"/>
    <n v="543418"/>
  </r>
  <r>
    <x v="20"/>
    <x v="38"/>
    <s v="Electric Generators, Independent Power Producers"/>
    <x v="10"/>
    <n v="-707779"/>
  </r>
  <r>
    <x v="20"/>
    <x v="38"/>
    <s v="Electric Generators, Independent Power Producers"/>
    <x v="13"/>
    <n v="7455"/>
  </r>
  <r>
    <x v="20"/>
    <x v="38"/>
    <s v="Electric Generators, Independent Power Producers"/>
    <x v="5"/>
    <n v="1854032"/>
  </r>
  <r>
    <x v="20"/>
    <x v="38"/>
    <s v="Electric Generators, Independent Power Producers"/>
    <x v="6"/>
    <n v="6455"/>
  </r>
  <r>
    <x v="20"/>
    <x v="38"/>
    <s v="Electric Generators, Electric Utilities"/>
    <x v="0"/>
    <n v="1086500"/>
  </r>
  <r>
    <x v="20"/>
    <x v="38"/>
    <s v="Electric Generators, Electric Utilities"/>
    <x v="1"/>
    <n v="0"/>
  </r>
  <r>
    <x v="20"/>
    <x v="38"/>
    <s v="Electric Generators, Electric Utilities"/>
    <x v="2"/>
    <n v="1071626"/>
  </r>
  <r>
    <x v="20"/>
    <x v="38"/>
    <s v="Electric Generators, Electric Utilities"/>
    <x v="3"/>
    <n v="14349"/>
  </r>
  <r>
    <x v="20"/>
    <x v="38"/>
    <s v="Electric Generators, Electric Utilities"/>
    <x v="4"/>
    <n v="525"/>
  </r>
  <r>
    <x v="20"/>
    <x v="38"/>
    <s v="Combined Heat and Power, Industrial Power"/>
    <x v="0"/>
    <n v="2588434"/>
  </r>
  <r>
    <x v="20"/>
    <x v="38"/>
    <s v="Combined Heat and Power, Industrial Power"/>
    <x v="1"/>
    <n v="1046695"/>
  </r>
  <r>
    <x v="20"/>
    <x v="38"/>
    <s v="Combined Heat and Power, Industrial Power"/>
    <x v="3"/>
    <n v="562373"/>
  </r>
  <r>
    <x v="20"/>
    <x v="38"/>
    <s v="Combined Heat and Power, Industrial Power"/>
    <x v="8"/>
    <n v="2567"/>
  </r>
  <r>
    <x v="20"/>
    <x v="38"/>
    <s v="Combined Heat and Power, Industrial Power"/>
    <x v="9"/>
    <n v="497101"/>
  </r>
  <r>
    <x v="20"/>
    <x v="38"/>
    <s v="Combined Heat and Power, Industrial Power"/>
    <x v="4"/>
    <n v="9289"/>
  </r>
  <r>
    <x v="20"/>
    <x v="38"/>
    <s v="Combined Heat and Power, Industrial Power"/>
    <x v="13"/>
    <n v="104"/>
  </r>
  <r>
    <x v="20"/>
    <x v="38"/>
    <s v="Combined Heat and Power, Industrial Power"/>
    <x v="6"/>
    <n v="470305"/>
  </r>
  <r>
    <x v="20"/>
    <x v="38"/>
    <s v="Combined Heat and Power, Electric Power"/>
    <x v="0"/>
    <n v="12168048"/>
  </r>
  <r>
    <x v="20"/>
    <x v="38"/>
    <s v="Combined Heat and Power, Electric Power"/>
    <x v="1"/>
    <n v="5072977"/>
  </r>
  <r>
    <x v="20"/>
    <x v="38"/>
    <s v="Combined Heat and Power, Electric Power"/>
    <x v="3"/>
    <n v="6241646"/>
  </r>
  <r>
    <x v="20"/>
    <x v="38"/>
    <s v="Combined Heat and Power, Electric Power"/>
    <x v="12"/>
    <n v="160372"/>
  </r>
  <r>
    <x v="20"/>
    <x v="38"/>
    <s v="Combined Heat and Power, Electric Power"/>
    <x v="8"/>
    <n v="425657"/>
  </r>
  <r>
    <x v="20"/>
    <x v="38"/>
    <s v="Combined Heat and Power, Electric Power"/>
    <x v="9"/>
    <n v="53775"/>
  </r>
  <r>
    <x v="20"/>
    <x v="38"/>
    <s v="Combined Heat and Power, Electric Power"/>
    <x v="4"/>
    <n v="15503"/>
  </r>
  <r>
    <x v="20"/>
    <x v="38"/>
    <s v="Combined Heat and Power, Electric Power"/>
    <x v="6"/>
    <n v="198118"/>
  </r>
  <r>
    <x v="20"/>
    <x v="38"/>
    <s v="Combined Heat and Power, Commercial Power"/>
    <x v="0"/>
    <n v="256091"/>
  </r>
  <r>
    <x v="20"/>
    <x v="38"/>
    <s v="Combined Heat and Power, Commercial Power"/>
    <x v="1"/>
    <n v="2429"/>
  </r>
  <r>
    <x v="20"/>
    <x v="38"/>
    <s v="Combined Heat and Power, Commercial Power"/>
    <x v="3"/>
    <n v="53720"/>
  </r>
  <r>
    <x v="20"/>
    <x v="38"/>
    <s v="Combined Heat and Power, Commercial Power"/>
    <x v="12"/>
    <n v="86673"/>
  </r>
  <r>
    <x v="20"/>
    <x v="38"/>
    <s v="Combined Heat and Power, Commercial Power"/>
    <x v="8"/>
    <n v="110310"/>
  </r>
  <r>
    <x v="20"/>
    <x v="38"/>
    <s v="Combined Heat and Power, Commercial Power"/>
    <x v="4"/>
    <n v="2610"/>
  </r>
  <r>
    <x v="20"/>
    <x v="38"/>
    <s v="Combined Heat and Power, Commercial Power"/>
    <x v="13"/>
    <n v="350"/>
  </r>
  <r>
    <x v="20"/>
    <x v="39"/>
    <s v="Total Electric Power Industry"/>
    <x v="0"/>
    <n v="7738719"/>
  </r>
  <r>
    <x v="20"/>
    <x v="39"/>
    <s v="Total Electric Power Industry"/>
    <x v="2"/>
    <n v="3706"/>
  </r>
  <r>
    <x v="20"/>
    <x v="39"/>
    <s v="Total Electric Power Industry"/>
    <x v="3"/>
    <n v="7583281"/>
  </r>
  <r>
    <x v="20"/>
    <x v="39"/>
    <s v="Total Electric Power Industry"/>
    <x v="8"/>
    <n v="136949"/>
  </r>
  <r>
    <x v="20"/>
    <x v="39"/>
    <s v="Total Electric Power Industry"/>
    <x v="4"/>
    <n v="11659"/>
  </r>
  <r>
    <x v="20"/>
    <x v="39"/>
    <s v="Total Electric Power Industry"/>
    <x v="5"/>
    <n v="3124"/>
  </r>
  <r>
    <x v="20"/>
    <x v="39"/>
    <s v="Electric Generators, Independent Power Producers"/>
    <x v="0"/>
    <n v="7696347"/>
  </r>
  <r>
    <x v="20"/>
    <x v="39"/>
    <s v="Electric Generators, Independent Power Producers"/>
    <x v="2"/>
    <n v="3706"/>
  </r>
  <r>
    <x v="20"/>
    <x v="39"/>
    <s v="Electric Generators, Independent Power Producers"/>
    <x v="3"/>
    <n v="7551913"/>
  </r>
  <r>
    <x v="20"/>
    <x v="39"/>
    <s v="Electric Generators, Independent Power Producers"/>
    <x v="8"/>
    <n v="136949"/>
  </r>
  <r>
    <x v="20"/>
    <x v="39"/>
    <s v="Electric Generators, Independent Power Producers"/>
    <x v="4"/>
    <n v="655"/>
  </r>
  <r>
    <x v="20"/>
    <x v="39"/>
    <s v="Electric Generators, Independent Power Producers"/>
    <x v="5"/>
    <n v="3124"/>
  </r>
  <r>
    <x v="20"/>
    <x v="39"/>
    <s v="Electric Generators, Electric Utilities"/>
    <x v="0"/>
    <n v="10827"/>
  </r>
  <r>
    <x v="20"/>
    <x v="39"/>
    <s v="Electric Generators, Electric Utilities"/>
    <x v="4"/>
    <n v="10827"/>
  </r>
  <r>
    <x v="20"/>
    <x v="39"/>
    <s v="Combined Heat and Power, Commercial Power"/>
    <x v="0"/>
    <n v="31545"/>
  </r>
  <r>
    <x v="20"/>
    <x v="39"/>
    <s v="Combined Heat and Power, Commercial Power"/>
    <x v="3"/>
    <n v="31369"/>
  </r>
  <r>
    <x v="20"/>
    <x v="39"/>
    <s v="Combined Heat and Power, Commercial Power"/>
    <x v="4"/>
    <n v="176"/>
  </r>
  <r>
    <x v="20"/>
    <x v="40"/>
    <s v="Total Electric Power Industry"/>
    <x v="0"/>
    <n v="104153133"/>
  </r>
  <r>
    <x v="20"/>
    <x v="40"/>
    <s v="Total Electric Power Industry"/>
    <x v="1"/>
    <n v="37671118"/>
  </r>
  <r>
    <x v="20"/>
    <x v="40"/>
    <s v="Total Electric Power Industry"/>
    <x v="2"/>
    <n v="2376444"/>
  </r>
  <r>
    <x v="20"/>
    <x v="40"/>
    <s v="Total Electric Power Industry"/>
    <x v="3"/>
    <n v="10927237"/>
  </r>
  <r>
    <x v="20"/>
    <x v="40"/>
    <s v="Total Electric Power Industry"/>
    <x v="7"/>
    <n v="51988079"/>
  </r>
  <r>
    <x v="20"/>
    <x v="40"/>
    <s v="Total Electric Power Industry"/>
    <x v="12"/>
    <n v="61164"/>
  </r>
  <r>
    <x v="20"/>
    <x v="40"/>
    <s v="Total Electric Power Industry"/>
    <x v="8"/>
    <n v="130997"/>
  </r>
  <r>
    <x v="20"/>
    <x v="40"/>
    <s v="Total Electric Power Industry"/>
    <x v="9"/>
    <n v="0"/>
  </r>
  <r>
    <x v="20"/>
    <x v="40"/>
    <s v="Total Electric Power Industry"/>
    <x v="4"/>
    <n v="190727"/>
  </r>
  <r>
    <x v="20"/>
    <x v="40"/>
    <s v="Total Electric Power Industry"/>
    <x v="10"/>
    <n v="-934701"/>
  </r>
  <r>
    <x v="20"/>
    <x v="40"/>
    <s v="Total Electric Power Industry"/>
    <x v="6"/>
    <n v="1742067"/>
  </r>
  <r>
    <x v="20"/>
    <x v="40"/>
    <s v="Electric Generators, Independent Power Producers"/>
    <x v="0"/>
    <n v="1033907"/>
  </r>
  <r>
    <x v="20"/>
    <x v="40"/>
    <s v="Electric Generators, Independent Power Producers"/>
    <x v="2"/>
    <n v="61966"/>
  </r>
  <r>
    <x v="20"/>
    <x v="40"/>
    <s v="Electric Generators, Independent Power Producers"/>
    <x v="3"/>
    <n v="949180"/>
  </r>
  <r>
    <x v="20"/>
    <x v="40"/>
    <s v="Electric Generators, Independent Power Producers"/>
    <x v="8"/>
    <n v="22761"/>
  </r>
  <r>
    <x v="20"/>
    <x v="40"/>
    <s v="Electric Generators, Independent Power Producers"/>
    <x v="4"/>
    <n v="0"/>
  </r>
  <r>
    <x v="20"/>
    <x v="40"/>
    <s v="Electric Generators, Electric Utilities"/>
    <x v="0"/>
    <n v="100610887"/>
  </r>
  <r>
    <x v="20"/>
    <x v="40"/>
    <s v="Electric Generators, Electric Utilities"/>
    <x v="1"/>
    <n v="37340392"/>
  </r>
  <r>
    <x v="20"/>
    <x v="40"/>
    <s v="Electric Generators, Electric Utilities"/>
    <x v="2"/>
    <n v="2313465"/>
  </r>
  <r>
    <x v="20"/>
    <x v="40"/>
    <s v="Electric Generators, Electric Utilities"/>
    <x v="3"/>
    <n v="9322755"/>
  </r>
  <r>
    <x v="20"/>
    <x v="40"/>
    <s v="Electric Generators, Electric Utilities"/>
    <x v="7"/>
    <n v="51988079"/>
  </r>
  <r>
    <x v="20"/>
    <x v="40"/>
    <s v="Electric Generators, Electric Utilities"/>
    <x v="8"/>
    <n v="108236"/>
  </r>
  <r>
    <x v="20"/>
    <x v="40"/>
    <s v="Electric Generators, Electric Utilities"/>
    <x v="4"/>
    <n v="178378"/>
  </r>
  <r>
    <x v="20"/>
    <x v="40"/>
    <s v="Electric Generators, Electric Utilities"/>
    <x v="10"/>
    <n v="-934701"/>
  </r>
  <r>
    <x v="20"/>
    <x v="40"/>
    <s v="Electric Generators, Electric Utilities"/>
    <x v="6"/>
    <n v="294284"/>
  </r>
  <r>
    <x v="20"/>
    <x v="40"/>
    <s v="Combined Heat and Power, Industrial Power"/>
    <x v="0"/>
    <n v="1736573"/>
  </r>
  <r>
    <x v="20"/>
    <x v="40"/>
    <s v="Combined Heat and Power, Industrial Power"/>
    <x v="1"/>
    <n v="205198"/>
  </r>
  <r>
    <x v="20"/>
    <x v="40"/>
    <s v="Combined Heat and Power, Industrial Power"/>
    <x v="3"/>
    <n v="10745"/>
  </r>
  <r>
    <x v="20"/>
    <x v="40"/>
    <s v="Combined Heat and Power, Industrial Power"/>
    <x v="12"/>
    <n v="61164"/>
  </r>
  <r>
    <x v="20"/>
    <x v="40"/>
    <s v="Combined Heat and Power, Industrial Power"/>
    <x v="9"/>
    <n v="0"/>
  </r>
  <r>
    <x v="20"/>
    <x v="40"/>
    <s v="Combined Heat and Power, Industrial Power"/>
    <x v="4"/>
    <n v="11682"/>
  </r>
  <r>
    <x v="20"/>
    <x v="40"/>
    <s v="Combined Heat and Power, Industrial Power"/>
    <x v="6"/>
    <n v="1447783"/>
  </r>
  <r>
    <x v="20"/>
    <x v="40"/>
    <s v="Combined Heat and Power, Electric Power"/>
    <x v="0"/>
    <n v="769683"/>
  </r>
  <r>
    <x v="20"/>
    <x v="40"/>
    <s v="Combined Heat and Power, Electric Power"/>
    <x v="1"/>
    <n v="125528"/>
  </r>
  <r>
    <x v="20"/>
    <x v="40"/>
    <s v="Combined Heat and Power, Electric Power"/>
    <x v="3"/>
    <n v="644155"/>
  </r>
  <r>
    <x v="20"/>
    <x v="40"/>
    <s v="Combined Heat and Power, Electric Power"/>
    <x v="4"/>
    <n v="0"/>
  </r>
  <r>
    <x v="20"/>
    <x v="40"/>
    <s v="Combined Heat and Power, Commercial Power"/>
    <x v="0"/>
    <n v="2083"/>
  </r>
  <r>
    <x v="20"/>
    <x v="40"/>
    <s v="Combined Heat and Power, Commercial Power"/>
    <x v="2"/>
    <n v="1013"/>
  </r>
  <r>
    <x v="20"/>
    <x v="40"/>
    <s v="Combined Heat and Power, Commercial Power"/>
    <x v="3"/>
    <n v="402"/>
  </r>
  <r>
    <x v="20"/>
    <x v="40"/>
    <s v="Combined Heat and Power, Commercial Power"/>
    <x v="4"/>
    <n v="668"/>
  </r>
  <r>
    <x v="20"/>
    <x v="41"/>
    <s v="Total Electric Power Industry"/>
    <x v="0"/>
    <n v="10049636"/>
  </r>
  <r>
    <x v="20"/>
    <x v="41"/>
    <s v="Total Electric Power Industry"/>
    <x v="1"/>
    <n v="3298256"/>
  </r>
  <r>
    <x v="20"/>
    <x v="41"/>
    <s v="Total Electric Power Industry"/>
    <x v="2"/>
    <n v="5238801"/>
  </r>
  <r>
    <x v="20"/>
    <x v="41"/>
    <s v="Total Electric Power Industry"/>
    <x v="3"/>
    <n v="134706"/>
  </r>
  <r>
    <x v="20"/>
    <x v="41"/>
    <s v="Total Electric Power Industry"/>
    <x v="12"/>
    <n v="0"/>
  </r>
  <r>
    <x v="20"/>
    <x v="41"/>
    <s v="Total Electric Power Industry"/>
    <x v="8"/>
    <n v="0"/>
  </r>
  <r>
    <x v="20"/>
    <x v="41"/>
    <s v="Total Electric Power Industry"/>
    <x v="4"/>
    <n v="6124"/>
  </r>
  <r>
    <x v="20"/>
    <x v="41"/>
    <s v="Total Electric Power Industry"/>
    <x v="5"/>
    <n v="1371750"/>
  </r>
  <r>
    <x v="20"/>
    <x v="41"/>
    <s v="Electric Generators, Independent Power Producers"/>
    <x v="0"/>
    <n v="1367164"/>
  </r>
  <r>
    <x v="20"/>
    <x v="41"/>
    <s v="Electric Generators, Independent Power Producers"/>
    <x v="4"/>
    <n v="442"/>
  </r>
  <r>
    <x v="20"/>
    <x v="41"/>
    <s v="Electric Generators, Independent Power Producers"/>
    <x v="5"/>
    <n v="1366722"/>
  </r>
  <r>
    <x v="20"/>
    <x v="41"/>
    <s v="Electric Generators, Electric Utilities"/>
    <x v="0"/>
    <n v="8682448"/>
  </r>
  <r>
    <x v="20"/>
    <x v="41"/>
    <s v="Electric Generators, Electric Utilities"/>
    <x v="1"/>
    <n v="3298256"/>
  </r>
  <r>
    <x v="20"/>
    <x v="41"/>
    <s v="Electric Generators, Electric Utilities"/>
    <x v="2"/>
    <n v="5238801"/>
  </r>
  <r>
    <x v="20"/>
    <x v="41"/>
    <s v="Electric Generators, Electric Utilities"/>
    <x v="3"/>
    <n v="134706"/>
  </r>
  <r>
    <x v="20"/>
    <x v="41"/>
    <s v="Electric Generators, Electric Utilities"/>
    <x v="12"/>
    <n v="0"/>
  </r>
  <r>
    <x v="20"/>
    <x v="41"/>
    <s v="Electric Generators, Electric Utilities"/>
    <x v="8"/>
    <n v="0"/>
  </r>
  <r>
    <x v="20"/>
    <x v="41"/>
    <s v="Electric Generators, Electric Utilities"/>
    <x v="4"/>
    <n v="5658"/>
  </r>
  <r>
    <x v="20"/>
    <x v="41"/>
    <s v="Electric Generators, Electric Utilities"/>
    <x v="5"/>
    <n v="5028"/>
  </r>
  <r>
    <x v="20"/>
    <x v="41"/>
    <s v="Combined Heat and Power, Commercial Power"/>
    <x v="0"/>
    <n v="25"/>
  </r>
  <r>
    <x v="20"/>
    <x v="41"/>
    <s v="Combined Heat and Power, Commercial Power"/>
    <x v="4"/>
    <n v="25"/>
  </r>
  <r>
    <x v="20"/>
    <x v="42"/>
    <s v="Total Electric Power Industry"/>
    <x v="0"/>
    <n v="82348625"/>
  </r>
  <r>
    <x v="20"/>
    <x v="42"/>
    <s v="Total Electric Power Industry"/>
    <x v="1"/>
    <n v="43670196"/>
  </r>
  <r>
    <x v="20"/>
    <x v="42"/>
    <s v="Total Electric Power Industry"/>
    <x v="2"/>
    <n v="8137795"/>
  </r>
  <r>
    <x v="20"/>
    <x v="42"/>
    <s v="Total Electric Power Industry"/>
    <x v="3"/>
    <n v="2302384"/>
  </r>
  <r>
    <x v="20"/>
    <x v="42"/>
    <s v="Total Electric Power Industry"/>
    <x v="7"/>
    <n v="27739221"/>
  </r>
  <r>
    <x v="20"/>
    <x v="42"/>
    <s v="Total Electric Power Industry"/>
    <x v="12"/>
    <n v="2586"/>
  </r>
  <r>
    <x v="20"/>
    <x v="42"/>
    <s v="Total Electric Power Industry"/>
    <x v="8"/>
    <n v="33123"/>
  </r>
  <r>
    <x v="20"/>
    <x v="42"/>
    <s v="Total Electric Power Industry"/>
    <x v="9"/>
    <n v="13462"/>
  </r>
  <r>
    <x v="20"/>
    <x v="42"/>
    <s v="Total Electric Power Industry"/>
    <x v="4"/>
    <n v="216903"/>
  </r>
  <r>
    <x v="20"/>
    <x v="42"/>
    <s v="Total Electric Power Industry"/>
    <x v="10"/>
    <n v="-721472"/>
  </r>
  <r>
    <x v="20"/>
    <x v="42"/>
    <s v="Total Electric Power Industry"/>
    <x v="5"/>
    <n v="40570"/>
  </r>
  <r>
    <x v="20"/>
    <x v="42"/>
    <s v="Total Electric Power Industry"/>
    <x v="6"/>
    <n v="913856"/>
  </r>
  <r>
    <x v="20"/>
    <x v="42"/>
    <s v="Electric Generators, Independent Power Producers"/>
    <x v="0"/>
    <n v="63165"/>
  </r>
  <r>
    <x v="20"/>
    <x v="42"/>
    <s v="Electric Generators, Independent Power Producers"/>
    <x v="8"/>
    <n v="22595"/>
  </r>
  <r>
    <x v="20"/>
    <x v="42"/>
    <s v="Electric Generators, Independent Power Producers"/>
    <x v="5"/>
    <n v="40570"/>
  </r>
  <r>
    <x v="20"/>
    <x v="42"/>
    <s v="Electric Generators, Electric Utilities"/>
    <x v="0"/>
    <n v="79816049"/>
  </r>
  <r>
    <x v="20"/>
    <x v="42"/>
    <s v="Electric Generators, Electric Utilities"/>
    <x v="1"/>
    <n v="42259569"/>
  </r>
  <r>
    <x v="20"/>
    <x v="42"/>
    <s v="Electric Generators, Electric Utilities"/>
    <x v="2"/>
    <n v="8137795"/>
  </r>
  <r>
    <x v="20"/>
    <x v="42"/>
    <s v="Electric Generators, Electric Utilities"/>
    <x v="3"/>
    <n v="2189282"/>
  </r>
  <r>
    <x v="20"/>
    <x v="42"/>
    <s v="Electric Generators, Electric Utilities"/>
    <x v="7"/>
    <n v="27739221"/>
  </r>
  <r>
    <x v="20"/>
    <x v="42"/>
    <s v="Electric Generators, Electric Utilities"/>
    <x v="8"/>
    <n v="0"/>
  </r>
  <r>
    <x v="20"/>
    <x v="42"/>
    <s v="Electric Generators, Electric Utilities"/>
    <x v="4"/>
    <n v="211654"/>
  </r>
  <r>
    <x v="20"/>
    <x v="42"/>
    <s v="Electric Generators, Electric Utilities"/>
    <x v="10"/>
    <n v="-721472"/>
  </r>
  <r>
    <x v="20"/>
    <x v="42"/>
    <s v="Electric Generators, Electric Utilities"/>
    <x v="5"/>
    <n v="0"/>
  </r>
  <r>
    <x v="20"/>
    <x v="42"/>
    <s v="Combined Heat and Power, Industrial Power"/>
    <x v="0"/>
    <n v="2368698"/>
  </r>
  <r>
    <x v="20"/>
    <x v="42"/>
    <s v="Combined Heat and Power, Industrial Power"/>
    <x v="1"/>
    <n v="1383552"/>
  </r>
  <r>
    <x v="20"/>
    <x v="42"/>
    <s v="Combined Heat and Power, Industrial Power"/>
    <x v="3"/>
    <n v="39464"/>
  </r>
  <r>
    <x v="20"/>
    <x v="42"/>
    <s v="Combined Heat and Power, Industrial Power"/>
    <x v="12"/>
    <n v="2586"/>
  </r>
  <r>
    <x v="20"/>
    <x v="42"/>
    <s v="Combined Heat and Power, Industrial Power"/>
    <x v="8"/>
    <n v="10528"/>
  </r>
  <r>
    <x v="20"/>
    <x v="42"/>
    <s v="Combined Heat and Power, Industrial Power"/>
    <x v="9"/>
    <n v="13462"/>
  </r>
  <r>
    <x v="20"/>
    <x v="42"/>
    <s v="Combined Heat and Power, Industrial Power"/>
    <x v="4"/>
    <n v="5249"/>
  </r>
  <r>
    <x v="20"/>
    <x v="42"/>
    <s v="Combined Heat and Power, Industrial Power"/>
    <x v="6"/>
    <n v="913856"/>
  </r>
  <r>
    <x v="20"/>
    <x v="42"/>
    <s v="Combined Heat and Power, Commercial Power"/>
    <x v="0"/>
    <n v="100713"/>
  </r>
  <r>
    <x v="20"/>
    <x v="42"/>
    <s v="Combined Heat and Power, Commercial Power"/>
    <x v="1"/>
    <n v="27075"/>
  </r>
  <r>
    <x v="20"/>
    <x v="42"/>
    <s v="Combined Heat and Power, Commercial Power"/>
    <x v="3"/>
    <n v="73638"/>
  </r>
  <r>
    <x v="20"/>
    <x v="43"/>
    <s v="Total Electric Power Industry"/>
    <x v="0"/>
    <n v="411695046"/>
  </r>
  <r>
    <x v="20"/>
    <x v="43"/>
    <s v="Total Electric Power Industry"/>
    <x v="1"/>
    <n v="150172832"/>
  </r>
  <r>
    <x v="20"/>
    <x v="43"/>
    <s v="Total Electric Power Industry"/>
    <x v="2"/>
    <n v="1261832"/>
  </r>
  <r>
    <x v="20"/>
    <x v="43"/>
    <s v="Total Electric Power Industry"/>
    <x v="3"/>
    <n v="186882238"/>
  </r>
  <r>
    <x v="20"/>
    <x v="43"/>
    <s v="Total Electric Power Industry"/>
    <x v="7"/>
    <n v="41335248"/>
  </r>
  <r>
    <x v="20"/>
    <x v="43"/>
    <s v="Total Electric Power Industry"/>
    <x v="12"/>
    <n v="339017"/>
  </r>
  <r>
    <x v="20"/>
    <x v="43"/>
    <s v="Total Electric Power Industry"/>
    <x v="8"/>
    <n v="545136"/>
  </r>
  <r>
    <x v="20"/>
    <x v="43"/>
    <s v="Total Electric Power Industry"/>
    <x v="9"/>
    <n v="3290570"/>
  </r>
  <r>
    <x v="20"/>
    <x v="43"/>
    <s v="Total Electric Power Industry"/>
    <x v="4"/>
    <n v="708481"/>
  </r>
  <r>
    <x v="20"/>
    <x v="43"/>
    <s v="Total Electric Power Industry"/>
    <x v="13"/>
    <n v="8208"/>
  </r>
  <r>
    <x v="20"/>
    <x v="43"/>
    <s v="Total Electric Power Industry"/>
    <x v="5"/>
    <n v="26251410"/>
  </r>
  <r>
    <x v="20"/>
    <x v="43"/>
    <s v="Total Electric Power Industry"/>
    <x v="6"/>
    <n v="900074"/>
  </r>
  <r>
    <x v="20"/>
    <x v="43"/>
    <s v="Electric Generators, Independent Power Producers"/>
    <x v="0"/>
    <n v="232229770"/>
  </r>
  <r>
    <x v="20"/>
    <x v="43"/>
    <s v="Electric Generators, Independent Power Producers"/>
    <x v="1"/>
    <n v="83676570"/>
  </r>
  <r>
    <x v="20"/>
    <x v="43"/>
    <s v="Electric Generators, Independent Power Producers"/>
    <x v="2"/>
    <n v="43209"/>
  </r>
  <r>
    <x v="20"/>
    <x v="43"/>
    <s v="Electric Generators, Independent Power Producers"/>
    <x v="3"/>
    <n v="79973248"/>
  </r>
  <r>
    <x v="20"/>
    <x v="43"/>
    <s v="Electric Generators, Independent Power Producers"/>
    <x v="7"/>
    <n v="41335248"/>
  </r>
  <r>
    <x v="20"/>
    <x v="43"/>
    <s v="Electric Generators, Independent Power Producers"/>
    <x v="12"/>
    <n v="0"/>
  </r>
  <r>
    <x v="20"/>
    <x v="43"/>
    <s v="Electric Generators, Independent Power Producers"/>
    <x v="8"/>
    <n v="422255"/>
  </r>
  <r>
    <x v="20"/>
    <x v="43"/>
    <s v="Electric Generators, Independent Power Producers"/>
    <x v="9"/>
    <n v="0"/>
  </r>
  <r>
    <x v="20"/>
    <x v="43"/>
    <s v="Electric Generators, Independent Power Producers"/>
    <x v="4"/>
    <n v="520422"/>
  </r>
  <r>
    <x v="20"/>
    <x v="43"/>
    <s v="Electric Generators, Independent Power Producers"/>
    <x v="13"/>
    <n v="8208"/>
  </r>
  <r>
    <x v="20"/>
    <x v="43"/>
    <s v="Electric Generators, Independent Power Producers"/>
    <x v="5"/>
    <n v="26250611"/>
  </r>
  <r>
    <x v="20"/>
    <x v="43"/>
    <s v="Electric Generators, Independent Power Producers"/>
    <x v="6"/>
    <n v="0"/>
  </r>
  <r>
    <x v="20"/>
    <x v="43"/>
    <s v="Electric Generators, Electric Utilities"/>
    <x v="0"/>
    <n v="95099161"/>
  </r>
  <r>
    <x v="20"/>
    <x v="43"/>
    <s v="Electric Generators, Electric Utilities"/>
    <x v="1"/>
    <n v="63173377"/>
  </r>
  <r>
    <x v="20"/>
    <x v="43"/>
    <s v="Electric Generators, Electric Utilities"/>
    <x v="2"/>
    <n v="1218623"/>
  </r>
  <r>
    <x v="20"/>
    <x v="43"/>
    <s v="Electric Generators, Electric Utilities"/>
    <x v="3"/>
    <n v="30668006"/>
  </r>
  <r>
    <x v="20"/>
    <x v="43"/>
    <s v="Electric Generators, Electric Utilities"/>
    <x v="12"/>
    <n v="0"/>
  </r>
  <r>
    <x v="20"/>
    <x v="43"/>
    <s v="Electric Generators, Electric Utilities"/>
    <x v="4"/>
    <n v="38356"/>
  </r>
  <r>
    <x v="20"/>
    <x v="43"/>
    <s v="Electric Generators, Electric Utilities"/>
    <x v="5"/>
    <n v="799"/>
  </r>
  <r>
    <x v="20"/>
    <x v="43"/>
    <s v="Combined Heat and Power, Industrial Power"/>
    <x v="0"/>
    <n v="40824289"/>
  </r>
  <r>
    <x v="20"/>
    <x v="43"/>
    <s v="Combined Heat and Power, Industrial Power"/>
    <x v="1"/>
    <n v="3322885"/>
  </r>
  <r>
    <x v="20"/>
    <x v="43"/>
    <s v="Combined Heat and Power, Industrial Power"/>
    <x v="3"/>
    <n v="34417843"/>
  </r>
  <r>
    <x v="20"/>
    <x v="43"/>
    <s v="Combined Heat and Power, Industrial Power"/>
    <x v="12"/>
    <n v="339017"/>
  </r>
  <r>
    <x v="20"/>
    <x v="43"/>
    <s v="Combined Heat and Power, Industrial Power"/>
    <x v="8"/>
    <n v="83601"/>
  </r>
  <r>
    <x v="20"/>
    <x v="43"/>
    <s v="Combined Heat and Power, Industrial Power"/>
    <x v="9"/>
    <n v="1612087"/>
  </r>
  <r>
    <x v="20"/>
    <x v="43"/>
    <s v="Combined Heat and Power, Industrial Power"/>
    <x v="4"/>
    <n v="148782"/>
  </r>
  <r>
    <x v="20"/>
    <x v="43"/>
    <s v="Combined Heat and Power, Industrial Power"/>
    <x v="6"/>
    <n v="900074"/>
  </r>
  <r>
    <x v="20"/>
    <x v="43"/>
    <s v="Combined Heat and Power, Electric Power"/>
    <x v="0"/>
    <n v="43044645"/>
  </r>
  <r>
    <x v="20"/>
    <x v="43"/>
    <s v="Combined Heat and Power, Electric Power"/>
    <x v="3"/>
    <n v="41366162"/>
  </r>
  <r>
    <x v="20"/>
    <x v="43"/>
    <s v="Combined Heat and Power, Electric Power"/>
    <x v="12"/>
    <n v="0"/>
  </r>
  <r>
    <x v="20"/>
    <x v="43"/>
    <s v="Combined Heat and Power, Electric Power"/>
    <x v="9"/>
    <n v="1678483"/>
  </r>
  <r>
    <x v="20"/>
    <x v="43"/>
    <s v="Combined Heat and Power, Commercial Power"/>
    <x v="0"/>
    <n v="497181"/>
  </r>
  <r>
    <x v="20"/>
    <x v="43"/>
    <s v="Combined Heat and Power, Commercial Power"/>
    <x v="3"/>
    <n v="456978"/>
  </r>
  <r>
    <x v="20"/>
    <x v="43"/>
    <s v="Combined Heat and Power, Commercial Power"/>
    <x v="8"/>
    <n v="39280"/>
  </r>
  <r>
    <x v="20"/>
    <x v="43"/>
    <s v="Combined Heat and Power, Commercial Power"/>
    <x v="4"/>
    <n v="922"/>
  </r>
  <r>
    <x v="20"/>
    <x v="44"/>
    <s v="Total Electric Power Industry"/>
    <x v="0"/>
    <n v="4125059899"/>
  </r>
  <r>
    <x v="20"/>
    <x v="44"/>
    <s v="Total Electric Power Industry"/>
    <x v="1"/>
    <n v="1847290279"/>
  </r>
  <r>
    <x v="20"/>
    <x v="44"/>
    <s v="Total Electric Power Industry"/>
    <x v="11"/>
    <n v="15219213"/>
  </r>
  <r>
    <x v="20"/>
    <x v="44"/>
    <s v="Total Electric Power Industry"/>
    <x v="2"/>
    <n v="260203069"/>
  </r>
  <r>
    <x v="20"/>
    <x v="44"/>
    <s v="Total Electric Power Industry"/>
    <x v="3"/>
    <n v="987697234"/>
  </r>
  <r>
    <x v="20"/>
    <x v="44"/>
    <s v="Total Electric Power Industry"/>
    <x v="7"/>
    <n v="806968301"/>
  </r>
  <r>
    <x v="20"/>
    <x v="44"/>
    <s v="Total Electric Power Industry"/>
    <x v="12"/>
    <n v="12855342"/>
  </r>
  <r>
    <x v="20"/>
    <x v="44"/>
    <s v="Total Electric Power Industry"/>
    <x v="8"/>
    <n v="18917207"/>
  </r>
  <r>
    <x v="20"/>
    <x v="44"/>
    <s v="Total Electric Power Industry"/>
    <x v="9"/>
    <n v="11312787"/>
  </r>
  <r>
    <x v="20"/>
    <x v="44"/>
    <s v="Total Electric Power Industry"/>
    <x v="4"/>
    <n v="37061013"/>
  </r>
  <r>
    <x v="20"/>
    <x v="44"/>
    <s v="Total Electric Power Industry"/>
    <x v="10"/>
    <n v="-5501132"/>
  </r>
  <r>
    <x v="20"/>
    <x v="44"/>
    <s v="Total Electric Power Industry"/>
    <x v="13"/>
    <n v="1212182"/>
  </r>
  <r>
    <x v="20"/>
    <x v="44"/>
    <s v="Total Electric Power Industry"/>
    <x v="5"/>
    <n v="94652246"/>
  </r>
  <r>
    <x v="20"/>
    <x v="44"/>
    <s v="Total Electric Power Industry"/>
    <x v="6"/>
    <n v="37172160"/>
  </r>
  <r>
    <x v="20"/>
    <x v="44"/>
    <s v="Electric Generators, Independent Power Producers"/>
    <x v="0"/>
    <n v="1338711826"/>
  </r>
  <r>
    <x v="20"/>
    <x v="44"/>
    <s v="Electric Generators, Independent Power Producers"/>
    <x v="1"/>
    <n v="419458866"/>
  </r>
  <r>
    <x v="20"/>
    <x v="44"/>
    <s v="Electric Generators, Independent Power Producers"/>
    <x v="11"/>
    <n v="14101308"/>
  </r>
  <r>
    <x v="20"/>
    <x v="44"/>
    <s v="Electric Generators, Independent Power Producers"/>
    <x v="2"/>
    <n v="22350763"/>
  </r>
  <r>
    <x v="20"/>
    <x v="44"/>
    <s v="Electric Generators, Independent Power Producers"/>
    <x v="3"/>
    <n v="386754878"/>
  </r>
  <r>
    <x v="20"/>
    <x v="44"/>
    <s v="Electric Generators, Independent Power Producers"/>
    <x v="7"/>
    <n v="382125659"/>
  </r>
  <r>
    <x v="20"/>
    <x v="44"/>
    <s v="Electric Generators, Independent Power Producers"/>
    <x v="12"/>
    <n v="5529183"/>
  </r>
  <r>
    <x v="20"/>
    <x v="44"/>
    <s v="Electric Generators, Independent Power Producers"/>
    <x v="8"/>
    <n v="13441197"/>
  </r>
  <r>
    <x v="20"/>
    <x v="44"/>
    <s v="Electric Generators, Independent Power Producers"/>
    <x v="9"/>
    <n v="14592"/>
  </r>
  <r>
    <x v="20"/>
    <x v="44"/>
    <s v="Electric Generators, Independent Power Producers"/>
    <x v="4"/>
    <n v="6311949"/>
  </r>
  <r>
    <x v="20"/>
    <x v="44"/>
    <s v="Electric Generators, Independent Power Producers"/>
    <x v="10"/>
    <n v="-1035356"/>
  </r>
  <r>
    <x v="20"/>
    <x v="44"/>
    <s v="Electric Generators, Independent Power Producers"/>
    <x v="13"/>
    <n v="1104671"/>
  </r>
  <r>
    <x v="20"/>
    <x v="44"/>
    <s v="Electric Generators, Independent Power Producers"/>
    <x v="5"/>
    <n v="81546808"/>
  </r>
  <r>
    <x v="20"/>
    <x v="44"/>
    <s v="Electric Generators, Independent Power Producers"/>
    <x v="6"/>
    <n v="7007306"/>
  </r>
  <r>
    <x v="20"/>
    <x v="44"/>
    <s v="Electric Generators, Electric Utilities"/>
    <x v="0"/>
    <n v="2471632103"/>
  </r>
  <r>
    <x v="20"/>
    <x v="44"/>
    <s v="Electric Generators, Electric Utilities"/>
    <x v="1"/>
    <n v="1378028414"/>
  </r>
  <r>
    <x v="20"/>
    <x v="44"/>
    <s v="Electric Generators, Electric Utilities"/>
    <x v="11"/>
    <n v="1117905"/>
  </r>
  <r>
    <x v="20"/>
    <x v="44"/>
    <s v="Electric Generators, Electric Utilities"/>
    <x v="2"/>
    <n v="236104161"/>
  </r>
  <r>
    <x v="20"/>
    <x v="44"/>
    <s v="Electric Generators, Electric Utilities"/>
    <x v="3"/>
    <n v="392615875"/>
  </r>
  <r>
    <x v="20"/>
    <x v="44"/>
    <s v="Electric Generators, Electric Utilities"/>
    <x v="7"/>
    <n v="424842642"/>
  </r>
  <r>
    <x v="20"/>
    <x v="44"/>
    <s v="Electric Generators, Electric Utilities"/>
    <x v="12"/>
    <n v="462341"/>
  </r>
  <r>
    <x v="20"/>
    <x v="44"/>
    <s v="Electric Generators, Electric Utilities"/>
    <x v="8"/>
    <n v="1291364"/>
  </r>
  <r>
    <x v="20"/>
    <x v="44"/>
    <s v="Electric Generators, Electric Utilities"/>
    <x v="9"/>
    <n v="52202"/>
  </r>
  <r>
    <x v="20"/>
    <x v="44"/>
    <s v="Electric Generators, Electric Utilities"/>
    <x v="4"/>
    <n v="26064909"/>
  </r>
  <r>
    <x v="20"/>
    <x v="44"/>
    <s v="Electric Generators, Electric Utilities"/>
    <x v="10"/>
    <n v="-4465776"/>
  </r>
  <r>
    <x v="20"/>
    <x v="44"/>
    <s v="Electric Generators, Electric Utilities"/>
    <x v="13"/>
    <n v="100940"/>
  </r>
  <r>
    <x v="20"/>
    <x v="44"/>
    <s v="Electric Generators, Electric Utilities"/>
    <x v="5"/>
    <n v="13089368"/>
  </r>
  <r>
    <x v="20"/>
    <x v="44"/>
    <s v="Electric Generators, Electric Utilities"/>
    <x v="6"/>
    <n v="2327760"/>
  </r>
  <r>
    <x v="20"/>
    <x v="44"/>
    <s v="Combined Heat and Power, Industrial Power"/>
    <x v="0"/>
    <n v="144082263"/>
  </r>
  <r>
    <x v="20"/>
    <x v="44"/>
    <s v="Combined Heat and Power, Industrial Power"/>
    <x v="1"/>
    <n v="18441387"/>
  </r>
  <r>
    <x v="20"/>
    <x v="44"/>
    <s v="Combined Heat and Power, Industrial Power"/>
    <x v="2"/>
    <n v="1667690"/>
  </r>
  <r>
    <x v="20"/>
    <x v="44"/>
    <s v="Combined Heat and Power, Industrial Power"/>
    <x v="3"/>
    <n v="81582683"/>
  </r>
  <r>
    <x v="20"/>
    <x v="44"/>
    <s v="Combined Heat and Power, Industrial Power"/>
    <x v="12"/>
    <n v="5213564"/>
  </r>
  <r>
    <x v="20"/>
    <x v="44"/>
    <s v="Combined Heat and Power, Industrial Power"/>
    <x v="8"/>
    <n v="868650"/>
  </r>
  <r>
    <x v="20"/>
    <x v="44"/>
    <s v="Combined Heat and Power, Industrial Power"/>
    <x v="9"/>
    <n v="8342537"/>
  </r>
  <r>
    <x v="20"/>
    <x v="44"/>
    <s v="Combined Heat and Power, Industrial Power"/>
    <x v="4"/>
    <n v="2258290"/>
  </r>
  <r>
    <x v="20"/>
    <x v="44"/>
    <s v="Combined Heat and Power, Industrial Power"/>
    <x v="13"/>
    <n v="1798"/>
  </r>
  <r>
    <x v="20"/>
    <x v="44"/>
    <s v="Combined Heat and Power, Industrial Power"/>
    <x v="5"/>
    <n v="0"/>
  </r>
  <r>
    <x v="20"/>
    <x v="44"/>
    <s v="Combined Heat and Power, Industrial Power"/>
    <x v="6"/>
    <n v="25705664"/>
  </r>
  <r>
    <x v="20"/>
    <x v="44"/>
    <s v="Combined Heat and Power, Electric Power"/>
    <x v="0"/>
    <n v="162042109"/>
  </r>
  <r>
    <x v="20"/>
    <x v="44"/>
    <s v="Combined Heat and Power, Electric Power"/>
    <x v="1"/>
    <n v="30250264"/>
  </r>
  <r>
    <x v="20"/>
    <x v="44"/>
    <s v="Combined Heat and Power, Electric Power"/>
    <x v="3"/>
    <n v="122018663"/>
  </r>
  <r>
    <x v="20"/>
    <x v="44"/>
    <s v="Combined Heat and Power, Electric Power"/>
    <x v="12"/>
    <n v="816185"/>
  </r>
  <r>
    <x v="20"/>
    <x v="44"/>
    <s v="Combined Heat and Power, Electric Power"/>
    <x v="8"/>
    <n v="1643725"/>
  </r>
  <r>
    <x v="20"/>
    <x v="44"/>
    <s v="Combined Heat and Power, Electric Power"/>
    <x v="9"/>
    <n v="2900684"/>
  </r>
  <r>
    <x v="20"/>
    <x v="44"/>
    <s v="Combined Heat and Power, Electric Power"/>
    <x v="4"/>
    <n v="2301867"/>
  </r>
  <r>
    <x v="20"/>
    <x v="44"/>
    <s v="Combined Heat and Power, Electric Power"/>
    <x v="6"/>
    <n v="2110720"/>
  </r>
  <r>
    <x v="20"/>
    <x v="44"/>
    <s v="Combined Heat and Power, Commercial Power"/>
    <x v="0"/>
    <n v="8591598"/>
  </r>
  <r>
    <x v="20"/>
    <x v="44"/>
    <s v="Combined Heat and Power, Commercial Power"/>
    <x v="1"/>
    <n v="1111347"/>
  </r>
  <r>
    <x v="20"/>
    <x v="44"/>
    <s v="Combined Heat and Power, Commercial Power"/>
    <x v="2"/>
    <n v="80456"/>
  </r>
  <r>
    <x v="20"/>
    <x v="44"/>
    <s v="Combined Heat and Power, Commercial Power"/>
    <x v="3"/>
    <n v="4725134"/>
  </r>
  <r>
    <x v="20"/>
    <x v="44"/>
    <s v="Combined Heat and Power, Commercial Power"/>
    <x v="12"/>
    <n v="834069"/>
  </r>
  <r>
    <x v="20"/>
    <x v="44"/>
    <s v="Combined Heat and Power, Commercial Power"/>
    <x v="8"/>
    <n v="1672270"/>
  </r>
  <r>
    <x v="20"/>
    <x v="44"/>
    <s v="Combined Heat and Power, Commercial Power"/>
    <x v="9"/>
    <n v="2771"/>
  </r>
  <r>
    <x v="20"/>
    <x v="44"/>
    <s v="Combined Heat and Power, Commercial Power"/>
    <x v="4"/>
    <n v="123998"/>
  </r>
  <r>
    <x v="20"/>
    <x v="44"/>
    <s v="Combined Heat and Power, Commercial Power"/>
    <x v="13"/>
    <n v="4772"/>
  </r>
  <r>
    <x v="20"/>
    <x v="44"/>
    <s v="Combined Heat and Power, Commercial Power"/>
    <x v="5"/>
    <n v="16070"/>
  </r>
  <r>
    <x v="20"/>
    <x v="44"/>
    <s v="Combined Heat and Power, Commercial Power"/>
    <x v="6"/>
    <n v="20710"/>
  </r>
  <r>
    <x v="20"/>
    <x v="45"/>
    <s v="Total Electric Power Industry"/>
    <x v="0"/>
    <n v="42249355"/>
  </r>
  <r>
    <x v="20"/>
    <x v="45"/>
    <s v="Total Electric Power Industry"/>
    <x v="1"/>
    <n v="34057265"/>
  </r>
  <r>
    <x v="20"/>
    <x v="45"/>
    <s v="Total Electric Power Industry"/>
    <x v="11"/>
    <n v="276949"/>
  </r>
  <r>
    <x v="20"/>
    <x v="45"/>
    <s v="Total Electric Power Industry"/>
    <x v="2"/>
    <n v="695512"/>
  </r>
  <r>
    <x v="20"/>
    <x v="45"/>
    <s v="Total Electric Power Industry"/>
    <x v="3"/>
    <n v="6455396"/>
  </r>
  <r>
    <x v="20"/>
    <x v="45"/>
    <s v="Total Electric Power Industry"/>
    <x v="12"/>
    <n v="173638"/>
  </r>
  <r>
    <x v="20"/>
    <x v="45"/>
    <s v="Total Electric Power Industry"/>
    <x v="8"/>
    <n v="56338"/>
  </r>
  <r>
    <x v="20"/>
    <x v="45"/>
    <s v="Total Electric Power Industry"/>
    <x v="9"/>
    <n v="36220"/>
  </r>
  <r>
    <x v="20"/>
    <x v="45"/>
    <s v="Total Electric Power Industry"/>
    <x v="4"/>
    <n v="50357"/>
  </r>
  <r>
    <x v="20"/>
    <x v="45"/>
    <s v="Total Electric Power Industry"/>
    <x v="5"/>
    <n v="447680"/>
  </r>
  <r>
    <x v="20"/>
    <x v="45"/>
    <s v="Electric Generators, Independent Power Producers"/>
    <x v="0"/>
    <n v="1516836"/>
  </r>
  <r>
    <x v="20"/>
    <x v="45"/>
    <s v="Electric Generators, Independent Power Producers"/>
    <x v="1"/>
    <n v="377725"/>
  </r>
  <r>
    <x v="20"/>
    <x v="45"/>
    <s v="Electric Generators, Independent Power Producers"/>
    <x v="11"/>
    <n v="2591"/>
  </r>
  <r>
    <x v="20"/>
    <x v="45"/>
    <s v="Electric Generators, Independent Power Producers"/>
    <x v="2"/>
    <n v="9277"/>
  </r>
  <r>
    <x v="20"/>
    <x v="45"/>
    <s v="Electric Generators, Independent Power Producers"/>
    <x v="3"/>
    <n v="628525"/>
  </r>
  <r>
    <x v="20"/>
    <x v="45"/>
    <s v="Electric Generators, Independent Power Producers"/>
    <x v="8"/>
    <n v="51038"/>
  </r>
  <r>
    <x v="20"/>
    <x v="45"/>
    <s v="Electric Generators, Independent Power Producers"/>
    <x v="4"/>
    <n v="0"/>
  </r>
  <r>
    <x v="20"/>
    <x v="45"/>
    <s v="Electric Generators, Independent Power Producers"/>
    <x v="5"/>
    <n v="447680"/>
  </r>
  <r>
    <x v="20"/>
    <x v="45"/>
    <s v="Electric Generators, Electric Utilities"/>
    <x v="0"/>
    <n v="39522124"/>
  </r>
  <r>
    <x v="20"/>
    <x v="45"/>
    <s v="Electric Generators, Electric Utilities"/>
    <x v="1"/>
    <n v="32839935"/>
  </r>
  <r>
    <x v="20"/>
    <x v="45"/>
    <s v="Electric Generators, Electric Utilities"/>
    <x v="11"/>
    <n v="274358"/>
  </r>
  <r>
    <x v="20"/>
    <x v="45"/>
    <s v="Electric Generators, Electric Utilities"/>
    <x v="2"/>
    <n v="686235"/>
  </r>
  <r>
    <x v="20"/>
    <x v="45"/>
    <s v="Electric Generators, Electric Utilities"/>
    <x v="3"/>
    <n v="5671240"/>
  </r>
  <r>
    <x v="20"/>
    <x v="45"/>
    <s v="Electric Generators, Electric Utilities"/>
    <x v="4"/>
    <n v="50357"/>
  </r>
  <r>
    <x v="20"/>
    <x v="45"/>
    <s v="Combined Heat and Power, Industrial Power"/>
    <x v="0"/>
    <n v="1200721"/>
  </r>
  <r>
    <x v="20"/>
    <x v="45"/>
    <s v="Combined Heat and Power, Industrial Power"/>
    <x v="1"/>
    <n v="839605"/>
  </r>
  <r>
    <x v="20"/>
    <x v="45"/>
    <s v="Combined Heat and Power, Industrial Power"/>
    <x v="3"/>
    <n v="155422"/>
  </r>
  <r>
    <x v="20"/>
    <x v="45"/>
    <s v="Combined Heat and Power, Industrial Power"/>
    <x v="12"/>
    <n v="169474"/>
  </r>
  <r>
    <x v="20"/>
    <x v="45"/>
    <s v="Combined Heat and Power, Industrial Power"/>
    <x v="9"/>
    <n v="36220"/>
  </r>
  <r>
    <x v="20"/>
    <x v="45"/>
    <s v="Combined Heat and Power, Electric Power"/>
    <x v="0"/>
    <n v="9464"/>
  </r>
  <r>
    <x v="20"/>
    <x v="45"/>
    <s v="Combined Heat and Power, Electric Power"/>
    <x v="12"/>
    <n v="4164"/>
  </r>
  <r>
    <x v="20"/>
    <x v="45"/>
    <s v="Combined Heat and Power, Electric Power"/>
    <x v="8"/>
    <n v="5300"/>
  </r>
  <r>
    <x v="20"/>
    <x v="45"/>
    <s v="Combined Heat and Power, Electric Power"/>
    <x v="4"/>
    <n v="0"/>
  </r>
  <r>
    <x v="20"/>
    <x v="45"/>
    <s v="Combined Heat and Power, Commercial Power"/>
    <x v="0"/>
    <n v="209"/>
  </r>
  <r>
    <x v="20"/>
    <x v="45"/>
    <s v="Combined Heat and Power, Commercial Power"/>
    <x v="3"/>
    <n v="209"/>
  </r>
  <r>
    <x v="20"/>
    <x v="45"/>
    <s v="Combined Heat and Power, Commercial Power"/>
    <x v="9"/>
    <n v="0"/>
  </r>
  <r>
    <x v="20"/>
    <x v="45"/>
    <s v="Combined Heat and Power, Commercial Power"/>
    <x v="4"/>
    <n v="0"/>
  </r>
  <r>
    <x v="20"/>
    <x v="46"/>
    <s v="Total Electric Power Industry"/>
    <x v="0"/>
    <n v="72966456"/>
  </r>
  <r>
    <x v="20"/>
    <x v="46"/>
    <s v="Total Electric Power Industry"/>
    <x v="1"/>
    <n v="25459221"/>
  </r>
  <r>
    <x v="20"/>
    <x v="46"/>
    <s v="Total Electric Power Industry"/>
    <x v="2"/>
    <n v="1500182"/>
  </r>
  <r>
    <x v="20"/>
    <x v="46"/>
    <s v="Total Electric Power Industry"/>
    <x v="3"/>
    <n v="16999125"/>
  </r>
  <r>
    <x v="20"/>
    <x v="46"/>
    <s v="Total Electric Power Industry"/>
    <x v="7"/>
    <n v="26571899"/>
  </r>
  <r>
    <x v="20"/>
    <x v="46"/>
    <s v="Total Electric Power Industry"/>
    <x v="12"/>
    <n v="414121"/>
  </r>
  <r>
    <x v="20"/>
    <x v="46"/>
    <s v="Total Electric Power Industry"/>
    <x v="8"/>
    <n v="815345"/>
  </r>
  <r>
    <x v="20"/>
    <x v="46"/>
    <s v="Total Electric Power Industry"/>
    <x v="4"/>
    <n v="1292861"/>
  </r>
  <r>
    <x v="20"/>
    <x v="46"/>
    <s v="Total Electric Power Industry"/>
    <x v="10"/>
    <n v="-1490602"/>
  </r>
  <r>
    <x v="20"/>
    <x v="46"/>
    <s v="Total Electric Power Industry"/>
    <x v="6"/>
    <n v="1404304"/>
  </r>
  <r>
    <x v="20"/>
    <x v="46"/>
    <s v="Electric Generators, Independent Power Producers"/>
    <x v="0"/>
    <n v="9303146"/>
  </r>
  <r>
    <x v="20"/>
    <x v="46"/>
    <s v="Electric Generators, Independent Power Producers"/>
    <x v="1"/>
    <n v="1981838"/>
  </r>
  <r>
    <x v="20"/>
    <x v="46"/>
    <s v="Electric Generators, Independent Power Producers"/>
    <x v="2"/>
    <n v="63629"/>
  </r>
  <r>
    <x v="20"/>
    <x v="46"/>
    <s v="Electric Generators, Independent Power Producers"/>
    <x v="3"/>
    <n v="6292542"/>
  </r>
  <r>
    <x v="20"/>
    <x v="46"/>
    <s v="Electric Generators, Independent Power Producers"/>
    <x v="12"/>
    <n v="245500"/>
  </r>
  <r>
    <x v="20"/>
    <x v="46"/>
    <s v="Electric Generators, Independent Power Producers"/>
    <x v="8"/>
    <n v="614121"/>
  </r>
  <r>
    <x v="20"/>
    <x v="46"/>
    <s v="Electric Generators, Independent Power Producers"/>
    <x v="4"/>
    <n v="105516"/>
  </r>
  <r>
    <x v="20"/>
    <x v="46"/>
    <s v="Electric Generators, Electric Utilities"/>
    <x v="0"/>
    <n v="58902054"/>
  </r>
  <r>
    <x v="20"/>
    <x v="46"/>
    <s v="Electric Generators, Electric Utilities"/>
    <x v="1"/>
    <n v="21365585"/>
  </r>
  <r>
    <x v="20"/>
    <x v="46"/>
    <s v="Electric Generators, Electric Utilities"/>
    <x v="2"/>
    <n v="1424606"/>
  </r>
  <r>
    <x v="20"/>
    <x v="46"/>
    <s v="Electric Generators, Electric Utilities"/>
    <x v="3"/>
    <n v="9573845"/>
  </r>
  <r>
    <x v="20"/>
    <x v="46"/>
    <s v="Electric Generators, Electric Utilities"/>
    <x v="7"/>
    <n v="26571899"/>
  </r>
  <r>
    <x v="20"/>
    <x v="46"/>
    <s v="Electric Generators, Electric Utilities"/>
    <x v="4"/>
    <n v="1033926"/>
  </r>
  <r>
    <x v="20"/>
    <x v="46"/>
    <s v="Electric Generators, Electric Utilities"/>
    <x v="10"/>
    <n v="-1490602"/>
  </r>
  <r>
    <x v="20"/>
    <x v="46"/>
    <s v="Electric Generators, Electric Utilities"/>
    <x v="6"/>
    <n v="422794"/>
  </r>
  <r>
    <x v="20"/>
    <x v="46"/>
    <s v="Combined Heat and Power, Industrial Power"/>
    <x v="0"/>
    <n v="1854890"/>
  </r>
  <r>
    <x v="20"/>
    <x v="46"/>
    <s v="Combined Heat and Power, Industrial Power"/>
    <x v="1"/>
    <n v="701980"/>
  </r>
  <r>
    <x v="20"/>
    <x v="46"/>
    <s v="Combined Heat and Power, Industrial Power"/>
    <x v="2"/>
    <n v="11947"/>
  </r>
  <r>
    <x v="20"/>
    <x v="46"/>
    <s v="Combined Heat and Power, Industrial Power"/>
    <x v="3"/>
    <n v="83894"/>
  </r>
  <r>
    <x v="20"/>
    <x v="46"/>
    <s v="Combined Heat and Power, Industrial Power"/>
    <x v="12"/>
    <n v="931"/>
  </r>
  <r>
    <x v="20"/>
    <x v="46"/>
    <s v="Combined Heat and Power, Industrial Power"/>
    <x v="8"/>
    <n v="13589"/>
  </r>
  <r>
    <x v="20"/>
    <x v="46"/>
    <s v="Combined Heat and Power, Industrial Power"/>
    <x v="4"/>
    <n v="61039"/>
  </r>
  <r>
    <x v="20"/>
    <x v="46"/>
    <s v="Combined Heat and Power, Industrial Power"/>
    <x v="6"/>
    <n v="981510"/>
  </r>
  <r>
    <x v="20"/>
    <x v="46"/>
    <s v="Combined Heat and Power, Electric Power"/>
    <x v="0"/>
    <n v="2544588"/>
  </r>
  <r>
    <x v="20"/>
    <x v="46"/>
    <s v="Combined Heat and Power, Electric Power"/>
    <x v="1"/>
    <n v="1384141"/>
  </r>
  <r>
    <x v="20"/>
    <x v="46"/>
    <s v="Combined Heat and Power, Electric Power"/>
    <x v="3"/>
    <n v="1048844"/>
  </r>
  <r>
    <x v="20"/>
    <x v="46"/>
    <s v="Combined Heat and Power, Electric Power"/>
    <x v="12"/>
    <n v="20262"/>
  </r>
  <r>
    <x v="20"/>
    <x v="46"/>
    <s v="Combined Heat and Power, Electric Power"/>
    <x v="4"/>
    <n v="91341"/>
  </r>
  <r>
    <x v="20"/>
    <x v="46"/>
    <s v="Combined Heat and Power, Commercial Power"/>
    <x v="0"/>
    <n v="361778"/>
  </r>
  <r>
    <x v="20"/>
    <x v="46"/>
    <s v="Combined Heat and Power, Commercial Power"/>
    <x v="1"/>
    <n v="25677"/>
  </r>
  <r>
    <x v="20"/>
    <x v="46"/>
    <s v="Combined Heat and Power, Commercial Power"/>
    <x v="12"/>
    <n v="147429"/>
  </r>
  <r>
    <x v="20"/>
    <x v="46"/>
    <s v="Combined Heat and Power, Commercial Power"/>
    <x v="8"/>
    <n v="187634"/>
  </r>
  <r>
    <x v="20"/>
    <x v="46"/>
    <s v="Combined Heat and Power, Commercial Power"/>
    <x v="4"/>
    <n v="1038"/>
  </r>
  <r>
    <x v="20"/>
    <x v="47"/>
    <s v="Total Electric Power Industry"/>
    <x v="0"/>
    <n v="6619990"/>
  </r>
  <r>
    <x v="20"/>
    <x v="47"/>
    <s v="Total Electric Power Industry"/>
    <x v="2"/>
    <n v="1346887"/>
  </r>
  <r>
    <x v="20"/>
    <x v="47"/>
    <s v="Total Electric Power Industry"/>
    <x v="3"/>
    <n v="3783"/>
  </r>
  <r>
    <x v="20"/>
    <x v="47"/>
    <s v="Total Electric Power Industry"/>
    <x v="7"/>
    <n v="4782473"/>
  </r>
  <r>
    <x v="20"/>
    <x v="47"/>
    <s v="Total Electric Power Industry"/>
    <x v="8"/>
    <n v="25081"/>
  </r>
  <r>
    <x v="20"/>
    <x v="47"/>
    <s v="Total Electric Power Industry"/>
    <x v="4"/>
    <n v="4509"/>
  </r>
  <r>
    <x v="20"/>
    <x v="47"/>
    <s v="Total Electric Power Industry"/>
    <x v="5"/>
    <n v="13892"/>
  </r>
  <r>
    <x v="20"/>
    <x v="47"/>
    <s v="Total Electric Power Industry"/>
    <x v="6"/>
    <n v="443366"/>
  </r>
  <r>
    <x v="20"/>
    <x v="47"/>
    <s v="Electric Generators, Independent Power Producers"/>
    <x v="0"/>
    <n v="5873829"/>
  </r>
  <r>
    <x v="20"/>
    <x v="47"/>
    <s v="Electric Generators, Independent Power Producers"/>
    <x v="2"/>
    <n v="891168"/>
  </r>
  <r>
    <x v="20"/>
    <x v="47"/>
    <s v="Electric Generators, Independent Power Producers"/>
    <x v="7"/>
    <n v="4782473"/>
  </r>
  <r>
    <x v="20"/>
    <x v="47"/>
    <s v="Electric Generators, Independent Power Producers"/>
    <x v="8"/>
    <n v="25081"/>
  </r>
  <r>
    <x v="20"/>
    <x v="47"/>
    <s v="Electric Generators, Independent Power Producers"/>
    <x v="6"/>
    <n v="175107"/>
  </r>
  <r>
    <x v="20"/>
    <x v="47"/>
    <s v="Electric Generators, Electric Utilities"/>
    <x v="0"/>
    <n v="720853"/>
  </r>
  <r>
    <x v="20"/>
    <x v="47"/>
    <s v="Electric Generators, Electric Utilities"/>
    <x v="2"/>
    <n v="430411"/>
  </r>
  <r>
    <x v="20"/>
    <x v="47"/>
    <s v="Electric Generators, Electric Utilities"/>
    <x v="3"/>
    <n v="3783"/>
  </r>
  <r>
    <x v="20"/>
    <x v="47"/>
    <s v="Electric Generators, Electric Utilities"/>
    <x v="4"/>
    <n v="4509"/>
  </r>
  <r>
    <x v="20"/>
    <x v="47"/>
    <s v="Electric Generators, Electric Utilities"/>
    <x v="5"/>
    <n v="13892"/>
  </r>
  <r>
    <x v="20"/>
    <x v="47"/>
    <s v="Electric Generators, Electric Utilities"/>
    <x v="6"/>
    <n v="268259"/>
  </r>
  <r>
    <x v="20"/>
    <x v="47"/>
    <s v="Combined Heat and Power, Industrial Power"/>
    <x v="0"/>
    <n v="25308"/>
  </r>
  <r>
    <x v="20"/>
    <x v="47"/>
    <s v="Combined Heat and Power, Industrial Power"/>
    <x v="2"/>
    <n v="25308"/>
  </r>
  <r>
    <x v="20"/>
    <x v="48"/>
    <s v="Total Electric Power Industry"/>
    <x v="0"/>
    <n v="103472729"/>
  </r>
  <r>
    <x v="20"/>
    <x v="48"/>
    <s v="Total Electric Power Industry"/>
    <x v="1"/>
    <n v="8526933"/>
  </r>
  <r>
    <x v="20"/>
    <x v="48"/>
    <s v="Total Electric Power Industry"/>
    <x v="2"/>
    <n v="68288383"/>
  </r>
  <r>
    <x v="20"/>
    <x v="48"/>
    <s v="Total Electric Power Industry"/>
    <x v="3"/>
    <n v="10359235"/>
  </r>
  <r>
    <x v="20"/>
    <x v="48"/>
    <s v="Total Electric Power Industry"/>
    <x v="7"/>
    <n v="9241133"/>
  </r>
  <r>
    <x v="20"/>
    <x v="48"/>
    <s v="Total Electric Power Industry"/>
    <x v="12"/>
    <n v="62259"/>
  </r>
  <r>
    <x v="20"/>
    <x v="48"/>
    <s v="Total Electric Power Industry"/>
    <x v="8"/>
    <n v="196370"/>
  </r>
  <r>
    <x v="20"/>
    <x v="48"/>
    <s v="Total Electric Power Industry"/>
    <x v="9"/>
    <n v="292019"/>
  </r>
  <r>
    <x v="20"/>
    <x v="48"/>
    <s v="Total Electric Power Industry"/>
    <x v="4"/>
    <n v="32476"/>
  </r>
  <r>
    <x v="20"/>
    <x v="48"/>
    <s v="Total Electric Power Industry"/>
    <x v="10"/>
    <n v="53328"/>
  </r>
  <r>
    <x v="20"/>
    <x v="48"/>
    <s v="Total Electric Power Industry"/>
    <x v="13"/>
    <n v="0"/>
  </r>
  <r>
    <x v="20"/>
    <x v="48"/>
    <s v="Total Electric Power Industry"/>
    <x v="5"/>
    <n v="4744679"/>
  </r>
  <r>
    <x v="20"/>
    <x v="48"/>
    <s v="Total Electric Power Industry"/>
    <x v="6"/>
    <n v="1675915"/>
  </r>
  <r>
    <x v="20"/>
    <x v="48"/>
    <s v="Electric Generators, Independent Power Producers"/>
    <x v="0"/>
    <n v="12329887"/>
  </r>
  <r>
    <x v="20"/>
    <x v="48"/>
    <s v="Electric Generators, Independent Power Producers"/>
    <x v="1"/>
    <n v="8486571"/>
  </r>
  <r>
    <x v="20"/>
    <x v="48"/>
    <s v="Electric Generators, Independent Power Producers"/>
    <x v="2"/>
    <n v="178401"/>
  </r>
  <r>
    <x v="20"/>
    <x v="48"/>
    <s v="Electric Generators, Independent Power Producers"/>
    <x v="3"/>
    <n v="1097884"/>
  </r>
  <r>
    <x v="20"/>
    <x v="48"/>
    <s v="Electric Generators, Independent Power Producers"/>
    <x v="12"/>
    <n v="62259"/>
  </r>
  <r>
    <x v="20"/>
    <x v="48"/>
    <s v="Electric Generators, Independent Power Producers"/>
    <x v="8"/>
    <n v="108755"/>
  </r>
  <r>
    <x v="20"/>
    <x v="48"/>
    <s v="Electric Generators, Independent Power Producers"/>
    <x v="4"/>
    <n v="15132"/>
  </r>
  <r>
    <x v="20"/>
    <x v="48"/>
    <s v="Electric Generators, Independent Power Producers"/>
    <x v="5"/>
    <n v="2380885"/>
  </r>
  <r>
    <x v="20"/>
    <x v="48"/>
    <s v="Electric Generators, Electric Utilities"/>
    <x v="0"/>
    <n v="88057219"/>
  </r>
  <r>
    <x v="20"/>
    <x v="48"/>
    <s v="Electric Generators, Electric Utilities"/>
    <x v="2"/>
    <n v="68054577"/>
  </r>
  <r>
    <x v="20"/>
    <x v="48"/>
    <s v="Electric Generators, Electric Utilities"/>
    <x v="3"/>
    <n v="7757122"/>
  </r>
  <r>
    <x v="20"/>
    <x v="48"/>
    <s v="Electric Generators, Electric Utilities"/>
    <x v="7"/>
    <n v="9241133"/>
  </r>
  <r>
    <x v="20"/>
    <x v="48"/>
    <s v="Electric Generators, Electric Utilities"/>
    <x v="8"/>
    <n v="76452"/>
  </r>
  <r>
    <x v="20"/>
    <x v="48"/>
    <s v="Electric Generators, Electric Utilities"/>
    <x v="4"/>
    <n v="3792"/>
  </r>
  <r>
    <x v="20"/>
    <x v="48"/>
    <s v="Electric Generators, Electric Utilities"/>
    <x v="10"/>
    <n v="53328"/>
  </r>
  <r>
    <x v="20"/>
    <x v="48"/>
    <s v="Electric Generators, Electric Utilities"/>
    <x v="13"/>
    <n v="0"/>
  </r>
  <r>
    <x v="20"/>
    <x v="48"/>
    <s v="Electric Generators, Electric Utilities"/>
    <x v="5"/>
    <n v="2363794"/>
  </r>
  <r>
    <x v="20"/>
    <x v="48"/>
    <s v="Electric Generators, Electric Utilities"/>
    <x v="6"/>
    <n v="507021"/>
  </r>
  <r>
    <x v="20"/>
    <x v="48"/>
    <s v="Combined Heat and Power, Industrial Power"/>
    <x v="0"/>
    <n v="1277329"/>
  </r>
  <r>
    <x v="20"/>
    <x v="48"/>
    <s v="Combined Heat and Power, Industrial Power"/>
    <x v="1"/>
    <n v="40361"/>
  </r>
  <r>
    <x v="20"/>
    <x v="48"/>
    <s v="Combined Heat and Power, Industrial Power"/>
    <x v="2"/>
    <n v="2886"/>
  </r>
  <r>
    <x v="20"/>
    <x v="48"/>
    <s v="Combined Heat and Power, Industrial Power"/>
    <x v="3"/>
    <n v="40957"/>
  </r>
  <r>
    <x v="20"/>
    <x v="48"/>
    <s v="Combined Heat and Power, Industrial Power"/>
    <x v="8"/>
    <n v="11163"/>
  </r>
  <r>
    <x v="20"/>
    <x v="48"/>
    <s v="Combined Heat and Power, Industrial Power"/>
    <x v="4"/>
    <n v="13067"/>
  </r>
  <r>
    <x v="20"/>
    <x v="48"/>
    <s v="Combined Heat and Power, Industrial Power"/>
    <x v="6"/>
    <n v="1168894"/>
  </r>
  <r>
    <x v="20"/>
    <x v="48"/>
    <s v="Combined Heat and Power, Electric Power"/>
    <x v="0"/>
    <n v="1740163"/>
  </r>
  <r>
    <x v="20"/>
    <x v="48"/>
    <s v="Combined Heat and Power, Electric Power"/>
    <x v="3"/>
    <n v="1448086"/>
  </r>
  <r>
    <x v="20"/>
    <x v="48"/>
    <s v="Combined Heat and Power, Electric Power"/>
    <x v="9"/>
    <n v="292019"/>
  </r>
  <r>
    <x v="20"/>
    <x v="48"/>
    <s v="Combined Heat and Power, Electric Power"/>
    <x v="4"/>
    <n v="58"/>
  </r>
  <r>
    <x v="20"/>
    <x v="48"/>
    <s v="Combined Heat and Power, Commercial Power"/>
    <x v="0"/>
    <n v="68131"/>
  </r>
  <r>
    <x v="20"/>
    <x v="48"/>
    <s v="Combined Heat and Power, Commercial Power"/>
    <x v="2"/>
    <n v="52519"/>
  </r>
  <r>
    <x v="20"/>
    <x v="48"/>
    <s v="Combined Heat and Power, Commercial Power"/>
    <x v="3"/>
    <n v="15186"/>
  </r>
  <r>
    <x v="20"/>
    <x v="48"/>
    <s v="Combined Heat and Power, Commercial Power"/>
    <x v="4"/>
    <n v="427"/>
  </r>
  <r>
    <x v="20"/>
    <x v="49"/>
    <s v="Total Electric Power Industry"/>
    <x v="0"/>
    <n v="64314067"/>
  </r>
  <r>
    <x v="20"/>
    <x v="49"/>
    <s v="Total Electric Power Industry"/>
    <x v="1"/>
    <n v="40168733"/>
  </r>
  <r>
    <x v="20"/>
    <x v="49"/>
    <s v="Total Electric Power Industry"/>
    <x v="2"/>
    <n v="2111852"/>
  </r>
  <r>
    <x v="20"/>
    <x v="49"/>
    <s v="Total Electric Power Industry"/>
    <x v="3"/>
    <n v="5496814"/>
  </r>
  <r>
    <x v="20"/>
    <x v="49"/>
    <s v="Total Electric Power Industry"/>
    <x v="7"/>
    <n v="13280939"/>
  </r>
  <r>
    <x v="20"/>
    <x v="49"/>
    <s v="Total Electric Power Industry"/>
    <x v="12"/>
    <n v="63454"/>
  </r>
  <r>
    <x v="20"/>
    <x v="49"/>
    <s v="Total Electric Power Industry"/>
    <x v="8"/>
    <n v="507860"/>
  </r>
  <r>
    <x v="20"/>
    <x v="49"/>
    <s v="Total Electric Power Industry"/>
    <x v="9"/>
    <n v="18"/>
  </r>
  <r>
    <x v="20"/>
    <x v="49"/>
    <s v="Total Electric Power Industry"/>
    <x v="4"/>
    <n v="718302"/>
  </r>
  <r>
    <x v="20"/>
    <x v="49"/>
    <s v="Total Electric Power Industry"/>
    <x v="5"/>
    <n v="1088464"/>
  </r>
  <r>
    <x v="20"/>
    <x v="49"/>
    <s v="Total Electric Power Industry"/>
    <x v="6"/>
    <n v="877632"/>
  </r>
  <r>
    <x v="20"/>
    <x v="49"/>
    <s v="Electric Generators, Independent Power Producers"/>
    <x v="0"/>
    <n v="15833631"/>
  </r>
  <r>
    <x v="20"/>
    <x v="49"/>
    <s v="Electric Generators, Independent Power Producers"/>
    <x v="1"/>
    <n v="0"/>
  </r>
  <r>
    <x v="20"/>
    <x v="49"/>
    <s v="Electric Generators, Independent Power Producers"/>
    <x v="2"/>
    <n v="86090"/>
  </r>
  <r>
    <x v="20"/>
    <x v="49"/>
    <s v="Electric Generators, Independent Power Producers"/>
    <x v="3"/>
    <n v="1491530"/>
  </r>
  <r>
    <x v="20"/>
    <x v="49"/>
    <s v="Electric Generators, Independent Power Producers"/>
    <x v="7"/>
    <n v="13280939"/>
  </r>
  <r>
    <x v="20"/>
    <x v="49"/>
    <s v="Electric Generators, Independent Power Producers"/>
    <x v="8"/>
    <n v="383442"/>
  </r>
  <r>
    <x v="20"/>
    <x v="49"/>
    <s v="Electric Generators, Independent Power Producers"/>
    <x v="4"/>
    <n v="442"/>
  </r>
  <r>
    <x v="20"/>
    <x v="49"/>
    <s v="Electric Generators, Independent Power Producers"/>
    <x v="5"/>
    <n v="546967"/>
  </r>
  <r>
    <x v="20"/>
    <x v="49"/>
    <s v="Electric Generators, Independent Power Producers"/>
    <x v="6"/>
    <n v="44221"/>
  </r>
  <r>
    <x v="20"/>
    <x v="49"/>
    <s v="Electric Generators, Electric Utilities"/>
    <x v="0"/>
    <n v="45579970"/>
  </r>
  <r>
    <x v="20"/>
    <x v="49"/>
    <s v="Electric Generators, Electric Utilities"/>
    <x v="1"/>
    <n v="39185565"/>
  </r>
  <r>
    <x v="20"/>
    <x v="49"/>
    <s v="Electric Generators, Electric Utilities"/>
    <x v="2"/>
    <n v="1890101"/>
  </r>
  <r>
    <x v="20"/>
    <x v="49"/>
    <s v="Electric Generators, Electric Utilities"/>
    <x v="3"/>
    <n v="3205394"/>
  </r>
  <r>
    <x v="20"/>
    <x v="49"/>
    <s v="Electric Generators, Electric Utilities"/>
    <x v="12"/>
    <n v="23894"/>
  </r>
  <r>
    <x v="20"/>
    <x v="49"/>
    <s v="Electric Generators, Electric Utilities"/>
    <x v="8"/>
    <n v="26728"/>
  </r>
  <r>
    <x v="20"/>
    <x v="49"/>
    <s v="Electric Generators, Electric Utilities"/>
    <x v="9"/>
    <n v="18"/>
  </r>
  <r>
    <x v="20"/>
    <x v="49"/>
    <s v="Electric Generators, Electric Utilities"/>
    <x v="4"/>
    <n v="478866"/>
  </r>
  <r>
    <x v="20"/>
    <x v="49"/>
    <s v="Electric Generators, Electric Utilities"/>
    <x v="5"/>
    <n v="541497"/>
  </r>
  <r>
    <x v="20"/>
    <x v="49"/>
    <s v="Electric Generators, Electric Utilities"/>
    <x v="6"/>
    <n v="227906"/>
  </r>
  <r>
    <x v="20"/>
    <x v="49"/>
    <s v="Combined Heat and Power, Industrial Power"/>
    <x v="0"/>
    <n v="2095521"/>
  </r>
  <r>
    <x v="20"/>
    <x v="49"/>
    <s v="Combined Heat and Power, Industrial Power"/>
    <x v="1"/>
    <n v="958346"/>
  </r>
  <r>
    <x v="20"/>
    <x v="49"/>
    <s v="Combined Heat and Power, Industrial Power"/>
    <x v="2"/>
    <n v="135053"/>
  </r>
  <r>
    <x v="20"/>
    <x v="49"/>
    <s v="Combined Heat and Power, Industrial Power"/>
    <x v="3"/>
    <n v="91887"/>
  </r>
  <r>
    <x v="20"/>
    <x v="49"/>
    <s v="Combined Heat and Power, Industrial Power"/>
    <x v="12"/>
    <n v="39164"/>
  </r>
  <r>
    <x v="20"/>
    <x v="49"/>
    <s v="Combined Heat and Power, Industrial Power"/>
    <x v="8"/>
    <n v="30307"/>
  </r>
  <r>
    <x v="20"/>
    <x v="49"/>
    <s v="Combined Heat and Power, Industrial Power"/>
    <x v="4"/>
    <n v="235601"/>
  </r>
  <r>
    <x v="20"/>
    <x v="49"/>
    <s v="Combined Heat and Power, Industrial Power"/>
    <x v="6"/>
    <n v="605162"/>
  </r>
  <r>
    <x v="20"/>
    <x v="49"/>
    <s v="Combined Heat and Power, Electric Power"/>
    <x v="0"/>
    <n v="662839"/>
  </r>
  <r>
    <x v="20"/>
    <x v="49"/>
    <s v="Combined Heat and Power, Electric Power"/>
    <x v="1"/>
    <n v="0"/>
  </r>
  <r>
    <x v="20"/>
    <x v="49"/>
    <s v="Combined Heat and Power, Electric Power"/>
    <x v="3"/>
    <n v="634955"/>
  </r>
  <r>
    <x v="20"/>
    <x v="49"/>
    <s v="Combined Heat and Power, Electric Power"/>
    <x v="8"/>
    <n v="24519"/>
  </r>
  <r>
    <x v="20"/>
    <x v="49"/>
    <s v="Combined Heat and Power, Electric Power"/>
    <x v="4"/>
    <n v="3365"/>
  </r>
  <r>
    <x v="20"/>
    <x v="49"/>
    <s v="Combined Heat and Power, Commercial Power"/>
    <x v="0"/>
    <n v="142106"/>
  </r>
  <r>
    <x v="20"/>
    <x v="49"/>
    <s v="Combined Heat and Power, Commercial Power"/>
    <x v="1"/>
    <n v="24822"/>
  </r>
  <r>
    <x v="20"/>
    <x v="49"/>
    <s v="Combined Heat and Power, Commercial Power"/>
    <x v="2"/>
    <n v="608"/>
  </r>
  <r>
    <x v="20"/>
    <x v="49"/>
    <s v="Combined Heat and Power, Commercial Power"/>
    <x v="3"/>
    <n v="73048"/>
  </r>
  <r>
    <x v="20"/>
    <x v="49"/>
    <s v="Combined Heat and Power, Commercial Power"/>
    <x v="12"/>
    <n v="395"/>
  </r>
  <r>
    <x v="20"/>
    <x v="49"/>
    <s v="Combined Heat and Power, Commercial Power"/>
    <x v="8"/>
    <n v="42863"/>
  </r>
  <r>
    <x v="20"/>
    <x v="49"/>
    <s v="Combined Heat and Power, Commercial Power"/>
    <x v="4"/>
    <n v="27"/>
  </r>
  <r>
    <x v="20"/>
    <x v="49"/>
    <s v="Combined Heat and Power, Commercial Power"/>
    <x v="6"/>
    <n v="343"/>
  </r>
  <r>
    <x v="20"/>
    <x v="50"/>
    <s v="Total Electric Power Industry"/>
    <x v="0"/>
    <n v="80788947"/>
  </r>
  <r>
    <x v="20"/>
    <x v="50"/>
    <s v="Total Electric Power Industry"/>
    <x v="1"/>
    <n v="78147563"/>
  </r>
  <r>
    <x v="20"/>
    <x v="50"/>
    <s v="Total Electric Power Industry"/>
    <x v="2"/>
    <n v="1367361"/>
  </r>
  <r>
    <x v="20"/>
    <x v="50"/>
    <s v="Total Electric Power Industry"/>
    <x v="3"/>
    <n v="139601"/>
  </r>
  <r>
    <x v="20"/>
    <x v="50"/>
    <s v="Total Electric Power Industry"/>
    <x v="12"/>
    <n v="618"/>
  </r>
  <r>
    <x v="20"/>
    <x v="50"/>
    <s v="Total Electric Power Industry"/>
    <x v="8"/>
    <n v="0"/>
  </r>
  <r>
    <x v="20"/>
    <x v="50"/>
    <s v="Total Electric Power Industry"/>
    <x v="9"/>
    <n v="40075"/>
  </r>
  <r>
    <x v="20"/>
    <x v="50"/>
    <s v="Total Electric Power Industry"/>
    <x v="4"/>
    <n v="154557"/>
  </r>
  <r>
    <x v="20"/>
    <x v="50"/>
    <s v="Total Electric Power Industry"/>
    <x v="5"/>
    <n v="939172"/>
  </r>
  <r>
    <x v="20"/>
    <x v="50"/>
    <s v="Total Electric Power Industry"/>
    <x v="6"/>
    <n v="0"/>
  </r>
  <r>
    <x v="20"/>
    <x v="50"/>
    <s v="Electric Generators, Independent Power Producers"/>
    <x v="0"/>
    <n v="22757413"/>
  </r>
  <r>
    <x v="20"/>
    <x v="50"/>
    <s v="Electric Generators, Independent Power Producers"/>
    <x v="1"/>
    <n v="21342006"/>
  </r>
  <r>
    <x v="20"/>
    <x v="50"/>
    <s v="Electric Generators, Independent Power Producers"/>
    <x v="2"/>
    <n v="386926"/>
  </r>
  <r>
    <x v="20"/>
    <x v="50"/>
    <s v="Electric Generators, Independent Power Producers"/>
    <x v="3"/>
    <n v="83049"/>
  </r>
  <r>
    <x v="20"/>
    <x v="50"/>
    <s v="Electric Generators, Independent Power Producers"/>
    <x v="4"/>
    <n v="6260"/>
  </r>
  <r>
    <x v="20"/>
    <x v="50"/>
    <s v="Electric Generators, Independent Power Producers"/>
    <x v="5"/>
    <n v="939172"/>
  </r>
  <r>
    <x v="20"/>
    <x v="50"/>
    <s v="Electric Generators, Electric Utilities"/>
    <x v="0"/>
    <n v="56719755"/>
  </r>
  <r>
    <x v="20"/>
    <x v="50"/>
    <s v="Electric Generators, Electric Utilities"/>
    <x v="1"/>
    <n v="56041206"/>
  </r>
  <r>
    <x v="20"/>
    <x v="50"/>
    <s v="Electric Generators, Electric Utilities"/>
    <x v="2"/>
    <n v="482024"/>
  </r>
  <r>
    <x v="20"/>
    <x v="50"/>
    <s v="Electric Generators, Electric Utilities"/>
    <x v="3"/>
    <n v="48067"/>
  </r>
  <r>
    <x v="20"/>
    <x v="50"/>
    <s v="Electric Generators, Electric Utilities"/>
    <x v="12"/>
    <n v="160"/>
  </r>
  <r>
    <x v="20"/>
    <x v="50"/>
    <s v="Electric Generators, Electric Utilities"/>
    <x v="8"/>
    <n v="0"/>
  </r>
  <r>
    <x v="20"/>
    <x v="50"/>
    <s v="Electric Generators, Electric Utilities"/>
    <x v="4"/>
    <n v="148297"/>
  </r>
  <r>
    <x v="20"/>
    <x v="50"/>
    <s v="Electric Generators, Electric Utilities"/>
    <x v="6"/>
    <n v="0"/>
  </r>
  <r>
    <x v="20"/>
    <x v="50"/>
    <s v="Combined Heat and Power, Industrial Power"/>
    <x v="0"/>
    <n v="924055"/>
  </r>
  <r>
    <x v="20"/>
    <x v="50"/>
    <s v="Combined Heat and Power, Industrial Power"/>
    <x v="1"/>
    <n v="376628"/>
  </r>
  <r>
    <x v="20"/>
    <x v="50"/>
    <s v="Combined Heat and Power, Industrial Power"/>
    <x v="2"/>
    <n v="498411"/>
  </r>
  <r>
    <x v="20"/>
    <x v="50"/>
    <s v="Combined Heat and Power, Industrial Power"/>
    <x v="3"/>
    <n v="8484"/>
  </r>
  <r>
    <x v="20"/>
    <x v="50"/>
    <s v="Combined Heat and Power, Industrial Power"/>
    <x v="12"/>
    <n v="457"/>
  </r>
  <r>
    <x v="20"/>
    <x v="50"/>
    <s v="Combined Heat and Power, Industrial Power"/>
    <x v="9"/>
    <n v="40075"/>
  </r>
  <r>
    <x v="20"/>
    <x v="50"/>
    <s v="Combined Heat and Power, Electric Power"/>
    <x v="0"/>
    <n v="387724"/>
  </r>
  <r>
    <x v="20"/>
    <x v="50"/>
    <s v="Combined Heat and Power, Electric Power"/>
    <x v="1"/>
    <n v="387724"/>
  </r>
  <r>
    <x v="20"/>
    <x v="50"/>
    <s v="Combined Heat and Power, Electric Power"/>
    <x v="3"/>
    <n v="0"/>
  </r>
  <r>
    <x v="20"/>
    <x v="51"/>
    <s v="Total Electric Power Industry"/>
    <x v="0"/>
    <n v="48119254"/>
  </r>
  <r>
    <x v="20"/>
    <x v="51"/>
    <s v="Total Electric Power Industry"/>
    <x v="1"/>
    <n v="42986523"/>
  </r>
  <r>
    <x v="20"/>
    <x v="51"/>
    <s v="Total Electric Power Industry"/>
    <x v="2"/>
    <n v="1023887"/>
  </r>
  <r>
    <x v="20"/>
    <x v="51"/>
    <s v="Total Electric Power Industry"/>
    <x v="3"/>
    <n v="458983"/>
  </r>
  <r>
    <x v="20"/>
    <x v="51"/>
    <s v="Total Electric Power Industry"/>
    <x v="12"/>
    <n v="67857"/>
  </r>
  <r>
    <x v="20"/>
    <x v="51"/>
    <s v="Total Electric Power Industry"/>
    <x v="9"/>
    <n v="279065"/>
  </r>
  <r>
    <x v="20"/>
    <x v="51"/>
    <s v="Total Electric Power Industry"/>
    <x v="4"/>
    <n v="56146"/>
  </r>
  <r>
    <x v="20"/>
    <x v="51"/>
    <s v="Total Electric Power Industry"/>
    <x v="5"/>
    <n v="3246793"/>
  </r>
  <r>
    <x v="20"/>
    <x v="51"/>
    <s v="Electric Generators, Independent Power Producers"/>
    <x v="0"/>
    <n v="2407509"/>
  </r>
  <r>
    <x v="20"/>
    <x v="51"/>
    <s v="Electric Generators, Independent Power Producers"/>
    <x v="1"/>
    <n v="638670"/>
  </r>
  <r>
    <x v="20"/>
    <x v="51"/>
    <s v="Electric Generators, Independent Power Producers"/>
    <x v="2"/>
    <n v="9712"/>
  </r>
  <r>
    <x v="20"/>
    <x v="51"/>
    <s v="Electric Generators, Independent Power Producers"/>
    <x v="3"/>
    <n v="3147"/>
  </r>
  <r>
    <x v="20"/>
    <x v="51"/>
    <s v="Electric Generators, Independent Power Producers"/>
    <x v="5"/>
    <n v="1755980"/>
  </r>
  <r>
    <x v="20"/>
    <x v="51"/>
    <s v="Electric Generators, Electric Utilities"/>
    <x v="0"/>
    <n v="44738543"/>
  </r>
  <r>
    <x v="20"/>
    <x v="51"/>
    <s v="Electric Generators, Electric Utilities"/>
    <x v="1"/>
    <n v="42126910"/>
  </r>
  <r>
    <x v="20"/>
    <x v="51"/>
    <s v="Electric Generators, Electric Utilities"/>
    <x v="2"/>
    <n v="1014175"/>
  </r>
  <r>
    <x v="20"/>
    <x v="51"/>
    <s v="Electric Generators, Electric Utilities"/>
    <x v="3"/>
    <n v="50672"/>
  </r>
  <r>
    <x v="20"/>
    <x v="51"/>
    <s v="Electric Generators, Electric Utilities"/>
    <x v="4"/>
    <n v="55973"/>
  </r>
  <r>
    <x v="20"/>
    <x v="51"/>
    <s v="Electric Generators, Electric Utilities"/>
    <x v="5"/>
    <n v="1490813"/>
  </r>
  <r>
    <x v="20"/>
    <x v="51"/>
    <s v="Combined Heat and Power, Industrial Power"/>
    <x v="0"/>
    <n v="973202"/>
  </r>
  <r>
    <x v="20"/>
    <x v="51"/>
    <s v="Combined Heat and Power, Industrial Power"/>
    <x v="1"/>
    <n v="220944"/>
  </r>
  <r>
    <x v="20"/>
    <x v="51"/>
    <s v="Combined Heat and Power, Industrial Power"/>
    <x v="3"/>
    <n v="405164"/>
  </r>
  <r>
    <x v="20"/>
    <x v="51"/>
    <s v="Combined Heat and Power, Industrial Power"/>
    <x v="12"/>
    <n v="67857"/>
  </r>
  <r>
    <x v="20"/>
    <x v="51"/>
    <s v="Combined Heat and Power, Industrial Power"/>
    <x v="9"/>
    <n v="279065"/>
  </r>
  <r>
    <x v="20"/>
    <x v="51"/>
    <s v="Combined Heat and Power, Industrial Power"/>
    <x v="4"/>
    <n v="173"/>
  </r>
  <r>
    <x v="21"/>
    <x v="0"/>
    <s v="Total Electric Power Industry"/>
    <x v="0"/>
    <n v="6871032.79"/>
  </r>
  <r>
    <x v="21"/>
    <x v="0"/>
    <s v="Total Electric Power Industry"/>
    <x v="1"/>
    <n v="656385.27"/>
  </r>
  <r>
    <x v="21"/>
    <x v="0"/>
    <s v="Total Electric Power Industry"/>
    <x v="2"/>
    <n v="1344745.75"/>
  </r>
  <r>
    <x v="21"/>
    <x v="0"/>
    <s v="Total Electric Power Industry"/>
    <x v="3"/>
    <n v="3906432.63"/>
  </r>
  <r>
    <x v="21"/>
    <x v="0"/>
    <s v="Total Electric Power Industry"/>
    <x v="12"/>
    <n v="0"/>
  </r>
  <r>
    <x v="21"/>
    <x v="0"/>
    <s v="Total Electric Power Industry"/>
    <x v="8"/>
    <n v="3286.54"/>
  </r>
  <r>
    <x v="21"/>
    <x v="0"/>
    <s v="Total Electric Power Industry"/>
    <x v="9"/>
    <n v="2738.3"/>
  </r>
  <r>
    <x v="21"/>
    <x v="0"/>
    <s v="Total Electric Power Industry"/>
    <x v="4"/>
    <n v="944998.3"/>
  </r>
  <r>
    <x v="21"/>
    <x v="0"/>
    <s v="Total Electric Power Industry"/>
    <x v="5"/>
    <n v="12446"/>
  </r>
  <r>
    <x v="21"/>
    <x v="0"/>
    <s v="Electric Generators, Independent Power Producers"/>
    <x v="0"/>
    <n v="0"/>
  </r>
  <r>
    <x v="21"/>
    <x v="0"/>
    <s v="Electric Generators, Independent Power Producers"/>
    <x v="12"/>
    <n v="0"/>
  </r>
  <r>
    <x v="21"/>
    <x v="0"/>
    <s v="Electric Generators, Electric Utilities"/>
    <x v="0"/>
    <n v="6273843.96"/>
  </r>
  <r>
    <x v="21"/>
    <x v="0"/>
    <s v="Electric Generators, Electric Utilities"/>
    <x v="1"/>
    <n v="177939.74"/>
  </r>
  <r>
    <x v="21"/>
    <x v="0"/>
    <s v="Electric Generators, Electric Utilities"/>
    <x v="2"/>
    <n v="1344745.75"/>
  </r>
  <r>
    <x v="21"/>
    <x v="0"/>
    <s v="Electric Generators, Electric Utilities"/>
    <x v="3"/>
    <n v="3846484.04"/>
  </r>
  <r>
    <x v="21"/>
    <x v="0"/>
    <s v="Electric Generators, Electric Utilities"/>
    <x v="12"/>
    <n v="0"/>
  </r>
  <r>
    <x v="21"/>
    <x v="0"/>
    <s v="Electric Generators, Electric Utilities"/>
    <x v="4"/>
    <n v="892228.44"/>
  </r>
  <r>
    <x v="21"/>
    <x v="0"/>
    <s v="Electric Generators, Electric Utilities"/>
    <x v="5"/>
    <n v="12446"/>
  </r>
  <r>
    <x v="21"/>
    <x v="0"/>
    <s v="Combined Heat and Power, Industrial Power"/>
    <x v="0"/>
    <n v="112700.44"/>
  </r>
  <r>
    <x v="21"/>
    <x v="0"/>
    <s v="Combined Heat and Power, Industrial Power"/>
    <x v="3"/>
    <n v="57110.77"/>
  </r>
  <r>
    <x v="21"/>
    <x v="0"/>
    <s v="Combined Heat and Power, Industrial Power"/>
    <x v="8"/>
    <n v="3286.54"/>
  </r>
  <r>
    <x v="21"/>
    <x v="0"/>
    <s v="Combined Heat and Power, Industrial Power"/>
    <x v="9"/>
    <n v="2738.3"/>
  </r>
  <r>
    <x v="21"/>
    <x v="0"/>
    <s v="Combined Heat and Power, Industrial Power"/>
    <x v="4"/>
    <n v="49564.83"/>
  </r>
  <r>
    <x v="21"/>
    <x v="0"/>
    <s v="Combined Heat and Power, Electric Power"/>
    <x v="0"/>
    <n v="209150"/>
  </r>
  <r>
    <x v="21"/>
    <x v="0"/>
    <s v="Combined Heat and Power, Electric Power"/>
    <x v="1"/>
    <n v="209150"/>
  </r>
  <r>
    <x v="21"/>
    <x v="0"/>
    <s v="Combined Heat and Power, Commercial Power"/>
    <x v="0"/>
    <n v="275338.39"/>
  </r>
  <r>
    <x v="21"/>
    <x v="0"/>
    <s v="Combined Heat and Power, Commercial Power"/>
    <x v="1"/>
    <n v="269295.53000000003"/>
  </r>
  <r>
    <x v="21"/>
    <x v="0"/>
    <s v="Combined Heat and Power, Commercial Power"/>
    <x v="3"/>
    <n v="2837.82"/>
  </r>
  <r>
    <x v="21"/>
    <x v="0"/>
    <s v="Combined Heat and Power, Commercial Power"/>
    <x v="4"/>
    <n v="3205.04"/>
  </r>
  <r>
    <x v="21"/>
    <x v="1"/>
    <s v="Total Electric Power Industry"/>
    <x v="0"/>
    <n v="156339209.83000001"/>
  </r>
  <r>
    <x v="21"/>
    <x v="1"/>
    <s v="Total Electric Power Industry"/>
    <x v="1"/>
    <n v="56807353.020000003"/>
  </r>
  <r>
    <x v="21"/>
    <x v="1"/>
    <s v="Total Electric Power Industry"/>
    <x v="2"/>
    <n v="8883598"/>
  </r>
  <r>
    <x v="21"/>
    <x v="1"/>
    <s v="Total Electric Power Industry"/>
    <x v="3"/>
    <n v="47681053.939999998"/>
  </r>
  <r>
    <x v="21"/>
    <x v="1"/>
    <s v="Total Electric Power Industry"/>
    <x v="7"/>
    <n v="39356122"/>
  </r>
  <r>
    <x v="21"/>
    <x v="1"/>
    <s v="Total Electric Power Industry"/>
    <x v="12"/>
    <n v="382502.86"/>
  </r>
  <r>
    <x v="21"/>
    <x v="1"/>
    <s v="Total Electric Power Industry"/>
    <x v="8"/>
    <n v="9898.2999999999993"/>
  </r>
  <r>
    <x v="21"/>
    <x v="1"/>
    <s v="Total Electric Power Industry"/>
    <x v="9"/>
    <n v="291534.09999999998"/>
  </r>
  <r>
    <x v="21"/>
    <x v="1"/>
    <s v="Total Electric Power Industry"/>
    <x v="4"/>
    <n v="120384.03"/>
  </r>
  <r>
    <x v="21"/>
    <x v="1"/>
    <s v="Total Electric Power Industry"/>
    <x v="6"/>
    <n v="2806763.59"/>
  </r>
  <r>
    <x v="21"/>
    <x v="1"/>
    <s v="Electric Generators, Independent Power Producers"/>
    <x v="0"/>
    <n v="29424158"/>
  </r>
  <r>
    <x v="21"/>
    <x v="1"/>
    <s v="Electric Generators, Independent Power Producers"/>
    <x v="3"/>
    <n v="29419104.93"/>
  </r>
  <r>
    <x v="21"/>
    <x v="1"/>
    <s v="Electric Generators, Independent Power Producers"/>
    <x v="12"/>
    <n v="0"/>
  </r>
  <r>
    <x v="21"/>
    <x v="1"/>
    <s v="Electric Generators, Independent Power Producers"/>
    <x v="8"/>
    <n v="0"/>
  </r>
  <r>
    <x v="21"/>
    <x v="1"/>
    <s v="Electric Generators, Independent Power Producers"/>
    <x v="4"/>
    <n v="5053.07"/>
  </r>
  <r>
    <x v="21"/>
    <x v="1"/>
    <s v="Electric Generators, Electric Utilities"/>
    <x v="0"/>
    <n v="118834736"/>
  </r>
  <r>
    <x v="21"/>
    <x v="1"/>
    <s v="Electric Generators, Electric Utilities"/>
    <x v="1"/>
    <n v="56538933.009999998"/>
  </r>
  <r>
    <x v="21"/>
    <x v="1"/>
    <s v="Electric Generators, Electric Utilities"/>
    <x v="2"/>
    <n v="8883598"/>
  </r>
  <r>
    <x v="21"/>
    <x v="1"/>
    <s v="Electric Generators, Electric Utilities"/>
    <x v="3"/>
    <n v="13958757.58"/>
  </r>
  <r>
    <x v="21"/>
    <x v="1"/>
    <s v="Electric Generators, Electric Utilities"/>
    <x v="7"/>
    <n v="39356122"/>
  </r>
  <r>
    <x v="21"/>
    <x v="1"/>
    <s v="Electric Generators, Electric Utilities"/>
    <x v="8"/>
    <n v="1213.74"/>
  </r>
  <r>
    <x v="21"/>
    <x v="1"/>
    <s v="Electric Generators, Electric Utilities"/>
    <x v="4"/>
    <n v="96111.67"/>
  </r>
  <r>
    <x v="21"/>
    <x v="1"/>
    <s v="Electric Generators, Electric Utilities"/>
    <x v="6"/>
    <n v="0"/>
  </r>
  <r>
    <x v="21"/>
    <x v="1"/>
    <s v="Combined Heat and Power, Industrial Power"/>
    <x v="0"/>
    <n v="4306356.83"/>
  </r>
  <r>
    <x v="21"/>
    <x v="1"/>
    <s v="Combined Heat and Power, Industrial Power"/>
    <x v="1"/>
    <n v="210543.08"/>
  </r>
  <r>
    <x v="21"/>
    <x v="1"/>
    <s v="Combined Heat and Power, Industrial Power"/>
    <x v="3"/>
    <n v="817653.59"/>
  </r>
  <r>
    <x v="21"/>
    <x v="1"/>
    <s v="Combined Heat and Power, Industrial Power"/>
    <x v="12"/>
    <n v="382502.86"/>
  </r>
  <r>
    <x v="21"/>
    <x v="1"/>
    <s v="Combined Heat and Power, Industrial Power"/>
    <x v="8"/>
    <n v="8684.56"/>
  </r>
  <r>
    <x v="21"/>
    <x v="1"/>
    <s v="Combined Heat and Power, Industrial Power"/>
    <x v="9"/>
    <n v="291534.09999999998"/>
  </r>
  <r>
    <x v="21"/>
    <x v="1"/>
    <s v="Combined Heat and Power, Industrial Power"/>
    <x v="4"/>
    <n v="19219.3"/>
  </r>
  <r>
    <x v="21"/>
    <x v="1"/>
    <s v="Combined Heat and Power, Industrial Power"/>
    <x v="6"/>
    <n v="2576219.35"/>
  </r>
  <r>
    <x v="21"/>
    <x v="1"/>
    <s v="Combined Heat and Power, Electric Power"/>
    <x v="0"/>
    <n v="3773959"/>
  </r>
  <r>
    <x v="21"/>
    <x v="1"/>
    <s v="Combined Heat and Power, Electric Power"/>
    <x v="1"/>
    <n v="57876.93"/>
  </r>
  <r>
    <x v="21"/>
    <x v="1"/>
    <s v="Combined Heat and Power, Electric Power"/>
    <x v="3"/>
    <n v="3485537.83"/>
  </r>
  <r>
    <x v="21"/>
    <x v="1"/>
    <s v="Combined Heat and Power, Electric Power"/>
    <x v="6"/>
    <n v="230544.24"/>
  </r>
  <r>
    <x v="21"/>
    <x v="2"/>
    <s v="Total Electric Power Industry"/>
    <x v="0"/>
    <n v="61307535.890000001"/>
  </r>
  <r>
    <x v="21"/>
    <x v="2"/>
    <s v="Total Electric Power Industry"/>
    <x v="1"/>
    <n v="29418195.449999999"/>
  </r>
  <r>
    <x v="21"/>
    <x v="2"/>
    <s v="Total Electric Power Industry"/>
    <x v="2"/>
    <n v="2957845"/>
  </r>
  <r>
    <x v="21"/>
    <x v="2"/>
    <s v="Total Electric Power Industry"/>
    <x v="3"/>
    <n v="12946681.84"/>
  </r>
  <r>
    <x v="21"/>
    <x v="2"/>
    <s v="Total Electric Power Industry"/>
    <x v="7"/>
    <n v="14194445"/>
  </r>
  <r>
    <x v="21"/>
    <x v="2"/>
    <s v="Total Electric Power Industry"/>
    <x v="12"/>
    <n v="32417.69"/>
  </r>
  <r>
    <x v="21"/>
    <x v="2"/>
    <s v="Total Electric Power Industry"/>
    <x v="8"/>
    <n v="81008.240000000005"/>
  </r>
  <r>
    <x v="21"/>
    <x v="2"/>
    <s v="Total Electric Power Industry"/>
    <x v="4"/>
    <n v="55874.22"/>
  </r>
  <r>
    <x v="21"/>
    <x v="2"/>
    <s v="Total Electric Power Industry"/>
    <x v="10"/>
    <n v="34431"/>
  </r>
  <r>
    <x v="21"/>
    <x v="2"/>
    <s v="Total Electric Power Industry"/>
    <x v="6"/>
    <n v="1586637.44"/>
  </r>
  <r>
    <x v="21"/>
    <x v="2"/>
    <s v="Electric Generators, Independent Power Producers"/>
    <x v="0"/>
    <n v="13204926"/>
  </r>
  <r>
    <x v="21"/>
    <x v="2"/>
    <s v="Electric Generators, Independent Power Producers"/>
    <x v="1"/>
    <n v="4158599.96"/>
  </r>
  <r>
    <x v="21"/>
    <x v="2"/>
    <s v="Electric Generators, Independent Power Producers"/>
    <x v="2"/>
    <n v="39111"/>
  </r>
  <r>
    <x v="21"/>
    <x v="2"/>
    <s v="Electric Generators, Independent Power Producers"/>
    <x v="3"/>
    <n v="8929139"/>
  </r>
  <r>
    <x v="21"/>
    <x v="2"/>
    <s v="Electric Generators, Independent Power Producers"/>
    <x v="8"/>
    <n v="57032"/>
  </r>
  <r>
    <x v="21"/>
    <x v="2"/>
    <s v="Electric Generators, Independent Power Producers"/>
    <x v="4"/>
    <n v="21044.04"/>
  </r>
  <r>
    <x v="21"/>
    <x v="2"/>
    <s v="Electric Generators, Electric Utilities"/>
    <x v="0"/>
    <n v="44714614"/>
  </r>
  <r>
    <x v="21"/>
    <x v="2"/>
    <s v="Electric Generators, Electric Utilities"/>
    <x v="1"/>
    <n v="25158423.789999999"/>
  </r>
  <r>
    <x v="21"/>
    <x v="2"/>
    <s v="Electric Generators, Electric Utilities"/>
    <x v="2"/>
    <n v="2918734"/>
  </r>
  <r>
    <x v="21"/>
    <x v="2"/>
    <s v="Electric Generators, Electric Utilities"/>
    <x v="3"/>
    <n v="2376210.09"/>
  </r>
  <r>
    <x v="21"/>
    <x v="2"/>
    <s v="Electric Generators, Electric Utilities"/>
    <x v="7"/>
    <n v="14194445"/>
  </r>
  <r>
    <x v="21"/>
    <x v="2"/>
    <s v="Electric Generators, Electric Utilities"/>
    <x v="4"/>
    <n v="32370.12"/>
  </r>
  <r>
    <x v="21"/>
    <x v="2"/>
    <s v="Electric Generators, Electric Utilities"/>
    <x v="10"/>
    <n v="34431"/>
  </r>
  <r>
    <x v="21"/>
    <x v="2"/>
    <s v="Combined Heat and Power, Industrial Power"/>
    <x v="0"/>
    <n v="1930278.21"/>
  </r>
  <r>
    <x v="21"/>
    <x v="2"/>
    <s v="Combined Heat and Power, Industrial Power"/>
    <x v="1"/>
    <n v="101171.71"/>
  </r>
  <r>
    <x v="21"/>
    <x v="2"/>
    <s v="Combined Heat and Power, Industrial Power"/>
    <x v="3"/>
    <n v="207591.31"/>
  </r>
  <r>
    <x v="21"/>
    <x v="2"/>
    <s v="Combined Heat and Power, Industrial Power"/>
    <x v="12"/>
    <n v="32417.69"/>
  </r>
  <r>
    <x v="21"/>
    <x v="2"/>
    <s v="Combined Heat and Power, Industrial Power"/>
    <x v="8"/>
    <n v="0"/>
  </r>
  <r>
    <x v="21"/>
    <x v="2"/>
    <s v="Combined Heat and Power, Industrial Power"/>
    <x v="4"/>
    <n v="2460.06"/>
  </r>
  <r>
    <x v="21"/>
    <x v="2"/>
    <s v="Combined Heat and Power, Industrial Power"/>
    <x v="6"/>
    <n v="1586637.44"/>
  </r>
  <r>
    <x v="21"/>
    <x v="2"/>
    <s v="Combined Heat and Power, Electric Power"/>
    <x v="0"/>
    <n v="1452214"/>
  </r>
  <r>
    <x v="21"/>
    <x v="2"/>
    <s v="Combined Heat and Power, Electric Power"/>
    <x v="3"/>
    <n v="1433349"/>
  </r>
  <r>
    <x v="21"/>
    <x v="2"/>
    <s v="Combined Heat and Power, Electric Power"/>
    <x v="8"/>
    <n v="18865"/>
  </r>
  <r>
    <x v="21"/>
    <x v="2"/>
    <s v="Combined Heat and Power, Commercial Power"/>
    <x v="0"/>
    <n v="5503.68"/>
  </r>
  <r>
    <x v="21"/>
    <x v="2"/>
    <s v="Combined Heat and Power, Commercial Power"/>
    <x v="3"/>
    <n v="392.44"/>
  </r>
  <r>
    <x v="21"/>
    <x v="2"/>
    <s v="Combined Heat and Power, Commercial Power"/>
    <x v="8"/>
    <n v="5111.24"/>
  </r>
  <r>
    <x v="21"/>
    <x v="3"/>
    <s v="Total Electric Power Industry"/>
    <x v="0"/>
    <n v="108125356.89"/>
  </r>
  <r>
    <x v="21"/>
    <x v="3"/>
    <s v="Total Electric Power Industry"/>
    <x v="1"/>
    <n v="43702296.689999998"/>
  </r>
  <r>
    <x v="21"/>
    <x v="3"/>
    <s v="Total Electric Power Industry"/>
    <x v="2"/>
    <n v="9174092"/>
  </r>
  <r>
    <x v="21"/>
    <x v="3"/>
    <s v="Total Electric Power Industry"/>
    <x v="3"/>
    <n v="23252699.579999998"/>
  </r>
  <r>
    <x v="21"/>
    <x v="3"/>
    <s v="Total Electric Power Industry"/>
    <x v="7"/>
    <n v="31277863"/>
  </r>
  <r>
    <x v="21"/>
    <x v="3"/>
    <s v="Total Electric Power Industry"/>
    <x v="12"/>
    <n v="14754.49"/>
  </r>
  <r>
    <x v="21"/>
    <x v="3"/>
    <s v="Total Electric Power Industry"/>
    <x v="8"/>
    <n v="46833.58"/>
  </r>
  <r>
    <x v="21"/>
    <x v="3"/>
    <s v="Total Electric Power Industry"/>
    <x v="4"/>
    <n v="53245.27"/>
  </r>
  <r>
    <x v="21"/>
    <x v="3"/>
    <s v="Total Electric Power Industry"/>
    <x v="10"/>
    <n v="121019"/>
  </r>
  <r>
    <x v="21"/>
    <x v="3"/>
    <s v="Total Electric Power Industry"/>
    <x v="13"/>
    <n v="83348.78"/>
  </r>
  <r>
    <x v="21"/>
    <x v="3"/>
    <s v="Total Electric Power Industry"/>
    <x v="5"/>
    <n v="255579"/>
  </r>
  <r>
    <x v="21"/>
    <x v="3"/>
    <s v="Total Electric Power Industry"/>
    <x v="6"/>
    <n v="143625.5"/>
  </r>
  <r>
    <x v="21"/>
    <x v="3"/>
    <s v="Electric Generators, Independent Power Producers"/>
    <x v="0"/>
    <n v="13616317.039999999"/>
  </r>
  <r>
    <x v="21"/>
    <x v="3"/>
    <s v="Electric Generators, Independent Power Producers"/>
    <x v="3"/>
    <n v="13144259.27"/>
  </r>
  <r>
    <x v="21"/>
    <x v="3"/>
    <s v="Electric Generators, Independent Power Producers"/>
    <x v="12"/>
    <n v="14754.49"/>
  </r>
  <r>
    <x v="21"/>
    <x v="3"/>
    <s v="Electric Generators, Independent Power Producers"/>
    <x v="8"/>
    <n v="17861"/>
  </r>
  <r>
    <x v="21"/>
    <x v="3"/>
    <s v="Electric Generators, Independent Power Producers"/>
    <x v="13"/>
    <n v="40237.78"/>
  </r>
  <r>
    <x v="21"/>
    <x v="3"/>
    <s v="Electric Generators, Independent Power Producers"/>
    <x v="5"/>
    <n v="255579"/>
  </r>
  <r>
    <x v="21"/>
    <x v="3"/>
    <s v="Electric Generators, Independent Power Producers"/>
    <x v="6"/>
    <n v="143625.5"/>
  </r>
  <r>
    <x v="21"/>
    <x v="3"/>
    <s v="Electric Generators, Electric Utilities"/>
    <x v="0"/>
    <n v="94061752"/>
  </r>
  <r>
    <x v="21"/>
    <x v="3"/>
    <s v="Electric Generators, Electric Utilities"/>
    <x v="1"/>
    <n v="43411764.869999997"/>
  </r>
  <r>
    <x v="21"/>
    <x v="3"/>
    <s v="Electric Generators, Electric Utilities"/>
    <x v="2"/>
    <n v="9174092"/>
  </r>
  <r>
    <x v="21"/>
    <x v="3"/>
    <s v="Electric Generators, Electric Utilities"/>
    <x v="3"/>
    <n v="9960238.0600000005"/>
  </r>
  <r>
    <x v="21"/>
    <x v="3"/>
    <s v="Electric Generators, Electric Utilities"/>
    <x v="7"/>
    <n v="31277863"/>
  </r>
  <r>
    <x v="21"/>
    <x v="3"/>
    <s v="Electric Generators, Electric Utilities"/>
    <x v="8"/>
    <n v="24203"/>
  </r>
  <r>
    <x v="21"/>
    <x v="3"/>
    <s v="Electric Generators, Electric Utilities"/>
    <x v="4"/>
    <n v="51525.07"/>
  </r>
  <r>
    <x v="21"/>
    <x v="3"/>
    <s v="Electric Generators, Electric Utilities"/>
    <x v="10"/>
    <n v="121019"/>
  </r>
  <r>
    <x v="21"/>
    <x v="3"/>
    <s v="Electric Generators, Electric Utilities"/>
    <x v="13"/>
    <n v="41047"/>
  </r>
  <r>
    <x v="21"/>
    <x v="3"/>
    <s v="Combined Heat and Power, Industrial Power"/>
    <x v="0"/>
    <n v="296156.51"/>
  </r>
  <r>
    <x v="21"/>
    <x v="3"/>
    <s v="Combined Heat and Power, Industrial Power"/>
    <x v="1"/>
    <n v="290531.82"/>
  </r>
  <r>
    <x v="21"/>
    <x v="3"/>
    <s v="Combined Heat and Power, Industrial Power"/>
    <x v="3"/>
    <n v="3974.68"/>
  </r>
  <r>
    <x v="21"/>
    <x v="3"/>
    <s v="Combined Heat and Power, Industrial Power"/>
    <x v="4"/>
    <n v="1650.02"/>
  </r>
  <r>
    <x v="21"/>
    <x v="3"/>
    <s v="Combined Heat and Power, Electric Power"/>
    <x v="0"/>
    <n v="82838"/>
  </r>
  <r>
    <x v="21"/>
    <x v="3"/>
    <s v="Combined Heat and Power, Electric Power"/>
    <x v="3"/>
    <n v="82838"/>
  </r>
  <r>
    <x v="21"/>
    <x v="3"/>
    <s v="Combined Heat and Power, Commercial Power"/>
    <x v="0"/>
    <n v="68293.34"/>
  </r>
  <r>
    <x v="21"/>
    <x v="3"/>
    <s v="Combined Heat and Power, Commercial Power"/>
    <x v="3"/>
    <n v="61389.58"/>
  </r>
  <r>
    <x v="21"/>
    <x v="3"/>
    <s v="Combined Heat and Power, Commercial Power"/>
    <x v="8"/>
    <n v="4769.58"/>
  </r>
  <r>
    <x v="21"/>
    <x v="3"/>
    <s v="Combined Heat and Power, Commercial Power"/>
    <x v="4"/>
    <n v="70.180000000000007"/>
  </r>
  <r>
    <x v="21"/>
    <x v="3"/>
    <s v="Combined Heat and Power, Commercial Power"/>
    <x v="13"/>
    <n v="2064"/>
  </r>
  <r>
    <x v="21"/>
    <x v="4"/>
    <s v="Total Electric Power Industry"/>
    <x v="0"/>
    <n v="200804842.47999999"/>
  </r>
  <r>
    <x v="21"/>
    <x v="4"/>
    <s v="Total Electric Power Industry"/>
    <x v="1"/>
    <n v="1982182.39"/>
  </r>
  <r>
    <x v="21"/>
    <x v="4"/>
    <s v="Total Electric Power Industry"/>
    <x v="11"/>
    <n v="12552383"/>
  </r>
  <r>
    <x v="21"/>
    <x v="4"/>
    <s v="Total Electric Power Industry"/>
    <x v="2"/>
    <n v="42557466.880000003"/>
  </r>
  <r>
    <x v="21"/>
    <x v="4"/>
    <s v="Total Electric Power Industry"/>
    <x v="3"/>
    <n v="88973830.730000004"/>
  </r>
  <r>
    <x v="21"/>
    <x v="4"/>
    <s v="Total Electric Power Industry"/>
    <x v="7"/>
    <n v="36663247"/>
  </r>
  <r>
    <x v="21"/>
    <x v="4"/>
    <s v="Total Electric Power Industry"/>
    <x v="12"/>
    <n v="916924.1"/>
  </r>
  <r>
    <x v="21"/>
    <x v="4"/>
    <s v="Total Electric Power Industry"/>
    <x v="8"/>
    <n v="2584692.84"/>
  </r>
  <r>
    <x v="21"/>
    <x v="4"/>
    <s v="Total Electric Power Industry"/>
    <x v="9"/>
    <n v="1666987.37"/>
  </r>
  <r>
    <x v="21"/>
    <x v="4"/>
    <s v="Total Electric Power Industry"/>
    <x v="4"/>
    <n v="910571.56"/>
  </r>
  <r>
    <x v="21"/>
    <x v="4"/>
    <s v="Total Electric Power Industry"/>
    <x v="10"/>
    <n v="-88793"/>
  </r>
  <r>
    <x v="21"/>
    <x v="4"/>
    <s v="Total Electric Power Industry"/>
    <x v="13"/>
    <n v="888829.4"/>
  </r>
  <r>
    <x v="21"/>
    <x v="4"/>
    <s v="Total Electric Power Industry"/>
    <x v="5"/>
    <n v="7751837"/>
  </r>
  <r>
    <x v="21"/>
    <x v="4"/>
    <s v="Total Electric Power Industry"/>
    <x v="6"/>
    <n v="3444683.22"/>
  </r>
  <r>
    <x v="21"/>
    <x v="4"/>
    <s v="Electric Generators, Independent Power Producers"/>
    <x v="0"/>
    <n v="58255052.280000001"/>
  </r>
  <r>
    <x v="21"/>
    <x v="4"/>
    <s v="Electric Generators, Independent Power Producers"/>
    <x v="1"/>
    <n v="0"/>
  </r>
  <r>
    <x v="21"/>
    <x v="4"/>
    <s v="Electric Generators, Independent Power Producers"/>
    <x v="11"/>
    <n v="11693924"/>
  </r>
  <r>
    <x v="21"/>
    <x v="4"/>
    <s v="Electric Generators, Independent Power Producers"/>
    <x v="2"/>
    <n v="2395637.16"/>
  </r>
  <r>
    <x v="21"/>
    <x v="4"/>
    <s v="Electric Generators, Independent Power Producers"/>
    <x v="3"/>
    <n v="31551945.390000001"/>
  </r>
  <r>
    <x v="21"/>
    <x v="4"/>
    <s v="Electric Generators, Independent Power Producers"/>
    <x v="12"/>
    <n v="96445.87"/>
  </r>
  <r>
    <x v="21"/>
    <x v="4"/>
    <s v="Electric Generators, Independent Power Producers"/>
    <x v="8"/>
    <n v="1101446.27"/>
  </r>
  <r>
    <x v="21"/>
    <x v="4"/>
    <s v="Electric Generators, Independent Power Producers"/>
    <x v="4"/>
    <n v="806541.08"/>
  </r>
  <r>
    <x v="21"/>
    <x v="4"/>
    <s v="Electric Generators, Independent Power Producers"/>
    <x v="13"/>
    <n v="814010.12"/>
  </r>
  <r>
    <x v="21"/>
    <x v="4"/>
    <s v="Electric Generators, Independent Power Producers"/>
    <x v="5"/>
    <n v="7244650"/>
  </r>
  <r>
    <x v="21"/>
    <x v="4"/>
    <s v="Electric Generators, Independent Power Producers"/>
    <x v="6"/>
    <n v="2550452.4"/>
  </r>
  <r>
    <x v="21"/>
    <x v="4"/>
    <s v="Electric Generators, Electric Utilities"/>
    <x v="0"/>
    <n v="105360204.40000001"/>
  </r>
  <r>
    <x v="21"/>
    <x v="4"/>
    <s v="Electric Generators, Electric Utilities"/>
    <x v="11"/>
    <n v="858459"/>
  </r>
  <r>
    <x v="21"/>
    <x v="4"/>
    <s v="Electric Generators, Electric Utilities"/>
    <x v="2"/>
    <n v="40157205"/>
  </r>
  <r>
    <x v="21"/>
    <x v="4"/>
    <s v="Electric Generators, Electric Utilities"/>
    <x v="3"/>
    <n v="26904853.390000001"/>
  </r>
  <r>
    <x v="21"/>
    <x v="4"/>
    <s v="Electric Generators, Electric Utilities"/>
    <x v="7"/>
    <n v="36663247"/>
  </r>
  <r>
    <x v="21"/>
    <x v="4"/>
    <s v="Electric Generators, Electric Utilities"/>
    <x v="8"/>
    <n v="246087.69"/>
  </r>
  <r>
    <x v="21"/>
    <x v="4"/>
    <s v="Electric Generators, Electric Utilities"/>
    <x v="9"/>
    <n v="28505.1"/>
  </r>
  <r>
    <x v="21"/>
    <x v="4"/>
    <s v="Electric Generators, Electric Utilities"/>
    <x v="4"/>
    <n v="36782.22"/>
  </r>
  <r>
    <x v="21"/>
    <x v="4"/>
    <s v="Electric Generators, Electric Utilities"/>
    <x v="10"/>
    <n v="-88793"/>
  </r>
  <r>
    <x v="21"/>
    <x v="4"/>
    <s v="Electric Generators, Electric Utilities"/>
    <x v="13"/>
    <n v="46671"/>
  </r>
  <r>
    <x v="21"/>
    <x v="4"/>
    <s v="Electric Generators, Electric Utilities"/>
    <x v="5"/>
    <n v="507187"/>
  </r>
  <r>
    <x v="21"/>
    <x v="4"/>
    <s v="Combined Heat and Power, Industrial Power"/>
    <x v="0"/>
    <n v="15652598.34"/>
  </r>
  <r>
    <x v="21"/>
    <x v="4"/>
    <s v="Combined Heat and Power, Industrial Power"/>
    <x v="1"/>
    <n v="373911.69"/>
  </r>
  <r>
    <x v="21"/>
    <x v="4"/>
    <s v="Combined Heat and Power, Industrial Power"/>
    <x v="3"/>
    <n v="12264458.92"/>
  </r>
  <r>
    <x v="21"/>
    <x v="4"/>
    <s v="Combined Heat and Power, Industrial Power"/>
    <x v="12"/>
    <n v="697775.92"/>
  </r>
  <r>
    <x v="21"/>
    <x v="4"/>
    <s v="Combined Heat and Power, Industrial Power"/>
    <x v="8"/>
    <n v="0"/>
  </r>
  <r>
    <x v="21"/>
    <x v="4"/>
    <s v="Combined Heat and Power, Industrial Power"/>
    <x v="9"/>
    <n v="1638482.27"/>
  </r>
  <r>
    <x v="21"/>
    <x v="4"/>
    <s v="Combined Heat and Power, Industrial Power"/>
    <x v="4"/>
    <n v="2616.41"/>
  </r>
  <r>
    <x v="21"/>
    <x v="4"/>
    <s v="Combined Heat and Power, Industrial Power"/>
    <x v="6"/>
    <n v="675353.12"/>
  </r>
  <r>
    <x v="21"/>
    <x v="4"/>
    <s v="Combined Heat and Power, Electric Power"/>
    <x v="0"/>
    <n v="18656710.34"/>
  </r>
  <r>
    <x v="21"/>
    <x v="4"/>
    <s v="Combined Heat and Power, Electric Power"/>
    <x v="1"/>
    <n v="1608270.7"/>
  </r>
  <r>
    <x v="21"/>
    <x v="4"/>
    <s v="Combined Heat and Power, Electric Power"/>
    <x v="3"/>
    <n v="16408174.66"/>
  </r>
  <r>
    <x v="21"/>
    <x v="4"/>
    <s v="Combined Heat and Power, Electric Power"/>
    <x v="12"/>
    <n v="122699.89"/>
  </r>
  <r>
    <x v="21"/>
    <x v="4"/>
    <s v="Combined Heat and Power, Electric Power"/>
    <x v="8"/>
    <n v="234582.96"/>
  </r>
  <r>
    <x v="21"/>
    <x v="4"/>
    <s v="Combined Heat and Power, Electric Power"/>
    <x v="4"/>
    <n v="64104.44"/>
  </r>
  <r>
    <x v="21"/>
    <x v="4"/>
    <s v="Combined Heat and Power, Electric Power"/>
    <x v="6"/>
    <n v="218877.7"/>
  </r>
  <r>
    <x v="21"/>
    <x v="4"/>
    <s v="Combined Heat and Power, Commercial Power"/>
    <x v="0"/>
    <n v="2880277.12"/>
  </r>
  <r>
    <x v="21"/>
    <x v="4"/>
    <s v="Combined Heat and Power, Commercial Power"/>
    <x v="2"/>
    <n v="4624.72"/>
  </r>
  <r>
    <x v="21"/>
    <x v="4"/>
    <s v="Combined Heat and Power, Commercial Power"/>
    <x v="3"/>
    <n v="1844398.38"/>
  </r>
  <r>
    <x v="21"/>
    <x v="4"/>
    <s v="Combined Heat and Power, Commercial Power"/>
    <x v="12"/>
    <n v="2.41"/>
  </r>
  <r>
    <x v="21"/>
    <x v="4"/>
    <s v="Combined Heat and Power, Commercial Power"/>
    <x v="8"/>
    <n v="1002575.92"/>
  </r>
  <r>
    <x v="21"/>
    <x v="4"/>
    <s v="Combined Heat and Power, Commercial Power"/>
    <x v="9"/>
    <n v="0"/>
  </r>
  <r>
    <x v="21"/>
    <x v="4"/>
    <s v="Combined Heat and Power, Commercial Power"/>
    <x v="4"/>
    <n v="527.41"/>
  </r>
  <r>
    <x v="21"/>
    <x v="4"/>
    <s v="Combined Heat and Power, Commercial Power"/>
    <x v="13"/>
    <n v="28148.28"/>
  </r>
  <r>
    <x v="21"/>
    <x v="5"/>
    <s v="Total Electric Power Industry"/>
    <x v="0"/>
    <n v="51432554.289999999"/>
  </r>
  <r>
    <x v="21"/>
    <x v="5"/>
    <s v="Total Electric Power Industry"/>
    <x v="1"/>
    <n v="33954686.579999998"/>
  </r>
  <r>
    <x v="21"/>
    <x v="5"/>
    <s v="Total Electric Power Industry"/>
    <x v="2"/>
    <n v="2082621.4"/>
  </r>
  <r>
    <x v="21"/>
    <x v="5"/>
    <s v="Total Electric Power Industry"/>
    <x v="3"/>
    <n v="10186303.26"/>
  </r>
  <r>
    <x v="21"/>
    <x v="5"/>
    <s v="Total Electric Power Industry"/>
    <x v="12"/>
    <n v="63454"/>
  </r>
  <r>
    <x v="21"/>
    <x v="5"/>
    <s v="Total Electric Power Industry"/>
    <x v="8"/>
    <n v="61520.07"/>
  </r>
  <r>
    <x v="21"/>
    <x v="5"/>
    <s v="Total Electric Power Industry"/>
    <x v="4"/>
    <n v="22218.41"/>
  </r>
  <r>
    <x v="21"/>
    <x v="5"/>
    <s v="Total Electric Power Industry"/>
    <x v="10"/>
    <n v="-243379"/>
  </r>
  <r>
    <x v="21"/>
    <x v="5"/>
    <s v="Total Electric Power Industry"/>
    <x v="13"/>
    <n v="104635.61"/>
  </r>
  <r>
    <x v="21"/>
    <x v="5"/>
    <s v="Total Electric Power Industry"/>
    <x v="5"/>
    <n v="5200321.83"/>
  </r>
  <r>
    <x v="21"/>
    <x v="5"/>
    <s v="Total Electric Power Industry"/>
    <x v="6"/>
    <n v="172.13"/>
  </r>
  <r>
    <x v="21"/>
    <x v="5"/>
    <s v="Electric Generators, Independent Power Producers"/>
    <x v="0"/>
    <n v="6880811.6600000001"/>
  </r>
  <r>
    <x v="21"/>
    <x v="5"/>
    <s v="Electric Generators, Independent Power Producers"/>
    <x v="2"/>
    <n v="167194.4"/>
  </r>
  <r>
    <x v="21"/>
    <x v="5"/>
    <s v="Electric Generators, Independent Power Producers"/>
    <x v="3"/>
    <n v="1464687"/>
  </r>
  <r>
    <x v="21"/>
    <x v="5"/>
    <s v="Electric Generators, Independent Power Producers"/>
    <x v="12"/>
    <n v="15068"/>
  </r>
  <r>
    <x v="21"/>
    <x v="5"/>
    <s v="Electric Generators, Independent Power Producers"/>
    <x v="8"/>
    <n v="22515"/>
  </r>
  <r>
    <x v="21"/>
    <x v="5"/>
    <s v="Electric Generators, Independent Power Producers"/>
    <x v="4"/>
    <n v="0"/>
  </r>
  <r>
    <x v="21"/>
    <x v="5"/>
    <s v="Electric Generators, Independent Power Producers"/>
    <x v="13"/>
    <n v="92263.67"/>
  </r>
  <r>
    <x v="21"/>
    <x v="5"/>
    <s v="Electric Generators, Independent Power Producers"/>
    <x v="5"/>
    <n v="5119083.59"/>
  </r>
  <r>
    <x v="21"/>
    <x v="5"/>
    <s v="Electric Generators, Electric Utilities"/>
    <x v="0"/>
    <n v="44122878"/>
  </r>
  <r>
    <x v="21"/>
    <x v="5"/>
    <s v="Electric Generators, Electric Utilities"/>
    <x v="1"/>
    <n v="33791696.490000002"/>
  </r>
  <r>
    <x v="21"/>
    <x v="5"/>
    <s v="Electric Generators, Electric Utilities"/>
    <x v="2"/>
    <n v="1915427"/>
  </r>
  <r>
    <x v="21"/>
    <x v="5"/>
    <s v="Electric Generators, Electric Utilities"/>
    <x v="3"/>
    <n v="8564023.6899999995"/>
  </r>
  <r>
    <x v="21"/>
    <x v="5"/>
    <s v="Electric Generators, Electric Utilities"/>
    <x v="4"/>
    <n v="22187.69"/>
  </r>
  <r>
    <x v="21"/>
    <x v="5"/>
    <s v="Electric Generators, Electric Utilities"/>
    <x v="10"/>
    <n v="-243379"/>
  </r>
  <r>
    <x v="21"/>
    <x v="5"/>
    <s v="Electric Generators, Electric Utilities"/>
    <x v="5"/>
    <n v="72750"/>
  </r>
  <r>
    <x v="21"/>
    <x v="5"/>
    <s v="Electric Generators, Electric Utilities"/>
    <x v="6"/>
    <n v="172.13"/>
  </r>
  <r>
    <x v="21"/>
    <x v="5"/>
    <s v="Combined Heat and Power, Industrial Power"/>
    <x v="0"/>
    <n v="63552.24"/>
  </r>
  <r>
    <x v="21"/>
    <x v="5"/>
    <s v="Combined Heat and Power, Industrial Power"/>
    <x v="3"/>
    <n v="12212"/>
  </r>
  <r>
    <x v="21"/>
    <x v="5"/>
    <s v="Combined Heat and Power, Industrial Power"/>
    <x v="12"/>
    <n v="48386"/>
  </r>
  <r>
    <x v="21"/>
    <x v="5"/>
    <s v="Combined Heat and Power, Industrial Power"/>
    <x v="4"/>
    <n v="8"/>
  </r>
  <r>
    <x v="21"/>
    <x v="5"/>
    <s v="Combined Heat and Power, Industrial Power"/>
    <x v="5"/>
    <n v="2946.24"/>
  </r>
  <r>
    <x v="21"/>
    <x v="5"/>
    <s v="Combined Heat and Power, Electric Power"/>
    <x v="0"/>
    <n v="343367.83"/>
  </r>
  <r>
    <x v="21"/>
    <x v="5"/>
    <s v="Combined Heat and Power, Electric Power"/>
    <x v="1"/>
    <n v="162990.09"/>
  </r>
  <r>
    <x v="21"/>
    <x v="5"/>
    <s v="Combined Heat and Power, Electric Power"/>
    <x v="3"/>
    <n v="141372.68"/>
  </r>
  <r>
    <x v="21"/>
    <x v="5"/>
    <s v="Combined Heat and Power, Electric Power"/>
    <x v="8"/>
    <n v="39005.07"/>
  </r>
  <r>
    <x v="21"/>
    <x v="5"/>
    <s v="Combined Heat and Power, Electric Power"/>
    <x v="4"/>
    <n v="0"/>
  </r>
  <r>
    <x v="21"/>
    <x v="5"/>
    <s v="Combined Heat and Power, Commercial Power"/>
    <x v="0"/>
    <n v="21944.55"/>
  </r>
  <r>
    <x v="21"/>
    <x v="5"/>
    <s v="Combined Heat and Power, Commercial Power"/>
    <x v="3"/>
    <n v="4007.89"/>
  </r>
  <r>
    <x v="21"/>
    <x v="5"/>
    <s v="Combined Heat and Power, Commercial Power"/>
    <x v="4"/>
    <n v="22.72"/>
  </r>
  <r>
    <x v="21"/>
    <x v="5"/>
    <s v="Combined Heat and Power, Commercial Power"/>
    <x v="13"/>
    <n v="12371.94"/>
  </r>
  <r>
    <x v="21"/>
    <x v="5"/>
    <s v="Combined Heat and Power, Commercial Power"/>
    <x v="5"/>
    <n v="5542"/>
  </r>
  <r>
    <x v="21"/>
    <x v="6"/>
    <s v="Total Electric Power Industry"/>
    <x v="0"/>
    <n v="33745220.609999999"/>
  </r>
  <r>
    <x v="21"/>
    <x v="6"/>
    <s v="Total Electric Power Industry"/>
    <x v="1"/>
    <n v="525806.54"/>
  </r>
  <r>
    <x v="21"/>
    <x v="6"/>
    <s v="Total Electric Power Industry"/>
    <x v="2"/>
    <n v="567442"/>
  </r>
  <r>
    <x v="21"/>
    <x v="6"/>
    <s v="Total Electric Power Industry"/>
    <x v="3"/>
    <n v="15188145.26"/>
  </r>
  <r>
    <x v="21"/>
    <x v="6"/>
    <s v="Total Electric Power Industry"/>
    <x v="7"/>
    <n v="15927837"/>
  </r>
  <r>
    <x v="21"/>
    <x v="6"/>
    <s v="Total Electric Power Industry"/>
    <x v="12"/>
    <n v="704867.15"/>
  </r>
  <r>
    <x v="21"/>
    <x v="6"/>
    <s v="Total Electric Power Industry"/>
    <x v="8"/>
    <n v="658872.96"/>
  </r>
  <r>
    <x v="21"/>
    <x v="6"/>
    <s v="Total Electric Power Industry"/>
    <x v="4"/>
    <n v="165810.01"/>
  </r>
  <r>
    <x v="21"/>
    <x v="6"/>
    <s v="Total Electric Power Industry"/>
    <x v="10"/>
    <n v="5604"/>
  </r>
  <r>
    <x v="21"/>
    <x v="6"/>
    <s v="Total Electric Power Industry"/>
    <x v="6"/>
    <n v="835.68"/>
  </r>
  <r>
    <x v="21"/>
    <x v="6"/>
    <s v="Electric Generators, Independent Power Producers"/>
    <x v="0"/>
    <n v="32801371"/>
  </r>
  <r>
    <x v="21"/>
    <x v="6"/>
    <s v="Electric Generators, Independent Power Producers"/>
    <x v="1"/>
    <n v="477779.38"/>
  </r>
  <r>
    <x v="21"/>
    <x v="6"/>
    <s v="Electric Generators, Independent Power Producers"/>
    <x v="2"/>
    <n v="514189"/>
  </r>
  <r>
    <x v="21"/>
    <x v="6"/>
    <s v="Electric Generators, Independent Power Producers"/>
    <x v="3"/>
    <n v="14359426.4"/>
  </r>
  <r>
    <x v="21"/>
    <x v="6"/>
    <s v="Electric Generators, Independent Power Producers"/>
    <x v="7"/>
    <n v="15927837"/>
  </r>
  <r>
    <x v="21"/>
    <x v="6"/>
    <s v="Electric Generators, Independent Power Producers"/>
    <x v="12"/>
    <n v="703917.15"/>
  </r>
  <r>
    <x v="21"/>
    <x v="6"/>
    <s v="Electric Generators, Independent Power Producers"/>
    <x v="8"/>
    <n v="658872.96"/>
  </r>
  <r>
    <x v="21"/>
    <x v="6"/>
    <s v="Electric Generators, Independent Power Producers"/>
    <x v="4"/>
    <n v="152909.43"/>
  </r>
  <r>
    <x v="21"/>
    <x v="6"/>
    <s v="Electric Generators, Independent Power Producers"/>
    <x v="10"/>
    <n v="5604"/>
  </r>
  <r>
    <x v="21"/>
    <x v="6"/>
    <s v="Electric Generators, Independent Power Producers"/>
    <x v="6"/>
    <n v="835.68"/>
  </r>
  <r>
    <x v="21"/>
    <x v="6"/>
    <s v="Electric Generators, Electric Utilities"/>
    <x v="0"/>
    <n v="92735.46"/>
  </r>
  <r>
    <x v="21"/>
    <x v="6"/>
    <s v="Electric Generators, Electric Utilities"/>
    <x v="2"/>
    <n v="53253"/>
  </r>
  <r>
    <x v="21"/>
    <x v="6"/>
    <s v="Electric Generators, Electric Utilities"/>
    <x v="3"/>
    <n v="34134.910000000003"/>
  </r>
  <r>
    <x v="21"/>
    <x v="6"/>
    <s v="Electric Generators, Electric Utilities"/>
    <x v="4"/>
    <n v="5347.55"/>
  </r>
  <r>
    <x v="21"/>
    <x v="6"/>
    <s v="Combined Heat and Power, Industrial Power"/>
    <x v="0"/>
    <n v="233206"/>
  </r>
  <r>
    <x v="21"/>
    <x v="6"/>
    <s v="Combined Heat and Power, Industrial Power"/>
    <x v="3"/>
    <n v="227254.89"/>
  </r>
  <r>
    <x v="21"/>
    <x v="6"/>
    <s v="Combined Heat and Power, Industrial Power"/>
    <x v="12"/>
    <n v="950"/>
  </r>
  <r>
    <x v="21"/>
    <x v="6"/>
    <s v="Combined Heat and Power, Industrial Power"/>
    <x v="4"/>
    <n v="5001.1099999999997"/>
  </r>
  <r>
    <x v="21"/>
    <x v="6"/>
    <s v="Combined Heat and Power, Electric Power"/>
    <x v="0"/>
    <n v="406618.41"/>
  </r>
  <r>
    <x v="21"/>
    <x v="6"/>
    <s v="Combined Heat and Power, Electric Power"/>
    <x v="1"/>
    <n v="48027.16"/>
  </r>
  <r>
    <x v="21"/>
    <x v="6"/>
    <s v="Combined Heat and Power, Electric Power"/>
    <x v="3"/>
    <n v="356039.33"/>
  </r>
  <r>
    <x v="21"/>
    <x v="6"/>
    <s v="Combined Heat and Power, Electric Power"/>
    <x v="4"/>
    <n v="2551.92"/>
  </r>
  <r>
    <x v="21"/>
    <x v="6"/>
    <s v="Combined Heat and Power, Commercial Power"/>
    <x v="0"/>
    <n v="211289.73"/>
  </r>
  <r>
    <x v="21"/>
    <x v="6"/>
    <s v="Combined Heat and Power, Commercial Power"/>
    <x v="3"/>
    <n v="211289.73"/>
  </r>
  <r>
    <x v="21"/>
    <x v="6"/>
    <s v="Combined Heat and Power, Commercial Power"/>
    <x v="4"/>
    <n v="0"/>
  </r>
  <r>
    <x v="21"/>
    <x v="7"/>
    <s v="Total Electric Power Industry"/>
    <x v="0"/>
    <n v="200873.96"/>
  </r>
  <r>
    <x v="21"/>
    <x v="7"/>
    <s v="Total Electric Power Industry"/>
    <x v="3"/>
    <n v="71198.960000000006"/>
  </r>
  <r>
    <x v="21"/>
    <x v="7"/>
    <s v="Total Electric Power Industry"/>
    <x v="4"/>
    <n v="129675"/>
  </r>
  <r>
    <x v="21"/>
    <x v="7"/>
    <s v="Electric Generators, Independent Power Producers"/>
    <x v="0"/>
    <n v="129675"/>
  </r>
  <r>
    <x v="21"/>
    <x v="7"/>
    <s v="Electric Generators, Independent Power Producers"/>
    <x v="4"/>
    <n v="129675"/>
  </r>
  <r>
    <x v="21"/>
    <x v="7"/>
    <s v="Electric Generators, Electric Utilities"/>
    <x v="0"/>
    <n v="71198.960000000006"/>
  </r>
  <r>
    <x v="21"/>
    <x v="7"/>
    <s v="Electric Generators, Electric Utilities"/>
    <x v="3"/>
    <n v="71198.960000000006"/>
  </r>
  <r>
    <x v="21"/>
    <x v="7"/>
    <s v="Electric Generators, Electric Utilities"/>
    <x v="4"/>
    <n v="0"/>
  </r>
  <r>
    <x v="21"/>
    <x v="8"/>
    <s v="Total Electric Power Industry"/>
    <x v="0"/>
    <n v="6590194.7999999998"/>
  </r>
  <r>
    <x v="21"/>
    <x v="8"/>
    <s v="Total Electric Power Industry"/>
    <x v="1"/>
    <n v="1454995.88"/>
  </r>
  <r>
    <x v="21"/>
    <x v="8"/>
    <s v="Total Electric Power Industry"/>
    <x v="3"/>
    <n v="4731368.99"/>
  </r>
  <r>
    <x v="21"/>
    <x v="8"/>
    <s v="Total Electric Power Industry"/>
    <x v="12"/>
    <n v="0"/>
  </r>
  <r>
    <x v="21"/>
    <x v="8"/>
    <s v="Total Electric Power Industry"/>
    <x v="8"/>
    <n v="144731.67000000001"/>
  </r>
  <r>
    <x v="21"/>
    <x v="8"/>
    <s v="Total Electric Power Industry"/>
    <x v="9"/>
    <n v="208254"/>
  </r>
  <r>
    <x v="21"/>
    <x v="8"/>
    <s v="Total Electric Power Industry"/>
    <x v="4"/>
    <n v="37739.46"/>
  </r>
  <r>
    <x v="21"/>
    <x v="8"/>
    <s v="Total Electric Power Industry"/>
    <x v="13"/>
    <n v="8279.7999999999993"/>
  </r>
  <r>
    <x v="21"/>
    <x v="8"/>
    <s v="Total Electric Power Industry"/>
    <x v="5"/>
    <n v="4825"/>
  </r>
  <r>
    <x v="21"/>
    <x v="8"/>
    <s v="Electric Generators, Independent Power Producers"/>
    <x v="0"/>
    <n v="5418305.7999999998"/>
  </r>
  <r>
    <x v="21"/>
    <x v="8"/>
    <s v="Electric Generators, Independent Power Producers"/>
    <x v="1"/>
    <n v="1391798.88"/>
  </r>
  <r>
    <x v="21"/>
    <x v="8"/>
    <s v="Electric Generators, Independent Power Producers"/>
    <x v="3"/>
    <n v="3934531.76"/>
  </r>
  <r>
    <x v="21"/>
    <x v="8"/>
    <s v="Electric Generators, Independent Power Producers"/>
    <x v="12"/>
    <n v="0"/>
  </r>
  <r>
    <x v="21"/>
    <x v="8"/>
    <s v="Electric Generators, Independent Power Producers"/>
    <x v="8"/>
    <n v="61225"/>
  </r>
  <r>
    <x v="21"/>
    <x v="8"/>
    <s v="Electric Generators, Independent Power Producers"/>
    <x v="4"/>
    <n v="22948.36"/>
  </r>
  <r>
    <x v="21"/>
    <x v="8"/>
    <s v="Electric Generators, Independent Power Producers"/>
    <x v="13"/>
    <n v="7801.8"/>
  </r>
  <r>
    <x v="21"/>
    <x v="8"/>
    <s v="Electric Generators, Electric Utilities"/>
    <x v="0"/>
    <n v="19752"/>
  </r>
  <r>
    <x v="21"/>
    <x v="8"/>
    <s v="Electric Generators, Electric Utilities"/>
    <x v="3"/>
    <n v="17703.57"/>
  </r>
  <r>
    <x v="21"/>
    <x v="8"/>
    <s v="Electric Generators, Electric Utilities"/>
    <x v="4"/>
    <n v="1570.43"/>
  </r>
  <r>
    <x v="21"/>
    <x v="8"/>
    <s v="Electric Generators, Electric Utilities"/>
    <x v="13"/>
    <n v="478"/>
  </r>
  <r>
    <x v="21"/>
    <x v="8"/>
    <s v="Combined Heat and Power, Industrial Power"/>
    <x v="0"/>
    <n v="396634"/>
  </r>
  <r>
    <x v="21"/>
    <x v="8"/>
    <s v="Combined Heat and Power, Industrial Power"/>
    <x v="3"/>
    <n v="188380"/>
  </r>
  <r>
    <x v="21"/>
    <x v="8"/>
    <s v="Combined Heat and Power, Industrial Power"/>
    <x v="12"/>
    <n v="0"/>
  </r>
  <r>
    <x v="21"/>
    <x v="8"/>
    <s v="Combined Heat and Power, Industrial Power"/>
    <x v="9"/>
    <n v="208254"/>
  </r>
  <r>
    <x v="21"/>
    <x v="8"/>
    <s v="Combined Heat and Power, Industrial Power"/>
    <x v="4"/>
    <n v="0"/>
  </r>
  <r>
    <x v="21"/>
    <x v="8"/>
    <s v="Combined Heat and Power, Electric Power"/>
    <x v="0"/>
    <n v="750678"/>
  </r>
  <r>
    <x v="21"/>
    <x v="8"/>
    <s v="Combined Heat and Power, Electric Power"/>
    <x v="1"/>
    <n v="63197"/>
  </r>
  <r>
    <x v="21"/>
    <x v="8"/>
    <s v="Combined Heat and Power, Electric Power"/>
    <x v="3"/>
    <n v="590753.66"/>
  </r>
  <r>
    <x v="21"/>
    <x v="8"/>
    <s v="Combined Heat and Power, Electric Power"/>
    <x v="8"/>
    <n v="83506.67"/>
  </r>
  <r>
    <x v="21"/>
    <x v="8"/>
    <s v="Combined Heat and Power, Electric Power"/>
    <x v="4"/>
    <n v="13220.67"/>
  </r>
  <r>
    <x v="21"/>
    <x v="8"/>
    <s v="Combined Heat and Power, Commercial Power"/>
    <x v="0"/>
    <n v="4825"/>
  </r>
  <r>
    <x v="21"/>
    <x v="8"/>
    <s v="Combined Heat and Power, Commercial Power"/>
    <x v="5"/>
    <n v="4825"/>
  </r>
  <r>
    <x v="21"/>
    <x v="9"/>
    <s v="Total Electric Power Industry"/>
    <x v="0"/>
    <n v="221894574.08000001"/>
  </r>
  <r>
    <x v="21"/>
    <x v="9"/>
    <s v="Total Electric Power Industry"/>
    <x v="1"/>
    <n v="51990960.960000001"/>
  </r>
  <r>
    <x v="21"/>
    <x v="9"/>
    <s v="Total Electric Power Industry"/>
    <x v="2"/>
    <n v="182042"/>
  </r>
  <r>
    <x v="21"/>
    <x v="9"/>
    <s v="Total Electric Power Industry"/>
    <x v="3"/>
    <n v="136363873.69"/>
  </r>
  <r>
    <x v="21"/>
    <x v="9"/>
    <s v="Total Electric Power Industry"/>
    <x v="7"/>
    <n v="22015368"/>
  </r>
  <r>
    <x v="21"/>
    <x v="9"/>
    <s v="Total Electric Power Industry"/>
    <x v="12"/>
    <n v="3385050.83"/>
  </r>
  <r>
    <x v="21"/>
    <x v="9"/>
    <s v="Total Electric Power Industry"/>
    <x v="8"/>
    <n v="2334984.73"/>
  </r>
  <r>
    <x v="21"/>
    <x v="9"/>
    <s v="Total Electric Power Industry"/>
    <x v="9"/>
    <n v="6191.21"/>
  </r>
  <r>
    <x v="21"/>
    <x v="9"/>
    <s v="Total Electric Power Industry"/>
    <x v="4"/>
    <n v="3280943.92"/>
  </r>
  <r>
    <x v="21"/>
    <x v="9"/>
    <s v="Total Electric Power Industry"/>
    <x v="13"/>
    <n v="125726"/>
  </r>
  <r>
    <x v="21"/>
    <x v="9"/>
    <s v="Total Electric Power Industry"/>
    <x v="6"/>
    <n v="2209432.7400000002"/>
  </r>
  <r>
    <x v="21"/>
    <x v="9"/>
    <s v="Electric Generators, Independent Power Producers"/>
    <x v="0"/>
    <n v="10403605"/>
  </r>
  <r>
    <x v="21"/>
    <x v="9"/>
    <s v="Electric Generators, Independent Power Producers"/>
    <x v="3"/>
    <n v="6818255.9500000002"/>
  </r>
  <r>
    <x v="21"/>
    <x v="9"/>
    <s v="Electric Generators, Independent Power Producers"/>
    <x v="12"/>
    <n v="1486121.98"/>
  </r>
  <r>
    <x v="21"/>
    <x v="9"/>
    <s v="Electric Generators, Independent Power Producers"/>
    <x v="8"/>
    <n v="1753697.21"/>
  </r>
  <r>
    <x v="21"/>
    <x v="9"/>
    <s v="Electric Generators, Independent Power Producers"/>
    <x v="4"/>
    <n v="6491.07"/>
  </r>
  <r>
    <x v="21"/>
    <x v="9"/>
    <s v="Electric Generators, Independent Power Producers"/>
    <x v="13"/>
    <n v="25972"/>
  </r>
  <r>
    <x v="21"/>
    <x v="9"/>
    <s v="Electric Generators, Independent Power Producers"/>
    <x v="6"/>
    <n v="313066.78999999998"/>
  </r>
  <r>
    <x v="21"/>
    <x v="9"/>
    <s v="Electric Generators, Electric Utilities"/>
    <x v="0"/>
    <n v="200023291.33000001"/>
  </r>
  <r>
    <x v="21"/>
    <x v="9"/>
    <s v="Electric Generators, Electric Utilities"/>
    <x v="1"/>
    <n v="49487410.899999999"/>
  </r>
  <r>
    <x v="21"/>
    <x v="9"/>
    <s v="Electric Generators, Electric Utilities"/>
    <x v="2"/>
    <n v="182042"/>
  </r>
  <r>
    <x v="21"/>
    <x v="9"/>
    <s v="Electric Generators, Electric Utilities"/>
    <x v="3"/>
    <n v="124926473.18000001"/>
  </r>
  <r>
    <x v="21"/>
    <x v="9"/>
    <s v="Electric Generators, Electric Utilities"/>
    <x v="7"/>
    <n v="22015368"/>
  </r>
  <r>
    <x v="21"/>
    <x v="9"/>
    <s v="Electric Generators, Electric Utilities"/>
    <x v="12"/>
    <n v="0"/>
  </r>
  <r>
    <x v="21"/>
    <x v="9"/>
    <s v="Electric Generators, Electric Utilities"/>
    <x v="8"/>
    <n v="87862.97"/>
  </r>
  <r>
    <x v="21"/>
    <x v="9"/>
    <s v="Electric Generators, Electric Utilities"/>
    <x v="4"/>
    <n v="3224380.28"/>
  </r>
  <r>
    <x v="21"/>
    <x v="9"/>
    <s v="Electric Generators, Electric Utilities"/>
    <x v="13"/>
    <n v="99754"/>
  </r>
  <r>
    <x v="21"/>
    <x v="9"/>
    <s v="Combined Heat and Power, Industrial Power"/>
    <x v="0"/>
    <n v="5689053.1399999997"/>
  </r>
  <r>
    <x v="21"/>
    <x v="9"/>
    <s v="Combined Heat and Power, Industrial Power"/>
    <x v="1"/>
    <n v="317464.96000000002"/>
  </r>
  <r>
    <x v="21"/>
    <x v="9"/>
    <s v="Combined Heat and Power, Industrial Power"/>
    <x v="3"/>
    <n v="1349065.5"/>
  </r>
  <r>
    <x v="21"/>
    <x v="9"/>
    <s v="Combined Heat and Power, Industrial Power"/>
    <x v="12"/>
    <n v="1898928.85"/>
  </r>
  <r>
    <x v="21"/>
    <x v="9"/>
    <s v="Combined Heat and Power, Industrial Power"/>
    <x v="8"/>
    <n v="321586.02"/>
  </r>
  <r>
    <x v="21"/>
    <x v="9"/>
    <s v="Combined Heat and Power, Industrial Power"/>
    <x v="9"/>
    <n v="6191.21"/>
  </r>
  <r>
    <x v="21"/>
    <x v="9"/>
    <s v="Combined Heat and Power, Industrial Power"/>
    <x v="4"/>
    <n v="44175.75"/>
  </r>
  <r>
    <x v="21"/>
    <x v="9"/>
    <s v="Combined Heat and Power, Industrial Power"/>
    <x v="6"/>
    <n v="1751640.87"/>
  </r>
  <r>
    <x v="21"/>
    <x v="9"/>
    <s v="Combined Heat and Power, Electric Power"/>
    <x v="0"/>
    <n v="5711247.3300000001"/>
  </r>
  <r>
    <x v="21"/>
    <x v="9"/>
    <s v="Combined Heat and Power, Electric Power"/>
    <x v="1"/>
    <n v="2186085.1"/>
  </r>
  <r>
    <x v="21"/>
    <x v="9"/>
    <s v="Combined Heat and Power, Electric Power"/>
    <x v="3"/>
    <n v="3241283.86"/>
  </r>
  <r>
    <x v="21"/>
    <x v="9"/>
    <s v="Combined Heat and Power, Electric Power"/>
    <x v="12"/>
    <n v="0"/>
  </r>
  <r>
    <x v="21"/>
    <x v="9"/>
    <s v="Combined Heat and Power, Electric Power"/>
    <x v="8"/>
    <n v="133256.46"/>
  </r>
  <r>
    <x v="21"/>
    <x v="9"/>
    <s v="Combined Heat and Power, Electric Power"/>
    <x v="4"/>
    <n v="5896.83"/>
  </r>
  <r>
    <x v="21"/>
    <x v="9"/>
    <s v="Combined Heat and Power, Electric Power"/>
    <x v="6"/>
    <n v="144725.07999999999"/>
  </r>
  <r>
    <x v="21"/>
    <x v="9"/>
    <s v="Combined Heat and Power, Commercial Power"/>
    <x v="0"/>
    <n v="67377.279999999999"/>
  </r>
  <r>
    <x v="21"/>
    <x v="9"/>
    <s v="Combined Heat and Power, Commercial Power"/>
    <x v="3"/>
    <n v="28795.200000000001"/>
  </r>
  <r>
    <x v="21"/>
    <x v="9"/>
    <s v="Combined Heat and Power, Commercial Power"/>
    <x v="8"/>
    <n v="38582.080000000002"/>
  </r>
  <r>
    <x v="21"/>
    <x v="9"/>
    <s v="Combined Heat and Power, Commercial Power"/>
    <x v="4"/>
    <n v="0"/>
  </r>
  <r>
    <x v="21"/>
    <x v="10"/>
    <s v="Total Electric Power Industry"/>
    <x v="0"/>
    <n v="124749341.16"/>
  </r>
  <r>
    <x v="21"/>
    <x v="10"/>
    <s v="Total Electric Power Industry"/>
    <x v="1"/>
    <n v="60159340.270000003"/>
  </r>
  <r>
    <x v="21"/>
    <x v="10"/>
    <s v="Total Electric Power Industry"/>
    <x v="2"/>
    <n v="2705057.55"/>
  </r>
  <r>
    <x v="21"/>
    <x v="10"/>
    <s v="Total Electric Power Industry"/>
    <x v="3"/>
    <n v="26543604.260000002"/>
  </r>
  <r>
    <x v="21"/>
    <x v="10"/>
    <s v="Total Electric Power Industry"/>
    <x v="7"/>
    <n v="32306181"/>
  </r>
  <r>
    <x v="21"/>
    <x v="10"/>
    <s v="Total Electric Power Industry"/>
    <x v="12"/>
    <n v="27867.48"/>
  </r>
  <r>
    <x v="21"/>
    <x v="10"/>
    <s v="Total Electric Power Industry"/>
    <x v="8"/>
    <n v="119262.93"/>
  </r>
  <r>
    <x v="21"/>
    <x v="10"/>
    <s v="Total Electric Power Industry"/>
    <x v="4"/>
    <n v="551288.01"/>
  </r>
  <r>
    <x v="21"/>
    <x v="10"/>
    <s v="Total Electric Power Industry"/>
    <x v="10"/>
    <n v="-733517"/>
  </r>
  <r>
    <x v="21"/>
    <x v="10"/>
    <s v="Total Electric Power Industry"/>
    <x v="6"/>
    <n v="3070256.66"/>
  </r>
  <r>
    <x v="21"/>
    <x v="10"/>
    <s v="Electric Generators, Independent Power Producers"/>
    <x v="0"/>
    <n v="13065835"/>
  </r>
  <r>
    <x v="21"/>
    <x v="10"/>
    <s v="Electric Generators, Independent Power Producers"/>
    <x v="2"/>
    <n v="7275"/>
  </r>
  <r>
    <x v="21"/>
    <x v="10"/>
    <s v="Electric Generators, Independent Power Producers"/>
    <x v="3"/>
    <n v="12890754.24"/>
  </r>
  <r>
    <x v="21"/>
    <x v="10"/>
    <s v="Electric Generators, Independent Power Producers"/>
    <x v="8"/>
    <n v="57660"/>
  </r>
  <r>
    <x v="21"/>
    <x v="10"/>
    <s v="Electric Generators, Independent Power Producers"/>
    <x v="4"/>
    <n v="3121.76"/>
  </r>
  <r>
    <x v="21"/>
    <x v="10"/>
    <s v="Electric Generators, Independent Power Producers"/>
    <x v="6"/>
    <n v="107024"/>
  </r>
  <r>
    <x v="21"/>
    <x v="10"/>
    <s v="Electric Generators, Electric Utilities"/>
    <x v="0"/>
    <n v="106661687.06"/>
  </r>
  <r>
    <x v="21"/>
    <x v="10"/>
    <s v="Electric Generators, Electric Utilities"/>
    <x v="1"/>
    <n v="59452223.049999997"/>
  </r>
  <r>
    <x v="21"/>
    <x v="10"/>
    <s v="Electric Generators, Electric Utilities"/>
    <x v="2"/>
    <n v="2679135"/>
  </r>
  <r>
    <x v="21"/>
    <x v="10"/>
    <s v="Electric Generators, Electric Utilities"/>
    <x v="3"/>
    <n v="12886158.59"/>
  </r>
  <r>
    <x v="21"/>
    <x v="10"/>
    <s v="Electric Generators, Electric Utilities"/>
    <x v="7"/>
    <n v="32306181"/>
  </r>
  <r>
    <x v="21"/>
    <x v="10"/>
    <s v="Electric Generators, Electric Utilities"/>
    <x v="8"/>
    <n v="171.9"/>
  </r>
  <r>
    <x v="21"/>
    <x v="10"/>
    <s v="Electric Generators, Electric Utilities"/>
    <x v="4"/>
    <n v="71334.52"/>
  </r>
  <r>
    <x v="21"/>
    <x v="10"/>
    <s v="Electric Generators, Electric Utilities"/>
    <x v="10"/>
    <n v="-733517"/>
  </r>
  <r>
    <x v="21"/>
    <x v="10"/>
    <s v="Combined Heat and Power, Industrial Power"/>
    <x v="0"/>
    <n v="4736108.9000000004"/>
  </r>
  <r>
    <x v="21"/>
    <x v="10"/>
    <s v="Combined Heat and Power, Industrial Power"/>
    <x v="1"/>
    <n v="707117.22"/>
  </r>
  <r>
    <x v="21"/>
    <x v="10"/>
    <s v="Combined Heat and Power, Industrial Power"/>
    <x v="2"/>
    <n v="18647.55"/>
  </r>
  <r>
    <x v="21"/>
    <x v="10"/>
    <s v="Combined Heat and Power, Industrial Power"/>
    <x v="3"/>
    <n v="506940.85"/>
  </r>
  <r>
    <x v="21"/>
    <x v="10"/>
    <s v="Combined Heat and Power, Industrial Power"/>
    <x v="12"/>
    <n v="27867.48"/>
  </r>
  <r>
    <x v="21"/>
    <x v="10"/>
    <s v="Combined Heat and Power, Industrial Power"/>
    <x v="8"/>
    <n v="38251.03"/>
  </r>
  <r>
    <x v="21"/>
    <x v="10"/>
    <s v="Combined Heat and Power, Industrial Power"/>
    <x v="4"/>
    <n v="474052.11"/>
  </r>
  <r>
    <x v="21"/>
    <x v="10"/>
    <s v="Combined Heat and Power, Industrial Power"/>
    <x v="6"/>
    <n v="2963232.66"/>
  </r>
  <r>
    <x v="21"/>
    <x v="10"/>
    <s v="Combined Heat and Power, Electric Power"/>
    <x v="0"/>
    <n v="260774"/>
  </r>
  <r>
    <x v="21"/>
    <x v="10"/>
    <s v="Combined Heat and Power, Electric Power"/>
    <x v="3"/>
    <n v="259750.58"/>
  </r>
  <r>
    <x v="21"/>
    <x v="10"/>
    <s v="Combined Heat and Power, Electric Power"/>
    <x v="4"/>
    <n v="1023.42"/>
  </r>
  <r>
    <x v="21"/>
    <x v="10"/>
    <s v="Combined Heat and Power, Commercial Power"/>
    <x v="0"/>
    <n v="24936.2"/>
  </r>
  <r>
    <x v="21"/>
    <x v="10"/>
    <s v="Combined Heat and Power, Commercial Power"/>
    <x v="3"/>
    <n v="0"/>
  </r>
  <r>
    <x v="21"/>
    <x v="10"/>
    <s v="Combined Heat and Power, Commercial Power"/>
    <x v="8"/>
    <n v="23180"/>
  </r>
  <r>
    <x v="21"/>
    <x v="10"/>
    <s v="Combined Heat and Power, Commercial Power"/>
    <x v="4"/>
    <n v="1756.2"/>
  </r>
  <r>
    <x v="21"/>
    <x v="11"/>
    <s v="Total Electric Power Industry"/>
    <x v="0"/>
    <n v="10723332.91"/>
  </r>
  <r>
    <x v="21"/>
    <x v="11"/>
    <s v="Total Electric Power Industry"/>
    <x v="1"/>
    <n v="1424035.69"/>
  </r>
  <r>
    <x v="21"/>
    <x v="11"/>
    <s v="Total Electric Power Industry"/>
    <x v="11"/>
    <n v="223888"/>
  </r>
  <r>
    <x v="21"/>
    <x v="11"/>
    <s v="Total Electric Power Industry"/>
    <x v="2"/>
    <n v="93140.73"/>
  </r>
  <r>
    <x v="21"/>
    <x v="11"/>
    <s v="Total Electric Power Industry"/>
    <x v="3"/>
    <n v="0"/>
  </r>
  <r>
    <x v="21"/>
    <x v="11"/>
    <s v="Total Electric Power Industry"/>
    <x v="12"/>
    <n v="366061.16"/>
  </r>
  <r>
    <x v="21"/>
    <x v="11"/>
    <s v="Total Electric Power Industry"/>
    <x v="8"/>
    <n v="312626.92"/>
  </r>
  <r>
    <x v="21"/>
    <x v="11"/>
    <s v="Total Electric Power Industry"/>
    <x v="9"/>
    <n v="35250.17"/>
  </r>
  <r>
    <x v="21"/>
    <x v="11"/>
    <s v="Total Electric Power Industry"/>
    <x v="4"/>
    <n v="7923925.2400000002"/>
  </r>
  <r>
    <x v="21"/>
    <x v="11"/>
    <s v="Total Electric Power Industry"/>
    <x v="13"/>
    <n v="3593"/>
  </r>
  <r>
    <x v="21"/>
    <x v="11"/>
    <s v="Total Electric Power Industry"/>
    <x v="5"/>
    <n v="340812"/>
  </r>
  <r>
    <x v="21"/>
    <x v="11"/>
    <s v="Total Electric Power Industry"/>
    <x v="6"/>
    <n v="0"/>
  </r>
  <r>
    <x v="21"/>
    <x v="11"/>
    <s v="Electric Generators, Independent Power Producers"/>
    <x v="0"/>
    <n v="808653"/>
  </r>
  <r>
    <x v="21"/>
    <x v="11"/>
    <s v="Electric Generators, Independent Power Producers"/>
    <x v="11"/>
    <n v="223888"/>
  </r>
  <r>
    <x v="21"/>
    <x v="11"/>
    <s v="Electric Generators, Independent Power Producers"/>
    <x v="2"/>
    <n v="24569"/>
  </r>
  <r>
    <x v="21"/>
    <x v="11"/>
    <s v="Electric Generators, Independent Power Producers"/>
    <x v="4"/>
    <n v="215791"/>
  </r>
  <r>
    <x v="21"/>
    <x v="11"/>
    <s v="Electric Generators, Independent Power Producers"/>
    <x v="13"/>
    <n v="3593"/>
  </r>
  <r>
    <x v="21"/>
    <x v="11"/>
    <s v="Electric Generators, Independent Power Producers"/>
    <x v="5"/>
    <n v="340812"/>
  </r>
  <r>
    <x v="21"/>
    <x v="11"/>
    <s v="Electric Generators, Electric Utilities"/>
    <x v="0"/>
    <n v="6376331"/>
  </r>
  <r>
    <x v="21"/>
    <x v="11"/>
    <s v="Electric Generators, Electric Utilities"/>
    <x v="2"/>
    <n v="19999"/>
  </r>
  <r>
    <x v="21"/>
    <x v="11"/>
    <s v="Electric Generators, Electric Utilities"/>
    <x v="3"/>
    <n v="0"/>
  </r>
  <r>
    <x v="21"/>
    <x v="11"/>
    <s v="Electric Generators, Electric Utilities"/>
    <x v="12"/>
    <n v="210968.24"/>
  </r>
  <r>
    <x v="21"/>
    <x v="11"/>
    <s v="Electric Generators, Electric Utilities"/>
    <x v="8"/>
    <n v="38746.65"/>
  </r>
  <r>
    <x v="21"/>
    <x v="11"/>
    <s v="Electric Generators, Electric Utilities"/>
    <x v="4"/>
    <n v="6106617.1100000003"/>
  </r>
  <r>
    <x v="21"/>
    <x v="11"/>
    <s v="Combined Heat and Power, Industrial Power"/>
    <x v="0"/>
    <n v="392856.91"/>
  </r>
  <r>
    <x v="21"/>
    <x v="11"/>
    <s v="Combined Heat and Power, Industrial Power"/>
    <x v="1"/>
    <n v="47233.53"/>
  </r>
  <r>
    <x v="21"/>
    <x v="11"/>
    <s v="Combined Heat and Power, Industrial Power"/>
    <x v="2"/>
    <n v="48572.73"/>
  </r>
  <r>
    <x v="21"/>
    <x v="11"/>
    <s v="Combined Heat and Power, Industrial Power"/>
    <x v="8"/>
    <n v="112459.22"/>
  </r>
  <r>
    <x v="21"/>
    <x v="11"/>
    <s v="Combined Heat and Power, Industrial Power"/>
    <x v="9"/>
    <n v="35250.17"/>
  </r>
  <r>
    <x v="21"/>
    <x v="11"/>
    <s v="Combined Heat and Power, Industrial Power"/>
    <x v="4"/>
    <n v="149341.26"/>
  </r>
  <r>
    <x v="21"/>
    <x v="11"/>
    <s v="Combined Heat and Power, Industrial Power"/>
    <x v="6"/>
    <n v="0"/>
  </r>
  <r>
    <x v="21"/>
    <x v="11"/>
    <s v="Combined Heat and Power, Electric Power"/>
    <x v="0"/>
    <n v="2827766"/>
  </r>
  <r>
    <x v="21"/>
    <x v="11"/>
    <s v="Combined Heat and Power, Electric Power"/>
    <x v="1"/>
    <n v="1376802.16"/>
  </r>
  <r>
    <x v="21"/>
    <x v="11"/>
    <s v="Combined Heat and Power, Electric Power"/>
    <x v="12"/>
    <n v="0"/>
  </r>
  <r>
    <x v="21"/>
    <x v="11"/>
    <s v="Combined Heat and Power, Electric Power"/>
    <x v="4"/>
    <n v="1450963.84"/>
  </r>
  <r>
    <x v="21"/>
    <x v="11"/>
    <s v="Combined Heat and Power, Commercial Power"/>
    <x v="0"/>
    <n v="317726"/>
  </r>
  <r>
    <x v="21"/>
    <x v="11"/>
    <s v="Combined Heat and Power, Commercial Power"/>
    <x v="12"/>
    <n v="155092.92000000001"/>
  </r>
  <r>
    <x v="21"/>
    <x v="11"/>
    <s v="Combined Heat and Power, Commercial Power"/>
    <x v="8"/>
    <n v="161421.04999999999"/>
  </r>
  <r>
    <x v="21"/>
    <x v="11"/>
    <s v="Combined Heat and Power, Commercial Power"/>
    <x v="4"/>
    <n v="1212.03"/>
  </r>
  <r>
    <x v="21"/>
    <x v="12"/>
    <s v="Total Electric Power Industry"/>
    <x v="0"/>
    <n v="56371912.649999999"/>
  </r>
  <r>
    <x v="21"/>
    <x v="12"/>
    <s v="Total Electric Power Industry"/>
    <x v="1"/>
    <n v="38229359.979999997"/>
  </r>
  <r>
    <x v="21"/>
    <x v="12"/>
    <s v="Total Electric Power Industry"/>
    <x v="2"/>
    <n v="925352"/>
  </r>
  <r>
    <x v="21"/>
    <x v="12"/>
    <s v="Total Electric Power Industry"/>
    <x v="3"/>
    <n v="991182.61"/>
  </r>
  <r>
    <x v="21"/>
    <x v="12"/>
    <s v="Total Electric Power Industry"/>
    <x v="7"/>
    <n v="5215229"/>
  </r>
  <r>
    <x v="21"/>
    <x v="12"/>
    <s v="Total Electric Power Industry"/>
    <x v="8"/>
    <n v="160591.71"/>
  </r>
  <r>
    <x v="21"/>
    <x v="12"/>
    <s v="Total Electric Power Industry"/>
    <x v="4"/>
    <n v="141020.44"/>
  </r>
  <r>
    <x v="21"/>
    <x v="12"/>
    <s v="Total Electric Power Industry"/>
    <x v="5"/>
    <n v="10709176.91"/>
  </r>
  <r>
    <x v="21"/>
    <x v="12"/>
    <s v="Electric Generators, Independent Power Producers"/>
    <x v="0"/>
    <n v="10895987.57"/>
  </r>
  <r>
    <x v="21"/>
    <x v="12"/>
    <s v="Electric Generators, Independent Power Producers"/>
    <x v="2"/>
    <n v="8451"/>
  </r>
  <r>
    <x v="21"/>
    <x v="12"/>
    <s v="Electric Generators, Independent Power Producers"/>
    <x v="3"/>
    <n v="42"/>
  </r>
  <r>
    <x v="21"/>
    <x v="12"/>
    <s v="Electric Generators, Independent Power Producers"/>
    <x v="7"/>
    <n v="5215229"/>
  </r>
  <r>
    <x v="21"/>
    <x v="12"/>
    <s v="Electric Generators, Independent Power Producers"/>
    <x v="8"/>
    <n v="87727"/>
  </r>
  <r>
    <x v="21"/>
    <x v="12"/>
    <s v="Electric Generators, Independent Power Producers"/>
    <x v="4"/>
    <n v="1082"/>
  </r>
  <r>
    <x v="21"/>
    <x v="12"/>
    <s v="Electric Generators, Independent Power Producers"/>
    <x v="5"/>
    <n v="5583456.5700000003"/>
  </r>
  <r>
    <x v="21"/>
    <x v="12"/>
    <s v="Electric Generators, Electric Utilities"/>
    <x v="0"/>
    <n v="43304734.299999997"/>
  </r>
  <r>
    <x v="21"/>
    <x v="12"/>
    <s v="Electric Generators, Electric Utilities"/>
    <x v="1"/>
    <n v="36121644.329999998"/>
  </r>
  <r>
    <x v="21"/>
    <x v="12"/>
    <s v="Electric Generators, Electric Utilities"/>
    <x v="2"/>
    <n v="916901"/>
  </r>
  <r>
    <x v="21"/>
    <x v="12"/>
    <s v="Electric Generators, Electric Utilities"/>
    <x v="3"/>
    <n v="980318.49"/>
  </r>
  <r>
    <x v="21"/>
    <x v="12"/>
    <s v="Electric Generators, Electric Utilities"/>
    <x v="8"/>
    <n v="27215.59"/>
  </r>
  <r>
    <x v="21"/>
    <x v="12"/>
    <s v="Electric Generators, Electric Utilities"/>
    <x v="4"/>
    <n v="136752.54999999999"/>
  </r>
  <r>
    <x v="21"/>
    <x v="12"/>
    <s v="Electric Generators, Electric Utilities"/>
    <x v="5"/>
    <n v="5121902.34"/>
  </r>
  <r>
    <x v="21"/>
    <x v="12"/>
    <s v="Combined Heat and Power, Industrial Power"/>
    <x v="0"/>
    <n v="1944431.83"/>
  </r>
  <r>
    <x v="21"/>
    <x v="12"/>
    <s v="Combined Heat and Power, Industrial Power"/>
    <x v="1"/>
    <n v="1925155.77"/>
  </r>
  <r>
    <x v="21"/>
    <x v="12"/>
    <s v="Combined Heat and Power, Industrial Power"/>
    <x v="3"/>
    <n v="3730.73"/>
  </r>
  <r>
    <x v="21"/>
    <x v="12"/>
    <s v="Combined Heat and Power, Industrial Power"/>
    <x v="8"/>
    <n v="15425.33"/>
  </r>
  <r>
    <x v="21"/>
    <x v="12"/>
    <s v="Combined Heat and Power, Industrial Power"/>
    <x v="4"/>
    <n v="120"/>
  </r>
  <r>
    <x v="21"/>
    <x v="12"/>
    <s v="Combined Heat and Power, Commercial Power"/>
    <x v="0"/>
    <n v="226758.95"/>
  </r>
  <r>
    <x v="21"/>
    <x v="12"/>
    <s v="Combined Heat and Power, Commercial Power"/>
    <x v="1"/>
    <n v="182559.88"/>
  </r>
  <r>
    <x v="21"/>
    <x v="12"/>
    <s v="Combined Heat and Power, Commercial Power"/>
    <x v="3"/>
    <n v="7091.39"/>
  </r>
  <r>
    <x v="21"/>
    <x v="12"/>
    <s v="Combined Heat and Power, Commercial Power"/>
    <x v="8"/>
    <n v="30223.79"/>
  </r>
  <r>
    <x v="21"/>
    <x v="12"/>
    <s v="Combined Heat and Power, Commercial Power"/>
    <x v="4"/>
    <n v="3065.89"/>
  </r>
  <r>
    <x v="21"/>
    <x v="12"/>
    <s v="Combined Heat and Power, Commercial Power"/>
    <x v="5"/>
    <n v="3818"/>
  </r>
  <r>
    <x v="21"/>
    <x v="13"/>
    <s v="Total Electric Power Industry"/>
    <x v="0"/>
    <n v="16568785.9"/>
  </r>
  <r>
    <x v="21"/>
    <x v="13"/>
    <s v="Total Electric Power Industry"/>
    <x v="1"/>
    <n v="83411.990000000005"/>
  </r>
  <r>
    <x v="21"/>
    <x v="13"/>
    <s v="Total Electric Power Industry"/>
    <x v="11"/>
    <n v="63490"/>
  </r>
  <r>
    <x v="21"/>
    <x v="13"/>
    <s v="Total Electric Power Industry"/>
    <x v="2"/>
    <n v="13404799"/>
  </r>
  <r>
    <x v="21"/>
    <x v="13"/>
    <s v="Total Electric Power Industry"/>
    <x v="3"/>
    <n v="1110743.69"/>
  </r>
  <r>
    <x v="21"/>
    <x v="13"/>
    <s v="Total Electric Power Industry"/>
    <x v="12"/>
    <n v="77631"/>
  </r>
  <r>
    <x v="21"/>
    <x v="13"/>
    <s v="Total Electric Power Industry"/>
    <x v="8"/>
    <n v="47617.9"/>
  </r>
  <r>
    <x v="21"/>
    <x v="13"/>
    <s v="Total Electric Power Industry"/>
    <x v="4"/>
    <n v="26"/>
  </r>
  <r>
    <x v="21"/>
    <x v="13"/>
    <s v="Total Electric Power Industry"/>
    <x v="5"/>
    <n v="1306682"/>
  </r>
  <r>
    <x v="21"/>
    <x v="13"/>
    <s v="Total Electric Power Industry"/>
    <x v="6"/>
    <n v="474384.32"/>
  </r>
  <r>
    <x v="21"/>
    <x v="13"/>
    <s v="Electric Generators, Independent Power Producers"/>
    <x v="0"/>
    <n v="3180422"/>
  </r>
  <r>
    <x v="21"/>
    <x v="13"/>
    <s v="Electric Generators, Independent Power Producers"/>
    <x v="11"/>
    <n v="63490"/>
  </r>
  <r>
    <x v="21"/>
    <x v="13"/>
    <s v="Electric Generators, Independent Power Producers"/>
    <x v="2"/>
    <n v="934383"/>
  </r>
  <r>
    <x v="21"/>
    <x v="13"/>
    <s v="Electric Generators, Independent Power Producers"/>
    <x v="3"/>
    <n v="843176"/>
  </r>
  <r>
    <x v="21"/>
    <x v="13"/>
    <s v="Electric Generators, Independent Power Producers"/>
    <x v="8"/>
    <n v="32691"/>
  </r>
  <r>
    <x v="21"/>
    <x v="13"/>
    <s v="Electric Generators, Independent Power Producers"/>
    <x v="5"/>
    <n v="1306682"/>
  </r>
  <r>
    <x v="21"/>
    <x v="13"/>
    <s v="Electric Generators, Electric Utilities"/>
    <x v="0"/>
    <n v="12616029"/>
  </r>
  <r>
    <x v="21"/>
    <x v="13"/>
    <s v="Electric Generators, Electric Utilities"/>
    <x v="2"/>
    <n v="12470416"/>
  </r>
  <r>
    <x v="21"/>
    <x v="13"/>
    <s v="Electric Generators, Electric Utilities"/>
    <x v="3"/>
    <n v="145587"/>
  </r>
  <r>
    <x v="21"/>
    <x v="13"/>
    <s v="Electric Generators, Electric Utilities"/>
    <x v="4"/>
    <n v="26"/>
  </r>
  <r>
    <x v="21"/>
    <x v="13"/>
    <s v="Combined Heat and Power, Industrial Power"/>
    <x v="0"/>
    <n v="622767.9"/>
  </r>
  <r>
    <x v="21"/>
    <x v="13"/>
    <s v="Combined Heat and Power, Industrial Power"/>
    <x v="1"/>
    <n v="83411.990000000005"/>
  </r>
  <r>
    <x v="21"/>
    <x v="13"/>
    <s v="Combined Heat and Power, Industrial Power"/>
    <x v="3"/>
    <n v="41683.69"/>
  </r>
  <r>
    <x v="21"/>
    <x v="13"/>
    <s v="Combined Heat and Power, Industrial Power"/>
    <x v="12"/>
    <n v="77631"/>
  </r>
  <r>
    <x v="21"/>
    <x v="13"/>
    <s v="Combined Heat and Power, Industrial Power"/>
    <x v="8"/>
    <n v="14753.9"/>
  </r>
  <r>
    <x v="21"/>
    <x v="13"/>
    <s v="Combined Heat and Power, Industrial Power"/>
    <x v="4"/>
    <n v="0"/>
  </r>
  <r>
    <x v="21"/>
    <x v="13"/>
    <s v="Combined Heat and Power, Industrial Power"/>
    <x v="6"/>
    <n v="405287.32"/>
  </r>
  <r>
    <x v="21"/>
    <x v="13"/>
    <s v="Combined Heat and Power, Electric Power"/>
    <x v="0"/>
    <n v="149567"/>
  </r>
  <r>
    <x v="21"/>
    <x v="13"/>
    <s v="Combined Heat and Power, Electric Power"/>
    <x v="3"/>
    <n v="80297"/>
  </r>
  <r>
    <x v="21"/>
    <x v="13"/>
    <s v="Combined Heat and Power, Electric Power"/>
    <x v="8"/>
    <n v="173"/>
  </r>
  <r>
    <x v="21"/>
    <x v="13"/>
    <s v="Combined Heat and Power, Electric Power"/>
    <x v="6"/>
    <n v="69097"/>
  </r>
  <r>
    <x v="21"/>
    <x v="14"/>
    <s v="Total Electric Power Industry"/>
    <x v="0"/>
    <n v="199499728.03999999"/>
  </r>
  <r>
    <x v="21"/>
    <x v="14"/>
    <s v="Total Electric Power Industry"/>
    <x v="1"/>
    <n v="90013325.379999995"/>
  </r>
  <r>
    <x v="21"/>
    <x v="14"/>
    <s v="Total Electric Power Industry"/>
    <x v="2"/>
    <n v="140462"/>
  </r>
  <r>
    <x v="21"/>
    <x v="14"/>
    <s v="Total Electric Power Industry"/>
    <x v="3"/>
    <n v="5955799.8700000001"/>
  </r>
  <r>
    <x v="21"/>
    <x v="14"/>
    <s v="Total Electric Power Industry"/>
    <x v="7"/>
    <n v="95823196"/>
  </r>
  <r>
    <x v="21"/>
    <x v="14"/>
    <s v="Total Electric Power Industry"/>
    <x v="12"/>
    <n v="298862.27"/>
  </r>
  <r>
    <x v="21"/>
    <x v="14"/>
    <s v="Total Electric Power Industry"/>
    <x v="8"/>
    <n v="637580.43999999994"/>
  </r>
  <r>
    <x v="21"/>
    <x v="14"/>
    <s v="Total Electric Power Industry"/>
    <x v="9"/>
    <n v="318548.51"/>
  </r>
  <r>
    <x v="21"/>
    <x v="14"/>
    <s v="Total Electric Power Industry"/>
    <x v="4"/>
    <n v="84240.320000000007"/>
  </r>
  <r>
    <x v="21"/>
    <x v="14"/>
    <s v="Total Electric Power Industry"/>
    <x v="13"/>
    <n v="14062"/>
  </r>
  <r>
    <x v="21"/>
    <x v="14"/>
    <s v="Total Electric Power Industry"/>
    <x v="5"/>
    <n v="6213132"/>
  </r>
  <r>
    <x v="21"/>
    <x v="14"/>
    <s v="Total Electric Power Industry"/>
    <x v="6"/>
    <n v="519.25"/>
  </r>
  <r>
    <x v="21"/>
    <x v="14"/>
    <s v="Electric Generators, Independent Power Producers"/>
    <x v="0"/>
    <n v="183445308.65000001"/>
  </r>
  <r>
    <x v="21"/>
    <x v="14"/>
    <s v="Electric Generators, Independent Power Producers"/>
    <x v="1"/>
    <n v="77020305.920000002"/>
  </r>
  <r>
    <x v="21"/>
    <x v="14"/>
    <s v="Electric Generators, Independent Power Producers"/>
    <x v="2"/>
    <n v="93305"/>
  </r>
  <r>
    <x v="21"/>
    <x v="14"/>
    <s v="Electric Generators, Independent Power Producers"/>
    <x v="3"/>
    <n v="3592619.35"/>
  </r>
  <r>
    <x v="21"/>
    <x v="14"/>
    <s v="Electric Generators, Independent Power Producers"/>
    <x v="7"/>
    <n v="95823196"/>
  </r>
  <r>
    <x v="21"/>
    <x v="14"/>
    <s v="Electric Generators, Independent Power Producers"/>
    <x v="12"/>
    <n v="6181.54"/>
  </r>
  <r>
    <x v="21"/>
    <x v="14"/>
    <s v="Electric Generators, Independent Power Producers"/>
    <x v="8"/>
    <n v="637529.65"/>
  </r>
  <r>
    <x v="21"/>
    <x v="14"/>
    <s v="Electric Generators, Independent Power Producers"/>
    <x v="4"/>
    <n v="56225.19"/>
  </r>
  <r>
    <x v="21"/>
    <x v="14"/>
    <s v="Electric Generators, Independent Power Producers"/>
    <x v="13"/>
    <n v="14062"/>
  </r>
  <r>
    <x v="21"/>
    <x v="14"/>
    <s v="Electric Generators, Independent Power Producers"/>
    <x v="5"/>
    <n v="6201884"/>
  </r>
  <r>
    <x v="21"/>
    <x v="14"/>
    <s v="Electric Generators, Electric Utilities"/>
    <x v="0"/>
    <n v="12242294.16"/>
  </r>
  <r>
    <x v="21"/>
    <x v="14"/>
    <s v="Electric Generators, Electric Utilities"/>
    <x v="1"/>
    <n v="11093222.619999999"/>
  </r>
  <r>
    <x v="21"/>
    <x v="14"/>
    <s v="Electric Generators, Electric Utilities"/>
    <x v="2"/>
    <n v="47157"/>
  </r>
  <r>
    <x v="21"/>
    <x v="14"/>
    <s v="Electric Generators, Electric Utilities"/>
    <x v="3"/>
    <n v="1062867.1399999999"/>
  </r>
  <r>
    <x v="21"/>
    <x v="14"/>
    <s v="Electric Generators, Electric Utilities"/>
    <x v="4"/>
    <n v="27799.41"/>
  </r>
  <r>
    <x v="21"/>
    <x v="14"/>
    <s v="Electric Generators, Electric Utilities"/>
    <x v="5"/>
    <n v="11248"/>
  </r>
  <r>
    <x v="21"/>
    <x v="14"/>
    <s v="Combined Heat and Power, Industrial Power"/>
    <x v="0"/>
    <n v="2862947.28"/>
  </r>
  <r>
    <x v="21"/>
    <x v="14"/>
    <s v="Combined Heat and Power, Industrial Power"/>
    <x v="1"/>
    <n v="1853699.18"/>
  </r>
  <r>
    <x v="21"/>
    <x v="14"/>
    <s v="Combined Heat and Power, Industrial Power"/>
    <x v="3"/>
    <n v="397898.11"/>
  </r>
  <r>
    <x v="21"/>
    <x v="14"/>
    <s v="Combined Heat and Power, Industrial Power"/>
    <x v="12"/>
    <n v="292680.73"/>
  </r>
  <r>
    <x v="21"/>
    <x v="14"/>
    <s v="Combined Heat and Power, Industrial Power"/>
    <x v="9"/>
    <n v="318143.03000000003"/>
  </r>
  <r>
    <x v="21"/>
    <x v="14"/>
    <s v="Combined Heat and Power, Industrial Power"/>
    <x v="4"/>
    <n v="6.98"/>
  </r>
  <r>
    <x v="21"/>
    <x v="14"/>
    <s v="Combined Heat and Power, Industrial Power"/>
    <x v="6"/>
    <n v="519.25"/>
  </r>
  <r>
    <x v="21"/>
    <x v="14"/>
    <s v="Combined Heat and Power, Electric Power"/>
    <x v="0"/>
    <n v="501769.52"/>
  </r>
  <r>
    <x v="21"/>
    <x v="14"/>
    <s v="Combined Heat and Power, Electric Power"/>
    <x v="3"/>
    <n v="501322.75"/>
  </r>
  <r>
    <x v="21"/>
    <x v="14"/>
    <s v="Combined Heat and Power, Electric Power"/>
    <x v="8"/>
    <n v="41.28"/>
  </r>
  <r>
    <x v="21"/>
    <x v="14"/>
    <s v="Combined Heat and Power, Electric Power"/>
    <x v="9"/>
    <n v="405.49"/>
  </r>
  <r>
    <x v="21"/>
    <x v="14"/>
    <s v="Combined Heat and Power, Electric Power"/>
    <x v="4"/>
    <n v="0"/>
  </r>
  <r>
    <x v="21"/>
    <x v="14"/>
    <s v="Combined Heat and Power, Commercial Power"/>
    <x v="0"/>
    <n v="447408.44"/>
  </r>
  <r>
    <x v="21"/>
    <x v="14"/>
    <s v="Combined Heat and Power, Commercial Power"/>
    <x v="1"/>
    <n v="46097.67"/>
  </r>
  <r>
    <x v="21"/>
    <x v="14"/>
    <s v="Combined Heat and Power, Commercial Power"/>
    <x v="3"/>
    <n v="401092.52"/>
  </r>
  <r>
    <x v="21"/>
    <x v="14"/>
    <s v="Combined Heat and Power, Commercial Power"/>
    <x v="8"/>
    <n v="9.51"/>
  </r>
  <r>
    <x v="21"/>
    <x v="14"/>
    <s v="Combined Heat and Power, Commercial Power"/>
    <x v="4"/>
    <n v="208.75"/>
  </r>
  <r>
    <x v="21"/>
    <x v="15"/>
    <s v="Total Electric Power Industry"/>
    <x v="0"/>
    <n v="122131413.95999999"/>
  </r>
  <r>
    <x v="21"/>
    <x v="15"/>
    <s v="Total Electric Power Industry"/>
    <x v="1"/>
    <n v="104152598.25"/>
  </r>
  <r>
    <x v="21"/>
    <x v="15"/>
    <s v="Total Electric Power Industry"/>
    <x v="2"/>
    <n v="408779"/>
  </r>
  <r>
    <x v="21"/>
    <x v="15"/>
    <s v="Total Electric Power Industry"/>
    <x v="3"/>
    <n v="10063968.289999999"/>
  </r>
  <r>
    <x v="21"/>
    <x v="15"/>
    <s v="Total Electric Power Industry"/>
    <x v="12"/>
    <n v="369052.75"/>
  </r>
  <r>
    <x v="21"/>
    <x v="15"/>
    <s v="Total Electric Power Industry"/>
    <x v="8"/>
    <n v="335587.55"/>
  </r>
  <r>
    <x v="21"/>
    <x v="15"/>
    <s v="Total Electric Power Industry"/>
    <x v="9"/>
    <n v="2183387.4500000002"/>
  </r>
  <r>
    <x v="21"/>
    <x v="15"/>
    <s v="Total Electric Power Industry"/>
    <x v="4"/>
    <n v="1332629.67"/>
  </r>
  <r>
    <x v="21"/>
    <x v="15"/>
    <s v="Total Electric Power Industry"/>
    <x v="5"/>
    <n v="3285411"/>
  </r>
  <r>
    <x v="21"/>
    <x v="15"/>
    <s v="Electric Generators, Independent Power Producers"/>
    <x v="0"/>
    <n v="6519764.8499999996"/>
  </r>
  <r>
    <x v="21"/>
    <x v="15"/>
    <s v="Electric Generators, Independent Power Producers"/>
    <x v="1"/>
    <n v="3053650.52"/>
  </r>
  <r>
    <x v="21"/>
    <x v="15"/>
    <s v="Electric Generators, Independent Power Producers"/>
    <x v="3"/>
    <n v="181961.33"/>
  </r>
  <r>
    <x v="21"/>
    <x v="15"/>
    <s v="Electric Generators, Independent Power Producers"/>
    <x v="5"/>
    <n v="3284153"/>
  </r>
  <r>
    <x v="21"/>
    <x v="15"/>
    <s v="Electric Generators, Electric Utilities"/>
    <x v="0"/>
    <n v="104840026.72"/>
  </r>
  <r>
    <x v="21"/>
    <x v="15"/>
    <s v="Electric Generators, Electric Utilities"/>
    <x v="1"/>
    <n v="95404215.730000004"/>
  </r>
  <r>
    <x v="21"/>
    <x v="15"/>
    <s v="Electric Generators, Electric Utilities"/>
    <x v="2"/>
    <n v="408779"/>
  </r>
  <r>
    <x v="21"/>
    <x v="15"/>
    <s v="Electric Generators, Electric Utilities"/>
    <x v="3"/>
    <n v="7338176.3600000003"/>
  </r>
  <r>
    <x v="21"/>
    <x v="15"/>
    <s v="Electric Generators, Electric Utilities"/>
    <x v="12"/>
    <n v="76088.789999999994"/>
  </r>
  <r>
    <x v="21"/>
    <x v="15"/>
    <s v="Electric Generators, Electric Utilities"/>
    <x v="8"/>
    <n v="295073.76"/>
  </r>
  <r>
    <x v="21"/>
    <x v="15"/>
    <s v="Electric Generators, Electric Utilities"/>
    <x v="4"/>
    <n v="1317693.08"/>
  </r>
  <r>
    <x v="21"/>
    <x v="15"/>
    <s v="Combined Heat and Power, Industrial Power"/>
    <x v="0"/>
    <n v="3018731.4"/>
  </r>
  <r>
    <x v="21"/>
    <x v="15"/>
    <s v="Combined Heat and Power, Industrial Power"/>
    <x v="1"/>
    <n v="46460.74"/>
  </r>
  <r>
    <x v="21"/>
    <x v="15"/>
    <s v="Combined Heat and Power, Industrial Power"/>
    <x v="3"/>
    <n v="481565.11"/>
  </r>
  <r>
    <x v="21"/>
    <x v="15"/>
    <s v="Combined Heat and Power, Industrial Power"/>
    <x v="12"/>
    <n v="273605"/>
  </r>
  <r>
    <x v="21"/>
    <x v="15"/>
    <s v="Combined Heat and Power, Industrial Power"/>
    <x v="8"/>
    <n v="20365.63"/>
  </r>
  <r>
    <x v="21"/>
    <x v="15"/>
    <s v="Combined Heat and Power, Industrial Power"/>
    <x v="9"/>
    <n v="2183387.4500000002"/>
  </r>
  <r>
    <x v="21"/>
    <x v="15"/>
    <s v="Combined Heat and Power, Industrial Power"/>
    <x v="4"/>
    <n v="13347.47"/>
  </r>
  <r>
    <x v="21"/>
    <x v="15"/>
    <s v="Combined Heat and Power, Electric Power"/>
    <x v="0"/>
    <n v="7529203"/>
  </r>
  <r>
    <x v="21"/>
    <x v="15"/>
    <s v="Combined Heat and Power, Electric Power"/>
    <x v="1"/>
    <n v="5516078.79"/>
  </r>
  <r>
    <x v="21"/>
    <x v="15"/>
    <s v="Combined Heat and Power, Electric Power"/>
    <x v="3"/>
    <n v="2013120.11"/>
  </r>
  <r>
    <x v="21"/>
    <x v="15"/>
    <s v="Combined Heat and Power, Electric Power"/>
    <x v="9"/>
    <n v="0"/>
  </r>
  <r>
    <x v="21"/>
    <x v="15"/>
    <s v="Combined Heat and Power, Electric Power"/>
    <x v="4"/>
    <n v="4.0999999999999996"/>
  </r>
  <r>
    <x v="21"/>
    <x v="15"/>
    <s v="Combined Heat and Power, Commercial Power"/>
    <x v="0"/>
    <n v="223687.99"/>
  </r>
  <r>
    <x v="21"/>
    <x v="15"/>
    <s v="Combined Heat and Power, Commercial Power"/>
    <x v="1"/>
    <n v="132192.47"/>
  </r>
  <r>
    <x v="21"/>
    <x v="15"/>
    <s v="Combined Heat and Power, Commercial Power"/>
    <x v="3"/>
    <n v="49145.37"/>
  </r>
  <r>
    <x v="21"/>
    <x v="15"/>
    <s v="Combined Heat and Power, Commercial Power"/>
    <x v="12"/>
    <n v="19358.96"/>
  </r>
  <r>
    <x v="21"/>
    <x v="15"/>
    <s v="Combined Heat and Power, Commercial Power"/>
    <x v="8"/>
    <n v="20148.169999999998"/>
  </r>
  <r>
    <x v="21"/>
    <x v="15"/>
    <s v="Combined Heat and Power, Commercial Power"/>
    <x v="4"/>
    <n v="1585.02"/>
  </r>
  <r>
    <x v="21"/>
    <x v="15"/>
    <s v="Combined Heat and Power, Commercial Power"/>
    <x v="5"/>
    <n v="1258"/>
  </r>
  <r>
    <x v="21"/>
    <x v="16"/>
    <s v="Total Electric Power Industry"/>
    <x v="0"/>
    <n v="45359840.119999997"/>
  </r>
  <r>
    <x v="21"/>
    <x v="16"/>
    <s v="Total Electric Power Industry"/>
    <x v="1"/>
    <n v="31655848.850000001"/>
  </r>
  <r>
    <x v="21"/>
    <x v="16"/>
    <s v="Total Electric Power Industry"/>
    <x v="2"/>
    <n v="14745"/>
  </r>
  <r>
    <x v="21"/>
    <x v="16"/>
    <s v="Total Electric Power Industry"/>
    <x v="3"/>
    <n v="2535087.37"/>
  </r>
  <r>
    <x v="21"/>
    <x v="16"/>
    <s v="Total Electric Power Industry"/>
    <x v="7"/>
    <n v="7318888"/>
  </r>
  <r>
    <x v="21"/>
    <x v="16"/>
    <s v="Total Electric Power Industry"/>
    <x v="8"/>
    <n v="58753"/>
  </r>
  <r>
    <x v="21"/>
    <x v="16"/>
    <s v="Total Electric Power Industry"/>
    <x v="4"/>
    <n v="56538.9"/>
  </r>
  <r>
    <x v="21"/>
    <x v="16"/>
    <s v="Total Electric Power Industry"/>
    <x v="5"/>
    <n v="3719979"/>
  </r>
  <r>
    <x v="21"/>
    <x v="16"/>
    <s v="Electric Generators, Independent Power Producers"/>
    <x v="0"/>
    <n v="2775806"/>
  </r>
  <r>
    <x v="21"/>
    <x v="16"/>
    <s v="Electric Generators, Independent Power Producers"/>
    <x v="2"/>
    <n v="14745"/>
  </r>
  <r>
    <x v="21"/>
    <x v="16"/>
    <s v="Electric Generators, Independent Power Producers"/>
    <x v="8"/>
    <n v="58753"/>
  </r>
  <r>
    <x v="21"/>
    <x v="16"/>
    <s v="Electric Generators, Independent Power Producers"/>
    <x v="5"/>
    <n v="2702308"/>
  </r>
  <r>
    <x v="21"/>
    <x v="16"/>
    <s v="Electric Generators, Electric Utilities"/>
    <x v="0"/>
    <n v="42582626.119999997"/>
  </r>
  <r>
    <x v="21"/>
    <x v="16"/>
    <s v="Electric Generators, Electric Utilities"/>
    <x v="1"/>
    <n v="31655848.850000001"/>
  </r>
  <r>
    <x v="21"/>
    <x v="16"/>
    <s v="Electric Generators, Electric Utilities"/>
    <x v="3"/>
    <n v="2533679.37"/>
  </r>
  <r>
    <x v="21"/>
    <x v="16"/>
    <s v="Electric Generators, Electric Utilities"/>
    <x v="7"/>
    <n v="7318888"/>
  </r>
  <r>
    <x v="21"/>
    <x v="16"/>
    <s v="Electric Generators, Electric Utilities"/>
    <x v="8"/>
    <n v="0"/>
  </r>
  <r>
    <x v="21"/>
    <x v="16"/>
    <s v="Electric Generators, Electric Utilities"/>
    <x v="4"/>
    <n v="56538.9"/>
  </r>
  <r>
    <x v="21"/>
    <x v="16"/>
    <s v="Electric Generators, Electric Utilities"/>
    <x v="5"/>
    <n v="1017671"/>
  </r>
  <r>
    <x v="21"/>
    <x v="16"/>
    <s v="Combined Heat and Power, Industrial Power"/>
    <x v="0"/>
    <n v="1408"/>
  </r>
  <r>
    <x v="21"/>
    <x v="16"/>
    <s v="Combined Heat and Power, Industrial Power"/>
    <x v="3"/>
    <n v="1408"/>
  </r>
  <r>
    <x v="21"/>
    <x v="17"/>
    <s v="Total Electric Power Industry"/>
    <x v="0"/>
    <n v="98350982.180000007"/>
  </r>
  <r>
    <x v="21"/>
    <x v="17"/>
    <s v="Total Electric Power Industry"/>
    <x v="1"/>
    <n v="91656029.650000006"/>
  </r>
  <r>
    <x v="21"/>
    <x v="17"/>
    <s v="Total Electric Power Industry"/>
    <x v="2"/>
    <n v="2969312"/>
  </r>
  <r>
    <x v="21"/>
    <x v="17"/>
    <s v="Total Electric Power Industry"/>
    <x v="3"/>
    <n v="1545505.45"/>
  </r>
  <r>
    <x v="21"/>
    <x v="17"/>
    <s v="Total Electric Power Industry"/>
    <x v="12"/>
    <n v="8954.81"/>
  </r>
  <r>
    <x v="21"/>
    <x v="17"/>
    <s v="Total Electric Power Industry"/>
    <x v="8"/>
    <n v="94958.14"/>
  </r>
  <r>
    <x v="21"/>
    <x v="17"/>
    <s v="Total Electric Power Industry"/>
    <x v="4"/>
    <n v="1734949.76"/>
  </r>
  <r>
    <x v="21"/>
    <x v="17"/>
    <s v="Total Electric Power Industry"/>
    <x v="6"/>
    <n v="341272.37"/>
  </r>
  <r>
    <x v="21"/>
    <x v="17"/>
    <s v="Electric Generators, Independent Power Producers"/>
    <x v="0"/>
    <n v="154113"/>
  </r>
  <r>
    <x v="21"/>
    <x v="17"/>
    <s v="Electric Generators, Independent Power Producers"/>
    <x v="2"/>
    <n v="9684"/>
  </r>
  <r>
    <x v="21"/>
    <x v="17"/>
    <s v="Electric Generators, Independent Power Producers"/>
    <x v="3"/>
    <n v="144429"/>
  </r>
  <r>
    <x v="21"/>
    <x v="17"/>
    <s v="Electric Generators, Electric Utilities"/>
    <x v="0"/>
    <n v="97617419.269999996"/>
  </r>
  <r>
    <x v="21"/>
    <x v="17"/>
    <s v="Electric Generators, Electric Utilities"/>
    <x v="1"/>
    <n v="91656029.650000006"/>
  </r>
  <r>
    <x v="21"/>
    <x v="17"/>
    <s v="Electric Generators, Electric Utilities"/>
    <x v="2"/>
    <n v="2959628"/>
  </r>
  <r>
    <x v="21"/>
    <x v="17"/>
    <s v="Electric Generators, Electric Utilities"/>
    <x v="3"/>
    <n v="1163275.05"/>
  </r>
  <r>
    <x v="21"/>
    <x v="17"/>
    <s v="Electric Generators, Electric Utilities"/>
    <x v="12"/>
    <n v="8954.81"/>
  </r>
  <r>
    <x v="21"/>
    <x v="17"/>
    <s v="Electric Generators, Electric Utilities"/>
    <x v="8"/>
    <n v="94582"/>
  </r>
  <r>
    <x v="21"/>
    <x v="17"/>
    <s v="Electric Generators, Electric Utilities"/>
    <x v="4"/>
    <n v="1734949.76"/>
  </r>
  <r>
    <x v="21"/>
    <x v="17"/>
    <s v="Combined Heat and Power, Industrial Power"/>
    <x v="0"/>
    <n v="579449.91"/>
  </r>
  <r>
    <x v="21"/>
    <x v="17"/>
    <s v="Combined Heat and Power, Industrial Power"/>
    <x v="3"/>
    <n v="237801.4"/>
  </r>
  <r>
    <x v="21"/>
    <x v="17"/>
    <s v="Combined Heat and Power, Industrial Power"/>
    <x v="8"/>
    <n v="376.14"/>
  </r>
  <r>
    <x v="21"/>
    <x v="17"/>
    <s v="Combined Heat and Power, Industrial Power"/>
    <x v="6"/>
    <n v="341272.37"/>
  </r>
  <r>
    <x v="21"/>
    <x v="18"/>
    <s v="Total Electric Power Industry"/>
    <x v="0"/>
    <n v="105490736.95999999"/>
  </r>
  <r>
    <x v="21"/>
    <x v="18"/>
    <s v="Total Electric Power Industry"/>
    <x v="1"/>
    <n v="24627519.460000001"/>
  </r>
  <r>
    <x v="21"/>
    <x v="18"/>
    <s v="Total Electric Power Industry"/>
    <x v="2"/>
    <n v="1044019"/>
  </r>
  <r>
    <x v="21"/>
    <x v="18"/>
    <s v="Total Electric Power Industry"/>
    <x v="3"/>
    <n v="54322464.210000001"/>
  </r>
  <r>
    <x v="21"/>
    <x v="18"/>
    <s v="Total Electric Power Industry"/>
    <x v="7"/>
    <n v="16614975"/>
  </r>
  <r>
    <x v="21"/>
    <x v="18"/>
    <s v="Total Electric Power Industry"/>
    <x v="12"/>
    <n v="439569.78"/>
  </r>
  <r>
    <x v="21"/>
    <x v="18"/>
    <s v="Total Electric Power Industry"/>
    <x v="8"/>
    <n v="71093.460000000006"/>
  </r>
  <r>
    <x v="21"/>
    <x v="18"/>
    <s v="Total Electric Power Industry"/>
    <x v="9"/>
    <n v="1292181.81"/>
  </r>
  <r>
    <x v="21"/>
    <x v="18"/>
    <s v="Total Electric Power Industry"/>
    <x v="4"/>
    <n v="4707476.8600000003"/>
  </r>
  <r>
    <x v="21"/>
    <x v="18"/>
    <s v="Total Electric Power Industry"/>
    <x v="6"/>
    <n v="2371437.38"/>
  </r>
  <r>
    <x v="21"/>
    <x v="18"/>
    <s v="Electric Generators, Independent Power Producers"/>
    <x v="0"/>
    <n v="17100656"/>
  </r>
  <r>
    <x v="21"/>
    <x v="18"/>
    <s v="Electric Generators, Independent Power Producers"/>
    <x v="1"/>
    <n v="12748831.23"/>
  </r>
  <r>
    <x v="21"/>
    <x v="18"/>
    <s v="Electric Generators, Independent Power Producers"/>
    <x v="2"/>
    <n v="1044019"/>
  </r>
  <r>
    <x v="21"/>
    <x v="18"/>
    <s v="Electric Generators, Independent Power Producers"/>
    <x v="3"/>
    <n v="3219191.77"/>
  </r>
  <r>
    <x v="21"/>
    <x v="18"/>
    <s v="Electric Generators, Independent Power Producers"/>
    <x v="8"/>
    <n v="70074.23"/>
  </r>
  <r>
    <x v="21"/>
    <x v="18"/>
    <s v="Electric Generators, Independent Power Producers"/>
    <x v="4"/>
    <n v="18539.77"/>
  </r>
  <r>
    <x v="21"/>
    <x v="18"/>
    <s v="Electric Generators, Electric Utilities"/>
    <x v="0"/>
    <n v="54924000.399999999"/>
  </r>
  <r>
    <x v="21"/>
    <x v="18"/>
    <s v="Electric Generators, Electric Utilities"/>
    <x v="1"/>
    <n v="11860056.41"/>
  </r>
  <r>
    <x v="21"/>
    <x v="18"/>
    <s v="Electric Generators, Electric Utilities"/>
    <x v="3"/>
    <n v="22070622.039999999"/>
  </r>
  <r>
    <x v="21"/>
    <x v="18"/>
    <s v="Electric Generators, Electric Utilities"/>
    <x v="7"/>
    <n v="16614975"/>
  </r>
  <r>
    <x v="21"/>
    <x v="18"/>
    <s v="Electric Generators, Electric Utilities"/>
    <x v="4"/>
    <n v="4378346.9400000004"/>
  </r>
  <r>
    <x v="21"/>
    <x v="18"/>
    <s v="Combined Heat and Power, Industrial Power"/>
    <x v="0"/>
    <n v="28325097.559999999"/>
  </r>
  <r>
    <x v="21"/>
    <x v="18"/>
    <s v="Combined Heat and Power, Industrial Power"/>
    <x v="1"/>
    <n v="18631.82"/>
  </r>
  <r>
    <x v="21"/>
    <x v="18"/>
    <s v="Combined Heat and Power, Industrial Power"/>
    <x v="3"/>
    <n v="24146580.879999999"/>
  </r>
  <r>
    <x v="21"/>
    <x v="18"/>
    <s v="Combined Heat and Power, Industrial Power"/>
    <x v="12"/>
    <n v="439569.78"/>
  </r>
  <r>
    <x v="21"/>
    <x v="18"/>
    <s v="Combined Heat and Power, Industrial Power"/>
    <x v="8"/>
    <n v="1019.23"/>
  </r>
  <r>
    <x v="21"/>
    <x v="18"/>
    <s v="Combined Heat and Power, Industrial Power"/>
    <x v="9"/>
    <n v="1037268.32"/>
  </r>
  <r>
    <x v="21"/>
    <x v="18"/>
    <s v="Combined Heat and Power, Industrial Power"/>
    <x v="4"/>
    <n v="310590.15000000002"/>
  </r>
  <r>
    <x v="21"/>
    <x v="18"/>
    <s v="Combined Heat and Power, Industrial Power"/>
    <x v="6"/>
    <n v="2371437.38"/>
  </r>
  <r>
    <x v="21"/>
    <x v="18"/>
    <s v="Combined Heat and Power, Electric Power"/>
    <x v="0"/>
    <n v="5093953"/>
  </r>
  <r>
    <x v="21"/>
    <x v="18"/>
    <s v="Combined Heat and Power, Electric Power"/>
    <x v="3"/>
    <n v="4839039.51"/>
  </r>
  <r>
    <x v="21"/>
    <x v="18"/>
    <s v="Combined Heat and Power, Electric Power"/>
    <x v="9"/>
    <n v="254913.49"/>
  </r>
  <r>
    <x v="21"/>
    <x v="18"/>
    <s v="Combined Heat and Power, Electric Power"/>
    <x v="4"/>
    <n v="0"/>
  </r>
  <r>
    <x v="21"/>
    <x v="18"/>
    <s v="Combined Heat and Power, Commercial Power"/>
    <x v="0"/>
    <n v="47030"/>
  </r>
  <r>
    <x v="21"/>
    <x v="18"/>
    <s v="Combined Heat and Power, Commercial Power"/>
    <x v="3"/>
    <n v="47030"/>
  </r>
  <r>
    <x v="21"/>
    <x v="19"/>
    <s v="Total Electric Power Industry"/>
    <x v="0"/>
    <n v="38054820.509999998"/>
  </r>
  <r>
    <x v="21"/>
    <x v="19"/>
    <s v="Total Electric Power Industry"/>
    <x v="1"/>
    <n v="4058807.36"/>
  </r>
  <r>
    <x v="21"/>
    <x v="19"/>
    <s v="Total Electric Power Industry"/>
    <x v="2"/>
    <n v="1148761.96"/>
  </r>
  <r>
    <x v="21"/>
    <x v="19"/>
    <s v="Total Electric Power Industry"/>
    <x v="3"/>
    <n v="25939672.059999999"/>
  </r>
  <r>
    <x v="21"/>
    <x v="19"/>
    <s v="Total Electric Power Industry"/>
    <x v="7"/>
    <n v="5085220"/>
  </r>
  <r>
    <x v="21"/>
    <x v="19"/>
    <s v="Total Electric Power Industry"/>
    <x v="12"/>
    <n v="859514.18"/>
  </r>
  <r>
    <x v="21"/>
    <x v="19"/>
    <s v="Total Electric Power Industry"/>
    <x v="8"/>
    <n v="1039129.56"/>
  </r>
  <r>
    <x v="21"/>
    <x v="19"/>
    <s v="Total Electric Power Industry"/>
    <x v="4"/>
    <n v="196502.61"/>
  </r>
  <r>
    <x v="21"/>
    <x v="19"/>
    <s v="Total Electric Power Industry"/>
    <x v="10"/>
    <n v="-440231"/>
  </r>
  <r>
    <x v="21"/>
    <x v="19"/>
    <s v="Total Electric Power Industry"/>
    <x v="13"/>
    <n v="4764.47"/>
  </r>
  <r>
    <x v="21"/>
    <x v="19"/>
    <s v="Total Electric Power Industry"/>
    <x v="5"/>
    <n v="61384.79"/>
  </r>
  <r>
    <x v="21"/>
    <x v="19"/>
    <s v="Total Electric Power Industry"/>
    <x v="6"/>
    <n v="101294.54"/>
  </r>
  <r>
    <x v="21"/>
    <x v="19"/>
    <s v="Electric Generators, Independent Power Producers"/>
    <x v="0"/>
    <n v="34090819.640000001"/>
  </r>
  <r>
    <x v="21"/>
    <x v="19"/>
    <s v="Electric Generators, Independent Power Producers"/>
    <x v="1"/>
    <n v="4028973.3"/>
  </r>
  <r>
    <x v="21"/>
    <x v="19"/>
    <s v="Electric Generators, Independent Power Producers"/>
    <x v="2"/>
    <n v="856242"/>
  </r>
  <r>
    <x v="21"/>
    <x v="19"/>
    <s v="Electric Generators, Independent Power Producers"/>
    <x v="3"/>
    <n v="22442961.82"/>
  </r>
  <r>
    <x v="21"/>
    <x v="19"/>
    <s v="Electric Generators, Independent Power Producers"/>
    <x v="7"/>
    <n v="5085220"/>
  </r>
  <r>
    <x v="21"/>
    <x v="19"/>
    <s v="Electric Generators, Independent Power Producers"/>
    <x v="12"/>
    <n v="859514.18"/>
  </r>
  <r>
    <x v="21"/>
    <x v="19"/>
    <s v="Electric Generators, Independent Power Producers"/>
    <x v="8"/>
    <n v="1035744.27"/>
  </r>
  <r>
    <x v="21"/>
    <x v="19"/>
    <s v="Electric Generators, Independent Power Producers"/>
    <x v="4"/>
    <n v="113182.53"/>
  </r>
  <r>
    <x v="21"/>
    <x v="19"/>
    <s v="Electric Generators, Independent Power Producers"/>
    <x v="10"/>
    <n v="-440231"/>
  </r>
  <r>
    <x v="21"/>
    <x v="19"/>
    <s v="Electric Generators, Independent Power Producers"/>
    <x v="13"/>
    <n v="138"/>
  </r>
  <r>
    <x v="21"/>
    <x v="19"/>
    <s v="Electric Generators, Independent Power Producers"/>
    <x v="5"/>
    <n v="7780"/>
  </r>
  <r>
    <x v="21"/>
    <x v="19"/>
    <s v="Electric Generators, Independent Power Producers"/>
    <x v="6"/>
    <n v="101294.54"/>
  </r>
  <r>
    <x v="21"/>
    <x v="19"/>
    <s v="Electric Generators, Electric Utilities"/>
    <x v="0"/>
    <n v="609632"/>
  </r>
  <r>
    <x v="21"/>
    <x v="19"/>
    <s v="Electric Generators, Electric Utilities"/>
    <x v="2"/>
    <n v="280709"/>
  </r>
  <r>
    <x v="21"/>
    <x v="19"/>
    <s v="Electric Generators, Electric Utilities"/>
    <x v="3"/>
    <n v="240363.67"/>
  </r>
  <r>
    <x v="21"/>
    <x v="19"/>
    <s v="Electric Generators, Electric Utilities"/>
    <x v="4"/>
    <n v="40375.33"/>
  </r>
  <r>
    <x v="21"/>
    <x v="19"/>
    <s v="Electric Generators, Electric Utilities"/>
    <x v="13"/>
    <n v="3980"/>
  </r>
  <r>
    <x v="21"/>
    <x v="19"/>
    <s v="Electric Generators, Electric Utilities"/>
    <x v="5"/>
    <n v="44204"/>
  </r>
  <r>
    <x v="21"/>
    <x v="19"/>
    <s v="Combined Heat and Power, Industrial Power"/>
    <x v="0"/>
    <n v="172288.29"/>
  </r>
  <r>
    <x v="21"/>
    <x v="19"/>
    <s v="Combined Heat and Power, Industrial Power"/>
    <x v="1"/>
    <n v="29834.06"/>
  </r>
  <r>
    <x v="21"/>
    <x v="19"/>
    <s v="Combined Heat and Power, Industrial Power"/>
    <x v="2"/>
    <n v="6164"/>
  </r>
  <r>
    <x v="21"/>
    <x v="19"/>
    <s v="Combined Heat and Power, Industrial Power"/>
    <x v="3"/>
    <n v="136078.09"/>
  </r>
  <r>
    <x v="21"/>
    <x v="19"/>
    <s v="Combined Heat and Power, Industrial Power"/>
    <x v="4"/>
    <n v="212.15"/>
  </r>
  <r>
    <x v="21"/>
    <x v="19"/>
    <s v="Combined Heat and Power, Electric Power"/>
    <x v="0"/>
    <n v="2692009.35"/>
  </r>
  <r>
    <x v="21"/>
    <x v="19"/>
    <s v="Combined Heat and Power, Electric Power"/>
    <x v="3"/>
    <n v="2677431.6"/>
  </r>
  <r>
    <x v="21"/>
    <x v="19"/>
    <s v="Combined Heat and Power, Electric Power"/>
    <x v="4"/>
    <n v="14577.75"/>
  </r>
  <r>
    <x v="21"/>
    <x v="19"/>
    <s v="Combined Heat and Power, Commercial Power"/>
    <x v="0"/>
    <n v="490071.24"/>
  </r>
  <r>
    <x v="21"/>
    <x v="19"/>
    <s v="Combined Heat and Power, Commercial Power"/>
    <x v="1"/>
    <n v="0"/>
  </r>
  <r>
    <x v="21"/>
    <x v="19"/>
    <s v="Combined Heat and Power, Commercial Power"/>
    <x v="2"/>
    <n v="5646.96"/>
  </r>
  <r>
    <x v="21"/>
    <x v="19"/>
    <s v="Combined Heat and Power, Commercial Power"/>
    <x v="3"/>
    <n v="442836.89"/>
  </r>
  <r>
    <x v="21"/>
    <x v="19"/>
    <s v="Combined Heat and Power, Commercial Power"/>
    <x v="8"/>
    <n v="3385.28"/>
  </r>
  <r>
    <x v="21"/>
    <x v="19"/>
    <s v="Combined Heat and Power, Commercial Power"/>
    <x v="4"/>
    <n v="28154.85"/>
  </r>
  <r>
    <x v="21"/>
    <x v="19"/>
    <s v="Combined Heat and Power, Commercial Power"/>
    <x v="13"/>
    <n v="646.47"/>
  </r>
  <r>
    <x v="21"/>
    <x v="19"/>
    <s v="Combined Heat and Power, Commercial Power"/>
    <x v="5"/>
    <n v="9400.7900000000009"/>
  </r>
  <r>
    <x v="21"/>
    <x v="20"/>
    <s v="Total Electric Power Industry"/>
    <x v="0"/>
    <n v="41818068.189999998"/>
  </r>
  <r>
    <x v="21"/>
    <x v="20"/>
    <s v="Total Electric Power Industry"/>
    <x v="1"/>
    <n v="21058936.190000001"/>
  </r>
  <r>
    <x v="21"/>
    <x v="20"/>
    <s v="Total Electric Power Industry"/>
    <x v="2"/>
    <n v="2547123"/>
  </r>
  <r>
    <x v="21"/>
    <x v="20"/>
    <s v="Total Electric Power Industry"/>
    <x v="3"/>
    <n v="2310660.4700000002"/>
  </r>
  <r>
    <x v="21"/>
    <x v="20"/>
    <s v="Total Electric Power Industry"/>
    <x v="7"/>
    <n v="14397437"/>
  </r>
  <r>
    <x v="21"/>
    <x v="20"/>
    <s v="Total Electric Power Industry"/>
    <x v="12"/>
    <n v="298563.39"/>
  </r>
  <r>
    <x v="21"/>
    <x v="20"/>
    <s v="Total Electric Power Industry"/>
    <x v="8"/>
    <n v="379889.87"/>
  </r>
  <r>
    <x v="21"/>
    <x v="20"/>
    <s v="Total Electric Power Industry"/>
    <x v="9"/>
    <n v="154640.26"/>
  </r>
  <r>
    <x v="21"/>
    <x v="20"/>
    <s v="Total Electric Power Industry"/>
    <x v="4"/>
    <n v="228966.73"/>
  </r>
  <r>
    <x v="21"/>
    <x v="20"/>
    <s v="Total Electric Power Industry"/>
    <x v="13"/>
    <n v="2706"/>
  </r>
  <r>
    <x v="21"/>
    <x v="20"/>
    <s v="Total Electric Power Industry"/>
    <x v="5"/>
    <n v="270713"/>
  </r>
  <r>
    <x v="21"/>
    <x v="20"/>
    <s v="Total Electric Power Industry"/>
    <x v="6"/>
    <n v="168432.27"/>
  </r>
  <r>
    <x v="21"/>
    <x v="20"/>
    <s v="Electric Generators, Independent Power Producers"/>
    <x v="0"/>
    <n v="39090434.399999999"/>
  </r>
  <r>
    <x v="21"/>
    <x v="20"/>
    <s v="Electric Generators, Independent Power Producers"/>
    <x v="1"/>
    <n v="19484063.82"/>
  </r>
  <r>
    <x v="21"/>
    <x v="20"/>
    <s v="Electric Generators, Independent Power Producers"/>
    <x v="2"/>
    <n v="2547123"/>
  </r>
  <r>
    <x v="21"/>
    <x v="20"/>
    <s v="Electric Generators, Independent Power Producers"/>
    <x v="3"/>
    <n v="1839739.16"/>
  </r>
  <r>
    <x v="21"/>
    <x v="20"/>
    <s v="Electric Generators, Independent Power Producers"/>
    <x v="7"/>
    <n v="14397437"/>
  </r>
  <r>
    <x v="21"/>
    <x v="20"/>
    <s v="Electric Generators, Independent Power Producers"/>
    <x v="12"/>
    <n v="147502.12"/>
  </r>
  <r>
    <x v="21"/>
    <x v="20"/>
    <s v="Electric Generators, Independent Power Producers"/>
    <x v="8"/>
    <n v="184530.13"/>
  </r>
  <r>
    <x v="21"/>
    <x v="20"/>
    <s v="Electric Generators, Independent Power Producers"/>
    <x v="4"/>
    <n v="216794.16"/>
  </r>
  <r>
    <x v="21"/>
    <x v="20"/>
    <s v="Electric Generators, Independent Power Producers"/>
    <x v="13"/>
    <n v="2532"/>
  </r>
  <r>
    <x v="21"/>
    <x v="20"/>
    <s v="Electric Generators, Independent Power Producers"/>
    <x v="5"/>
    <n v="270713"/>
  </r>
  <r>
    <x v="21"/>
    <x v="20"/>
    <s v="Electric Generators, Electric Utilities"/>
    <x v="0"/>
    <n v="7872"/>
  </r>
  <r>
    <x v="21"/>
    <x v="20"/>
    <s v="Electric Generators, Electric Utilities"/>
    <x v="3"/>
    <n v="0"/>
  </r>
  <r>
    <x v="21"/>
    <x v="20"/>
    <s v="Electric Generators, Electric Utilities"/>
    <x v="8"/>
    <n v="218.5"/>
  </r>
  <r>
    <x v="21"/>
    <x v="20"/>
    <s v="Electric Generators, Electric Utilities"/>
    <x v="4"/>
    <n v="7479.5"/>
  </r>
  <r>
    <x v="21"/>
    <x v="20"/>
    <s v="Electric Generators, Electric Utilities"/>
    <x v="13"/>
    <n v="174"/>
  </r>
  <r>
    <x v="21"/>
    <x v="20"/>
    <s v="Combined Heat and Power, Industrial Power"/>
    <x v="0"/>
    <n v="614207.32999999996"/>
  </r>
  <r>
    <x v="21"/>
    <x v="20"/>
    <s v="Combined Heat and Power, Industrial Power"/>
    <x v="1"/>
    <n v="199027.69"/>
  </r>
  <r>
    <x v="21"/>
    <x v="20"/>
    <s v="Combined Heat and Power, Industrial Power"/>
    <x v="3"/>
    <n v="107341.31"/>
  </r>
  <r>
    <x v="21"/>
    <x v="20"/>
    <s v="Combined Heat and Power, Industrial Power"/>
    <x v="9"/>
    <n v="154640.26"/>
  </r>
  <r>
    <x v="21"/>
    <x v="20"/>
    <s v="Combined Heat and Power, Industrial Power"/>
    <x v="4"/>
    <n v="3146.7"/>
  </r>
  <r>
    <x v="21"/>
    <x v="20"/>
    <s v="Combined Heat and Power, Industrial Power"/>
    <x v="6"/>
    <n v="150051.37"/>
  </r>
  <r>
    <x v="21"/>
    <x v="20"/>
    <s v="Combined Heat and Power, Electric Power"/>
    <x v="0"/>
    <n v="1869224"/>
  </r>
  <r>
    <x v="21"/>
    <x v="20"/>
    <s v="Combined Heat and Power, Electric Power"/>
    <x v="1"/>
    <n v="1375844.68"/>
  </r>
  <r>
    <x v="21"/>
    <x v="20"/>
    <s v="Combined Heat and Power, Electric Power"/>
    <x v="3"/>
    <n v="182675"/>
  </r>
  <r>
    <x v="21"/>
    <x v="20"/>
    <s v="Combined Heat and Power, Electric Power"/>
    <x v="12"/>
    <n v="150612.1"/>
  </r>
  <r>
    <x v="21"/>
    <x v="20"/>
    <s v="Combined Heat and Power, Electric Power"/>
    <x v="8"/>
    <n v="156760.9"/>
  </r>
  <r>
    <x v="21"/>
    <x v="20"/>
    <s v="Combined Heat and Power, Electric Power"/>
    <x v="4"/>
    <n v="1434.36"/>
  </r>
  <r>
    <x v="21"/>
    <x v="20"/>
    <s v="Combined Heat and Power, Electric Power"/>
    <x v="6"/>
    <n v="1896.97"/>
  </r>
  <r>
    <x v="21"/>
    <x v="20"/>
    <s v="Combined Heat and Power, Commercial Power"/>
    <x v="0"/>
    <n v="236330.46"/>
  </r>
  <r>
    <x v="21"/>
    <x v="20"/>
    <s v="Combined Heat and Power, Commercial Power"/>
    <x v="1"/>
    <n v="0"/>
  </r>
  <r>
    <x v="21"/>
    <x v="20"/>
    <s v="Combined Heat and Power, Commercial Power"/>
    <x v="3"/>
    <n v="180905"/>
  </r>
  <r>
    <x v="21"/>
    <x v="20"/>
    <s v="Combined Heat and Power, Commercial Power"/>
    <x v="12"/>
    <n v="449.17"/>
  </r>
  <r>
    <x v="21"/>
    <x v="20"/>
    <s v="Combined Heat and Power, Commercial Power"/>
    <x v="8"/>
    <n v="38380.35"/>
  </r>
  <r>
    <x v="21"/>
    <x v="20"/>
    <s v="Combined Heat and Power, Commercial Power"/>
    <x v="4"/>
    <n v="112.01"/>
  </r>
  <r>
    <x v="21"/>
    <x v="20"/>
    <s v="Combined Heat and Power, Commercial Power"/>
    <x v="6"/>
    <n v="16483.93"/>
  </r>
  <r>
    <x v="21"/>
    <x v="21"/>
    <s v="Total Electric Power Industry"/>
    <x v="0"/>
    <n v="15973688.060000001"/>
  </r>
  <r>
    <x v="21"/>
    <x v="21"/>
    <s v="Total Electric Power Industry"/>
    <x v="1"/>
    <n v="55166.33"/>
  </r>
  <r>
    <x v="21"/>
    <x v="21"/>
    <s v="Total Electric Power Industry"/>
    <x v="2"/>
    <n v="3978977.88"/>
  </r>
  <r>
    <x v="21"/>
    <x v="21"/>
    <s v="Total Electric Power Industry"/>
    <x v="3"/>
    <n v="6876831.2599999998"/>
  </r>
  <r>
    <x v="21"/>
    <x v="21"/>
    <s v="Total Electric Power Industry"/>
    <x v="12"/>
    <n v="390453.75"/>
  </r>
  <r>
    <x v="21"/>
    <x v="21"/>
    <s v="Total Electric Power Industry"/>
    <x v="8"/>
    <n v="276636.62"/>
  </r>
  <r>
    <x v="21"/>
    <x v="21"/>
    <s v="Total Electric Power Industry"/>
    <x v="4"/>
    <n v="177564.86"/>
  </r>
  <r>
    <x v="21"/>
    <x v="21"/>
    <s v="Total Electric Power Industry"/>
    <x v="5"/>
    <n v="706639.52"/>
  </r>
  <r>
    <x v="21"/>
    <x v="21"/>
    <s v="Total Electric Power Industry"/>
    <x v="6"/>
    <n v="3511417.84"/>
  </r>
  <r>
    <x v="21"/>
    <x v="21"/>
    <s v="Electric Generators, Independent Power Producers"/>
    <x v="0"/>
    <n v="10261235.99"/>
  </r>
  <r>
    <x v="21"/>
    <x v="21"/>
    <s v="Electric Generators, Independent Power Producers"/>
    <x v="2"/>
    <n v="3230806"/>
  </r>
  <r>
    <x v="21"/>
    <x v="21"/>
    <s v="Electric Generators, Independent Power Producers"/>
    <x v="3"/>
    <n v="4850352.3099999996"/>
  </r>
  <r>
    <x v="21"/>
    <x v="21"/>
    <s v="Electric Generators, Independent Power Producers"/>
    <x v="12"/>
    <n v="100806.96"/>
  </r>
  <r>
    <x v="21"/>
    <x v="21"/>
    <s v="Electric Generators, Independent Power Producers"/>
    <x v="8"/>
    <n v="129694.73"/>
  </r>
  <r>
    <x v="21"/>
    <x v="21"/>
    <s v="Electric Generators, Independent Power Producers"/>
    <x v="4"/>
    <n v="87946.78"/>
  </r>
  <r>
    <x v="21"/>
    <x v="21"/>
    <s v="Electric Generators, Independent Power Producers"/>
    <x v="5"/>
    <n v="706639.52"/>
  </r>
  <r>
    <x v="21"/>
    <x v="21"/>
    <s v="Electric Generators, Independent Power Producers"/>
    <x v="6"/>
    <n v="1154989.7"/>
  </r>
  <r>
    <x v="21"/>
    <x v="21"/>
    <s v="Electric Generators, Electric Utilities"/>
    <x v="0"/>
    <n v="754"/>
  </r>
  <r>
    <x v="21"/>
    <x v="21"/>
    <s v="Electric Generators, Electric Utilities"/>
    <x v="4"/>
    <n v="754"/>
  </r>
  <r>
    <x v="21"/>
    <x v="21"/>
    <s v="Combined Heat and Power, Industrial Power"/>
    <x v="0"/>
    <n v="4906840.07"/>
  </r>
  <r>
    <x v="21"/>
    <x v="21"/>
    <s v="Combined Heat and Power, Industrial Power"/>
    <x v="1"/>
    <n v="17609.68"/>
  </r>
  <r>
    <x v="21"/>
    <x v="21"/>
    <s v="Combined Heat and Power, Industrial Power"/>
    <x v="2"/>
    <n v="748171.88"/>
  </r>
  <r>
    <x v="21"/>
    <x v="21"/>
    <s v="Combined Heat and Power, Industrial Power"/>
    <x v="3"/>
    <n v="2026218.51"/>
  </r>
  <r>
    <x v="21"/>
    <x v="21"/>
    <s v="Combined Heat and Power, Industrial Power"/>
    <x v="12"/>
    <n v="45255.02"/>
  </r>
  <r>
    <x v="21"/>
    <x v="21"/>
    <s v="Combined Heat and Power, Industrial Power"/>
    <x v="8"/>
    <n v="46682.35"/>
  </r>
  <r>
    <x v="21"/>
    <x v="21"/>
    <s v="Combined Heat and Power, Industrial Power"/>
    <x v="4"/>
    <n v="84907.19"/>
  </r>
  <r>
    <x v="21"/>
    <x v="21"/>
    <s v="Combined Heat and Power, Industrial Power"/>
    <x v="6"/>
    <n v="1937995.44"/>
  </r>
  <r>
    <x v="21"/>
    <x v="21"/>
    <s v="Combined Heat and Power, Electric Power"/>
    <x v="0"/>
    <n v="628404"/>
  </r>
  <r>
    <x v="21"/>
    <x v="21"/>
    <s v="Combined Heat and Power, Electric Power"/>
    <x v="1"/>
    <n v="37556.65"/>
  </r>
  <r>
    <x v="21"/>
    <x v="21"/>
    <s v="Combined Heat and Power, Electric Power"/>
    <x v="12"/>
    <n v="160040.95000000001"/>
  </r>
  <r>
    <x v="21"/>
    <x v="21"/>
    <s v="Combined Heat and Power, Electric Power"/>
    <x v="8"/>
    <n v="12464.44"/>
  </r>
  <r>
    <x v="21"/>
    <x v="21"/>
    <s v="Combined Heat and Power, Electric Power"/>
    <x v="4"/>
    <n v="1133.48"/>
  </r>
  <r>
    <x v="21"/>
    <x v="21"/>
    <s v="Combined Heat and Power, Electric Power"/>
    <x v="6"/>
    <n v="417208.48"/>
  </r>
  <r>
    <x v="21"/>
    <x v="21"/>
    <s v="Combined Heat and Power, Commercial Power"/>
    <x v="0"/>
    <n v="176454"/>
  </r>
  <r>
    <x v="21"/>
    <x v="21"/>
    <s v="Combined Heat and Power, Commercial Power"/>
    <x v="3"/>
    <n v="260.45"/>
  </r>
  <r>
    <x v="21"/>
    <x v="21"/>
    <s v="Combined Heat and Power, Commercial Power"/>
    <x v="12"/>
    <n v="84350.82"/>
  </r>
  <r>
    <x v="21"/>
    <x v="21"/>
    <s v="Combined Heat and Power, Commercial Power"/>
    <x v="8"/>
    <n v="87795.1"/>
  </r>
  <r>
    <x v="21"/>
    <x v="21"/>
    <s v="Combined Heat and Power, Commercial Power"/>
    <x v="4"/>
    <n v="2823.41"/>
  </r>
  <r>
    <x v="21"/>
    <x v="21"/>
    <s v="Combined Heat and Power, Commercial Power"/>
    <x v="6"/>
    <n v="1224.22"/>
  </r>
  <r>
    <x v="21"/>
    <x v="22"/>
    <s v="Total Electric Power Industry"/>
    <x v="0"/>
    <n v="109169506.87"/>
  </r>
  <r>
    <x v="21"/>
    <x v="22"/>
    <s v="Total Electric Power Industry"/>
    <x v="1"/>
    <n v="58948269.18"/>
  </r>
  <r>
    <x v="21"/>
    <x v="22"/>
    <s v="Total Electric Power Industry"/>
    <x v="2"/>
    <n v="1357308"/>
  </r>
  <r>
    <x v="21"/>
    <x v="22"/>
    <s v="Total Electric Power Industry"/>
    <x v="3"/>
    <n v="12982053.9"/>
  </r>
  <r>
    <x v="21"/>
    <x v="22"/>
    <s v="Total Electric Power Industry"/>
    <x v="7"/>
    <n v="32889467"/>
  </r>
  <r>
    <x v="21"/>
    <x v="22"/>
    <s v="Total Electric Power Industry"/>
    <x v="12"/>
    <n v="363156.46"/>
  </r>
  <r>
    <x v="21"/>
    <x v="22"/>
    <s v="Total Electric Power Industry"/>
    <x v="8"/>
    <n v="827243.71"/>
  </r>
  <r>
    <x v="21"/>
    <x v="22"/>
    <s v="Total Electric Power Industry"/>
    <x v="9"/>
    <n v="269175.24"/>
  </r>
  <r>
    <x v="21"/>
    <x v="22"/>
    <s v="Total Electric Power Industry"/>
    <x v="4"/>
    <n v="342769.45"/>
  </r>
  <r>
    <x v="21"/>
    <x v="22"/>
    <s v="Total Electric Power Industry"/>
    <x v="10"/>
    <n v="-945017"/>
  </r>
  <r>
    <x v="21"/>
    <x v="22"/>
    <s v="Total Electric Power Industry"/>
    <x v="5"/>
    <n v="456474"/>
  </r>
  <r>
    <x v="21"/>
    <x v="22"/>
    <s v="Total Electric Power Industry"/>
    <x v="6"/>
    <n v="1678606.93"/>
  </r>
  <r>
    <x v="21"/>
    <x v="22"/>
    <s v="Electric Generators, Independent Power Producers"/>
    <x v="0"/>
    <n v="12184172.550000001"/>
  </r>
  <r>
    <x v="21"/>
    <x v="22"/>
    <s v="Electric Generators, Independent Power Producers"/>
    <x v="1"/>
    <n v="3729.55"/>
  </r>
  <r>
    <x v="21"/>
    <x v="22"/>
    <s v="Electric Generators, Independent Power Producers"/>
    <x v="2"/>
    <n v="97416"/>
  </r>
  <r>
    <x v="21"/>
    <x v="22"/>
    <s v="Electric Generators, Independent Power Producers"/>
    <x v="3"/>
    <n v="3247995.59"/>
  </r>
  <r>
    <x v="21"/>
    <x v="22"/>
    <s v="Electric Generators, Independent Power Producers"/>
    <x v="7"/>
    <n v="6641020"/>
  </r>
  <r>
    <x v="21"/>
    <x v="22"/>
    <s v="Electric Generators, Independent Power Producers"/>
    <x v="12"/>
    <n v="104823.2"/>
  </r>
  <r>
    <x v="21"/>
    <x v="22"/>
    <s v="Electric Generators, Independent Power Producers"/>
    <x v="8"/>
    <n v="661738.55000000005"/>
  </r>
  <r>
    <x v="21"/>
    <x v="22"/>
    <s v="Electric Generators, Independent Power Producers"/>
    <x v="9"/>
    <n v="0"/>
  </r>
  <r>
    <x v="21"/>
    <x v="22"/>
    <s v="Electric Generators, Independent Power Producers"/>
    <x v="4"/>
    <n v="0"/>
  </r>
  <r>
    <x v="21"/>
    <x v="22"/>
    <s v="Electric Generators, Independent Power Producers"/>
    <x v="5"/>
    <n v="453656"/>
  </r>
  <r>
    <x v="21"/>
    <x v="22"/>
    <s v="Electric Generators, Independent Power Producers"/>
    <x v="6"/>
    <n v="973793.66"/>
  </r>
  <r>
    <x v="21"/>
    <x v="22"/>
    <s v="Electric Generators, Electric Utilities"/>
    <x v="0"/>
    <n v="87609471.319999993"/>
  </r>
  <r>
    <x v="21"/>
    <x v="22"/>
    <s v="Electric Generators, Electric Utilities"/>
    <x v="1"/>
    <n v="58182905.719999999"/>
  </r>
  <r>
    <x v="21"/>
    <x v="22"/>
    <s v="Electric Generators, Electric Utilities"/>
    <x v="2"/>
    <n v="1230678"/>
  </r>
  <r>
    <x v="21"/>
    <x v="22"/>
    <s v="Electric Generators, Electric Utilities"/>
    <x v="3"/>
    <n v="2688134.81"/>
  </r>
  <r>
    <x v="21"/>
    <x v="22"/>
    <s v="Electric Generators, Electric Utilities"/>
    <x v="7"/>
    <n v="26248447"/>
  </r>
  <r>
    <x v="21"/>
    <x v="22"/>
    <s v="Electric Generators, Electric Utilities"/>
    <x v="12"/>
    <n v="25634.14"/>
  </r>
  <r>
    <x v="21"/>
    <x v="22"/>
    <s v="Electric Generators, Electric Utilities"/>
    <x v="8"/>
    <n v="0"/>
  </r>
  <r>
    <x v="21"/>
    <x v="22"/>
    <s v="Electric Generators, Electric Utilities"/>
    <x v="9"/>
    <n v="0"/>
  </r>
  <r>
    <x v="21"/>
    <x v="22"/>
    <s v="Electric Generators, Electric Utilities"/>
    <x v="4"/>
    <n v="173662.5"/>
  </r>
  <r>
    <x v="21"/>
    <x v="22"/>
    <s v="Electric Generators, Electric Utilities"/>
    <x v="10"/>
    <n v="-945017"/>
  </r>
  <r>
    <x v="21"/>
    <x v="22"/>
    <s v="Electric Generators, Electric Utilities"/>
    <x v="5"/>
    <n v="2818"/>
  </r>
  <r>
    <x v="21"/>
    <x v="22"/>
    <s v="Electric Generators, Electric Utilities"/>
    <x v="6"/>
    <n v="2208.16"/>
  </r>
  <r>
    <x v="21"/>
    <x v="22"/>
    <s v="Combined Heat and Power, Industrial Power"/>
    <x v="0"/>
    <n v="1239508.83"/>
  </r>
  <r>
    <x v="21"/>
    <x v="22"/>
    <s v="Combined Heat and Power, Industrial Power"/>
    <x v="1"/>
    <n v="246007.61"/>
  </r>
  <r>
    <x v="21"/>
    <x v="22"/>
    <s v="Combined Heat and Power, Industrial Power"/>
    <x v="2"/>
    <n v="29214"/>
  </r>
  <r>
    <x v="21"/>
    <x v="22"/>
    <s v="Combined Heat and Power, Industrial Power"/>
    <x v="3"/>
    <n v="148671.54"/>
  </r>
  <r>
    <x v="21"/>
    <x v="22"/>
    <s v="Combined Heat and Power, Industrial Power"/>
    <x v="12"/>
    <n v="33888.49"/>
  </r>
  <r>
    <x v="21"/>
    <x v="22"/>
    <s v="Combined Heat and Power, Industrial Power"/>
    <x v="8"/>
    <n v="7756.64"/>
  </r>
  <r>
    <x v="21"/>
    <x v="22"/>
    <s v="Combined Heat and Power, Industrial Power"/>
    <x v="4"/>
    <n v="99081.88"/>
  </r>
  <r>
    <x v="21"/>
    <x v="22"/>
    <s v="Combined Heat and Power, Industrial Power"/>
    <x v="6"/>
    <n v="674888.68"/>
  </r>
  <r>
    <x v="21"/>
    <x v="22"/>
    <s v="Combined Heat and Power, Electric Power"/>
    <x v="0"/>
    <n v="7347403.5999999996"/>
  </r>
  <r>
    <x v="21"/>
    <x v="22"/>
    <s v="Combined Heat and Power, Electric Power"/>
    <x v="1"/>
    <n v="313891.34999999998"/>
  </r>
  <r>
    <x v="21"/>
    <x v="22"/>
    <s v="Combined Heat and Power, Electric Power"/>
    <x v="3"/>
    <n v="6618156.7800000003"/>
  </r>
  <r>
    <x v="21"/>
    <x v="22"/>
    <s v="Combined Heat and Power, Electric Power"/>
    <x v="12"/>
    <n v="52397.31"/>
  </r>
  <r>
    <x v="21"/>
    <x v="22"/>
    <s v="Combined Heat and Power, Electric Power"/>
    <x v="8"/>
    <n v="5356"/>
  </r>
  <r>
    <x v="21"/>
    <x v="22"/>
    <s v="Combined Heat and Power, Electric Power"/>
    <x v="9"/>
    <n v="269175.24"/>
  </r>
  <r>
    <x v="21"/>
    <x v="22"/>
    <s v="Combined Heat and Power, Electric Power"/>
    <x v="4"/>
    <n v="66786.559999999998"/>
  </r>
  <r>
    <x v="21"/>
    <x v="22"/>
    <s v="Combined Heat and Power, Electric Power"/>
    <x v="6"/>
    <n v="21640.36"/>
  </r>
  <r>
    <x v="21"/>
    <x v="22"/>
    <s v="Combined Heat and Power, Commercial Power"/>
    <x v="0"/>
    <n v="788950.57"/>
  </r>
  <r>
    <x v="21"/>
    <x v="22"/>
    <s v="Combined Heat and Power, Commercial Power"/>
    <x v="1"/>
    <n v="201734.94"/>
  </r>
  <r>
    <x v="21"/>
    <x v="22"/>
    <s v="Combined Heat and Power, Commercial Power"/>
    <x v="3"/>
    <n v="279095.19"/>
  </r>
  <r>
    <x v="21"/>
    <x v="22"/>
    <s v="Combined Heat and Power, Commercial Power"/>
    <x v="12"/>
    <n v="146413.32"/>
  </r>
  <r>
    <x v="21"/>
    <x v="22"/>
    <s v="Combined Heat and Power, Commercial Power"/>
    <x v="8"/>
    <n v="152392.51999999999"/>
  </r>
  <r>
    <x v="21"/>
    <x v="22"/>
    <s v="Combined Heat and Power, Commercial Power"/>
    <x v="4"/>
    <n v="3238.52"/>
  </r>
  <r>
    <x v="21"/>
    <x v="22"/>
    <s v="Combined Heat and Power, Commercial Power"/>
    <x v="6"/>
    <n v="6076.08"/>
  </r>
  <r>
    <x v="21"/>
    <x v="23"/>
    <s v="Total Electric Power Industry"/>
    <x v="0"/>
    <n v="53120061.490000002"/>
  </r>
  <r>
    <x v="21"/>
    <x v="23"/>
    <s v="Total Electric Power Industry"/>
    <x v="1"/>
    <n v="28258625.719999999"/>
  </r>
  <r>
    <x v="21"/>
    <x v="23"/>
    <s v="Total Electric Power Industry"/>
    <x v="2"/>
    <n v="746148.03"/>
  </r>
  <r>
    <x v="21"/>
    <x v="23"/>
    <s v="Total Electric Power Industry"/>
    <x v="3"/>
    <n v="3350773.33"/>
  </r>
  <r>
    <x v="21"/>
    <x v="23"/>
    <s v="Total Electric Power Industry"/>
    <x v="7"/>
    <n v="11958525"/>
  </r>
  <r>
    <x v="21"/>
    <x v="23"/>
    <s v="Total Electric Power Industry"/>
    <x v="12"/>
    <n v="361970.88"/>
  </r>
  <r>
    <x v="21"/>
    <x v="23"/>
    <s v="Total Electric Power Industry"/>
    <x v="8"/>
    <n v="932205.4"/>
  </r>
  <r>
    <x v="21"/>
    <x v="23"/>
    <s v="Total Electric Power Industry"/>
    <x v="9"/>
    <n v="0"/>
  </r>
  <r>
    <x v="21"/>
    <x v="23"/>
    <s v="Total Electric Power Industry"/>
    <x v="4"/>
    <n v="37907.040000000001"/>
  </r>
  <r>
    <x v="21"/>
    <x v="23"/>
    <s v="Total Electric Power Industry"/>
    <x v="5"/>
    <n v="6725695.4299999997"/>
  </r>
  <r>
    <x v="21"/>
    <x v="23"/>
    <s v="Total Electric Power Industry"/>
    <x v="6"/>
    <n v="748210.67"/>
  </r>
  <r>
    <x v="21"/>
    <x v="23"/>
    <s v="Electric Generators, Independent Power Producers"/>
    <x v="0"/>
    <n v="6687174"/>
  </r>
  <r>
    <x v="21"/>
    <x v="23"/>
    <s v="Electric Generators, Independent Power Producers"/>
    <x v="2"/>
    <n v="159770"/>
  </r>
  <r>
    <x v="21"/>
    <x v="23"/>
    <s v="Electric Generators, Independent Power Producers"/>
    <x v="3"/>
    <n v="428922.85"/>
  </r>
  <r>
    <x v="21"/>
    <x v="23"/>
    <s v="Electric Generators, Independent Power Producers"/>
    <x v="12"/>
    <n v="150195.18"/>
  </r>
  <r>
    <x v="21"/>
    <x v="23"/>
    <s v="Electric Generators, Independent Power Producers"/>
    <x v="8"/>
    <n v="622673.81999999995"/>
  </r>
  <r>
    <x v="21"/>
    <x v="23"/>
    <s v="Electric Generators, Independent Power Producers"/>
    <x v="4"/>
    <n v="1902.15"/>
  </r>
  <r>
    <x v="21"/>
    <x v="23"/>
    <s v="Electric Generators, Independent Power Producers"/>
    <x v="5"/>
    <n v="5323710"/>
  </r>
  <r>
    <x v="21"/>
    <x v="23"/>
    <s v="Electric Generators, Electric Utilities"/>
    <x v="0"/>
    <n v="44310941.100000001"/>
  </r>
  <r>
    <x v="21"/>
    <x v="23"/>
    <s v="Electric Generators, Electric Utilities"/>
    <x v="1"/>
    <n v="27429102.219999999"/>
  </r>
  <r>
    <x v="21"/>
    <x v="23"/>
    <s v="Electric Generators, Electric Utilities"/>
    <x v="2"/>
    <n v="469100.38"/>
  </r>
  <r>
    <x v="21"/>
    <x v="23"/>
    <s v="Electric Generators, Electric Utilities"/>
    <x v="3"/>
    <n v="2532754.35"/>
  </r>
  <r>
    <x v="21"/>
    <x v="23"/>
    <s v="Electric Generators, Electric Utilities"/>
    <x v="7"/>
    <n v="11958525"/>
  </r>
  <r>
    <x v="21"/>
    <x v="23"/>
    <s v="Electric Generators, Electric Utilities"/>
    <x v="12"/>
    <n v="147651.56"/>
  </r>
  <r>
    <x v="21"/>
    <x v="23"/>
    <s v="Electric Generators, Electric Utilities"/>
    <x v="8"/>
    <n v="216497.54"/>
  </r>
  <r>
    <x v="21"/>
    <x v="23"/>
    <s v="Electric Generators, Electric Utilities"/>
    <x v="9"/>
    <n v="0"/>
  </r>
  <r>
    <x v="21"/>
    <x v="23"/>
    <s v="Electric Generators, Electric Utilities"/>
    <x v="4"/>
    <n v="32735.16"/>
  </r>
  <r>
    <x v="21"/>
    <x v="23"/>
    <s v="Electric Generators, Electric Utilities"/>
    <x v="5"/>
    <n v="1379408"/>
  </r>
  <r>
    <x v="21"/>
    <x v="23"/>
    <s v="Electric Generators, Electric Utilities"/>
    <x v="6"/>
    <n v="145166.89000000001"/>
  </r>
  <r>
    <x v="21"/>
    <x v="23"/>
    <s v="Combined Heat and Power, Industrial Power"/>
    <x v="0"/>
    <n v="1569754.31"/>
  </r>
  <r>
    <x v="21"/>
    <x v="23"/>
    <s v="Combined Heat and Power, Industrial Power"/>
    <x v="1"/>
    <n v="824073.7"/>
  </r>
  <r>
    <x v="21"/>
    <x v="23"/>
    <s v="Combined Heat and Power, Industrial Power"/>
    <x v="2"/>
    <n v="117277.65"/>
  </r>
  <r>
    <x v="21"/>
    <x v="23"/>
    <s v="Combined Heat and Power, Industrial Power"/>
    <x v="3"/>
    <n v="63716.38"/>
  </r>
  <r>
    <x v="21"/>
    <x v="23"/>
    <s v="Combined Heat and Power, Industrial Power"/>
    <x v="12"/>
    <n v="40715.74"/>
  </r>
  <r>
    <x v="21"/>
    <x v="23"/>
    <s v="Combined Heat and Power, Industrial Power"/>
    <x v="8"/>
    <n v="11644.31"/>
  </r>
  <r>
    <x v="21"/>
    <x v="23"/>
    <s v="Combined Heat and Power, Industrial Power"/>
    <x v="4"/>
    <n v="1491.29"/>
  </r>
  <r>
    <x v="21"/>
    <x v="23"/>
    <s v="Combined Heat and Power, Industrial Power"/>
    <x v="6"/>
    <n v="510835.24"/>
  </r>
  <r>
    <x v="21"/>
    <x v="23"/>
    <s v="Combined Heat and Power, Electric Power"/>
    <x v="0"/>
    <n v="385298"/>
  </r>
  <r>
    <x v="21"/>
    <x v="23"/>
    <s v="Combined Heat and Power, Electric Power"/>
    <x v="3"/>
    <n v="218709.36"/>
  </r>
  <r>
    <x v="21"/>
    <x v="23"/>
    <s v="Combined Heat and Power, Electric Power"/>
    <x v="8"/>
    <n v="74380.100000000006"/>
  </r>
  <r>
    <x v="21"/>
    <x v="23"/>
    <s v="Combined Heat and Power, Electric Power"/>
    <x v="4"/>
    <n v="0"/>
  </r>
  <r>
    <x v="21"/>
    <x v="23"/>
    <s v="Combined Heat and Power, Electric Power"/>
    <x v="6"/>
    <n v="92208.54"/>
  </r>
  <r>
    <x v="21"/>
    <x v="23"/>
    <s v="Combined Heat and Power, Commercial Power"/>
    <x v="0"/>
    <n v="166894.09"/>
  </r>
  <r>
    <x v="21"/>
    <x v="23"/>
    <s v="Combined Heat and Power, Commercial Power"/>
    <x v="1"/>
    <n v="5449.8"/>
  </r>
  <r>
    <x v="21"/>
    <x v="23"/>
    <s v="Combined Heat and Power, Commercial Power"/>
    <x v="3"/>
    <n v="106670.39"/>
  </r>
  <r>
    <x v="21"/>
    <x v="23"/>
    <s v="Combined Heat and Power, Commercial Power"/>
    <x v="12"/>
    <n v="23408.400000000001"/>
  </r>
  <r>
    <x v="21"/>
    <x v="23"/>
    <s v="Combined Heat and Power, Commercial Power"/>
    <x v="8"/>
    <n v="7009.62"/>
  </r>
  <r>
    <x v="21"/>
    <x v="23"/>
    <s v="Combined Heat and Power, Commercial Power"/>
    <x v="4"/>
    <n v="1778.44"/>
  </r>
  <r>
    <x v="21"/>
    <x v="23"/>
    <s v="Combined Heat and Power, Commercial Power"/>
    <x v="5"/>
    <n v="22577.43"/>
  </r>
  <r>
    <x v="21"/>
    <x v="24"/>
    <s v="Total Electric Power Industry"/>
    <x v="0"/>
    <n v="94876396.700000003"/>
  </r>
  <r>
    <x v="21"/>
    <x v="24"/>
    <s v="Total Electric Power Industry"/>
    <x v="1"/>
    <n v="78315850.25"/>
  </r>
  <r>
    <x v="21"/>
    <x v="24"/>
    <s v="Total Electric Power Industry"/>
    <x v="2"/>
    <n v="1185144"/>
  </r>
  <r>
    <x v="21"/>
    <x v="24"/>
    <s v="Total Electric Power Industry"/>
    <x v="3"/>
    <n v="4548229.79"/>
  </r>
  <r>
    <x v="21"/>
    <x v="24"/>
    <s v="Total Electric Power Industry"/>
    <x v="7"/>
    <n v="9371323"/>
  </r>
  <r>
    <x v="21"/>
    <x v="24"/>
    <s v="Total Electric Power Industry"/>
    <x v="12"/>
    <n v="21386.76"/>
  </r>
  <r>
    <x v="21"/>
    <x v="24"/>
    <s v="Total Electric Power Industry"/>
    <x v="8"/>
    <n v="62146.79"/>
  </r>
  <r>
    <x v="21"/>
    <x v="24"/>
    <s v="Total Electric Power Industry"/>
    <x v="4"/>
    <n v="79804.009999999995"/>
  </r>
  <r>
    <x v="21"/>
    <x v="24"/>
    <s v="Total Electric Power Industry"/>
    <x v="10"/>
    <n v="114254"/>
  </r>
  <r>
    <x v="21"/>
    <x v="24"/>
    <s v="Total Electric Power Industry"/>
    <x v="5"/>
    <n v="1178212"/>
  </r>
  <r>
    <x v="21"/>
    <x v="24"/>
    <s v="Total Electric Power Industry"/>
    <x v="6"/>
    <n v="46.09"/>
  </r>
  <r>
    <x v="21"/>
    <x v="24"/>
    <s v="Electric Generators, Independent Power Producers"/>
    <x v="0"/>
    <n v="1997909"/>
  </r>
  <r>
    <x v="21"/>
    <x v="24"/>
    <s v="Electric Generators, Independent Power Producers"/>
    <x v="3"/>
    <n v="796855"/>
  </r>
  <r>
    <x v="21"/>
    <x v="24"/>
    <s v="Electric Generators, Independent Power Producers"/>
    <x v="8"/>
    <n v="22842"/>
  </r>
  <r>
    <x v="21"/>
    <x v="24"/>
    <s v="Electric Generators, Independent Power Producers"/>
    <x v="5"/>
    <n v="1178212"/>
  </r>
  <r>
    <x v="21"/>
    <x v="24"/>
    <s v="Electric Generators, Electric Utilities"/>
    <x v="0"/>
    <n v="92620740.489999995"/>
  </r>
  <r>
    <x v="21"/>
    <x v="24"/>
    <s v="Electric Generators, Electric Utilities"/>
    <x v="1"/>
    <n v="78164116.799999997"/>
  </r>
  <r>
    <x v="21"/>
    <x v="24"/>
    <s v="Electric Generators, Electric Utilities"/>
    <x v="2"/>
    <n v="1185144"/>
  </r>
  <r>
    <x v="21"/>
    <x v="24"/>
    <s v="Electric Generators, Electric Utilities"/>
    <x v="3"/>
    <n v="3650550.52"/>
  </r>
  <r>
    <x v="21"/>
    <x v="24"/>
    <s v="Electric Generators, Electric Utilities"/>
    <x v="7"/>
    <n v="9371323"/>
  </r>
  <r>
    <x v="21"/>
    <x v="24"/>
    <s v="Electric Generators, Electric Utilities"/>
    <x v="12"/>
    <n v="21107.11"/>
  </r>
  <r>
    <x v="21"/>
    <x v="24"/>
    <s v="Electric Generators, Electric Utilities"/>
    <x v="8"/>
    <n v="35381.72"/>
  </r>
  <r>
    <x v="21"/>
    <x v="24"/>
    <s v="Electric Generators, Electric Utilities"/>
    <x v="4"/>
    <n v="78863.33"/>
  </r>
  <r>
    <x v="21"/>
    <x v="24"/>
    <s v="Electric Generators, Electric Utilities"/>
    <x v="10"/>
    <n v="114254"/>
  </r>
  <r>
    <x v="21"/>
    <x v="24"/>
    <s v="Combined Heat and Power, Industrial Power"/>
    <x v="0"/>
    <n v="71150.210000000006"/>
  </r>
  <r>
    <x v="21"/>
    <x v="24"/>
    <s v="Combined Heat and Power, Industrial Power"/>
    <x v="1"/>
    <n v="64935.25"/>
  </r>
  <r>
    <x v="21"/>
    <x v="24"/>
    <s v="Combined Heat and Power, Industrial Power"/>
    <x v="3"/>
    <n v="1408.7"/>
  </r>
  <r>
    <x v="21"/>
    <x v="24"/>
    <s v="Combined Heat and Power, Industrial Power"/>
    <x v="8"/>
    <n v="3923.07"/>
  </r>
  <r>
    <x v="21"/>
    <x v="24"/>
    <s v="Combined Heat and Power, Industrial Power"/>
    <x v="4"/>
    <n v="837.1"/>
  </r>
  <r>
    <x v="21"/>
    <x v="24"/>
    <s v="Combined Heat and Power, Industrial Power"/>
    <x v="6"/>
    <n v="46.09"/>
  </r>
  <r>
    <x v="21"/>
    <x v="24"/>
    <s v="Combined Heat and Power, Electric Power"/>
    <x v="0"/>
    <n v="40925"/>
  </r>
  <r>
    <x v="21"/>
    <x v="24"/>
    <s v="Combined Heat and Power, Electric Power"/>
    <x v="3"/>
    <n v="40925"/>
  </r>
  <r>
    <x v="21"/>
    <x v="24"/>
    <s v="Combined Heat and Power, Electric Power"/>
    <x v="4"/>
    <n v="0"/>
  </r>
  <r>
    <x v="21"/>
    <x v="24"/>
    <s v="Combined Heat and Power, Commercial Power"/>
    <x v="0"/>
    <n v="145672"/>
  </r>
  <r>
    <x v="21"/>
    <x v="24"/>
    <s v="Combined Heat and Power, Commercial Power"/>
    <x v="1"/>
    <n v="86798.2"/>
  </r>
  <r>
    <x v="21"/>
    <x v="24"/>
    <s v="Combined Heat and Power, Commercial Power"/>
    <x v="3"/>
    <n v="58490.57"/>
  </r>
  <r>
    <x v="21"/>
    <x v="24"/>
    <s v="Combined Heat and Power, Commercial Power"/>
    <x v="12"/>
    <n v="279.64999999999998"/>
  </r>
  <r>
    <x v="21"/>
    <x v="24"/>
    <s v="Combined Heat and Power, Commercial Power"/>
    <x v="4"/>
    <n v="103.58"/>
  </r>
  <r>
    <x v="21"/>
    <x v="25"/>
    <s v="Total Electric Power Industry"/>
    <x v="0"/>
    <n v="51570942.640000001"/>
  </r>
  <r>
    <x v="21"/>
    <x v="25"/>
    <s v="Total Electric Power Industry"/>
    <x v="1"/>
    <n v="9723110.7899999991"/>
  </r>
  <r>
    <x v="21"/>
    <x v="25"/>
    <s v="Total Electric Power Industry"/>
    <x v="3"/>
    <n v="29965608.640000001"/>
  </r>
  <r>
    <x v="21"/>
    <x v="25"/>
    <s v="Total Electric Power Industry"/>
    <x v="7"/>
    <n v="10336789"/>
  </r>
  <r>
    <x v="21"/>
    <x v="25"/>
    <s v="Total Electric Power Industry"/>
    <x v="12"/>
    <n v="3016.69"/>
  </r>
  <r>
    <x v="21"/>
    <x v="25"/>
    <s v="Total Electric Power Industry"/>
    <x v="8"/>
    <n v="3297.43"/>
  </r>
  <r>
    <x v="21"/>
    <x v="25"/>
    <s v="Total Electric Power Industry"/>
    <x v="4"/>
    <n v="36341.03"/>
  </r>
  <r>
    <x v="21"/>
    <x v="25"/>
    <s v="Total Electric Power Industry"/>
    <x v="6"/>
    <n v="1502779.08"/>
  </r>
  <r>
    <x v="21"/>
    <x v="25"/>
    <s v="Electric Generators, Independent Power Producers"/>
    <x v="0"/>
    <n v="7884187.6399999997"/>
  </r>
  <r>
    <x v="21"/>
    <x v="25"/>
    <s v="Electric Generators, Independent Power Producers"/>
    <x v="1"/>
    <n v="2475561.48"/>
  </r>
  <r>
    <x v="21"/>
    <x v="25"/>
    <s v="Electric Generators, Independent Power Producers"/>
    <x v="3"/>
    <n v="5408626.1600000001"/>
  </r>
  <r>
    <x v="21"/>
    <x v="25"/>
    <s v="Electric Generators, Independent Power Producers"/>
    <x v="4"/>
    <n v="0"/>
  </r>
  <r>
    <x v="21"/>
    <x v="25"/>
    <s v="Electric Generators, Independent Power Producers"/>
    <x v="6"/>
    <n v="0"/>
  </r>
  <r>
    <x v="21"/>
    <x v="25"/>
    <s v="Electric Generators, Electric Utilities"/>
    <x v="0"/>
    <n v="41831306"/>
  </r>
  <r>
    <x v="21"/>
    <x v="25"/>
    <s v="Electric Generators, Electric Utilities"/>
    <x v="1"/>
    <n v="7247549.3099999996"/>
  </r>
  <r>
    <x v="21"/>
    <x v="25"/>
    <s v="Electric Generators, Electric Utilities"/>
    <x v="3"/>
    <n v="24213343.170000002"/>
  </r>
  <r>
    <x v="21"/>
    <x v="25"/>
    <s v="Electric Generators, Electric Utilities"/>
    <x v="7"/>
    <n v="10336789"/>
  </r>
  <r>
    <x v="21"/>
    <x v="25"/>
    <s v="Electric Generators, Electric Utilities"/>
    <x v="8"/>
    <n v="26.06"/>
  </r>
  <r>
    <x v="21"/>
    <x v="25"/>
    <s v="Electric Generators, Electric Utilities"/>
    <x v="4"/>
    <n v="33280.43"/>
  </r>
  <r>
    <x v="21"/>
    <x v="25"/>
    <s v="Electric Generators, Electric Utilities"/>
    <x v="6"/>
    <n v="318.04000000000002"/>
  </r>
  <r>
    <x v="21"/>
    <x v="25"/>
    <s v="Combined Heat and Power, Industrial Power"/>
    <x v="0"/>
    <n v="1831376"/>
  </r>
  <r>
    <x v="21"/>
    <x v="25"/>
    <s v="Combined Heat and Power, Industrial Power"/>
    <x v="1"/>
    <n v="0"/>
  </r>
  <r>
    <x v="21"/>
    <x v="25"/>
    <s v="Combined Heat and Power, Industrial Power"/>
    <x v="3"/>
    <n v="319566.31"/>
  </r>
  <r>
    <x v="21"/>
    <x v="25"/>
    <s v="Combined Heat and Power, Industrial Power"/>
    <x v="12"/>
    <n v="3016.69"/>
  </r>
  <r>
    <x v="21"/>
    <x v="25"/>
    <s v="Combined Heat and Power, Industrial Power"/>
    <x v="8"/>
    <n v="3271.37"/>
  </r>
  <r>
    <x v="21"/>
    <x v="25"/>
    <s v="Combined Heat and Power, Industrial Power"/>
    <x v="4"/>
    <n v="3060.6"/>
  </r>
  <r>
    <x v="21"/>
    <x v="25"/>
    <s v="Combined Heat and Power, Industrial Power"/>
    <x v="6"/>
    <n v="1502461.04"/>
  </r>
  <r>
    <x v="21"/>
    <x v="25"/>
    <s v="Combined Heat and Power, Commercial Power"/>
    <x v="0"/>
    <n v="24073"/>
  </r>
  <r>
    <x v="21"/>
    <x v="25"/>
    <s v="Combined Heat and Power, Commercial Power"/>
    <x v="3"/>
    <n v="24073"/>
  </r>
  <r>
    <x v="21"/>
    <x v="25"/>
    <s v="Combined Heat and Power, Commercial Power"/>
    <x v="12"/>
    <n v="0"/>
  </r>
  <r>
    <x v="21"/>
    <x v="26"/>
    <s v="Total Electric Power Industry"/>
    <x v="0"/>
    <n v="30128542.57"/>
  </r>
  <r>
    <x v="21"/>
    <x v="26"/>
    <s v="Total Electric Power Industry"/>
    <x v="1"/>
    <n v="15055722.310000001"/>
  </r>
  <r>
    <x v="21"/>
    <x v="26"/>
    <s v="Total Electric Power Industry"/>
    <x v="2"/>
    <n v="12595881.34"/>
  </r>
  <r>
    <x v="21"/>
    <x v="26"/>
    <s v="Total Electric Power Industry"/>
    <x v="3"/>
    <n v="418192.68"/>
  </r>
  <r>
    <x v="21"/>
    <x v="26"/>
    <s v="Total Electric Power Industry"/>
    <x v="12"/>
    <n v="332933"/>
  </r>
  <r>
    <x v="21"/>
    <x v="26"/>
    <s v="Total Electric Power Industry"/>
    <x v="9"/>
    <n v="19.579999999999998"/>
  </r>
  <r>
    <x v="21"/>
    <x v="26"/>
    <s v="Total Electric Power Industry"/>
    <x v="4"/>
    <n v="460626.05"/>
  </r>
  <r>
    <x v="21"/>
    <x v="26"/>
    <s v="Total Electric Power Industry"/>
    <x v="5"/>
    <n v="1265167.6100000001"/>
  </r>
  <r>
    <x v="21"/>
    <x v="26"/>
    <s v="Electric Generators, Independent Power Producers"/>
    <x v="0"/>
    <n v="20127869.949999999"/>
  </r>
  <r>
    <x v="21"/>
    <x v="26"/>
    <s v="Electric Generators, Independent Power Producers"/>
    <x v="1"/>
    <n v="14746955.720000001"/>
  </r>
  <r>
    <x v="21"/>
    <x v="26"/>
    <s v="Electric Generators, Independent Power Producers"/>
    <x v="2"/>
    <n v="3855670.34"/>
  </r>
  <r>
    <x v="21"/>
    <x v="26"/>
    <s v="Electric Generators, Independent Power Producers"/>
    <x v="3"/>
    <n v="11751.12"/>
  </r>
  <r>
    <x v="21"/>
    <x v="26"/>
    <s v="Electric Generators, Independent Power Producers"/>
    <x v="12"/>
    <n v="332933"/>
  </r>
  <r>
    <x v="21"/>
    <x v="26"/>
    <s v="Electric Generators, Independent Power Producers"/>
    <x v="4"/>
    <n v="14259.17"/>
  </r>
  <r>
    <x v="21"/>
    <x v="26"/>
    <s v="Electric Generators, Independent Power Producers"/>
    <x v="5"/>
    <n v="1166300.6100000001"/>
  </r>
  <r>
    <x v="21"/>
    <x v="26"/>
    <s v="Electric Generators, Electric Utilities"/>
    <x v="0"/>
    <n v="9547800"/>
  </r>
  <r>
    <x v="21"/>
    <x v="26"/>
    <s v="Electric Generators, Electric Utilities"/>
    <x v="1"/>
    <n v="300185.96999999997"/>
  </r>
  <r>
    <x v="21"/>
    <x v="26"/>
    <s v="Electric Generators, Electric Utilities"/>
    <x v="2"/>
    <n v="8740211"/>
  </r>
  <r>
    <x v="21"/>
    <x v="26"/>
    <s v="Electric Generators, Electric Utilities"/>
    <x v="3"/>
    <n v="406441.56"/>
  </r>
  <r>
    <x v="21"/>
    <x v="26"/>
    <s v="Electric Generators, Electric Utilities"/>
    <x v="4"/>
    <n v="2094.46"/>
  </r>
  <r>
    <x v="21"/>
    <x v="26"/>
    <s v="Electric Generators, Electric Utilities"/>
    <x v="5"/>
    <n v="98867"/>
  </r>
  <r>
    <x v="21"/>
    <x v="26"/>
    <s v="Combined Heat and Power, Industrial Power"/>
    <x v="0"/>
    <n v="8580.6200000000008"/>
  </r>
  <r>
    <x v="21"/>
    <x v="26"/>
    <s v="Combined Heat and Power, Industrial Power"/>
    <x v="1"/>
    <n v="8580.6200000000008"/>
  </r>
  <r>
    <x v="21"/>
    <x v="26"/>
    <s v="Combined Heat and Power, Industrial Power"/>
    <x v="3"/>
    <n v="0"/>
  </r>
  <r>
    <x v="21"/>
    <x v="26"/>
    <s v="Combined Heat and Power, Industrial Power"/>
    <x v="9"/>
    <n v="0"/>
  </r>
  <r>
    <x v="21"/>
    <x v="26"/>
    <s v="Combined Heat and Power, Industrial Power"/>
    <x v="4"/>
    <n v="0"/>
  </r>
  <r>
    <x v="21"/>
    <x v="26"/>
    <s v="Combined Heat and Power, Electric Power"/>
    <x v="0"/>
    <n v="444292"/>
  </r>
  <r>
    <x v="21"/>
    <x v="26"/>
    <s v="Combined Heat and Power, Electric Power"/>
    <x v="9"/>
    <n v="19.579999999999998"/>
  </r>
  <r>
    <x v="21"/>
    <x v="26"/>
    <s v="Combined Heat and Power, Electric Power"/>
    <x v="4"/>
    <n v="444272.42"/>
  </r>
  <r>
    <x v="21"/>
    <x v="27"/>
    <s v="Total Electric Power Industry"/>
    <x v="0"/>
    <n v="118389854.92"/>
  </r>
  <r>
    <x v="21"/>
    <x v="27"/>
    <s v="Total Electric Power Industry"/>
    <x v="1"/>
    <n v="59758357.119999997"/>
  </r>
  <r>
    <x v="21"/>
    <x v="27"/>
    <s v="Total Electric Power Industry"/>
    <x v="2"/>
    <n v="3893396"/>
  </r>
  <r>
    <x v="21"/>
    <x v="27"/>
    <s v="Total Electric Power Industry"/>
    <x v="3"/>
    <n v="11155211.02"/>
  </r>
  <r>
    <x v="21"/>
    <x v="27"/>
    <s v="Total Electric Power Industry"/>
    <x v="7"/>
    <n v="40526834"/>
  </r>
  <r>
    <x v="21"/>
    <x v="27"/>
    <s v="Total Electric Power Industry"/>
    <x v="12"/>
    <n v="492936.72"/>
  </r>
  <r>
    <x v="21"/>
    <x v="27"/>
    <s v="Total Electric Power Industry"/>
    <x v="8"/>
    <n v="375213.28"/>
  </r>
  <r>
    <x v="21"/>
    <x v="27"/>
    <s v="Total Electric Power Industry"/>
    <x v="4"/>
    <n v="217635.6"/>
  </r>
  <r>
    <x v="21"/>
    <x v="27"/>
    <s v="Total Electric Power Industry"/>
    <x v="10"/>
    <n v="0"/>
  </r>
  <r>
    <x v="21"/>
    <x v="27"/>
    <s v="Total Electric Power Industry"/>
    <x v="13"/>
    <n v="17380.45"/>
  </r>
  <r>
    <x v="21"/>
    <x v="27"/>
    <s v="Total Electric Power Industry"/>
    <x v="6"/>
    <n v="1952890.72"/>
  </r>
  <r>
    <x v="21"/>
    <x v="27"/>
    <s v="Electric Generators, Independent Power Producers"/>
    <x v="0"/>
    <n v="3112390.87"/>
  </r>
  <r>
    <x v="21"/>
    <x v="27"/>
    <s v="Electric Generators, Independent Power Producers"/>
    <x v="2"/>
    <n v="23588"/>
  </r>
  <r>
    <x v="21"/>
    <x v="27"/>
    <s v="Electric Generators, Independent Power Producers"/>
    <x v="3"/>
    <n v="2555866.83"/>
  </r>
  <r>
    <x v="21"/>
    <x v="27"/>
    <s v="Electric Generators, Independent Power Producers"/>
    <x v="12"/>
    <n v="8944.8799999999992"/>
  </r>
  <r>
    <x v="21"/>
    <x v="27"/>
    <s v="Electric Generators, Independent Power Producers"/>
    <x v="8"/>
    <n v="209998.35"/>
  </r>
  <r>
    <x v="21"/>
    <x v="27"/>
    <s v="Electric Generators, Independent Power Producers"/>
    <x v="4"/>
    <n v="2736.47"/>
  </r>
  <r>
    <x v="21"/>
    <x v="27"/>
    <s v="Electric Generators, Independent Power Producers"/>
    <x v="13"/>
    <n v="14971.45"/>
  </r>
  <r>
    <x v="21"/>
    <x v="27"/>
    <s v="Electric Generators, Independent Power Producers"/>
    <x v="6"/>
    <n v="296284.88"/>
  </r>
  <r>
    <x v="21"/>
    <x v="27"/>
    <s v="Electric Generators, Electric Utilities"/>
    <x v="0"/>
    <n v="110370151.16"/>
  </r>
  <r>
    <x v="21"/>
    <x v="27"/>
    <s v="Electric Generators, Electric Utilities"/>
    <x v="1"/>
    <n v="57250008.909999996"/>
  </r>
  <r>
    <x v="21"/>
    <x v="27"/>
    <s v="Electric Generators, Electric Utilities"/>
    <x v="2"/>
    <n v="3858555"/>
  </r>
  <r>
    <x v="21"/>
    <x v="27"/>
    <s v="Electric Generators, Electric Utilities"/>
    <x v="3"/>
    <n v="8538697.5099999998"/>
  </r>
  <r>
    <x v="21"/>
    <x v="27"/>
    <s v="Electric Generators, Electric Utilities"/>
    <x v="7"/>
    <n v="40526834"/>
  </r>
  <r>
    <x v="21"/>
    <x v="27"/>
    <s v="Electric Generators, Electric Utilities"/>
    <x v="12"/>
    <n v="0"/>
  </r>
  <r>
    <x v="21"/>
    <x v="27"/>
    <s v="Electric Generators, Electric Utilities"/>
    <x v="4"/>
    <n v="186125.57"/>
  </r>
  <r>
    <x v="21"/>
    <x v="27"/>
    <s v="Electric Generators, Electric Utilities"/>
    <x v="10"/>
    <n v="0"/>
  </r>
  <r>
    <x v="21"/>
    <x v="27"/>
    <s v="Electric Generators, Electric Utilities"/>
    <x v="13"/>
    <n v="2409"/>
  </r>
  <r>
    <x v="21"/>
    <x v="27"/>
    <s v="Electric Generators, Electric Utilities"/>
    <x v="6"/>
    <n v="7521.16"/>
  </r>
  <r>
    <x v="21"/>
    <x v="27"/>
    <s v="Combined Heat and Power, Industrial Power"/>
    <x v="0"/>
    <n v="2126282.89"/>
  </r>
  <r>
    <x v="21"/>
    <x v="27"/>
    <s v="Combined Heat and Power, Industrial Power"/>
    <x v="1"/>
    <n v="301247.12"/>
  </r>
  <r>
    <x v="21"/>
    <x v="27"/>
    <s v="Combined Heat and Power, Industrial Power"/>
    <x v="2"/>
    <n v="1423"/>
  </r>
  <r>
    <x v="21"/>
    <x v="27"/>
    <s v="Combined Heat and Power, Industrial Power"/>
    <x v="3"/>
    <n v="59891.51"/>
  </r>
  <r>
    <x v="21"/>
    <x v="27"/>
    <s v="Combined Heat and Power, Industrial Power"/>
    <x v="12"/>
    <n v="386835"/>
  </r>
  <r>
    <x v="21"/>
    <x v="27"/>
    <s v="Combined Heat and Power, Industrial Power"/>
    <x v="8"/>
    <n v="8533.0400000000009"/>
  </r>
  <r>
    <x v="21"/>
    <x v="27"/>
    <s v="Combined Heat and Power, Industrial Power"/>
    <x v="4"/>
    <n v="26879.41"/>
  </r>
  <r>
    <x v="21"/>
    <x v="27"/>
    <s v="Combined Heat and Power, Industrial Power"/>
    <x v="6"/>
    <n v="1341473.81"/>
  </r>
  <r>
    <x v="21"/>
    <x v="27"/>
    <s v="Combined Heat and Power, Electric Power"/>
    <x v="0"/>
    <n v="2719424"/>
  </r>
  <r>
    <x v="21"/>
    <x v="27"/>
    <s v="Combined Heat and Power, Electric Power"/>
    <x v="1"/>
    <n v="2156225.27"/>
  </r>
  <r>
    <x v="21"/>
    <x v="27"/>
    <s v="Combined Heat and Power, Electric Power"/>
    <x v="12"/>
    <n v="97156.84"/>
  </r>
  <r>
    <x v="21"/>
    <x v="27"/>
    <s v="Combined Heat and Power, Electric Power"/>
    <x v="8"/>
    <n v="156681.89000000001"/>
  </r>
  <r>
    <x v="21"/>
    <x v="27"/>
    <s v="Combined Heat and Power, Electric Power"/>
    <x v="4"/>
    <n v="1749.14"/>
  </r>
  <r>
    <x v="21"/>
    <x v="27"/>
    <s v="Combined Heat and Power, Electric Power"/>
    <x v="6"/>
    <n v="307610.87"/>
  </r>
  <r>
    <x v="21"/>
    <x v="27"/>
    <s v="Combined Heat and Power, Commercial Power"/>
    <x v="0"/>
    <n v="61606"/>
  </r>
  <r>
    <x v="21"/>
    <x v="27"/>
    <s v="Combined Heat and Power, Commercial Power"/>
    <x v="1"/>
    <n v="50875.839999999997"/>
  </r>
  <r>
    <x v="21"/>
    <x v="27"/>
    <s v="Combined Heat and Power, Commercial Power"/>
    <x v="2"/>
    <n v="9830"/>
  </r>
  <r>
    <x v="21"/>
    <x v="27"/>
    <s v="Combined Heat and Power, Commercial Power"/>
    <x v="3"/>
    <n v="755.17"/>
  </r>
  <r>
    <x v="21"/>
    <x v="27"/>
    <s v="Combined Heat and Power, Commercial Power"/>
    <x v="4"/>
    <n v="145"/>
  </r>
  <r>
    <x v="21"/>
    <x v="28"/>
    <s v="Total Electric Power Industry"/>
    <x v="0"/>
    <n v="35079900.100000001"/>
  </r>
  <r>
    <x v="21"/>
    <x v="28"/>
    <s v="Total Electric Power Industry"/>
    <x v="1"/>
    <n v="27108926.190000001"/>
  </r>
  <r>
    <x v="21"/>
    <x v="28"/>
    <s v="Total Electric Power Industry"/>
    <x v="2"/>
    <n v="2580042"/>
  </r>
  <r>
    <x v="21"/>
    <x v="28"/>
    <s v="Total Electric Power Industry"/>
    <x v="3"/>
    <n v="19902.330000000002"/>
  </r>
  <r>
    <x v="21"/>
    <x v="28"/>
    <s v="Total Electric Power Industry"/>
    <x v="12"/>
    <n v="44298.83"/>
  </r>
  <r>
    <x v="21"/>
    <x v="28"/>
    <s v="Total Electric Power Industry"/>
    <x v="8"/>
    <n v="9862"/>
  </r>
  <r>
    <x v="21"/>
    <x v="28"/>
    <s v="Total Electric Power Industry"/>
    <x v="9"/>
    <n v="39159.79"/>
  </r>
  <r>
    <x v="21"/>
    <x v="28"/>
    <s v="Total Electric Power Industry"/>
    <x v="4"/>
    <n v="42118.96"/>
  </r>
  <r>
    <x v="21"/>
    <x v="28"/>
    <s v="Total Electric Power Industry"/>
    <x v="5"/>
    <n v="5235590"/>
  </r>
  <r>
    <x v="21"/>
    <x v="28"/>
    <s v="Electric Generators, Independent Power Producers"/>
    <x v="0"/>
    <n v="4116013"/>
  </r>
  <r>
    <x v="21"/>
    <x v="28"/>
    <s v="Electric Generators, Independent Power Producers"/>
    <x v="5"/>
    <n v="4116013"/>
  </r>
  <r>
    <x v="21"/>
    <x v="28"/>
    <s v="Electric Generators, Electric Utilities"/>
    <x v="0"/>
    <n v="30794746"/>
  </r>
  <r>
    <x v="21"/>
    <x v="28"/>
    <s v="Electric Generators, Electric Utilities"/>
    <x v="1"/>
    <n v="27010567.09"/>
  </r>
  <r>
    <x v="21"/>
    <x v="28"/>
    <s v="Electric Generators, Electric Utilities"/>
    <x v="2"/>
    <n v="2580042"/>
  </r>
  <r>
    <x v="21"/>
    <x v="28"/>
    <s v="Electric Generators, Electric Utilities"/>
    <x v="3"/>
    <n v="-38.46"/>
  </r>
  <r>
    <x v="21"/>
    <x v="28"/>
    <s v="Electric Generators, Electric Utilities"/>
    <x v="12"/>
    <n v="44298.83"/>
  </r>
  <r>
    <x v="21"/>
    <x v="28"/>
    <s v="Electric Generators, Electric Utilities"/>
    <x v="4"/>
    <n v="40299.53"/>
  </r>
  <r>
    <x v="21"/>
    <x v="28"/>
    <s v="Electric Generators, Electric Utilities"/>
    <x v="5"/>
    <n v="1119577"/>
  </r>
  <r>
    <x v="21"/>
    <x v="28"/>
    <s v="Combined Heat and Power, Industrial Power"/>
    <x v="0"/>
    <n v="169113.1"/>
  </r>
  <r>
    <x v="21"/>
    <x v="28"/>
    <s v="Combined Heat and Power, Industrial Power"/>
    <x v="1"/>
    <n v="98359.1"/>
  </r>
  <r>
    <x v="21"/>
    <x v="28"/>
    <s v="Combined Heat and Power, Industrial Power"/>
    <x v="3"/>
    <n v="19940.78"/>
  </r>
  <r>
    <x v="21"/>
    <x v="28"/>
    <s v="Combined Heat and Power, Industrial Power"/>
    <x v="8"/>
    <n v="9862"/>
  </r>
  <r>
    <x v="21"/>
    <x v="28"/>
    <s v="Combined Heat and Power, Industrial Power"/>
    <x v="9"/>
    <n v="39159.79"/>
  </r>
  <r>
    <x v="21"/>
    <x v="28"/>
    <s v="Combined Heat and Power, Industrial Power"/>
    <x v="4"/>
    <n v="1791.43"/>
  </r>
  <r>
    <x v="21"/>
    <x v="28"/>
    <s v="Combined Heat and Power, Commercial Power"/>
    <x v="0"/>
    <n v="28"/>
  </r>
  <r>
    <x v="21"/>
    <x v="28"/>
    <s v="Combined Heat and Power, Commercial Power"/>
    <x v="4"/>
    <n v="28"/>
  </r>
  <r>
    <x v="21"/>
    <x v="29"/>
    <s v="Total Electric Power Industry"/>
    <x v="0"/>
    <n v="36095051"/>
  </r>
  <r>
    <x v="21"/>
    <x v="29"/>
    <s v="Total Electric Power Industry"/>
    <x v="1"/>
    <n v="25965242.890000001"/>
  </r>
  <r>
    <x v="21"/>
    <x v="29"/>
    <s v="Total Electric Power Industry"/>
    <x v="2"/>
    <n v="1617228"/>
  </r>
  <r>
    <x v="21"/>
    <x v="29"/>
    <s v="Total Electric Power Industry"/>
    <x v="3"/>
    <n v="425894.79"/>
  </r>
  <r>
    <x v="21"/>
    <x v="29"/>
    <s v="Total Electric Power Industry"/>
    <x v="7"/>
    <n v="6933174"/>
  </r>
  <r>
    <x v="21"/>
    <x v="29"/>
    <s v="Total Electric Power Industry"/>
    <x v="8"/>
    <n v="65419.5"/>
  </r>
  <r>
    <x v="21"/>
    <x v="29"/>
    <s v="Total Electric Power Industry"/>
    <x v="4"/>
    <n v="37206.83"/>
  </r>
  <r>
    <x v="21"/>
    <x v="29"/>
    <s v="Total Electric Power Industry"/>
    <x v="5"/>
    <n v="1050885"/>
  </r>
  <r>
    <x v="21"/>
    <x v="29"/>
    <s v="Electric Generators, Independent Power Producers"/>
    <x v="0"/>
    <n v="822020"/>
  </r>
  <r>
    <x v="21"/>
    <x v="29"/>
    <s v="Electric Generators, Independent Power Producers"/>
    <x v="5"/>
    <n v="822020"/>
  </r>
  <r>
    <x v="21"/>
    <x v="29"/>
    <s v="Electric Generators, Electric Utilities"/>
    <x v="0"/>
    <n v="34977559"/>
  </r>
  <r>
    <x v="21"/>
    <x v="29"/>
    <s v="Electric Generators, Electric Utilities"/>
    <x v="1"/>
    <n v="25707792.93"/>
  </r>
  <r>
    <x v="21"/>
    <x v="29"/>
    <s v="Electric Generators, Electric Utilities"/>
    <x v="2"/>
    <n v="1617228"/>
  </r>
  <r>
    <x v="21"/>
    <x v="29"/>
    <s v="Electric Generators, Electric Utilities"/>
    <x v="3"/>
    <n v="401745.24"/>
  </r>
  <r>
    <x v="21"/>
    <x v="29"/>
    <s v="Electric Generators, Electric Utilities"/>
    <x v="7"/>
    <n v="6933174"/>
  </r>
  <r>
    <x v="21"/>
    <x v="29"/>
    <s v="Electric Generators, Electric Utilities"/>
    <x v="8"/>
    <n v="51547"/>
  </r>
  <r>
    <x v="21"/>
    <x v="29"/>
    <s v="Electric Generators, Electric Utilities"/>
    <x v="4"/>
    <n v="37206.83"/>
  </r>
  <r>
    <x v="21"/>
    <x v="29"/>
    <s v="Electric Generators, Electric Utilities"/>
    <x v="5"/>
    <n v="228865"/>
  </r>
  <r>
    <x v="21"/>
    <x v="29"/>
    <s v="Combined Heat and Power, Industrial Power"/>
    <x v="0"/>
    <n v="278358"/>
  </r>
  <r>
    <x v="21"/>
    <x v="29"/>
    <s v="Combined Heat and Power, Industrial Power"/>
    <x v="1"/>
    <n v="257449.96"/>
  </r>
  <r>
    <x v="21"/>
    <x v="29"/>
    <s v="Combined Heat and Power, Industrial Power"/>
    <x v="3"/>
    <n v="20908.04"/>
  </r>
  <r>
    <x v="21"/>
    <x v="29"/>
    <s v="Combined Heat and Power, Commercial Power"/>
    <x v="0"/>
    <n v="17114"/>
  </r>
  <r>
    <x v="21"/>
    <x v="29"/>
    <s v="Combined Heat and Power, Commercial Power"/>
    <x v="3"/>
    <n v="3241.5"/>
  </r>
  <r>
    <x v="21"/>
    <x v="29"/>
    <s v="Combined Heat and Power, Commercial Power"/>
    <x v="8"/>
    <n v="13872.5"/>
  </r>
  <r>
    <x v="21"/>
    <x v="30"/>
    <s v="Total Electric Power Industry"/>
    <x v="0"/>
    <n v="20065941"/>
  </r>
  <r>
    <x v="21"/>
    <x v="30"/>
    <s v="Total Electric Power Industry"/>
    <x v="1"/>
    <n v="2208203.36"/>
  </r>
  <r>
    <x v="21"/>
    <x v="30"/>
    <s v="Total Electric Power Industry"/>
    <x v="2"/>
    <n v="1604811"/>
  </r>
  <r>
    <x v="21"/>
    <x v="30"/>
    <s v="Total Electric Power Industry"/>
    <x v="3"/>
    <n v="6657569.4400000004"/>
  </r>
  <r>
    <x v="21"/>
    <x v="30"/>
    <s v="Total Electric Power Industry"/>
    <x v="7"/>
    <n v="8362807"/>
  </r>
  <r>
    <x v="21"/>
    <x v="30"/>
    <s v="Total Electric Power Industry"/>
    <x v="12"/>
    <n v="63821.760000000002"/>
  </r>
  <r>
    <x v="21"/>
    <x v="30"/>
    <s v="Total Electric Power Industry"/>
    <x v="8"/>
    <n v="108059.18"/>
  </r>
  <r>
    <x v="21"/>
    <x v="30"/>
    <s v="Total Electric Power Industry"/>
    <x v="4"/>
    <n v="77505.570000000007"/>
  </r>
  <r>
    <x v="21"/>
    <x v="30"/>
    <s v="Total Electric Power Industry"/>
    <x v="5"/>
    <n v="66092"/>
  </r>
  <r>
    <x v="21"/>
    <x v="30"/>
    <s v="Total Electric Power Industry"/>
    <x v="6"/>
    <n v="917071.7"/>
  </r>
  <r>
    <x v="21"/>
    <x v="30"/>
    <s v="Electric Generators, Independent Power Producers"/>
    <x v="0"/>
    <n v="17020036"/>
  </r>
  <r>
    <x v="21"/>
    <x v="30"/>
    <s v="Electric Generators, Independent Power Producers"/>
    <x v="2"/>
    <n v="1240989"/>
  </r>
  <r>
    <x v="21"/>
    <x v="30"/>
    <s v="Electric Generators, Independent Power Producers"/>
    <x v="3"/>
    <n v="6551847.3700000001"/>
  </r>
  <r>
    <x v="21"/>
    <x v="30"/>
    <s v="Electric Generators, Independent Power Producers"/>
    <x v="7"/>
    <n v="8362807"/>
  </r>
  <r>
    <x v="21"/>
    <x v="30"/>
    <s v="Electric Generators, Independent Power Producers"/>
    <x v="12"/>
    <n v="63821.760000000002"/>
  </r>
  <r>
    <x v="21"/>
    <x v="30"/>
    <s v="Electric Generators, Independent Power Producers"/>
    <x v="8"/>
    <n v="107821.24"/>
  </r>
  <r>
    <x v="21"/>
    <x v="30"/>
    <s v="Electric Generators, Independent Power Producers"/>
    <x v="4"/>
    <n v="742.59"/>
  </r>
  <r>
    <x v="21"/>
    <x v="30"/>
    <s v="Electric Generators, Independent Power Producers"/>
    <x v="5"/>
    <n v="66092"/>
  </r>
  <r>
    <x v="21"/>
    <x v="30"/>
    <s v="Electric Generators, Independent Power Producers"/>
    <x v="6"/>
    <n v="625915.04"/>
  </r>
  <r>
    <x v="21"/>
    <x v="30"/>
    <s v="Electric Generators, Electric Utilities"/>
    <x v="0"/>
    <n v="2994495"/>
  </r>
  <r>
    <x v="21"/>
    <x v="30"/>
    <s v="Electric Generators, Electric Utilities"/>
    <x v="1"/>
    <n v="2208203.36"/>
  </r>
  <r>
    <x v="21"/>
    <x v="30"/>
    <s v="Electric Generators, Electric Utilities"/>
    <x v="2"/>
    <n v="358905"/>
  </r>
  <r>
    <x v="21"/>
    <x v="30"/>
    <s v="Electric Generators, Electric Utilities"/>
    <x v="3"/>
    <n v="79628.06"/>
  </r>
  <r>
    <x v="21"/>
    <x v="30"/>
    <s v="Electric Generators, Electric Utilities"/>
    <x v="8"/>
    <n v="237.94"/>
  </r>
  <r>
    <x v="21"/>
    <x v="30"/>
    <s v="Electric Generators, Electric Utilities"/>
    <x v="4"/>
    <n v="56717.11"/>
  </r>
  <r>
    <x v="21"/>
    <x v="30"/>
    <s v="Electric Generators, Electric Utilities"/>
    <x v="6"/>
    <n v="290803.53000000003"/>
  </r>
  <r>
    <x v="21"/>
    <x v="30"/>
    <s v="Combined Heat and Power, Industrial Power"/>
    <x v="0"/>
    <n v="31464"/>
  </r>
  <r>
    <x v="21"/>
    <x v="30"/>
    <s v="Combined Heat and Power, Industrial Power"/>
    <x v="2"/>
    <n v="4917"/>
  </r>
  <r>
    <x v="21"/>
    <x v="30"/>
    <s v="Combined Heat and Power, Industrial Power"/>
    <x v="3"/>
    <n v="26094"/>
  </r>
  <r>
    <x v="21"/>
    <x v="30"/>
    <s v="Combined Heat and Power, Industrial Power"/>
    <x v="4"/>
    <n v="99.87"/>
  </r>
  <r>
    <x v="21"/>
    <x v="30"/>
    <s v="Combined Heat and Power, Industrial Power"/>
    <x v="6"/>
    <n v="353.13"/>
  </r>
  <r>
    <x v="21"/>
    <x v="30"/>
    <s v="Combined Heat and Power, Commercial Power"/>
    <x v="0"/>
    <n v="19946"/>
  </r>
  <r>
    <x v="21"/>
    <x v="30"/>
    <s v="Combined Heat and Power, Commercial Power"/>
    <x v="4"/>
    <n v="19946"/>
  </r>
  <r>
    <x v="21"/>
    <x v="31"/>
    <s v="Total Electric Power Industry"/>
    <x v="0"/>
    <n v="64694095.969999999"/>
  </r>
  <r>
    <x v="21"/>
    <x v="31"/>
    <s v="Total Electric Power Industry"/>
    <x v="1"/>
    <n v="4155097.01"/>
  </r>
  <r>
    <x v="21"/>
    <x v="31"/>
    <s v="Total Electric Power Industry"/>
    <x v="2"/>
    <n v="24407"/>
  </r>
  <r>
    <x v="21"/>
    <x v="31"/>
    <s v="Total Electric Power Industry"/>
    <x v="3"/>
    <n v="25201074.949999999"/>
  </r>
  <r>
    <x v="21"/>
    <x v="31"/>
    <s v="Total Electric Power Industry"/>
    <x v="7"/>
    <n v="33606447"/>
  </r>
  <r>
    <x v="21"/>
    <x v="31"/>
    <s v="Total Electric Power Industry"/>
    <x v="12"/>
    <n v="643573.1"/>
  </r>
  <r>
    <x v="21"/>
    <x v="31"/>
    <s v="Total Electric Power Industry"/>
    <x v="8"/>
    <n v="876111.18"/>
  </r>
  <r>
    <x v="21"/>
    <x v="31"/>
    <s v="Total Electric Power Industry"/>
    <x v="9"/>
    <n v="139175.18"/>
  </r>
  <r>
    <x v="21"/>
    <x v="31"/>
    <s v="Total Electric Power Industry"/>
    <x v="4"/>
    <n v="165587.96"/>
  </r>
  <r>
    <x v="21"/>
    <x v="31"/>
    <s v="Total Electric Power Industry"/>
    <x v="10"/>
    <n v="-196778"/>
  </r>
  <r>
    <x v="21"/>
    <x v="31"/>
    <s v="Total Electric Power Industry"/>
    <x v="13"/>
    <n v="68877.61"/>
  </r>
  <r>
    <x v="21"/>
    <x v="31"/>
    <s v="Total Electric Power Industry"/>
    <x v="5"/>
    <n v="10523"/>
  </r>
  <r>
    <x v="21"/>
    <x v="31"/>
    <s v="Electric Generators, Independent Power Producers"/>
    <x v="0"/>
    <n v="56017777.789999999"/>
  </r>
  <r>
    <x v="21"/>
    <x v="31"/>
    <s v="Electric Generators, Independent Power Producers"/>
    <x v="1"/>
    <n v="2562110.1800000002"/>
  </r>
  <r>
    <x v="21"/>
    <x v="31"/>
    <s v="Electric Generators, Independent Power Producers"/>
    <x v="2"/>
    <n v="24407"/>
  </r>
  <r>
    <x v="21"/>
    <x v="31"/>
    <s v="Electric Generators, Independent Power Producers"/>
    <x v="3"/>
    <n v="18768405.219999999"/>
  </r>
  <r>
    <x v="21"/>
    <x v="31"/>
    <s v="Electric Generators, Independent Power Producers"/>
    <x v="7"/>
    <n v="33606447"/>
  </r>
  <r>
    <x v="21"/>
    <x v="31"/>
    <s v="Electric Generators, Independent Power Producers"/>
    <x v="12"/>
    <n v="383223.76"/>
  </r>
  <r>
    <x v="21"/>
    <x v="31"/>
    <s v="Electric Generators, Independent Power Producers"/>
    <x v="8"/>
    <n v="537880.51"/>
  </r>
  <r>
    <x v="21"/>
    <x v="31"/>
    <s v="Electric Generators, Independent Power Producers"/>
    <x v="4"/>
    <n v="83790.94"/>
  </r>
  <r>
    <x v="21"/>
    <x v="31"/>
    <s v="Electric Generators, Independent Power Producers"/>
    <x v="13"/>
    <n v="40990.18"/>
  </r>
  <r>
    <x v="21"/>
    <x v="31"/>
    <s v="Electric Generators, Independent Power Producers"/>
    <x v="5"/>
    <n v="10523"/>
  </r>
  <r>
    <x v="21"/>
    <x v="31"/>
    <s v="Electric Generators, Electric Utilities"/>
    <x v="0"/>
    <n v="-173470"/>
  </r>
  <r>
    <x v="21"/>
    <x v="31"/>
    <s v="Electric Generators, Electric Utilities"/>
    <x v="1"/>
    <n v="0"/>
  </r>
  <r>
    <x v="21"/>
    <x v="31"/>
    <s v="Electric Generators, Electric Utilities"/>
    <x v="4"/>
    <n v="3813"/>
  </r>
  <r>
    <x v="21"/>
    <x v="31"/>
    <s v="Electric Generators, Electric Utilities"/>
    <x v="10"/>
    <n v="-196778"/>
  </r>
  <r>
    <x v="21"/>
    <x v="31"/>
    <s v="Electric Generators, Electric Utilities"/>
    <x v="13"/>
    <n v="19495"/>
  </r>
  <r>
    <x v="21"/>
    <x v="31"/>
    <s v="Combined Heat and Power, Industrial Power"/>
    <x v="0"/>
    <n v="810987.91"/>
  </r>
  <r>
    <x v="21"/>
    <x v="31"/>
    <s v="Combined Heat and Power, Industrial Power"/>
    <x v="3"/>
    <n v="493283.98"/>
  </r>
  <r>
    <x v="21"/>
    <x v="31"/>
    <s v="Combined Heat and Power, Industrial Power"/>
    <x v="12"/>
    <n v="122314"/>
  </r>
  <r>
    <x v="21"/>
    <x v="31"/>
    <s v="Combined Heat and Power, Industrial Power"/>
    <x v="9"/>
    <n v="135756.4"/>
  </r>
  <r>
    <x v="21"/>
    <x v="31"/>
    <s v="Combined Heat and Power, Industrial Power"/>
    <x v="4"/>
    <n v="59633.53"/>
  </r>
  <r>
    <x v="21"/>
    <x v="31"/>
    <s v="Combined Heat and Power, Industrial Power"/>
    <x v="13"/>
    <n v="0"/>
  </r>
  <r>
    <x v="21"/>
    <x v="31"/>
    <s v="Combined Heat and Power, Electric Power"/>
    <x v="0"/>
    <n v="7529822.6600000001"/>
  </r>
  <r>
    <x v="21"/>
    <x v="31"/>
    <s v="Combined Heat and Power, Electric Power"/>
    <x v="1"/>
    <n v="1592986.84"/>
  </r>
  <r>
    <x v="21"/>
    <x v="31"/>
    <s v="Combined Heat and Power, Electric Power"/>
    <x v="3"/>
    <n v="5818343.0199999996"/>
  </r>
  <r>
    <x v="21"/>
    <x v="31"/>
    <s v="Combined Heat and Power, Electric Power"/>
    <x v="8"/>
    <n v="100940"/>
  </r>
  <r>
    <x v="21"/>
    <x v="31"/>
    <s v="Combined Heat and Power, Electric Power"/>
    <x v="4"/>
    <n v="17552.8"/>
  </r>
  <r>
    <x v="21"/>
    <x v="31"/>
    <s v="Combined Heat and Power, Commercial Power"/>
    <x v="0"/>
    <n v="508977.61"/>
  </r>
  <r>
    <x v="21"/>
    <x v="31"/>
    <s v="Combined Heat and Power, Commercial Power"/>
    <x v="3"/>
    <n v="121042.73"/>
  </r>
  <r>
    <x v="21"/>
    <x v="31"/>
    <s v="Combined Heat and Power, Commercial Power"/>
    <x v="12"/>
    <n v="138035.34"/>
  </r>
  <r>
    <x v="21"/>
    <x v="31"/>
    <s v="Combined Heat and Power, Commercial Power"/>
    <x v="8"/>
    <n v="237290.66"/>
  </r>
  <r>
    <x v="21"/>
    <x v="31"/>
    <s v="Combined Heat and Power, Commercial Power"/>
    <x v="9"/>
    <n v="3418.77"/>
  </r>
  <r>
    <x v="21"/>
    <x v="31"/>
    <s v="Combined Heat and Power, Commercial Power"/>
    <x v="4"/>
    <n v="797.68"/>
  </r>
  <r>
    <x v="21"/>
    <x v="31"/>
    <s v="Combined Heat and Power, Commercial Power"/>
    <x v="13"/>
    <n v="8392.43"/>
  </r>
  <r>
    <x v="21"/>
    <x v="32"/>
    <s v="Total Electric Power Industry"/>
    <x v="0"/>
    <n v="38181139.299999997"/>
  </r>
  <r>
    <x v="21"/>
    <x v="32"/>
    <s v="Total Electric Power Industry"/>
    <x v="1"/>
    <n v="27140863.43"/>
  </r>
  <r>
    <x v="21"/>
    <x v="32"/>
    <s v="Total Electric Power Industry"/>
    <x v="2"/>
    <n v="194766"/>
  </r>
  <r>
    <x v="21"/>
    <x v="32"/>
    <s v="Total Electric Power Industry"/>
    <x v="3"/>
    <n v="8565983.7400000002"/>
  </r>
  <r>
    <x v="21"/>
    <x v="32"/>
    <s v="Total Electric Power Industry"/>
    <x v="8"/>
    <n v="9426.42"/>
  </r>
  <r>
    <x v="21"/>
    <x v="32"/>
    <s v="Total Electric Power Industry"/>
    <x v="4"/>
    <n v="37800.71"/>
  </r>
  <r>
    <x v="21"/>
    <x v="32"/>
    <s v="Total Electric Power Industry"/>
    <x v="13"/>
    <n v="127802"/>
  </r>
  <r>
    <x v="21"/>
    <x v="32"/>
    <s v="Total Electric Power Industry"/>
    <x v="5"/>
    <n v="2104497"/>
  </r>
  <r>
    <x v="21"/>
    <x v="32"/>
    <s v="Electric Generators, Independent Power Producers"/>
    <x v="0"/>
    <n v="5486892"/>
  </r>
  <r>
    <x v="21"/>
    <x v="32"/>
    <s v="Electric Generators, Independent Power Producers"/>
    <x v="3"/>
    <n v="3255660.59"/>
  </r>
  <r>
    <x v="21"/>
    <x v="32"/>
    <s v="Electric Generators, Independent Power Producers"/>
    <x v="4"/>
    <n v="2354.41"/>
  </r>
  <r>
    <x v="21"/>
    <x v="32"/>
    <s v="Electric Generators, Independent Power Producers"/>
    <x v="13"/>
    <n v="127802"/>
  </r>
  <r>
    <x v="21"/>
    <x v="32"/>
    <s v="Electric Generators, Independent Power Producers"/>
    <x v="5"/>
    <n v="2101075"/>
  </r>
  <r>
    <x v="21"/>
    <x v="32"/>
    <s v="Electric Generators, Electric Utilities"/>
    <x v="0"/>
    <n v="32291832.359999999"/>
  </r>
  <r>
    <x v="21"/>
    <x v="32"/>
    <s v="Electric Generators, Electric Utilities"/>
    <x v="1"/>
    <n v="27140863.43"/>
  </r>
  <r>
    <x v="21"/>
    <x v="32"/>
    <s v="Electric Generators, Electric Utilities"/>
    <x v="2"/>
    <n v="194766"/>
  </r>
  <r>
    <x v="21"/>
    <x v="32"/>
    <s v="Electric Generators, Electric Utilities"/>
    <x v="3"/>
    <n v="4920756.6399999997"/>
  </r>
  <r>
    <x v="21"/>
    <x v="32"/>
    <s v="Electric Generators, Electric Utilities"/>
    <x v="4"/>
    <n v="35446.300000000003"/>
  </r>
  <r>
    <x v="21"/>
    <x v="32"/>
    <s v="Combined Heat and Power, Industrial Power"/>
    <x v="0"/>
    <n v="42952"/>
  </r>
  <r>
    <x v="21"/>
    <x v="32"/>
    <s v="Combined Heat and Power, Industrial Power"/>
    <x v="3"/>
    <n v="42952"/>
  </r>
  <r>
    <x v="21"/>
    <x v="32"/>
    <s v="Combined Heat and Power, Industrial Power"/>
    <x v="4"/>
    <n v="0"/>
  </r>
  <r>
    <x v="21"/>
    <x v="32"/>
    <s v="Combined Heat and Power, Electric Power"/>
    <x v="0"/>
    <n v="279665.94"/>
  </r>
  <r>
    <x v="21"/>
    <x v="32"/>
    <s v="Combined Heat and Power, Electric Power"/>
    <x v="3"/>
    <n v="270239.52"/>
  </r>
  <r>
    <x v="21"/>
    <x v="32"/>
    <s v="Combined Heat and Power, Electric Power"/>
    <x v="8"/>
    <n v="9426.42"/>
  </r>
  <r>
    <x v="21"/>
    <x v="32"/>
    <s v="Combined Heat and Power, Commercial Power"/>
    <x v="0"/>
    <n v="79797"/>
  </r>
  <r>
    <x v="21"/>
    <x v="32"/>
    <s v="Combined Heat and Power, Commercial Power"/>
    <x v="3"/>
    <n v="76375"/>
  </r>
  <r>
    <x v="21"/>
    <x v="32"/>
    <s v="Combined Heat and Power, Commercial Power"/>
    <x v="5"/>
    <n v="3422"/>
  </r>
  <r>
    <x v="21"/>
    <x v="33"/>
    <s v="Total Electric Power Industry"/>
    <x v="0"/>
    <n v="31935917.91"/>
  </r>
  <r>
    <x v="21"/>
    <x v="33"/>
    <s v="Total Electric Power Industry"/>
    <x v="1"/>
    <n v="5407304.3099999996"/>
  </r>
  <r>
    <x v="21"/>
    <x v="33"/>
    <s v="Total Electric Power Industry"/>
    <x v="11"/>
    <n v="2146119"/>
  </r>
  <r>
    <x v="21"/>
    <x v="33"/>
    <s v="Total Electric Power Industry"/>
    <x v="2"/>
    <n v="2190583"/>
  </r>
  <r>
    <x v="21"/>
    <x v="33"/>
    <s v="Total Electric Power Industry"/>
    <x v="3"/>
    <n v="21841396.539999999"/>
  </r>
  <r>
    <x v="21"/>
    <x v="33"/>
    <s v="Total Electric Power Industry"/>
    <x v="12"/>
    <n v="37817"/>
  </r>
  <r>
    <x v="21"/>
    <x v="33"/>
    <s v="Total Electric Power Industry"/>
    <x v="9"/>
    <n v="7260.87"/>
  </r>
  <r>
    <x v="21"/>
    <x v="33"/>
    <s v="Total Electric Power Industry"/>
    <x v="4"/>
    <n v="14212.67"/>
  </r>
  <r>
    <x v="21"/>
    <x v="33"/>
    <s v="Total Electric Power Industry"/>
    <x v="13"/>
    <n v="291224.51"/>
  </r>
  <r>
    <x v="21"/>
    <x v="33"/>
    <s v="Total Electric Power Industry"/>
    <x v="6"/>
    <n v="0"/>
  </r>
  <r>
    <x v="21"/>
    <x v="33"/>
    <s v="Electric Generators, Independent Power Producers"/>
    <x v="0"/>
    <n v="7834824"/>
  </r>
  <r>
    <x v="21"/>
    <x v="33"/>
    <s v="Electric Generators, Independent Power Producers"/>
    <x v="1"/>
    <n v="1314741.6499999999"/>
  </r>
  <r>
    <x v="21"/>
    <x v="33"/>
    <s v="Electric Generators, Independent Power Producers"/>
    <x v="11"/>
    <n v="2146119"/>
  </r>
  <r>
    <x v="21"/>
    <x v="33"/>
    <s v="Electric Generators, Independent Power Producers"/>
    <x v="2"/>
    <n v="46492"/>
  </r>
  <r>
    <x v="21"/>
    <x v="33"/>
    <s v="Electric Generators, Independent Power Producers"/>
    <x v="3"/>
    <n v="4065253"/>
  </r>
  <r>
    <x v="21"/>
    <x v="33"/>
    <s v="Electric Generators, Independent Power Producers"/>
    <x v="4"/>
    <n v="4365.3500000000004"/>
  </r>
  <r>
    <x v="21"/>
    <x v="33"/>
    <s v="Electric Generators, Independent Power Producers"/>
    <x v="13"/>
    <n v="257853"/>
  </r>
  <r>
    <x v="21"/>
    <x v="33"/>
    <s v="Electric Generators, Electric Utilities"/>
    <x v="0"/>
    <n v="21672874.760000002"/>
  </r>
  <r>
    <x v="21"/>
    <x v="33"/>
    <s v="Electric Generators, Electric Utilities"/>
    <x v="1"/>
    <n v="4092562.66"/>
  </r>
  <r>
    <x v="21"/>
    <x v="33"/>
    <s v="Electric Generators, Electric Utilities"/>
    <x v="2"/>
    <n v="2144091"/>
  </r>
  <r>
    <x v="21"/>
    <x v="33"/>
    <s v="Electric Generators, Electric Utilities"/>
    <x v="3"/>
    <n v="15388561.1"/>
  </r>
  <r>
    <x v="21"/>
    <x v="33"/>
    <s v="Electric Generators, Electric Utilities"/>
    <x v="12"/>
    <n v="37817"/>
  </r>
  <r>
    <x v="21"/>
    <x v="33"/>
    <s v="Electric Generators, Electric Utilities"/>
    <x v="4"/>
    <n v="9842.99"/>
  </r>
  <r>
    <x v="21"/>
    <x v="33"/>
    <s v="Electric Generators, Electric Utilities"/>
    <x v="6"/>
    <n v="0"/>
  </r>
  <r>
    <x v="21"/>
    <x v="33"/>
    <s v="Combined Heat and Power, Industrial Power"/>
    <x v="0"/>
    <n v="168989"/>
  </r>
  <r>
    <x v="21"/>
    <x v="33"/>
    <s v="Combined Heat and Power, Industrial Power"/>
    <x v="3"/>
    <n v="167742"/>
  </r>
  <r>
    <x v="21"/>
    <x v="33"/>
    <s v="Combined Heat and Power, Industrial Power"/>
    <x v="13"/>
    <n v="1247"/>
  </r>
  <r>
    <x v="21"/>
    <x v="33"/>
    <s v="Combined Heat and Power, Electric Power"/>
    <x v="0"/>
    <n v="2167210"/>
  </r>
  <r>
    <x v="21"/>
    <x v="33"/>
    <s v="Combined Heat and Power, Electric Power"/>
    <x v="3"/>
    <n v="2159944.7999999998"/>
  </r>
  <r>
    <x v="21"/>
    <x v="33"/>
    <s v="Combined Heat and Power, Electric Power"/>
    <x v="9"/>
    <n v="7260.87"/>
  </r>
  <r>
    <x v="21"/>
    <x v="33"/>
    <s v="Combined Heat and Power, Electric Power"/>
    <x v="4"/>
    <n v="4.33"/>
  </r>
  <r>
    <x v="21"/>
    <x v="33"/>
    <s v="Combined Heat and Power, Commercial Power"/>
    <x v="0"/>
    <n v="92020.15"/>
  </r>
  <r>
    <x v="21"/>
    <x v="33"/>
    <s v="Combined Heat and Power, Commercial Power"/>
    <x v="3"/>
    <n v="59895.64"/>
  </r>
  <r>
    <x v="21"/>
    <x v="33"/>
    <s v="Combined Heat and Power, Commercial Power"/>
    <x v="13"/>
    <n v="32124.51"/>
  </r>
  <r>
    <x v="21"/>
    <x v="34"/>
    <s v="Total Electric Power Industry"/>
    <x v="0"/>
    <n v="137480346.94999999"/>
  </r>
  <r>
    <x v="21"/>
    <x v="34"/>
    <s v="Total Electric Power Industry"/>
    <x v="1"/>
    <n v="9426160.1899999995"/>
  </r>
  <r>
    <x v="21"/>
    <x v="34"/>
    <s v="Total Electric Power Industry"/>
    <x v="2"/>
    <n v="27996987.620000001"/>
  </r>
  <r>
    <x v="21"/>
    <x v="34"/>
    <s v="Total Electric Power Industry"/>
    <x v="3"/>
    <n v="50804754.850000001"/>
  </r>
  <r>
    <x v="21"/>
    <x v="34"/>
    <s v="Total Electric Power Industry"/>
    <x v="7"/>
    <n v="42695009"/>
  </r>
  <r>
    <x v="21"/>
    <x v="34"/>
    <s v="Total Electric Power Industry"/>
    <x v="12"/>
    <n v="905187.09"/>
  </r>
  <r>
    <x v="21"/>
    <x v="34"/>
    <s v="Total Electric Power Industry"/>
    <x v="8"/>
    <n v="1619149.01"/>
  </r>
  <r>
    <x v="21"/>
    <x v="34"/>
    <s v="Total Electric Power Industry"/>
    <x v="4"/>
    <n v="1189480.68"/>
  </r>
  <r>
    <x v="21"/>
    <x v="34"/>
    <s v="Total Electric Power Industry"/>
    <x v="10"/>
    <n v="-433021"/>
  </r>
  <r>
    <x v="21"/>
    <x v="34"/>
    <s v="Total Electric Power Industry"/>
    <x v="13"/>
    <n v="6443"/>
  </r>
  <r>
    <x v="21"/>
    <x v="34"/>
    <s v="Total Electric Power Industry"/>
    <x v="5"/>
    <n v="2828069"/>
  </r>
  <r>
    <x v="21"/>
    <x v="34"/>
    <s v="Total Electric Power Industry"/>
    <x v="6"/>
    <n v="442127.51"/>
  </r>
  <r>
    <x v="21"/>
    <x v="34"/>
    <s v="Electric Generators, Independent Power Producers"/>
    <x v="0"/>
    <n v="86051549.870000005"/>
  </r>
  <r>
    <x v="21"/>
    <x v="34"/>
    <s v="Electric Generators, Independent Power Producers"/>
    <x v="1"/>
    <n v="8951555.3499999996"/>
  </r>
  <r>
    <x v="21"/>
    <x v="34"/>
    <s v="Electric Generators, Independent Power Producers"/>
    <x v="2"/>
    <n v="5115825"/>
  </r>
  <r>
    <x v="21"/>
    <x v="34"/>
    <s v="Electric Generators, Independent Power Producers"/>
    <x v="3"/>
    <n v="23698246.75"/>
  </r>
  <r>
    <x v="21"/>
    <x v="34"/>
    <s v="Electric Generators, Independent Power Producers"/>
    <x v="7"/>
    <n v="42695009"/>
  </r>
  <r>
    <x v="21"/>
    <x v="34"/>
    <s v="Electric Generators, Independent Power Producers"/>
    <x v="12"/>
    <n v="679307.54"/>
  </r>
  <r>
    <x v="21"/>
    <x v="34"/>
    <s v="Electric Generators, Independent Power Producers"/>
    <x v="8"/>
    <n v="1384048.35"/>
  </r>
  <r>
    <x v="21"/>
    <x v="34"/>
    <s v="Electric Generators, Independent Power Producers"/>
    <x v="4"/>
    <n v="604607.88"/>
  </r>
  <r>
    <x v="21"/>
    <x v="34"/>
    <s v="Electric Generators, Independent Power Producers"/>
    <x v="13"/>
    <n v="6443"/>
  </r>
  <r>
    <x v="21"/>
    <x v="34"/>
    <s v="Electric Generators, Independent Power Producers"/>
    <x v="5"/>
    <n v="2828069"/>
  </r>
  <r>
    <x v="21"/>
    <x v="34"/>
    <s v="Electric Generators, Independent Power Producers"/>
    <x v="6"/>
    <n v="88438"/>
  </r>
  <r>
    <x v="21"/>
    <x v="34"/>
    <s v="Electric Generators, Electric Utilities"/>
    <x v="0"/>
    <n v="35935730.619999997"/>
  </r>
  <r>
    <x v="21"/>
    <x v="34"/>
    <s v="Electric Generators, Electric Utilities"/>
    <x v="1"/>
    <n v="25105.56"/>
  </r>
  <r>
    <x v="21"/>
    <x v="34"/>
    <s v="Electric Generators, Electric Utilities"/>
    <x v="2"/>
    <n v="22801090.620000001"/>
  </r>
  <r>
    <x v="21"/>
    <x v="34"/>
    <s v="Electric Generators, Electric Utilities"/>
    <x v="3"/>
    <n v="13067955.039999999"/>
  </r>
  <r>
    <x v="21"/>
    <x v="34"/>
    <s v="Electric Generators, Electric Utilities"/>
    <x v="4"/>
    <n v="474600.4"/>
  </r>
  <r>
    <x v="21"/>
    <x v="34"/>
    <s v="Electric Generators, Electric Utilities"/>
    <x v="10"/>
    <n v="-433021"/>
  </r>
  <r>
    <x v="21"/>
    <x v="34"/>
    <s v="Combined Heat and Power, Industrial Power"/>
    <x v="0"/>
    <n v="1005286.62"/>
  </r>
  <r>
    <x v="21"/>
    <x v="34"/>
    <s v="Combined Heat and Power, Industrial Power"/>
    <x v="1"/>
    <n v="362804.25"/>
  </r>
  <r>
    <x v="21"/>
    <x v="34"/>
    <s v="Combined Heat and Power, Industrial Power"/>
    <x v="2"/>
    <n v="74564"/>
  </r>
  <r>
    <x v="21"/>
    <x v="34"/>
    <s v="Combined Heat and Power, Industrial Power"/>
    <x v="3"/>
    <n v="245552.45"/>
  </r>
  <r>
    <x v="21"/>
    <x v="34"/>
    <s v="Combined Heat and Power, Industrial Power"/>
    <x v="4"/>
    <n v="95982.3"/>
  </r>
  <r>
    <x v="21"/>
    <x v="34"/>
    <s v="Combined Heat and Power, Industrial Power"/>
    <x v="6"/>
    <n v="226383.62"/>
  </r>
  <r>
    <x v="21"/>
    <x v="34"/>
    <s v="Combined Heat and Power, Electric Power"/>
    <x v="0"/>
    <n v="13755548.68"/>
  </r>
  <r>
    <x v="21"/>
    <x v="34"/>
    <s v="Combined Heat and Power, Electric Power"/>
    <x v="1"/>
    <n v="85431.44"/>
  </r>
  <r>
    <x v="21"/>
    <x v="34"/>
    <s v="Combined Heat and Power, Electric Power"/>
    <x v="3"/>
    <n v="13294406.49"/>
  </r>
  <r>
    <x v="21"/>
    <x v="34"/>
    <s v="Combined Heat and Power, Electric Power"/>
    <x v="12"/>
    <n v="119943.86"/>
  </r>
  <r>
    <x v="21"/>
    <x v="34"/>
    <s v="Combined Heat and Power, Electric Power"/>
    <x v="8"/>
    <n v="124839.86"/>
  </r>
  <r>
    <x v="21"/>
    <x v="34"/>
    <s v="Combined Heat and Power, Electric Power"/>
    <x v="4"/>
    <n v="3621.14"/>
  </r>
  <r>
    <x v="21"/>
    <x v="34"/>
    <s v="Combined Heat and Power, Electric Power"/>
    <x v="6"/>
    <n v="127305.89"/>
  </r>
  <r>
    <x v="21"/>
    <x v="34"/>
    <s v="Combined Heat and Power, Commercial Power"/>
    <x v="0"/>
    <n v="732231.16"/>
  </r>
  <r>
    <x v="21"/>
    <x v="34"/>
    <s v="Combined Heat and Power, Commercial Power"/>
    <x v="1"/>
    <n v="1263.5899999999999"/>
  </r>
  <r>
    <x v="21"/>
    <x v="34"/>
    <s v="Combined Heat and Power, Commercial Power"/>
    <x v="2"/>
    <n v="5508"/>
  </r>
  <r>
    <x v="21"/>
    <x v="34"/>
    <s v="Combined Heat and Power, Commercial Power"/>
    <x v="3"/>
    <n v="498594.12"/>
  </r>
  <r>
    <x v="21"/>
    <x v="34"/>
    <s v="Combined Heat and Power, Commercial Power"/>
    <x v="12"/>
    <n v="105935.69"/>
  </r>
  <r>
    <x v="21"/>
    <x v="34"/>
    <s v="Combined Heat and Power, Commercial Power"/>
    <x v="8"/>
    <n v="110260.8"/>
  </r>
  <r>
    <x v="21"/>
    <x v="34"/>
    <s v="Combined Heat and Power, Commercial Power"/>
    <x v="4"/>
    <n v="10668.96"/>
  </r>
  <r>
    <x v="21"/>
    <x v="35"/>
    <s v="Total Electric Power Industry"/>
    <x v="0"/>
    <n v="135585804.47"/>
  </r>
  <r>
    <x v="21"/>
    <x v="35"/>
    <s v="Total Electric Power Industry"/>
    <x v="1"/>
    <n v="105336957.11"/>
  </r>
  <r>
    <x v="21"/>
    <x v="35"/>
    <s v="Total Electric Power Industry"/>
    <x v="2"/>
    <n v="383655"/>
  </r>
  <r>
    <x v="21"/>
    <x v="35"/>
    <s v="Total Electric Power Industry"/>
    <x v="3"/>
    <n v="12337577.109999999"/>
  </r>
  <r>
    <x v="21"/>
    <x v="35"/>
    <s v="Total Electric Power Industry"/>
    <x v="7"/>
    <n v="14889746"/>
  </r>
  <r>
    <x v="21"/>
    <x v="35"/>
    <s v="Total Electric Power Industry"/>
    <x v="12"/>
    <n v="10002.719999999999"/>
  </r>
  <r>
    <x v="21"/>
    <x v="35"/>
    <s v="Total Electric Power Industry"/>
    <x v="8"/>
    <n v="331755.57"/>
  </r>
  <r>
    <x v="21"/>
    <x v="35"/>
    <s v="Total Electric Power Industry"/>
    <x v="9"/>
    <n v="303742.61"/>
  </r>
  <r>
    <x v="21"/>
    <x v="35"/>
    <s v="Total Electric Power Industry"/>
    <x v="4"/>
    <n v="1388432.42"/>
  </r>
  <r>
    <x v="21"/>
    <x v="35"/>
    <s v="Total Electric Power Industry"/>
    <x v="13"/>
    <n v="15495"/>
  </r>
  <r>
    <x v="21"/>
    <x v="35"/>
    <s v="Total Electric Power Industry"/>
    <x v="5"/>
    <n v="198443"/>
  </r>
  <r>
    <x v="21"/>
    <x v="35"/>
    <s v="Total Electric Power Industry"/>
    <x v="6"/>
    <n v="389997.93"/>
  </r>
  <r>
    <x v="21"/>
    <x v="35"/>
    <s v="Electric Generators, Independent Power Producers"/>
    <x v="0"/>
    <n v="48792705"/>
  </r>
  <r>
    <x v="21"/>
    <x v="35"/>
    <s v="Electric Generators, Independent Power Producers"/>
    <x v="1"/>
    <n v="23199555.34"/>
  </r>
  <r>
    <x v="21"/>
    <x v="35"/>
    <s v="Electric Generators, Independent Power Producers"/>
    <x v="3"/>
    <n v="9069399.5299999993"/>
  </r>
  <r>
    <x v="21"/>
    <x v="35"/>
    <s v="Electric Generators, Independent Power Producers"/>
    <x v="7"/>
    <n v="14889746"/>
  </r>
  <r>
    <x v="21"/>
    <x v="35"/>
    <s v="Electric Generators, Independent Power Producers"/>
    <x v="12"/>
    <n v="0"/>
  </r>
  <r>
    <x v="21"/>
    <x v="35"/>
    <s v="Electric Generators, Independent Power Producers"/>
    <x v="8"/>
    <n v="315229"/>
  </r>
  <r>
    <x v="21"/>
    <x v="35"/>
    <s v="Electric Generators, Independent Power Producers"/>
    <x v="4"/>
    <n v="1122488.1200000001"/>
  </r>
  <r>
    <x v="21"/>
    <x v="35"/>
    <s v="Electric Generators, Independent Power Producers"/>
    <x v="13"/>
    <n v="14159"/>
  </r>
  <r>
    <x v="21"/>
    <x v="35"/>
    <s v="Electric Generators, Independent Power Producers"/>
    <x v="5"/>
    <n v="182128"/>
  </r>
  <r>
    <x v="21"/>
    <x v="35"/>
    <s v="Electric Generators, Electric Utilities"/>
    <x v="0"/>
    <n v="85006848.640000001"/>
  </r>
  <r>
    <x v="21"/>
    <x v="35"/>
    <s v="Electric Generators, Electric Utilities"/>
    <x v="1"/>
    <n v="81470232.849999994"/>
  </r>
  <r>
    <x v="21"/>
    <x v="35"/>
    <s v="Electric Generators, Electric Utilities"/>
    <x v="2"/>
    <n v="383655"/>
  </r>
  <r>
    <x v="21"/>
    <x v="35"/>
    <s v="Electric Generators, Electric Utilities"/>
    <x v="3"/>
    <n v="2873461.03"/>
  </r>
  <r>
    <x v="21"/>
    <x v="35"/>
    <s v="Electric Generators, Electric Utilities"/>
    <x v="4"/>
    <n v="263784.76"/>
  </r>
  <r>
    <x v="21"/>
    <x v="35"/>
    <s v="Electric Generators, Electric Utilities"/>
    <x v="13"/>
    <n v="1336"/>
  </r>
  <r>
    <x v="21"/>
    <x v="35"/>
    <s v="Electric Generators, Electric Utilities"/>
    <x v="5"/>
    <n v="14379"/>
  </r>
  <r>
    <x v="21"/>
    <x v="35"/>
    <s v="Combined Heat and Power, Industrial Power"/>
    <x v="0"/>
    <n v="961618.8"/>
  </r>
  <r>
    <x v="21"/>
    <x v="35"/>
    <s v="Combined Heat and Power, Industrial Power"/>
    <x v="1"/>
    <n v="315117.90999999997"/>
  </r>
  <r>
    <x v="21"/>
    <x v="35"/>
    <s v="Combined Heat and Power, Industrial Power"/>
    <x v="3"/>
    <n v="63030.43"/>
  </r>
  <r>
    <x v="21"/>
    <x v="35"/>
    <s v="Combined Heat and Power, Industrial Power"/>
    <x v="12"/>
    <n v="10002.719999999999"/>
  </r>
  <r>
    <x v="21"/>
    <x v="35"/>
    <s v="Combined Heat and Power, Industrial Power"/>
    <x v="8"/>
    <n v="16526.57"/>
  </r>
  <r>
    <x v="21"/>
    <x v="35"/>
    <s v="Combined Heat and Power, Industrial Power"/>
    <x v="9"/>
    <n v="187753.85"/>
  </r>
  <r>
    <x v="21"/>
    <x v="35"/>
    <s v="Combined Heat and Power, Industrial Power"/>
    <x v="4"/>
    <n v="1982.62"/>
  </r>
  <r>
    <x v="21"/>
    <x v="35"/>
    <s v="Combined Heat and Power, Industrial Power"/>
    <x v="5"/>
    <n v="1936"/>
  </r>
  <r>
    <x v="21"/>
    <x v="35"/>
    <s v="Combined Heat and Power, Industrial Power"/>
    <x v="6"/>
    <n v="365268.69"/>
  </r>
  <r>
    <x v="21"/>
    <x v="35"/>
    <s v="Combined Heat and Power, Electric Power"/>
    <x v="0"/>
    <n v="652497.86"/>
  </r>
  <r>
    <x v="21"/>
    <x v="35"/>
    <s v="Combined Heat and Power, Electric Power"/>
    <x v="1"/>
    <n v="351032"/>
  </r>
  <r>
    <x v="21"/>
    <x v="35"/>
    <s v="Combined Heat and Power, Electric Power"/>
    <x v="3"/>
    <n v="160747.85999999999"/>
  </r>
  <r>
    <x v="21"/>
    <x v="35"/>
    <s v="Combined Heat and Power, Electric Power"/>
    <x v="9"/>
    <n v="115988.76"/>
  </r>
  <r>
    <x v="21"/>
    <x v="35"/>
    <s v="Combined Heat and Power, Electric Power"/>
    <x v="6"/>
    <n v="24729.24"/>
  </r>
  <r>
    <x v="21"/>
    <x v="35"/>
    <s v="Combined Heat and Power, Commercial Power"/>
    <x v="0"/>
    <n v="172134.17"/>
  </r>
  <r>
    <x v="21"/>
    <x v="35"/>
    <s v="Combined Heat and Power, Commercial Power"/>
    <x v="1"/>
    <n v="1019"/>
  </r>
  <r>
    <x v="21"/>
    <x v="35"/>
    <s v="Combined Heat and Power, Commercial Power"/>
    <x v="3"/>
    <n v="170938.25"/>
  </r>
  <r>
    <x v="21"/>
    <x v="35"/>
    <s v="Combined Heat and Power, Commercial Power"/>
    <x v="4"/>
    <n v="176.92"/>
  </r>
  <r>
    <x v="21"/>
    <x v="36"/>
    <s v="Total Electric Power Industry"/>
    <x v="0"/>
    <n v="74605713.609999999"/>
  </r>
  <r>
    <x v="21"/>
    <x v="36"/>
    <s v="Total Electric Power Industry"/>
    <x v="1"/>
    <n v="34478947"/>
  </r>
  <r>
    <x v="21"/>
    <x v="36"/>
    <s v="Total Electric Power Industry"/>
    <x v="2"/>
    <n v="1506941"/>
  </r>
  <r>
    <x v="21"/>
    <x v="36"/>
    <s v="Total Electric Power Industry"/>
    <x v="3"/>
    <n v="32836700.16"/>
  </r>
  <r>
    <x v="21"/>
    <x v="36"/>
    <s v="Total Electric Power Industry"/>
    <x v="12"/>
    <n v="1540.56"/>
  </r>
  <r>
    <x v="21"/>
    <x v="36"/>
    <s v="Total Electric Power Industry"/>
    <x v="8"/>
    <n v="87242.01"/>
  </r>
  <r>
    <x v="21"/>
    <x v="36"/>
    <s v="Total Electric Power Industry"/>
    <x v="4"/>
    <n v="15548.38"/>
  </r>
  <r>
    <x v="21"/>
    <x v="36"/>
    <s v="Total Electric Power Industry"/>
    <x v="10"/>
    <n v="-153195"/>
  </r>
  <r>
    <x v="21"/>
    <x v="36"/>
    <s v="Total Electric Power Industry"/>
    <x v="5"/>
    <n v="5605265"/>
  </r>
  <r>
    <x v="21"/>
    <x v="36"/>
    <s v="Total Electric Power Industry"/>
    <x v="6"/>
    <n v="226724.51"/>
  </r>
  <r>
    <x v="21"/>
    <x v="36"/>
    <s v="Electric Generators, Independent Power Producers"/>
    <x v="0"/>
    <n v="13205916.039999999"/>
  </r>
  <r>
    <x v="21"/>
    <x v="36"/>
    <s v="Electric Generators, Independent Power Producers"/>
    <x v="3"/>
    <n v="8261087.04"/>
  </r>
  <r>
    <x v="21"/>
    <x v="36"/>
    <s v="Electric Generators, Independent Power Producers"/>
    <x v="5"/>
    <n v="4944829"/>
  </r>
  <r>
    <x v="21"/>
    <x v="36"/>
    <s v="Electric Generators, Electric Utilities"/>
    <x v="0"/>
    <n v="58373558"/>
  </r>
  <r>
    <x v="21"/>
    <x v="36"/>
    <s v="Electric Generators, Electric Utilities"/>
    <x v="1"/>
    <n v="32204376.16"/>
  </r>
  <r>
    <x v="21"/>
    <x v="36"/>
    <s v="Electric Generators, Electric Utilities"/>
    <x v="2"/>
    <n v="1506941"/>
  </r>
  <r>
    <x v="21"/>
    <x v="36"/>
    <s v="Electric Generators, Electric Utilities"/>
    <x v="3"/>
    <n v="24140060.039999999"/>
  </r>
  <r>
    <x v="21"/>
    <x v="36"/>
    <s v="Electric Generators, Electric Utilities"/>
    <x v="12"/>
    <n v="0"/>
  </r>
  <r>
    <x v="21"/>
    <x v="36"/>
    <s v="Electric Generators, Electric Utilities"/>
    <x v="4"/>
    <n v="14939.8"/>
  </r>
  <r>
    <x v="21"/>
    <x v="36"/>
    <s v="Electric Generators, Electric Utilities"/>
    <x v="10"/>
    <n v="-153195"/>
  </r>
  <r>
    <x v="21"/>
    <x v="36"/>
    <s v="Electric Generators, Electric Utilities"/>
    <x v="5"/>
    <n v="660436"/>
  </r>
  <r>
    <x v="21"/>
    <x v="36"/>
    <s v="Combined Heat and Power, Industrial Power"/>
    <x v="0"/>
    <n v="798499"/>
  </r>
  <r>
    <x v="21"/>
    <x v="36"/>
    <s v="Combined Heat and Power, Industrial Power"/>
    <x v="1"/>
    <n v="392805.84"/>
  </r>
  <r>
    <x v="21"/>
    <x v="36"/>
    <s v="Combined Heat and Power, Industrial Power"/>
    <x v="3"/>
    <n v="90186.09"/>
  </r>
  <r>
    <x v="21"/>
    <x v="36"/>
    <s v="Combined Heat and Power, Industrial Power"/>
    <x v="12"/>
    <n v="1540.56"/>
  </r>
  <r>
    <x v="21"/>
    <x v="36"/>
    <s v="Combined Heat and Power, Industrial Power"/>
    <x v="8"/>
    <n v="87242.01"/>
  </r>
  <r>
    <x v="21"/>
    <x v="36"/>
    <s v="Combined Heat and Power, Industrial Power"/>
    <x v="4"/>
    <n v="0"/>
  </r>
  <r>
    <x v="21"/>
    <x v="36"/>
    <s v="Combined Heat and Power, Industrial Power"/>
    <x v="6"/>
    <n v="226724.51"/>
  </r>
  <r>
    <x v="21"/>
    <x v="36"/>
    <s v="Combined Heat and Power, Electric Power"/>
    <x v="0"/>
    <n v="2205220"/>
  </r>
  <r>
    <x v="21"/>
    <x v="36"/>
    <s v="Combined Heat and Power, Electric Power"/>
    <x v="1"/>
    <n v="1881765"/>
  </r>
  <r>
    <x v="21"/>
    <x v="36"/>
    <s v="Combined Heat and Power, Electric Power"/>
    <x v="3"/>
    <n v="323455"/>
  </r>
  <r>
    <x v="21"/>
    <x v="36"/>
    <s v="Combined Heat and Power, Electric Power"/>
    <x v="8"/>
    <n v="0"/>
  </r>
  <r>
    <x v="21"/>
    <x v="36"/>
    <s v="Combined Heat and Power, Commercial Power"/>
    <x v="0"/>
    <n v="22520.57"/>
  </r>
  <r>
    <x v="21"/>
    <x v="36"/>
    <s v="Combined Heat and Power, Commercial Power"/>
    <x v="3"/>
    <n v="21911.99"/>
  </r>
  <r>
    <x v="21"/>
    <x v="36"/>
    <s v="Combined Heat and Power, Commercial Power"/>
    <x v="4"/>
    <n v="608.58000000000004"/>
  </r>
  <r>
    <x v="21"/>
    <x v="37"/>
    <s v="Total Electric Power Industry"/>
    <x v="0"/>
    <n v="59695164.130000003"/>
  </r>
  <r>
    <x v="21"/>
    <x v="37"/>
    <s v="Total Electric Power Industry"/>
    <x v="1"/>
    <n v="3333516.2"/>
  </r>
  <r>
    <x v="21"/>
    <x v="37"/>
    <s v="Total Electric Power Industry"/>
    <x v="2"/>
    <n v="42314821"/>
  </r>
  <r>
    <x v="21"/>
    <x v="37"/>
    <s v="Total Electric Power Industry"/>
    <x v="3"/>
    <n v="8497729.5399999991"/>
  </r>
  <r>
    <x v="21"/>
    <x v="37"/>
    <s v="Total Electric Power Industry"/>
    <x v="12"/>
    <n v="51325.63"/>
  </r>
  <r>
    <x v="21"/>
    <x v="37"/>
    <s v="Total Electric Power Industry"/>
    <x v="8"/>
    <n v="222255"/>
  </r>
  <r>
    <x v="21"/>
    <x v="37"/>
    <s v="Total Electric Power Industry"/>
    <x v="4"/>
    <n v="7953.95"/>
  </r>
  <r>
    <x v="21"/>
    <x v="37"/>
    <s v="Total Electric Power Industry"/>
    <x v="13"/>
    <n v="90"/>
  </r>
  <r>
    <x v="21"/>
    <x v="37"/>
    <s v="Total Electric Power Industry"/>
    <x v="5"/>
    <n v="4775374"/>
  </r>
  <r>
    <x v="21"/>
    <x v="37"/>
    <s v="Total Electric Power Industry"/>
    <x v="6"/>
    <n v="492098.8"/>
  </r>
  <r>
    <x v="21"/>
    <x v="37"/>
    <s v="Electric Generators, Independent Power Producers"/>
    <x v="0"/>
    <n v="5827217.5899999999"/>
  </r>
  <r>
    <x v="21"/>
    <x v="37"/>
    <s v="Electric Generators, Independent Power Producers"/>
    <x v="2"/>
    <n v="297627"/>
  </r>
  <r>
    <x v="21"/>
    <x v="37"/>
    <s v="Electric Generators, Independent Power Producers"/>
    <x v="3"/>
    <n v="1184362.3700000001"/>
  </r>
  <r>
    <x v="21"/>
    <x v="37"/>
    <s v="Electric Generators, Independent Power Producers"/>
    <x v="12"/>
    <n v="42514.63"/>
  </r>
  <r>
    <x v="21"/>
    <x v="37"/>
    <s v="Electric Generators, Independent Power Producers"/>
    <x v="8"/>
    <n v="130824"/>
  </r>
  <r>
    <x v="21"/>
    <x v="37"/>
    <s v="Electric Generators, Independent Power Producers"/>
    <x v="13"/>
    <n v="90"/>
  </r>
  <r>
    <x v="21"/>
    <x v="37"/>
    <s v="Electric Generators, Independent Power Producers"/>
    <x v="5"/>
    <n v="4054304"/>
  </r>
  <r>
    <x v="21"/>
    <x v="37"/>
    <s v="Electric Generators, Independent Power Producers"/>
    <x v="6"/>
    <n v="117495.59"/>
  </r>
  <r>
    <x v="21"/>
    <x v="37"/>
    <s v="Electric Generators, Electric Utilities"/>
    <x v="0"/>
    <n v="48984868"/>
  </r>
  <r>
    <x v="21"/>
    <x v="37"/>
    <s v="Electric Generators, Electric Utilities"/>
    <x v="1"/>
    <n v="3333516.2"/>
  </r>
  <r>
    <x v="21"/>
    <x v="37"/>
    <s v="Electric Generators, Electric Utilities"/>
    <x v="2"/>
    <n v="42017194"/>
  </r>
  <r>
    <x v="21"/>
    <x v="37"/>
    <s v="Electric Generators, Electric Utilities"/>
    <x v="3"/>
    <n v="2838739.04"/>
  </r>
  <r>
    <x v="21"/>
    <x v="37"/>
    <s v="Electric Generators, Electric Utilities"/>
    <x v="8"/>
    <n v="67774"/>
  </r>
  <r>
    <x v="21"/>
    <x v="37"/>
    <s v="Electric Generators, Electric Utilities"/>
    <x v="4"/>
    <n v="6574.76"/>
  </r>
  <r>
    <x v="21"/>
    <x v="37"/>
    <s v="Electric Generators, Electric Utilities"/>
    <x v="5"/>
    <n v="721070"/>
  </r>
  <r>
    <x v="21"/>
    <x v="37"/>
    <s v="Combined Heat and Power, Industrial Power"/>
    <x v="0"/>
    <n v="459241.75"/>
  </r>
  <r>
    <x v="21"/>
    <x v="37"/>
    <s v="Combined Heat and Power, Industrial Power"/>
    <x v="3"/>
    <n v="85884.91"/>
  </r>
  <r>
    <x v="21"/>
    <x v="37"/>
    <s v="Combined Heat and Power, Industrial Power"/>
    <x v="12"/>
    <n v="8811"/>
  </r>
  <r>
    <x v="21"/>
    <x v="37"/>
    <s v="Combined Heat and Power, Industrial Power"/>
    <x v="4"/>
    <n v="1201.4100000000001"/>
  </r>
  <r>
    <x v="21"/>
    <x v="37"/>
    <s v="Combined Heat and Power, Industrial Power"/>
    <x v="6"/>
    <n v="363344.43"/>
  </r>
  <r>
    <x v="21"/>
    <x v="37"/>
    <s v="Combined Heat and Power, Electric Power"/>
    <x v="0"/>
    <n v="4361188.79"/>
  </r>
  <r>
    <x v="21"/>
    <x v="37"/>
    <s v="Combined Heat and Power, Electric Power"/>
    <x v="3"/>
    <n v="4349930"/>
  </r>
  <r>
    <x v="21"/>
    <x v="37"/>
    <s v="Combined Heat and Power, Electric Power"/>
    <x v="6"/>
    <n v="11258.79"/>
  </r>
  <r>
    <x v="21"/>
    <x v="37"/>
    <s v="Combined Heat and Power, Commercial Power"/>
    <x v="0"/>
    <n v="62648"/>
  </r>
  <r>
    <x v="21"/>
    <x v="37"/>
    <s v="Combined Heat and Power, Commercial Power"/>
    <x v="3"/>
    <n v="38813.22"/>
  </r>
  <r>
    <x v="21"/>
    <x v="37"/>
    <s v="Combined Heat and Power, Commercial Power"/>
    <x v="8"/>
    <n v="23657"/>
  </r>
  <r>
    <x v="21"/>
    <x v="37"/>
    <s v="Combined Heat and Power, Commercial Power"/>
    <x v="4"/>
    <n v="177.78"/>
  </r>
  <r>
    <x v="21"/>
    <x v="38"/>
    <s v="Total Electric Power Industry"/>
    <x v="0"/>
    <n v="227314722.36000001"/>
  </r>
  <r>
    <x v="21"/>
    <x v="38"/>
    <s v="Total Electric Power Industry"/>
    <x v="1"/>
    <n v="100603081.51000001"/>
  </r>
  <r>
    <x v="21"/>
    <x v="38"/>
    <s v="Total Electric Power Industry"/>
    <x v="2"/>
    <n v="3217216"/>
  </r>
  <r>
    <x v="21"/>
    <x v="38"/>
    <s v="Total Electric Power Industry"/>
    <x v="3"/>
    <n v="41792164.950000003"/>
  </r>
  <r>
    <x v="21"/>
    <x v="38"/>
    <s v="Total Electric Power Industry"/>
    <x v="7"/>
    <n v="76146617"/>
  </r>
  <r>
    <x v="21"/>
    <x v="38"/>
    <s v="Total Electric Power Industry"/>
    <x v="12"/>
    <n v="892525.32"/>
  </r>
  <r>
    <x v="21"/>
    <x v="38"/>
    <s v="Total Electric Power Industry"/>
    <x v="8"/>
    <n v="1653445.84"/>
  </r>
  <r>
    <x v="21"/>
    <x v="38"/>
    <s v="Total Electric Power Industry"/>
    <x v="9"/>
    <n v="616163.26"/>
  </r>
  <r>
    <x v="21"/>
    <x v="38"/>
    <s v="Total Electric Power Industry"/>
    <x v="4"/>
    <n v="441724.27"/>
  </r>
  <r>
    <x v="21"/>
    <x v="38"/>
    <s v="Total Electric Power Industry"/>
    <x v="10"/>
    <n v="-493760"/>
  </r>
  <r>
    <x v="21"/>
    <x v="38"/>
    <s v="Total Electric Power Industry"/>
    <x v="13"/>
    <n v="23144.03"/>
  </r>
  <r>
    <x v="21"/>
    <x v="38"/>
    <s v="Total Electric Power Industry"/>
    <x v="5"/>
    <n v="1794465"/>
  </r>
  <r>
    <x v="21"/>
    <x v="38"/>
    <s v="Total Electric Power Industry"/>
    <x v="6"/>
    <n v="627935.16"/>
  </r>
  <r>
    <x v="21"/>
    <x v="38"/>
    <s v="Electric Generators, Independent Power Producers"/>
    <x v="0"/>
    <n v="211465839.43000001"/>
  </r>
  <r>
    <x v="21"/>
    <x v="38"/>
    <s v="Electric Generators, Independent Power Producers"/>
    <x v="1"/>
    <n v="94496362.930000007"/>
  </r>
  <r>
    <x v="21"/>
    <x v="38"/>
    <s v="Electric Generators, Independent Power Producers"/>
    <x v="2"/>
    <n v="1462490"/>
  </r>
  <r>
    <x v="21"/>
    <x v="38"/>
    <s v="Electric Generators, Independent Power Producers"/>
    <x v="3"/>
    <n v="35915745.219999999"/>
  </r>
  <r>
    <x v="21"/>
    <x v="38"/>
    <s v="Electric Generators, Independent Power Producers"/>
    <x v="7"/>
    <n v="76146617"/>
  </r>
  <r>
    <x v="21"/>
    <x v="38"/>
    <s v="Electric Generators, Independent Power Producers"/>
    <x v="12"/>
    <n v="637164.91"/>
  </r>
  <r>
    <x v="21"/>
    <x v="38"/>
    <s v="Electric Generators, Independent Power Producers"/>
    <x v="8"/>
    <n v="1074338.56"/>
  </r>
  <r>
    <x v="21"/>
    <x v="38"/>
    <s v="Electric Generators, Independent Power Producers"/>
    <x v="4"/>
    <n v="406427.99"/>
  </r>
  <r>
    <x v="21"/>
    <x v="38"/>
    <s v="Electric Generators, Independent Power Producers"/>
    <x v="10"/>
    <n v="-493760"/>
  </r>
  <r>
    <x v="21"/>
    <x v="38"/>
    <s v="Electric Generators, Independent Power Producers"/>
    <x v="13"/>
    <n v="17726.03"/>
  </r>
  <r>
    <x v="21"/>
    <x v="38"/>
    <s v="Electric Generators, Independent Power Producers"/>
    <x v="5"/>
    <n v="1794465"/>
  </r>
  <r>
    <x v="21"/>
    <x v="38"/>
    <s v="Electric Generators, Independent Power Producers"/>
    <x v="6"/>
    <n v="8261.7999999999993"/>
  </r>
  <r>
    <x v="21"/>
    <x v="38"/>
    <s v="Electric Generators, Electric Utilities"/>
    <x v="0"/>
    <n v="1760067"/>
  </r>
  <r>
    <x v="21"/>
    <x v="38"/>
    <s v="Electric Generators, Electric Utilities"/>
    <x v="1"/>
    <n v="0"/>
  </r>
  <r>
    <x v="21"/>
    <x v="38"/>
    <s v="Electric Generators, Electric Utilities"/>
    <x v="2"/>
    <n v="1754726"/>
  </r>
  <r>
    <x v="21"/>
    <x v="38"/>
    <s v="Electric Generators, Electric Utilities"/>
    <x v="3"/>
    <n v="5068.75"/>
  </r>
  <r>
    <x v="21"/>
    <x v="38"/>
    <s v="Electric Generators, Electric Utilities"/>
    <x v="4"/>
    <n v="272.25"/>
  </r>
  <r>
    <x v="21"/>
    <x v="38"/>
    <s v="Combined Heat and Power, Industrial Power"/>
    <x v="0"/>
    <n v="2612030.0099999998"/>
  </r>
  <r>
    <x v="21"/>
    <x v="38"/>
    <s v="Combined Heat and Power, Industrial Power"/>
    <x v="1"/>
    <n v="838977.74"/>
  </r>
  <r>
    <x v="21"/>
    <x v="38"/>
    <s v="Combined Heat and Power, Industrial Power"/>
    <x v="3"/>
    <n v="709448.56"/>
  </r>
  <r>
    <x v="21"/>
    <x v="38"/>
    <s v="Combined Heat and Power, Industrial Power"/>
    <x v="8"/>
    <n v="2210.4699999999998"/>
  </r>
  <r>
    <x v="21"/>
    <x v="38"/>
    <s v="Combined Heat and Power, Industrial Power"/>
    <x v="9"/>
    <n v="575103.43000000005"/>
  </r>
  <r>
    <x v="21"/>
    <x v="38"/>
    <s v="Combined Heat and Power, Industrial Power"/>
    <x v="4"/>
    <n v="25543.97"/>
  </r>
  <r>
    <x v="21"/>
    <x v="38"/>
    <s v="Combined Heat and Power, Industrial Power"/>
    <x v="13"/>
    <n v="5417"/>
  </r>
  <r>
    <x v="21"/>
    <x v="38"/>
    <s v="Combined Heat and Power, Industrial Power"/>
    <x v="6"/>
    <n v="455328.85"/>
  </r>
  <r>
    <x v="21"/>
    <x v="38"/>
    <s v="Combined Heat and Power, Electric Power"/>
    <x v="0"/>
    <n v="11200086.67"/>
  </r>
  <r>
    <x v="21"/>
    <x v="38"/>
    <s v="Combined Heat and Power, Electric Power"/>
    <x v="1"/>
    <n v="5264584.47"/>
  </r>
  <r>
    <x v="21"/>
    <x v="38"/>
    <s v="Combined Heat and Power, Electric Power"/>
    <x v="3"/>
    <n v="5110126.04"/>
  </r>
  <r>
    <x v="21"/>
    <x v="38"/>
    <s v="Combined Heat and Power, Electric Power"/>
    <x v="12"/>
    <n v="155242.51"/>
  </r>
  <r>
    <x v="21"/>
    <x v="38"/>
    <s v="Combined Heat and Power, Electric Power"/>
    <x v="8"/>
    <n v="457081.57"/>
  </r>
  <r>
    <x v="21"/>
    <x v="38"/>
    <s v="Combined Heat and Power, Electric Power"/>
    <x v="9"/>
    <n v="41059.83"/>
  </r>
  <r>
    <x v="21"/>
    <x v="38"/>
    <s v="Combined Heat and Power, Electric Power"/>
    <x v="4"/>
    <n v="7647.75"/>
  </r>
  <r>
    <x v="21"/>
    <x v="38"/>
    <s v="Combined Heat and Power, Electric Power"/>
    <x v="6"/>
    <n v="164344.51"/>
  </r>
  <r>
    <x v="21"/>
    <x v="38"/>
    <s v="Combined Heat and Power, Commercial Power"/>
    <x v="0"/>
    <n v="276699.25"/>
  </r>
  <r>
    <x v="21"/>
    <x v="38"/>
    <s v="Combined Heat and Power, Commercial Power"/>
    <x v="1"/>
    <n v="3156.38"/>
  </r>
  <r>
    <x v="21"/>
    <x v="38"/>
    <s v="Combined Heat and Power, Commercial Power"/>
    <x v="3"/>
    <n v="51776.39"/>
  </r>
  <r>
    <x v="21"/>
    <x v="38"/>
    <s v="Combined Heat and Power, Commercial Power"/>
    <x v="12"/>
    <n v="100117.91"/>
  </r>
  <r>
    <x v="21"/>
    <x v="38"/>
    <s v="Combined Heat and Power, Commercial Power"/>
    <x v="8"/>
    <n v="119815.25"/>
  </r>
  <r>
    <x v="21"/>
    <x v="38"/>
    <s v="Combined Heat and Power, Commercial Power"/>
    <x v="4"/>
    <n v="1832.32"/>
  </r>
  <r>
    <x v="21"/>
    <x v="38"/>
    <s v="Combined Heat and Power, Commercial Power"/>
    <x v="13"/>
    <n v="1"/>
  </r>
  <r>
    <x v="21"/>
    <x v="39"/>
    <s v="Total Electric Power Industry"/>
    <x v="0"/>
    <n v="8722272.5500000007"/>
  </r>
  <r>
    <x v="21"/>
    <x v="39"/>
    <s v="Total Electric Power Industry"/>
    <x v="2"/>
    <n v="7411"/>
  </r>
  <r>
    <x v="21"/>
    <x v="39"/>
    <s v="Total Electric Power Industry"/>
    <x v="3"/>
    <n v="8570904.2300000004"/>
  </r>
  <r>
    <x v="21"/>
    <x v="39"/>
    <s v="Total Electric Power Industry"/>
    <x v="8"/>
    <n v="127405"/>
  </r>
  <r>
    <x v="21"/>
    <x v="39"/>
    <s v="Total Electric Power Industry"/>
    <x v="4"/>
    <n v="13640.32"/>
  </r>
  <r>
    <x v="21"/>
    <x v="39"/>
    <s v="Total Electric Power Industry"/>
    <x v="5"/>
    <n v="2912"/>
  </r>
  <r>
    <x v="21"/>
    <x v="39"/>
    <s v="Electric Generators, Independent Power Producers"/>
    <x v="0"/>
    <n v="8664046"/>
  </r>
  <r>
    <x v="21"/>
    <x v="39"/>
    <s v="Electric Generators, Independent Power Producers"/>
    <x v="2"/>
    <n v="7411"/>
  </r>
  <r>
    <x v="21"/>
    <x v="39"/>
    <s v="Electric Generators, Independent Power Producers"/>
    <x v="3"/>
    <n v="8525090.6999999993"/>
  </r>
  <r>
    <x v="21"/>
    <x v="39"/>
    <s v="Electric Generators, Independent Power Producers"/>
    <x v="8"/>
    <n v="127405"/>
  </r>
  <r>
    <x v="21"/>
    <x v="39"/>
    <s v="Electric Generators, Independent Power Producers"/>
    <x v="4"/>
    <n v="1227.3"/>
  </r>
  <r>
    <x v="21"/>
    <x v="39"/>
    <s v="Electric Generators, Independent Power Producers"/>
    <x v="5"/>
    <n v="2912"/>
  </r>
  <r>
    <x v="21"/>
    <x v="39"/>
    <s v="Electric Generators, Electric Utilities"/>
    <x v="0"/>
    <n v="10473"/>
  </r>
  <r>
    <x v="21"/>
    <x v="39"/>
    <s v="Electric Generators, Electric Utilities"/>
    <x v="4"/>
    <n v="10473"/>
  </r>
  <r>
    <x v="21"/>
    <x v="39"/>
    <s v="Combined Heat and Power, Commercial Power"/>
    <x v="0"/>
    <n v="47753.55"/>
  </r>
  <r>
    <x v="21"/>
    <x v="39"/>
    <s v="Combined Heat and Power, Commercial Power"/>
    <x v="3"/>
    <n v="45813.53"/>
  </r>
  <r>
    <x v="21"/>
    <x v="39"/>
    <s v="Combined Heat and Power, Commercial Power"/>
    <x v="4"/>
    <n v="1940.03"/>
  </r>
  <r>
    <x v="21"/>
    <x v="40"/>
    <s v="Total Electric Power Industry"/>
    <x v="0"/>
    <n v="102972567.17"/>
  </r>
  <r>
    <x v="21"/>
    <x v="40"/>
    <s v="Total Electric Power Industry"/>
    <x v="1"/>
    <n v="34168548.969999999"/>
  </r>
  <r>
    <x v="21"/>
    <x v="40"/>
    <s v="Total Electric Power Industry"/>
    <x v="2"/>
    <n v="1554181"/>
  </r>
  <r>
    <x v="21"/>
    <x v="40"/>
    <s v="Total Electric Power Industry"/>
    <x v="3"/>
    <n v="12936342.59"/>
  </r>
  <r>
    <x v="21"/>
    <x v="40"/>
    <s v="Total Electric Power Industry"/>
    <x v="7"/>
    <n v="52902576"/>
  </r>
  <r>
    <x v="21"/>
    <x v="40"/>
    <s v="Total Electric Power Industry"/>
    <x v="12"/>
    <n v="60335.28"/>
  </r>
  <r>
    <x v="21"/>
    <x v="40"/>
    <s v="Total Electric Power Industry"/>
    <x v="8"/>
    <n v="141094"/>
  </r>
  <r>
    <x v="21"/>
    <x v="40"/>
    <s v="Total Electric Power Industry"/>
    <x v="4"/>
    <n v="111558.17"/>
  </r>
  <r>
    <x v="21"/>
    <x v="40"/>
    <s v="Total Electric Power Industry"/>
    <x v="10"/>
    <n v="-890143"/>
  </r>
  <r>
    <x v="21"/>
    <x v="40"/>
    <s v="Total Electric Power Industry"/>
    <x v="6"/>
    <n v="1988074.16"/>
  </r>
  <r>
    <x v="21"/>
    <x v="40"/>
    <s v="Electric Generators, Independent Power Producers"/>
    <x v="0"/>
    <n v="805846"/>
  </r>
  <r>
    <x v="21"/>
    <x v="40"/>
    <s v="Electric Generators, Independent Power Producers"/>
    <x v="2"/>
    <n v="42820"/>
  </r>
  <r>
    <x v="21"/>
    <x v="40"/>
    <s v="Electric Generators, Independent Power Producers"/>
    <x v="3"/>
    <n v="741260"/>
  </r>
  <r>
    <x v="21"/>
    <x v="40"/>
    <s v="Electric Generators, Independent Power Producers"/>
    <x v="8"/>
    <n v="21766"/>
  </r>
  <r>
    <x v="21"/>
    <x v="40"/>
    <s v="Electric Generators, Independent Power Producers"/>
    <x v="4"/>
    <n v="0"/>
  </r>
  <r>
    <x v="21"/>
    <x v="40"/>
    <s v="Electric Generators, Electric Utilities"/>
    <x v="0"/>
    <n v="99328278"/>
  </r>
  <r>
    <x v="21"/>
    <x v="40"/>
    <s v="Electric Generators, Electric Utilities"/>
    <x v="1"/>
    <n v="33771534.75"/>
  </r>
  <r>
    <x v="21"/>
    <x v="40"/>
    <s v="Electric Generators, Electric Utilities"/>
    <x v="2"/>
    <n v="1511339"/>
  </r>
  <r>
    <x v="21"/>
    <x v="40"/>
    <s v="Electric Generators, Electric Utilities"/>
    <x v="3"/>
    <n v="11522364.939999999"/>
  </r>
  <r>
    <x v="21"/>
    <x v="40"/>
    <s v="Electric Generators, Electric Utilities"/>
    <x v="7"/>
    <n v="52902576"/>
  </r>
  <r>
    <x v="21"/>
    <x v="40"/>
    <s v="Electric Generators, Electric Utilities"/>
    <x v="12"/>
    <n v="0"/>
  </r>
  <r>
    <x v="21"/>
    <x v="40"/>
    <s v="Electric Generators, Electric Utilities"/>
    <x v="8"/>
    <n v="119328"/>
  </r>
  <r>
    <x v="21"/>
    <x v="40"/>
    <s v="Electric Generators, Electric Utilities"/>
    <x v="4"/>
    <n v="100864.89"/>
  </r>
  <r>
    <x v="21"/>
    <x v="40"/>
    <s v="Electric Generators, Electric Utilities"/>
    <x v="10"/>
    <n v="-890143"/>
  </r>
  <r>
    <x v="21"/>
    <x v="40"/>
    <s v="Electric Generators, Electric Utilities"/>
    <x v="6"/>
    <n v="290413.42"/>
  </r>
  <r>
    <x v="21"/>
    <x v="40"/>
    <s v="Combined Heat and Power, Industrial Power"/>
    <x v="0"/>
    <n v="2052600.44"/>
  </r>
  <r>
    <x v="21"/>
    <x v="40"/>
    <s v="Combined Heat and Power, Industrial Power"/>
    <x v="1"/>
    <n v="262399.21999999997"/>
  </r>
  <r>
    <x v="21"/>
    <x v="40"/>
    <s v="Combined Heat and Power, Industrial Power"/>
    <x v="3"/>
    <n v="21547.93"/>
  </r>
  <r>
    <x v="21"/>
    <x v="40"/>
    <s v="Combined Heat and Power, Industrial Power"/>
    <x v="12"/>
    <n v="60335.28"/>
  </r>
  <r>
    <x v="21"/>
    <x v="40"/>
    <s v="Combined Heat and Power, Industrial Power"/>
    <x v="4"/>
    <n v="10657.29"/>
  </r>
  <r>
    <x v="21"/>
    <x v="40"/>
    <s v="Combined Heat and Power, Industrial Power"/>
    <x v="6"/>
    <n v="1697660.74"/>
  </r>
  <r>
    <x v="21"/>
    <x v="40"/>
    <s v="Combined Heat and Power, Electric Power"/>
    <x v="0"/>
    <n v="785784.73"/>
  </r>
  <r>
    <x v="21"/>
    <x v="40"/>
    <s v="Combined Heat and Power, Electric Power"/>
    <x v="1"/>
    <n v="134615"/>
  </r>
  <r>
    <x v="21"/>
    <x v="40"/>
    <s v="Combined Heat and Power, Electric Power"/>
    <x v="3"/>
    <n v="651169.73"/>
  </r>
  <r>
    <x v="21"/>
    <x v="40"/>
    <s v="Combined Heat and Power, Electric Power"/>
    <x v="4"/>
    <n v="0"/>
  </r>
  <r>
    <x v="21"/>
    <x v="40"/>
    <s v="Combined Heat and Power, Commercial Power"/>
    <x v="0"/>
    <n v="58"/>
  </r>
  <r>
    <x v="21"/>
    <x v="40"/>
    <s v="Combined Heat and Power, Commercial Power"/>
    <x v="2"/>
    <n v="22"/>
  </r>
  <r>
    <x v="21"/>
    <x v="40"/>
    <s v="Combined Heat and Power, Commercial Power"/>
    <x v="3"/>
    <n v="0"/>
  </r>
  <r>
    <x v="21"/>
    <x v="40"/>
    <s v="Combined Heat and Power, Commercial Power"/>
    <x v="4"/>
    <n v="36"/>
  </r>
  <r>
    <x v="21"/>
    <x v="41"/>
    <s v="Total Electric Power Industry"/>
    <x v="0"/>
    <n v="11998885.5"/>
  </r>
  <r>
    <x v="21"/>
    <x v="41"/>
    <s v="Total Electric Power Industry"/>
    <x v="1"/>
    <n v="2585565.06"/>
  </r>
  <r>
    <x v="21"/>
    <x v="41"/>
    <s v="Total Electric Power Industry"/>
    <x v="2"/>
    <n v="6608164"/>
  </r>
  <r>
    <x v="21"/>
    <x v="41"/>
    <s v="Total Electric Power Industry"/>
    <x v="3"/>
    <n v="129313.23"/>
  </r>
  <r>
    <x v="21"/>
    <x v="41"/>
    <s v="Total Electric Power Industry"/>
    <x v="12"/>
    <n v="0"/>
  </r>
  <r>
    <x v="21"/>
    <x v="41"/>
    <s v="Total Electric Power Industry"/>
    <x v="8"/>
    <n v="0"/>
  </r>
  <r>
    <x v="21"/>
    <x v="41"/>
    <s v="Total Electric Power Industry"/>
    <x v="4"/>
    <n v="7543.21"/>
  </r>
  <r>
    <x v="21"/>
    <x v="41"/>
    <s v="Total Electric Power Industry"/>
    <x v="5"/>
    <n v="2668300"/>
  </r>
  <r>
    <x v="21"/>
    <x v="41"/>
    <s v="Electric Generators, Independent Power Producers"/>
    <x v="0"/>
    <n v="2160244"/>
  </r>
  <r>
    <x v="21"/>
    <x v="41"/>
    <s v="Electric Generators, Independent Power Producers"/>
    <x v="4"/>
    <n v="556"/>
  </r>
  <r>
    <x v="21"/>
    <x v="41"/>
    <s v="Electric Generators, Independent Power Producers"/>
    <x v="5"/>
    <n v="2159688"/>
  </r>
  <r>
    <x v="21"/>
    <x v="41"/>
    <s v="Electric Generators, Electric Utilities"/>
    <x v="0"/>
    <n v="9838617"/>
  </r>
  <r>
    <x v="21"/>
    <x v="41"/>
    <s v="Electric Generators, Electric Utilities"/>
    <x v="1"/>
    <n v="2585565.06"/>
  </r>
  <r>
    <x v="21"/>
    <x v="41"/>
    <s v="Electric Generators, Electric Utilities"/>
    <x v="2"/>
    <n v="6608164"/>
  </r>
  <r>
    <x v="21"/>
    <x v="41"/>
    <s v="Electric Generators, Electric Utilities"/>
    <x v="3"/>
    <n v="129313.23"/>
  </r>
  <r>
    <x v="21"/>
    <x v="41"/>
    <s v="Electric Generators, Electric Utilities"/>
    <x v="12"/>
    <n v="0"/>
  </r>
  <r>
    <x v="21"/>
    <x v="41"/>
    <s v="Electric Generators, Electric Utilities"/>
    <x v="8"/>
    <n v="0"/>
  </r>
  <r>
    <x v="21"/>
    <x v="41"/>
    <s v="Electric Generators, Electric Utilities"/>
    <x v="4"/>
    <n v="6962.71"/>
  </r>
  <r>
    <x v="21"/>
    <x v="41"/>
    <s v="Electric Generators, Electric Utilities"/>
    <x v="5"/>
    <n v="508612"/>
  </r>
  <r>
    <x v="21"/>
    <x v="41"/>
    <s v="Combined Heat and Power, Commercial Power"/>
    <x v="0"/>
    <n v="24.5"/>
  </r>
  <r>
    <x v="21"/>
    <x v="41"/>
    <s v="Combined Heat and Power, Commercial Power"/>
    <x v="4"/>
    <n v="24.5"/>
  </r>
  <r>
    <x v="21"/>
    <x v="42"/>
    <s v="Total Electric Power Industry"/>
    <x v="0"/>
    <n v="81103862.219999999"/>
  </r>
  <r>
    <x v="21"/>
    <x v="42"/>
    <s v="Total Electric Power Industry"/>
    <x v="1"/>
    <n v="40777224.259999998"/>
  </r>
  <r>
    <x v="21"/>
    <x v="42"/>
    <s v="Total Electric Power Industry"/>
    <x v="2"/>
    <n v="9575639"/>
  </r>
  <r>
    <x v="21"/>
    <x v="42"/>
    <s v="Total Electric Power Industry"/>
    <x v="3"/>
    <n v="3259358.81"/>
  </r>
  <r>
    <x v="21"/>
    <x v="42"/>
    <s v="Total Electric Power Industry"/>
    <x v="7"/>
    <n v="26919177"/>
  </r>
  <r>
    <x v="21"/>
    <x v="42"/>
    <s v="Total Electric Power Industry"/>
    <x v="12"/>
    <n v="1102.29"/>
  </r>
  <r>
    <x v="21"/>
    <x v="42"/>
    <s v="Total Electric Power Industry"/>
    <x v="8"/>
    <n v="36179.870000000003"/>
  </r>
  <r>
    <x v="21"/>
    <x v="42"/>
    <s v="Total Electric Power Industry"/>
    <x v="9"/>
    <n v="16689.29"/>
  </r>
  <r>
    <x v="21"/>
    <x v="42"/>
    <s v="Total Electric Power Industry"/>
    <x v="4"/>
    <n v="195261.97"/>
  </r>
  <r>
    <x v="21"/>
    <x v="42"/>
    <s v="Total Electric Power Industry"/>
    <x v="10"/>
    <n v="-660367"/>
  </r>
  <r>
    <x v="21"/>
    <x v="42"/>
    <s v="Total Electric Power Industry"/>
    <x v="5"/>
    <n v="53143"/>
  </r>
  <r>
    <x v="21"/>
    <x v="42"/>
    <s v="Total Electric Power Industry"/>
    <x v="6"/>
    <n v="930453.74"/>
  </r>
  <r>
    <x v="21"/>
    <x v="42"/>
    <s v="Electric Generators, Independent Power Producers"/>
    <x v="0"/>
    <n v="80967"/>
  </r>
  <r>
    <x v="21"/>
    <x v="42"/>
    <s v="Electric Generators, Independent Power Producers"/>
    <x v="8"/>
    <n v="27824"/>
  </r>
  <r>
    <x v="21"/>
    <x v="42"/>
    <s v="Electric Generators, Independent Power Producers"/>
    <x v="5"/>
    <n v="53143"/>
  </r>
  <r>
    <x v="21"/>
    <x v="42"/>
    <s v="Electric Generators, Electric Utilities"/>
    <x v="0"/>
    <n v="78540493.030000001"/>
  </r>
  <r>
    <x v="21"/>
    <x v="42"/>
    <s v="Electric Generators, Electric Utilities"/>
    <x v="1"/>
    <n v="39430046.880000003"/>
  </r>
  <r>
    <x v="21"/>
    <x v="42"/>
    <s v="Electric Generators, Electric Utilities"/>
    <x v="2"/>
    <n v="9575639"/>
  </r>
  <r>
    <x v="21"/>
    <x v="42"/>
    <s v="Electric Generators, Electric Utilities"/>
    <x v="3"/>
    <n v="3083109.53"/>
  </r>
  <r>
    <x v="21"/>
    <x v="42"/>
    <s v="Electric Generators, Electric Utilities"/>
    <x v="7"/>
    <n v="26919177"/>
  </r>
  <r>
    <x v="21"/>
    <x v="42"/>
    <s v="Electric Generators, Electric Utilities"/>
    <x v="8"/>
    <n v="0"/>
  </r>
  <r>
    <x v="21"/>
    <x v="42"/>
    <s v="Electric Generators, Electric Utilities"/>
    <x v="4"/>
    <n v="192887.62"/>
  </r>
  <r>
    <x v="21"/>
    <x v="42"/>
    <s v="Electric Generators, Electric Utilities"/>
    <x v="10"/>
    <n v="-660367"/>
  </r>
  <r>
    <x v="21"/>
    <x v="42"/>
    <s v="Electric Generators, Electric Utilities"/>
    <x v="5"/>
    <n v="0"/>
  </r>
  <r>
    <x v="21"/>
    <x v="42"/>
    <s v="Combined Heat and Power, Industrial Power"/>
    <x v="0"/>
    <n v="2356320.38"/>
  </r>
  <r>
    <x v="21"/>
    <x v="42"/>
    <s v="Combined Heat and Power, Industrial Power"/>
    <x v="1"/>
    <n v="1324123.5"/>
  </r>
  <r>
    <x v="21"/>
    <x v="42"/>
    <s v="Combined Heat and Power, Industrial Power"/>
    <x v="3"/>
    <n v="73221.33"/>
  </r>
  <r>
    <x v="21"/>
    <x v="42"/>
    <s v="Combined Heat and Power, Industrial Power"/>
    <x v="12"/>
    <n v="1102.29"/>
  </r>
  <r>
    <x v="21"/>
    <x v="42"/>
    <s v="Combined Heat and Power, Industrial Power"/>
    <x v="8"/>
    <n v="8355.8700000000008"/>
  </r>
  <r>
    <x v="21"/>
    <x v="42"/>
    <s v="Combined Heat and Power, Industrial Power"/>
    <x v="9"/>
    <n v="16689.29"/>
  </r>
  <r>
    <x v="21"/>
    <x v="42"/>
    <s v="Combined Heat and Power, Industrial Power"/>
    <x v="4"/>
    <n v="2374.36"/>
  </r>
  <r>
    <x v="21"/>
    <x v="42"/>
    <s v="Combined Heat and Power, Industrial Power"/>
    <x v="6"/>
    <n v="930453.74"/>
  </r>
  <r>
    <x v="21"/>
    <x v="42"/>
    <s v="Combined Heat and Power, Commercial Power"/>
    <x v="0"/>
    <n v="126081.82"/>
  </r>
  <r>
    <x v="21"/>
    <x v="42"/>
    <s v="Combined Heat and Power, Commercial Power"/>
    <x v="1"/>
    <n v="23053.88"/>
  </r>
  <r>
    <x v="21"/>
    <x v="42"/>
    <s v="Combined Heat and Power, Commercial Power"/>
    <x v="3"/>
    <n v="103027.94"/>
  </r>
  <r>
    <x v="21"/>
    <x v="43"/>
    <s v="Total Electric Power Industry"/>
    <x v="0"/>
    <n v="435476923.57999998"/>
  </r>
  <r>
    <x v="21"/>
    <x v="43"/>
    <s v="Total Electric Power Industry"/>
    <x v="1"/>
    <n v="157896535.18000001"/>
  </r>
  <r>
    <x v="21"/>
    <x v="43"/>
    <s v="Total Electric Power Industry"/>
    <x v="2"/>
    <n v="563053.72"/>
  </r>
  <r>
    <x v="21"/>
    <x v="43"/>
    <s v="Total Electric Power Industry"/>
    <x v="3"/>
    <n v="200500148.91999999"/>
  </r>
  <r>
    <x v="21"/>
    <x v="43"/>
    <s v="Total Electric Power Industry"/>
    <x v="7"/>
    <n v="39648457"/>
  </r>
  <r>
    <x v="21"/>
    <x v="43"/>
    <s v="Total Electric Power Industry"/>
    <x v="12"/>
    <n v="318950.28000000003"/>
  </r>
  <r>
    <x v="21"/>
    <x v="43"/>
    <s v="Total Electric Power Industry"/>
    <x v="8"/>
    <n v="678126.72"/>
  </r>
  <r>
    <x v="21"/>
    <x v="43"/>
    <s v="Total Electric Power Industry"/>
    <x v="9"/>
    <n v="3389839.82"/>
  </r>
  <r>
    <x v="21"/>
    <x v="43"/>
    <s v="Total Electric Power Industry"/>
    <x v="4"/>
    <n v="976805.2"/>
  </r>
  <r>
    <x v="21"/>
    <x v="43"/>
    <s v="Total Electric Power Industry"/>
    <x v="13"/>
    <n v="28639"/>
  </r>
  <r>
    <x v="21"/>
    <x v="43"/>
    <s v="Total Electric Power Industry"/>
    <x v="5"/>
    <n v="30548087.23"/>
  </r>
  <r>
    <x v="21"/>
    <x v="43"/>
    <s v="Total Electric Power Industry"/>
    <x v="6"/>
    <n v="928280.5"/>
  </r>
  <r>
    <x v="21"/>
    <x v="43"/>
    <s v="Electric Generators, Independent Power Producers"/>
    <x v="0"/>
    <n v="252421119.19"/>
  </r>
  <r>
    <x v="21"/>
    <x v="43"/>
    <s v="Electric Generators, Independent Power Producers"/>
    <x v="1"/>
    <n v="93285040.159999996"/>
  </r>
  <r>
    <x v="21"/>
    <x v="43"/>
    <s v="Electric Generators, Independent Power Producers"/>
    <x v="2"/>
    <n v="39907"/>
  </r>
  <r>
    <x v="21"/>
    <x v="43"/>
    <s v="Electric Generators, Independent Power Producers"/>
    <x v="3"/>
    <n v="87673398.430000007"/>
  </r>
  <r>
    <x v="21"/>
    <x v="43"/>
    <s v="Electric Generators, Independent Power Producers"/>
    <x v="7"/>
    <n v="39648457"/>
  </r>
  <r>
    <x v="21"/>
    <x v="43"/>
    <s v="Electric Generators, Independent Power Producers"/>
    <x v="12"/>
    <n v="0"/>
  </r>
  <r>
    <x v="21"/>
    <x v="43"/>
    <s v="Electric Generators, Independent Power Producers"/>
    <x v="8"/>
    <n v="513490"/>
  </r>
  <r>
    <x v="21"/>
    <x v="43"/>
    <s v="Electric Generators, Independent Power Producers"/>
    <x v="4"/>
    <n v="789836.36"/>
  </r>
  <r>
    <x v="21"/>
    <x v="43"/>
    <s v="Electric Generators, Independent Power Producers"/>
    <x v="13"/>
    <n v="28639"/>
  </r>
  <r>
    <x v="21"/>
    <x v="43"/>
    <s v="Electric Generators, Independent Power Producers"/>
    <x v="5"/>
    <n v="30414199.23"/>
  </r>
  <r>
    <x v="21"/>
    <x v="43"/>
    <s v="Electric Generators, Independent Power Producers"/>
    <x v="6"/>
    <n v="28152"/>
  </r>
  <r>
    <x v="21"/>
    <x v="43"/>
    <s v="Electric Generators, Electric Utilities"/>
    <x v="0"/>
    <n v="99451076.780000001"/>
  </r>
  <r>
    <x v="21"/>
    <x v="43"/>
    <s v="Electric Generators, Electric Utilities"/>
    <x v="1"/>
    <n v="64604482.770000003"/>
  </r>
  <r>
    <x v="21"/>
    <x v="43"/>
    <s v="Electric Generators, Electric Utilities"/>
    <x v="2"/>
    <n v="523146.72"/>
  </r>
  <r>
    <x v="21"/>
    <x v="43"/>
    <s v="Electric Generators, Electric Utilities"/>
    <x v="3"/>
    <n v="34127015.600000001"/>
  </r>
  <r>
    <x v="21"/>
    <x v="43"/>
    <s v="Electric Generators, Electric Utilities"/>
    <x v="4"/>
    <n v="62543.69"/>
  </r>
  <r>
    <x v="21"/>
    <x v="43"/>
    <s v="Electric Generators, Electric Utilities"/>
    <x v="5"/>
    <n v="133888"/>
  </r>
  <r>
    <x v="21"/>
    <x v="43"/>
    <s v="Combined Heat and Power, Industrial Power"/>
    <x v="0"/>
    <n v="38137986.549999997"/>
  </r>
  <r>
    <x v="21"/>
    <x v="43"/>
    <s v="Combined Heat and Power, Industrial Power"/>
    <x v="1"/>
    <n v="7012.24"/>
  </r>
  <r>
    <x v="21"/>
    <x v="43"/>
    <s v="Combined Heat and Power, Industrial Power"/>
    <x v="3"/>
    <n v="35196684.140000001"/>
  </r>
  <r>
    <x v="21"/>
    <x v="43"/>
    <s v="Combined Heat and Power, Industrial Power"/>
    <x v="12"/>
    <n v="318950.28000000003"/>
  </r>
  <r>
    <x v="21"/>
    <x v="43"/>
    <s v="Combined Heat and Power, Industrial Power"/>
    <x v="8"/>
    <n v="126700.53"/>
  </r>
  <r>
    <x v="21"/>
    <x v="43"/>
    <s v="Combined Heat and Power, Industrial Power"/>
    <x v="9"/>
    <n v="1465252.14"/>
  </r>
  <r>
    <x v="21"/>
    <x v="43"/>
    <s v="Combined Heat and Power, Industrial Power"/>
    <x v="4"/>
    <n v="123258.72"/>
  </r>
  <r>
    <x v="21"/>
    <x v="43"/>
    <s v="Combined Heat and Power, Industrial Power"/>
    <x v="6"/>
    <n v="900128.5"/>
  </r>
  <r>
    <x v="21"/>
    <x v="43"/>
    <s v="Combined Heat and Power, Electric Power"/>
    <x v="0"/>
    <n v="44969357.399999999"/>
  </r>
  <r>
    <x v="21"/>
    <x v="43"/>
    <s v="Combined Heat and Power, Electric Power"/>
    <x v="3"/>
    <n v="43044769.719999999"/>
  </r>
  <r>
    <x v="21"/>
    <x v="43"/>
    <s v="Combined Heat and Power, Electric Power"/>
    <x v="12"/>
    <n v="0"/>
  </r>
  <r>
    <x v="21"/>
    <x v="43"/>
    <s v="Combined Heat and Power, Electric Power"/>
    <x v="9"/>
    <n v="1924587.69"/>
  </r>
  <r>
    <x v="21"/>
    <x v="43"/>
    <s v="Combined Heat and Power, Commercial Power"/>
    <x v="0"/>
    <n v="497383.66"/>
  </r>
  <r>
    <x v="21"/>
    <x v="43"/>
    <s v="Combined Heat and Power, Commercial Power"/>
    <x v="3"/>
    <n v="458281.04"/>
  </r>
  <r>
    <x v="21"/>
    <x v="43"/>
    <s v="Combined Heat and Power, Commercial Power"/>
    <x v="8"/>
    <n v="37936.18"/>
  </r>
  <r>
    <x v="21"/>
    <x v="43"/>
    <s v="Combined Heat and Power, Commercial Power"/>
    <x v="4"/>
    <n v="1166.44"/>
  </r>
  <r>
    <x v="21"/>
    <x v="44"/>
    <s v="Total Electric Power Industry"/>
    <x v="0"/>
    <n v="4100140926.1199999"/>
  </r>
  <r>
    <x v="21"/>
    <x v="44"/>
    <s v="Total Electric Power Industry"/>
    <x v="1"/>
    <n v="1733430005.3399999"/>
  </r>
  <r>
    <x v="21"/>
    <x v="44"/>
    <s v="Total Electric Power Industry"/>
    <x v="11"/>
    <n v="15316068"/>
  </r>
  <r>
    <x v="21"/>
    <x v="44"/>
    <s v="Total Electric Power Industry"/>
    <x v="2"/>
    <n v="319354903.44999999"/>
  </r>
  <r>
    <x v="21"/>
    <x v="44"/>
    <s v="Total Electric Power Industry"/>
    <x v="3"/>
    <n v="1013688929.24"/>
  </r>
  <r>
    <x v="21"/>
    <x v="44"/>
    <s v="Total Electric Power Industry"/>
    <x v="7"/>
    <n v="790204367"/>
  </r>
  <r>
    <x v="21"/>
    <x v="44"/>
    <s v="Total Electric Power Industry"/>
    <x v="12"/>
    <n v="14153599.449999999"/>
  </r>
  <r>
    <x v="21"/>
    <x v="44"/>
    <s v="Total Electric Power Industry"/>
    <x v="8"/>
    <n v="19221763.18"/>
  </r>
  <r>
    <x v="21"/>
    <x v="44"/>
    <s v="Total Electric Power Industry"/>
    <x v="9"/>
    <n v="11566200.33"/>
  </r>
  <r>
    <x v="21"/>
    <x v="44"/>
    <s v="Total Electric Power Industry"/>
    <x v="4"/>
    <n v="30182245.059999999"/>
  </r>
  <r>
    <x v="21"/>
    <x v="44"/>
    <s v="Total Electric Power Industry"/>
    <x v="10"/>
    <n v="-6420516"/>
  </r>
  <r>
    <x v="21"/>
    <x v="44"/>
    <s v="Total Electric Power Industry"/>
    <x v="13"/>
    <n v="1817695.65"/>
  </r>
  <r>
    <x v="21"/>
    <x v="44"/>
    <s v="Total Electric Power Industry"/>
    <x v="5"/>
    <n v="120176598.63"/>
  </r>
  <r>
    <x v="21"/>
    <x v="44"/>
    <s v="Total Electric Power Industry"/>
    <x v="6"/>
    <n v="37449066.780000001"/>
  </r>
  <r>
    <x v="21"/>
    <x v="44"/>
    <s v="Electric Generators, Independent Power Producers"/>
    <x v="0"/>
    <n v="1331303294.3299999"/>
  </r>
  <r>
    <x v="21"/>
    <x v="44"/>
    <s v="Electric Generators, Independent Power Producers"/>
    <x v="1"/>
    <n v="390952220.10000002"/>
  </r>
  <r>
    <x v="21"/>
    <x v="44"/>
    <s v="Electric Generators, Independent Power Producers"/>
    <x v="11"/>
    <n v="14179529"/>
  </r>
  <r>
    <x v="21"/>
    <x v="44"/>
    <s v="Electric Generators, Independent Power Producers"/>
    <x v="2"/>
    <n v="26117200.899999999"/>
  </r>
  <r>
    <x v="21"/>
    <x v="44"/>
    <s v="Electric Generators, Independent Power Producers"/>
    <x v="3"/>
    <n v="390640952.47000003"/>
  </r>
  <r>
    <x v="21"/>
    <x v="44"/>
    <s v="Electric Generators, Independent Power Producers"/>
    <x v="7"/>
    <n v="374906158"/>
  </r>
  <r>
    <x v="21"/>
    <x v="44"/>
    <s v="Electric Generators, Independent Power Producers"/>
    <x v="12"/>
    <n v="6196569.4199999999"/>
  </r>
  <r>
    <x v="21"/>
    <x v="44"/>
    <s v="Electric Generators, Independent Power Producers"/>
    <x v="8"/>
    <n v="12899632.060000001"/>
  </r>
  <r>
    <x v="21"/>
    <x v="44"/>
    <s v="Electric Generators, Independent Power Producers"/>
    <x v="9"/>
    <n v="0"/>
  </r>
  <r>
    <x v="21"/>
    <x v="44"/>
    <s v="Electric Generators, Independent Power Producers"/>
    <x v="4"/>
    <n v="4969747.97"/>
  </r>
  <r>
    <x v="21"/>
    <x v="44"/>
    <s v="Electric Generators, Independent Power Producers"/>
    <x v="10"/>
    <n v="-928387"/>
  </r>
  <r>
    <x v="21"/>
    <x v="44"/>
    <s v="Electric Generators, Independent Power Producers"/>
    <x v="13"/>
    <n v="1511099.02"/>
  </r>
  <r>
    <x v="21"/>
    <x v="44"/>
    <s v="Electric Generators, Independent Power Producers"/>
    <x v="5"/>
    <n v="102980874.83"/>
  </r>
  <r>
    <x v="21"/>
    <x v="44"/>
    <s v="Electric Generators, Independent Power Producers"/>
    <x v="6"/>
    <n v="6877697.5599999996"/>
  </r>
  <r>
    <x v="21"/>
    <x v="44"/>
    <s v="Electric Generators, Electric Utilities"/>
    <x v="0"/>
    <n v="2460851000.3600001"/>
  </r>
  <r>
    <x v="21"/>
    <x v="44"/>
    <s v="Electric Generators, Electric Utilities"/>
    <x v="1"/>
    <n v="1301107328.6300001"/>
  </r>
  <r>
    <x v="21"/>
    <x v="44"/>
    <s v="Electric Generators, Electric Utilities"/>
    <x v="11"/>
    <n v="1136539"/>
  </r>
  <r>
    <x v="21"/>
    <x v="44"/>
    <s v="Electric Generators, Electric Utilities"/>
    <x v="2"/>
    <n v="291413321.18000001"/>
  </r>
  <r>
    <x v="21"/>
    <x v="44"/>
    <s v="Electric Generators, Electric Utilities"/>
    <x v="3"/>
    <n v="414842978.14999998"/>
  </r>
  <r>
    <x v="21"/>
    <x v="44"/>
    <s v="Electric Generators, Electric Utilities"/>
    <x v="7"/>
    <n v="415298209"/>
  </r>
  <r>
    <x v="21"/>
    <x v="44"/>
    <s v="Electric Generators, Electric Utilities"/>
    <x v="12"/>
    <n v="603738.14"/>
  </r>
  <r>
    <x v="21"/>
    <x v="44"/>
    <s v="Electric Generators, Electric Utilities"/>
    <x v="8"/>
    <n v="1416564.75"/>
  </r>
  <r>
    <x v="21"/>
    <x v="44"/>
    <s v="Electric Generators, Electric Utilities"/>
    <x v="9"/>
    <n v="28505.1"/>
  </r>
  <r>
    <x v="21"/>
    <x v="44"/>
    <s v="Electric Generators, Electric Utilities"/>
    <x v="4"/>
    <n v="21116288.100000001"/>
  </r>
  <r>
    <x v="21"/>
    <x v="44"/>
    <s v="Electric Generators, Electric Utilities"/>
    <x v="10"/>
    <n v="-5492129"/>
  </r>
  <r>
    <x v="21"/>
    <x v="44"/>
    <s v="Electric Generators, Electric Utilities"/>
    <x v="13"/>
    <n v="216184"/>
  </r>
  <r>
    <x v="21"/>
    <x v="44"/>
    <s v="Electric Generators, Electric Utilities"/>
    <x v="5"/>
    <n v="17139998.34"/>
  </r>
  <r>
    <x v="21"/>
    <x v="44"/>
    <s v="Electric Generators, Electric Utilities"/>
    <x v="6"/>
    <n v="2023474.98"/>
  </r>
  <r>
    <x v="21"/>
    <x v="44"/>
    <s v="Combined Heat and Power, Industrial Power"/>
    <x v="0"/>
    <n v="141874716.93000001"/>
  </r>
  <r>
    <x v="21"/>
    <x v="44"/>
    <s v="Combined Heat and Power, Industrial Power"/>
    <x v="1"/>
    <n v="14490129.68"/>
  </r>
  <r>
    <x v="21"/>
    <x v="44"/>
    <s v="Combined Heat and Power, Industrial Power"/>
    <x v="2"/>
    <n v="1798749.7"/>
  </r>
  <r>
    <x v="21"/>
    <x v="44"/>
    <s v="Combined Heat and Power, Industrial Power"/>
    <x v="3"/>
    <n v="81911329.329999998"/>
  </r>
  <r>
    <x v="21"/>
    <x v="44"/>
    <s v="Combined Heat and Power, Industrial Power"/>
    <x v="12"/>
    <n v="5540807.5899999999"/>
  </r>
  <r>
    <x v="21"/>
    <x v="44"/>
    <s v="Combined Heat and Power, Industrial Power"/>
    <x v="8"/>
    <n v="916767.7"/>
  </r>
  <r>
    <x v="21"/>
    <x v="44"/>
    <s v="Combined Heat and Power, Industrial Power"/>
    <x v="9"/>
    <n v="8623657.1600000001"/>
  </r>
  <r>
    <x v="21"/>
    <x v="44"/>
    <s v="Combined Heat and Power, Industrial Power"/>
    <x v="4"/>
    <n v="1891095.44"/>
  </r>
  <r>
    <x v="21"/>
    <x v="44"/>
    <s v="Combined Heat and Power, Industrial Power"/>
    <x v="13"/>
    <n v="6664"/>
  </r>
  <r>
    <x v="21"/>
    <x v="44"/>
    <s v="Combined Heat and Power, Industrial Power"/>
    <x v="5"/>
    <n v="4882.24"/>
  </r>
  <r>
    <x v="21"/>
    <x v="44"/>
    <s v="Combined Heat and Power, Industrial Power"/>
    <x v="6"/>
    <n v="26690634.09"/>
  </r>
  <r>
    <x v="21"/>
    <x v="44"/>
    <s v="Combined Heat and Power, Electric Power"/>
    <x v="0"/>
    <n v="156031914.13"/>
  </r>
  <r>
    <x v="21"/>
    <x v="44"/>
    <s v="Combined Heat and Power, Electric Power"/>
    <x v="1"/>
    <n v="25831183.57"/>
  </r>
  <r>
    <x v="21"/>
    <x v="44"/>
    <s v="Combined Heat and Power, Electric Power"/>
    <x v="3"/>
    <n v="120806445.16"/>
  </r>
  <r>
    <x v="21"/>
    <x v="44"/>
    <s v="Combined Heat and Power, Electric Power"/>
    <x v="12"/>
    <n v="862793.67"/>
  </r>
  <r>
    <x v="21"/>
    <x v="44"/>
    <s v="Combined Heat and Power, Electric Power"/>
    <x v="8"/>
    <n v="1673301.47"/>
  </r>
  <r>
    <x v="21"/>
    <x v="44"/>
    <s v="Combined Heat and Power, Electric Power"/>
    <x v="9"/>
    <n v="2910619.3"/>
  </r>
  <r>
    <x v="21"/>
    <x v="44"/>
    <s v="Combined Heat and Power, Electric Power"/>
    <x v="4"/>
    <n v="2116123.2999999998"/>
  </r>
  <r>
    <x v="21"/>
    <x v="44"/>
    <s v="Combined Heat and Power, Electric Power"/>
    <x v="6"/>
    <n v="1831447.66"/>
  </r>
  <r>
    <x v="21"/>
    <x v="44"/>
    <s v="Combined Heat and Power, Commercial Power"/>
    <x v="0"/>
    <n v="10080000.369999999"/>
  </r>
  <r>
    <x v="21"/>
    <x v="44"/>
    <s v="Combined Heat and Power, Commercial Power"/>
    <x v="1"/>
    <n v="1049143.3700000001"/>
  </r>
  <r>
    <x v="21"/>
    <x v="44"/>
    <s v="Combined Heat and Power, Commercial Power"/>
    <x v="2"/>
    <n v="25631.68"/>
  </r>
  <r>
    <x v="21"/>
    <x v="44"/>
    <s v="Combined Heat and Power, Commercial Power"/>
    <x v="3"/>
    <n v="5487224.1399999997"/>
  </r>
  <r>
    <x v="21"/>
    <x v="44"/>
    <s v="Combined Heat and Power, Commercial Power"/>
    <x v="12"/>
    <n v="949690.62"/>
  </r>
  <r>
    <x v="21"/>
    <x v="44"/>
    <s v="Combined Heat and Power, Commercial Power"/>
    <x v="8"/>
    <n v="2315497.19"/>
  </r>
  <r>
    <x v="21"/>
    <x v="44"/>
    <s v="Combined Heat and Power, Commercial Power"/>
    <x v="9"/>
    <n v="3418.77"/>
  </r>
  <r>
    <x v="21"/>
    <x v="44"/>
    <s v="Combined Heat and Power, Commercial Power"/>
    <x v="4"/>
    <n v="88990.25"/>
  </r>
  <r>
    <x v="21"/>
    <x v="44"/>
    <s v="Combined Heat and Power, Commercial Power"/>
    <x v="13"/>
    <n v="83748.63"/>
  </r>
  <r>
    <x v="21"/>
    <x v="44"/>
    <s v="Combined Heat and Power, Commercial Power"/>
    <x v="5"/>
    <n v="50843.22"/>
  </r>
  <r>
    <x v="21"/>
    <x v="44"/>
    <s v="Combined Heat and Power, Commercial Power"/>
    <x v="6"/>
    <n v="25812.5"/>
  </r>
  <r>
    <x v="21"/>
    <x v="45"/>
    <s v="Total Electric Power Industry"/>
    <x v="0"/>
    <n v="40836150.009999998"/>
  </r>
  <r>
    <x v="21"/>
    <x v="45"/>
    <s v="Total Electric Power Industry"/>
    <x v="1"/>
    <n v="33137663.260000002"/>
  </r>
  <r>
    <x v="21"/>
    <x v="45"/>
    <s v="Total Electric Power Industry"/>
    <x v="11"/>
    <n v="330188"/>
  </r>
  <r>
    <x v="21"/>
    <x v="45"/>
    <s v="Total Electric Power Industry"/>
    <x v="2"/>
    <n v="1230165"/>
  </r>
  <r>
    <x v="21"/>
    <x v="45"/>
    <s v="Total Electric Power Industry"/>
    <x v="3"/>
    <n v="5256046.3499999996"/>
  </r>
  <r>
    <x v="21"/>
    <x v="45"/>
    <s v="Total Electric Power Industry"/>
    <x v="12"/>
    <n v="164703.17000000001"/>
  </r>
  <r>
    <x v="21"/>
    <x v="45"/>
    <s v="Total Electric Power Industry"/>
    <x v="8"/>
    <n v="58006.84"/>
  </r>
  <r>
    <x v="21"/>
    <x v="45"/>
    <s v="Total Electric Power Industry"/>
    <x v="9"/>
    <n v="32638.240000000002"/>
  </r>
  <r>
    <x v="21"/>
    <x v="45"/>
    <s v="Total Electric Power Industry"/>
    <x v="4"/>
    <n v="53949.16"/>
  </r>
  <r>
    <x v="21"/>
    <x v="45"/>
    <s v="Total Electric Power Industry"/>
    <x v="5"/>
    <n v="572790"/>
  </r>
  <r>
    <x v="21"/>
    <x v="45"/>
    <s v="Electric Generators, Independent Power Producers"/>
    <x v="0"/>
    <n v="1628428"/>
  </r>
  <r>
    <x v="21"/>
    <x v="45"/>
    <s v="Electric Generators, Independent Power Producers"/>
    <x v="1"/>
    <n v="419227"/>
  </r>
  <r>
    <x v="21"/>
    <x v="45"/>
    <s v="Electric Generators, Independent Power Producers"/>
    <x v="11"/>
    <n v="52108"/>
  </r>
  <r>
    <x v="21"/>
    <x v="45"/>
    <s v="Electric Generators, Independent Power Producers"/>
    <x v="2"/>
    <n v="13132"/>
  </r>
  <r>
    <x v="21"/>
    <x v="45"/>
    <s v="Electric Generators, Independent Power Producers"/>
    <x v="3"/>
    <n v="517951"/>
  </r>
  <r>
    <x v="21"/>
    <x v="45"/>
    <s v="Electric Generators, Independent Power Producers"/>
    <x v="8"/>
    <n v="53192"/>
  </r>
  <r>
    <x v="21"/>
    <x v="45"/>
    <s v="Electric Generators, Independent Power Producers"/>
    <x v="4"/>
    <n v="28"/>
  </r>
  <r>
    <x v="21"/>
    <x v="45"/>
    <s v="Electric Generators, Independent Power Producers"/>
    <x v="5"/>
    <n v="572790"/>
  </r>
  <r>
    <x v="21"/>
    <x v="45"/>
    <s v="Electric Generators, Electric Utilities"/>
    <x v="0"/>
    <n v="38392512"/>
  </r>
  <r>
    <x v="21"/>
    <x v="45"/>
    <s v="Electric Generators, Electric Utilities"/>
    <x v="1"/>
    <n v="32277478.02"/>
  </r>
  <r>
    <x v="21"/>
    <x v="45"/>
    <s v="Electric Generators, Electric Utilities"/>
    <x v="11"/>
    <n v="278080"/>
  </r>
  <r>
    <x v="21"/>
    <x v="45"/>
    <s v="Electric Generators, Electric Utilities"/>
    <x v="2"/>
    <n v="1217033"/>
  </r>
  <r>
    <x v="21"/>
    <x v="45"/>
    <s v="Electric Generators, Electric Utilities"/>
    <x v="3"/>
    <n v="4565999.82"/>
  </r>
  <r>
    <x v="21"/>
    <x v="45"/>
    <s v="Electric Generators, Electric Utilities"/>
    <x v="4"/>
    <n v="53921.16"/>
  </r>
  <r>
    <x v="21"/>
    <x v="45"/>
    <s v="Combined Heat and Power, Industrial Power"/>
    <x v="0"/>
    <n v="805754"/>
  </r>
  <r>
    <x v="21"/>
    <x v="45"/>
    <s v="Combined Heat and Power, Industrial Power"/>
    <x v="1"/>
    <n v="440958.23"/>
  </r>
  <r>
    <x v="21"/>
    <x v="45"/>
    <s v="Combined Heat and Power, Industrial Power"/>
    <x v="3"/>
    <n v="172080.53"/>
  </r>
  <r>
    <x v="21"/>
    <x v="45"/>
    <s v="Combined Heat and Power, Industrial Power"/>
    <x v="12"/>
    <n v="160077"/>
  </r>
  <r>
    <x v="21"/>
    <x v="45"/>
    <s v="Combined Heat and Power, Industrial Power"/>
    <x v="9"/>
    <n v="32638.240000000002"/>
  </r>
  <r>
    <x v="21"/>
    <x v="45"/>
    <s v="Combined Heat and Power, Electric Power"/>
    <x v="0"/>
    <n v="9441.01"/>
  </r>
  <r>
    <x v="21"/>
    <x v="45"/>
    <s v="Combined Heat and Power, Electric Power"/>
    <x v="12"/>
    <n v="4626.17"/>
  </r>
  <r>
    <x v="21"/>
    <x v="45"/>
    <s v="Combined Heat and Power, Electric Power"/>
    <x v="8"/>
    <n v="4814.84"/>
  </r>
  <r>
    <x v="21"/>
    <x v="45"/>
    <s v="Combined Heat and Power, Electric Power"/>
    <x v="4"/>
    <n v="0"/>
  </r>
  <r>
    <x v="21"/>
    <x v="45"/>
    <s v="Combined Heat and Power, Commercial Power"/>
    <x v="0"/>
    <n v="15"/>
  </r>
  <r>
    <x v="21"/>
    <x v="45"/>
    <s v="Combined Heat and Power, Commercial Power"/>
    <x v="3"/>
    <n v="15"/>
  </r>
  <r>
    <x v="21"/>
    <x v="45"/>
    <s v="Combined Heat and Power, Commercial Power"/>
    <x v="4"/>
    <n v="0"/>
  </r>
  <r>
    <x v="21"/>
    <x v="46"/>
    <s v="Total Electric Power Industry"/>
    <x v="0"/>
    <n v="66670859.07"/>
  </r>
  <r>
    <x v="21"/>
    <x v="46"/>
    <s v="Total Electric Power Industry"/>
    <x v="1"/>
    <n v="19881113.440000001"/>
  </r>
  <r>
    <x v="21"/>
    <x v="46"/>
    <s v="Total Electric Power Industry"/>
    <x v="2"/>
    <n v="1210389"/>
  </r>
  <r>
    <x v="21"/>
    <x v="46"/>
    <s v="Total Electric Power Industry"/>
    <x v="3"/>
    <n v="18332373.16"/>
  </r>
  <r>
    <x v="21"/>
    <x v="46"/>
    <s v="Total Electric Power Industry"/>
    <x v="7"/>
    <n v="25547997"/>
  </r>
  <r>
    <x v="21"/>
    <x v="46"/>
    <s v="Total Electric Power Industry"/>
    <x v="12"/>
    <n v="470238.56"/>
  </r>
  <r>
    <x v="21"/>
    <x v="46"/>
    <s v="Total Electric Power Industry"/>
    <x v="8"/>
    <n v="789637.83"/>
  </r>
  <r>
    <x v="21"/>
    <x v="46"/>
    <s v="Total Electric Power Industry"/>
    <x v="4"/>
    <n v="502646.34"/>
  </r>
  <r>
    <x v="21"/>
    <x v="46"/>
    <s v="Total Electric Power Industry"/>
    <x v="10"/>
    <n v="-1469539"/>
  </r>
  <r>
    <x v="21"/>
    <x v="46"/>
    <s v="Total Electric Power Industry"/>
    <x v="6"/>
    <n v="1406002.75"/>
  </r>
  <r>
    <x v="21"/>
    <x v="46"/>
    <s v="Electric Generators, Independent Power Producers"/>
    <x v="0"/>
    <n v="9150792.2400000002"/>
  </r>
  <r>
    <x v="21"/>
    <x v="46"/>
    <s v="Electric Generators, Independent Power Producers"/>
    <x v="1"/>
    <n v="957340.48"/>
  </r>
  <r>
    <x v="21"/>
    <x v="46"/>
    <s v="Electric Generators, Independent Power Producers"/>
    <x v="2"/>
    <n v="67662"/>
  </r>
  <r>
    <x v="21"/>
    <x v="46"/>
    <s v="Electric Generators, Independent Power Producers"/>
    <x v="3"/>
    <n v="7195310.7599999998"/>
  </r>
  <r>
    <x v="21"/>
    <x v="46"/>
    <s v="Electric Generators, Independent Power Producers"/>
    <x v="12"/>
    <n v="293070.40000000002"/>
  </r>
  <r>
    <x v="21"/>
    <x v="46"/>
    <s v="Electric Generators, Independent Power Producers"/>
    <x v="8"/>
    <n v="585086.9"/>
  </r>
  <r>
    <x v="21"/>
    <x v="46"/>
    <s v="Electric Generators, Independent Power Producers"/>
    <x v="4"/>
    <n v="52321.71"/>
  </r>
  <r>
    <x v="21"/>
    <x v="46"/>
    <s v="Electric Generators, Electric Utilities"/>
    <x v="0"/>
    <n v="53328663.909999996"/>
  </r>
  <r>
    <x v="21"/>
    <x v="46"/>
    <s v="Electric Generators, Electric Utilities"/>
    <x v="1"/>
    <n v="17243195.329999998"/>
  </r>
  <r>
    <x v="21"/>
    <x v="46"/>
    <s v="Electric Generators, Electric Utilities"/>
    <x v="2"/>
    <n v="1131815"/>
  </r>
  <r>
    <x v="21"/>
    <x v="46"/>
    <s v="Electric Generators, Electric Utilities"/>
    <x v="3"/>
    <n v="10062158.49"/>
  </r>
  <r>
    <x v="21"/>
    <x v="46"/>
    <s v="Electric Generators, Electric Utilities"/>
    <x v="7"/>
    <n v="25547997"/>
  </r>
  <r>
    <x v="21"/>
    <x v="46"/>
    <s v="Electric Generators, Electric Utilities"/>
    <x v="8"/>
    <n v="13526"/>
  </r>
  <r>
    <x v="21"/>
    <x v="46"/>
    <s v="Electric Generators, Electric Utilities"/>
    <x v="4"/>
    <n v="394399.13"/>
  </r>
  <r>
    <x v="21"/>
    <x v="46"/>
    <s v="Electric Generators, Electric Utilities"/>
    <x v="10"/>
    <n v="-1469539"/>
  </r>
  <r>
    <x v="21"/>
    <x v="46"/>
    <s v="Electric Generators, Electric Utilities"/>
    <x v="6"/>
    <n v="405111.95"/>
  </r>
  <r>
    <x v="21"/>
    <x v="46"/>
    <s v="Combined Heat and Power, Industrial Power"/>
    <x v="0"/>
    <n v="1805233.31"/>
  </r>
  <r>
    <x v="21"/>
    <x v="46"/>
    <s v="Combined Heat and Power, Industrial Power"/>
    <x v="1"/>
    <n v="653124.88"/>
  </r>
  <r>
    <x v="21"/>
    <x v="46"/>
    <s v="Combined Heat and Power, Industrial Power"/>
    <x v="2"/>
    <n v="10912"/>
  </r>
  <r>
    <x v="21"/>
    <x v="46"/>
    <s v="Combined Heat and Power, Industrial Power"/>
    <x v="3"/>
    <n v="94287.97"/>
  </r>
  <r>
    <x v="21"/>
    <x v="46"/>
    <s v="Combined Heat and Power, Industrial Power"/>
    <x v="12"/>
    <n v="936.59"/>
  </r>
  <r>
    <x v="21"/>
    <x v="46"/>
    <s v="Combined Heat and Power, Industrial Power"/>
    <x v="8"/>
    <n v="7675.81"/>
  </r>
  <r>
    <x v="21"/>
    <x v="46"/>
    <s v="Combined Heat and Power, Industrial Power"/>
    <x v="4"/>
    <n v="37405.26"/>
  </r>
  <r>
    <x v="21"/>
    <x v="46"/>
    <s v="Combined Heat and Power, Industrial Power"/>
    <x v="6"/>
    <n v="1000890.8"/>
  </r>
  <r>
    <x v="21"/>
    <x v="46"/>
    <s v="Combined Heat and Power, Electric Power"/>
    <x v="0"/>
    <n v="1999340"/>
  </r>
  <r>
    <x v="21"/>
    <x v="46"/>
    <s v="Combined Heat and Power, Electric Power"/>
    <x v="1"/>
    <n v="1001482.95"/>
  </r>
  <r>
    <x v="21"/>
    <x v="46"/>
    <s v="Combined Heat and Power, Electric Power"/>
    <x v="3"/>
    <n v="980615.94"/>
  </r>
  <r>
    <x v="21"/>
    <x v="46"/>
    <s v="Combined Heat and Power, Electric Power"/>
    <x v="12"/>
    <n v="74.05"/>
  </r>
  <r>
    <x v="21"/>
    <x v="46"/>
    <s v="Combined Heat and Power, Electric Power"/>
    <x v="4"/>
    <n v="17167.060000000001"/>
  </r>
  <r>
    <x v="21"/>
    <x v="46"/>
    <s v="Combined Heat and Power, Commercial Power"/>
    <x v="0"/>
    <n v="386829.61"/>
  </r>
  <r>
    <x v="21"/>
    <x v="46"/>
    <s v="Combined Heat and Power, Commercial Power"/>
    <x v="1"/>
    <n v="25969.81"/>
  </r>
  <r>
    <x v="21"/>
    <x v="46"/>
    <s v="Combined Heat and Power, Commercial Power"/>
    <x v="12"/>
    <n v="176157.51"/>
  </r>
  <r>
    <x v="21"/>
    <x v="46"/>
    <s v="Combined Heat and Power, Commercial Power"/>
    <x v="8"/>
    <n v="183349.12"/>
  </r>
  <r>
    <x v="21"/>
    <x v="46"/>
    <s v="Combined Heat and Power, Commercial Power"/>
    <x v="4"/>
    <n v="1353.18"/>
  </r>
  <r>
    <x v="21"/>
    <x v="47"/>
    <s v="Total Electric Power Industry"/>
    <x v="0"/>
    <n v="6776218.8099999996"/>
  </r>
  <r>
    <x v="21"/>
    <x v="47"/>
    <s v="Total Electric Power Industry"/>
    <x v="2"/>
    <n v="1424733"/>
  </r>
  <r>
    <x v="21"/>
    <x v="47"/>
    <s v="Total Electric Power Industry"/>
    <x v="3"/>
    <n v="3277.37"/>
  </r>
  <r>
    <x v="21"/>
    <x v="47"/>
    <s v="Total Electric Power Industry"/>
    <x v="7"/>
    <n v="4907355"/>
  </r>
  <r>
    <x v="21"/>
    <x v="47"/>
    <s v="Total Electric Power Industry"/>
    <x v="8"/>
    <n v="25448"/>
  </r>
  <r>
    <x v="21"/>
    <x v="47"/>
    <s v="Total Electric Power Industry"/>
    <x v="4"/>
    <n v="8157.83"/>
  </r>
  <r>
    <x v="21"/>
    <x v="47"/>
    <s v="Total Electric Power Industry"/>
    <x v="13"/>
    <n v="1815"/>
  </r>
  <r>
    <x v="21"/>
    <x v="47"/>
    <s v="Total Electric Power Industry"/>
    <x v="5"/>
    <n v="33185"/>
  </r>
  <r>
    <x v="21"/>
    <x v="47"/>
    <s v="Total Electric Power Industry"/>
    <x v="6"/>
    <n v="372247.61"/>
  </r>
  <r>
    <x v="21"/>
    <x v="47"/>
    <s v="Electric Generators, Independent Power Producers"/>
    <x v="0"/>
    <n v="6048705"/>
  </r>
  <r>
    <x v="21"/>
    <x v="47"/>
    <s v="Electric Generators, Independent Power Producers"/>
    <x v="2"/>
    <n v="945380"/>
  </r>
  <r>
    <x v="21"/>
    <x v="47"/>
    <s v="Electric Generators, Independent Power Producers"/>
    <x v="7"/>
    <n v="4907355"/>
  </r>
  <r>
    <x v="21"/>
    <x v="47"/>
    <s v="Electric Generators, Independent Power Producers"/>
    <x v="8"/>
    <n v="25448"/>
  </r>
  <r>
    <x v="21"/>
    <x v="47"/>
    <s v="Electric Generators, Independent Power Producers"/>
    <x v="13"/>
    <n v="1815"/>
  </r>
  <r>
    <x v="21"/>
    <x v="47"/>
    <s v="Electric Generators, Independent Power Producers"/>
    <x v="5"/>
    <n v="22356"/>
  </r>
  <r>
    <x v="21"/>
    <x v="47"/>
    <s v="Electric Generators, Independent Power Producers"/>
    <x v="6"/>
    <n v="146351"/>
  </r>
  <r>
    <x v="21"/>
    <x v="47"/>
    <s v="Electric Generators, Electric Utilities"/>
    <x v="0"/>
    <n v="699768"/>
  </r>
  <r>
    <x v="21"/>
    <x v="47"/>
    <s v="Electric Generators, Electric Utilities"/>
    <x v="2"/>
    <n v="455461"/>
  </r>
  <r>
    <x v="21"/>
    <x v="47"/>
    <s v="Electric Generators, Electric Utilities"/>
    <x v="3"/>
    <n v="3277.37"/>
  </r>
  <r>
    <x v="21"/>
    <x v="47"/>
    <s v="Electric Generators, Electric Utilities"/>
    <x v="4"/>
    <n v="6163.73"/>
  </r>
  <r>
    <x v="21"/>
    <x v="47"/>
    <s v="Electric Generators, Electric Utilities"/>
    <x v="5"/>
    <n v="10829"/>
  </r>
  <r>
    <x v="21"/>
    <x v="47"/>
    <s v="Electric Generators, Electric Utilities"/>
    <x v="6"/>
    <n v="224036.9"/>
  </r>
  <r>
    <x v="21"/>
    <x v="47"/>
    <s v="Combined Heat and Power, Industrial Power"/>
    <x v="0"/>
    <n v="23892"/>
  </r>
  <r>
    <x v="21"/>
    <x v="47"/>
    <s v="Combined Heat and Power, Industrial Power"/>
    <x v="2"/>
    <n v="23892"/>
  </r>
  <r>
    <x v="21"/>
    <x v="47"/>
    <s v="Combined Heat and Power, Commercial Power"/>
    <x v="0"/>
    <n v="3853.81"/>
  </r>
  <r>
    <x v="21"/>
    <x v="47"/>
    <s v="Combined Heat and Power, Commercial Power"/>
    <x v="4"/>
    <n v="1994.11"/>
  </r>
  <r>
    <x v="21"/>
    <x v="47"/>
    <s v="Combined Heat and Power, Commercial Power"/>
    <x v="6"/>
    <n v="1859.71"/>
  </r>
  <r>
    <x v="21"/>
    <x v="48"/>
    <s v="Total Electric Power Industry"/>
    <x v="0"/>
    <n v="115262600.81999999"/>
  </r>
  <r>
    <x v="21"/>
    <x v="48"/>
    <s v="Total Electric Power Industry"/>
    <x v="1"/>
    <n v="5228585.05"/>
  </r>
  <r>
    <x v="21"/>
    <x v="48"/>
    <s v="Total Electric Power Industry"/>
    <x v="2"/>
    <n v="91817701.709999993"/>
  </r>
  <r>
    <x v="21"/>
    <x v="48"/>
    <s v="Total Electric Power Industry"/>
    <x v="3"/>
    <n v="4849507.34"/>
  </r>
  <r>
    <x v="21"/>
    <x v="48"/>
    <s v="Total Electric Power Industry"/>
    <x v="7"/>
    <n v="4806278"/>
  </r>
  <r>
    <x v="21"/>
    <x v="48"/>
    <s v="Total Electric Power Industry"/>
    <x v="12"/>
    <n v="159914.87"/>
  </r>
  <r>
    <x v="21"/>
    <x v="48"/>
    <s v="Total Electric Power Industry"/>
    <x v="8"/>
    <n v="168871.75"/>
  </r>
  <r>
    <x v="21"/>
    <x v="48"/>
    <s v="Total Electric Power Industry"/>
    <x v="9"/>
    <n v="297208.36"/>
  </r>
  <r>
    <x v="21"/>
    <x v="48"/>
    <s v="Total Electric Power Industry"/>
    <x v="4"/>
    <n v="37147.269999999997"/>
  </r>
  <r>
    <x v="21"/>
    <x v="48"/>
    <s v="Total Electric Power Industry"/>
    <x v="10"/>
    <n v="51916"/>
  </r>
  <r>
    <x v="21"/>
    <x v="48"/>
    <s v="Total Electric Power Industry"/>
    <x v="13"/>
    <n v="840"/>
  </r>
  <r>
    <x v="21"/>
    <x v="48"/>
    <s v="Total Electric Power Industry"/>
    <x v="5"/>
    <n v="6262380"/>
  </r>
  <r>
    <x v="21"/>
    <x v="48"/>
    <s v="Total Electric Power Industry"/>
    <x v="6"/>
    <n v="1582250.48"/>
  </r>
  <r>
    <x v="21"/>
    <x v="48"/>
    <s v="Electric Generators, Independent Power Producers"/>
    <x v="0"/>
    <n v="9379276"/>
  </r>
  <r>
    <x v="21"/>
    <x v="48"/>
    <s v="Electric Generators, Independent Power Producers"/>
    <x v="1"/>
    <n v="5199973.03"/>
  </r>
  <r>
    <x v="21"/>
    <x v="48"/>
    <s v="Electric Generators, Independent Power Producers"/>
    <x v="2"/>
    <n v="262645"/>
  </r>
  <r>
    <x v="21"/>
    <x v="48"/>
    <s v="Electric Generators, Independent Power Producers"/>
    <x v="3"/>
    <n v="271193"/>
  </r>
  <r>
    <x v="21"/>
    <x v="48"/>
    <s v="Electric Generators, Independent Power Producers"/>
    <x v="12"/>
    <n v="70257.87"/>
  </r>
  <r>
    <x v="21"/>
    <x v="48"/>
    <s v="Electric Generators, Independent Power Producers"/>
    <x v="8"/>
    <n v="82288.31"/>
  </r>
  <r>
    <x v="21"/>
    <x v="48"/>
    <s v="Electric Generators, Independent Power Producers"/>
    <x v="4"/>
    <n v="10440.790000000001"/>
  </r>
  <r>
    <x v="21"/>
    <x v="48"/>
    <s v="Electric Generators, Independent Power Producers"/>
    <x v="5"/>
    <n v="3482478"/>
  </r>
  <r>
    <x v="21"/>
    <x v="48"/>
    <s v="Electric Generators, Electric Utilities"/>
    <x v="0"/>
    <n v="103334453.81999999"/>
  </r>
  <r>
    <x v="21"/>
    <x v="48"/>
    <s v="Electric Generators, Electric Utilities"/>
    <x v="2"/>
    <n v="91552095.709999993"/>
  </r>
  <r>
    <x v="21"/>
    <x v="48"/>
    <s v="Electric Generators, Electric Utilities"/>
    <x v="3"/>
    <n v="3619841.63"/>
  </r>
  <r>
    <x v="21"/>
    <x v="48"/>
    <s v="Electric Generators, Electric Utilities"/>
    <x v="7"/>
    <n v="4806278"/>
  </r>
  <r>
    <x v="21"/>
    <x v="48"/>
    <s v="Electric Generators, Electric Utilities"/>
    <x v="8"/>
    <n v="75003"/>
  </r>
  <r>
    <x v="21"/>
    <x v="48"/>
    <s v="Electric Generators, Electric Utilities"/>
    <x v="4"/>
    <n v="5965.21"/>
  </r>
  <r>
    <x v="21"/>
    <x v="48"/>
    <s v="Electric Generators, Electric Utilities"/>
    <x v="10"/>
    <n v="51916"/>
  </r>
  <r>
    <x v="21"/>
    <x v="48"/>
    <s v="Electric Generators, Electric Utilities"/>
    <x v="13"/>
    <n v="840"/>
  </r>
  <r>
    <x v="21"/>
    <x v="48"/>
    <s v="Electric Generators, Electric Utilities"/>
    <x v="5"/>
    <n v="2779902"/>
  </r>
  <r>
    <x v="21"/>
    <x v="48"/>
    <s v="Electric Generators, Electric Utilities"/>
    <x v="6"/>
    <n v="442612.27"/>
  </r>
  <r>
    <x v="21"/>
    <x v="48"/>
    <s v="Combined Heat and Power, Industrial Power"/>
    <x v="0"/>
    <n v="1348578.52"/>
  </r>
  <r>
    <x v="21"/>
    <x v="48"/>
    <s v="Combined Heat and Power, Industrial Power"/>
    <x v="1"/>
    <n v="28612.02"/>
  </r>
  <r>
    <x v="21"/>
    <x v="48"/>
    <s v="Combined Heat and Power, Industrial Power"/>
    <x v="2"/>
    <n v="2961"/>
  </r>
  <r>
    <x v="21"/>
    <x v="48"/>
    <s v="Combined Heat and Power, Industrial Power"/>
    <x v="3"/>
    <n v="55658.59"/>
  </r>
  <r>
    <x v="21"/>
    <x v="48"/>
    <s v="Combined Heat and Power, Industrial Power"/>
    <x v="12"/>
    <n v="89657"/>
  </r>
  <r>
    <x v="21"/>
    <x v="48"/>
    <s v="Combined Heat and Power, Industrial Power"/>
    <x v="8"/>
    <n v="11580.44"/>
  </r>
  <r>
    <x v="21"/>
    <x v="48"/>
    <s v="Combined Heat and Power, Industrial Power"/>
    <x v="4"/>
    <n v="20471.27"/>
  </r>
  <r>
    <x v="21"/>
    <x v="48"/>
    <s v="Combined Heat and Power, Industrial Power"/>
    <x v="6"/>
    <n v="1139638.2"/>
  </r>
  <r>
    <x v="21"/>
    <x v="48"/>
    <s v="Combined Heat and Power, Electric Power"/>
    <x v="0"/>
    <n v="1193709"/>
  </r>
  <r>
    <x v="21"/>
    <x v="48"/>
    <s v="Combined Heat and Power, Electric Power"/>
    <x v="3"/>
    <n v="896422.15"/>
  </r>
  <r>
    <x v="21"/>
    <x v="48"/>
    <s v="Combined Heat and Power, Electric Power"/>
    <x v="9"/>
    <n v="297208.36"/>
  </r>
  <r>
    <x v="21"/>
    <x v="48"/>
    <s v="Combined Heat and Power, Electric Power"/>
    <x v="4"/>
    <n v="78.489999999999995"/>
  </r>
  <r>
    <x v="21"/>
    <x v="48"/>
    <s v="Combined Heat and Power, Commercial Power"/>
    <x v="0"/>
    <n v="6583.48"/>
  </r>
  <r>
    <x v="21"/>
    <x v="48"/>
    <s v="Combined Heat and Power, Commercial Power"/>
    <x v="3"/>
    <n v="6391.97"/>
  </r>
  <r>
    <x v="21"/>
    <x v="48"/>
    <s v="Combined Heat and Power, Commercial Power"/>
    <x v="4"/>
    <n v="191.51"/>
  </r>
  <r>
    <x v="21"/>
    <x v="49"/>
    <s v="Total Electric Power Industry"/>
    <x v="0"/>
    <n v="63289343.770000003"/>
  </r>
  <r>
    <x v="21"/>
    <x v="49"/>
    <s v="Total Electric Power Industry"/>
    <x v="1"/>
    <n v="39937737.32"/>
  </r>
  <r>
    <x v="21"/>
    <x v="49"/>
    <s v="Total Electric Power Industry"/>
    <x v="2"/>
    <n v="2146909.89"/>
  </r>
  <r>
    <x v="21"/>
    <x v="49"/>
    <s v="Total Electric Power Industry"/>
    <x v="3"/>
    <n v="6243336.4199999999"/>
  </r>
  <r>
    <x v="21"/>
    <x v="49"/>
    <s v="Total Electric Power Industry"/>
    <x v="7"/>
    <n v="11559781"/>
  </r>
  <r>
    <x v="21"/>
    <x v="49"/>
    <s v="Total Electric Power Industry"/>
    <x v="12"/>
    <n v="54209.47"/>
  </r>
  <r>
    <x v="21"/>
    <x v="49"/>
    <s v="Total Electric Power Industry"/>
    <x v="8"/>
    <n v="545412.82999999996"/>
  </r>
  <r>
    <x v="21"/>
    <x v="49"/>
    <s v="Total Electric Power Industry"/>
    <x v="4"/>
    <n v="582358.77"/>
  </r>
  <r>
    <x v="21"/>
    <x v="49"/>
    <s v="Total Electric Power Industry"/>
    <x v="5"/>
    <n v="1187730"/>
  </r>
  <r>
    <x v="21"/>
    <x v="49"/>
    <s v="Total Electric Power Industry"/>
    <x v="6"/>
    <n v="1031868.09"/>
  </r>
  <r>
    <x v="21"/>
    <x v="49"/>
    <s v="Electric Generators, Independent Power Producers"/>
    <x v="0"/>
    <n v="15551696"/>
  </r>
  <r>
    <x v="21"/>
    <x v="49"/>
    <s v="Electric Generators, Independent Power Producers"/>
    <x v="1"/>
    <n v="0"/>
  </r>
  <r>
    <x v="21"/>
    <x v="49"/>
    <s v="Electric Generators, Independent Power Producers"/>
    <x v="2"/>
    <n v="84965"/>
  </r>
  <r>
    <x v="21"/>
    <x v="49"/>
    <s v="Electric Generators, Independent Power Producers"/>
    <x v="3"/>
    <n v="2647632.4700000002"/>
  </r>
  <r>
    <x v="21"/>
    <x v="49"/>
    <s v="Electric Generators, Independent Power Producers"/>
    <x v="7"/>
    <n v="11559781"/>
  </r>
  <r>
    <x v="21"/>
    <x v="49"/>
    <s v="Electric Generators, Independent Power Producers"/>
    <x v="8"/>
    <n v="419493"/>
  </r>
  <r>
    <x v="21"/>
    <x v="49"/>
    <s v="Electric Generators, Independent Power Producers"/>
    <x v="4"/>
    <n v="3919.53"/>
  </r>
  <r>
    <x v="21"/>
    <x v="49"/>
    <s v="Electric Generators, Independent Power Producers"/>
    <x v="5"/>
    <n v="614188"/>
  </r>
  <r>
    <x v="21"/>
    <x v="49"/>
    <s v="Electric Generators, Independent Power Producers"/>
    <x v="6"/>
    <n v="221717"/>
  </r>
  <r>
    <x v="21"/>
    <x v="49"/>
    <s v="Electric Generators, Electric Utilities"/>
    <x v="0"/>
    <n v="44934059.25"/>
  </r>
  <r>
    <x v="21"/>
    <x v="49"/>
    <s v="Electric Generators, Electric Utilities"/>
    <x v="1"/>
    <n v="38984252.509999998"/>
  </r>
  <r>
    <x v="21"/>
    <x v="49"/>
    <s v="Electric Generators, Electric Utilities"/>
    <x v="2"/>
    <n v="1908535"/>
  </r>
  <r>
    <x v="21"/>
    <x v="49"/>
    <s v="Electric Generators, Electric Utilities"/>
    <x v="3"/>
    <n v="2842442.35"/>
  </r>
  <r>
    <x v="21"/>
    <x v="49"/>
    <s v="Electric Generators, Electric Utilities"/>
    <x v="12"/>
    <n v="31216.47"/>
  </r>
  <r>
    <x v="21"/>
    <x v="49"/>
    <s v="Electric Generators, Electric Utilities"/>
    <x v="8"/>
    <n v="21867.69"/>
  </r>
  <r>
    <x v="21"/>
    <x v="49"/>
    <s v="Electric Generators, Electric Utilities"/>
    <x v="4"/>
    <n v="357328.14"/>
  </r>
  <r>
    <x v="21"/>
    <x v="49"/>
    <s v="Electric Generators, Electric Utilities"/>
    <x v="5"/>
    <n v="573542"/>
  </r>
  <r>
    <x v="21"/>
    <x v="49"/>
    <s v="Electric Generators, Electric Utilities"/>
    <x v="6"/>
    <n v="214875.1"/>
  </r>
  <r>
    <x v="21"/>
    <x v="49"/>
    <s v="Combined Heat and Power, Industrial Power"/>
    <x v="0"/>
    <n v="2049779.52"/>
  </r>
  <r>
    <x v="21"/>
    <x v="49"/>
    <s v="Combined Heat and Power, Industrial Power"/>
    <x v="1"/>
    <n v="933808.42"/>
  </r>
  <r>
    <x v="21"/>
    <x v="49"/>
    <s v="Combined Heat and Power, Industrial Power"/>
    <x v="2"/>
    <n v="153409.89000000001"/>
  </r>
  <r>
    <x v="21"/>
    <x v="49"/>
    <s v="Combined Heat and Power, Industrial Power"/>
    <x v="3"/>
    <n v="97214.58"/>
  </r>
  <r>
    <x v="21"/>
    <x v="49"/>
    <s v="Combined Heat and Power, Industrial Power"/>
    <x v="12"/>
    <n v="22904.49"/>
  </r>
  <r>
    <x v="21"/>
    <x v="49"/>
    <s v="Combined Heat and Power, Industrial Power"/>
    <x v="8"/>
    <n v="28595.65"/>
  </r>
  <r>
    <x v="21"/>
    <x v="49"/>
    <s v="Combined Heat and Power, Industrial Power"/>
    <x v="4"/>
    <n v="218739.06"/>
  </r>
  <r>
    <x v="21"/>
    <x v="49"/>
    <s v="Combined Heat and Power, Industrial Power"/>
    <x v="6"/>
    <n v="595107.43999999994"/>
  </r>
  <r>
    <x v="21"/>
    <x v="49"/>
    <s v="Combined Heat and Power, Electric Power"/>
    <x v="0"/>
    <n v="638956"/>
  </r>
  <r>
    <x v="21"/>
    <x v="49"/>
    <s v="Combined Heat and Power, Electric Power"/>
    <x v="1"/>
    <n v="0"/>
  </r>
  <r>
    <x v="21"/>
    <x v="49"/>
    <s v="Combined Heat and Power, Electric Power"/>
    <x v="3"/>
    <n v="575498.18999999994"/>
  </r>
  <r>
    <x v="21"/>
    <x v="49"/>
    <s v="Combined Heat and Power, Electric Power"/>
    <x v="8"/>
    <n v="61125"/>
  </r>
  <r>
    <x v="21"/>
    <x v="49"/>
    <s v="Combined Heat and Power, Electric Power"/>
    <x v="4"/>
    <n v="2332.81"/>
  </r>
  <r>
    <x v="21"/>
    <x v="49"/>
    <s v="Combined Heat and Power, Commercial Power"/>
    <x v="0"/>
    <n v="114853"/>
  </r>
  <r>
    <x v="21"/>
    <x v="49"/>
    <s v="Combined Heat and Power, Commercial Power"/>
    <x v="1"/>
    <n v="19676.39"/>
  </r>
  <r>
    <x v="21"/>
    <x v="49"/>
    <s v="Combined Heat and Power, Commercial Power"/>
    <x v="2"/>
    <n v="0"/>
  </r>
  <r>
    <x v="21"/>
    <x v="49"/>
    <s v="Combined Heat and Power, Commercial Power"/>
    <x v="3"/>
    <n v="80548.83"/>
  </r>
  <r>
    <x v="21"/>
    <x v="49"/>
    <s v="Combined Heat and Power, Commercial Power"/>
    <x v="12"/>
    <n v="88.51"/>
  </r>
  <r>
    <x v="21"/>
    <x v="49"/>
    <s v="Combined Heat and Power, Commercial Power"/>
    <x v="8"/>
    <n v="14331.49"/>
  </r>
  <r>
    <x v="21"/>
    <x v="49"/>
    <s v="Combined Heat and Power, Commercial Power"/>
    <x v="4"/>
    <n v="39.22"/>
  </r>
  <r>
    <x v="21"/>
    <x v="49"/>
    <s v="Combined Heat and Power, Commercial Power"/>
    <x v="6"/>
    <n v="168.56"/>
  </r>
  <r>
    <x v="21"/>
    <x v="50"/>
    <s v="Total Electric Power Industry"/>
    <x v="0"/>
    <n v="78999623.540000007"/>
  </r>
  <r>
    <x v="21"/>
    <x v="50"/>
    <s v="Total Electric Power Industry"/>
    <x v="1"/>
    <n v="75964107.349999994"/>
  </r>
  <r>
    <x v="21"/>
    <x v="50"/>
    <s v="Total Electric Power Industry"/>
    <x v="2"/>
    <n v="1453109"/>
  </r>
  <r>
    <x v="21"/>
    <x v="50"/>
    <s v="Total Electric Power Industry"/>
    <x v="3"/>
    <n v="251464.5"/>
  </r>
  <r>
    <x v="21"/>
    <x v="50"/>
    <s v="Total Electric Power Industry"/>
    <x v="12"/>
    <n v="44.74"/>
  </r>
  <r>
    <x v="21"/>
    <x v="50"/>
    <s v="Total Electric Power Industry"/>
    <x v="8"/>
    <n v="9191"/>
  </r>
  <r>
    <x v="21"/>
    <x v="50"/>
    <s v="Total Electric Power Industry"/>
    <x v="9"/>
    <n v="30477.96"/>
  </r>
  <r>
    <x v="21"/>
    <x v="50"/>
    <s v="Total Electric Power Industry"/>
    <x v="4"/>
    <n v="188481.25"/>
  </r>
  <r>
    <x v="21"/>
    <x v="50"/>
    <s v="Total Electric Power Industry"/>
    <x v="5"/>
    <n v="1102512.31"/>
  </r>
  <r>
    <x v="21"/>
    <x v="50"/>
    <s v="Total Electric Power Industry"/>
    <x v="6"/>
    <n v="235.43"/>
  </r>
  <r>
    <x v="21"/>
    <x v="50"/>
    <s v="Electric Generators, Independent Power Producers"/>
    <x v="0"/>
    <n v="22026337.309999999"/>
  </r>
  <r>
    <x v="21"/>
    <x v="50"/>
    <s v="Electric Generators, Independent Power Producers"/>
    <x v="1"/>
    <n v="20256677.460000001"/>
  </r>
  <r>
    <x v="21"/>
    <x v="50"/>
    <s v="Electric Generators, Independent Power Producers"/>
    <x v="2"/>
    <n v="432699"/>
  </r>
  <r>
    <x v="21"/>
    <x v="50"/>
    <s v="Electric Generators, Independent Power Producers"/>
    <x v="3"/>
    <n v="214859.54"/>
  </r>
  <r>
    <x v="21"/>
    <x v="50"/>
    <s v="Electric Generators, Independent Power Producers"/>
    <x v="12"/>
    <n v="0"/>
  </r>
  <r>
    <x v="21"/>
    <x v="50"/>
    <s v="Electric Generators, Independent Power Producers"/>
    <x v="8"/>
    <n v="9191"/>
  </r>
  <r>
    <x v="21"/>
    <x v="50"/>
    <s v="Electric Generators, Independent Power Producers"/>
    <x v="4"/>
    <n v="10398"/>
  </r>
  <r>
    <x v="21"/>
    <x v="50"/>
    <s v="Electric Generators, Independent Power Producers"/>
    <x v="5"/>
    <n v="1102512.31"/>
  </r>
  <r>
    <x v="21"/>
    <x v="50"/>
    <s v="Electric Generators, Electric Utilities"/>
    <x v="0"/>
    <n v="55529639"/>
  </r>
  <r>
    <x v="21"/>
    <x v="50"/>
    <s v="Electric Generators, Electric Utilities"/>
    <x v="1"/>
    <n v="54858823.060000002"/>
  </r>
  <r>
    <x v="21"/>
    <x v="50"/>
    <s v="Electric Generators, Electric Utilities"/>
    <x v="2"/>
    <n v="461787"/>
  </r>
  <r>
    <x v="21"/>
    <x v="50"/>
    <s v="Electric Generators, Electric Utilities"/>
    <x v="3"/>
    <n v="30709.05"/>
  </r>
  <r>
    <x v="21"/>
    <x v="50"/>
    <s v="Electric Generators, Electric Utilities"/>
    <x v="12"/>
    <n v="1.2"/>
  </r>
  <r>
    <x v="21"/>
    <x v="50"/>
    <s v="Electric Generators, Electric Utilities"/>
    <x v="8"/>
    <n v="0"/>
  </r>
  <r>
    <x v="21"/>
    <x v="50"/>
    <s v="Electric Generators, Electric Utilities"/>
    <x v="4"/>
    <n v="178083.25"/>
  </r>
  <r>
    <x v="21"/>
    <x v="50"/>
    <s v="Electric Generators, Electric Utilities"/>
    <x v="6"/>
    <n v="235.43"/>
  </r>
  <r>
    <x v="21"/>
    <x v="50"/>
    <s v="Combined Heat and Power, Industrial Power"/>
    <x v="0"/>
    <n v="1036357.24"/>
  </r>
  <r>
    <x v="21"/>
    <x v="50"/>
    <s v="Combined Heat and Power, Industrial Power"/>
    <x v="1"/>
    <n v="441316.83"/>
  </r>
  <r>
    <x v="21"/>
    <x v="50"/>
    <s v="Combined Heat and Power, Industrial Power"/>
    <x v="2"/>
    <n v="558623"/>
  </r>
  <r>
    <x v="21"/>
    <x v="50"/>
    <s v="Combined Heat and Power, Industrial Power"/>
    <x v="3"/>
    <n v="5895.91"/>
  </r>
  <r>
    <x v="21"/>
    <x v="50"/>
    <s v="Combined Heat and Power, Industrial Power"/>
    <x v="12"/>
    <n v="43.54"/>
  </r>
  <r>
    <x v="21"/>
    <x v="50"/>
    <s v="Combined Heat and Power, Industrial Power"/>
    <x v="9"/>
    <n v="30477.96"/>
  </r>
  <r>
    <x v="21"/>
    <x v="50"/>
    <s v="Combined Heat and Power, Electric Power"/>
    <x v="0"/>
    <n v="407290"/>
  </r>
  <r>
    <x v="21"/>
    <x v="50"/>
    <s v="Combined Heat and Power, Electric Power"/>
    <x v="1"/>
    <n v="407290"/>
  </r>
  <r>
    <x v="21"/>
    <x v="50"/>
    <s v="Combined Heat and Power, Electric Power"/>
    <x v="3"/>
    <n v="0"/>
  </r>
  <r>
    <x v="21"/>
    <x v="51"/>
    <s v="Total Electric Power Industry"/>
    <x v="0"/>
    <n v="47638470.829999998"/>
  </r>
  <r>
    <x v="21"/>
    <x v="51"/>
    <s v="Total Electric Power Industry"/>
    <x v="1"/>
    <n v="40961448.689999998"/>
  </r>
  <r>
    <x v="21"/>
    <x v="51"/>
    <s v="Total Electric Power Industry"/>
    <x v="2"/>
    <n v="1223730"/>
  </r>
  <r>
    <x v="21"/>
    <x v="51"/>
    <s v="Total Electric Power Industry"/>
    <x v="3"/>
    <n v="458930.14"/>
  </r>
  <r>
    <x v="21"/>
    <x v="51"/>
    <s v="Total Electric Power Industry"/>
    <x v="12"/>
    <n v="62106.61"/>
  </r>
  <r>
    <x v="21"/>
    <x v="51"/>
    <s v="Total Electric Power Industry"/>
    <x v="9"/>
    <n v="264936.95"/>
  </r>
  <r>
    <x v="21"/>
    <x v="51"/>
    <s v="Total Electric Power Industry"/>
    <x v="4"/>
    <n v="55450.44"/>
  </r>
  <r>
    <x v="21"/>
    <x v="51"/>
    <s v="Total Electric Power Industry"/>
    <x v="5"/>
    <n v="4611868"/>
  </r>
  <r>
    <x v="21"/>
    <x v="51"/>
    <s v="Electric Generators, Independent Power Producers"/>
    <x v="0"/>
    <n v="3228085"/>
  </r>
  <r>
    <x v="21"/>
    <x v="51"/>
    <s v="Electric Generators, Independent Power Producers"/>
    <x v="1"/>
    <n v="719386.76"/>
  </r>
  <r>
    <x v="21"/>
    <x v="51"/>
    <s v="Electric Generators, Independent Power Producers"/>
    <x v="2"/>
    <n v="9572"/>
  </r>
  <r>
    <x v="21"/>
    <x v="51"/>
    <s v="Electric Generators, Independent Power Producers"/>
    <x v="3"/>
    <n v="7655.24"/>
  </r>
  <r>
    <x v="21"/>
    <x v="51"/>
    <s v="Electric Generators, Independent Power Producers"/>
    <x v="5"/>
    <n v="2491471"/>
  </r>
  <r>
    <x v="21"/>
    <x v="51"/>
    <s v="Electric Generators, Electric Utilities"/>
    <x v="0"/>
    <n v="43195035"/>
  </r>
  <r>
    <x v="21"/>
    <x v="51"/>
    <s v="Electric Generators, Electric Utilities"/>
    <x v="1"/>
    <n v="39775451.640000001"/>
  </r>
  <r>
    <x v="21"/>
    <x v="51"/>
    <s v="Electric Generators, Electric Utilities"/>
    <x v="2"/>
    <n v="1214158"/>
  </r>
  <r>
    <x v="21"/>
    <x v="51"/>
    <s v="Electric Generators, Electric Utilities"/>
    <x v="3"/>
    <n v="29762.54"/>
  </r>
  <r>
    <x v="21"/>
    <x v="51"/>
    <s v="Electric Generators, Electric Utilities"/>
    <x v="4"/>
    <n v="55265.83"/>
  </r>
  <r>
    <x v="21"/>
    <x v="51"/>
    <s v="Electric Generators, Electric Utilities"/>
    <x v="5"/>
    <n v="2120397"/>
  </r>
  <r>
    <x v="21"/>
    <x v="51"/>
    <s v="Combined Heat and Power, Industrial Power"/>
    <x v="0"/>
    <n v="1215350.83"/>
  </r>
  <r>
    <x v="21"/>
    <x v="51"/>
    <s v="Combined Heat and Power, Industrial Power"/>
    <x v="1"/>
    <n v="466610.3"/>
  </r>
  <r>
    <x v="21"/>
    <x v="51"/>
    <s v="Combined Heat and Power, Industrial Power"/>
    <x v="3"/>
    <n v="421512.36"/>
  </r>
  <r>
    <x v="21"/>
    <x v="51"/>
    <s v="Combined Heat and Power, Industrial Power"/>
    <x v="12"/>
    <n v="62106.61"/>
  </r>
  <r>
    <x v="21"/>
    <x v="51"/>
    <s v="Combined Heat and Power, Industrial Power"/>
    <x v="9"/>
    <n v="264936.95"/>
  </r>
  <r>
    <x v="21"/>
    <x v="51"/>
    <s v="Combined Heat and Power, Industrial Power"/>
    <x v="4"/>
    <n v="184.62"/>
  </r>
  <r>
    <x v="22"/>
    <x v="0"/>
    <s v="Total Electric Power Industry"/>
    <x v="0"/>
    <n v="6946419"/>
  </r>
  <r>
    <x v="22"/>
    <x v="0"/>
    <s v="Total Electric Power Industry"/>
    <x v="1"/>
    <n v="684959"/>
  </r>
  <r>
    <x v="22"/>
    <x v="0"/>
    <s v="Total Electric Power Industry"/>
    <x v="2"/>
    <n v="1575045"/>
  </r>
  <r>
    <x v="22"/>
    <x v="0"/>
    <s v="Total Electric Power Industry"/>
    <x v="3"/>
    <n v="3606037"/>
  </r>
  <r>
    <x v="22"/>
    <x v="0"/>
    <s v="Total Electric Power Industry"/>
    <x v="9"/>
    <n v="2658"/>
  </r>
  <r>
    <x v="22"/>
    <x v="0"/>
    <s v="Total Electric Power Industry"/>
    <x v="12"/>
    <n v="0"/>
  </r>
  <r>
    <x v="22"/>
    <x v="0"/>
    <s v="Total Electric Power Industry"/>
    <x v="4"/>
    <n v="1037762"/>
  </r>
  <r>
    <x v="22"/>
    <x v="0"/>
    <s v="Total Electric Power Industry"/>
    <x v="8"/>
    <n v="2565"/>
  </r>
  <r>
    <x v="22"/>
    <x v="0"/>
    <s v="Total Electric Power Industry"/>
    <x v="5"/>
    <n v="37392"/>
  </r>
  <r>
    <x v="22"/>
    <x v="0"/>
    <s v="Combined Heat and Power, Industrial Power"/>
    <x v="0"/>
    <n v="87230"/>
  </r>
  <r>
    <x v="22"/>
    <x v="0"/>
    <s v="Combined Heat and Power, Industrial Power"/>
    <x v="3"/>
    <n v="37135"/>
  </r>
  <r>
    <x v="22"/>
    <x v="0"/>
    <s v="Combined Heat and Power, Industrial Power"/>
    <x v="9"/>
    <n v="2658"/>
  </r>
  <r>
    <x v="22"/>
    <x v="0"/>
    <s v="Combined Heat and Power, Industrial Power"/>
    <x v="4"/>
    <n v="44871"/>
  </r>
  <r>
    <x v="22"/>
    <x v="0"/>
    <s v="Combined Heat and Power, Industrial Power"/>
    <x v="8"/>
    <n v="2565"/>
  </r>
  <r>
    <x v="22"/>
    <x v="0"/>
    <s v="Combined Heat and Power, Commercial Power"/>
    <x v="0"/>
    <n v="277858"/>
  </r>
  <r>
    <x v="22"/>
    <x v="0"/>
    <s v="Combined Heat and Power, Commercial Power"/>
    <x v="1"/>
    <n v="268244"/>
  </r>
  <r>
    <x v="22"/>
    <x v="0"/>
    <s v="Combined Heat and Power, Commercial Power"/>
    <x v="3"/>
    <n v="2684"/>
  </r>
  <r>
    <x v="22"/>
    <x v="0"/>
    <s v="Combined Heat and Power, Commercial Power"/>
    <x v="4"/>
    <n v="6931"/>
  </r>
  <r>
    <x v="22"/>
    <x v="0"/>
    <s v="Combined Heat and Power, Commercial Power"/>
    <x v="8"/>
    <n v="0"/>
  </r>
  <r>
    <x v="22"/>
    <x v="0"/>
    <s v="Combined Heat and Power, Electric Power"/>
    <x v="0"/>
    <n v="201405"/>
  </r>
  <r>
    <x v="22"/>
    <x v="0"/>
    <s v="Combined Heat and Power, Electric Power"/>
    <x v="1"/>
    <n v="201405"/>
  </r>
  <r>
    <x v="22"/>
    <x v="0"/>
    <s v="Electric Generators, Independent Power Producers"/>
    <x v="0"/>
    <n v="18124"/>
  </r>
  <r>
    <x v="22"/>
    <x v="0"/>
    <s v="Electric Generators, Independent Power Producers"/>
    <x v="12"/>
    <n v="0"/>
  </r>
  <r>
    <x v="22"/>
    <x v="0"/>
    <s v="Electric Generators, Independent Power Producers"/>
    <x v="5"/>
    <n v="18124"/>
  </r>
  <r>
    <x v="22"/>
    <x v="0"/>
    <s v="Electric Generators, Electric Utilities"/>
    <x v="0"/>
    <n v="6361802"/>
  </r>
  <r>
    <x v="22"/>
    <x v="0"/>
    <s v="Electric Generators, Electric Utilities"/>
    <x v="1"/>
    <n v="215310"/>
  </r>
  <r>
    <x v="22"/>
    <x v="0"/>
    <s v="Electric Generators, Electric Utilities"/>
    <x v="2"/>
    <n v="1575045"/>
  </r>
  <r>
    <x v="22"/>
    <x v="0"/>
    <s v="Electric Generators, Electric Utilities"/>
    <x v="3"/>
    <n v="3566219"/>
  </r>
  <r>
    <x v="22"/>
    <x v="0"/>
    <s v="Electric Generators, Electric Utilities"/>
    <x v="12"/>
    <n v="0"/>
  </r>
  <r>
    <x v="22"/>
    <x v="0"/>
    <s v="Electric Generators, Electric Utilities"/>
    <x v="4"/>
    <n v="985960"/>
  </r>
  <r>
    <x v="22"/>
    <x v="0"/>
    <s v="Electric Generators, Electric Utilities"/>
    <x v="5"/>
    <n v="19268"/>
  </r>
  <r>
    <x v="22"/>
    <x v="1"/>
    <s v="Total Electric Power Industry"/>
    <x v="0"/>
    <n v="152878688"/>
  </r>
  <r>
    <x v="22"/>
    <x v="1"/>
    <s v="Total Electric Power Industry"/>
    <x v="1"/>
    <n v="45606920"/>
  </r>
  <r>
    <x v="22"/>
    <x v="1"/>
    <s v="Total Electric Power Industry"/>
    <x v="2"/>
    <n v="7435223"/>
  </r>
  <r>
    <x v="22"/>
    <x v="1"/>
    <s v="Total Electric Power Industry"/>
    <x v="3"/>
    <n v="55705000"/>
  </r>
  <r>
    <x v="22"/>
    <x v="1"/>
    <s v="Total Electric Power Industry"/>
    <x v="7"/>
    <n v="40841212"/>
  </r>
  <r>
    <x v="22"/>
    <x v="1"/>
    <s v="Total Electric Power Industry"/>
    <x v="9"/>
    <n v="177652"/>
  </r>
  <r>
    <x v="22"/>
    <x v="1"/>
    <s v="Total Electric Power Industry"/>
    <x v="12"/>
    <n v="226543"/>
  </r>
  <r>
    <x v="22"/>
    <x v="1"/>
    <s v="Total Electric Power Industry"/>
    <x v="4"/>
    <n v="109583"/>
  </r>
  <r>
    <x v="22"/>
    <x v="1"/>
    <s v="Total Electric Power Industry"/>
    <x v="8"/>
    <n v="7789"/>
  </r>
  <r>
    <x v="22"/>
    <x v="1"/>
    <s v="Total Electric Power Industry"/>
    <x v="6"/>
    <n v="2768765"/>
  </r>
  <r>
    <x v="22"/>
    <x v="1"/>
    <s v="Combined Heat and Power, Industrial Power"/>
    <x v="0"/>
    <n v="4247306"/>
  </r>
  <r>
    <x v="22"/>
    <x v="1"/>
    <s v="Combined Heat and Power, Industrial Power"/>
    <x v="1"/>
    <n v="197189"/>
  </r>
  <r>
    <x v="22"/>
    <x v="1"/>
    <s v="Combined Heat and Power, Industrial Power"/>
    <x v="3"/>
    <n v="1025923"/>
  </r>
  <r>
    <x v="22"/>
    <x v="1"/>
    <s v="Combined Heat and Power, Industrial Power"/>
    <x v="9"/>
    <n v="177652"/>
  </r>
  <r>
    <x v="22"/>
    <x v="1"/>
    <s v="Combined Heat and Power, Industrial Power"/>
    <x v="12"/>
    <n v="226543"/>
  </r>
  <r>
    <x v="22"/>
    <x v="1"/>
    <s v="Combined Heat and Power, Industrial Power"/>
    <x v="4"/>
    <n v="34248"/>
  </r>
  <r>
    <x v="22"/>
    <x v="1"/>
    <s v="Combined Heat and Power, Industrial Power"/>
    <x v="8"/>
    <n v="7158"/>
  </r>
  <r>
    <x v="22"/>
    <x v="1"/>
    <s v="Combined Heat and Power, Industrial Power"/>
    <x v="6"/>
    <n v="2578593"/>
  </r>
  <r>
    <x v="22"/>
    <x v="1"/>
    <s v="Combined Heat and Power, Electric Power"/>
    <x v="0"/>
    <n v="4393369"/>
  </r>
  <r>
    <x v="22"/>
    <x v="1"/>
    <s v="Combined Heat and Power, Electric Power"/>
    <x v="1"/>
    <n v="31791"/>
  </r>
  <r>
    <x v="22"/>
    <x v="1"/>
    <s v="Combined Heat and Power, Electric Power"/>
    <x v="3"/>
    <n v="4171406"/>
  </r>
  <r>
    <x v="22"/>
    <x v="1"/>
    <s v="Combined Heat and Power, Electric Power"/>
    <x v="6"/>
    <n v="190172"/>
  </r>
  <r>
    <x v="22"/>
    <x v="1"/>
    <s v="Electric Generators, Independent Power Producers"/>
    <x v="0"/>
    <n v="35812766"/>
  </r>
  <r>
    <x v="22"/>
    <x v="1"/>
    <s v="Electric Generators, Independent Power Producers"/>
    <x v="3"/>
    <n v="35811289"/>
  </r>
  <r>
    <x v="22"/>
    <x v="1"/>
    <s v="Electric Generators, Independent Power Producers"/>
    <x v="4"/>
    <n v="1477"/>
  </r>
  <r>
    <x v="22"/>
    <x v="1"/>
    <s v="Electric Generators, Independent Power Producers"/>
    <x v="8"/>
    <n v="0"/>
  </r>
  <r>
    <x v="22"/>
    <x v="1"/>
    <s v="Electric Generators, Electric Utilities"/>
    <x v="0"/>
    <n v="108425247"/>
  </r>
  <r>
    <x v="22"/>
    <x v="1"/>
    <s v="Electric Generators, Electric Utilities"/>
    <x v="1"/>
    <n v="45377940"/>
  </r>
  <r>
    <x v="22"/>
    <x v="1"/>
    <s v="Electric Generators, Electric Utilities"/>
    <x v="2"/>
    <n v="7435223"/>
  </r>
  <r>
    <x v="22"/>
    <x v="1"/>
    <s v="Electric Generators, Electric Utilities"/>
    <x v="3"/>
    <n v="14696381"/>
  </r>
  <r>
    <x v="22"/>
    <x v="1"/>
    <s v="Electric Generators, Electric Utilities"/>
    <x v="7"/>
    <n v="40841212"/>
  </r>
  <r>
    <x v="22"/>
    <x v="1"/>
    <s v="Electric Generators, Electric Utilities"/>
    <x v="4"/>
    <n v="73859"/>
  </r>
  <r>
    <x v="22"/>
    <x v="1"/>
    <s v="Electric Generators, Electric Utilities"/>
    <x v="8"/>
    <n v="631"/>
  </r>
  <r>
    <x v="22"/>
    <x v="1"/>
    <s v="Electric Generators, Electric Utilities"/>
    <x v="6"/>
    <n v="0"/>
  </r>
  <r>
    <x v="22"/>
    <x v="2"/>
    <s v="Total Electric Power Industry"/>
    <x v="0"/>
    <n v="65005678"/>
  </r>
  <r>
    <x v="22"/>
    <x v="2"/>
    <s v="Total Electric Power Industry"/>
    <x v="1"/>
    <n v="28430930"/>
  </r>
  <r>
    <x v="22"/>
    <x v="2"/>
    <s v="Total Electric Power Industry"/>
    <x v="10"/>
    <n v="42410"/>
  </r>
  <r>
    <x v="22"/>
    <x v="2"/>
    <s v="Total Electric Power Industry"/>
    <x v="2"/>
    <n v="2198472"/>
  </r>
  <r>
    <x v="22"/>
    <x v="2"/>
    <s v="Total Electric Power Industry"/>
    <x v="3"/>
    <n v="17117413"/>
  </r>
  <r>
    <x v="22"/>
    <x v="2"/>
    <s v="Total Electric Power Industry"/>
    <x v="7"/>
    <n v="15493131"/>
  </r>
  <r>
    <x v="22"/>
    <x v="2"/>
    <s v="Total Electric Power Industry"/>
    <x v="12"/>
    <n v="30392"/>
  </r>
  <r>
    <x v="22"/>
    <x v="2"/>
    <s v="Total Electric Power Industry"/>
    <x v="4"/>
    <n v="32560"/>
  </r>
  <r>
    <x v="22"/>
    <x v="2"/>
    <s v="Total Electric Power Industry"/>
    <x v="8"/>
    <n v="70479"/>
  </r>
  <r>
    <x v="22"/>
    <x v="2"/>
    <s v="Total Electric Power Industry"/>
    <x v="6"/>
    <n v="1589891"/>
  </r>
  <r>
    <x v="22"/>
    <x v="2"/>
    <s v="Combined Heat and Power, Industrial Power"/>
    <x v="0"/>
    <n v="1942446"/>
  </r>
  <r>
    <x v="22"/>
    <x v="2"/>
    <s v="Combined Heat and Power, Industrial Power"/>
    <x v="1"/>
    <n v="98682"/>
  </r>
  <r>
    <x v="22"/>
    <x v="2"/>
    <s v="Combined Heat and Power, Industrial Power"/>
    <x v="3"/>
    <n v="222045"/>
  </r>
  <r>
    <x v="22"/>
    <x v="2"/>
    <s v="Combined Heat and Power, Industrial Power"/>
    <x v="12"/>
    <n v="30392"/>
  </r>
  <r>
    <x v="22"/>
    <x v="2"/>
    <s v="Combined Heat and Power, Industrial Power"/>
    <x v="4"/>
    <n v="1435"/>
  </r>
  <r>
    <x v="22"/>
    <x v="2"/>
    <s v="Combined Heat and Power, Industrial Power"/>
    <x v="8"/>
    <n v="0"/>
  </r>
  <r>
    <x v="22"/>
    <x v="2"/>
    <s v="Combined Heat and Power, Industrial Power"/>
    <x v="6"/>
    <n v="1589891"/>
  </r>
  <r>
    <x v="22"/>
    <x v="2"/>
    <s v="Combined Heat and Power, Commercial Power"/>
    <x v="0"/>
    <n v="6155"/>
  </r>
  <r>
    <x v="22"/>
    <x v="2"/>
    <s v="Combined Heat and Power, Commercial Power"/>
    <x v="3"/>
    <n v="589"/>
  </r>
  <r>
    <x v="22"/>
    <x v="2"/>
    <s v="Combined Heat and Power, Commercial Power"/>
    <x v="8"/>
    <n v="5566"/>
  </r>
  <r>
    <x v="22"/>
    <x v="2"/>
    <s v="Combined Heat and Power, Electric Power"/>
    <x v="0"/>
    <n v="1500191"/>
  </r>
  <r>
    <x v="22"/>
    <x v="2"/>
    <s v="Combined Heat and Power, Electric Power"/>
    <x v="3"/>
    <n v="1489105"/>
  </r>
  <r>
    <x v="22"/>
    <x v="2"/>
    <s v="Combined Heat and Power, Electric Power"/>
    <x v="8"/>
    <n v="11086"/>
  </r>
  <r>
    <x v="22"/>
    <x v="2"/>
    <s v="Electric Generators, Independent Power Producers"/>
    <x v="0"/>
    <n v="17366427"/>
  </r>
  <r>
    <x v="22"/>
    <x v="2"/>
    <s v="Electric Generators, Independent Power Producers"/>
    <x v="1"/>
    <n v="4353101"/>
  </r>
  <r>
    <x v="22"/>
    <x v="2"/>
    <s v="Electric Generators, Independent Power Producers"/>
    <x v="2"/>
    <n v="42871"/>
  </r>
  <r>
    <x v="22"/>
    <x v="2"/>
    <s v="Electric Generators, Independent Power Producers"/>
    <x v="3"/>
    <n v="12903201"/>
  </r>
  <r>
    <x v="22"/>
    <x v="2"/>
    <s v="Electric Generators, Independent Power Producers"/>
    <x v="4"/>
    <n v="13427"/>
  </r>
  <r>
    <x v="22"/>
    <x v="2"/>
    <s v="Electric Generators, Independent Power Producers"/>
    <x v="8"/>
    <n v="53827"/>
  </r>
  <r>
    <x v="22"/>
    <x v="2"/>
    <s v="Electric Generators, Electric Utilities"/>
    <x v="0"/>
    <n v="44190459"/>
  </r>
  <r>
    <x v="22"/>
    <x v="2"/>
    <s v="Electric Generators, Electric Utilities"/>
    <x v="1"/>
    <n v="23979147"/>
  </r>
  <r>
    <x v="22"/>
    <x v="2"/>
    <s v="Electric Generators, Electric Utilities"/>
    <x v="10"/>
    <n v="42410"/>
  </r>
  <r>
    <x v="22"/>
    <x v="2"/>
    <s v="Electric Generators, Electric Utilities"/>
    <x v="2"/>
    <n v="2155601"/>
  </r>
  <r>
    <x v="22"/>
    <x v="2"/>
    <s v="Electric Generators, Electric Utilities"/>
    <x v="3"/>
    <n v="2502473"/>
  </r>
  <r>
    <x v="22"/>
    <x v="2"/>
    <s v="Electric Generators, Electric Utilities"/>
    <x v="7"/>
    <n v="15493131"/>
  </r>
  <r>
    <x v="22"/>
    <x v="2"/>
    <s v="Electric Generators, Electric Utilities"/>
    <x v="4"/>
    <n v="17697"/>
  </r>
  <r>
    <x v="22"/>
    <x v="3"/>
    <s v="Total Electric Power Industry"/>
    <x v="0"/>
    <n v="110904994"/>
  </r>
  <r>
    <x v="22"/>
    <x v="3"/>
    <s v="Total Electric Power Industry"/>
    <x v="1"/>
    <n v="40115665"/>
  </r>
  <r>
    <x v="22"/>
    <x v="3"/>
    <s v="Total Electric Power Industry"/>
    <x v="10"/>
    <n v="79445"/>
  </r>
  <r>
    <x v="22"/>
    <x v="3"/>
    <s v="Total Electric Power Industry"/>
    <x v="2"/>
    <n v="6716934"/>
  </r>
  <r>
    <x v="22"/>
    <x v="3"/>
    <s v="Total Electric Power Industry"/>
    <x v="3"/>
    <n v="30295010"/>
  </r>
  <r>
    <x v="22"/>
    <x v="3"/>
    <s v="Total Electric Power Industry"/>
    <x v="7"/>
    <n v="31933916"/>
  </r>
  <r>
    <x v="22"/>
    <x v="3"/>
    <s v="Total Electric Power Industry"/>
    <x v="12"/>
    <n v="24459"/>
  </r>
  <r>
    <x v="22"/>
    <x v="3"/>
    <s v="Total Electric Power Industry"/>
    <x v="4"/>
    <n v="41912"/>
  </r>
  <r>
    <x v="22"/>
    <x v="3"/>
    <s v="Total Electric Power Industry"/>
    <x v="13"/>
    <n v="955443"/>
  </r>
  <r>
    <x v="22"/>
    <x v="3"/>
    <s v="Total Electric Power Industry"/>
    <x v="8"/>
    <n v="53872"/>
  </r>
  <r>
    <x v="22"/>
    <x v="3"/>
    <s v="Total Electric Power Industry"/>
    <x v="5"/>
    <n v="531640"/>
  </r>
  <r>
    <x v="22"/>
    <x v="3"/>
    <s v="Total Electric Power Industry"/>
    <x v="6"/>
    <n v="156697"/>
  </r>
  <r>
    <x v="22"/>
    <x v="3"/>
    <s v="Combined Heat and Power, Industrial Power"/>
    <x v="0"/>
    <n v="192852"/>
  </r>
  <r>
    <x v="22"/>
    <x v="3"/>
    <s v="Combined Heat and Power, Industrial Power"/>
    <x v="1"/>
    <n v="185179"/>
  </r>
  <r>
    <x v="22"/>
    <x v="3"/>
    <s v="Combined Heat and Power, Industrial Power"/>
    <x v="3"/>
    <n v="6602"/>
  </r>
  <r>
    <x v="22"/>
    <x v="3"/>
    <s v="Combined Heat and Power, Industrial Power"/>
    <x v="4"/>
    <n v="1071"/>
  </r>
  <r>
    <x v="22"/>
    <x v="3"/>
    <s v="Combined Heat and Power, Commercial Power"/>
    <x v="0"/>
    <n v="120974"/>
  </r>
  <r>
    <x v="22"/>
    <x v="3"/>
    <s v="Combined Heat and Power, Commercial Power"/>
    <x v="3"/>
    <n v="113232"/>
  </r>
  <r>
    <x v="22"/>
    <x v="3"/>
    <s v="Combined Heat and Power, Commercial Power"/>
    <x v="4"/>
    <n v="45"/>
  </r>
  <r>
    <x v="22"/>
    <x v="3"/>
    <s v="Combined Heat and Power, Commercial Power"/>
    <x v="13"/>
    <n v="4418"/>
  </r>
  <r>
    <x v="22"/>
    <x v="3"/>
    <s v="Combined Heat and Power, Commercial Power"/>
    <x v="8"/>
    <n v="3279"/>
  </r>
  <r>
    <x v="22"/>
    <x v="3"/>
    <s v="Combined Heat and Power, Electric Power"/>
    <x v="0"/>
    <n v="83912"/>
  </r>
  <r>
    <x v="22"/>
    <x v="3"/>
    <s v="Combined Heat and Power, Electric Power"/>
    <x v="3"/>
    <n v="83912"/>
  </r>
  <r>
    <x v="22"/>
    <x v="3"/>
    <s v="Electric Generators, Independent Power Producers"/>
    <x v="0"/>
    <n v="17707505"/>
  </r>
  <r>
    <x v="22"/>
    <x v="3"/>
    <s v="Electric Generators, Independent Power Producers"/>
    <x v="3"/>
    <n v="16180688"/>
  </r>
  <r>
    <x v="22"/>
    <x v="3"/>
    <s v="Electric Generators, Independent Power Producers"/>
    <x v="12"/>
    <n v="24459"/>
  </r>
  <r>
    <x v="22"/>
    <x v="3"/>
    <s v="Electric Generators, Independent Power Producers"/>
    <x v="13"/>
    <n v="789389"/>
  </r>
  <r>
    <x v="22"/>
    <x v="3"/>
    <s v="Electric Generators, Independent Power Producers"/>
    <x v="8"/>
    <n v="24632"/>
  </r>
  <r>
    <x v="22"/>
    <x v="3"/>
    <s v="Electric Generators, Independent Power Producers"/>
    <x v="5"/>
    <n v="531640"/>
  </r>
  <r>
    <x v="22"/>
    <x v="3"/>
    <s v="Electric Generators, Independent Power Producers"/>
    <x v="6"/>
    <n v="156697"/>
  </r>
  <r>
    <x v="22"/>
    <x v="3"/>
    <s v="Electric Generators, Electric Utilities"/>
    <x v="0"/>
    <n v="92799750"/>
  </r>
  <r>
    <x v="22"/>
    <x v="3"/>
    <s v="Electric Generators, Electric Utilities"/>
    <x v="1"/>
    <n v="39930486"/>
  </r>
  <r>
    <x v="22"/>
    <x v="3"/>
    <s v="Electric Generators, Electric Utilities"/>
    <x v="10"/>
    <n v="79445"/>
  </r>
  <r>
    <x v="22"/>
    <x v="3"/>
    <s v="Electric Generators, Electric Utilities"/>
    <x v="2"/>
    <n v="6716934"/>
  </r>
  <r>
    <x v="22"/>
    <x v="3"/>
    <s v="Electric Generators, Electric Utilities"/>
    <x v="3"/>
    <n v="13910576"/>
  </r>
  <r>
    <x v="22"/>
    <x v="3"/>
    <s v="Electric Generators, Electric Utilities"/>
    <x v="7"/>
    <n v="31933916"/>
  </r>
  <r>
    <x v="22"/>
    <x v="3"/>
    <s v="Electric Generators, Electric Utilities"/>
    <x v="4"/>
    <n v="40796"/>
  </r>
  <r>
    <x v="22"/>
    <x v="3"/>
    <s v="Electric Generators, Electric Utilities"/>
    <x v="13"/>
    <n v="161636"/>
  </r>
  <r>
    <x v="22"/>
    <x v="3"/>
    <s v="Electric Generators, Electric Utilities"/>
    <x v="8"/>
    <n v="25961"/>
  </r>
  <r>
    <x v="22"/>
    <x v="4"/>
    <s v="Total Electric Power Industry"/>
    <x v="0"/>
    <n v="199518567"/>
  </r>
  <r>
    <x v="22"/>
    <x v="4"/>
    <s v="Total Electric Power Industry"/>
    <x v="1"/>
    <n v="1375083"/>
  </r>
  <r>
    <x v="22"/>
    <x v="4"/>
    <s v="Total Electric Power Industry"/>
    <x v="11"/>
    <n v="12518999"/>
  </r>
  <r>
    <x v="22"/>
    <x v="4"/>
    <s v="Total Electric Power Industry"/>
    <x v="10"/>
    <n v="574859"/>
  </r>
  <r>
    <x v="22"/>
    <x v="4"/>
    <s v="Total Electric Power Industry"/>
    <x v="2"/>
    <n v="26837370"/>
  </r>
  <r>
    <x v="22"/>
    <x v="4"/>
    <s v="Total Electric Power Industry"/>
    <x v="3"/>
    <n v="119668329"/>
  </r>
  <r>
    <x v="22"/>
    <x v="4"/>
    <s v="Total Electric Power Industry"/>
    <x v="7"/>
    <n v="18507408"/>
  </r>
  <r>
    <x v="22"/>
    <x v="4"/>
    <s v="Total Electric Power Industry"/>
    <x v="9"/>
    <n v="1484164"/>
  </r>
  <r>
    <x v="22"/>
    <x v="4"/>
    <s v="Total Electric Power Industry"/>
    <x v="12"/>
    <n v="814686"/>
  </r>
  <r>
    <x v="22"/>
    <x v="4"/>
    <s v="Total Electric Power Industry"/>
    <x v="4"/>
    <n v="289823"/>
  </r>
  <r>
    <x v="22"/>
    <x v="4"/>
    <s v="Total Electric Power Industry"/>
    <x v="13"/>
    <n v="1382300"/>
  </r>
  <r>
    <x v="22"/>
    <x v="4"/>
    <s v="Total Electric Power Industry"/>
    <x v="8"/>
    <n v="2513721"/>
  </r>
  <r>
    <x v="22"/>
    <x v="4"/>
    <s v="Total Electric Power Industry"/>
    <x v="5"/>
    <n v="9754230"/>
  </r>
  <r>
    <x v="22"/>
    <x v="4"/>
    <s v="Total Electric Power Industry"/>
    <x v="6"/>
    <n v="3797596"/>
  </r>
  <r>
    <x v="22"/>
    <x v="4"/>
    <s v="Combined Heat and Power, Industrial Power"/>
    <x v="0"/>
    <n v="15400490"/>
  </r>
  <r>
    <x v="22"/>
    <x v="4"/>
    <s v="Combined Heat and Power, Industrial Power"/>
    <x v="1"/>
    <n v="370555"/>
  </r>
  <r>
    <x v="22"/>
    <x v="4"/>
    <s v="Combined Heat and Power, Industrial Power"/>
    <x v="3"/>
    <n v="12104255"/>
  </r>
  <r>
    <x v="22"/>
    <x v="4"/>
    <s v="Combined Heat and Power, Industrial Power"/>
    <x v="9"/>
    <n v="1483886"/>
  </r>
  <r>
    <x v="22"/>
    <x v="4"/>
    <s v="Combined Heat and Power, Industrial Power"/>
    <x v="12"/>
    <n v="657184"/>
  </r>
  <r>
    <x v="22"/>
    <x v="4"/>
    <s v="Combined Heat and Power, Industrial Power"/>
    <x v="4"/>
    <n v="1767"/>
  </r>
  <r>
    <x v="22"/>
    <x v="4"/>
    <s v="Combined Heat and Power, Industrial Power"/>
    <x v="13"/>
    <n v="3776"/>
  </r>
  <r>
    <x v="22"/>
    <x v="4"/>
    <s v="Combined Heat and Power, Industrial Power"/>
    <x v="8"/>
    <n v="7295"/>
  </r>
  <r>
    <x v="22"/>
    <x v="4"/>
    <s v="Combined Heat and Power, Industrial Power"/>
    <x v="5"/>
    <n v="78"/>
  </r>
  <r>
    <x v="22"/>
    <x v="4"/>
    <s v="Combined Heat and Power, Industrial Power"/>
    <x v="6"/>
    <n v="771694"/>
  </r>
  <r>
    <x v="22"/>
    <x v="4"/>
    <s v="Combined Heat and Power, Commercial Power"/>
    <x v="0"/>
    <n v="2894426"/>
  </r>
  <r>
    <x v="22"/>
    <x v="4"/>
    <s v="Combined Heat and Power, Commercial Power"/>
    <x v="2"/>
    <n v="2780"/>
  </r>
  <r>
    <x v="22"/>
    <x v="4"/>
    <s v="Combined Heat and Power, Commercial Power"/>
    <x v="3"/>
    <n v="1781644"/>
  </r>
  <r>
    <x v="22"/>
    <x v="4"/>
    <s v="Combined Heat and Power, Commercial Power"/>
    <x v="9"/>
    <n v="0"/>
  </r>
  <r>
    <x v="22"/>
    <x v="4"/>
    <s v="Combined Heat and Power, Commercial Power"/>
    <x v="12"/>
    <n v="0"/>
  </r>
  <r>
    <x v="22"/>
    <x v="4"/>
    <s v="Combined Heat and Power, Commercial Power"/>
    <x v="4"/>
    <n v="85887"/>
  </r>
  <r>
    <x v="22"/>
    <x v="4"/>
    <s v="Combined Heat and Power, Commercial Power"/>
    <x v="13"/>
    <n v="50504"/>
  </r>
  <r>
    <x v="22"/>
    <x v="4"/>
    <s v="Combined Heat and Power, Commercial Power"/>
    <x v="8"/>
    <n v="973597"/>
  </r>
  <r>
    <x v="22"/>
    <x v="4"/>
    <s v="Combined Heat and Power, Commercial Power"/>
    <x v="5"/>
    <n v="15"/>
  </r>
  <r>
    <x v="22"/>
    <x v="4"/>
    <s v="Combined Heat and Power, Electric Power"/>
    <x v="0"/>
    <n v="18163487"/>
  </r>
  <r>
    <x v="22"/>
    <x v="4"/>
    <s v="Combined Heat and Power, Electric Power"/>
    <x v="1"/>
    <n v="1004528"/>
  </r>
  <r>
    <x v="22"/>
    <x v="4"/>
    <s v="Combined Heat and Power, Electric Power"/>
    <x v="3"/>
    <n v="16314066"/>
  </r>
  <r>
    <x v="22"/>
    <x v="4"/>
    <s v="Combined Heat and Power, Electric Power"/>
    <x v="12"/>
    <n v="113303"/>
  </r>
  <r>
    <x v="22"/>
    <x v="4"/>
    <s v="Combined Heat and Power, Electric Power"/>
    <x v="4"/>
    <n v="76375"/>
  </r>
  <r>
    <x v="22"/>
    <x v="4"/>
    <s v="Combined Heat and Power, Electric Power"/>
    <x v="8"/>
    <n v="228342"/>
  </r>
  <r>
    <x v="22"/>
    <x v="4"/>
    <s v="Combined Heat and Power, Electric Power"/>
    <x v="6"/>
    <n v="426872"/>
  </r>
  <r>
    <x v="22"/>
    <x v="4"/>
    <s v="Electric Generators, Independent Power Producers"/>
    <x v="0"/>
    <n v="80574100"/>
  </r>
  <r>
    <x v="22"/>
    <x v="4"/>
    <s v="Electric Generators, Independent Power Producers"/>
    <x v="1"/>
    <n v="0"/>
  </r>
  <r>
    <x v="22"/>
    <x v="4"/>
    <s v="Electric Generators, Independent Power Producers"/>
    <x v="11"/>
    <n v="11644158"/>
  </r>
  <r>
    <x v="22"/>
    <x v="4"/>
    <s v="Electric Generators, Independent Power Producers"/>
    <x v="2"/>
    <n v="1286099"/>
  </r>
  <r>
    <x v="22"/>
    <x v="4"/>
    <s v="Electric Generators, Independent Power Producers"/>
    <x v="3"/>
    <n v="53751565"/>
  </r>
  <r>
    <x v="22"/>
    <x v="4"/>
    <s v="Electric Generators, Independent Power Producers"/>
    <x v="12"/>
    <n v="44198"/>
  </r>
  <r>
    <x v="22"/>
    <x v="4"/>
    <s v="Electric Generators, Independent Power Producers"/>
    <x v="4"/>
    <n v="92067"/>
  </r>
  <r>
    <x v="22"/>
    <x v="4"/>
    <s v="Electric Generators, Independent Power Producers"/>
    <x v="13"/>
    <n v="1125867"/>
  </r>
  <r>
    <x v="22"/>
    <x v="4"/>
    <s v="Electric Generators, Independent Power Producers"/>
    <x v="8"/>
    <n v="1073700"/>
  </r>
  <r>
    <x v="22"/>
    <x v="4"/>
    <s v="Electric Generators, Independent Power Producers"/>
    <x v="5"/>
    <n v="8957417"/>
  </r>
  <r>
    <x v="22"/>
    <x v="4"/>
    <s v="Electric Generators, Independent Power Producers"/>
    <x v="6"/>
    <n v="2599030"/>
  </r>
  <r>
    <x v="22"/>
    <x v="4"/>
    <s v="Electric Generators, Electric Utilities"/>
    <x v="0"/>
    <n v="82486064"/>
  </r>
  <r>
    <x v="22"/>
    <x v="4"/>
    <s v="Electric Generators, Electric Utilities"/>
    <x v="11"/>
    <n v="874841"/>
  </r>
  <r>
    <x v="22"/>
    <x v="4"/>
    <s v="Electric Generators, Electric Utilities"/>
    <x v="10"/>
    <n v="574859"/>
  </r>
  <r>
    <x v="22"/>
    <x v="4"/>
    <s v="Electric Generators, Electric Utilities"/>
    <x v="2"/>
    <n v="25548491"/>
  </r>
  <r>
    <x v="22"/>
    <x v="4"/>
    <s v="Electric Generators, Electric Utilities"/>
    <x v="3"/>
    <n v="35716800"/>
  </r>
  <r>
    <x v="22"/>
    <x v="4"/>
    <s v="Electric Generators, Electric Utilities"/>
    <x v="7"/>
    <n v="18507408"/>
  </r>
  <r>
    <x v="22"/>
    <x v="4"/>
    <s v="Electric Generators, Electric Utilities"/>
    <x v="9"/>
    <n v="277"/>
  </r>
  <r>
    <x v="22"/>
    <x v="4"/>
    <s v="Electric Generators, Electric Utilities"/>
    <x v="4"/>
    <n v="33727"/>
  </r>
  <r>
    <x v="22"/>
    <x v="4"/>
    <s v="Electric Generators, Electric Utilities"/>
    <x v="13"/>
    <n v="202153"/>
  </r>
  <r>
    <x v="22"/>
    <x v="4"/>
    <s v="Electric Generators, Electric Utilities"/>
    <x v="8"/>
    <n v="230788"/>
  </r>
  <r>
    <x v="22"/>
    <x v="4"/>
    <s v="Electric Generators, Electric Utilities"/>
    <x v="5"/>
    <n v="796720"/>
  </r>
  <r>
    <x v="22"/>
    <x v="5"/>
    <s v="Total Electric Power Industry"/>
    <x v="0"/>
    <n v="52556701"/>
  </r>
  <r>
    <x v="22"/>
    <x v="5"/>
    <s v="Total Electric Power Industry"/>
    <x v="1"/>
    <n v="34521020"/>
  </r>
  <r>
    <x v="22"/>
    <x v="5"/>
    <s v="Total Electric Power Industry"/>
    <x v="10"/>
    <n v="-244468"/>
  </r>
  <r>
    <x v="22"/>
    <x v="5"/>
    <s v="Total Electric Power Industry"/>
    <x v="2"/>
    <n v="1497209"/>
  </r>
  <r>
    <x v="22"/>
    <x v="5"/>
    <s v="Total Electric Power Industry"/>
    <x v="3"/>
    <n v="10524445"/>
  </r>
  <r>
    <x v="22"/>
    <x v="5"/>
    <s v="Total Electric Power Industry"/>
    <x v="12"/>
    <n v="55368"/>
  </r>
  <r>
    <x v="22"/>
    <x v="5"/>
    <s v="Total Electric Power Industry"/>
    <x v="4"/>
    <n v="11045"/>
  </r>
  <r>
    <x v="22"/>
    <x v="5"/>
    <s v="Total Electric Power Industry"/>
    <x v="13"/>
    <n v="165449"/>
  </r>
  <r>
    <x v="22"/>
    <x v="5"/>
    <s v="Total Electric Power Industry"/>
    <x v="8"/>
    <n v="57722"/>
  </r>
  <r>
    <x v="22"/>
    <x v="5"/>
    <s v="Total Electric Power Industry"/>
    <x v="5"/>
    <n v="5968643"/>
  </r>
  <r>
    <x v="22"/>
    <x v="5"/>
    <s v="Total Electric Power Industry"/>
    <x v="6"/>
    <n v="267"/>
  </r>
  <r>
    <x v="22"/>
    <x v="5"/>
    <s v="Combined Heat and Power, Industrial Power"/>
    <x v="0"/>
    <n v="71953"/>
  </r>
  <r>
    <x v="22"/>
    <x v="5"/>
    <s v="Combined Heat and Power, Industrial Power"/>
    <x v="1"/>
    <n v="8326"/>
  </r>
  <r>
    <x v="22"/>
    <x v="5"/>
    <s v="Combined Heat and Power, Industrial Power"/>
    <x v="3"/>
    <n v="15570"/>
  </r>
  <r>
    <x v="22"/>
    <x v="5"/>
    <s v="Combined Heat and Power, Industrial Power"/>
    <x v="12"/>
    <n v="44669"/>
  </r>
  <r>
    <x v="22"/>
    <x v="5"/>
    <s v="Combined Heat and Power, Industrial Power"/>
    <x v="4"/>
    <n v="7"/>
  </r>
  <r>
    <x v="22"/>
    <x v="5"/>
    <s v="Combined Heat and Power, Industrial Power"/>
    <x v="5"/>
    <n v="3381"/>
  </r>
  <r>
    <x v="22"/>
    <x v="5"/>
    <s v="Combined Heat and Power, Commercial Power"/>
    <x v="0"/>
    <n v="24979"/>
  </r>
  <r>
    <x v="22"/>
    <x v="5"/>
    <s v="Combined Heat and Power, Commercial Power"/>
    <x v="3"/>
    <n v="3925"/>
  </r>
  <r>
    <x v="22"/>
    <x v="5"/>
    <s v="Combined Heat and Power, Commercial Power"/>
    <x v="4"/>
    <n v="0"/>
  </r>
  <r>
    <x v="22"/>
    <x v="5"/>
    <s v="Combined Heat and Power, Commercial Power"/>
    <x v="13"/>
    <n v="15617"/>
  </r>
  <r>
    <x v="22"/>
    <x v="5"/>
    <s v="Combined Heat and Power, Commercial Power"/>
    <x v="5"/>
    <n v="5437"/>
  </r>
  <r>
    <x v="22"/>
    <x v="5"/>
    <s v="Combined Heat and Power, Electric Power"/>
    <x v="0"/>
    <n v="366360"/>
  </r>
  <r>
    <x v="22"/>
    <x v="5"/>
    <s v="Combined Heat and Power, Electric Power"/>
    <x v="1"/>
    <n v="141588"/>
  </r>
  <r>
    <x v="22"/>
    <x v="5"/>
    <s v="Combined Heat and Power, Electric Power"/>
    <x v="3"/>
    <n v="188529"/>
  </r>
  <r>
    <x v="22"/>
    <x v="5"/>
    <s v="Combined Heat and Power, Electric Power"/>
    <x v="4"/>
    <n v="0"/>
  </r>
  <r>
    <x v="22"/>
    <x v="5"/>
    <s v="Combined Heat and Power, Electric Power"/>
    <x v="8"/>
    <n v="36242"/>
  </r>
  <r>
    <x v="22"/>
    <x v="5"/>
    <s v="Electric Generators, Independent Power Producers"/>
    <x v="0"/>
    <n v="10553949"/>
  </r>
  <r>
    <x v="22"/>
    <x v="5"/>
    <s v="Electric Generators, Independent Power Producers"/>
    <x v="2"/>
    <n v="67527"/>
  </r>
  <r>
    <x v="22"/>
    <x v="5"/>
    <s v="Electric Generators, Independent Power Producers"/>
    <x v="3"/>
    <n v="4418876"/>
  </r>
  <r>
    <x v="22"/>
    <x v="5"/>
    <s v="Electric Generators, Independent Power Producers"/>
    <x v="12"/>
    <n v="10699"/>
  </r>
  <r>
    <x v="22"/>
    <x v="5"/>
    <s v="Electric Generators, Independent Power Producers"/>
    <x v="4"/>
    <n v="-78"/>
  </r>
  <r>
    <x v="22"/>
    <x v="5"/>
    <s v="Electric Generators, Independent Power Producers"/>
    <x v="13"/>
    <n v="149832"/>
  </r>
  <r>
    <x v="22"/>
    <x v="5"/>
    <s v="Electric Generators, Independent Power Producers"/>
    <x v="8"/>
    <n v="21480"/>
  </r>
  <r>
    <x v="22"/>
    <x v="5"/>
    <s v="Electric Generators, Independent Power Producers"/>
    <x v="5"/>
    <n v="5885613"/>
  </r>
  <r>
    <x v="22"/>
    <x v="5"/>
    <s v="Electric Generators, Electric Utilities"/>
    <x v="0"/>
    <n v="41539461"/>
  </r>
  <r>
    <x v="22"/>
    <x v="5"/>
    <s v="Electric Generators, Electric Utilities"/>
    <x v="1"/>
    <n v="34371107"/>
  </r>
  <r>
    <x v="22"/>
    <x v="5"/>
    <s v="Electric Generators, Electric Utilities"/>
    <x v="10"/>
    <n v="-244468"/>
  </r>
  <r>
    <x v="22"/>
    <x v="5"/>
    <s v="Electric Generators, Electric Utilities"/>
    <x v="2"/>
    <n v="1429682"/>
  </r>
  <r>
    <x v="22"/>
    <x v="5"/>
    <s v="Electric Generators, Electric Utilities"/>
    <x v="3"/>
    <n v="5897545"/>
  </r>
  <r>
    <x v="22"/>
    <x v="5"/>
    <s v="Electric Generators, Electric Utilities"/>
    <x v="4"/>
    <n v="11116"/>
  </r>
  <r>
    <x v="22"/>
    <x v="5"/>
    <s v="Electric Generators, Electric Utilities"/>
    <x v="5"/>
    <n v="74212"/>
  </r>
  <r>
    <x v="22"/>
    <x v="5"/>
    <s v="Electric Generators, Electric Utilities"/>
    <x v="6"/>
    <n v="267"/>
  </r>
  <r>
    <x v="22"/>
    <x v="6"/>
    <s v="Total Electric Power Industry"/>
    <x v="0"/>
    <n v="36117544"/>
  </r>
  <r>
    <x v="22"/>
    <x v="6"/>
    <s v="Total Electric Power Industry"/>
    <x v="1"/>
    <n v="652886"/>
  </r>
  <r>
    <x v="22"/>
    <x v="6"/>
    <s v="Total Electric Power Industry"/>
    <x v="10"/>
    <n v="2716"/>
  </r>
  <r>
    <x v="22"/>
    <x v="6"/>
    <s v="Total Electric Power Industry"/>
    <x v="2"/>
    <n v="312141"/>
  </r>
  <r>
    <x v="22"/>
    <x v="6"/>
    <s v="Total Electric Power Industry"/>
    <x v="3"/>
    <n v="16537169"/>
  </r>
  <r>
    <x v="22"/>
    <x v="6"/>
    <s v="Total Electric Power Industry"/>
    <x v="7"/>
    <n v="17077887"/>
  </r>
  <r>
    <x v="22"/>
    <x v="6"/>
    <s v="Total Electric Power Industry"/>
    <x v="12"/>
    <n v="756487"/>
  </r>
  <r>
    <x v="22"/>
    <x v="6"/>
    <s v="Total Electric Power Industry"/>
    <x v="4"/>
    <n v="111733"/>
  </r>
  <r>
    <x v="22"/>
    <x v="6"/>
    <s v="Total Electric Power Industry"/>
    <x v="8"/>
    <n v="665789"/>
  </r>
  <r>
    <x v="22"/>
    <x v="6"/>
    <s v="Total Electric Power Industry"/>
    <x v="6"/>
    <n v="736"/>
  </r>
  <r>
    <x v="22"/>
    <x v="6"/>
    <s v="Combined Heat and Power, Industrial Power"/>
    <x v="0"/>
    <n v="336681"/>
  </r>
  <r>
    <x v="22"/>
    <x v="6"/>
    <s v="Combined Heat and Power, Industrial Power"/>
    <x v="3"/>
    <n v="333127"/>
  </r>
  <r>
    <x v="22"/>
    <x v="6"/>
    <s v="Combined Heat and Power, Industrial Power"/>
    <x v="12"/>
    <n v="0"/>
  </r>
  <r>
    <x v="22"/>
    <x v="6"/>
    <s v="Combined Heat and Power, Industrial Power"/>
    <x v="4"/>
    <n v="3554"/>
  </r>
  <r>
    <x v="22"/>
    <x v="6"/>
    <s v="Combined Heat and Power, Commercial Power"/>
    <x v="0"/>
    <n v="396574"/>
  </r>
  <r>
    <x v="22"/>
    <x v="6"/>
    <s v="Combined Heat and Power, Commercial Power"/>
    <x v="3"/>
    <n v="396519"/>
  </r>
  <r>
    <x v="22"/>
    <x v="6"/>
    <s v="Combined Heat and Power, Commercial Power"/>
    <x v="4"/>
    <n v="55"/>
  </r>
  <r>
    <x v="22"/>
    <x v="6"/>
    <s v="Combined Heat and Power, Electric Power"/>
    <x v="0"/>
    <n v="780874"/>
  </r>
  <r>
    <x v="22"/>
    <x v="6"/>
    <s v="Combined Heat and Power, Electric Power"/>
    <x v="1"/>
    <n v="557011"/>
  </r>
  <r>
    <x v="22"/>
    <x v="6"/>
    <s v="Combined Heat and Power, Electric Power"/>
    <x v="3"/>
    <n v="219655"/>
  </r>
  <r>
    <x v="22"/>
    <x v="6"/>
    <s v="Combined Heat and Power, Electric Power"/>
    <x v="4"/>
    <n v="4207"/>
  </r>
  <r>
    <x v="22"/>
    <x v="6"/>
    <s v="Electric Generators, Independent Power Producers"/>
    <x v="0"/>
    <n v="34566599"/>
  </r>
  <r>
    <x v="22"/>
    <x v="6"/>
    <s v="Electric Generators, Independent Power Producers"/>
    <x v="1"/>
    <n v="95875"/>
  </r>
  <r>
    <x v="22"/>
    <x v="6"/>
    <s v="Electric Generators, Independent Power Producers"/>
    <x v="10"/>
    <n v="2716"/>
  </r>
  <r>
    <x v="22"/>
    <x v="6"/>
    <s v="Electric Generators, Independent Power Producers"/>
    <x v="2"/>
    <n v="285629"/>
  </r>
  <r>
    <x v="22"/>
    <x v="6"/>
    <s v="Electric Generators, Independent Power Producers"/>
    <x v="3"/>
    <n v="15581812"/>
  </r>
  <r>
    <x v="22"/>
    <x v="6"/>
    <s v="Electric Generators, Independent Power Producers"/>
    <x v="7"/>
    <n v="17077887"/>
  </r>
  <r>
    <x v="22"/>
    <x v="6"/>
    <s v="Electric Generators, Independent Power Producers"/>
    <x v="12"/>
    <n v="756487"/>
  </r>
  <r>
    <x v="22"/>
    <x v="6"/>
    <s v="Electric Generators, Independent Power Producers"/>
    <x v="4"/>
    <n v="99667"/>
  </r>
  <r>
    <x v="22"/>
    <x v="6"/>
    <s v="Electric Generators, Independent Power Producers"/>
    <x v="8"/>
    <n v="665789"/>
  </r>
  <r>
    <x v="22"/>
    <x v="6"/>
    <s v="Electric Generators, Independent Power Producers"/>
    <x v="6"/>
    <n v="736"/>
  </r>
  <r>
    <x v="22"/>
    <x v="6"/>
    <s v="Electric Generators, Electric Utilities"/>
    <x v="0"/>
    <n v="36816"/>
  </r>
  <r>
    <x v="22"/>
    <x v="6"/>
    <s v="Electric Generators, Electric Utilities"/>
    <x v="2"/>
    <n v="26512"/>
  </r>
  <r>
    <x v="22"/>
    <x v="6"/>
    <s v="Electric Generators, Electric Utilities"/>
    <x v="3"/>
    <n v="6055"/>
  </r>
  <r>
    <x v="22"/>
    <x v="6"/>
    <s v="Electric Generators, Electric Utilities"/>
    <x v="4"/>
    <n v="4249"/>
  </r>
  <r>
    <x v="22"/>
    <x v="7"/>
    <s v="Total Electric Power Industry"/>
    <x v="0"/>
    <n v="71787"/>
  </r>
  <r>
    <x v="22"/>
    <x v="7"/>
    <s v="Total Electric Power Industry"/>
    <x v="3"/>
    <n v="62388"/>
  </r>
  <r>
    <x v="22"/>
    <x v="7"/>
    <s v="Total Electric Power Industry"/>
    <x v="4"/>
    <n v="9399"/>
  </r>
  <r>
    <x v="22"/>
    <x v="7"/>
    <s v="Combined Heat and Power, Commercial Power"/>
    <x v="0"/>
    <n v="62388"/>
  </r>
  <r>
    <x v="22"/>
    <x v="7"/>
    <s v="Combined Heat and Power, Commercial Power"/>
    <x v="3"/>
    <n v="62388"/>
  </r>
  <r>
    <x v="22"/>
    <x v="7"/>
    <s v="Combined Heat and Power, Commercial Power"/>
    <x v="4"/>
    <n v="0"/>
  </r>
  <r>
    <x v="22"/>
    <x v="7"/>
    <s v="Electric Generators, Independent Power Producers"/>
    <x v="0"/>
    <n v="9399"/>
  </r>
  <r>
    <x v="22"/>
    <x v="7"/>
    <s v="Electric Generators, Independent Power Producers"/>
    <x v="4"/>
    <n v="9399"/>
  </r>
  <r>
    <x v="22"/>
    <x v="8"/>
    <s v="Total Electric Power Industry"/>
    <x v="0"/>
    <n v="8633694"/>
  </r>
  <r>
    <x v="22"/>
    <x v="8"/>
    <s v="Total Electric Power Industry"/>
    <x v="1"/>
    <n v="1422703"/>
  </r>
  <r>
    <x v="22"/>
    <x v="8"/>
    <s v="Total Electric Power Industry"/>
    <x v="3"/>
    <n v="6814727"/>
  </r>
  <r>
    <x v="22"/>
    <x v="8"/>
    <s v="Total Electric Power Industry"/>
    <x v="9"/>
    <n v="243589"/>
  </r>
  <r>
    <x v="22"/>
    <x v="8"/>
    <s v="Total Electric Power Industry"/>
    <x v="4"/>
    <n v="21624"/>
  </r>
  <r>
    <x v="22"/>
    <x v="8"/>
    <s v="Total Electric Power Industry"/>
    <x v="13"/>
    <n v="22559"/>
  </r>
  <r>
    <x v="22"/>
    <x v="8"/>
    <s v="Total Electric Power Industry"/>
    <x v="8"/>
    <n v="104854"/>
  </r>
  <r>
    <x v="22"/>
    <x v="8"/>
    <s v="Total Electric Power Industry"/>
    <x v="5"/>
    <n v="3638"/>
  </r>
  <r>
    <x v="22"/>
    <x v="8"/>
    <s v="Combined Heat and Power, Industrial Power"/>
    <x v="0"/>
    <n v="771380"/>
  </r>
  <r>
    <x v="22"/>
    <x v="8"/>
    <s v="Combined Heat and Power, Industrial Power"/>
    <x v="3"/>
    <n v="527791"/>
  </r>
  <r>
    <x v="22"/>
    <x v="8"/>
    <s v="Combined Heat and Power, Industrial Power"/>
    <x v="9"/>
    <n v="243589"/>
  </r>
  <r>
    <x v="22"/>
    <x v="8"/>
    <s v="Combined Heat and Power, Industrial Power"/>
    <x v="4"/>
    <n v="0"/>
  </r>
  <r>
    <x v="22"/>
    <x v="8"/>
    <s v="Combined Heat and Power, Commercial Power"/>
    <x v="0"/>
    <n v="3638"/>
  </r>
  <r>
    <x v="22"/>
    <x v="8"/>
    <s v="Combined Heat and Power, Commercial Power"/>
    <x v="5"/>
    <n v="3638"/>
  </r>
  <r>
    <x v="22"/>
    <x v="8"/>
    <s v="Combined Heat and Power, Electric Power"/>
    <x v="0"/>
    <n v="1143118"/>
  </r>
  <r>
    <x v="22"/>
    <x v="8"/>
    <s v="Combined Heat and Power, Electric Power"/>
    <x v="1"/>
    <n v="30226"/>
  </r>
  <r>
    <x v="22"/>
    <x v="8"/>
    <s v="Combined Heat and Power, Electric Power"/>
    <x v="3"/>
    <n v="1063172"/>
  </r>
  <r>
    <x v="22"/>
    <x v="8"/>
    <s v="Combined Heat and Power, Electric Power"/>
    <x v="4"/>
    <n v="6396"/>
  </r>
  <r>
    <x v="22"/>
    <x v="8"/>
    <s v="Combined Heat and Power, Electric Power"/>
    <x v="8"/>
    <n v="43324"/>
  </r>
  <r>
    <x v="22"/>
    <x v="8"/>
    <s v="Electric Generators, Independent Power Producers"/>
    <x v="0"/>
    <n v="6703123"/>
  </r>
  <r>
    <x v="22"/>
    <x v="8"/>
    <s v="Electric Generators, Independent Power Producers"/>
    <x v="1"/>
    <n v="1392477"/>
  </r>
  <r>
    <x v="22"/>
    <x v="8"/>
    <s v="Electric Generators, Independent Power Producers"/>
    <x v="3"/>
    <n v="5214316"/>
  </r>
  <r>
    <x v="22"/>
    <x v="8"/>
    <s v="Electric Generators, Independent Power Producers"/>
    <x v="4"/>
    <n v="14394"/>
  </r>
  <r>
    <x v="22"/>
    <x v="8"/>
    <s v="Electric Generators, Independent Power Producers"/>
    <x v="13"/>
    <n v="20407"/>
  </r>
  <r>
    <x v="22"/>
    <x v="8"/>
    <s v="Electric Generators, Independent Power Producers"/>
    <x v="8"/>
    <n v="61530"/>
  </r>
  <r>
    <x v="22"/>
    <x v="8"/>
    <s v="Electric Generators, Electric Utilities"/>
    <x v="0"/>
    <n v="12435"/>
  </r>
  <r>
    <x v="22"/>
    <x v="8"/>
    <s v="Electric Generators, Electric Utilities"/>
    <x v="3"/>
    <n v="9449"/>
  </r>
  <r>
    <x v="22"/>
    <x v="8"/>
    <s v="Electric Generators, Electric Utilities"/>
    <x v="4"/>
    <n v="834"/>
  </r>
  <r>
    <x v="22"/>
    <x v="8"/>
    <s v="Electric Generators, Electric Utilities"/>
    <x v="13"/>
    <n v="2152"/>
  </r>
  <r>
    <x v="22"/>
    <x v="9"/>
    <s v="Total Electric Power Industry"/>
    <x v="0"/>
    <n v="221096136"/>
  </r>
  <r>
    <x v="22"/>
    <x v="9"/>
    <s v="Total Electric Power Industry"/>
    <x v="1"/>
    <n v="44286391"/>
  </r>
  <r>
    <x v="22"/>
    <x v="9"/>
    <s v="Total Electric Power Industry"/>
    <x v="2"/>
    <n v="150511"/>
  </r>
  <r>
    <x v="22"/>
    <x v="9"/>
    <s v="Total Electric Power Industry"/>
    <x v="3"/>
    <n v="149699641"/>
  </r>
  <r>
    <x v="22"/>
    <x v="9"/>
    <s v="Total Electric Power Industry"/>
    <x v="7"/>
    <n v="17869935"/>
  </r>
  <r>
    <x v="22"/>
    <x v="9"/>
    <s v="Total Electric Power Industry"/>
    <x v="9"/>
    <n v="6054"/>
  </r>
  <r>
    <x v="22"/>
    <x v="9"/>
    <s v="Total Electric Power Industry"/>
    <x v="12"/>
    <n v="3193780"/>
  </r>
  <r>
    <x v="22"/>
    <x v="9"/>
    <s v="Total Electric Power Industry"/>
    <x v="4"/>
    <n v="1366026"/>
  </r>
  <r>
    <x v="22"/>
    <x v="9"/>
    <s v="Total Electric Power Industry"/>
    <x v="13"/>
    <n v="193616"/>
  </r>
  <r>
    <x v="22"/>
    <x v="9"/>
    <s v="Total Electric Power Industry"/>
    <x v="8"/>
    <n v="2272621"/>
  </r>
  <r>
    <x v="22"/>
    <x v="9"/>
    <s v="Total Electric Power Industry"/>
    <x v="6"/>
    <n v="2057561"/>
  </r>
  <r>
    <x v="22"/>
    <x v="9"/>
    <s v="Combined Heat and Power, Industrial Power"/>
    <x v="0"/>
    <n v="5414202"/>
  </r>
  <r>
    <x v="22"/>
    <x v="9"/>
    <s v="Combined Heat and Power, Industrial Power"/>
    <x v="1"/>
    <n v="232591"/>
  </r>
  <r>
    <x v="22"/>
    <x v="9"/>
    <s v="Combined Heat and Power, Industrial Power"/>
    <x v="3"/>
    <n v="1376128"/>
  </r>
  <r>
    <x v="22"/>
    <x v="9"/>
    <s v="Combined Heat and Power, Industrial Power"/>
    <x v="9"/>
    <n v="6054"/>
  </r>
  <r>
    <x v="22"/>
    <x v="9"/>
    <s v="Combined Heat and Power, Industrial Power"/>
    <x v="12"/>
    <n v="1757362"/>
  </r>
  <r>
    <x v="22"/>
    <x v="9"/>
    <s v="Combined Heat and Power, Industrial Power"/>
    <x v="4"/>
    <n v="41436"/>
  </r>
  <r>
    <x v="22"/>
    <x v="9"/>
    <s v="Combined Heat and Power, Industrial Power"/>
    <x v="8"/>
    <n v="333791"/>
  </r>
  <r>
    <x v="22"/>
    <x v="9"/>
    <s v="Combined Heat and Power, Industrial Power"/>
    <x v="6"/>
    <n v="1666840"/>
  </r>
  <r>
    <x v="22"/>
    <x v="9"/>
    <s v="Combined Heat and Power, Commercial Power"/>
    <x v="0"/>
    <n v="64755"/>
  </r>
  <r>
    <x v="22"/>
    <x v="9"/>
    <s v="Combined Heat and Power, Commercial Power"/>
    <x v="3"/>
    <n v="27885"/>
  </r>
  <r>
    <x v="22"/>
    <x v="9"/>
    <s v="Combined Heat and Power, Commercial Power"/>
    <x v="4"/>
    <n v="0"/>
  </r>
  <r>
    <x v="22"/>
    <x v="9"/>
    <s v="Combined Heat and Power, Commercial Power"/>
    <x v="13"/>
    <n v="661"/>
  </r>
  <r>
    <x v="22"/>
    <x v="9"/>
    <s v="Combined Heat and Power, Commercial Power"/>
    <x v="8"/>
    <n v="36209"/>
  </r>
  <r>
    <x v="22"/>
    <x v="9"/>
    <s v="Combined Heat and Power, Electric Power"/>
    <x v="0"/>
    <n v="5816994"/>
  </r>
  <r>
    <x v="22"/>
    <x v="9"/>
    <s v="Combined Heat and Power, Electric Power"/>
    <x v="1"/>
    <n v="1450829"/>
  </r>
  <r>
    <x v="22"/>
    <x v="9"/>
    <s v="Combined Heat and Power, Electric Power"/>
    <x v="3"/>
    <n v="4132125"/>
  </r>
  <r>
    <x v="22"/>
    <x v="9"/>
    <s v="Combined Heat and Power, Electric Power"/>
    <x v="12"/>
    <n v="0"/>
  </r>
  <r>
    <x v="22"/>
    <x v="9"/>
    <s v="Combined Heat and Power, Electric Power"/>
    <x v="4"/>
    <n v="4311"/>
  </r>
  <r>
    <x v="22"/>
    <x v="9"/>
    <s v="Combined Heat and Power, Electric Power"/>
    <x v="8"/>
    <n v="141935"/>
  </r>
  <r>
    <x v="22"/>
    <x v="9"/>
    <s v="Combined Heat and Power, Electric Power"/>
    <x v="6"/>
    <n v="87793"/>
  </r>
  <r>
    <x v="22"/>
    <x v="9"/>
    <s v="Electric Generators, Independent Power Producers"/>
    <x v="0"/>
    <n v="11600728"/>
  </r>
  <r>
    <x v="22"/>
    <x v="9"/>
    <s v="Electric Generators, Independent Power Producers"/>
    <x v="3"/>
    <n v="8146396"/>
  </r>
  <r>
    <x v="22"/>
    <x v="9"/>
    <s v="Electric Generators, Independent Power Producers"/>
    <x v="12"/>
    <n v="1436418"/>
  </r>
  <r>
    <x v="22"/>
    <x v="9"/>
    <s v="Electric Generators, Independent Power Producers"/>
    <x v="4"/>
    <n v="4752"/>
  </r>
  <r>
    <x v="22"/>
    <x v="9"/>
    <s v="Electric Generators, Independent Power Producers"/>
    <x v="13"/>
    <n v="34061"/>
  </r>
  <r>
    <x v="22"/>
    <x v="9"/>
    <s v="Electric Generators, Independent Power Producers"/>
    <x v="8"/>
    <n v="1676174"/>
  </r>
  <r>
    <x v="22"/>
    <x v="9"/>
    <s v="Electric Generators, Independent Power Producers"/>
    <x v="6"/>
    <n v="302927"/>
  </r>
  <r>
    <x v="22"/>
    <x v="9"/>
    <s v="Electric Generators, Electric Utilities"/>
    <x v="0"/>
    <n v="198199458"/>
  </r>
  <r>
    <x v="22"/>
    <x v="9"/>
    <s v="Electric Generators, Electric Utilities"/>
    <x v="1"/>
    <n v="42602971"/>
  </r>
  <r>
    <x v="22"/>
    <x v="9"/>
    <s v="Electric Generators, Electric Utilities"/>
    <x v="2"/>
    <n v="150511"/>
  </r>
  <r>
    <x v="22"/>
    <x v="9"/>
    <s v="Electric Generators, Electric Utilities"/>
    <x v="3"/>
    <n v="136017108"/>
  </r>
  <r>
    <x v="22"/>
    <x v="9"/>
    <s v="Electric Generators, Electric Utilities"/>
    <x v="7"/>
    <n v="17869935"/>
  </r>
  <r>
    <x v="22"/>
    <x v="9"/>
    <s v="Electric Generators, Electric Utilities"/>
    <x v="4"/>
    <n v="1315526"/>
  </r>
  <r>
    <x v="22"/>
    <x v="9"/>
    <s v="Electric Generators, Electric Utilities"/>
    <x v="13"/>
    <n v="158894"/>
  </r>
  <r>
    <x v="22"/>
    <x v="9"/>
    <s v="Electric Generators, Electric Utilities"/>
    <x v="8"/>
    <n v="84512"/>
  </r>
  <r>
    <x v="22"/>
    <x v="10"/>
    <s v="Total Electric Power Industry"/>
    <x v="0"/>
    <n v="122306364"/>
  </r>
  <r>
    <x v="22"/>
    <x v="10"/>
    <s v="Total Electric Power Industry"/>
    <x v="1"/>
    <n v="40715049"/>
  </r>
  <r>
    <x v="22"/>
    <x v="10"/>
    <s v="Total Electric Power Industry"/>
    <x v="10"/>
    <n v="-837884"/>
  </r>
  <r>
    <x v="22"/>
    <x v="10"/>
    <s v="Total Electric Power Industry"/>
    <x v="2"/>
    <n v="2236300"/>
  </r>
  <r>
    <x v="22"/>
    <x v="10"/>
    <s v="Total Electric Power Industry"/>
    <x v="3"/>
    <n v="42538601"/>
  </r>
  <r>
    <x v="22"/>
    <x v="10"/>
    <s v="Total Electric Power Industry"/>
    <x v="7"/>
    <n v="33941634"/>
  </r>
  <r>
    <x v="22"/>
    <x v="10"/>
    <s v="Total Electric Power Industry"/>
    <x v="12"/>
    <n v="56055"/>
  </r>
  <r>
    <x v="22"/>
    <x v="10"/>
    <s v="Total Electric Power Industry"/>
    <x v="4"/>
    <n v="378072"/>
  </r>
  <r>
    <x v="22"/>
    <x v="10"/>
    <s v="Total Electric Power Industry"/>
    <x v="13"/>
    <n v="2921"/>
  </r>
  <r>
    <x v="22"/>
    <x v="10"/>
    <s v="Total Electric Power Industry"/>
    <x v="8"/>
    <n v="168122"/>
  </r>
  <r>
    <x v="22"/>
    <x v="10"/>
    <s v="Total Electric Power Industry"/>
    <x v="6"/>
    <n v="3107494"/>
  </r>
  <r>
    <x v="22"/>
    <x v="10"/>
    <s v="Combined Heat and Power, Industrial Power"/>
    <x v="0"/>
    <n v="4768818"/>
  </r>
  <r>
    <x v="22"/>
    <x v="10"/>
    <s v="Combined Heat and Power, Industrial Power"/>
    <x v="1"/>
    <n v="517673"/>
  </r>
  <r>
    <x v="22"/>
    <x v="10"/>
    <s v="Combined Heat and Power, Industrial Power"/>
    <x v="2"/>
    <n v="18610"/>
  </r>
  <r>
    <x v="22"/>
    <x v="10"/>
    <s v="Combined Heat and Power, Industrial Power"/>
    <x v="3"/>
    <n v="798653"/>
  </r>
  <r>
    <x v="22"/>
    <x v="10"/>
    <s v="Combined Heat and Power, Industrial Power"/>
    <x v="12"/>
    <n v="56055"/>
  </r>
  <r>
    <x v="22"/>
    <x v="10"/>
    <s v="Combined Heat and Power, Industrial Power"/>
    <x v="4"/>
    <n v="347666"/>
  </r>
  <r>
    <x v="22"/>
    <x v="10"/>
    <s v="Combined Heat and Power, Industrial Power"/>
    <x v="8"/>
    <n v="48092"/>
  </r>
  <r>
    <x v="22"/>
    <x v="10"/>
    <s v="Combined Heat and Power, Industrial Power"/>
    <x v="6"/>
    <n v="2982070"/>
  </r>
  <r>
    <x v="22"/>
    <x v="10"/>
    <s v="Combined Heat and Power, Commercial Power"/>
    <x v="0"/>
    <n v="30845"/>
  </r>
  <r>
    <x v="22"/>
    <x v="10"/>
    <s v="Combined Heat and Power, Commercial Power"/>
    <x v="3"/>
    <n v="0"/>
  </r>
  <r>
    <x v="22"/>
    <x v="10"/>
    <s v="Combined Heat and Power, Commercial Power"/>
    <x v="4"/>
    <n v="1388"/>
  </r>
  <r>
    <x v="22"/>
    <x v="10"/>
    <s v="Combined Heat and Power, Commercial Power"/>
    <x v="13"/>
    <n v="1547"/>
  </r>
  <r>
    <x v="22"/>
    <x v="10"/>
    <s v="Combined Heat and Power, Commercial Power"/>
    <x v="8"/>
    <n v="27910"/>
  </r>
  <r>
    <x v="22"/>
    <x v="10"/>
    <s v="Combined Heat and Power, Electric Power"/>
    <x v="0"/>
    <n v="380258"/>
  </r>
  <r>
    <x v="22"/>
    <x v="10"/>
    <s v="Combined Heat and Power, Electric Power"/>
    <x v="3"/>
    <n v="380236"/>
  </r>
  <r>
    <x v="22"/>
    <x v="10"/>
    <s v="Combined Heat and Power, Electric Power"/>
    <x v="4"/>
    <n v="22"/>
  </r>
  <r>
    <x v="22"/>
    <x v="10"/>
    <s v="Electric Generators, Independent Power Producers"/>
    <x v="0"/>
    <n v="16131407"/>
  </r>
  <r>
    <x v="22"/>
    <x v="10"/>
    <s v="Electric Generators, Independent Power Producers"/>
    <x v="2"/>
    <n v="5880"/>
  </r>
  <r>
    <x v="22"/>
    <x v="10"/>
    <s v="Electric Generators, Independent Power Producers"/>
    <x v="3"/>
    <n v="15905078"/>
  </r>
  <r>
    <x v="22"/>
    <x v="10"/>
    <s v="Electric Generators, Independent Power Producers"/>
    <x v="4"/>
    <n v="1531"/>
  </r>
  <r>
    <x v="22"/>
    <x v="10"/>
    <s v="Electric Generators, Independent Power Producers"/>
    <x v="13"/>
    <n v="1374"/>
  </r>
  <r>
    <x v="22"/>
    <x v="10"/>
    <s v="Electric Generators, Independent Power Producers"/>
    <x v="8"/>
    <n v="92120"/>
  </r>
  <r>
    <x v="22"/>
    <x v="10"/>
    <s v="Electric Generators, Independent Power Producers"/>
    <x v="6"/>
    <n v="125424"/>
  </r>
  <r>
    <x v="22"/>
    <x v="10"/>
    <s v="Electric Generators, Electric Utilities"/>
    <x v="0"/>
    <n v="100995036"/>
  </r>
  <r>
    <x v="22"/>
    <x v="10"/>
    <s v="Electric Generators, Electric Utilities"/>
    <x v="1"/>
    <n v="40197376"/>
  </r>
  <r>
    <x v="22"/>
    <x v="10"/>
    <s v="Electric Generators, Electric Utilities"/>
    <x v="10"/>
    <n v="-837884"/>
  </r>
  <r>
    <x v="22"/>
    <x v="10"/>
    <s v="Electric Generators, Electric Utilities"/>
    <x v="2"/>
    <n v="2211810"/>
  </r>
  <r>
    <x v="22"/>
    <x v="10"/>
    <s v="Electric Generators, Electric Utilities"/>
    <x v="3"/>
    <n v="25454634"/>
  </r>
  <r>
    <x v="22"/>
    <x v="10"/>
    <s v="Electric Generators, Electric Utilities"/>
    <x v="7"/>
    <n v="33941634"/>
  </r>
  <r>
    <x v="22"/>
    <x v="10"/>
    <s v="Electric Generators, Electric Utilities"/>
    <x v="4"/>
    <n v="27466"/>
  </r>
  <r>
    <x v="22"/>
    <x v="10"/>
    <s v="Electric Generators, Electric Utilities"/>
    <x v="8"/>
    <n v="0"/>
  </r>
  <r>
    <x v="22"/>
    <x v="11"/>
    <s v="Total Electric Power Industry"/>
    <x v="0"/>
    <n v="10469269"/>
  </r>
  <r>
    <x v="22"/>
    <x v="11"/>
    <s v="Total Electric Power Industry"/>
    <x v="1"/>
    <n v="1537340"/>
  </r>
  <r>
    <x v="22"/>
    <x v="11"/>
    <s v="Total Electric Power Industry"/>
    <x v="11"/>
    <n v="260997"/>
  </r>
  <r>
    <x v="22"/>
    <x v="11"/>
    <s v="Total Electric Power Industry"/>
    <x v="2"/>
    <n v="114581"/>
  </r>
  <r>
    <x v="22"/>
    <x v="11"/>
    <s v="Total Electric Power Industry"/>
    <x v="9"/>
    <n v="47036"/>
  </r>
  <r>
    <x v="22"/>
    <x v="11"/>
    <s v="Total Electric Power Industry"/>
    <x v="12"/>
    <n v="362736"/>
  </r>
  <r>
    <x v="22"/>
    <x v="11"/>
    <s v="Total Electric Power Industry"/>
    <x v="4"/>
    <n v="7482760"/>
  </r>
  <r>
    <x v="22"/>
    <x v="11"/>
    <s v="Total Electric Power Industry"/>
    <x v="13"/>
    <n v="4608"/>
  </r>
  <r>
    <x v="22"/>
    <x v="11"/>
    <s v="Total Electric Power Industry"/>
    <x v="8"/>
    <n v="280976"/>
  </r>
  <r>
    <x v="22"/>
    <x v="11"/>
    <s v="Total Electric Power Industry"/>
    <x v="5"/>
    <n v="378234"/>
  </r>
  <r>
    <x v="22"/>
    <x v="11"/>
    <s v="Total Electric Power Industry"/>
    <x v="6"/>
    <n v="0"/>
  </r>
  <r>
    <x v="22"/>
    <x v="11"/>
    <s v="Combined Heat and Power, Industrial Power"/>
    <x v="0"/>
    <n v="426224"/>
  </r>
  <r>
    <x v="22"/>
    <x v="11"/>
    <s v="Combined Heat and Power, Industrial Power"/>
    <x v="1"/>
    <n v="39821"/>
  </r>
  <r>
    <x v="22"/>
    <x v="11"/>
    <s v="Combined Heat and Power, Industrial Power"/>
    <x v="2"/>
    <n v="58708"/>
  </r>
  <r>
    <x v="22"/>
    <x v="11"/>
    <s v="Combined Heat and Power, Industrial Power"/>
    <x v="9"/>
    <n v="47036"/>
  </r>
  <r>
    <x v="22"/>
    <x v="11"/>
    <s v="Combined Heat and Power, Industrial Power"/>
    <x v="4"/>
    <n v="174172"/>
  </r>
  <r>
    <x v="22"/>
    <x v="11"/>
    <s v="Combined Heat and Power, Industrial Power"/>
    <x v="8"/>
    <n v="106486"/>
  </r>
  <r>
    <x v="22"/>
    <x v="11"/>
    <s v="Combined Heat and Power, Industrial Power"/>
    <x v="6"/>
    <n v="0"/>
  </r>
  <r>
    <x v="22"/>
    <x v="11"/>
    <s v="Combined Heat and Power, Commercial Power"/>
    <x v="0"/>
    <n v="301196"/>
  </r>
  <r>
    <x v="22"/>
    <x v="11"/>
    <s v="Combined Heat and Power, Commercial Power"/>
    <x v="12"/>
    <n v="146888"/>
  </r>
  <r>
    <x v="22"/>
    <x v="11"/>
    <s v="Combined Heat and Power, Commercial Power"/>
    <x v="4"/>
    <n v="1431"/>
  </r>
  <r>
    <x v="22"/>
    <x v="11"/>
    <s v="Combined Heat and Power, Commercial Power"/>
    <x v="8"/>
    <n v="152877"/>
  </r>
  <r>
    <x v="22"/>
    <x v="11"/>
    <s v="Combined Heat and Power, Electric Power"/>
    <x v="0"/>
    <n v="2826474"/>
  </r>
  <r>
    <x v="22"/>
    <x v="11"/>
    <s v="Combined Heat and Power, Electric Power"/>
    <x v="1"/>
    <n v="1497519"/>
  </r>
  <r>
    <x v="22"/>
    <x v="11"/>
    <s v="Combined Heat and Power, Electric Power"/>
    <x v="12"/>
    <n v="42"/>
  </r>
  <r>
    <x v="22"/>
    <x v="11"/>
    <s v="Combined Heat and Power, Electric Power"/>
    <x v="4"/>
    <n v="1328912"/>
  </r>
  <r>
    <x v="22"/>
    <x v="11"/>
    <s v="Electric Generators, Independent Power Producers"/>
    <x v="0"/>
    <n v="902627"/>
  </r>
  <r>
    <x v="22"/>
    <x v="11"/>
    <s v="Electric Generators, Independent Power Producers"/>
    <x v="11"/>
    <n v="260997"/>
  </r>
  <r>
    <x v="22"/>
    <x v="11"/>
    <s v="Electric Generators, Independent Power Producers"/>
    <x v="2"/>
    <n v="26933"/>
  </r>
  <r>
    <x v="22"/>
    <x v="11"/>
    <s v="Electric Generators, Independent Power Producers"/>
    <x v="12"/>
    <n v="0"/>
  </r>
  <r>
    <x v="22"/>
    <x v="11"/>
    <s v="Electric Generators, Independent Power Producers"/>
    <x v="4"/>
    <n v="231855"/>
  </r>
  <r>
    <x v="22"/>
    <x v="11"/>
    <s v="Electric Generators, Independent Power Producers"/>
    <x v="13"/>
    <n v="4608"/>
  </r>
  <r>
    <x v="22"/>
    <x v="11"/>
    <s v="Electric Generators, Independent Power Producers"/>
    <x v="5"/>
    <n v="378234"/>
  </r>
  <r>
    <x v="22"/>
    <x v="11"/>
    <s v="Electric Generators, Electric Utilities"/>
    <x v="0"/>
    <n v="6012748"/>
  </r>
  <r>
    <x v="22"/>
    <x v="11"/>
    <s v="Electric Generators, Electric Utilities"/>
    <x v="1"/>
    <n v="0"/>
  </r>
  <r>
    <x v="22"/>
    <x v="11"/>
    <s v="Electric Generators, Electric Utilities"/>
    <x v="2"/>
    <n v="28940"/>
  </r>
  <r>
    <x v="22"/>
    <x v="11"/>
    <s v="Electric Generators, Electric Utilities"/>
    <x v="12"/>
    <n v="215805"/>
  </r>
  <r>
    <x v="22"/>
    <x v="11"/>
    <s v="Electric Generators, Electric Utilities"/>
    <x v="4"/>
    <n v="5746390"/>
  </r>
  <r>
    <x v="22"/>
    <x v="11"/>
    <s v="Electric Generators, Electric Utilities"/>
    <x v="8"/>
    <n v="21613"/>
  </r>
  <r>
    <x v="22"/>
    <x v="12"/>
    <s v="Total Electric Power Industry"/>
    <x v="0"/>
    <n v="56675406"/>
  </r>
  <r>
    <x v="22"/>
    <x v="12"/>
    <s v="Total Electric Power Industry"/>
    <x v="1"/>
    <n v="35331351"/>
  </r>
  <r>
    <x v="22"/>
    <x v="12"/>
    <s v="Total Electric Power Industry"/>
    <x v="2"/>
    <n v="766191"/>
  </r>
  <r>
    <x v="22"/>
    <x v="12"/>
    <s v="Total Electric Power Industry"/>
    <x v="3"/>
    <n v="1940886"/>
  </r>
  <r>
    <x v="22"/>
    <x v="12"/>
    <s v="Total Electric Power Industry"/>
    <x v="7"/>
    <n v="4346995"/>
  </r>
  <r>
    <x v="22"/>
    <x v="12"/>
    <s v="Total Electric Power Industry"/>
    <x v="4"/>
    <n v="106557"/>
  </r>
  <r>
    <x v="22"/>
    <x v="12"/>
    <s v="Total Electric Power Industry"/>
    <x v="8"/>
    <n v="150934"/>
  </r>
  <r>
    <x v="22"/>
    <x v="12"/>
    <s v="Total Electric Power Industry"/>
    <x v="5"/>
    <n v="14032492"/>
  </r>
  <r>
    <x v="22"/>
    <x v="12"/>
    <s v="Combined Heat and Power, Industrial Power"/>
    <x v="0"/>
    <n v="2067024"/>
  </r>
  <r>
    <x v="22"/>
    <x v="12"/>
    <s v="Combined Heat and Power, Industrial Power"/>
    <x v="1"/>
    <n v="1992839"/>
  </r>
  <r>
    <x v="22"/>
    <x v="12"/>
    <s v="Combined Heat and Power, Industrial Power"/>
    <x v="3"/>
    <n v="61786"/>
  </r>
  <r>
    <x v="22"/>
    <x v="12"/>
    <s v="Combined Heat and Power, Industrial Power"/>
    <x v="4"/>
    <n v="242"/>
  </r>
  <r>
    <x v="22"/>
    <x v="12"/>
    <s v="Combined Heat and Power, Industrial Power"/>
    <x v="8"/>
    <n v="12157"/>
  </r>
  <r>
    <x v="22"/>
    <x v="12"/>
    <s v="Combined Heat and Power, Commercial Power"/>
    <x v="0"/>
    <n v="204177"/>
  </r>
  <r>
    <x v="22"/>
    <x v="12"/>
    <s v="Combined Heat and Power, Commercial Power"/>
    <x v="1"/>
    <n v="159235"/>
  </r>
  <r>
    <x v="22"/>
    <x v="12"/>
    <s v="Combined Heat and Power, Commercial Power"/>
    <x v="3"/>
    <n v="10923"/>
  </r>
  <r>
    <x v="22"/>
    <x v="12"/>
    <s v="Combined Heat and Power, Commercial Power"/>
    <x v="4"/>
    <n v="5702"/>
  </r>
  <r>
    <x v="22"/>
    <x v="12"/>
    <s v="Combined Heat and Power, Commercial Power"/>
    <x v="8"/>
    <n v="25389"/>
  </r>
  <r>
    <x v="22"/>
    <x v="12"/>
    <s v="Combined Heat and Power, Commercial Power"/>
    <x v="5"/>
    <n v="2928"/>
  </r>
  <r>
    <x v="22"/>
    <x v="12"/>
    <s v="Electric Generators, Independent Power Producers"/>
    <x v="0"/>
    <n v="11018269"/>
  </r>
  <r>
    <x v="22"/>
    <x v="12"/>
    <s v="Electric Generators, Independent Power Producers"/>
    <x v="2"/>
    <n v="5591"/>
  </r>
  <r>
    <x v="22"/>
    <x v="12"/>
    <s v="Electric Generators, Independent Power Producers"/>
    <x v="3"/>
    <n v="73"/>
  </r>
  <r>
    <x v="22"/>
    <x v="12"/>
    <s v="Electric Generators, Independent Power Producers"/>
    <x v="7"/>
    <n v="4346995"/>
  </r>
  <r>
    <x v="22"/>
    <x v="12"/>
    <s v="Electric Generators, Independent Power Producers"/>
    <x v="4"/>
    <n v="1531"/>
  </r>
  <r>
    <x v="22"/>
    <x v="12"/>
    <s v="Electric Generators, Independent Power Producers"/>
    <x v="8"/>
    <n v="86365"/>
  </r>
  <r>
    <x v="22"/>
    <x v="12"/>
    <s v="Electric Generators, Independent Power Producers"/>
    <x v="5"/>
    <n v="6577714"/>
  </r>
  <r>
    <x v="22"/>
    <x v="12"/>
    <s v="Electric Generators, Electric Utilities"/>
    <x v="0"/>
    <n v="43385935"/>
  </r>
  <r>
    <x v="22"/>
    <x v="12"/>
    <s v="Electric Generators, Electric Utilities"/>
    <x v="1"/>
    <n v="33179277"/>
  </r>
  <r>
    <x v="22"/>
    <x v="12"/>
    <s v="Electric Generators, Electric Utilities"/>
    <x v="2"/>
    <n v="760600"/>
  </r>
  <r>
    <x v="22"/>
    <x v="12"/>
    <s v="Electric Generators, Electric Utilities"/>
    <x v="3"/>
    <n v="1868104"/>
  </r>
  <r>
    <x v="22"/>
    <x v="12"/>
    <s v="Electric Generators, Electric Utilities"/>
    <x v="4"/>
    <n v="99082"/>
  </r>
  <r>
    <x v="22"/>
    <x v="12"/>
    <s v="Electric Generators, Electric Utilities"/>
    <x v="8"/>
    <n v="27022"/>
  </r>
  <r>
    <x v="22"/>
    <x v="12"/>
    <s v="Electric Generators, Electric Utilities"/>
    <x v="5"/>
    <n v="7451850"/>
  </r>
  <r>
    <x v="22"/>
    <x v="13"/>
    <s v="Total Electric Power Industry"/>
    <x v="0"/>
    <n v="15499089"/>
  </r>
  <r>
    <x v="22"/>
    <x v="13"/>
    <s v="Total Electric Power Industry"/>
    <x v="1"/>
    <n v="76737"/>
  </r>
  <r>
    <x v="22"/>
    <x v="13"/>
    <s v="Total Electric Power Industry"/>
    <x v="11"/>
    <n v="74676"/>
  </r>
  <r>
    <x v="22"/>
    <x v="13"/>
    <s v="Total Electric Power Industry"/>
    <x v="2"/>
    <n v="10940405"/>
  </r>
  <r>
    <x v="22"/>
    <x v="13"/>
    <s v="Total Electric Power Industry"/>
    <x v="3"/>
    <n v="1898167"/>
  </r>
  <r>
    <x v="22"/>
    <x v="13"/>
    <s v="Total Electric Power Industry"/>
    <x v="12"/>
    <n v="69259"/>
  </r>
  <r>
    <x v="22"/>
    <x v="13"/>
    <s v="Total Electric Power Industry"/>
    <x v="4"/>
    <n v="19"/>
  </r>
  <r>
    <x v="22"/>
    <x v="13"/>
    <s v="Total Electric Power Industry"/>
    <x v="8"/>
    <n v="89686"/>
  </r>
  <r>
    <x v="22"/>
    <x v="13"/>
    <s v="Total Electric Power Industry"/>
    <x v="5"/>
    <n v="1890559"/>
  </r>
  <r>
    <x v="22"/>
    <x v="13"/>
    <s v="Total Electric Power Industry"/>
    <x v="6"/>
    <n v="459581"/>
  </r>
  <r>
    <x v="22"/>
    <x v="13"/>
    <s v="Combined Heat and Power, Industrial Power"/>
    <x v="0"/>
    <n v="591802"/>
  </r>
  <r>
    <x v="22"/>
    <x v="13"/>
    <s v="Combined Heat and Power, Industrial Power"/>
    <x v="1"/>
    <n v="76737"/>
  </r>
  <r>
    <x v="22"/>
    <x v="13"/>
    <s v="Combined Heat and Power, Industrial Power"/>
    <x v="3"/>
    <n v="49101"/>
  </r>
  <r>
    <x v="22"/>
    <x v="13"/>
    <s v="Combined Heat and Power, Industrial Power"/>
    <x v="12"/>
    <n v="69259"/>
  </r>
  <r>
    <x v="22"/>
    <x v="13"/>
    <s v="Combined Heat and Power, Industrial Power"/>
    <x v="4"/>
    <n v="0"/>
  </r>
  <r>
    <x v="22"/>
    <x v="13"/>
    <s v="Combined Heat and Power, Industrial Power"/>
    <x v="8"/>
    <n v="8511"/>
  </r>
  <r>
    <x v="22"/>
    <x v="13"/>
    <s v="Combined Heat and Power, Industrial Power"/>
    <x v="6"/>
    <n v="388194"/>
  </r>
  <r>
    <x v="22"/>
    <x v="13"/>
    <s v="Combined Heat and Power, Electric Power"/>
    <x v="0"/>
    <n v="165579"/>
  </r>
  <r>
    <x v="22"/>
    <x v="13"/>
    <s v="Combined Heat and Power, Electric Power"/>
    <x v="3"/>
    <n v="76510"/>
  </r>
  <r>
    <x v="22"/>
    <x v="13"/>
    <s v="Combined Heat and Power, Electric Power"/>
    <x v="8"/>
    <n v="17682"/>
  </r>
  <r>
    <x v="22"/>
    <x v="13"/>
    <s v="Combined Heat and Power, Electric Power"/>
    <x v="6"/>
    <n v="71387"/>
  </r>
  <r>
    <x v="22"/>
    <x v="13"/>
    <s v="Electric Generators, Independent Power Producers"/>
    <x v="0"/>
    <n v="4108585"/>
  </r>
  <r>
    <x v="22"/>
    <x v="13"/>
    <s v="Electric Generators, Independent Power Producers"/>
    <x v="11"/>
    <n v="74676"/>
  </r>
  <r>
    <x v="22"/>
    <x v="13"/>
    <s v="Electric Generators, Independent Power Producers"/>
    <x v="2"/>
    <n v="935218"/>
  </r>
  <r>
    <x v="22"/>
    <x v="13"/>
    <s v="Electric Generators, Independent Power Producers"/>
    <x v="3"/>
    <n v="1214659"/>
  </r>
  <r>
    <x v="22"/>
    <x v="13"/>
    <s v="Electric Generators, Independent Power Producers"/>
    <x v="8"/>
    <n v="53717"/>
  </r>
  <r>
    <x v="22"/>
    <x v="13"/>
    <s v="Electric Generators, Independent Power Producers"/>
    <x v="5"/>
    <n v="1830315"/>
  </r>
  <r>
    <x v="22"/>
    <x v="13"/>
    <s v="Electric Generators, Electric Utilities"/>
    <x v="0"/>
    <n v="10633123"/>
  </r>
  <r>
    <x v="22"/>
    <x v="13"/>
    <s v="Electric Generators, Electric Utilities"/>
    <x v="2"/>
    <n v="10005187"/>
  </r>
  <r>
    <x v="22"/>
    <x v="13"/>
    <s v="Electric Generators, Electric Utilities"/>
    <x v="3"/>
    <n v="557897"/>
  </r>
  <r>
    <x v="22"/>
    <x v="13"/>
    <s v="Electric Generators, Electric Utilities"/>
    <x v="4"/>
    <n v="19"/>
  </r>
  <r>
    <x v="22"/>
    <x v="13"/>
    <s v="Electric Generators, Electric Utilities"/>
    <x v="8"/>
    <n v="9776"/>
  </r>
  <r>
    <x v="22"/>
    <x v="13"/>
    <s v="Electric Generators, Electric Utilities"/>
    <x v="5"/>
    <n v="60244"/>
  </r>
  <r>
    <x v="22"/>
    <x v="14"/>
    <s v="Total Electric Power Industry"/>
    <x v="0"/>
    <n v="197565362"/>
  </r>
  <r>
    <x v="22"/>
    <x v="14"/>
    <s v="Total Electric Power Industry"/>
    <x v="1"/>
    <n v="80826778"/>
  </r>
  <r>
    <x v="22"/>
    <x v="14"/>
    <s v="Total Electric Power Industry"/>
    <x v="2"/>
    <n v="111208"/>
  </r>
  <r>
    <x v="22"/>
    <x v="14"/>
    <s v="Total Electric Power Industry"/>
    <x v="3"/>
    <n v="11188975"/>
  </r>
  <r>
    <x v="22"/>
    <x v="14"/>
    <s v="Total Electric Power Industry"/>
    <x v="7"/>
    <n v="96401309"/>
  </r>
  <r>
    <x v="22"/>
    <x v="14"/>
    <s v="Total Electric Power Industry"/>
    <x v="9"/>
    <n v="293590"/>
  </r>
  <r>
    <x v="22"/>
    <x v="14"/>
    <s v="Total Electric Power Industry"/>
    <x v="12"/>
    <n v="299461"/>
  </r>
  <r>
    <x v="22"/>
    <x v="14"/>
    <s v="Total Electric Power Industry"/>
    <x v="4"/>
    <n v="71382"/>
  </r>
  <r>
    <x v="22"/>
    <x v="14"/>
    <s v="Total Electric Power Industry"/>
    <x v="13"/>
    <n v="30657"/>
  </r>
  <r>
    <x v="22"/>
    <x v="14"/>
    <s v="Total Electric Power Industry"/>
    <x v="8"/>
    <n v="615193"/>
  </r>
  <r>
    <x v="22"/>
    <x v="14"/>
    <s v="Total Electric Power Industry"/>
    <x v="5"/>
    <n v="7726809"/>
  </r>
  <r>
    <x v="22"/>
    <x v="14"/>
    <s v="Total Electric Power Industry"/>
    <x v="6"/>
    <n v="0"/>
  </r>
  <r>
    <x v="22"/>
    <x v="14"/>
    <s v="Combined Heat and Power, Industrial Power"/>
    <x v="0"/>
    <n v="2628051"/>
  </r>
  <r>
    <x v="22"/>
    <x v="14"/>
    <s v="Combined Heat and Power, Industrial Power"/>
    <x v="1"/>
    <n v="1734083"/>
  </r>
  <r>
    <x v="22"/>
    <x v="14"/>
    <s v="Combined Heat and Power, Industrial Power"/>
    <x v="3"/>
    <n v="308748"/>
  </r>
  <r>
    <x v="22"/>
    <x v="14"/>
    <s v="Combined Heat and Power, Industrial Power"/>
    <x v="9"/>
    <n v="285752"/>
  </r>
  <r>
    <x v="22"/>
    <x v="14"/>
    <s v="Combined Heat and Power, Industrial Power"/>
    <x v="12"/>
    <n v="299461"/>
  </r>
  <r>
    <x v="22"/>
    <x v="14"/>
    <s v="Combined Heat and Power, Industrial Power"/>
    <x v="4"/>
    <n v="6"/>
  </r>
  <r>
    <x v="22"/>
    <x v="14"/>
    <s v="Combined Heat and Power, Industrial Power"/>
    <x v="6"/>
    <n v="0"/>
  </r>
  <r>
    <x v="22"/>
    <x v="14"/>
    <s v="Combined Heat and Power, Commercial Power"/>
    <x v="0"/>
    <n v="491623"/>
  </r>
  <r>
    <x v="22"/>
    <x v="14"/>
    <s v="Combined Heat and Power, Commercial Power"/>
    <x v="1"/>
    <n v="51957"/>
  </r>
  <r>
    <x v="22"/>
    <x v="14"/>
    <s v="Combined Heat and Power, Commercial Power"/>
    <x v="2"/>
    <n v="1879"/>
  </r>
  <r>
    <x v="22"/>
    <x v="14"/>
    <s v="Combined Heat and Power, Commercial Power"/>
    <x v="3"/>
    <n v="437290"/>
  </r>
  <r>
    <x v="22"/>
    <x v="14"/>
    <s v="Combined Heat and Power, Commercial Power"/>
    <x v="4"/>
    <n v="214"/>
  </r>
  <r>
    <x v="22"/>
    <x v="14"/>
    <s v="Combined Heat and Power, Commercial Power"/>
    <x v="8"/>
    <n v="282"/>
  </r>
  <r>
    <x v="22"/>
    <x v="14"/>
    <s v="Combined Heat and Power, Electric Power"/>
    <x v="0"/>
    <n v="627657"/>
  </r>
  <r>
    <x v="22"/>
    <x v="14"/>
    <s v="Combined Heat and Power, Electric Power"/>
    <x v="3"/>
    <n v="619783"/>
  </r>
  <r>
    <x v="22"/>
    <x v="14"/>
    <s v="Combined Heat and Power, Electric Power"/>
    <x v="9"/>
    <n v="7838"/>
  </r>
  <r>
    <x v="22"/>
    <x v="14"/>
    <s v="Combined Heat and Power, Electric Power"/>
    <x v="4"/>
    <n v="0"/>
  </r>
  <r>
    <x v="22"/>
    <x v="14"/>
    <s v="Combined Heat and Power, Electric Power"/>
    <x v="8"/>
    <n v="36"/>
  </r>
  <r>
    <x v="22"/>
    <x v="14"/>
    <s v="Electric Generators, Independent Power Producers"/>
    <x v="0"/>
    <n v="181393636"/>
  </r>
  <r>
    <x v="22"/>
    <x v="14"/>
    <s v="Electric Generators, Independent Power Producers"/>
    <x v="1"/>
    <n v="68154172"/>
  </r>
  <r>
    <x v="22"/>
    <x v="14"/>
    <s v="Electric Generators, Independent Power Producers"/>
    <x v="2"/>
    <n v="59481"/>
  </r>
  <r>
    <x v="22"/>
    <x v="14"/>
    <s v="Electric Generators, Independent Power Producers"/>
    <x v="3"/>
    <n v="8373497"/>
  </r>
  <r>
    <x v="22"/>
    <x v="14"/>
    <s v="Electric Generators, Independent Power Producers"/>
    <x v="7"/>
    <n v="96401309"/>
  </r>
  <r>
    <x v="22"/>
    <x v="14"/>
    <s v="Electric Generators, Independent Power Producers"/>
    <x v="12"/>
    <n v="0"/>
  </r>
  <r>
    <x v="22"/>
    <x v="14"/>
    <s v="Electric Generators, Independent Power Producers"/>
    <x v="4"/>
    <n v="47080"/>
  </r>
  <r>
    <x v="22"/>
    <x v="14"/>
    <s v="Electric Generators, Independent Power Producers"/>
    <x v="13"/>
    <n v="30657"/>
  </r>
  <r>
    <x v="22"/>
    <x v="14"/>
    <s v="Electric Generators, Independent Power Producers"/>
    <x v="8"/>
    <n v="614875"/>
  </r>
  <r>
    <x v="22"/>
    <x v="14"/>
    <s v="Electric Generators, Independent Power Producers"/>
    <x v="5"/>
    <n v="7712565"/>
  </r>
  <r>
    <x v="22"/>
    <x v="14"/>
    <s v="Electric Generators, Electric Utilities"/>
    <x v="0"/>
    <n v="12424396"/>
  </r>
  <r>
    <x v="22"/>
    <x v="14"/>
    <s v="Electric Generators, Electric Utilities"/>
    <x v="1"/>
    <n v="10886565"/>
  </r>
  <r>
    <x v="22"/>
    <x v="14"/>
    <s v="Electric Generators, Electric Utilities"/>
    <x v="2"/>
    <n v="49848"/>
  </r>
  <r>
    <x v="22"/>
    <x v="14"/>
    <s v="Electric Generators, Electric Utilities"/>
    <x v="3"/>
    <n v="1449657"/>
  </r>
  <r>
    <x v="22"/>
    <x v="14"/>
    <s v="Electric Generators, Electric Utilities"/>
    <x v="4"/>
    <n v="24082"/>
  </r>
  <r>
    <x v="22"/>
    <x v="14"/>
    <s v="Electric Generators, Electric Utilities"/>
    <x v="5"/>
    <n v="14244"/>
  </r>
  <r>
    <x v="22"/>
    <x v="15"/>
    <s v="Total Electric Power Industry"/>
    <x v="0"/>
    <n v="114695729"/>
  </r>
  <r>
    <x v="22"/>
    <x v="15"/>
    <s v="Total Electric Power Industry"/>
    <x v="1"/>
    <n v="92461192"/>
  </r>
  <r>
    <x v="22"/>
    <x v="15"/>
    <s v="Total Electric Power Industry"/>
    <x v="2"/>
    <n v="433505"/>
  </r>
  <r>
    <x v="22"/>
    <x v="15"/>
    <s v="Total Electric Power Industry"/>
    <x v="3"/>
    <n v="14470905"/>
  </r>
  <r>
    <x v="22"/>
    <x v="15"/>
    <s v="Total Electric Power Industry"/>
    <x v="9"/>
    <n v="2491425"/>
  </r>
  <r>
    <x v="22"/>
    <x v="15"/>
    <s v="Total Electric Power Industry"/>
    <x v="12"/>
    <n v="346570"/>
  </r>
  <r>
    <x v="22"/>
    <x v="15"/>
    <s v="Total Electric Power Industry"/>
    <x v="4"/>
    <n v="945765"/>
  </r>
  <r>
    <x v="22"/>
    <x v="15"/>
    <s v="Total Electric Power Industry"/>
    <x v="13"/>
    <n v="171"/>
  </r>
  <r>
    <x v="22"/>
    <x v="15"/>
    <s v="Total Electric Power Industry"/>
    <x v="8"/>
    <n v="336092"/>
  </r>
  <r>
    <x v="22"/>
    <x v="15"/>
    <s v="Total Electric Power Industry"/>
    <x v="5"/>
    <n v="3210104"/>
  </r>
  <r>
    <x v="22"/>
    <x v="15"/>
    <s v="Combined Heat and Power, Industrial Power"/>
    <x v="0"/>
    <n v="3261193"/>
  </r>
  <r>
    <x v="22"/>
    <x v="15"/>
    <s v="Combined Heat and Power, Industrial Power"/>
    <x v="1"/>
    <n v="48630"/>
  </r>
  <r>
    <x v="22"/>
    <x v="15"/>
    <s v="Combined Heat and Power, Industrial Power"/>
    <x v="3"/>
    <n v="416911"/>
  </r>
  <r>
    <x v="22"/>
    <x v="15"/>
    <s v="Combined Heat and Power, Industrial Power"/>
    <x v="9"/>
    <n v="2491425"/>
  </r>
  <r>
    <x v="22"/>
    <x v="15"/>
    <s v="Combined Heat and Power, Industrial Power"/>
    <x v="12"/>
    <n v="268855"/>
  </r>
  <r>
    <x v="22"/>
    <x v="15"/>
    <s v="Combined Heat and Power, Industrial Power"/>
    <x v="4"/>
    <n v="6322"/>
  </r>
  <r>
    <x v="22"/>
    <x v="15"/>
    <s v="Combined Heat and Power, Industrial Power"/>
    <x v="8"/>
    <n v="29050"/>
  </r>
  <r>
    <x v="22"/>
    <x v="15"/>
    <s v="Combined Heat and Power, Commercial Power"/>
    <x v="0"/>
    <n v="232306"/>
  </r>
  <r>
    <x v="22"/>
    <x v="15"/>
    <s v="Combined Heat and Power, Commercial Power"/>
    <x v="1"/>
    <n v="133113"/>
  </r>
  <r>
    <x v="22"/>
    <x v="15"/>
    <s v="Combined Heat and Power, Commercial Power"/>
    <x v="3"/>
    <n v="56122"/>
  </r>
  <r>
    <x v="22"/>
    <x v="15"/>
    <s v="Combined Heat and Power, Commercial Power"/>
    <x v="12"/>
    <n v="20341"/>
  </r>
  <r>
    <x v="22"/>
    <x v="15"/>
    <s v="Combined Heat and Power, Commercial Power"/>
    <x v="4"/>
    <n v="368"/>
  </r>
  <r>
    <x v="22"/>
    <x v="15"/>
    <s v="Combined Heat and Power, Commercial Power"/>
    <x v="8"/>
    <n v="21172"/>
  </r>
  <r>
    <x v="22"/>
    <x v="15"/>
    <s v="Combined Heat and Power, Commercial Power"/>
    <x v="5"/>
    <n v="1192"/>
  </r>
  <r>
    <x v="22"/>
    <x v="15"/>
    <s v="Combined Heat and Power, Electric Power"/>
    <x v="0"/>
    <n v="7527422"/>
  </r>
  <r>
    <x v="22"/>
    <x v="15"/>
    <s v="Combined Heat and Power, Electric Power"/>
    <x v="1"/>
    <n v="5218650"/>
  </r>
  <r>
    <x v="22"/>
    <x v="15"/>
    <s v="Combined Heat and Power, Electric Power"/>
    <x v="3"/>
    <n v="2308769"/>
  </r>
  <r>
    <x v="22"/>
    <x v="15"/>
    <s v="Combined Heat and Power, Electric Power"/>
    <x v="4"/>
    <n v="2"/>
  </r>
  <r>
    <x v="22"/>
    <x v="15"/>
    <s v="Electric Generators, Independent Power Producers"/>
    <x v="0"/>
    <n v="3994124"/>
  </r>
  <r>
    <x v="22"/>
    <x v="15"/>
    <s v="Electric Generators, Independent Power Producers"/>
    <x v="1"/>
    <n v="528341"/>
  </r>
  <r>
    <x v="22"/>
    <x v="15"/>
    <s v="Electric Generators, Independent Power Producers"/>
    <x v="3"/>
    <n v="256700"/>
  </r>
  <r>
    <x v="22"/>
    <x v="15"/>
    <s v="Electric Generators, Independent Power Producers"/>
    <x v="13"/>
    <n v="171"/>
  </r>
  <r>
    <x v="22"/>
    <x v="15"/>
    <s v="Electric Generators, Independent Power Producers"/>
    <x v="5"/>
    <n v="3208912"/>
  </r>
  <r>
    <x v="22"/>
    <x v="15"/>
    <s v="Electric Generators, Electric Utilities"/>
    <x v="0"/>
    <n v="99680685"/>
  </r>
  <r>
    <x v="22"/>
    <x v="15"/>
    <s v="Electric Generators, Electric Utilities"/>
    <x v="1"/>
    <n v="86532458"/>
  </r>
  <r>
    <x v="22"/>
    <x v="15"/>
    <s v="Electric Generators, Electric Utilities"/>
    <x v="2"/>
    <n v="433505"/>
  </r>
  <r>
    <x v="22"/>
    <x v="15"/>
    <s v="Electric Generators, Electric Utilities"/>
    <x v="3"/>
    <n v="11432403"/>
  </r>
  <r>
    <x v="22"/>
    <x v="15"/>
    <s v="Electric Generators, Electric Utilities"/>
    <x v="12"/>
    <n v="57375"/>
  </r>
  <r>
    <x v="22"/>
    <x v="15"/>
    <s v="Electric Generators, Electric Utilities"/>
    <x v="4"/>
    <n v="939073"/>
  </r>
  <r>
    <x v="22"/>
    <x v="15"/>
    <s v="Electric Generators, Electric Utilities"/>
    <x v="8"/>
    <n v="285871"/>
  </r>
  <r>
    <x v="22"/>
    <x v="16"/>
    <s v="Total Electric Power Industry"/>
    <x v="0"/>
    <n v="44424691"/>
  </r>
  <r>
    <x v="22"/>
    <x v="16"/>
    <s v="Total Electric Power Industry"/>
    <x v="1"/>
    <n v="27982531"/>
  </r>
  <r>
    <x v="22"/>
    <x v="16"/>
    <s v="Total Electric Power Industry"/>
    <x v="2"/>
    <n v="10399"/>
  </r>
  <r>
    <x v="22"/>
    <x v="16"/>
    <s v="Total Electric Power Industry"/>
    <x v="3"/>
    <n v="2859812"/>
  </r>
  <r>
    <x v="22"/>
    <x v="16"/>
    <s v="Total Electric Power Industry"/>
    <x v="7"/>
    <n v="8284924"/>
  </r>
  <r>
    <x v="22"/>
    <x v="16"/>
    <s v="Total Electric Power Industry"/>
    <x v="4"/>
    <n v="34371"/>
  </r>
  <r>
    <x v="22"/>
    <x v="16"/>
    <s v="Total Electric Power Industry"/>
    <x v="8"/>
    <n v="57347"/>
  </r>
  <r>
    <x v="22"/>
    <x v="16"/>
    <s v="Total Electric Power Industry"/>
    <x v="5"/>
    <n v="5195306"/>
  </r>
  <r>
    <x v="22"/>
    <x v="16"/>
    <s v="Combined Heat and Power, Industrial Power"/>
    <x v="0"/>
    <n v="64534"/>
  </r>
  <r>
    <x v="22"/>
    <x v="16"/>
    <s v="Combined Heat and Power, Industrial Power"/>
    <x v="3"/>
    <n v="64534"/>
  </r>
  <r>
    <x v="22"/>
    <x v="16"/>
    <s v="Electric Generators, Independent Power Producers"/>
    <x v="0"/>
    <n v="4411011"/>
  </r>
  <r>
    <x v="22"/>
    <x v="16"/>
    <s v="Electric Generators, Independent Power Producers"/>
    <x v="2"/>
    <n v="10399"/>
  </r>
  <r>
    <x v="22"/>
    <x v="16"/>
    <s v="Electric Generators, Independent Power Producers"/>
    <x v="8"/>
    <n v="57347"/>
  </r>
  <r>
    <x v="22"/>
    <x v="16"/>
    <s v="Electric Generators, Independent Power Producers"/>
    <x v="5"/>
    <n v="4343265"/>
  </r>
  <r>
    <x v="22"/>
    <x v="16"/>
    <s v="Electric Generators, Electric Utilities"/>
    <x v="0"/>
    <n v="39949146"/>
  </r>
  <r>
    <x v="22"/>
    <x v="16"/>
    <s v="Electric Generators, Electric Utilities"/>
    <x v="1"/>
    <n v="27982531"/>
  </r>
  <r>
    <x v="22"/>
    <x v="16"/>
    <s v="Electric Generators, Electric Utilities"/>
    <x v="3"/>
    <n v="2795278"/>
  </r>
  <r>
    <x v="22"/>
    <x v="16"/>
    <s v="Electric Generators, Electric Utilities"/>
    <x v="7"/>
    <n v="8284924"/>
  </r>
  <r>
    <x v="22"/>
    <x v="16"/>
    <s v="Electric Generators, Electric Utilities"/>
    <x v="4"/>
    <n v="34371"/>
  </r>
  <r>
    <x v="22"/>
    <x v="16"/>
    <s v="Electric Generators, Electric Utilities"/>
    <x v="8"/>
    <n v="0"/>
  </r>
  <r>
    <x v="22"/>
    <x v="16"/>
    <s v="Electric Generators, Electric Utilities"/>
    <x v="5"/>
    <n v="852041"/>
  </r>
  <r>
    <x v="22"/>
    <x v="17"/>
    <s v="Total Electric Power Industry"/>
    <x v="0"/>
    <n v="89949689"/>
  </r>
  <r>
    <x v="22"/>
    <x v="17"/>
    <s v="Total Electric Power Industry"/>
    <x v="1"/>
    <n v="82761668"/>
  </r>
  <r>
    <x v="22"/>
    <x v="17"/>
    <s v="Total Electric Power Industry"/>
    <x v="2"/>
    <n v="2361782"/>
  </r>
  <r>
    <x v="22"/>
    <x v="17"/>
    <s v="Total Electric Power Industry"/>
    <x v="3"/>
    <n v="2948662"/>
  </r>
  <r>
    <x v="22"/>
    <x v="17"/>
    <s v="Total Electric Power Industry"/>
    <x v="12"/>
    <n v="8075"/>
  </r>
  <r>
    <x v="22"/>
    <x v="17"/>
    <s v="Total Electric Power Industry"/>
    <x v="4"/>
    <n v="1536621"/>
  </r>
  <r>
    <x v="22"/>
    <x v="17"/>
    <s v="Total Electric Power Industry"/>
    <x v="8"/>
    <n v="96336"/>
  </r>
  <r>
    <x v="22"/>
    <x v="17"/>
    <s v="Total Electric Power Industry"/>
    <x v="6"/>
    <n v="236543"/>
  </r>
  <r>
    <x v="22"/>
    <x v="17"/>
    <s v="Combined Heat and Power, Industrial Power"/>
    <x v="0"/>
    <n v="468277"/>
  </r>
  <r>
    <x v="22"/>
    <x v="17"/>
    <s v="Combined Heat and Power, Industrial Power"/>
    <x v="3"/>
    <n v="230639"/>
  </r>
  <r>
    <x v="22"/>
    <x v="17"/>
    <s v="Combined Heat and Power, Industrial Power"/>
    <x v="8"/>
    <n v="1094"/>
  </r>
  <r>
    <x v="22"/>
    <x v="17"/>
    <s v="Combined Heat and Power, Industrial Power"/>
    <x v="6"/>
    <n v="236543"/>
  </r>
  <r>
    <x v="22"/>
    <x v="17"/>
    <s v="Electric Generators, Independent Power Producers"/>
    <x v="0"/>
    <n v="325782"/>
  </r>
  <r>
    <x v="22"/>
    <x v="17"/>
    <s v="Electric Generators, Independent Power Producers"/>
    <x v="2"/>
    <n v="8306"/>
  </r>
  <r>
    <x v="22"/>
    <x v="17"/>
    <s v="Electric Generators, Independent Power Producers"/>
    <x v="3"/>
    <n v="317476"/>
  </r>
  <r>
    <x v="22"/>
    <x v="17"/>
    <s v="Electric Generators, Electric Utilities"/>
    <x v="0"/>
    <n v="89155630"/>
  </r>
  <r>
    <x v="22"/>
    <x v="17"/>
    <s v="Electric Generators, Electric Utilities"/>
    <x v="1"/>
    <n v="82761668"/>
  </r>
  <r>
    <x v="22"/>
    <x v="17"/>
    <s v="Electric Generators, Electric Utilities"/>
    <x v="2"/>
    <n v="2353476"/>
  </r>
  <r>
    <x v="22"/>
    <x v="17"/>
    <s v="Electric Generators, Electric Utilities"/>
    <x v="3"/>
    <n v="2400547"/>
  </r>
  <r>
    <x v="22"/>
    <x v="17"/>
    <s v="Electric Generators, Electric Utilities"/>
    <x v="12"/>
    <n v="8075"/>
  </r>
  <r>
    <x v="22"/>
    <x v="17"/>
    <s v="Electric Generators, Electric Utilities"/>
    <x v="4"/>
    <n v="1536621"/>
  </r>
  <r>
    <x v="22"/>
    <x v="17"/>
    <s v="Electric Generators, Electric Utilities"/>
    <x v="8"/>
    <n v="95242"/>
  </r>
  <r>
    <x v="22"/>
    <x v="18"/>
    <s v="Total Electric Power Industry"/>
    <x v="0"/>
    <n v="103407706"/>
  </r>
  <r>
    <x v="22"/>
    <x v="18"/>
    <s v="Total Electric Power Industry"/>
    <x v="1"/>
    <n v="21421869"/>
  </r>
  <r>
    <x v="22"/>
    <x v="18"/>
    <s v="Total Electric Power Industry"/>
    <x v="2"/>
    <n v="679944"/>
  </r>
  <r>
    <x v="22"/>
    <x v="18"/>
    <s v="Total Electric Power Industry"/>
    <x v="3"/>
    <n v="58563756"/>
  </r>
  <r>
    <x v="22"/>
    <x v="18"/>
    <s v="Total Electric Power Industry"/>
    <x v="7"/>
    <n v="15659132"/>
  </r>
  <r>
    <x v="22"/>
    <x v="18"/>
    <s v="Total Electric Power Industry"/>
    <x v="9"/>
    <n v="1247401"/>
  </r>
  <r>
    <x v="22"/>
    <x v="18"/>
    <s v="Total Electric Power Industry"/>
    <x v="12"/>
    <n v="375714"/>
  </r>
  <r>
    <x v="22"/>
    <x v="18"/>
    <s v="Total Electric Power Industry"/>
    <x v="4"/>
    <n v="3029848"/>
  </r>
  <r>
    <x v="22"/>
    <x v="18"/>
    <s v="Total Electric Power Industry"/>
    <x v="8"/>
    <n v="63762"/>
  </r>
  <r>
    <x v="22"/>
    <x v="18"/>
    <s v="Total Electric Power Industry"/>
    <x v="6"/>
    <n v="2366281"/>
  </r>
  <r>
    <x v="22"/>
    <x v="18"/>
    <s v="Combined Heat and Power, Industrial Power"/>
    <x v="0"/>
    <n v="27989972"/>
  </r>
  <r>
    <x v="22"/>
    <x v="18"/>
    <s v="Combined Heat and Power, Industrial Power"/>
    <x v="1"/>
    <n v="440"/>
  </r>
  <r>
    <x v="22"/>
    <x v="18"/>
    <s v="Combined Heat and Power, Industrial Power"/>
    <x v="3"/>
    <n v="23951785"/>
  </r>
  <r>
    <x v="22"/>
    <x v="18"/>
    <s v="Combined Heat and Power, Industrial Power"/>
    <x v="9"/>
    <n v="981514"/>
  </r>
  <r>
    <x v="22"/>
    <x v="18"/>
    <s v="Combined Heat and Power, Industrial Power"/>
    <x v="12"/>
    <n v="375714"/>
  </r>
  <r>
    <x v="22"/>
    <x v="18"/>
    <s v="Combined Heat and Power, Industrial Power"/>
    <x v="4"/>
    <n v="310163"/>
  </r>
  <r>
    <x v="22"/>
    <x v="18"/>
    <s v="Combined Heat and Power, Industrial Power"/>
    <x v="8"/>
    <n v="4075"/>
  </r>
  <r>
    <x v="22"/>
    <x v="18"/>
    <s v="Combined Heat and Power, Industrial Power"/>
    <x v="6"/>
    <n v="2366281"/>
  </r>
  <r>
    <x v="22"/>
    <x v="18"/>
    <s v="Combined Heat and Power, Commercial Power"/>
    <x v="0"/>
    <n v="45015"/>
  </r>
  <r>
    <x v="22"/>
    <x v="18"/>
    <s v="Combined Heat and Power, Commercial Power"/>
    <x v="3"/>
    <n v="45015"/>
  </r>
  <r>
    <x v="22"/>
    <x v="18"/>
    <s v="Combined Heat and Power, Electric Power"/>
    <x v="0"/>
    <n v="5848697"/>
  </r>
  <r>
    <x v="22"/>
    <x v="18"/>
    <s v="Combined Heat and Power, Electric Power"/>
    <x v="3"/>
    <n v="5582810"/>
  </r>
  <r>
    <x v="22"/>
    <x v="18"/>
    <s v="Combined Heat and Power, Electric Power"/>
    <x v="9"/>
    <n v="265887"/>
  </r>
  <r>
    <x v="22"/>
    <x v="18"/>
    <s v="Combined Heat and Power, Electric Power"/>
    <x v="4"/>
    <n v="0"/>
  </r>
  <r>
    <x v="22"/>
    <x v="18"/>
    <s v="Electric Generators, Independent Power Producers"/>
    <x v="0"/>
    <n v="17475854"/>
  </r>
  <r>
    <x v="22"/>
    <x v="18"/>
    <s v="Electric Generators, Independent Power Producers"/>
    <x v="1"/>
    <n v="10258152"/>
  </r>
  <r>
    <x v="22"/>
    <x v="18"/>
    <s v="Electric Generators, Independent Power Producers"/>
    <x v="2"/>
    <n v="679944"/>
  </r>
  <r>
    <x v="22"/>
    <x v="18"/>
    <s v="Electric Generators, Independent Power Producers"/>
    <x v="3"/>
    <n v="6459215"/>
  </r>
  <r>
    <x v="22"/>
    <x v="18"/>
    <s v="Electric Generators, Independent Power Producers"/>
    <x v="4"/>
    <n v="18857"/>
  </r>
  <r>
    <x v="22"/>
    <x v="18"/>
    <s v="Electric Generators, Independent Power Producers"/>
    <x v="8"/>
    <n v="59686"/>
  </r>
  <r>
    <x v="22"/>
    <x v="18"/>
    <s v="Electric Generators, Electric Utilities"/>
    <x v="0"/>
    <n v="52048167"/>
  </r>
  <r>
    <x v="22"/>
    <x v="18"/>
    <s v="Electric Generators, Electric Utilities"/>
    <x v="1"/>
    <n v="11163277"/>
  </r>
  <r>
    <x v="22"/>
    <x v="18"/>
    <s v="Electric Generators, Electric Utilities"/>
    <x v="3"/>
    <n v="22524931"/>
  </r>
  <r>
    <x v="22"/>
    <x v="18"/>
    <s v="Electric Generators, Electric Utilities"/>
    <x v="7"/>
    <n v="15659132"/>
  </r>
  <r>
    <x v="22"/>
    <x v="18"/>
    <s v="Electric Generators, Electric Utilities"/>
    <x v="4"/>
    <n v="2700828"/>
  </r>
  <r>
    <x v="22"/>
    <x v="19"/>
    <s v="Total Electric Power Industry"/>
    <x v="0"/>
    <n v="35578421"/>
  </r>
  <r>
    <x v="22"/>
    <x v="19"/>
    <s v="Total Electric Power Industry"/>
    <x v="1"/>
    <n v="2136922"/>
  </r>
  <r>
    <x v="22"/>
    <x v="19"/>
    <s v="Total Electric Power Industry"/>
    <x v="10"/>
    <n v="-307545"/>
  </r>
  <r>
    <x v="22"/>
    <x v="19"/>
    <s v="Total Electric Power Industry"/>
    <x v="2"/>
    <n v="912482"/>
  </r>
  <r>
    <x v="22"/>
    <x v="19"/>
    <s v="Total Electric Power Industry"/>
    <x v="3"/>
    <n v="24672381"/>
  </r>
  <r>
    <x v="22"/>
    <x v="19"/>
    <s v="Total Electric Power Industry"/>
    <x v="7"/>
    <n v="5859540"/>
  </r>
  <r>
    <x v="22"/>
    <x v="19"/>
    <s v="Total Electric Power Industry"/>
    <x v="12"/>
    <n v="877309"/>
  </r>
  <r>
    <x v="22"/>
    <x v="19"/>
    <s v="Total Electric Power Industry"/>
    <x v="4"/>
    <n v="150398"/>
  </r>
  <r>
    <x v="22"/>
    <x v="19"/>
    <s v="Total Electric Power Industry"/>
    <x v="13"/>
    <n v="29614"/>
  </r>
  <r>
    <x v="22"/>
    <x v="19"/>
    <s v="Total Electric Power Industry"/>
    <x v="8"/>
    <n v="1056204"/>
  </r>
  <r>
    <x v="22"/>
    <x v="19"/>
    <s v="Total Electric Power Industry"/>
    <x v="5"/>
    <n v="89673"/>
  </r>
  <r>
    <x v="22"/>
    <x v="19"/>
    <s v="Total Electric Power Industry"/>
    <x v="6"/>
    <n v="101444"/>
  </r>
  <r>
    <x v="22"/>
    <x v="19"/>
    <s v="Combined Heat and Power, Industrial Power"/>
    <x v="0"/>
    <n v="196993"/>
  </r>
  <r>
    <x v="22"/>
    <x v="19"/>
    <s v="Combined Heat and Power, Industrial Power"/>
    <x v="1"/>
    <n v="26926"/>
  </r>
  <r>
    <x v="22"/>
    <x v="19"/>
    <s v="Combined Heat and Power, Industrial Power"/>
    <x v="2"/>
    <n v="4040"/>
  </r>
  <r>
    <x v="22"/>
    <x v="19"/>
    <s v="Combined Heat and Power, Industrial Power"/>
    <x v="3"/>
    <n v="165522"/>
  </r>
  <r>
    <x v="22"/>
    <x v="19"/>
    <s v="Combined Heat and Power, Industrial Power"/>
    <x v="4"/>
    <n v="505"/>
  </r>
  <r>
    <x v="22"/>
    <x v="19"/>
    <s v="Combined Heat and Power, Commercial Power"/>
    <x v="0"/>
    <n v="469212"/>
  </r>
  <r>
    <x v="22"/>
    <x v="19"/>
    <s v="Combined Heat and Power, Commercial Power"/>
    <x v="2"/>
    <n v="5341"/>
  </r>
  <r>
    <x v="22"/>
    <x v="19"/>
    <s v="Combined Heat and Power, Commercial Power"/>
    <x v="3"/>
    <n v="416358"/>
  </r>
  <r>
    <x v="22"/>
    <x v="19"/>
    <s v="Combined Heat and Power, Commercial Power"/>
    <x v="4"/>
    <n v="36502"/>
  </r>
  <r>
    <x v="22"/>
    <x v="19"/>
    <s v="Combined Heat and Power, Commercial Power"/>
    <x v="13"/>
    <n v="879"/>
  </r>
  <r>
    <x v="22"/>
    <x v="19"/>
    <s v="Combined Heat and Power, Commercial Power"/>
    <x v="8"/>
    <n v="881"/>
  </r>
  <r>
    <x v="22"/>
    <x v="19"/>
    <s v="Combined Heat and Power, Commercial Power"/>
    <x v="5"/>
    <n v="9250"/>
  </r>
  <r>
    <x v="22"/>
    <x v="19"/>
    <s v="Combined Heat and Power, Electric Power"/>
    <x v="0"/>
    <n v="2911534"/>
  </r>
  <r>
    <x v="22"/>
    <x v="19"/>
    <s v="Combined Heat and Power, Electric Power"/>
    <x v="3"/>
    <n v="2890121"/>
  </r>
  <r>
    <x v="22"/>
    <x v="19"/>
    <s v="Combined Heat and Power, Electric Power"/>
    <x v="4"/>
    <n v="21413"/>
  </r>
  <r>
    <x v="22"/>
    <x v="19"/>
    <s v="Electric Generators, Independent Power Producers"/>
    <x v="0"/>
    <n v="31409340"/>
  </r>
  <r>
    <x v="22"/>
    <x v="19"/>
    <s v="Electric Generators, Independent Power Producers"/>
    <x v="1"/>
    <n v="2109996"/>
  </r>
  <r>
    <x v="22"/>
    <x v="19"/>
    <s v="Electric Generators, Independent Power Producers"/>
    <x v="10"/>
    <n v="-307545"/>
  </r>
  <r>
    <x v="22"/>
    <x v="19"/>
    <s v="Electric Generators, Independent Power Producers"/>
    <x v="2"/>
    <n v="673300"/>
  </r>
  <r>
    <x v="22"/>
    <x v="19"/>
    <s v="Electric Generators, Independent Power Producers"/>
    <x v="3"/>
    <n v="20922080"/>
  </r>
  <r>
    <x v="22"/>
    <x v="19"/>
    <s v="Electric Generators, Independent Power Producers"/>
    <x v="7"/>
    <n v="5859540"/>
  </r>
  <r>
    <x v="22"/>
    <x v="19"/>
    <s v="Electric Generators, Independent Power Producers"/>
    <x v="12"/>
    <n v="877309"/>
  </r>
  <r>
    <x v="22"/>
    <x v="19"/>
    <s v="Electric Generators, Independent Power Producers"/>
    <x v="4"/>
    <n v="76830"/>
  </r>
  <r>
    <x v="22"/>
    <x v="19"/>
    <s v="Electric Generators, Independent Power Producers"/>
    <x v="13"/>
    <n v="19655"/>
  </r>
  <r>
    <x v="22"/>
    <x v="19"/>
    <s v="Electric Generators, Independent Power Producers"/>
    <x v="8"/>
    <n v="1055323"/>
  </r>
  <r>
    <x v="22"/>
    <x v="19"/>
    <s v="Electric Generators, Independent Power Producers"/>
    <x v="5"/>
    <n v="21408"/>
  </r>
  <r>
    <x v="22"/>
    <x v="19"/>
    <s v="Electric Generators, Independent Power Producers"/>
    <x v="6"/>
    <n v="101444"/>
  </r>
  <r>
    <x v="22"/>
    <x v="19"/>
    <s v="Electric Generators, Electric Utilities"/>
    <x v="0"/>
    <n v="591343"/>
  </r>
  <r>
    <x v="22"/>
    <x v="19"/>
    <s v="Electric Generators, Electric Utilities"/>
    <x v="2"/>
    <n v="229801"/>
  </r>
  <r>
    <x v="22"/>
    <x v="19"/>
    <s v="Electric Generators, Electric Utilities"/>
    <x v="3"/>
    <n v="278299"/>
  </r>
  <r>
    <x v="22"/>
    <x v="19"/>
    <s v="Electric Generators, Electric Utilities"/>
    <x v="4"/>
    <n v="15148"/>
  </r>
  <r>
    <x v="22"/>
    <x v="19"/>
    <s v="Electric Generators, Electric Utilities"/>
    <x v="13"/>
    <n v="9080"/>
  </r>
  <r>
    <x v="22"/>
    <x v="19"/>
    <s v="Electric Generators, Electric Utilities"/>
    <x v="5"/>
    <n v="59015"/>
  </r>
  <r>
    <x v="22"/>
    <x v="20"/>
    <s v="Total Electric Power Industry"/>
    <x v="0"/>
    <n v="37809744"/>
  </r>
  <r>
    <x v="22"/>
    <x v="20"/>
    <s v="Total Electric Power Industry"/>
    <x v="1"/>
    <n v="16184773"/>
  </r>
  <r>
    <x v="22"/>
    <x v="20"/>
    <s v="Total Electric Power Industry"/>
    <x v="2"/>
    <n v="1656539"/>
  </r>
  <r>
    <x v="22"/>
    <x v="20"/>
    <s v="Total Electric Power Industry"/>
    <x v="3"/>
    <n v="4944895"/>
  </r>
  <r>
    <x v="22"/>
    <x v="20"/>
    <s v="Total Electric Power Industry"/>
    <x v="7"/>
    <n v="13579266"/>
  </r>
  <r>
    <x v="22"/>
    <x v="20"/>
    <s v="Total Electric Power Industry"/>
    <x v="9"/>
    <n v="112314"/>
  </r>
  <r>
    <x v="22"/>
    <x v="20"/>
    <s v="Total Electric Power Industry"/>
    <x v="12"/>
    <n v="296499"/>
  </r>
  <r>
    <x v="22"/>
    <x v="20"/>
    <s v="Total Electric Power Industry"/>
    <x v="4"/>
    <n v="137305"/>
  </r>
  <r>
    <x v="22"/>
    <x v="20"/>
    <s v="Total Electric Power Industry"/>
    <x v="13"/>
    <n v="22473"/>
  </r>
  <r>
    <x v="22"/>
    <x v="20"/>
    <s v="Total Electric Power Industry"/>
    <x v="8"/>
    <n v="395039"/>
  </r>
  <r>
    <x v="22"/>
    <x v="20"/>
    <s v="Total Electric Power Industry"/>
    <x v="5"/>
    <n v="321687"/>
  </r>
  <r>
    <x v="22"/>
    <x v="20"/>
    <s v="Total Electric Power Industry"/>
    <x v="6"/>
    <n v="158953"/>
  </r>
  <r>
    <x v="22"/>
    <x v="20"/>
    <s v="Combined Heat and Power, Industrial Power"/>
    <x v="0"/>
    <n v="544635"/>
  </r>
  <r>
    <x v="22"/>
    <x v="20"/>
    <s v="Combined Heat and Power, Industrial Power"/>
    <x v="1"/>
    <n v="169477"/>
  </r>
  <r>
    <x v="22"/>
    <x v="20"/>
    <s v="Combined Heat and Power, Industrial Power"/>
    <x v="3"/>
    <n v="114067"/>
  </r>
  <r>
    <x v="22"/>
    <x v="20"/>
    <s v="Combined Heat and Power, Industrial Power"/>
    <x v="9"/>
    <n v="112314"/>
  </r>
  <r>
    <x v="22"/>
    <x v="20"/>
    <s v="Combined Heat and Power, Industrial Power"/>
    <x v="4"/>
    <n v="7668"/>
  </r>
  <r>
    <x v="22"/>
    <x v="20"/>
    <s v="Combined Heat and Power, Industrial Power"/>
    <x v="6"/>
    <n v="141109"/>
  </r>
  <r>
    <x v="22"/>
    <x v="20"/>
    <s v="Combined Heat and Power, Commercial Power"/>
    <x v="0"/>
    <n v="235266"/>
  </r>
  <r>
    <x v="22"/>
    <x v="20"/>
    <s v="Combined Heat and Power, Commercial Power"/>
    <x v="1"/>
    <n v="9850"/>
  </r>
  <r>
    <x v="22"/>
    <x v="20"/>
    <s v="Combined Heat and Power, Commercial Power"/>
    <x v="3"/>
    <n v="172345"/>
  </r>
  <r>
    <x v="22"/>
    <x v="20"/>
    <s v="Combined Heat and Power, Commercial Power"/>
    <x v="12"/>
    <n v="742"/>
  </r>
  <r>
    <x v="22"/>
    <x v="20"/>
    <s v="Combined Heat and Power, Commercial Power"/>
    <x v="4"/>
    <n v="15883"/>
  </r>
  <r>
    <x v="22"/>
    <x v="20"/>
    <s v="Combined Heat and Power, Commercial Power"/>
    <x v="13"/>
    <n v="1364"/>
  </r>
  <r>
    <x v="22"/>
    <x v="20"/>
    <s v="Combined Heat and Power, Commercial Power"/>
    <x v="8"/>
    <n v="17238"/>
  </r>
  <r>
    <x v="22"/>
    <x v="20"/>
    <s v="Combined Heat and Power, Commercial Power"/>
    <x v="6"/>
    <n v="17844"/>
  </r>
  <r>
    <x v="22"/>
    <x v="20"/>
    <s v="Combined Heat and Power, Electric Power"/>
    <x v="0"/>
    <n v="1846834"/>
  </r>
  <r>
    <x v="22"/>
    <x v="20"/>
    <s v="Combined Heat and Power, Electric Power"/>
    <x v="1"/>
    <n v="1312666"/>
  </r>
  <r>
    <x v="22"/>
    <x v="20"/>
    <s v="Combined Heat and Power, Electric Power"/>
    <x v="3"/>
    <n v="232109"/>
  </r>
  <r>
    <x v="22"/>
    <x v="20"/>
    <s v="Combined Heat and Power, Electric Power"/>
    <x v="12"/>
    <n v="146915"/>
  </r>
  <r>
    <x v="22"/>
    <x v="20"/>
    <s v="Combined Heat and Power, Electric Power"/>
    <x v="4"/>
    <n v="2228"/>
  </r>
  <r>
    <x v="22"/>
    <x v="20"/>
    <s v="Combined Heat and Power, Electric Power"/>
    <x v="8"/>
    <n v="152916"/>
  </r>
  <r>
    <x v="22"/>
    <x v="20"/>
    <s v="Combined Heat and Power, Electric Power"/>
    <x v="6"/>
    <n v="0"/>
  </r>
  <r>
    <x v="22"/>
    <x v="20"/>
    <s v="Electric Generators, Independent Power Producers"/>
    <x v="0"/>
    <n v="35174054"/>
  </r>
  <r>
    <x v="22"/>
    <x v="20"/>
    <s v="Electric Generators, Independent Power Producers"/>
    <x v="1"/>
    <n v="14692780"/>
  </r>
  <r>
    <x v="22"/>
    <x v="20"/>
    <s v="Electric Generators, Independent Power Producers"/>
    <x v="2"/>
    <n v="1656539"/>
  </r>
  <r>
    <x v="22"/>
    <x v="20"/>
    <s v="Electric Generators, Independent Power Producers"/>
    <x v="3"/>
    <n v="4426374"/>
  </r>
  <r>
    <x v="22"/>
    <x v="20"/>
    <s v="Electric Generators, Independent Power Producers"/>
    <x v="7"/>
    <n v="13579266"/>
  </r>
  <r>
    <x v="22"/>
    <x v="20"/>
    <s v="Electric Generators, Independent Power Producers"/>
    <x v="12"/>
    <n v="148841"/>
  </r>
  <r>
    <x v="22"/>
    <x v="20"/>
    <s v="Electric Generators, Independent Power Producers"/>
    <x v="4"/>
    <n v="105681"/>
  </r>
  <r>
    <x v="22"/>
    <x v="20"/>
    <s v="Electric Generators, Independent Power Producers"/>
    <x v="13"/>
    <n v="18000"/>
  </r>
  <r>
    <x v="22"/>
    <x v="20"/>
    <s v="Electric Generators, Independent Power Producers"/>
    <x v="8"/>
    <n v="224886"/>
  </r>
  <r>
    <x v="22"/>
    <x v="20"/>
    <s v="Electric Generators, Independent Power Producers"/>
    <x v="5"/>
    <n v="321687"/>
  </r>
  <r>
    <x v="22"/>
    <x v="20"/>
    <s v="Electric Generators, Electric Utilities"/>
    <x v="0"/>
    <n v="8955"/>
  </r>
  <r>
    <x v="22"/>
    <x v="20"/>
    <s v="Electric Generators, Electric Utilities"/>
    <x v="3"/>
    <n v="0"/>
  </r>
  <r>
    <x v="22"/>
    <x v="20"/>
    <s v="Electric Generators, Electric Utilities"/>
    <x v="4"/>
    <n v="5846"/>
  </r>
  <r>
    <x v="22"/>
    <x v="20"/>
    <s v="Electric Generators, Electric Utilities"/>
    <x v="13"/>
    <n v="3109"/>
  </r>
  <r>
    <x v="22"/>
    <x v="20"/>
    <s v="Electric Generators, Electric Utilities"/>
    <x v="8"/>
    <n v="0"/>
  </r>
  <r>
    <x v="22"/>
    <x v="21"/>
    <s v="Total Electric Power Industry"/>
    <x v="0"/>
    <n v="15048296"/>
  </r>
  <r>
    <x v="22"/>
    <x v="21"/>
    <s v="Total Electric Power Industry"/>
    <x v="1"/>
    <n v="45258"/>
  </r>
  <r>
    <x v="22"/>
    <x v="21"/>
    <s v="Total Electric Power Industry"/>
    <x v="2"/>
    <n v="3732604"/>
  </r>
  <r>
    <x v="22"/>
    <x v="21"/>
    <s v="Total Electric Power Industry"/>
    <x v="3"/>
    <n v="6043695"/>
  </r>
  <r>
    <x v="22"/>
    <x v="21"/>
    <s v="Total Electric Power Industry"/>
    <x v="12"/>
    <n v="453598"/>
  </r>
  <r>
    <x v="22"/>
    <x v="21"/>
    <s v="Total Electric Power Industry"/>
    <x v="4"/>
    <n v="107861"/>
  </r>
  <r>
    <x v="22"/>
    <x v="21"/>
    <s v="Total Electric Power Industry"/>
    <x v="8"/>
    <n v="275864"/>
  </r>
  <r>
    <x v="22"/>
    <x v="21"/>
    <s v="Total Electric Power Industry"/>
    <x v="5"/>
    <n v="886918"/>
  </r>
  <r>
    <x v="22"/>
    <x v="21"/>
    <s v="Total Electric Power Industry"/>
    <x v="6"/>
    <n v="3502497"/>
  </r>
  <r>
    <x v="22"/>
    <x v="21"/>
    <s v="Combined Heat and Power, Industrial Power"/>
    <x v="0"/>
    <n v="4654404"/>
  </r>
  <r>
    <x v="22"/>
    <x v="21"/>
    <s v="Combined Heat and Power, Industrial Power"/>
    <x v="1"/>
    <n v="14866"/>
  </r>
  <r>
    <x v="22"/>
    <x v="21"/>
    <s v="Combined Heat and Power, Industrial Power"/>
    <x v="2"/>
    <n v="412290"/>
  </r>
  <r>
    <x v="22"/>
    <x v="21"/>
    <s v="Combined Heat and Power, Industrial Power"/>
    <x v="3"/>
    <n v="1960480"/>
  </r>
  <r>
    <x v="22"/>
    <x v="21"/>
    <s v="Combined Heat and Power, Industrial Power"/>
    <x v="12"/>
    <n v="121073"/>
  </r>
  <r>
    <x v="22"/>
    <x v="21"/>
    <s v="Combined Heat and Power, Industrial Power"/>
    <x v="4"/>
    <n v="40516"/>
  </r>
  <r>
    <x v="22"/>
    <x v="21"/>
    <s v="Combined Heat and Power, Industrial Power"/>
    <x v="8"/>
    <n v="41791"/>
  </r>
  <r>
    <x v="22"/>
    <x v="21"/>
    <s v="Combined Heat and Power, Industrial Power"/>
    <x v="6"/>
    <n v="2063389"/>
  </r>
  <r>
    <x v="22"/>
    <x v="21"/>
    <s v="Combined Heat and Power, Commercial Power"/>
    <x v="0"/>
    <n v="207995"/>
  </r>
  <r>
    <x v="22"/>
    <x v="21"/>
    <s v="Combined Heat and Power, Commercial Power"/>
    <x v="3"/>
    <n v="26312"/>
  </r>
  <r>
    <x v="22"/>
    <x v="21"/>
    <s v="Combined Heat and Power, Commercial Power"/>
    <x v="12"/>
    <n v="87786"/>
  </r>
  <r>
    <x v="22"/>
    <x v="21"/>
    <s v="Combined Heat and Power, Commercial Power"/>
    <x v="4"/>
    <n v="2205"/>
  </r>
  <r>
    <x v="22"/>
    <x v="21"/>
    <s v="Combined Heat and Power, Commercial Power"/>
    <x v="8"/>
    <n v="91368"/>
  </r>
  <r>
    <x v="22"/>
    <x v="21"/>
    <s v="Combined Heat and Power, Commercial Power"/>
    <x v="6"/>
    <n v="323"/>
  </r>
  <r>
    <x v="22"/>
    <x v="21"/>
    <s v="Combined Heat and Power, Electric Power"/>
    <x v="0"/>
    <n v="622028"/>
  </r>
  <r>
    <x v="22"/>
    <x v="21"/>
    <s v="Combined Heat and Power, Electric Power"/>
    <x v="1"/>
    <n v="30392"/>
  </r>
  <r>
    <x v="22"/>
    <x v="21"/>
    <s v="Combined Heat and Power, Electric Power"/>
    <x v="12"/>
    <n v="148234"/>
  </r>
  <r>
    <x v="22"/>
    <x v="21"/>
    <s v="Combined Heat and Power, Electric Power"/>
    <x v="4"/>
    <n v="5703"/>
  </r>
  <r>
    <x v="22"/>
    <x v="21"/>
    <s v="Combined Heat and Power, Electric Power"/>
    <x v="8"/>
    <n v="17420"/>
  </r>
  <r>
    <x v="22"/>
    <x v="21"/>
    <s v="Combined Heat and Power, Electric Power"/>
    <x v="6"/>
    <n v="420279"/>
  </r>
  <r>
    <x v="22"/>
    <x v="21"/>
    <s v="Electric Generators, Independent Power Producers"/>
    <x v="0"/>
    <n v="9563701"/>
  </r>
  <r>
    <x v="22"/>
    <x v="21"/>
    <s v="Electric Generators, Independent Power Producers"/>
    <x v="2"/>
    <n v="3320314"/>
  </r>
  <r>
    <x v="22"/>
    <x v="21"/>
    <s v="Electric Generators, Independent Power Producers"/>
    <x v="3"/>
    <n v="4056904"/>
  </r>
  <r>
    <x v="22"/>
    <x v="21"/>
    <s v="Electric Generators, Independent Power Producers"/>
    <x v="12"/>
    <n v="96505"/>
  </r>
  <r>
    <x v="22"/>
    <x v="21"/>
    <s v="Electric Generators, Independent Power Producers"/>
    <x v="4"/>
    <n v="59270"/>
  </r>
  <r>
    <x v="22"/>
    <x v="21"/>
    <s v="Electric Generators, Independent Power Producers"/>
    <x v="8"/>
    <n v="125285"/>
  </r>
  <r>
    <x v="22"/>
    <x v="21"/>
    <s v="Electric Generators, Independent Power Producers"/>
    <x v="5"/>
    <n v="886918"/>
  </r>
  <r>
    <x v="22"/>
    <x v="21"/>
    <s v="Electric Generators, Independent Power Producers"/>
    <x v="6"/>
    <n v="1018506"/>
  </r>
  <r>
    <x v="22"/>
    <x v="21"/>
    <s v="Electric Generators, Electric Utilities"/>
    <x v="0"/>
    <n v="168"/>
  </r>
  <r>
    <x v="22"/>
    <x v="21"/>
    <s v="Electric Generators, Electric Utilities"/>
    <x v="4"/>
    <n v="168"/>
  </r>
  <r>
    <x v="22"/>
    <x v="22"/>
    <s v="Total Electric Power Industry"/>
    <x v="0"/>
    <n v="108158050"/>
  </r>
  <r>
    <x v="22"/>
    <x v="22"/>
    <s v="Total Electric Power Industry"/>
    <x v="1"/>
    <n v="53136432"/>
  </r>
  <r>
    <x v="22"/>
    <x v="22"/>
    <s v="Total Electric Power Industry"/>
    <x v="10"/>
    <n v="-773280"/>
  </r>
  <r>
    <x v="22"/>
    <x v="22"/>
    <s v="Total Electric Power Industry"/>
    <x v="2"/>
    <n v="1206826"/>
  </r>
  <r>
    <x v="22"/>
    <x v="22"/>
    <s v="Total Electric Power Industry"/>
    <x v="3"/>
    <n v="21748358"/>
  </r>
  <r>
    <x v="22"/>
    <x v="22"/>
    <s v="Total Electric Power Industry"/>
    <x v="7"/>
    <n v="28019714"/>
  </r>
  <r>
    <x v="22"/>
    <x v="22"/>
    <s v="Total Electric Power Industry"/>
    <x v="9"/>
    <n v="314755"/>
  </r>
  <r>
    <x v="22"/>
    <x v="22"/>
    <s v="Total Electric Power Industry"/>
    <x v="12"/>
    <n v="394663"/>
  </r>
  <r>
    <x v="22"/>
    <x v="22"/>
    <s v="Total Electric Power Industry"/>
    <x v="4"/>
    <n v="325143"/>
  </r>
  <r>
    <x v="22"/>
    <x v="22"/>
    <s v="Total Electric Power Industry"/>
    <x v="8"/>
    <n v="956227"/>
  </r>
  <r>
    <x v="22"/>
    <x v="22"/>
    <s v="Total Electric Power Industry"/>
    <x v="5"/>
    <n v="1131688"/>
  </r>
  <r>
    <x v="22"/>
    <x v="22"/>
    <s v="Total Electric Power Industry"/>
    <x v="6"/>
    <n v="1697524"/>
  </r>
  <r>
    <x v="22"/>
    <x v="22"/>
    <s v="Combined Heat and Power, Industrial Power"/>
    <x v="0"/>
    <n v="1363033"/>
  </r>
  <r>
    <x v="22"/>
    <x v="22"/>
    <s v="Combined Heat and Power, Industrial Power"/>
    <x v="1"/>
    <n v="204172"/>
  </r>
  <r>
    <x v="22"/>
    <x v="22"/>
    <s v="Combined Heat and Power, Industrial Power"/>
    <x v="2"/>
    <n v="26229"/>
  </r>
  <r>
    <x v="22"/>
    <x v="22"/>
    <s v="Combined Heat and Power, Industrial Power"/>
    <x v="3"/>
    <n v="183118"/>
  </r>
  <r>
    <x v="22"/>
    <x v="22"/>
    <s v="Combined Heat and Power, Industrial Power"/>
    <x v="12"/>
    <n v="26697"/>
  </r>
  <r>
    <x v="22"/>
    <x v="22"/>
    <s v="Combined Heat and Power, Industrial Power"/>
    <x v="4"/>
    <n v="116458"/>
  </r>
  <r>
    <x v="22"/>
    <x v="22"/>
    <s v="Combined Heat and Power, Industrial Power"/>
    <x v="8"/>
    <n v="4277"/>
  </r>
  <r>
    <x v="22"/>
    <x v="22"/>
    <s v="Combined Heat and Power, Industrial Power"/>
    <x v="6"/>
    <n v="802081"/>
  </r>
  <r>
    <x v="22"/>
    <x v="22"/>
    <s v="Combined Heat and Power, Commercial Power"/>
    <x v="0"/>
    <n v="967956"/>
  </r>
  <r>
    <x v="22"/>
    <x v="22"/>
    <s v="Combined Heat and Power, Commercial Power"/>
    <x v="1"/>
    <n v="118082"/>
  </r>
  <r>
    <x v="22"/>
    <x v="22"/>
    <s v="Combined Heat and Power, Commercial Power"/>
    <x v="3"/>
    <n v="467827"/>
  </r>
  <r>
    <x v="22"/>
    <x v="22"/>
    <s v="Combined Heat and Power, Commercial Power"/>
    <x v="12"/>
    <n v="184890"/>
  </r>
  <r>
    <x v="22"/>
    <x v="22"/>
    <s v="Combined Heat and Power, Commercial Power"/>
    <x v="4"/>
    <n v="1556"/>
  </r>
  <r>
    <x v="22"/>
    <x v="22"/>
    <s v="Combined Heat and Power, Commercial Power"/>
    <x v="8"/>
    <n v="192439"/>
  </r>
  <r>
    <x v="22"/>
    <x v="22"/>
    <s v="Combined Heat and Power, Commercial Power"/>
    <x v="6"/>
    <n v="3161"/>
  </r>
  <r>
    <x v="22"/>
    <x v="22"/>
    <s v="Combined Heat and Power, Electric Power"/>
    <x v="0"/>
    <n v="11051885"/>
  </r>
  <r>
    <x v="22"/>
    <x v="22"/>
    <s v="Combined Heat and Power, Electric Power"/>
    <x v="1"/>
    <n v="331633"/>
  </r>
  <r>
    <x v="22"/>
    <x v="22"/>
    <s v="Combined Heat and Power, Electric Power"/>
    <x v="3"/>
    <n v="10240324"/>
  </r>
  <r>
    <x v="22"/>
    <x v="22"/>
    <s v="Combined Heat and Power, Electric Power"/>
    <x v="9"/>
    <n v="314755"/>
  </r>
  <r>
    <x v="22"/>
    <x v="22"/>
    <s v="Combined Heat and Power, Electric Power"/>
    <x v="12"/>
    <n v="56115"/>
  </r>
  <r>
    <x v="22"/>
    <x v="22"/>
    <s v="Combined Heat and Power, Electric Power"/>
    <x v="4"/>
    <n v="73178"/>
  </r>
  <r>
    <x v="22"/>
    <x v="22"/>
    <s v="Combined Heat and Power, Electric Power"/>
    <x v="8"/>
    <n v="4506"/>
  </r>
  <r>
    <x v="22"/>
    <x v="22"/>
    <s v="Combined Heat and Power, Electric Power"/>
    <x v="6"/>
    <n v="31374"/>
  </r>
  <r>
    <x v="22"/>
    <x v="22"/>
    <s v="Electric Generators, Independent Power Producers"/>
    <x v="0"/>
    <n v="14300177"/>
  </r>
  <r>
    <x v="22"/>
    <x v="22"/>
    <s v="Electric Generators, Independent Power Producers"/>
    <x v="1"/>
    <n v="11605"/>
  </r>
  <r>
    <x v="22"/>
    <x v="22"/>
    <s v="Electric Generators, Independent Power Producers"/>
    <x v="2"/>
    <n v="77906"/>
  </r>
  <r>
    <x v="22"/>
    <x v="22"/>
    <s v="Electric Generators, Independent Power Producers"/>
    <x v="3"/>
    <n v="6456323"/>
  </r>
  <r>
    <x v="22"/>
    <x v="22"/>
    <s v="Electric Generators, Independent Power Producers"/>
    <x v="7"/>
    <n v="5178213"/>
  </r>
  <r>
    <x v="22"/>
    <x v="22"/>
    <s v="Electric Generators, Independent Power Producers"/>
    <x v="9"/>
    <n v="0"/>
  </r>
  <r>
    <x v="22"/>
    <x v="22"/>
    <s v="Electric Generators, Independent Power Producers"/>
    <x v="12"/>
    <n v="102415"/>
  </r>
  <r>
    <x v="22"/>
    <x v="22"/>
    <s v="Electric Generators, Independent Power Producers"/>
    <x v="4"/>
    <n v="0"/>
  </r>
  <r>
    <x v="22"/>
    <x v="22"/>
    <s v="Electric Generators, Independent Power Producers"/>
    <x v="8"/>
    <n v="755004"/>
  </r>
  <r>
    <x v="22"/>
    <x v="22"/>
    <s v="Electric Generators, Independent Power Producers"/>
    <x v="5"/>
    <n v="857804"/>
  </r>
  <r>
    <x v="22"/>
    <x v="22"/>
    <s v="Electric Generators, Independent Power Producers"/>
    <x v="6"/>
    <n v="860908"/>
  </r>
  <r>
    <x v="22"/>
    <x v="22"/>
    <s v="Electric Generators, Electric Utilities"/>
    <x v="0"/>
    <n v="80474999"/>
  </r>
  <r>
    <x v="22"/>
    <x v="22"/>
    <s v="Electric Generators, Electric Utilities"/>
    <x v="1"/>
    <n v="52470940"/>
  </r>
  <r>
    <x v="22"/>
    <x v="22"/>
    <s v="Electric Generators, Electric Utilities"/>
    <x v="10"/>
    <n v="-773280"/>
  </r>
  <r>
    <x v="22"/>
    <x v="22"/>
    <s v="Electric Generators, Electric Utilities"/>
    <x v="2"/>
    <n v="1102691"/>
  </r>
  <r>
    <x v="22"/>
    <x v="22"/>
    <s v="Electric Generators, Electric Utilities"/>
    <x v="3"/>
    <n v="4400766"/>
  </r>
  <r>
    <x v="22"/>
    <x v="22"/>
    <s v="Electric Generators, Electric Utilities"/>
    <x v="7"/>
    <n v="22841501"/>
  </r>
  <r>
    <x v="22"/>
    <x v="22"/>
    <s v="Electric Generators, Electric Utilities"/>
    <x v="9"/>
    <n v="0"/>
  </r>
  <r>
    <x v="22"/>
    <x v="22"/>
    <s v="Electric Generators, Electric Utilities"/>
    <x v="12"/>
    <n v="24546"/>
  </r>
  <r>
    <x v="22"/>
    <x v="22"/>
    <s v="Electric Generators, Electric Utilities"/>
    <x v="4"/>
    <n v="133951"/>
  </r>
  <r>
    <x v="22"/>
    <x v="22"/>
    <s v="Electric Generators, Electric Utilities"/>
    <x v="8"/>
    <n v="0"/>
  </r>
  <r>
    <x v="22"/>
    <x v="22"/>
    <s v="Electric Generators, Electric Utilities"/>
    <x v="5"/>
    <n v="273884"/>
  </r>
  <r>
    <x v="22"/>
    <x v="22"/>
    <s v="Electric Generators, Electric Utilities"/>
    <x v="6"/>
    <n v="0"/>
  </r>
  <r>
    <x v="22"/>
    <x v="23"/>
    <s v="Total Electric Power Industry"/>
    <x v="0"/>
    <n v="52754433"/>
  </r>
  <r>
    <x v="22"/>
    <x v="23"/>
    <s v="Total Electric Power Industry"/>
    <x v="1"/>
    <n v="22722774"/>
  </r>
  <r>
    <x v="22"/>
    <x v="23"/>
    <s v="Total Electric Power Industry"/>
    <x v="2"/>
    <n v="561022"/>
  </r>
  <r>
    <x v="22"/>
    <x v="23"/>
    <s v="Total Electric Power Industry"/>
    <x v="3"/>
    <n v="7088205"/>
  </r>
  <r>
    <x v="22"/>
    <x v="23"/>
    <s v="Total Electric Power Industry"/>
    <x v="7"/>
    <n v="11943790"/>
  </r>
  <r>
    <x v="22"/>
    <x v="23"/>
    <s v="Total Electric Power Industry"/>
    <x v="12"/>
    <n v="394369"/>
  </r>
  <r>
    <x v="22"/>
    <x v="23"/>
    <s v="Total Electric Power Industry"/>
    <x v="4"/>
    <n v="29593"/>
  </r>
  <r>
    <x v="22"/>
    <x v="23"/>
    <s v="Total Electric Power Industry"/>
    <x v="13"/>
    <n v="0"/>
  </r>
  <r>
    <x v="22"/>
    <x v="23"/>
    <s v="Total Electric Power Industry"/>
    <x v="8"/>
    <n v="999217"/>
  </r>
  <r>
    <x v="22"/>
    <x v="23"/>
    <s v="Total Electric Power Industry"/>
    <x v="5"/>
    <n v="8176217"/>
  </r>
  <r>
    <x v="22"/>
    <x v="23"/>
    <s v="Total Electric Power Industry"/>
    <x v="6"/>
    <n v="839246"/>
  </r>
  <r>
    <x v="22"/>
    <x v="23"/>
    <s v="Combined Heat and Power, Industrial Power"/>
    <x v="0"/>
    <n v="1324439"/>
  </r>
  <r>
    <x v="22"/>
    <x v="23"/>
    <s v="Combined Heat and Power, Industrial Power"/>
    <x v="1"/>
    <n v="615934"/>
  </r>
  <r>
    <x v="22"/>
    <x v="23"/>
    <s v="Combined Heat and Power, Industrial Power"/>
    <x v="2"/>
    <n v="73936"/>
  </r>
  <r>
    <x v="22"/>
    <x v="23"/>
    <s v="Combined Heat and Power, Industrial Power"/>
    <x v="3"/>
    <n v="79423"/>
  </r>
  <r>
    <x v="22"/>
    <x v="23"/>
    <s v="Combined Heat and Power, Industrial Power"/>
    <x v="12"/>
    <n v="55219"/>
  </r>
  <r>
    <x v="22"/>
    <x v="23"/>
    <s v="Combined Heat and Power, Industrial Power"/>
    <x v="4"/>
    <n v="1198"/>
  </r>
  <r>
    <x v="22"/>
    <x v="23"/>
    <s v="Combined Heat and Power, Industrial Power"/>
    <x v="8"/>
    <n v="6807"/>
  </r>
  <r>
    <x v="22"/>
    <x v="23"/>
    <s v="Combined Heat and Power, Industrial Power"/>
    <x v="6"/>
    <n v="491922"/>
  </r>
  <r>
    <x v="22"/>
    <x v="23"/>
    <s v="Combined Heat and Power, Commercial Power"/>
    <x v="0"/>
    <n v="172657"/>
  </r>
  <r>
    <x v="22"/>
    <x v="23"/>
    <s v="Combined Heat and Power, Commercial Power"/>
    <x v="1"/>
    <n v="0"/>
  </r>
  <r>
    <x v="22"/>
    <x v="23"/>
    <s v="Combined Heat and Power, Commercial Power"/>
    <x v="3"/>
    <n v="105433"/>
  </r>
  <r>
    <x v="22"/>
    <x v="23"/>
    <s v="Combined Heat and Power, Commercial Power"/>
    <x v="12"/>
    <n v="28051"/>
  </r>
  <r>
    <x v="22"/>
    <x v="23"/>
    <s v="Combined Heat and Power, Commercial Power"/>
    <x v="4"/>
    <n v="1096"/>
  </r>
  <r>
    <x v="22"/>
    <x v="23"/>
    <s v="Combined Heat and Power, Commercial Power"/>
    <x v="8"/>
    <n v="10228"/>
  </r>
  <r>
    <x v="22"/>
    <x v="23"/>
    <s v="Combined Heat and Power, Commercial Power"/>
    <x v="5"/>
    <n v="27850"/>
  </r>
  <r>
    <x v="22"/>
    <x v="23"/>
    <s v="Combined Heat and Power, Electric Power"/>
    <x v="0"/>
    <n v="835479"/>
  </r>
  <r>
    <x v="22"/>
    <x v="23"/>
    <s v="Combined Heat and Power, Electric Power"/>
    <x v="3"/>
    <n v="544668"/>
  </r>
  <r>
    <x v="22"/>
    <x v="23"/>
    <s v="Combined Heat and Power, Electric Power"/>
    <x v="4"/>
    <n v="3416"/>
  </r>
  <r>
    <x v="22"/>
    <x v="23"/>
    <s v="Combined Heat and Power, Electric Power"/>
    <x v="8"/>
    <n v="74763"/>
  </r>
  <r>
    <x v="22"/>
    <x v="23"/>
    <s v="Combined Heat and Power, Electric Power"/>
    <x v="6"/>
    <n v="212632"/>
  </r>
  <r>
    <x v="22"/>
    <x v="23"/>
    <s v="Electric Generators, Independent Power Producers"/>
    <x v="0"/>
    <n v="8083809"/>
  </r>
  <r>
    <x v="22"/>
    <x v="23"/>
    <s v="Electric Generators, Independent Power Producers"/>
    <x v="2"/>
    <n v="147786"/>
  </r>
  <r>
    <x v="22"/>
    <x v="23"/>
    <s v="Electric Generators, Independent Power Producers"/>
    <x v="3"/>
    <n v="612242"/>
  </r>
  <r>
    <x v="22"/>
    <x v="23"/>
    <s v="Electric Generators, Independent Power Producers"/>
    <x v="12"/>
    <n v="148505"/>
  </r>
  <r>
    <x v="22"/>
    <x v="23"/>
    <s v="Electric Generators, Independent Power Producers"/>
    <x v="4"/>
    <n v="1018"/>
  </r>
  <r>
    <x v="22"/>
    <x v="23"/>
    <s v="Electric Generators, Independent Power Producers"/>
    <x v="13"/>
    <n v="0"/>
  </r>
  <r>
    <x v="22"/>
    <x v="23"/>
    <s v="Electric Generators, Independent Power Producers"/>
    <x v="8"/>
    <n v="638890"/>
  </r>
  <r>
    <x v="22"/>
    <x v="23"/>
    <s v="Electric Generators, Independent Power Producers"/>
    <x v="5"/>
    <n v="6535368"/>
  </r>
  <r>
    <x v="22"/>
    <x v="23"/>
    <s v="Electric Generators, Electric Utilities"/>
    <x v="0"/>
    <n v="42338049"/>
  </r>
  <r>
    <x v="22"/>
    <x v="23"/>
    <s v="Electric Generators, Electric Utilities"/>
    <x v="1"/>
    <n v="22106841"/>
  </r>
  <r>
    <x v="22"/>
    <x v="23"/>
    <s v="Electric Generators, Electric Utilities"/>
    <x v="2"/>
    <n v="339300"/>
  </r>
  <r>
    <x v="22"/>
    <x v="23"/>
    <s v="Electric Generators, Electric Utilities"/>
    <x v="3"/>
    <n v="5746439"/>
  </r>
  <r>
    <x v="22"/>
    <x v="23"/>
    <s v="Electric Generators, Electric Utilities"/>
    <x v="7"/>
    <n v="11943790"/>
  </r>
  <r>
    <x v="22"/>
    <x v="23"/>
    <s v="Electric Generators, Electric Utilities"/>
    <x v="12"/>
    <n v="162595"/>
  </r>
  <r>
    <x v="22"/>
    <x v="23"/>
    <s v="Electric Generators, Electric Utilities"/>
    <x v="4"/>
    <n v="22866"/>
  </r>
  <r>
    <x v="22"/>
    <x v="23"/>
    <s v="Electric Generators, Electric Utilities"/>
    <x v="8"/>
    <n v="268528"/>
  </r>
  <r>
    <x v="22"/>
    <x v="23"/>
    <s v="Electric Generators, Electric Utilities"/>
    <x v="5"/>
    <n v="1612999"/>
  </r>
  <r>
    <x v="22"/>
    <x v="23"/>
    <s v="Electric Generators, Electric Utilities"/>
    <x v="6"/>
    <n v="134691"/>
  </r>
  <r>
    <x v="22"/>
    <x v="24"/>
    <s v="Total Electric Power Industry"/>
    <x v="0"/>
    <n v="91804321"/>
  </r>
  <r>
    <x v="22"/>
    <x v="24"/>
    <s v="Total Electric Power Industry"/>
    <x v="1"/>
    <n v="72775008"/>
  </r>
  <r>
    <x v="22"/>
    <x v="24"/>
    <s v="Total Electric Power Industry"/>
    <x v="10"/>
    <n v="33444"/>
  </r>
  <r>
    <x v="22"/>
    <x v="24"/>
    <s v="Total Electric Power Industry"/>
    <x v="2"/>
    <n v="714269"/>
  </r>
  <r>
    <x v="22"/>
    <x v="24"/>
    <s v="Total Electric Power Industry"/>
    <x v="3"/>
    <n v="6167164"/>
  </r>
  <r>
    <x v="22"/>
    <x v="24"/>
    <s v="Total Electric Power Industry"/>
    <x v="7"/>
    <n v="10718329"/>
  </r>
  <r>
    <x v="22"/>
    <x v="24"/>
    <s v="Total Electric Power Industry"/>
    <x v="12"/>
    <n v="19764"/>
  </r>
  <r>
    <x v="22"/>
    <x v="24"/>
    <s v="Total Electric Power Industry"/>
    <x v="4"/>
    <n v="77763"/>
  </r>
  <r>
    <x v="22"/>
    <x v="24"/>
    <s v="Total Electric Power Industry"/>
    <x v="8"/>
    <n v="53801"/>
  </r>
  <r>
    <x v="22"/>
    <x v="24"/>
    <s v="Total Electric Power Industry"/>
    <x v="5"/>
    <n v="1244778"/>
  </r>
  <r>
    <x v="22"/>
    <x v="24"/>
    <s v="Total Electric Power Industry"/>
    <x v="6"/>
    <n v="0"/>
  </r>
  <r>
    <x v="22"/>
    <x v="24"/>
    <s v="Combined Heat and Power, Industrial Power"/>
    <x v="0"/>
    <n v="51548"/>
  </r>
  <r>
    <x v="22"/>
    <x v="24"/>
    <s v="Combined Heat and Power, Industrial Power"/>
    <x v="1"/>
    <n v="45776"/>
  </r>
  <r>
    <x v="22"/>
    <x v="24"/>
    <s v="Combined Heat and Power, Industrial Power"/>
    <x v="3"/>
    <n v="1050"/>
  </r>
  <r>
    <x v="22"/>
    <x v="24"/>
    <s v="Combined Heat and Power, Industrial Power"/>
    <x v="4"/>
    <n v="0"/>
  </r>
  <r>
    <x v="22"/>
    <x v="24"/>
    <s v="Combined Heat and Power, Industrial Power"/>
    <x v="8"/>
    <n v="4722"/>
  </r>
  <r>
    <x v="22"/>
    <x v="24"/>
    <s v="Combined Heat and Power, Industrial Power"/>
    <x v="6"/>
    <n v="0"/>
  </r>
  <r>
    <x v="22"/>
    <x v="24"/>
    <s v="Combined Heat and Power, Commercial Power"/>
    <x v="0"/>
    <n v="159504"/>
  </r>
  <r>
    <x v="22"/>
    <x v="24"/>
    <s v="Combined Heat and Power, Commercial Power"/>
    <x v="1"/>
    <n v="68443"/>
  </r>
  <r>
    <x v="22"/>
    <x v="24"/>
    <s v="Combined Heat and Power, Commercial Power"/>
    <x v="3"/>
    <n v="90989"/>
  </r>
  <r>
    <x v="22"/>
    <x v="24"/>
    <s v="Combined Heat and Power, Commercial Power"/>
    <x v="12"/>
    <n v="0"/>
  </r>
  <r>
    <x v="22"/>
    <x v="24"/>
    <s v="Combined Heat and Power, Commercial Power"/>
    <x v="4"/>
    <n v="72"/>
  </r>
  <r>
    <x v="22"/>
    <x v="24"/>
    <s v="Combined Heat and Power, Electric Power"/>
    <x v="0"/>
    <n v="49454"/>
  </r>
  <r>
    <x v="22"/>
    <x v="24"/>
    <s v="Combined Heat and Power, Electric Power"/>
    <x v="1"/>
    <n v="0"/>
  </r>
  <r>
    <x v="22"/>
    <x v="24"/>
    <s v="Combined Heat and Power, Electric Power"/>
    <x v="3"/>
    <n v="49454"/>
  </r>
  <r>
    <x v="22"/>
    <x v="24"/>
    <s v="Combined Heat and Power, Electric Power"/>
    <x v="4"/>
    <n v="0"/>
  </r>
  <r>
    <x v="22"/>
    <x v="24"/>
    <s v="Electric Generators, Independent Power Producers"/>
    <x v="0"/>
    <n v="2796677"/>
  </r>
  <r>
    <x v="22"/>
    <x v="24"/>
    <s v="Electric Generators, Independent Power Producers"/>
    <x v="3"/>
    <n v="1530474"/>
  </r>
  <r>
    <x v="22"/>
    <x v="24"/>
    <s v="Electric Generators, Independent Power Producers"/>
    <x v="8"/>
    <n v="21425"/>
  </r>
  <r>
    <x v="22"/>
    <x v="24"/>
    <s v="Electric Generators, Independent Power Producers"/>
    <x v="5"/>
    <n v="1244778"/>
  </r>
  <r>
    <x v="22"/>
    <x v="24"/>
    <s v="Electric Generators, Electric Utilities"/>
    <x v="0"/>
    <n v="88747138"/>
  </r>
  <r>
    <x v="22"/>
    <x v="24"/>
    <s v="Electric Generators, Electric Utilities"/>
    <x v="1"/>
    <n v="72660790"/>
  </r>
  <r>
    <x v="22"/>
    <x v="24"/>
    <s v="Electric Generators, Electric Utilities"/>
    <x v="10"/>
    <n v="33444"/>
  </r>
  <r>
    <x v="22"/>
    <x v="24"/>
    <s v="Electric Generators, Electric Utilities"/>
    <x v="2"/>
    <n v="714269"/>
  </r>
  <r>
    <x v="22"/>
    <x v="24"/>
    <s v="Electric Generators, Electric Utilities"/>
    <x v="3"/>
    <n v="4495197"/>
  </r>
  <r>
    <x v="22"/>
    <x v="24"/>
    <s v="Electric Generators, Electric Utilities"/>
    <x v="7"/>
    <n v="10718329"/>
  </r>
  <r>
    <x v="22"/>
    <x v="24"/>
    <s v="Electric Generators, Electric Utilities"/>
    <x v="12"/>
    <n v="19764"/>
  </r>
  <r>
    <x v="22"/>
    <x v="24"/>
    <s v="Electric Generators, Electric Utilities"/>
    <x v="4"/>
    <n v="77691"/>
  </r>
  <r>
    <x v="22"/>
    <x v="24"/>
    <s v="Electric Generators, Electric Utilities"/>
    <x v="8"/>
    <n v="27654"/>
  </r>
  <r>
    <x v="22"/>
    <x v="25"/>
    <s v="Total Electric Power Industry"/>
    <x v="0"/>
    <n v="54584295"/>
  </r>
  <r>
    <x v="22"/>
    <x v="25"/>
    <s v="Total Electric Power Industry"/>
    <x v="1"/>
    <n v="7211973"/>
  </r>
  <r>
    <x v="22"/>
    <x v="25"/>
    <s v="Total Electric Power Industry"/>
    <x v="3"/>
    <n v="38549893"/>
  </r>
  <r>
    <x v="22"/>
    <x v="25"/>
    <s v="Total Electric Power Industry"/>
    <x v="7"/>
    <n v="7296134"/>
  </r>
  <r>
    <x v="22"/>
    <x v="25"/>
    <s v="Total Electric Power Industry"/>
    <x v="12"/>
    <n v="23"/>
  </r>
  <r>
    <x v="22"/>
    <x v="25"/>
    <s v="Total Electric Power Industry"/>
    <x v="4"/>
    <n v="17082"/>
  </r>
  <r>
    <x v="22"/>
    <x v="25"/>
    <s v="Total Electric Power Industry"/>
    <x v="8"/>
    <n v="16441"/>
  </r>
  <r>
    <x v="22"/>
    <x v="25"/>
    <s v="Total Electric Power Industry"/>
    <x v="6"/>
    <n v="1492749"/>
  </r>
  <r>
    <x v="22"/>
    <x v="25"/>
    <s v="Combined Heat and Power, Industrial Power"/>
    <x v="0"/>
    <n v="2980118"/>
  </r>
  <r>
    <x v="22"/>
    <x v="25"/>
    <s v="Combined Heat and Power, Industrial Power"/>
    <x v="1"/>
    <n v="0"/>
  </r>
  <r>
    <x v="22"/>
    <x v="25"/>
    <s v="Combined Heat and Power, Industrial Power"/>
    <x v="3"/>
    <n v="1470080"/>
  </r>
  <r>
    <x v="22"/>
    <x v="25"/>
    <s v="Combined Heat and Power, Industrial Power"/>
    <x v="12"/>
    <n v="23"/>
  </r>
  <r>
    <x v="22"/>
    <x v="25"/>
    <s v="Combined Heat and Power, Industrial Power"/>
    <x v="4"/>
    <n v="3735"/>
  </r>
  <r>
    <x v="22"/>
    <x v="25"/>
    <s v="Combined Heat and Power, Industrial Power"/>
    <x v="8"/>
    <n v="13781"/>
  </r>
  <r>
    <x v="22"/>
    <x v="25"/>
    <s v="Combined Heat and Power, Industrial Power"/>
    <x v="6"/>
    <n v="1492498"/>
  </r>
  <r>
    <x v="22"/>
    <x v="25"/>
    <s v="Combined Heat and Power, Commercial Power"/>
    <x v="0"/>
    <n v="21552"/>
  </r>
  <r>
    <x v="22"/>
    <x v="25"/>
    <s v="Combined Heat and Power, Commercial Power"/>
    <x v="3"/>
    <n v="21552"/>
  </r>
  <r>
    <x v="22"/>
    <x v="25"/>
    <s v="Combined Heat and Power, Commercial Power"/>
    <x v="12"/>
    <n v="0"/>
  </r>
  <r>
    <x v="22"/>
    <x v="25"/>
    <s v="Electric Generators, Independent Power Producers"/>
    <x v="0"/>
    <n v="10505310"/>
  </r>
  <r>
    <x v="22"/>
    <x v="25"/>
    <s v="Electric Generators, Independent Power Producers"/>
    <x v="1"/>
    <n v="2756925"/>
  </r>
  <r>
    <x v="22"/>
    <x v="25"/>
    <s v="Electric Generators, Independent Power Producers"/>
    <x v="3"/>
    <n v="7745725"/>
  </r>
  <r>
    <x v="22"/>
    <x v="25"/>
    <s v="Electric Generators, Independent Power Producers"/>
    <x v="8"/>
    <n v="2660"/>
  </r>
  <r>
    <x v="22"/>
    <x v="25"/>
    <s v="Electric Generators, Independent Power Producers"/>
    <x v="6"/>
    <n v="0"/>
  </r>
  <r>
    <x v="22"/>
    <x v="25"/>
    <s v="Electric Generators, Electric Utilities"/>
    <x v="0"/>
    <n v="41077315"/>
  </r>
  <r>
    <x v="22"/>
    <x v="25"/>
    <s v="Electric Generators, Electric Utilities"/>
    <x v="1"/>
    <n v="4455048"/>
  </r>
  <r>
    <x v="22"/>
    <x v="25"/>
    <s v="Electric Generators, Electric Utilities"/>
    <x v="3"/>
    <n v="29312536"/>
  </r>
  <r>
    <x v="22"/>
    <x v="25"/>
    <s v="Electric Generators, Electric Utilities"/>
    <x v="7"/>
    <n v="7296134"/>
  </r>
  <r>
    <x v="22"/>
    <x v="25"/>
    <s v="Electric Generators, Electric Utilities"/>
    <x v="4"/>
    <n v="13347"/>
  </r>
  <r>
    <x v="22"/>
    <x v="25"/>
    <s v="Electric Generators, Electric Utilities"/>
    <x v="8"/>
    <n v="0"/>
  </r>
  <r>
    <x v="22"/>
    <x v="25"/>
    <s v="Electric Generators, Electric Utilities"/>
    <x v="6"/>
    <n v="250"/>
  </r>
  <r>
    <x v="22"/>
    <x v="26"/>
    <s v="Total Electric Power Industry"/>
    <x v="0"/>
    <n v="27804782"/>
  </r>
  <r>
    <x v="22"/>
    <x v="26"/>
    <s v="Total Electric Power Industry"/>
    <x v="1"/>
    <n v="13987392"/>
  </r>
  <r>
    <x v="22"/>
    <x v="26"/>
    <s v="Total Electric Power Industry"/>
    <x v="2"/>
    <n v="11283465"/>
  </r>
  <r>
    <x v="22"/>
    <x v="26"/>
    <s v="Total Electric Power Industry"/>
    <x v="3"/>
    <n v="463998"/>
  </r>
  <r>
    <x v="22"/>
    <x v="26"/>
    <s v="Total Electric Power Industry"/>
    <x v="9"/>
    <n v="14"/>
  </r>
  <r>
    <x v="22"/>
    <x v="26"/>
    <s v="Total Electric Power Industry"/>
    <x v="12"/>
    <n v="341190"/>
  </r>
  <r>
    <x v="22"/>
    <x v="26"/>
    <s v="Total Electric Power Industry"/>
    <x v="4"/>
    <n v="466973"/>
  </r>
  <r>
    <x v="22"/>
    <x v="26"/>
    <s v="Total Electric Power Industry"/>
    <x v="5"/>
    <n v="1261751"/>
  </r>
  <r>
    <x v="22"/>
    <x v="26"/>
    <s v="Combined Heat and Power, Industrial Power"/>
    <x v="0"/>
    <n v="8652"/>
  </r>
  <r>
    <x v="22"/>
    <x v="26"/>
    <s v="Combined Heat and Power, Industrial Power"/>
    <x v="1"/>
    <n v="8652"/>
  </r>
  <r>
    <x v="22"/>
    <x v="26"/>
    <s v="Combined Heat and Power, Industrial Power"/>
    <x v="3"/>
    <n v="0"/>
  </r>
  <r>
    <x v="22"/>
    <x v="26"/>
    <s v="Combined Heat and Power, Industrial Power"/>
    <x v="9"/>
    <n v="0"/>
  </r>
  <r>
    <x v="22"/>
    <x v="26"/>
    <s v="Combined Heat and Power, Industrial Power"/>
    <x v="4"/>
    <n v="0"/>
  </r>
  <r>
    <x v="22"/>
    <x v="26"/>
    <s v="Combined Heat and Power, Electric Power"/>
    <x v="0"/>
    <n v="454794"/>
  </r>
  <r>
    <x v="22"/>
    <x v="26"/>
    <s v="Combined Heat and Power, Electric Power"/>
    <x v="9"/>
    <n v="14"/>
  </r>
  <r>
    <x v="22"/>
    <x v="26"/>
    <s v="Combined Heat and Power, Electric Power"/>
    <x v="4"/>
    <n v="454780"/>
  </r>
  <r>
    <x v="22"/>
    <x v="26"/>
    <s v="Electric Generators, Independent Power Producers"/>
    <x v="0"/>
    <n v="18855195"/>
  </r>
  <r>
    <x v="22"/>
    <x v="26"/>
    <s v="Electric Generators, Independent Power Producers"/>
    <x v="1"/>
    <n v="13725531"/>
  </r>
  <r>
    <x v="22"/>
    <x v="26"/>
    <s v="Electric Generators, Independent Power Producers"/>
    <x v="2"/>
    <n v="3590489"/>
  </r>
  <r>
    <x v="22"/>
    <x v="26"/>
    <s v="Electric Generators, Independent Power Producers"/>
    <x v="3"/>
    <n v="24835"/>
  </r>
  <r>
    <x v="22"/>
    <x v="26"/>
    <s v="Electric Generators, Independent Power Producers"/>
    <x v="12"/>
    <n v="341190"/>
  </r>
  <r>
    <x v="22"/>
    <x v="26"/>
    <s v="Electric Generators, Independent Power Producers"/>
    <x v="4"/>
    <n v="12119"/>
  </r>
  <r>
    <x v="22"/>
    <x v="26"/>
    <s v="Electric Generators, Independent Power Producers"/>
    <x v="5"/>
    <n v="1161030"/>
  </r>
  <r>
    <x v="22"/>
    <x v="26"/>
    <s v="Electric Generators, Electric Utilities"/>
    <x v="0"/>
    <n v="8486141"/>
  </r>
  <r>
    <x v="22"/>
    <x v="26"/>
    <s v="Electric Generators, Electric Utilities"/>
    <x v="1"/>
    <n v="253208"/>
  </r>
  <r>
    <x v="22"/>
    <x v="26"/>
    <s v="Electric Generators, Electric Utilities"/>
    <x v="2"/>
    <n v="7692976"/>
  </r>
  <r>
    <x v="22"/>
    <x v="26"/>
    <s v="Electric Generators, Electric Utilities"/>
    <x v="3"/>
    <n v="439163"/>
  </r>
  <r>
    <x v="22"/>
    <x v="26"/>
    <s v="Electric Generators, Electric Utilities"/>
    <x v="4"/>
    <n v="73"/>
  </r>
  <r>
    <x v="22"/>
    <x v="26"/>
    <s v="Electric Generators, Electric Utilities"/>
    <x v="5"/>
    <n v="100721"/>
  </r>
  <r>
    <x v="22"/>
    <x v="27"/>
    <s v="Total Electric Power Industry"/>
    <x v="0"/>
    <n v="116681763"/>
  </r>
  <r>
    <x v="22"/>
    <x v="27"/>
    <s v="Total Electric Power Industry"/>
    <x v="1"/>
    <n v="50932180"/>
  </r>
  <r>
    <x v="22"/>
    <x v="27"/>
    <s v="Total Electric Power Industry"/>
    <x v="10"/>
    <n v="0"/>
  </r>
  <r>
    <x v="22"/>
    <x v="27"/>
    <s v="Total Electric Power Industry"/>
    <x v="2"/>
    <n v="3727938"/>
  </r>
  <r>
    <x v="22"/>
    <x v="27"/>
    <s v="Total Electric Power Industry"/>
    <x v="3"/>
    <n v="19302008"/>
  </r>
  <r>
    <x v="22"/>
    <x v="27"/>
    <s v="Total Electric Power Industry"/>
    <x v="7"/>
    <n v="39385592"/>
  </r>
  <r>
    <x v="22"/>
    <x v="27"/>
    <s v="Total Electric Power Industry"/>
    <x v="12"/>
    <n v="451865"/>
  </r>
  <r>
    <x v="22"/>
    <x v="27"/>
    <s v="Total Electric Power Industry"/>
    <x v="4"/>
    <n v="178261"/>
  </r>
  <r>
    <x v="22"/>
    <x v="27"/>
    <s v="Total Electric Power Industry"/>
    <x v="13"/>
    <n v="139491"/>
  </r>
  <r>
    <x v="22"/>
    <x v="27"/>
    <s v="Total Electric Power Industry"/>
    <x v="8"/>
    <n v="302342"/>
  </r>
  <r>
    <x v="22"/>
    <x v="27"/>
    <s v="Total Electric Power Industry"/>
    <x v="6"/>
    <n v="2262087"/>
  </r>
  <r>
    <x v="22"/>
    <x v="27"/>
    <s v="Combined Heat and Power, Industrial Power"/>
    <x v="0"/>
    <n v="2374108"/>
  </r>
  <r>
    <x v="22"/>
    <x v="27"/>
    <s v="Combined Heat and Power, Industrial Power"/>
    <x v="1"/>
    <n v="270097"/>
  </r>
  <r>
    <x v="22"/>
    <x v="27"/>
    <s v="Combined Heat and Power, Industrial Power"/>
    <x v="2"/>
    <n v="375077"/>
  </r>
  <r>
    <x v="22"/>
    <x v="27"/>
    <s v="Combined Heat and Power, Industrial Power"/>
    <x v="3"/>
    <n v="71983"/>
  </r>
  <r>
    <x v="22"/>
    <x v="27"/>
    <s v="Combined Heat and Power, Industrial Power"/>
    <x v="12"/>
    <n v="311034"/>
  </r>
  <r>
    <x v="22"/>
    <x v="27"/>
    <s v="Combined Heat and Power, Industrial Power"/>
    <x v="4"/>
    <n v="11895"/>
  </r>
  <r>
    <x v="22"/>
    <x v="27"/>
    <s v="Combined Heat and Power, Industrial Power"/>
    <x v="8"/>
    <n v="3321"/>
  </r>
  <r>
    <x v="22"/>
    <x v="27"/>
    <s v="Combined Heat and Power, Industrial Power"/>
    <x v="6"/>
    <n v="1330701"/>
  </r>
  <r>
    <x v="22"/>
    <x v="27"/>
    <s v="Combined Heat and Power, Commercial Power"/>
    <x v="0"/>
    <n v="50383"/>
  </r>
  <r>
    <x v="22"/>
    <x v="27"/>
    <s v="Combined Heat and Power, Commercial Power"/>
    <x v="1"/>
    <n v="28831"/>
  </r>
  <r>
    <x v="22"/>
    <x v="27"/>
    <s v="Combined Heat and Power, Commercial Power"/>
    <x v="2"/>
    <n v="11361"/>
  </r>
  <r>
    <x v="22"/>
    <x v="27"/>
    <s v="Combined Heat and Power, Commercial Power"/>
    <x v="3"/>
    <n v="5993"/>
  </r>
  <r>
    <x v="22"/>
    <x v="27"/>
    <s v="Combined Heat and Power, Commercial Power"/>
    <x v="4"/>
    <n v="151"/>
  </r>
  <r>
    <x v="22"/>
    <x v="27"/>
    <s v="Combined Heat and Power, Commercial Power"/>
    <x v="13"/>
    <n v="1061"/>
  </r>
  <r>
    <x v="22"/>
    <x v="27"/>
    <s v="Combined Heat and Power, Commercial Power"/>
    <x v="8"/>
    <n v="2986"/>
  </r>
  <r>
    <x v="22"/>
    <x v="27"/>
    <s v="Combined Heat and Power, Electric Power"/>
    <x v="0"/>
    <n v="2470619"/>
  </r>
  <r>
    <x v="22"/>
    <x v="27"/>
    <s v="Combined Heat and Power, Electric Power"/>
    <x v="1"/>
    <n v="1745259"/>
  </r>
  <r>
    <x v="22"/>
    <x v="27"/>
    <s v="Combined Heat and Power, Electric Power"/>
    <x v="12"/>
    <n v="140831"/>
  </r>
  <r>
    <x v="22"/>
    <x v="27"/>
    <s v="Combined Heat and Power, Electric Power"/>
    <x v="4"/>
    <n v="3803"/>
  </r>
  <r>
    <x v="22"/>
    <x v="27"/>
    <s v="Combined Heat and Power, Electric Power"/>
    <x v="8"/>
    <n v="18578"/>
  </r>
  <r>
    <x v="22"/>
    <x v="27"/>
    <s v="Combined Heat and Power, Electric Power"/>
    <x v="6"/>
    <n v="562147"/>
  </r>
  <r>
    <x v="22"/>
    <x v="27"/>
    <s v="Electric Generators, Independent Power Producers"/>
    <x v="0"/>
    <n v="4071106"/>
  </r>
  <r>
    <x v="22"/>
    <x v="27"/>
    <s v="Electric Generators, Independent Power Producers"/>
    <x v="2"/>
    <n v="30012"/>
  </r>
  <r>
    <x v="22"/>
    <x v="27"/>
    <s v="Electric Generators, Independent Power Producers"/>
    <x v="3"/>
    <n v="3258053"/>
  </r>
  <r>
    <x v="22"/>
    <x v="27"/>
    <s v="Electric Generators, Independent Power Producers"/>
    <x v="12"/>
    <n v="0"/>
  </r>
  <r>
    <x v="22"/>
    <x v="27"/>
    <s v="Electric Generators, Independent Power Producers"/>
    <x v="4"/>
    <n v="2111"/>
  </r>
  <r>
    <x v="22"/>
    <x v="27"/>
    <s v="Electric Generators, Independent Power Producers"/>
    <x v="13"/>
    <n v="134764"/>
  </r>
  <r>
    <x v="22"/>
    <x v="27"/>
    <s v="Electric Generators, Independent Power Producers"/>
    <x v="8"/>
    <n v="277457"/>
  </r>
  <r>
    <x v="22"/>
    <x v="27"/>
    <s v="Electric Generators, Independent Power Producers"/>
    <x v="6"/>
    <n v="368710"/>
  </r>
  <r>
    <x v="22"/>
    <x v="27"/>
    <s v="Electric Generators, Electric Utilities"/>
    <x v="0"/>
    <n v="107715547"/>
  </r>
  <r>
    <x v="22"/>
    <x v="27"/>
    <s v="Electric Generators, Electric Utilities"/>
    <x v="1"/>
    <n v="48887992"/>
  </r>
  <r>
    <x v="22"/>
    <x v="27"/>
    <s v="Electric Generators, Electric Utilities"/>
    <x v="10"/>
    <n v="0"/>
  </r>
  <r>
    <x v="22"/>
    <x v="27"/>
    <s v="Electric Generators, Electric Utilities"/>
    <x v="2"/>
    <n v="3311488"/>
  </r>
  <r>
    <x v="22"/>
    <x v="27"/>
    <s v="Electric Generators, Electric Utilities"/>
    <x v="3"/>
    <n v="15965979"/>
  </r>
  <r>
    <x v="22"/>
    <x v="27"/>
    <s v="Electric Generators, Electric Utilities"/>
    <x v="7"/>
    <n v="39385592"/>
  </r>
  <r>
    <x v="22"/>
    <x v="27"/>
    <s v="Electric Generators, Electric Utilities"/>
    <x v="4"/>
    <n v="160301"/>
  </r>
  <r>
    <x v="22"/>
    <x v="27"/>
    <s v="Electric Generators, Electric Utilities"/>
    <x v="13"/>
    <n v="3666"/>
  </r>
  <r>
    <x v="22"/>
    <x v="27"/>
    <s v="Electric Generators, Electric Utilities"/>
    <x v="6"/>
    <n v="529"/>
  </r>
  <r>
    <x v="22"/>
    <x v="28"/>
    <s v="Total Electric Power Industry"/>
    <x v="0"/>
    <n v="36125159"/>
  </r>
  <r>
    <x v="22"/>
    <x v="28"/>
    <s v="Total Electric Power Industry"/>
    <x v="1"/>
    <n v="28214364"/>
  </r>
  <r>
    <x v="22"/>
    <x v="28"/>
    <s v="Total Electric Power Industry"/>
    <x v="2"/>
    <n v="2477230"/>
  </r>
  <r>
    <x v="22"/>
    <x v="28"/>
    <s v="Total Electric Power Industry"/>
    <x v="3"/>
    <n v="21697"/>
  </r>
  <r>
    <x v="22"/>
    <x v="28"/>
    <s v="Total Electric Power Industry"/>
    <x v="9"/>
    <n v="34890"/>
  </r>
  <r>
    <x v="22"/>
    <x v="28"/>
    <s v="Total Electric Power Industry"/>
    <x v="12"/>
    <n v="63771"/>
  </r>
  <r>
    <x v="22"/>
    <x v="28"/>
    <s v="Total Electric Power Industry"/>
    <x v="4"/>
    <n v="33154"/>
  </r>
  <r>
    <x v="22"/>
    <x v="28"/>
    <s v="Total Electric Power Industry"/>
    <x v="8"/>
    <n v="5543"/>
  </r>
  <r>
    <x v="22"/>
    <x v="28"/>
    <s v="Total Electric Power Industry"/>
    <x v="5"/>
    <n v="5274509"/>
  </r>
  <r>
    <x v="22"/>
    <x v="28"/>
    <s v="Combined Heat and Power, Industrial Power"/>
    <x v="0"/>
    <n v="122783"/>
  </r>
  <r>
    <x v="22"/>
    <x v="28"/>
    <s v="Combined Heat and Power, Industrial Power"/>
    <x v="1"/>
    <n v="59576"/>
  </r>
  <r>
    <x v="22"/>
    <x v="28"/>
    <s v="Combined Heat and Power, Industrial Power"/>
    <x v="3"/>
    <n v="21653"/>
  </r>
  <r>
    <x v="22"/>
    <x v="28"/>
    <s v="Combined Heat and Power, Industrial Power"/>
    <x v="9"/>
    <n v="34890"/>
  </r>
  <r>
    <x v="22"/>
    <x v="28"/>
    <s v="Combined Heat and Power, Industrial Power"/>
    <x v="4"/>
    <n v="1120"/>
  </r>
  <r>
    <x v="22"/>
    <x v="28"/>
    <s v="Combined Heat and Power, Industrial Power"/>
    <x v="8"/>
    <n v="5543"/>
  </r>
  <r>
    <x v="22"/>
    <x v="28"/>
    <s v="Combined Heat and Power, Commercial Power"/>
    <x v="0"/>
    <n v="54"/>
  </r>
  <r>
    <x v="22"/>
    <x v="28"/>
    <s v="Combined Heat and Power, Commercial Power"/>
    <x v="4"/>
    <n v="54"/>
  </r>
  <r>
    <x v="22"/>
    <x v="28"/>
    <s v="Electric Generators, Independent Power Producers"/>
    <x v="0"/>
    <n v="4018865"/>
  </r>
  <r>
    <x v="22"/>
    <x v="28"/>
    <s v="Electric Generators, Independent Power Producers"/>
    <x v="5"/>
    <n v="4018865"/>
  </r>
  <r>
    <x v="22"/>
    <x v="28"/>
    <s v="Electric Generators, Electric Utilities"/>
    <x v="0"/>
    <n v="31983457"/>
  </r>
  <r>
    <x v="22"/>
    <x v="28"/>
    <s v="Electric Generators, Electric Utilities"/>
    <x v="1"/>
    <n v="28154788"/>
  </r>
  <r>
    <x v="22"/>
    <x v="28"/>
    <s v="Electric Generators, Electric Utilities"/>
    <x v="2"/>
    <n v="2477230"/>
  </r>
  <r>
    <x v="22"/>
    <x v="28"/>
    <s v="Electric Generators, Electric Utilities"/>
    <x v="3"/>
    <n v="43"/>
  </r>
  <r>
    <x v="22"/>
    <x v="28"/>
    <s v="Electric Generators, Electric Utilities"/>
    <x v="12"/>
    <n v="63771"/>
  </r>
  <r>
    <x v="22"/>
    <x v="28"/>
    <s v="Electric Generators, Electric Utilities"/>
    <x v="4"/>
    <n v="31980"/>
  </r>
  <r>
    <x v="22"/>
    <x v="28"/>
    <s v="Electric Generators, Electric Utilities"/>
    <x v="5"/>
    <n v="1255644"/>
  </r>
  <r>
    <x v="22"/>
    <x v="29"/>
    <s v="Total Electric Power Industry"/>
    <x v="0"/>
    <n v="34217292"/>
  </r>
  <r>
    <x v="22"/>
    <x v="29"/>
    <s v="Total Electric Power Industry"/>
    <x v="1"/>
    <n v="25019216"/>
  </r>
  <r>
    <x v="22"/>
    <x v="29"/>
    <s v="Total Electric Power Industry"/>
    <x v="2"/>
    <n v="1257054"/>
  </r>
  <r>
    <x v="22"/>
    <x v="29"/>
    <s v="Total Electric Power Industry"/>
    <x v="3"/>
    <n v="770100"/>
  </r>
  <r>
    <x v="22"/>
    <x v="29"/>
    <s v="Total Electric Power Industry"/>
    <x v="7"/>
    <n v="5801578"/>
  </r>
  <r>
    <x v="22"/>
    <x v="29"/>
    <s v="Total Electric Power Industry"/>
    <x v="4"/>
    <n v="22583"/>
  </r>
  <r>
    <x v="22"/>
    <x v="29"/>
    <s v="Total Electric Power Industry"/>
    <x v="8"/>
    <n v="63132"/>
  </r>
  <r>
    <x v="22"/>
    <x v="29"/>
    <s v="Total Electric Power Industry"/>
    <x v="5"/>
    <n v="1283629"/>
  </r>
  <r>
    <x v="22"/>
    <x v="29"/>
    <s v="Combined Heat and Power, Industrial Power"/>
    <x v="0"/>
    <n v="344599"/>
  </r>
  <r>
    <x v="22"/>
    <x v="29"/>
    <s v="Combined Heat and Power, Industrial Power"/>
    <x v="1"/>
    <n v="333588"/>
  </r>
  <r>
    <x v="22"/>
    <x v="29"/>
    <s v="Combined Heat and Power, Industrial Power"/>
    <x v="3"/>
    <n v="11011"/>
  </r>
  <r>
    <x v="22"/>
    <x v="29"/>
    <s v="Combined Heat and Power, Commercial Power"/>
    <x v="0"/>
    <n v="17741"/>
  </r>
  <r>
    <x v="22"/>
    <x v="29"/>
    <s v="Combined Heat and Power, Commercial Power"/>
    <x v="3"/>
    <n v="692"/>
  </r>
  <r>
    <x v="22"/>
    <x v="29"/>
    <s v="Combined Heat and Power, Commercial Power"/>
    <x v="8"/>
    <n v="17049"/>
  </r>
  <r>
    <x v="22"/>
    <x v="29"/>
    <s v="Electric Generators, Independent Power Producers"/>
    <x v="0"/>
    <n v="1072067"/>
  </r>
  <r>
    <x v="22"/>
    <x v="29"/>
    <s v="Electric Generators, Independent Power Producers"/>
    <x v="5"/>
    <n v="1072067"/>
  </r>
  <r>
    <x v="22"/>
    <x v="29"/>
    <s v="Electric Generators, Electric Utilities"/>
    <x v="0"/>
    <n v="32782885"/>
  </r>
  <r>
    <x v="22"/>
    <x v="29"/>
    <s v="Electric Generators, Electric Utilities"/>
    <x v="1"/>
    <n v="24685628"/>
  </r>
  <r>
    <x v="22"/>
    <x v="29"/>
    <s v="Electric Generators, Electric Utilities"/>
    <x v="2"/>
    <n v="1257054"/>
  </r>
  <r>
    <x v="22"/>
    <x v="29"/>
    <s v="Electric Generators, Electric Utilities"/>
    <x v="3"/>
    <n v="758397"/>
  </r>
  <r>
    <x v="22"/>
    <x v="29"/>
    <s v="Electric Generators, Electric Utilities"/>
    <x v="7"/>
    <n v="5801578"/>
  </r>
  <r>
    <x v="22"/>
    <x v="29"/>
    <s v="Electric Generators, Electric Utilities"/>
    <x v="4"/>
    <n v="22583"/>
  </r>
  <r>
    <x v="22"/>
    <x v="29"/>
    <s v="Electric Generators, Electric Utilities"/>
    <x v="8"/>
    <n v="46083"/>
  </r>
  <r>
    <x v="22"/>
    <x v="29"/>
    <s v="Electric Generators, Electric Utilities"/>
    <x v="5"/>
    <n v="211562"/>
  </r>
  <r>
    <x v="22"/>
    <x v="30"/>
    <s v="Total Electric Power Industry"/>
    <x v="0"/>
    <n v="19222319"/>
  </r>
  <r>
    <x v="22"/>
    <x v="30"/>
    <s v="Total Electric Power Industry"/>
    <x v="1"/>
    <n v="1267717"/>
  </r>
  <r>
    <x v="22"/>
    <x v="30"/>
    <s v="Total Electric Power Industry"/>
    <x v="2"/>
    <n v="1247270"/>
  </r>
  <r>
    <x v="22"/>
    <x v="30"/>
    <s v="Total Electric Power Industry"/>
    <x v="3"/>
    <n v="7049704"/>
  </r>
  <r>
    <x v="22"/>
    <x v="30"/>
    <s v="Total Electric Power Industry"/>
    <x v="7"/>
    <n v="8189181"/>
  </r>
  <r>
    <x v="22"/>
    <x v="30"/>
    <s v="Total Electric Power Industry"/>
    <x v="12"/>
    <n v="65512"/>
  </r>
  <r>
    <x v="22"/>
    <x v="30"/>
    <s v="Total Electric Power Industry"/>
    <x v="4"/>
    <n v="21650"/>
  </r>
  <r>
    <x v="22"/>
    <x v="30"/>
    <s v="Total Electric Power Industry"/>
    <x v="8"/>
    <n v="137292"/>
  </r>
  <r>
    <x v="22"/>
    <x v="30"/>
    <s v="Total Electric Power Industry"/>
    <x v="5"/>
    <n v="208699"/>
  </r>
  <r>
    <x v="22"/>
    <x v="30"/>
    <s v="Total Electric Power Industry"/>
    <x v="6"/>
    <n v="1035295"/>
  </r>
  <r>
    <x v="22"/>
    <x v="30"/>
    <s v="Combined Heat and Power, Industrial Power"/>
    <x v="0"/>
    <n v="28963"/>
  </r>
  <r>
    <x v="22"/>
    <x v="30"/>
    <s v="Combined Heat and Power, Industrial Power"/>
    <x v="2"/>
    <n v="0"/>
  </r>
  <r>
    <x v="22"/>
    <x v="30"/>
    <s v="Combined Heat and Power, Industrial Power"/>
    <x v="3"/>
    <n v="28788"/>
  </r>
  <r>
    <x v="22"/>
    <x v="30"/>
    <s v="Combined Heat and Power, Industrial Power"/>
    <x v="4"/>
    <n v="174"/>
  </r>
  <r>
    <x v="22"/>
    <x v="30"/>
    <s v="Combined Heat and Power, Industrial Power"/>
    <x v="6"/>
    <n v="0"/>
  </r>
  <r>
    <x v="22"/>
    <x v="30"/>
    <s v="Combined Heat and Power, Commercial Power"/>
    <x v="0"/>
    <n v="48640"/>
  </r>
  <r>
    <x v="22"/>
    <x v="30"/>
    <s v="Combined Heat and Power, Commercial Power"/>
    <x v="3"/>
    <n v="16326"/>
  </r>
  <r>
    <x v="22"/>
    <x v="30"/>
    <s v="Combined Heat and Power, Commercial Power"/>
    <x v="4"/>
    <n v="1691"/>
  </r>
  <r>
    <x v="22"/>
    <x v="30"/>
    <s v="Combined Heat and Power, Commercial Power"/>
    <x v="8"/>
    <n v="30623"/>
  </r>
  <r>
    <x v="22"/>
    <x v="30"/>
    <s v="Electric Generators, Independent Power Producers"/>
    <x v="0"/>
    <n v="17127994"/>
  </r>
  <r>
    <x v="22"/>
    <x v="30"/>
    <s v="Electric Generators, Independent Power Producers"/>
    <x v="2"/>
    <n v="922871"/>
  </r>
  <r>
    <x v="22"/>
    <x v="30"/>
    <s v="Electric Generators, Independent Power Producers"/>
    <x v="3"/>
    <n v="6946869"/>
  </r>
  <r>
    <x v="22"/>
    <x v="30"/>
    <s v="Electric Generators, Independent Power Producers"/>
    <x v="7"/>
    <n v="8189181"/>
  </r>
  <r>
    <x v="22"/>
    <x v="30"/>
    <s v="Electric Generators, Independent Power Producers"/>
    <x v="12"/>
    <n v="65512"/>
  </r>
  <r>
    <x v="22"/>
    <x v="30"/>
    <s v="Electric Generators, Independent Power Producers"/>
    <x v="4"/>
    <n v="121"/>
  </r>
  <r>
    <x v="22"/>
    <x v="30"/>
    <s v="Electric Generators, Independent Power Producers"/>
    <x v="8"/>
    <n v="106066"/>
  </r>
  <r>
    <x v="22"/>
    <x v="30"/>
    <s v="Electric Generators, Independent Power Producers"/>
    <x v="5"/>
    <n v="208699"/>
  </r>
  <r>
    <x v="22"/>
    <x v="30"/>
    <s v="Electric Generators, Independent Power Producers"/>
    <x v="6"/>
    <n v="688675"/>
  </r>
  <r>
    <x v="22"/>
    <x v="30"/>
    <s v="Electric Generators, Electric Utilities"/>
    <x v="0"/>
    <n v="2016722"/>
  </r>
  <r>
    <x v="22"/>
    <x v="30"/>
    <s v="Electric Generators, Electric Utilities"/>
    <x v="1"/>
    <n v="1267717"/>
  </r>
  <r>
    <x v="22"/>
    <x v="30"/>
    <s v="Electric Generators, Electric Utilities"/>
    <x v="2"/>
    <n v="324399"/>
  </r>
  <r>
    <x v="22"/>
    <x v="30"/>
    <s v="Electric Generators, Electric Utilities"/>
    <x v="3"/>
    <n v="57720"/>
  </r>
  <r>
    <x v="22"/>
    <x v="30"/>
    <s v="Electric Generators, Electric Utilities"/>
    <x v="4"/>
    <n v="19664"/>
  </r>
  <r>
    <x v="22"/>
    <x v="30"/>
    <s v="Electric Generators, Electric Utilities"/>
    <x v="8"/>
    <n v="602"/>
  </r>
  <r>
    <x v="22"/>
    <x v="30"/>
    <s v="Electric Generators, Electric Utilities"/>
    <x v="6"/>
    <n v="346620"/>
  </r>
  <r>
    <x v="22"/>
    <x v="31"/>
    <s v="Total Electric Power Industry"/>
    <x v="0"/>
    <n v="65263408"/>
  </r>
  <r>
    <x v="22"/>
    <x v="31"/>
    <s v="Total Electric Power Industry"/>
    <x v="1"/>
    <n v="1897475"/>
  </r>
  <r>
    <x v="22"/>
    <x v="31"/>
    <s v="Total Electric Power Industry"/>
    <x v="10"/>
    <n v="-166176"/>
  </r>
  <r>
    <x v="22"/>
    <x v="31"/>
    <s v="Total Electric Power Industry"/>
    <x v="2"/>
    <n v="10755"/>
  </r>
  <r>
    <x v="22"/>
    <x v="31"/>
    <s v="Total Electric Power Industry"/>
    <x v="3"/>
    <n v="28284904"/>
  </r>
  <r>
    <x v="22"/>
    <x v="31"/>
    <s v="Total Electric Power Industry"/>
    <x v="7"/>
    <n v="33110224"/>
  </r>
  <r>
    <x v="22"/>
    <x v="31"/>
    <s v="Total Electric Power Industry"/>
    <x v="9"/>
    <n v="142181"/>
  </r>
  <r>
    <x v="22"/>
    <x v="31"/>
    <s v="Total Electric Power Industry"/>
    <x v="12"/>
    <n v="632551"/>
  </r>
  <r>
    <x v="22"/>
    <x v="31"/>
    <s v="Total Electric Power Industry"/>
    <x v="4"/>
    <n v="70779"/>
  </r>
  <r>
    <x v="22"/>
    <x v="31"/>
    <s v="Total Electric Power Industry"/>
    <x v="13"/>
    <n v="304326"/>
  </r>
  <r>
    <x v="22"/>
    <x v="31"/>
    <s v="Total Electric Power Industry"/>
    <x v="8"/>
    <n v="964821"/>
  </r>
  <r>
    <x v="22"/>
    <x v="31"/>
    <s v="Total Electric Power Industry"/>
    <x v="5"/>
    <n v="11568"/>
  </r>
  <r>
    <x v="22"/>
    <x v="31"/>
    <s v="Combined Heat and Power, Industrial Power"/>
    <x v="0"/>
    <n v="774084"/>
  </r>
  <r>
    <x v="22"/>
    <x v="31"/>
    <s v="Combined Heat and Power, Industrial Power"/>
    <x v="3"/>
    <n v="481355"/>
  </r>
  <r>
    <x v="22"/>
    <x v="31"/>
    <s v="Combined Heat and Power, Industrial Power"/>
    <x v="9"/>
    <n v="142181"/>
  </r>
  <r>
    <x v="22"/>
    <x v="31"/>
    <s v="Combined Heat and Power, Industrial Power"/>
    <x v="12"/>
    <n v="107417"/>
  </r>
  <r>
    <x v="22"/>
    <x v="31"/>
    <s v="Combined Heat and Power, Industrial Power"/>
    <x v="4"/>
    <n v="41950"/>
  </r>
  <r>
    <x v="22"/>
    <x v="31"/>
    <s v="Combined Heat and Power, Industrial Power"/>
    <x v="13"/>
    <n v="1181"/>
  </r>
  <r>
    <x v="22"/>
    <x v="31"/>
    <s v="Combined Heat and Power, Commercial Power"/>
    <x v="0"/>
    <n v="534209"/>
  </r>
  <r>
    <x v="22"/>
    <x v="31"/>
    <s v="Combined Heat and Power, Commercial Power"/>
    <x v="3"/>
    <n v="192430"/>
  </r>
  <r>
    <x v="22"/>
    <x v="31"/>
    <s v="Combined Heat and Power, Commercial Power"/>
    <x v="12"/>
    <n v="146834"/>
  </r>
  <r>
    <x v="22"/>
    <x v="31"/>
    <s v="Combined Heat and Power, Commercial Power"/>
    <x v="4"/>
    <n v="749"/>
  </r>
  <r>
    <x v="22"/>
    <x v="31"/>
    <s v="Combined Heat and Power, Commercial Power"/>
    <x v="13"/>
    <n v="37252"/>
  </r>
  <r>
    <x v="22"/>
    <x v="31"/>
    <s v="Combined Heat and Power, Commercial Power"/>
    <x v="8"/>
    <n v="156945"/>
  </r>
  <r>
    <x v="22"/>
    <x v="31"/>
    <s v="Combined Heat and Power, Electric Power"/>
    <x v="0"/>
    <n v="7407485"/>
  </r>
  <r>
    <x v="22"/>
    <x v="31"/>
    <s v="Combined Heat and Power, Electric Power"/>
    <x v="1"/>
    <n v="1246295"/>
  </r>
  <r>
    <x v="22"/>
    <x v="31"/>
    <s v="Combined Heat and Power, Electric Power"/>
    <x v="3"/>
    <n v="6052654"/>
  </r>
  <r>
    <x v="22"/>
    <x v="31"/>
    <s v="Combined Heat and Power, Electric Power"/>
    <x v="4"/>
    <n v="7226"/>
  </r>
  <r>
    <x v="22"/>
    <x v="31"/>
    <s v="Combined Heat and Power, Electric Power"/>
    <x v="8"/>
    <n v="101310"/>
  </r>
  <r>
    <x v="22"/>
    <x v="31"/>
    <s v="Electric Generators, Independent Power Producers"/>
    <x v="0"/>
    <n v="56635697"/>
  </r>
  <r>
    <x v="22"/>
    <x v="31"/>
    <s v="Electric Generators, Independent Power Producers"/>
    <x v="1"/>
    <n v="651180"/>
  </r>
  <r>
    <x v="22"/>
    <x v="31"/>
    <s v="Electric Generators, Independent Power Producers"/>
    <x v="2"/>
    <n v="10755"/>
  </r>
  <r>
    <x v="22"/>
    <x v="31"/>
    <s v="Electric Generators, Independent Power Producers"/>
    <x v="3"/>
    <n v="21525657"/>
  </r>
  <r>
    <x v="22"/>
    <x v="31"/>
    <s v="Electric Generators, Independent Power Producers"/>
    <x v="7"/>
    <n v="33110224"/>
  </r>
  <r>
    <x v="22"/>
    <x v="31"/>
    <s v="Electric Generators, Independent Power Producers"/>
    <x v="12"/>
    <n v="378300"/>
  </r>
  <r>
    <x v="22"/>
    <x v="31"/>
    <s v="Electric Generators, Independent Power Producers"/>
    <x v="4"/>
    <n v="16894"/>
  </r>
  <r>
    <x v="22"/>
    <x v="31"/>
    <s v="Electric Generators, Independent Power Producers"/>
    <x v="13"/>
    <n v="224553"/>
  </r>
  <r>
    <x v="22"/>
    <x v="31"/>
    <s v="Electric Generators, Independent Power Producers"/>
    <x v="8"/>
    <n v="706566"/>
  </r>
  <r>
    <x v="22"/>
    <x v="31"/>
    <s v="Electric Generators, Independent Power Producers"/>
    <x v="5"/>
    <n v="11568"/>
  </r>
  <r>
    <x v="22"/>
    <x v="31"/>
    <s v="Electric Generators, Electric Utilities"/>
    <x v="0"/>
    <n v="-88066"/>
  </r>
  <r>
    <x v="22"/>
    <x v="31"/>
    <s v="Electric Generators, Electric Utilities"/>
    <x v="1"/>
    <n v="0"/>
  </r>
  <r>
    <x v="22"/>
    <x v="31"/>
    <s v="Electric Generators, Electric Utilities"/>
    <x v="10"/>
    <n v="-166176"/>
  </r>
  <r>
    <x v="22"/>
    <x v="31"/>
    <s v="Electric Generators, Electric Utilities"/>
    <x v="3"/>
    <n v="32809"/>
  </r>
  <r>
    <x v="22"/>
    <x v="31"/>
    <s v="Electric Generators, Electric Utilities"/>
    <x v="4"/>
    <n v="3961"/>
  </r>
  <r>
    <x v="22"/>
    <x v="31"/>
    <s v="Electric Generators, Electric Utilities"/>
    <x v="13"/>
    <n v="41340"/>
  </r>
  <r>
    <x v="22"/>
    <x v="32"/>
    <s v="Total Electric Power Industry"/>
    <x v="0"/>
    <n v="36635909"/>
  </r>
  <r>
    <x v="22"/>
    <x v="32"/>
    <s v="Total Electric Power Industry"/>
    <x v="1"/>
    <n v="24994049"/>
  </r>
  <r>
    <x v="22"/>
    <x v="32"/>
    <s v="Total Electric Power Industry"/>
    <x v="2"/>
    <n v="222819"/>
  </r>
  <r>
    <x v="22"/>
    <x v="32"/>
    <s v="Total Electric Power Industry"/>
    <x v="3"/>
    <n v="8799041"/>
  </r>
  <r>
    <x v="22"/>
    <x v="32"/>
    <s v="Total Electric Power Industry"/>
    <x v="12"/>
    <n v="0"/>
  </r>
  <r>
    <x v="22"/>
    <x v="32"/>
    <s v="Total Electric Power Industry"/>
    <x v="4"/>
    <n v="46149"/>
  </r>
  <r>
    <x v="22"/>
    <x v="32"/>
    <s v="Total Electric Power Industry"/>
    <x v="13"/>
    <n v="333797"/>
  </r>
  <r>
    <x v="22"/>
    <x v="32"/>
    <s v="Total Electric Power Industry"/>
    <x v="8"/>
    <n v="14266"/>
  </r>
  <r>
    <x v="22"/>
    <x v="32"/>
    <s v="Total Electric Power Industry"/>
    <x v="5"/>
    <n v="2225788"/>
  </r>
  <r>
    <x v="22"/>
    <x v="32"/>
    <s v="Combined Heat and Power, Industrial Power"/>
    <x v="0"/>
    <n v="309"/>
  </r>
  <r>
    <x v="22"/>
    <x v="32"/>
    <s v="Combined Heat and Power, Industrial Power"/>
    <x v="3"/>
    <n v="297"/>
  </r>
  <r>
    <x v="22"/>
    <x v="32"/>
    <s v="Combined Heat and Power, Industrial Power"/>
    <x v="4"/>
    <n v="12"/>
  </r>
  <r>
    <x v="22"/>
    <x v="32"/>
    <s v="Combined Heat and Power, Commercial Power"/>
    <x v="0"/>
    <n v="81205"/>
  </r>
  <r>
    <x v="22"/>
    <x v="32"/>
    <s v="Combined Heat and Power, Commercial Power"/>
    <x v="3"/>
    <n v="77658"/>
  </r>
  <r>
    <x v="22"/>
    <x v="32"/>
    <s v="Combined Heat and Power, Commercial Power"/>
    <x v="5"/>
    <n v="3547"/>
  </r>
  <r>
    <x v="22"/>
    <x v="32"/>
    <s v="Combined Heat and Power, Electric Power"/>
    <x v="0"/>
    <n v="285260"/>
  </r>
  <r>
    <x v="22"/>
    <x v="32"/>
    <s v="Combined Heat and Power, Electric Power"/>
    <x v="3"/>
    <n v="270994"/>
  </r>
  <r>
    <x v="22"/>
    <x v="32"/>
    <s v="Combined Heat and Power, Electric Power"/>
    <x v="8"/>
    <n v="14266"/>
  </r>
  <r>
    <x v="22"/>
    <x v="32"/>
    <s v="Electric Generators, Independent Power Producers"/>
    <x v="0"/>
    <n v="5564270"/>
  </r>
  <r>
    <x v="22"/>
    <x v="32"/>
    <s v="Electric Generators, Independent Power Producers"/>
    <x v="3"/>
    <n v="3055873"/>
  </r>
  <r>
    <x v="22"/>
    <x v="32"/>
    <s v="Electric Generators, Independent Power Producers"/>
    <x v="4"/>
    <n v="622"/>
  </r>
  <r>
    <x v="22"/>
    <x v="32"/>
    <s v="Electric Generators, Independent Power Producers"/>
    <x v="13"/>
    <n v="285534"/>
  </r>
  <r>
    <x v="22"/>
    <x v="32"/>
    <s v="Electric Generators, Independent Power Producers"/>
    <x v="5"/>
    <n v="2222241"/>
  </r>
  <r>
    <x v="22"/>
    <x v="32"/>
    <s v="Electric Generators, Electric Utilities"/>
    <x v="0"/>
    <n v="30704865"/>
  </r>
  <r>
    <x v="22"/>
    <x v="32"/>
    <s v="Electric Generators, Electric Utilities"/>
    <x v="1"/>
    <n v="24994049"/>
  </r>
  <r>
    <x v="22"/>
    <x v="32"/>
    <s v="Electric Generators, Electric Utilities"/>
    <x v="2"/>
    <n v="222819"/>
  </r>
  <r>
    <x v="22"/>
    <x v="32"/>
    <s v="Electric Generators, Electric Utilities"/>
    <x v="3"/>
    <n v="5394219"/>
  </r>
  <r>
    <x v="22"/>
    <x v="32"/>
    <s v="Electric Generators, Electric Utilities"/>
    <x v="12"/>
    <n v="0"/>
  </r>
  <r>
    <x v="22"/>
    <x v="32"/>
    <s v="Electric Generators, Electric Utilities"/>
    <x v="4"/>
    <n v="45515"/>
  </r>
  <r>
    <x v="22"/>
    <x v="32"/>
    <s v="Electric Generators, Electric Utilities"/>
    <x v="13"/>
    <n v="48263"/>
  </r>
  <r>
    <x v="22"/>
    <x v="33"/>
    <s v="Total Electric Power Industry"/>
    <x v="0"/>
    <n v="35173263"/>
  </r>
  <r>
    <x v="22"/>
    <x v="33"/>
    <s v="Total Electric Power Industry"/>
    <x v="1"/>
    <n v="4079432"/>
  </r>
  <r>
    <x v="22"/>
    <x v="33"/>
    <s v="Total Electric Power Industry"/>
    <x v="11"/>
    <n v="2347465"/>
  </r>
  <r>
    <x v="22"/>
    <x v="33"/>
    <s v="Total Electric Power Industry"/>
    <x v="2"/>
    <n v="2440415"/>
  </r>
  <r>
    <x v="22"/>
    <x v="33"/>
    <s v="Total Electric Power Industry"/>
    <x v="3"/>
    <n v="25646658"/>
  </r>
  <r>
    <x v="22"/>
    <x v="33"/>
    <s v="Total Electric Power Industry"/>
    <x v="9"/>
    <n v="7324"/>
  </r>
  <r>
    <x v="22"/>
    <x v="33"/>
    <s v="Total Electric Power Industry"/>
    <x v="12"/>
    <n v="11929"/>
  </r>
  <r>
    <x v="22"/>
    <x v="33"/>
    <s v="Total Electric Power Industry"/>
    <x v="4"/>
    <n v="18875"/>
  </r>
  <r>
    <x v="22"/>
    <x v="33"/>
    <s v="Total Electric Power Industry"/>
    <x v="13"/>
    <n v="473417"/>
  </r>
  <r>
    <x v="22"/>
    <x v="33"/>
    <s v="Total Electric Power Industry"/>
    <x v="8"/>
    <n v="18961"/>
  </r>
  <r>
    <x v="22"/>
    <x v="33"/>
    <s v="Total Electric Power Industry"/>
    <x v="5"/>
    <n v="128788"/>
  </r>
  <r>
    <x v="22"/>
    <x v="33"/>
    <s v="Total Electric Power Industry"/>
    <x v="6"/>
    <n v="0"/>
  </r>
  <r>
    <x v="22"/>
    <x v="33"/>
    <s v="Combined Heat and Power, Industrial Power"/>
    <x v="0"/>
    <n v="264369"/>
  </r>
  <r>
    <x v="22"/>
    <x v="33"/>
    <s v="Combined Heat and Power, Industrial Power"/>
    <x v="3"/>
    <n v="261599"/>
  </r>
  <r>
    <x v="22"/>
    <x v="33"/>
    <s v="Combined Heat and Power, Industrial Power"/>
    <x v="13"/>
    <n v="2770"/>
  </r>
  <r>
    <x v="22"/>
    <x v="33"/>
    <s v="Combined Heat and Power, Commercial Power"/>
    <x v="0"/>
    <n v="92289"/>
  </r>
  <r>
    <x v="22"/>
    <x v="33"/>
    <s v="Combined Heat and Power, Commercial Power"/>
    <x v="3"/>
    <n v="60130"/>
  </r>
  <r>
    <x v="22"/>
    <x v="33"/>
    <s v="Combined Heat and Power, Commercial Power"/>
    <x v="13"/>
    <n v="32159"/>
  </r>
  <r>
    <x v="22"/>
    <x v="33"/>
    <s v="Combined Heat and Power, Electric Power"/>
    <x v="0"/>
    <n v="2147174"/>
  </r>
  <r>
    <x v="22"/>
    <x v="33"/>
    <s v="Combined Heat and Power, Electric Power"/>
    <x v="3"/>
    <n v="2139845"/>
  </r>
  <r>
    <x v="22"/>
    <x v="33"/>
    <s v="Combined Heat and Power, Electric Power"/>
    <x v="9"/>
    <n v="7324"/>
  </r>
  <r>
    <x v="22"/>
    <x v="33"/>
    <s v="Combined Heat and Power, Electric Power"/>
    <x v="4"/>
    <n v="5"/>
  </r>
  <r>
    <x v="22"/>
    <x v="33"/>
    <s v="Electric Generators, Independent Power Producers"/>
    <x v="0"/>
    <n v="8483394"/>
  </r>
  <r>
    <x v="22"/>
    <x v="33"/>
    <s v="Electric Generators, Independent Power Producers"/>
    <x v="1"/>
    <n v="1115054"/>
  </r>
  <r>
    <x v="22"/>
    <x v="33"/>
    <s v="Electric Generators, Independent Power Producers"/>
    <x v="11"/>
    <n v="2347465"/>
  </r>
  <r>
    <x v="22"/>
    <x v="33"/>
    <s v="Electric Generators, Independent Power Producers"/>
    <x v="2"/>
    <n v="41699"/>
  </r>
  <r>
    <x v="22"/>
    <x v="33"/>
    <s v="Electric Generators, Independent Power Producers"/>
    <x v="3"/>
    <n v="4387275"/>
  </r>
  <r>
    <x v="22"/>
    <x v="33"/>
    <s v="Electric Generators, Independent Power Producers"/>
    <x v="4"/>
    <n v="5665"/>
  </r>
  <r>
    <x v="22"/>
    <x v="33"/>
    <s v="Electric Generators, Independent Power Producers"/>
    <x v="13"/>
    <n v="438488"/>
  </r>
  <r>
    <x v="22"/>
    <x v="33"/>
    <s v="Electric Generators, Independent Power Producers"/>
    <x v="8"/>
    <n v="18961"/>
  </r>
  <r>
    <x v="22"/>
    <x v="33"/>
    <s v="Electric Generators, Independent Power Producers"/>
    <x v="5"/>
    <n v="128788"/>
  </r>
  <r>
    <x v="22"/>
    <x v="33"/>
    <s v="Electric Generators, Electric Utilities"/>
    <x v="0"/>
    <n v="24186037"/>
  </r>
  <r>
    <x v="22"/>
    <x v="33"/>
    <s v="Electric Generators, Electric Utilities"/>
    <x v="1"/>
    <n v="2964377"/>
  </r>
  <r>
    <x v="22"/>
    <x v="33"/>
    <s v="Electric Generators, Electric Utilities"/>
    <x v="2"/>
    <n v="2398716"/>
  </r>
  <r>
    <x v="22"/>
    <x v="33"/>
    <s v="Electric Generators, Electric Utilities"/>
    <x v="3"/>
    <n v="18797809"/>
  </r>
  <r>
    <x v="22"/>
    <x v="33"/>
    <s v="Electric Generators, Electric Utilities"/>
    <x v="12"/>
    <n v="11929"/>
  </r>
  <r>
    <x v="22"/>
    <x v="33"/>
    <s v="Electric Generators, Electric Utilities"/>
    <x v="4"/>
    <n v="13205"/>
  </r>
  <r>
    <x v="22"/>
    <x v="33"/>
    <s v="Electric Generators, Electric Utilities"/>
    <x v="6"/>
    <n v="0"/>
  </r>
  <r>
    <x v="22"/>
    <x v="34"/>
    <s v="Total Electric Power Industry"/>
    <x v="0"/>
    <n v="135768244"/>
  </r>
  <r>
    <x v="22"/>
    <x v="34"/>
    <s v="Total Electric Power Industry"/>
    <x v="1"/>
    <n v="4551039"/>
  </r>
  <r>
    <x v="22"/>
    <x v="34"/>
    <s v="Total Electric Power Industry"/>
    <x v="10"/>
    <n v="-412945"/>
  </r>
  <r>
    <x v="22"/>
    <x v="34"/>
    <s v="Total Electric Power Industry"/>
    <x v="2"/>
    <n v="24652491"/>
  </r>
  <r>
    <x v="22"/>
    <x v="34"/>
    <s v="Total Electric Power Industry"/>
    <x v="3"/>
    <n v="59462256"/>
  </r>
  <r>
    <x v="22"/>
    <x v="34"/>
    <s v="Total Electric Power Industry"/>
    <x v="7"/>
    <n v="40774560"/>
  </r>
  <r>
    <x v="22"/>
    <x v="34"/>
    <s v="Total Electric Power Industry"/>
    <x v="12"/>
    <n v="968133"/>
  </r>
  <r>
    <x v="22"/>
    <x v="34"/>
    <s v="Total Electric Power Industry"/>
    <x v="4"/>
    <n v="580284"/>
  </r>
  <r>
    <x v="22"/>
    <x v="34"/>
    <s v="Total Electric Power Industry"/>
    <x v="13"/>
    <n v="52713"/>
  </r>
  <r>
    <x v="22"/>
    <x v="34"/>
    <s v="Total Electric Power Industry"/>
    <x v="8"/>
    <n v="1660351"/>
  </r>
  <r>
    <x v="22"/>
    <x v="34"/>
    <s v="Total Electric Power Industry"/>
    <x v="5"/>
    <n v="2991577"/>
  </r>
  <r>
    <x v="22"/>
    <x v="34"/>
    <s v="Total Electric Power Industry"/>
    <x v="6"/>
    <n v="487784"/>
  </r>
  <r>
    <x v="22"/>
    <x v="34"/>
    <s v="Combined Heat and Power, Industrial Power"/>
    <x v="0"/>
    <n v="944593"/>
  </r>
  <r>
    <x v="22"/>
    <x v="34"/>
    <s v="Combined Heat and Power, Industrial Power"/>
    <x v="1"/>
    <n v="315331"/>
  </r>
  <r>
    <x v="22"/>
    <x v="34"/>
    <s v="Combined Heat and Power, Industrial Power"/>
    <x v="2"/>
    <n v="60590"/>
  </r>
  <r>
    <x v="22"/>
    <x v="34"/>
    <s v="Combined Heat and Power, Industrial Power"/>
    <x v="3"/>
    <n v="253362"/>
  </r>
  <r>
    <x v="22"/>
    <x v="34"/>
    <s v="Combined Heat and Power, Industrial Power"/>
    <x v="4"/>
    <n v="69773"/>
  </r>
  <r>
    <x v="22"/>
    <x v="34"/>
    <s v="Combined Heat and Power, Industrial Power"/>
    <x v="5"/>
    <n v="3693"/>
  </r>
  <r>
    <x v="22"/>
    <x v="34"/>
    <s v="Combined Heat and Power, Industrial Power"/>
    <x v="6"/>
    <n v="241844"/>
  </r>
  <r>
    <x v="22"/>
    <x v="34"/>
    <s v="Combined Heat and Power, Commercial Power"/>
    <x v="0"/>
    <n v="1061013"/>
  </r>
  <r>
    <x v="22"/>
    <x v="34"/>
    <s v="Combined Heat and Power, Commercial Power"/>
    <x v="1"/>
    <n v="0"/>
  </r>
  <r>
    <x v="22"/>
    <x v="34"/>
    <s v="Combined Heat and Power, Commercial Power"/>
    <x v="2"/>
    <n v="3797"/>
  </r>
  <r>
    <x v="22"/>
    <x v="34"/>
    <s v="Combined Heat and Power, Commercial Power"/>
    <x v="3"/>
    <n v="604899"/>
  </r>
  <r>
    <x v="22"/>
    <x v="34"/>
    <s v="Combined Heat and Power, Commercial Power"/>
    <x v="12"/>
    <n v="210921"/>
  </r>
  <r>
    <x v="22"/>
    <x v="34"/>
    <s v="Combined Heat and Power, Commercial Power"/>
    <x v="4"/>
    <n v="21867"/>
  </r>
  <r>
    <x v="22"/>
    <x v="34"/>
    <s v="Combined Heat and Power, Commercial Power"/>
    <x v="8"/>
    <n v="219529"/>
  </r>
  <r>
    <x v="22"/>
    <x v="34"/>
    <s v="Combined Heat and Power, Electric Power"/>
    <x v="0"/>
    <n v="15601678"/>
  </r>
  <r>
    <x v="22"/>
    <x v="34"/>
    <s v="Combined Heat and Power, Electric Power"/>
    <x v="1"/>
    <n v="78776"/>
  </r>
  <r>
    <x v="22"/>
    <x v="34"/>
    <s v="Combined Heat and Power, Electric Power"/>
    <x v="3"/>
    <n v="15152027"/>
  </r>
  <r>
    <x v="22"/>
    <x v="34"/>
    <s v="Combined Heat and Power, Electric Power"/>
    <x v="12"/>
    <n v="99696"/>
  </r>
  <r>
    <x v="22"/>
    <x v="34"/>
    <s v="Combined Heat and Power, Electric Power"/>
    <x v="4"/>
    <n v="4320"/>
  </r>
  <r>
    <x v="22"/>
    <x v="34"/>
    <s v="Combined Heat and Power, Electric Power"/>
    <x v="8"/>
    <n v="103763"/>
  </r>
  <r>
    <x v="22"/>
    <x v="34"/>
    <s v="Combined Heat and Power, Electric Power"/>
    <x v="6"/>
    <n v="163096"/>
  </r>
  <r>
    <x v="22"/>
    <x v="34"/>
    <s v="Electric Generators, Independent Power Producers"/>
    <x v="0"/>
    <n v="84019274"/>
  </r>
  <r>
    <x v="22"/>
    <x v="34"/>
    <s v="Electric Generators, Independent Power Producers"/>
    <x v="1"/>
    <n v="4121250"/>
  </r>
  <r>
    <x v="22"/>
    <x v="34"/>
    <s v="Electric Generators, Independent Power Producers"/>
    <x v="2"/>
    <n v="3860466"/>
  </r>
  <r>
    <x v="22"/>
    <x v="34"/>
    <s v="Electric Generators, Independent Power Producers"/>
    <x v="3"/>
    <n v="29980006"/>
  </r>
  <r>
    <x v="22"/>
    <x v="34"/>
    <s v="Electric Generators, Independent Power Producers"/>
    <x v="7"/>
    <n v="40774560"/>
  </r>
  <r>
    <x v="22"/>
    <x v="34"/>
    <s v="Electric Generators, Independent Power Producers"/>
    <x v="12"/>
    <n v="657517"/>
  </r>
  <r>
    <x v="22"/>
    <x v="34"/>
    <s v="Electric Generators, Independent Power Producers"/>
    <x v="4"/>
    <n v="164977"/>
  </r>
  <r>
    <x v="22"/>
    <x v="34"/>
    <s v="Electric Generators, Independent Power Producers"/>
    <x v="13"/>
    <n v="52713"/>
  </r>
  <r>
    <x v="22"/>
    <x v="34"/>
    <s v="Electric Generators, Independent Power Producers"/>
    <x v="8"/>
    <n v="1337059"/>
  </r>
  <r>
    <x v="22"/>
    <x v="34"/>
    <s v="Electric Generators, Independent Power Producers"/>
    <x v="5"/>
    <n v="2987884"/>
  </r>
  <r>
    <x v="22"/>
    <x v="34"/>
    <s v="Electric Generators, Independent Power Producers"/>
    <x v="6"/>
    <n v="82843"/>
  </r>
  <r>
    <x v="22"/>
    <x v="34"/>
    <s v="Electric Generators, Electric Utilities"/>
    <x v="0"/>
    <n v="34141686"/>
  </r>
  <r>
    <x v="22"/>
    <x v="34"/>
    <s v="Electric Generators, Electric Utilities"/>
    <x v="1"/>
    <n v="35682"/>
  </r>
  <r>
    <x v="22"/>
    <x v="34"/>
    <s v="Electric Generators, Electric Utilities"/>
    <x v="10"/>
    <n v="-412945"/>
  </r>
  <r>
    <x v="22"/>
    <x v="34"/>
    <s v="Electric Generators, Electric Utilities"/>
    <x v="2"/>
    <n v="20727638"/>
  </r>
  <r>
    <x v="22"/>
    <x v="34"/>
    <s v="Electric Generators, Electric Utilities"/>
    <x v="3"/>
    <n v="13471963"/>
  </r>
  <r>
    <x v="22"/>
    <x v="34"/>
    <s v="Electric Generators, Electric Utilities"/>
    <x v="4"/>
    <n v="319348"/>
  </r>
  <r>
    <x v="22"/>
    <x v="35"/>
    <s v="Total Electric Power Industry"/>
    <x v="0"/>
    <n v="129745731"/>
  </r>
  <r>
    <x v="22"/>
    <x v="35"/>
    <s v="Total Electric Power Industry"/>
    <x v="1"/>
    <n v="85588636"/>
  </r>
  <r>
    <x v="22"/>
    <x v="35"/>
    <s v="Total Electric Power Industry"/>
    <x v="2"/>
    <n v="414161"/>
  </r>
  <r>
    <x v="22"/>
    <x v="35"/>
    <s v="Total Electric Power Industry"/>
    <x v="3"/>
    <n v="22665385"/>
  </r>
  <r>
    <x v="22"/>
    <x v="35"/>
    <s v="Total Electric Power Industry"/>
    <x v="7"/>
    <n v="17086998"/>
  </r>
  <r>
    <x v="22"/>
    <x v="35"/>
    <s v="Total Electric Power Industry"/>
    <x v="9"/>
    <n v="958869"/>
  </r>
  <r>
    <x v="22"/>
    <x v="35"/>
    <s v="Total Electric Power Industry"/>
    <x v="12"/>
    <n v="11928"/>
  </r>
  <r>
    <x v="22"/>
    <x v="35"/>
    <s v="Total Electric Power Industry"/>
    <x v="4"/>
    <n v="1281132"/>
  </r>
  <r>
    <x v="22"/>
    <x v="35"/>
    <s v="Total Electric Power Industry"/>
    <x v="13"/>
    <n v="36637"/>
  </r>
  <r>
    <x v="22"/>
    <x v="35"/>
    <s v="Total Electric Power Industry"/>
    <x v="8"/>
    <n v="365613"/>
  </r>
  <r>
    <x v="22"/>
    <x v="35"/>
    <s v="Total Electric Power Industry"/>
    <x v="5"/>
    <n v="985485"/>
  </r>
  <r>
    <x v="22"/>
    <x v="35"/>
    <s v="Total Electric Power Industry"/>
    <x v="6"/>
    <n v="350888"/>
  </r>
  <r>
    <x v="22"/>
    <x v="35"/>
    <s v="Combined Heat and Power, Industrial Power"/>
    <x v="0"/>
    <n v="1317487"/>
  </r>
  <r>
    <x v="22"/>
    <x v="35"/>
    <s v="Combined Heat and Power, Industrial Power"/>
    <x v="1"/>
    <n v="240068"/>
  </r>
  <r>
    <x v="22"/>
    <x v="35"/>
    <s v="Combined Heat and Power, Industrial Power"/>
    <x v="3"/>
    <n v="100331"/>
  </r>
  <r>
    <x v="22"/>
    <x v="35"/>
    <s v="Combined Heat and Power, Industrial Power"/>
    <x v="9"/>
    <n v="608634"/>
  </r>
  <r>
    <x v="22"/>
    <x v="35"/>
    <s v="Combined Heat and Power, Industrial Power"/>
    <x v="12"/>
    <n v="11928"/>
  </r>
  <r>
    <x v="22"/>
    <x v="35"/>
    <s v="Combined Heat and Power, Industrial Power"/>
    <x v="4"/>
    <n v="4903"/>
  </r>
  <r>
    <x v="22"/>
    <x v="35"/>
    <s v="Combined Heat and Power, Industrial Power"/>
    <x v="8"/>
    <n v="12583"/>
  </r>
  <r>
    <x v="22"/>
    <x v="35"/>
    <s v="Combined Heat and Power, Industrial Power"/>
    <x v="5"/>
    <n v="11988"/>
  </r>
  <r>
    <x v="22"/>
    <x v="35"/>
    <s v="Combined Heat and Power, Industrial Power"/>
    <x v="6"/>
    <n v="327053"/>
  </r>
  <r>
    <x v="22"/>
    <x v="35"/>
    <s v="Combined Heat and Power, Commercial Power"/>
    <x v="0"/>
    <n v="282651"/>
  </r>
  <r>
    <x v="22"/>
    <x v="35"/>
    <s v="Combined Heat and Power, Commercial Power"/>
    <x v="1"/>
    <n v="2395"/>
  </r>
  <r>
    <x v="22"/>
    <x v="35"/>
    <s v="Combined Heat and Power, Commercial Power"/>
    <x v="3"/>
    <n v="279757"/>
  </r>
  <r>
    <x v="22"/>
    <x v="35"/>
    <s v="Combined Heat and Power, Commercial Power"/>
    <x v="4"/>
    <n v="252"/>
  </r>
  <r>
    <x v="22"/>
    <x v="35"/>
    <s v="Combined Heat and Power, Commercial Power"/>
    <x v="13"/>
    <n v="248"/>
  </r>
  <r>
    <x v="22"/>
    <x v="35"/>
    <s v="Combined Heat and Power, Electric Power"/>
    <x v="0"/>
    <n v="529558"/>
  </r>
  <r>
    <x v="22"/>
    <x v="35"/>
    <s v="Combined Heat and Power, Electric Power"/>
    <x v="1"/>
    <n v="0"/>
  </r>
  <r>
    <x v="22"/>
    <x v="35"/>
    <s v="Combined Heat and Power, Electric Power"/>
    <x v="3"/>
    <n v="151452"/>
  </r>
  <r>
    <x v="22"/>
    <x v="35"/>
    <s v="Combined Heat and Power, Electric Power"/>
    <x v="9"/>
    <n v="350235"/>
  </r>
  <r>
    <x v="22"/>
    <x v="35"/>
    <s v="Combined Heat and Power, Electric Power"/>
    <x v="8"/>
    <n v="4035"/>
  </r>
  <r>
    <x v="22"/>
    <x v="35"/>
    <s v="Combined Heat and Power, Electric Power"/>
    <x v="6"/>
    <n v="23835"/>
  </r>
  <r>
    <x v="22"/>
    <x v="35"/>
    <s v="Electric Generators, Independent Power Producers"/>
    <x v="0"/>
    <n v="52432142"/>
  </r>
  <r>
    <x v="22"/>
    <x v="35"/>
    <s v="Electric Generators, Independent Power Producers"/>
    <x v="1"/>
    <n v="16826869"/>
  </r>
  <r>
    <x v="22"/>
    <x v="35"/>
    <s v="Electric Generators, Independent Power Producers"/>
    <x v="3"/>
    <n v="16118416"/>
  </r>
  <r>
    <x v="22"/>
    <x v="35"/>
    <s v="Electric Generators, Independent Power Producers"/>
    <x v="7"/>
    <n v="17086998"/>
  </r>
  <r>
    <x v="22"/>
    <x v="35"/>
    <s v="Electric Generators, Independent Power Producers"/>
    <x v="4"/>
    <n v="1061057"/>
  </r>
  <r>
    <x v="22"/>
    <x v="35"/>
    <s v="Electric Generators, Independent Power Producers"/>
    <x v="13"/>
    <n v="30544"/>
  </r>
  <r>
    <x v="22"/>
    <x v="35"/>
    <s v="Electric Generators, Independent Power Producers"/>
    <x v="8"/>
    <n v="348995"/>
  </r>
  <r>
    <x v="22"/>
    <x v="35"/>
    <s v="Electric Generators, Independent Power Producers"/>
    <x v="5"/>
    <n v="959264"/>
  </r>
  <r>
    <x v="22"/>
    <x v="35"/>
    <s v="Electric Generators, Electric Utilities"/>
    <x v="0"/>
    <n v="75183893"/>
  </r>
  <r>
    <x v="22"/>
    <x v="35"/>
    <s v="Electric Generators, Electric Utilities"/>
    <x v="1"/>
    <n v="68519305"/>
  </r>
  <r>
    <x v="22"/>
    <x v="35"/>
    <s v="Electric Generators, Electric Utilities"/>
    <x v="2"/>
    <n v="414161"/>
  </r>
  <r>
    <x v="22"/>
    <x v="35"/>
    <s v="Electric Generators, Electric Utilities"/>
    <x v="3"/>
    <n v="6015429"/>
  </r>
  <r>
    <x v="22"/>
    <x v="35"/>
    <s v="Electric Generators, Electric Utilities"/>
    <x v="4"/>
    <n v="214920"/>
  </r>
  <r>
    <x v="22"/>
    <x v="35"/>
    <s v="Electric Generators, Electric Utilities"/>
    <x v="13"/>
    <n v="5845"/>
  </r>
  <r>
    <x v="22"/>
    <x v="35"/>
    <s v="Electric Generators, Electric Utilities"/>
    <x v="5"/>
    <n v="14233"/>
  </r>
  <r>
    <x v="22"/>
    <x v="36"/>
    <s v="Total Electric Power Industry"/>
    <x v="0"/>
    <n v="77896588"/>
  </r>
  <r>
    <x v="22"/>
    <x v="36"/>
    <s v="Total Electric Power Industry"/>
    <x v="1"/>
    <n v="29301758"/>
  </r>
  <r>
    <x v="22"/>
    <x v="36"/>
    <s v="Total Electric Power Industry"/>
    <x v="10"/>
    <n v="-116710"/>
  </r>
  <r>
    <x v="22"/>
    <x v="36"/>
    <s v="Total Electric Power Industry"/>
    <x v="2"/>
    <n v="1145514"/>
  </r>
  <r>
    <x v="22"/>
    <x v="36"/>
    <s v="Total Electric Power Industry"/>
    <x v="3"/>
    <n v="39024300"/>
  </r>
  <r>
    <x v="22"/>
    <x v="36"/>
    <s v="Total Electric Power Industry"/>
    <x v="12"/>
    <n v="10058"/>
  </r>
  <r>
    <x v="22"/>
    <x v="36"/>
    <s v="Total Electric Power Industry"/>
    <x v="4"/>
    <n v="10944"/>
  </r>
  <r>
    <x v="22"/>
    <x v="36"/>
    <s v="Total Electric Power Industry"/>
    <x v="8"/>
    <n v="94122"/>
  </r>
  <r>
    <x v="22"/>
    <x v="36"/>
    <s v="Total Electric Power Industry"/>
    <x v="5"/>
    <n v="8157585"/>
  </r>
  <r>
    <x v="22"/>
    <x v="36"/>
    <s v="Total Electric Power Industry"/>
    <x v="6"/>
    <n v="269016"/>
  </r>
  <r>
    <x v="22"/>
    <x v="36"/>
    <s v="Combined Heat and Power, Industrial Power"/>
    <x v="0"/>
    <n v="854648"/>
  </r>
  <r>
    <x v="22"/>
    <x v="36"/>
    <s v="Combined Heat and Power, Industrial Power"/>
    <x v="1"/>
    <n v="376607"/>
  </r>
  <r>
    <x v="22"/>
    <x v="36"/>
    <s v="Combined Heat and Power, Industrial Power"/>
    <x v="3"/>
    <n v="104844"/>
  </r>
  <r>
    <x v="22"/>
    <x v="36"/>
    <s v="Combined Heat and Power, Industrial Power"/>
    <x v="12"/>
    <n v="10058"/>
  </r>
  <r>
    <x v="22"/>
    <x v="36"/>
    <s v="Combined Heat and Power, Industrial Power"/>
    <x v="4"/>
    <n v="0"/>
  </r>
  <r>
    <x v="22"/>
    <x v="36"/>
    <s v="Combined Heat and Power, Industrial Power"/>
    <x v="8"/>
    <n v="94122"/>
  </r>
  <r>
    <x v="22"/>
    <x v="36"/>
    <s v="Combined Heat and Power, Industrial Power"/>
    <x v="6"/>
    <n v="269016"/>
  </r>
  <r>
    <x v="22"/>
    <x v="36"/>
    <s v="Combined Heat and Power, Commercial Power"/>
    <x v="0"/>
    <n v="9626"/>
  </r>
  <r>
    <x v="22"/>
    <x v="36"/>
    <s v="Combined Heat and Power, Commercial Power"/>
    <x v="3"/>
    <n v="9623"/>
  </r>
  <r>
    <x v="22"/>
    <x v="36"/>
    <s v="Combined Heat and Power, Commercial Power"/>
    <x v="4"/>
    <n v="3"/>
  </r>
  <r>
    <x v="22"/>
    <x v="36"/>
    <s v="Combined Heat and Power, Electric Power"/>
    <x v="0"/>
    <n v="2010948"/>
  </r>
  <r>
    <x v="22"/>
    <x v="36"/>
    <s v="Combined Heat and Power, Electric Power"/>
    <x v="1"/>
    <n v="1783020"/>
  </r>
  <r>
    <x v="22"/>
    <x v="36"/>
    <s v="Combined Heat and Power, Electric Power"/>
    <x v="3"/>
    <n v="227928"/>
  </r>
  <r>
    <x v="22"/>
    <x v="36"/>
    <s v="Combined Heat and Power, Electric Power"/>
    <x v="8"/>
    <n v="0"/>
  </r>
  <r>
    <x v="22"/>
    <x v="36"/>
    <s v="Electric Generators, Independent Power Producers"/>
    <x v="0"/>
    <n v="18275061"/>
  </r>
  <r>
    <x v="22"/>
    <x v="36"/>
    <s v="Electric Generators, Independent Power Producers"/>
    <x v="3"/>
    <n v="11711035"/>
  </r>
  <r>
    <x v="22"/>
    <x v="36"/>
    <s v="Electric Generators, Independent Power Producers"/>
    <x v="5"/>
    <n v="6564026"/>
  </r>
  <r>
    <x v="22"/>
    <x v="36"/>
    <s v="Electric Generators, Electric Utilities"/>
    <x v="0"/>
    <n v="56746305"/>
  </r>
  <r>
    <x v="22"/>
    <x v="36"/>
    <s v="Electric Generators, Electric Utilities"/>
    <x v="1"/>
    <n v="27142131"/>
  </r>
  <r>
    <x v="22"/>
    <x v="36"/>
    <s v="Electric Generators, Electric Utilities"/>
    <x v="10"/>
    <n v="-116710"/>
  </r>
  <r>
    <x v="22"/>
    <x v="36"/>
    <s v="Electric Generators, Electric Utilities"/>
    <x v="2"/>
    <n v="1145514"/>
  </r>
  <r>
    <x v="22"/>
    <x v="36"/>
    <s v="Electric Generators, Electric Utilities"/>
    <x v="3"/>
    <n v="26970870"/>
  </r>
  <r>
    <x v="22"/>
    <x v="36"/>
    <s v="Electric Generators, Electric Utilities"/>
    <x v="12"/>
    <n v="0"/>
  </r>
  <r>
    <x v="22"/>
    <x v="36"/>
    <s v="Electric Generators, Electric Utilities"/>
    <x v="4"/>
    <n v="10941"/>
  </r>
  <r>
    <x v="22"/>
    <x v="36"/>
    <s v="Electric Generators, Electric Utilities"/>
    <x v="5"/>
    <n v="1593559"/>
  </r>
  <r>
    <x v="22"/>
    <x v="37"/>
    <s v="Total Electric Power Industry"/>
    <x v="0"/>
    <n v="60932730"/>
  </r>
  <r>
    <x v="22"/>
    <x v="37"/>
    <s v="Total Electric Power Industry"/>
    <x v="1"/>
    <n v="2634335"/>
  </r>
  <r>
    <x v="22"/>
    <x v="37"/>
    <s v="Total Electric Power Industry"/>
    <x v="11"/>
    <n v="25651"/>
  </r>
  <r>
    <x v="22"/>
    <x v="37"/>
    <s v="Total Electric Power Industry"/>
    <x v="2"/>
    <n v="39410178"/>
  </r>
  <r>
    <x v="22"/>
    <x v="37"/>
    <s v="Total Electric Power Industry"/>
    <x v="3"/>
    <n v="11624688"/>
  </r>
  <r>
    <x v="22"/>
    <x v="37"/>
    <s v="Total Electric Power Industry"/>
    <x v="12"/>
    <n v="50359"/>
  </r>
  <r>
    <x v="22"/>
    <x v="37"/>
    <s v="Total Electric Power Industry"/>
    <x v="4"/>
    <n v="5925"/>
  </r>
  <r>
    <x v="22"/>
    <x v="37"/>
    <s v="Total Electric Power Industry"/>
    <x v="13"/>
    <n v="6412"/>
  </r>
  <r>
    <x v="22"/>
    <x v="37"/>
    <s v="Total Electric Power Industry"/>
    <x v="8"/>
    <n v="231587"/>
  </r>
  <r>
    <x v="22"/>
    <x v="37"/>
    <s v="Total Electric Power Industry"/>
    <x v="5"/>
    <n v="6343484"/>
  </r>
  <r>
    <x v="22"/>
    <x v="37"/>
    <s v="Total Electric Power Industry"/>
    <x v="6"/>
    <n v="600112"/>
  </r>
  <r>
    <x v="22"/>
    <x v="37"/>
    <s v="Combined Heat and Power, Industrial Power"/>
    <x v="0"/>
    <n v="613446"/>
  </r>
  <r>
    <x v="22"/>
    <x v="37"/>
    <s v="Combined Heat and Power, Industrial Power"/>
    <x v="3"/>
    <n v="132845"/>
  </r>
  <r>
    <x v="22"/>
    <x v="37"/>
    <s v="Combined Heat and Power, Industrial Power"/>
    <x v="12"/>
    <n v="8196"/>
  </r>
  <r>
    <x v="22"/>
    <x v="37"/>
    <s v="Combined Heat and Power, Industrial Power"/>
    <x v="4"/>
    <n v="0"/>
  </r>
  <r>
    <x v="22"/>
    <x v="37"/>
    <s v="Combined Heat and Power, Industrial Power"/>
    <x v="6"/>
    <n v="472406"/>
  </r>
  <r>
    <x v="22"/>
    <x v="37"/>
    <s v="Combined Heat and Power, Commercial Power"/>
    <x v="0"/>
    <n v="72787"/>
  </r>
  <r>
    <x v="22"/>
    <x v="37"/>
    <s v="Combined Heat and Power, Commercial Power"/>
    <x v="3"/>
    <n v="50708"/>
  </r>
  <r>
    <x v="22"/>
    <x v="37"/>
    <s v="Combined Heat and Power, Commercial Power"/>
    <x v="4"/>
    <n v="1"/>
  </r>
  <r>
    <x v="22"/>
    <x v="37"/>
    <s v="Combined Heat and Power, Commercial Power"/>
    <x v="8"/>
    <n v="22079"/>
  </r>
  <r>
    <x v="22"/>
    <x v="37"/>
    <s v="Combined Heat and Power, Electric Power"/>
    <x v="0"/>
    <n v="4510781"/>
  </r>
  <r>
    <x v="22"/>
    <x v="37"/>
    <s v="Combined Heat and Power, Electric Power"/>
    <x v="3"/>
    <n v="4510781"/>
  </r>
  <r>
    <x v="22"/>
    <x v="37"/>
    <s v="Combined Heat and Power, Electric Power"/>
    <x v="8"/>
    <n v="0"/>
  </r>
  <r>
    <x v="22"/>
    <x v="37"/>
    <s v="Combined Heat and Power, Electric Power"/>
    <x v="6"/>
    <n v="0"/>
  </r>
  <r>
    <x v="22"/>
    <x v="37"/>
    <s v="Electric Generators, Independent Power Producers"/>
    <x v="0"/>
    <n v="8591225"/>
  </r>
  <r>
    <x v="22"/>
    <x v="37"/>
    <s v="Electric Generators, Independent Power Producers"/>
    <x v="11"/>
    <n v="25651"/>
  </r>
  <r>
    <x v="22"/>
    <x v="37"/>
    <s v="Electric Generators, Independent Power Producers"/>
    <x v="2"/>
    <n v="299309"/>
  </r>
  <r>
    <x v="22"/>
    <x v="37"/>
    <s v="Electric Generators, Independent Power Producers"/>
    <x v="3"/>
    <n v="2905516"/>
  </r>
  <r>
    <x v="22"/>
    <x v="37"/>
    <s v="Electric Generators, Independent Power Producers"/>
    <x v="12"/>
    <n v="42163"/>
  </r>
  <r>
    <x v="22"/>
    <x v="37"/>
    <s v="Electric Generators, Independent Power Producers"/>
    <x v="13"/>
    <n v="3860"/>
  </r>
  <r>
    <x v="22"/>
    <x v="37"/>
    <s v="Electric Generators, Independent Power Producers"/>
    <x v="8"/>
    <n v="142958"/>
  </r>
  <r>
    <x v="22"/>
    <x v="37"/>
    <s v="Electric Generators, Independent Power Producers"/>
    <x v="5"/>
    <n v="5044062"/>
  </r>
  <r>
    <x v="22"/>
    <x v="37"/>
    <s v="Electric Generators, Independent Power Producers"/>
    <x v="6"/>
    <n v="127706"/>
  </r>
  <r>
    <x v="22"/>
    <x v="37"/>
    <s v="Electric Generators, Electric Utilities"/>
    <x v="0"/>
    <n v="47144491"/>
  </r>
  <r>
    <x v="22"/>
    <x v="37"/>
    <s v="Electric Generators, Electric Utilities"/>
    <x v="1"/>
    <n v="2634335"/>
  </r>
  <r>
    <x v="22"/>
    <x v="37"/>
    <s v="Electric Generators, Electric Utilities"/>
    <x v="2"/>
    <n v="39110869"/>
  </r>
  <r>
    <x v="22"/>
    <x v="37"/>
    <s v="Electric Generators, Electric Utilities"/>
    <x v="3"/>
    <n v="4024839"/>
  </r>
  <r>
    <x v="22"/>
    <x v="37"/>
    <s v="Electric Generators, Electric Utilities"/>
    <x v="4"/>
    <n v="5924"/>
  </r>
  <r>
    <x v="22"/>
    <x v="37"/>
    <s v="Electric Generators, Electric Utilities"/>
    <x v="13"/>
    <n v="2552"/>
  </r>
  <r>
    <x v="22"/>
    <x v="37"/>
    <s v="Electric Generators, Electric Utilities"/>
    <x v="8"/>
    <n v="66550"/>
  </r>
  <r>
    <x v="22"/>
    <x v="37"/>
    <s v="Electric Generators, Electric Utilities"/>
    <x v="5"/>
    <n v="1299422"/>
  </r>
  <r>
    <x v="22"/>
    <x v="38"/>
    <s v="Total Electric Power Industry"/>
    <x v="0"/>
    <n v="223419715"/>
  </r>
  <r>
    <x v="22"/>
    <x v="38"/>
    <s v="Total Electric Power Industry"/>
    <x v="1"/>
    <n v="87148205"/>
  </r>
  <r>
    <x v="22"/>
    <x v="38"/>
    <s v="Total Electric Power Industry"/>
    <x v="10"/>
    <n v="-443367"/>
  </r>
  <r>
    <x v="22"/>
    <x v="38"/>
    <s v="Total Electric Power Industry"/>
    <x v="2"/>
    <n v="2241920"/>
  </r>
  <r>
    <x v="22"/>
    <x v="38"/>
    <s v="Total Electric Power Industry"/>
    <x v="3"/>
    <n v="53062199"/>
  </r>
  <r>
    <x v="22"/>
    <x v="38"/>
    <s v="Total Electric Power Industry"/>
    <x v="7"/>
    <n v="75174408"/>
  </r>
  <r>
    <x v="22"/>
    <x v="38"/>
    <s v="Total Electric Power Industry"/>
    <x v="9"/>
    <n v="597968"/>
  </r>
  <r>
    <x v="22"/>
    <x v="38"/>
    <s v="Total Electric Power Industry"/>
    <x v="12"/>
    <n v="895872"/>
  </r>
  <r>
    <x v="22"/>
    <x v="38"/>
    <s v="Total Electric Power Industry"/>
    <x v="4"/>
    <n v="283393"/>
  </r>
  <r>
    <x v="22"/>
    <x v="38"/>
    <s v="Total Electric Power Industry"/>
    <x v="13"/>
    <n v="32147"/>
  </r>
  <r>
    <x v="22"/>
    <x v="38"/>
    <s v="Total Electric Power Industry"/>
    <x v="8"/>
    <n v="1764728"/>
  </r>
  <r>
    <x v="22"/>
    <x v="38"/>
    <s v="Total Electric Power Industry"/>
    <x v="5"/>
    <n v="2128658"/>
  </r>
  <r>
    <x v="22"/>
    <x v="38"/>
    <s v="Total Electric Power Industry"/>
    <x v="6"/>
    <n v="533585"/>
  </r>
  <r>
    <x v="22"/>
    <x v="38"/>
    <s v="Combined Heat and Power, Industrial Power"/>
    <x v="0"/>
    <n v="2243258"/>
  </r>
  <r>
    <x v="22"/>
    <x v="38"/>
    <s v="Combined Heat and Power, Industrial Power"/>
    <x v="1"/>
    <n v="367760"/>
  </r>
  <r>
    <x v="22"/>
    <x v="38"/>
    <s v="Combined Heat and Power, Industrial Power"/>
    <x v="3"/>
    <n v="765187"/>
  </r>
  <r>
    <x v="22"/>
    <x v="38"/>
    <s v="Combined Heat and Power, Industrial Power"/>
    <x v="9"/>
    <n v="597968"/>
  </r>
  <r>
    <x v="22"/>
    <x v="38"/>
    <s v="Combined Heat and Power, Industrial Power"/>
    <x v="4"/>
    <n v="36856"/>
  </r>
  <r>
    <x v="22"/>
    <x v="38"/>
    <s v="Combined Heat and Power, Industrial Power"/>
    <x v="13"/>
    <n v="6459"/>
  </r>
  <r>
    <x v="22"/>
    <x v="38"/>
    <s v="Combined Heat and Power, Industrial Power"/>
    <x v="8"/>
    <n v="2301"/>
  </r>
  <r>
    <x v="22"/>
    <x v="38"/>
    <s v="Combined Heat and Power, Industrial Power"/>
    <x v="6"/>
    <n v="466727"/>
  </r>
  <r>
    <x v="22"/>
    <x v="38"/>
    <s v="Combined Heat and Power, Commercial Power"/>
    <x v="0"/>
    <n v="361657"/>
  </r>
  <r>
    <x v="22"/>
    <x v="38"/>
    <s v="Combined Heat and Power, Commercial Power"/>
    <x v="1"/>
    <n v="11339"/>
  </r>
  <r>
    <x v="22"/>
    <x v="38"/>
    <s v="Combined Heat and Power, Commercial Power"/>
    <x v="3"/>
    <n v="111825"/>
  </r>
  <r>
    <x v="22"/>
    <x v="38"/>
    <s v="Combined Heat and Power, Commercial Power"/>
    <x v="12"/>
    <n v="107070"/>
  </r>
  <r>
    <x v="22"/>
    <x v="38"/>
    <s v="Combined Heat and Power, Commercial Power"/>
    <x v="4"/>
    <n v="1610"/>
  </r>
  <r>
    <x v="22"/>
    <x v="38"/>
    <s v="Combined Heat and Power, Commercial Power"/>
    <x v="13"/>
    <n v="1"/>
  </r>
  <r>
    <x v="22"/>
    <x v="38"/>
    <s v="Combined Heat and Power, Commercial Power"/>
    <x v="8"/>
    <n v="129811"/>
  </r>
  <r>
    <x v="22"/>
    <x v="38"/>
    <s v="Combined Heat and Power, Electric Power"/>
    <x v="0"/>
    <n v="11044872"/>
  </r>
  <r>
    <x v="22"/>
    <x v="38"/>
    <s v="Combined Heat and Power, Electric Power"/>
    <x v="1"/>
    <n v="4906493"/>
  </r>
  <r>
    <x v="22"/>
    <x v="38"/>
    <s v="Combined Heat and Power, Electric Power"/>
    <x v="3"/>
    <n v="5547448"/>
  </r>
  <r>
    <x v="22"/>
    <x v="38"/>
    <s v="Combined Heat and Power, Electric Power"/>
    <x v="9"/>
    <n v="0"/>
  </r>
  <r>
    <x v="22"/>
    <x v="38"/>
    <s v="Combined Heat and Power, Electric Power"/>
    <x v="12"/>
    <n v="58790"/>
  </r>
  <r>
    <x v="22"/>
    <x v="38"/>
    <s v="Combined Heat and Power, Electric Power"/>
    <x v="4"/>
    <n v="9889"/>
  </r>
  <r>
    <x v="22"/>
    <x v="38"/>
    <s v="Combined Heat and Power, Electric Power"/>
    <x v="8"/>
    <n v="460152"/>
  </r>
  <r>
    <x v="22"/>
    <x v="38"/>
    <s v="Combined Heat and Power, Electric Power"/>
    <x v="6"/>
    <n v="62099"/>
  </r>
  <r>
    <x v="22"/>
    <x v="38"/>
    <s v="Electric Generators, Independent Power Producers"/>
    <x v="0"/>
    <n v="208732320"/>
  </r>
  <r>
    <x v="22"/>
    <x v="38"/>
    <s v="Electric Generators, Independent Power Producers"/>
    <x v="1"/>
    <n v="81862613"/>
  </r>
  <r>
    <x v="22"/>
    <x v="38"/>
    <s v="Electric Generators, Independent Power Producers"/>
    <x v="10"/>
    <n v="-443367"/>
  </r>
  <r>
    <x v="22"/>
    <x v="38"/>
    <s v="Electric Generators, Independent Power Producers"/>
    <x v="2"/>
    <n v="1207286"/>
  </r>
  <r>
    <x v="22"/>
    <x v="38"/>
    <s v="Electric Generators, Independent Power Producers"/>
    <x v="3"/>
    <n v="46634967"/>
  </r>
  <r>
    <x v="22"/>
    <x v="38"/>
    <s v="Electric Generators, Independent Power Producers"/>
    <x v="7"/>
    <n v="75174408"/>
  </r>
  <r>
    <x v="22"/>
    <x v="38"/>
    <s v="Electric Generators, Independent Power Producers"/>
    <x v="12"/>
    <n v="730011"/>
  </r>
  <r>
    <x v="22"/>
    <x v="38"/>
    <s v="Electric Generators, Independent Power Producers"/>
    <x v="4"/>
    <n v="234833"/>
  </r>
  <r>
    <x v="22"/>
    <x v="38"/>
    <s v="Electric Generators, Independent Power Producers"/>
    <x v="13"/>
    <n v="25687"/>
  </r>
  <r>
    <x v="22"/>
    <x v="38"/>
    <s v="Electric Generators, Independent Power Producers"/>
    <x v="8"/>
    <n v="1172464"/>
  </r>
  <r>
    <x v="22"/>
    <x v="38"/>
    <s v="Electric Generators, Independent Power Producers"/>
    <x v="5"/>
    <n v="2128658"/>
  </r>
  <r>
    <x v="22"/>
    <x v="38"/>
    <s v="Electric Generators, Independent Power Producers"/>
    <x v="6"/>
    <n v="4759"/>
  </r>
  <r>
    <x v="22"/>
    <x v="38"/>
    <s v="Electric Generators, Electric Utilities"/>
    <x v="0"/>
    <n v="1037609"/>
  </r>
  <r>
    <x v="22"/>
    <x v="38"/>
    <s v="Electric Generators, Electric Utilities"/>
    <x v="2"/>
    <n v="1034634"/>
  </r>
  <r>
    <x v="22"/>
    <x v="38"/>
    <s v="Electric Generators, Electric Utilities"/>
    <x v="3"/>
    <n v="2771"/>
  </r>
  <r>
    <x v="22"/>
    <x v="38"/>
    <s v="Electric Generators, Electric Utilities"/>
    <x v="4"/>
    <n v="204"/>
  </r>
  <r>
    <x v="22"/>
    <x v="39"/>
    <s v="Total Electric Power Industry"/>
    <x v="0"/>
    <n v="8309036"/>
  </r>
  <r>
    <x v="22"/>
    <x v="39"/>
    <s v="Total Electric Power Industry"/>
    <x v="2"/>
    <n v="4266"/>
  </r>
  <r>
    <x v="22"/>
    <x v="39"/>
    <s v="Total Electric Power Industry"/>
    <x v="3"/>
    <n v="8185001"/>
  </r>
  <r>
    <x v="22"/>
    <x v="39"/>
    <s v="Total Electric Power Industry"/>
    <x v="4"/>
    <n v="17874"/>
  </r>
  <r>
    <x v="22"/>
    <x v="39"/>
    <s v="Total Electric Power Industry"/>
    <x v="8"/>
    <n v="100515"/>
  </r>
  <r>
    <x v="22"/>
    <x v="39"/>
    <s v="Total Electric Power Industry"/>
    <x v="5"/>
    <n v="1380"/>
  </r>
  <r>
    <x v="22"/>
    <x v="39"/>
    <s v="Combined Heat and Power, Commercial Power"/>
    <x v="0"/>
    <n v="52306"/>
  </r>
  <r>
    <x v="22"/>
    <x v="39"/>
    <s v="Combined Heat and Power, Commercial Power"/>
    <x v="3"/>
    <n v="45100"/>
  </r>
  <r>
    <x v="22"/>
    <x v="39"/>
    <s v="Combined Heat and Power, Commercial Power"/>
    <x v="4"/>
    <n v="7206"/>
  </r>
  <r>
    <x v="22"/>
    <x v="39"/>
    <s v="Electric Generators, Independent Power Producers"/>
    <x v="0"/>
    <n v="8246178"/>
  </r>
  <r>
    <x v="22"/>
    <x v="39"/>
    <s v="Electric Generators, Independent Power Producers"/>
    <x v="2"/>
    <n v="4266"/>
  </r>
  <r>
    <x v="22"/>
    <x v="39"/>
    <s v="Electric Generators, Independent Power Producers"/>
    <x v="3"/>
    <n v="8139901"/>
  </r>
  <r>
    <x v="22"/>
    <x v="39"/>
    <s v="Electric Generators, Independent Power Producers"/>
    <x v="4"/>
    <n v="116"/>
  </r>
  <r>
    <x v="22"/>
    <x v="39"/>
    <s v="Electric Generators, Independent Power Producers"/>
    <x v="8"/>
    <n v="100515"/>
  </r>
  <r>
    <x v="22"/>
    <x v="39"/>
    <s v="Electric Generators, Independent Power Producers"/>
    <x v="5"/>
    <n v="1380"/>
  </r>
  <r>
    <x v="22"/>
    <x v="39"/>
    <s v="Electric Generators, Electric Utilities"/>
    <x v="0"/>
    <n v="10552"/>
  </r>
  <r>
    <x v="22"/>
    <x v="39"/>
    <s v="Electric Generators, Electric Utilities"/>
    <x v="4"/>
    <n v="10552"/>
  </r>
  <r>
    <x v="22"/>
    <x v="40"/>
    <s v="Total Electric Power Industry"/>
    <x v="0"/>
    <n v="96755682"/>
  </r>
  <r>
    <x v="22"/>
    <x v="40"/>
    <s v="Total Electric Power Industry"/>
    <x v="1"/>
    <n v="28396145"/>
  </r>
  <r>
    <x v="22"/>
    <x v="40"/>
    <s v="Total Electric Power Industry"/>
    <x v="10"/>
    <n v="-896033"/>
  </r>
  <r>
    <x v="22"/>
    <x v="40"/>
    <s v="Total Electric Power Industry"/>
    <x v="2"/>
    <n v="1420272"/>
  </r>
  <r>
    <x v="22"/>
    <x v="40"/>
    <s v="Total Electric Power Industry"/>
    <x v="3"/>
    <n v="14331879"/>
  </r>
  <r>
    <x v="22"/>
    <x v="40"/>
    <s v="Total Electric Power Industry"/>
    <x v="7"/>
    <n v="51145302"/>
  </r>
  <r>
    <x v="22"/>
    <x v="40"/>
    <s v="Total Electric Power Industry"/>
    <x v="12"/>
    <n v="106246"/>
  </r>
  <r>
    <x v="22"/>
    <x v="40"/>
    <s v="Total Electric Power Industry"/>
    <x v="4"/>
    <n v="108399"/>
  </r>
  <r>
    <x v="22"/>
    <x v="40"/>
    <s v="Total Electric Power Industry"/>
    <x v="8"/>
    <n v="202520"/>
  </r>
  <r>
    <x v="22"/>
    <x v="40"/>
    <s v="Total Electric Power Industry"/>
    <x v="6"/>
    <n v="1940953"/>
  </r>
  <r>
    <x v="22"/>
    <x v="40"/>
    <s v="Combined Heat and Power, Industrial Power"/>
    <x v="0"/>
    <n v="1964194"/>
  </r>
  <r>
    <x v="22"/>
    <x v="40"/>
    <s v="Combined Heat and Power, Industrial Power"/>
    <x v="1"/>
    <n v="161459"/>
  </r>
  <r>
    <x v="22"/>
    <x v="40"/>
    <s v="Combined Heat and Power, Industrial Power"/>
    <x v="3"/>
    <n v="90611"/>
  </r>
  <r>
    <x v="22"/>
    <x v="40"/>
    <s v="Combined Heat and Power, Industrial Power"/>
    <x v="12"/>
    <n v="58099"/>
  </r>
  <r>
    <x v="22"/>
    <x v="40"/>
    <s v="Combined Heat and Power, Industrial Power"/>
    <x v="4"/>
    <n v="8209"/>
  </r>
  <r>
    <x v="22"/>
    <x v="40"/>
    <s v="Combined Heat and Power, Industrial Power"/>
    <x v="8"/>
    <n v="68482"/>
  </r>
  <r>
    <x v="22"/>
    <x v="40"/>
    <s v="Combined Heat and Power, Industrial Power"/>
    <x v="6"/>
    <n v="1577334"/>
  </r>
  <r>
    <x v="22"/>
    <x v="40"/>
    <s v="Combined Heat and Power, Commercial Power"/>
    <x v="0"/>
    <n v="210"/>
  </r>
  <r>
    <x v="22"/>
    <x v="40"/>
    <s v="Combined Heat and Power, Commercial Power"/>
    <x v="2"/>
    <n v="143"/>
  </r>
  <r>
    <x v="22"/>
    <x v="40"/>
    <s v="Combined Heat and Power, Commercial Power"/>
    <x v="3"/>
    <n v="0"/>
  </r>
  <r>
    <x v="22"/>
    <x v="40"/>
    <s v="Combined Heat and Power, Commercial Power"/>
    <x v="4"/>
    <n v="67"/>
  </r>
  <r>
    <x v="22"/>
    <x v="40"/>
    <s v="Combined Heat and Power, Electric Power"/>
    <x v="0"/>
    <n v="822413"/>
  </r>
  <r>
    <x v="22"/>
    <x v="40"/>
    <s v="Combined Heat and Power, Electric Power"/>
    <x v="1"/>
    <n v="26198"/>
  </r>
  <r>
    <x v="22"/>
    <x v="40"/>
    <s v="Combined Heat and Power, Electric Power"/>
    <x v="3"/>
    <n v="727386"/>
  </r>
  <r>
    <x v="22"/>
    <x v="40"/>
    <s v="Combined Heat and Power, Electric Power"/>
    <x v="12"/>
    <n v="48147"/>
  </r>
  <r>
    <x v="22"/>
    <x v="40"/>
    <s v="Combined Heat and Power, Electric Power"/>
    <x v="4"/>
    <n v="1534"/>
  </r>
  <r>
    <x v="22"/>
    <x v="40"/>
    <s v="Combined Heat and Power, Electric Power"/>
    <x v="6"/>
    <n v="19149"/>
  </r>
  <r>
    <x v="22"/>
    <x v="40"/>
    <s v="Electric Generators, Independent Power Producers"/>
    <x v="0"/>
    <n v="1147096"/>
  </r>
  <r>
    <x v="22"/>
    <x v="40"/>
    <s v="Electric Generators, Independent Power Producers"/>
    <x v="1"/>
    <n v="0"/>
  </r>
  <r>
    <x v="22"/>
    <x v="40"/>
    <s v="Electric Generators, Independent Power Producers"/>
    <x v="2"/>
    <n v="53234"/>
  </r>
  <r>
    <x v="22"/>
    <x v="40"/>
    <s v="Electric Generators, Independent Power Producers"/>
    <x v="3"/>
    <n v="1073305"/>
  </r>
  <r>
    <x v="22"/>
    <x v="40"/>
    <s v="Electric Generators, Independent Power Producers"/>
    <x v="4"/>
    <n v="0"/>
  </r>
  <r>
    <x v="22"/>
    <x v="40"/>
    <s v="Electric Generators, Independent Power Producers"/>
    <x v="8"/>
    <n v="20557"/>
  </r>
  <r>
    <x v="22"/>
    <x v="40"/>
    <s v="Electric Generators, Electric Utilities"/>
    <x v="0"/>
    <n v="92821769"/>
  </r>
  <r>
    <x v="22"/>
    <x v="40"/>
    <s v="Electric Generators, Electric Utilities"/>
    <x v="1"/>
    <n v="28208487"/>
  </r>
  <r>
    <x v="22"/>
    <x v="40"/>
    <s v="Electric Generators, Electric Utilities"/>
    <x v="10"/>
    <n v="-896033"/>
  </r>
  <r>
    <x v="22"/>
    <x v="40"/>
    <s v="Electric Generators, Electric Utilities"/>
    <x v="2"/>
    <n v="1366895"/>
  </r>
  <r>
    <x v="22"/>
    <x v="40"/>
    <s v="Electric Generators, Electric Utilities"/>
    <x v="3"/>
    <n v="12440578"/>
  </r>
  <r>
    <x v="22"/>
    <x v="40"/>
    <s v="Electric Generators, Electric Utilities"/>
    <x v="7"/>
    <n v="51145302"/>
  </r>
  <r>
    <x v="22"/>
    <x v="40"/>
    <s v="Electric Generators, Electric Utilities"/>
    <x v="4"/>
    <n v="98589"/>
  </r>
  <r>
    <x v="22"/>
    <x v="40"/>
    <s v="Electric Generators, Electric Utilities"/>
    <x v="8"/>
    <n v="113481"/>
  </r>
  <r>
    <x v="22"/>
    <x v="40"/>
    <s v="Electric Generators, Electric Utilities"/>
    <x v="6"/>
    <n v="344470"/>
  </r>
  <r>
    <x v="22"/>
    <x v="41"/>
    <s v="Total Electric Power Industry"/>
    <x v="0"/>
    <n v="11473397"/>
  </r>
  <r>
    <x v="22"/>
    <x v="41"/>
    <s v="Total Electric Power Industry"/>
    <x v="1"/>
    <n v="2918756"/>
  </r>
  <r>
    <x v="22"/>
    <x v="41"/>
    <s v="Total Electric Power Industry"/>
    <x v="2"/>
    <n v="5980965"/>
  </r>
  <r>
    <x v="22"/>
    <x v="41"/>
    <s v="Total Electric Power Industry"/>
    <x v="3"/>
    <n v="214101"/>
  </r>
  <r>
    <x v="22"/>
    <x v="41"/>
    <s v="Total Electric Power Industry"/>
    <x v="12"/>
    <n v="0"/>
  </r>
  <r>
    <x v="22"/>
    <x v="41"/>
    <s v="Total Electric Power Industry"/>
    <x v="4"/>
    <n v="5718"/>
  </r>
  <r>
    <x v="22"/>
    <x v="41"/>
    <s v="Total Electric Power Industry"/>
    <x v="8"/>
    <n v="0"/>
  </r>
  <r>
    <x v="22"/>
    <x v="41"/>
    <s v="Total Electric Power Industry"/>
    <x v="5"/>
    <n v="2353857"/>
  </r>
  <r>
    <x v="22"/>
    <x v="41"/>
    <s v="Combined Heat and Power, Commercial Power"/>
    <x v="0"/>
    <n v="0"/>
  </r>
  <r>
    <x v="22"/>
    <x v="41"/>
    <s v="Combined Heat and Power, Commercial Power"/>
    <x v="4"/>
    <n v="0"/>
  </r>
  <r>
    <x v="22"/>
    <x v="41"/>
    <s v="Electric Generators, Independent Power Producers"/>
    <x v="0"/>
    <n v="1687424"/>
  </r>
  <r>
    <x v="22"/>
    <x v="41"/>
    <s v="Electric Generators, Independent Power Producers"/>
    <x v="4"/>
    <n v="550"/>
  </r>
  <r>
    <x v="22"/>
    <x v="41"/>
    <s v="Electric Generators, Independent Power Producers"/>
    <x v="5"/>
    <n v="1686874"/>
  </r>
  <r>
    <x v="22"/>
    <x v="41"/>
    <s v="Electric Generators, Electric Utilities"/>
    <x v="0"/>
    <n v="9785973"/>
  </r>
  <r>
    <x v="22"/>
    <x v="41"/>
    <s v="Electric Generators, Electric Utilities"/>
    <x v="1"/>
    <n v="2918756"/>
  </r>
  <r>
    <x v="22"/>
    <x v="41"/>
    <s v="Electric Generators, Electric Utilities"/>
    <x v="2"/>
    <n v="5980965"/>
  </r>
  <r>
    <x v="22"/>
    <x v="41"/>
    <s v="Electric Generators, Electric Utilities"/>
    <x v="3"/>
    <n v="214101"/>
  </r>
  <r>
    <x v="22"/>
    <x v="41"/>
    <s v="Electric Generators, Electric Utilities"/>
    <x v="12"/>
    <n v="0"/>
  </r>
  <r>
    <x v="22"/>
    <x v="41"/>
    <s v="Electric Generators, Electric Utilities"/>
    <x v="4"/>
    <n v="5168"/>
  </r>
  <r>
    <x v="22"/>
    <x v="41"/>
    <s v="Electric Generators, Electric Utilities"/>
    <x v="8"/>
    <n v="0"/>
  </r>
  <r>
    <x v="22"/>
    <x v="41"/>
    <s v="Electric Generators, Electric Utilities"/>
    <x v="5"/>
    <n v="666983"/>
  </r>
  <r>
    <x v="22"/>
    <x v="42"/>
    <s v="Total Electric Power Industry"/>
    <x v="0"/>
    <n v="77724264"/>
  </r>
  <r>
    <x v="22"/>
    <x v="42"/>
    <s v="Total Electric Power Industry"/>
    <x v="1"/>
    <n v="35419309"/>
  </r>
  <r>
    <x v="22"/>
    <x v="42"/>
    <s v="Total Electric Power Industry"/>
    <x v="10"/>
    <n v="-162939"/>
  </r>
  <r>
    <x v="22"/>
    <x v="42"/>
    <s v="Total Electric Power Industry"/>
    <x v="2"/>
    <n v="8295660"/>
  </r>
  <r>
    <x v="22"/>
    <x v="42"/>
    <s v="Total Electric Power Industry"/>
    <x v="3"/>
    <n v="8075160"/>
  </r>
  <r>
    <x v="22"/>
    <x v="42"/>
    <s v="Total Electric Power Industry"/>
    <x v="7"/>
    <n v="25102101"/>
  </r>
  <r>
    <x v="22"/>
    <x v="42"/>
    <s v="Total Electric Power Industry"/>
    <x v="9"/>
    <n v="13486"/>
  </r>
  <r>
    <x v="22"/>
    <x v="42"/>
    <s v="Total Electric Power Industry"/>
    <x v="12"/>
    <n v="550"/>
  </r>
  <r>
    <x v="22"/>
    <x v="42"/>
    <s v="Total Electric Power Industry"/>
    <x v="4"/>
    <n v="144480"/>
  </r>
  <r>
    <x v="22"/>
    <x v="42"/>
    <s v="Total Electric Power Industry"/>
    <x v="13"/>
    <n v="12183"/>
  </r>
  <r>
    <x v="22"/>
    <x v="42"/>
    <s v="Total Electric Power Industry"/>
    <x v="8"/>
    <n v="62206"/>
  </r>
  <r>
    <x v="22"/>
    <x v="42"/>
    <s v="Total Electric Power Industry"/>
    <x v="5"/>
    <n v="47492"/>
  </r>
  <r>
    <x v="22"/>
    <x v="42"/>
    <s v="Total Electric Power Industry"/>
    <x v="6"/>
    <n v="714577"/>
  </r>
  <r>
    <x v="22"/>
    <x v="42"/>
    <s v="Combined Heat and Power, Industrial Power"/>
    <x v="0"/>
    <n v="2548433"/>
  </r>
  <r>
    <x v="22"/>
    <x v="42"/>
    <s v="Combined Heat and Power, Industrial Power"/>
    <x v="1"/>
    <n v="1149985"/>
  </r>
  <r>
    <x v="22"/>
    <x v="42"/>
    <s v="Combined Heat and Power, Industrial Power"/>
    <x v="2"/>
    <n v="623138"/>
  </r>
  <r>
    <x v="22"/>
    <x v="42"/>
    <s v="Combined Heat and Power, Industrial Power"/>
    <x v="3"/>
    <n v="41109"/>
  </r>
  <r>
    <x v="22"/>
    <x v="42"/>
    <s v="Combined Heat and Power, Industrial Power"/>
    <x v="9"/>
    <n v="13486"/>
  </r>
  <r>
    <x v="22"/>
    <x v="42"/>
    <s v="Combined Heat and Power, Industrial Power"/>
    <x v="12"/>
    <n v="550"/>
  </r>
  <r>
    <x v="22"/>
    <x v="42"/>
    <s v="Combined Heat and Power, Industrial Power"/>
    <x v="4"/>
    <n v="140"/>
  </r>
  <r>
    <x v="22"/>
    <x v="42"/>
    <s v="Combined Heat and Power, Industrial Power"/>
    <x v="8"/>
    <n v="5449"/>
  </r>
  <r>
    <x v="22"/>
    <x v="42"/>
    <s v="Combined Heat and Power, Industrial Power"/>
    <x v="6"/>
    <n v="714577"/>
  </r>
  <r>
    <x v="22"/>
    <x v="42"/>
    <s v="Combined Heat and Power, Commercial Power"/>
    <x v="0"/>
    <n v="164390"/>
  </r>
  <r>
    <x v="22"/>
    <x v="42"/>
    <s v="Combined Heat and Power, Commercial Power"/>
    <x v="1"/>
    <n v="20234"/>
  </r>
  <r>
    <x v="22"/>
    <x v="42"/>
    <s v="Combined Heat and Power, Commercial Power"/>
    <x v="3"/>
    <n v="141943"/>
  </r>
  <r>
    <x v="22"/>
    <x v="42"/>
    <s v="Combined Heat and Power, Commercial Power"/>
    <x v="4"/>
    <n v="100"/>
  </r>
  <r>
    <x v="22"/>
    <x v="42"/>
    <s v="Combined Heat and Power, Commercial Power"/>
    <x v="13"/>
    <n v="2114"/>
  </r>
  <r>
    <x v="22"/>
    <x v="42"/>
    <s v="Electric Generators, Independent Power Producers"/>
    <x v="0"/>
    <n v="114318"/>
  </r>
  <r>
    <x v="22"/>
    <x v="42"/>
    <s v="Electric Generators, Independent Power Producers"/>
    <x v="13"/>
    <n v="10069"/>
  </r>
  <r>
    <x v="22"/>
    <x v="42"/>
    <s v="Electric Generators, Independent Power Producers"/>
    <x v="8"/>
    <n v="56757"/>
  </r>
  <r>
    <x v="22"/>
    <x v="42"/>
    <s v="Electric Generators, Independent Power Producers"/>
    <x v="5"/>
    <n v="47492"/>
  </r>
  <r>
    <x v="22"/>
    <x v="42"/>
    <s v="Electric Generators, Electric Utilities"/>
    <x v="0"/>
    <n v="74897122"/>
  </r>
  <r>
    <x v="22"/>
    <x v="42"/>
    <s v="Electric Generators, Electric Utilities"/>
    <x v="1"/>
    <n v="34249091"/>
  </r>
  <r>
    <x v="22"/>
    <x v="42"/>
    <s v="Electric Generators, Electric Utilities"/>
    <x v="10"/>
    <n v="-162939"/>
  </r>
  <r>
    <x v="22"/>
    <x v="42"/>
    <s v="Electric Generators, Electric Utilities"/>
    <x v="2"/>
    <n v="7672522"/>
  </r>
  <r>
    <x v="22"/>
    <x v="42"/>
    <s v="Electric Generators, Electric Utilities"/>
    <x v="3"/>
    <n v="7892107"/>
  </r>
  <r>
    <x v="22"/>
    <x v="42"/>
    <s v="Electric Generators, Electric Utilities"/>
    <x v="7"/>
    <n v="25102101"/>
  </r>
  <r>
    <x v="22"/>
    <x v="42"/>
    <s v="Electric Generators, Electric Utilities"/>
    <x v="4"/>
    <n v="144240"/>
  </r>
  <r>
    <x v="22"/>
    <x v="42"/>
    <s v="Electric Generators, Electric Utilities"/>
    <x v="8"/>
    <n v="0"/>
  </r>
  <r>
    <x v="22"/>
    <x v="42"/>
    <s v="Electric Generators, Electric Utilities"/>
    <x v="5"/>
    <n v="0"/>
  </r>
  <r>
    <x v="22"/>
    <x v="43"/>
    <s v="Total Electric Power Industry"/>
    <x v="0"/>
    <n v="429812510"/>
  </r>
  <r>
    <x v="22"/>
    <x v="43"/>
    <s v="Total Electric Power Industry"/>
    <x v="1"/>
    <n v="138088223"/>
  </r>
  <r>
    <x v="22"/>
    <x v="43"/>
    <s v="Total Electric Power Industry"/>
    <x v="2"/>
    <n v="584474"/>
  </r>
  <r>
    <x v="22"/>
    <x v="43"/>
    <s v="Total Electric Power Industry"/>
    <x v="3"/>
    <n v="213901282"/>
  </r>
  <r>
    <x v="22"/>
    <x v="43"/>
    <s v="Total Electric Power Industry"/>
    <x v="7"/>
    <n v="38441017"/>
  </r>
  <r>
    <x v="22"/>
    <x v="43"/>
    <s v="Total Electric Power Industry"/>
    <x v="9"/>
    <n v="2998816"/>
  </r>
  <r>
    <x v="22"/>
    <x v="43"/>
    <s v="Total Electric Power Industry"/>
    <x v="12"/>
    <n v="297797"/>
  </r>
  <r>
    <x v="22"/>
    <x v="43"/>
    <s v="Total Electric Power Industry"/>
    <x v="4"/>
    <n v="1484204"/>
  </r>
  <r>
    <x v="22"/>
    <x v="43"/>
    <s v="Total Electric Power Industry"/>
    <x v="13"/>
    <n v="118265"/>
  </r>
  <r>
    <x v="22"/>
    <x v="43"/>
    <s v="Total Electric Power Industry"/>
    <x v="8"/>
    <n v="700275"/>
  </r>
  <r>
    <x v="22"/>
    <x v="43"/>
    <s v="Total Electric Power Industry"/>
    <x v="5"/>
    <n v="32214173"/>
  </r>
  <r>
    <x v="22"/>
    <x v="43"/>
    <s v="Total Electric Power Industry"/>
    <x v="6"/>
    <n v="983984"/>
  </r>
  <r>
    <x v="22"/>
    <x v="43"/>
    <s v="Combined Heat and Power, Industrial Power"/>
    <x v="0"/>
    <n v="41214657"/>
  </r>
  <r>
    <x v="22"/>
    <x v="43"/>
    <s v="Combined Heat and Power, Industrial Power"/>
    <x v="1"/>
    <n v="53"/>
  </r>
  <r>
    <x v="22"/>
    <x v="43"/>
    <s v="Combined Heat and Power, Industrial Power"/>
    <x v="3"/>
    <n v="37253083"/>
  </r>
  <r>
    <x v="22"/>
    <x v="43"/>
    <s v="Combined Heat and Power, Industrial Power"/>
    <x v="9"/>
    <n v="1366111"/>
  </r>
  <r>
    <x v="22"/>
    <x v="43"/>
    <s v="Combined Heat and Power, Industrial Power"/>
    <x v="12"/>
    <n v="297797"/>
  </r>
  <r>
    <x v="22"/>
    <x v="43"/>
    <s v="Combined Heat and Power, Industrial Power"/>
    <x v="4"/>
    <n v="1339118"/>
  </r>
  <r>
    <x v="22"/>
    <x v="43"/>
    <s v="Combined Heat and Power, Industrial Power"/>
    <x v="8"/>
    <n v="100811"/>
  </r>
  <r>
    <x v="22"/>
    <x v="43"/>
    <s v="Combined Heat and Power, Industrial Power"/>
    <x v="6"/>
    <n v="857684"/>
  </r>
  <r>
    <x v="22"/>
    <x v="43"/>
    <s v="Combined Heat and Power, Commercial Power"/>
    <x v="0"/>
    <n v="707174"/>
  </r>
  <r>
    <x v="22"/>
    <x v="43"/>
    <s v="Combined Heat and Power, Commercial Power"/>
    <x v="3"/>
    <n v="670981"/>
  </r>
  <r>
    <x v="22"/>
    <x v="43"/>
    <s v="Combined Heat and Power, Commercial Power"/>
    <x v="4"/>
    <n v="627"/>
  </r>
  <r>
    <x v="22"/>
    <x v="43"/>
    <s v="Combined Heat and Power, Commercial Power"/>
    <x v="13"/>
    <n v="624"/>
  </r>
  <r>
    <x v="22"/>
    <x v="43"/>
    <s v="Combined Heat and Power, Commercial Power"/>
    <x v="8"/>
    <n v="34943"/>
  </r>
  <r>
    <x v="22"/>
    <x v="43"/>
    <s v="Combined Heat and Power, Electric Power"/>
    <x v="0"/>
    <n v="45751677"/>
  </r>
  <r>
    <x v="22"/>
    <x v="43"/>
    <s v="Combined Heat and Power, Electric Power"/>
    <x v="3"/>
    <n v="44118972"/>
  </r>
  <r>
    <x v="22"/>
    <x v="43"/>
    <s v="Combined Heat and Power, Electric Power"/>
    <x v="9"/>
    <n v="1632705"/>
  </r>
  <r>
    <x v="22"/>
    <x v="43"/>
    <s v="Combined Heat and Power, Electric Power"/>
    <x v="12"/>
    <n v="0"/>
  </r>
  <r>
    <x v="22"/>
    <x v="43"/>
    <s v="Electric Generators, Independent Power Producers"/>
    <x v="0"/>
    <n v="247003954"/>
  </r>
  <r>
    <x v="22"/>
    <x v="43"/>
    <s v="Electric Generators, Independent Power Producers"/>
    <x v="1"/>
    <n v="80876714"/>
  </r>
  <r>
    <x v="22"/>
    <x v="43"/>
    <s v="Electric Generators, Independent Power Producers"/>
    <x v="2"/>
    <n v="35610"/>
  </r>
  <r>
    <x v="22"/>
    <x v="43"/>
    <s v="Electric Generators, Independent Power Producers"/>
    <x v="3"/>
    <n v="94829503"/>
  </r>
  <r>
    <x v="22"/>
    <x v="43"/>
    <s v="Electric Generators, Independent Power Producers"/>
    <x v="7"/>
    <n v="38441017"/>
  </r>
  <r>
    <x v="22"/>
    <x v="43"/>
    <s v="Electric Generators, Independent Power Producers"/>
    <x v="12"/>
    <n v="0"/>
  </r>
  <r>
    <x v="22"/>
    <x v="43"/>
    <s v="Electric Generators, Independent Power Producers"/>
    <x v="4"/>
    <n v="117244"/>
  </r>
  <r>
    <x v="22"/>
    <x v="43"/>
    <s v="Electric Generators, Independent Power Producers"/>
    <x v="13"/>
    <n v="117641"/>
  </r>
  <r>
    <x v="22"/>
    <x v="43"/>
    <s v="Electric Generators, Independent Power Producers"/>
    <x v="8"/>
    <n v="564521"/>
  </r>
  <r>
    <x v="22"/>
    <x v="43"/>
    <s v="Electric Generators, Independent Power Producers"/>
    <x v="5"/>
    <n v="31895404"/>
  </r>
  <r>
    <x v="22"/>
    <x v="43"/>
    <s v="Electric Generators, Independent Power Producers"/>
    <x v="6"/>
    <n v="126300"/>
  </r>
  <r>
    <x v="22"/>
    <x v="43"/>
    <s v="Electric Generators, Electric Utilities"/>
    <x v="0"/>
    <n v="95135048"/>
  </r>
  <r>
    <x v="22"/>
    <x v="43"/>
    <s v="Electric Generators, Electric Utilities"/>
    <x v="1"/>
    <n v="57211457"/>
  </r>
  <r>
    <x v="22"/>
    <x v="43"/>
    <s v="Electric Generators, Electric Utilities"/>
    <x v="2"/>
    <n v="548864"/>
  </r>
  <r>
    <x v="22"/>
    <x v="43"/>
    <s v="Electric Generators, Electric Utilities"/>
    <x v="3"/>
    <n v="37028744"/>
  </r>
  <r>
    <x v="22"/>
    <x v="43"/>
    <s v="Electric Generators, Electric Utilities"/>
    <x v="4"/>
    <n v="27215"/>
  </r>
  <r>
    <x v="22"/>
    <x v="43"/>
    <s v="Electric Generators, Electric Utilities"/>
    <x v="5"/>
    <n v="318769"/>
  </r>
  <r>
    <x v="22"/>
    <x v="44"/>
    <s v="Total Electric Power Industry"/>
    <x v="0"/>
    <n v="4047765267"/>
  </r>
  <r>
    <x v="22"/>
    <x v="44"/>
    <s v="Total Electric Power Industry"/>
    <x v="1"/>
    <n v="1514042945"/>
  </r>
  <r>
    <x v="22"/>
    <x v="44"/>
    <s v="Total Electric Power Industry"/>
    <x v="11"/>
    <n v="15562426"/>
  </r>
  <r>
    <x v="22"/>
    <x v="44"/>
    <s v="Total Electric Power Industry"/>
    <x v="10"/>
    <n v="-4950496"/>
  </r>
  <r>
    <x v="22"/>
    <x v="44"/>
    <s v="Total Electric Power Industry"/>
    <x v="2"/>
    <n v="276240219"/>
  </r>
  <r>
    <x v="22"/>
    <x v="44"/>
    <s v="Total Electric Power Industry"/>
    <x v="3"/>
    <n v="1225894175"/>
  </r>
  <r>
    <x v="22"/>
    <x v="44"/>
    <s v="Total Electric Power Industry"/>
    <x v="7"/>
    <n v="769331249"/>
  </r>
  <r>
    <x v="22"/>
    <x v="44"/>
    <s v="Total Electric Power Industry"/>
    <x v="9"/>
    <n v="11897585"/>
  </r>
  <r>
    <x v="22"/>
    <x v="44"/>
    <s v="Total Electric Power Industry"/>
    <x v="12"/>
    <n v="13787067"/>
  </r>
  <r>
    <x v="22"/>
    <x v="44"/>
    <s v="Total Electric Power Industry"/>
    <x v="4"/>
    <n v="23189541"/>
  </r>
  <r>
    <x v="22"/>
    <x v="44"/>
    <s v="Total Electric Power Industry"/>
    <x v="13"/>
    <n v="4326675"/>
  </r>
  <r>
    <x v="22"/>
    <x v="44"/>
    <s v="Total Electric Power Industry"/>
    <x v="8"/>
    <n v="19823037"/>
  </r>
  <r>
    <x v="22"/>
    <x v="44"/>
    <s v="Total Electric Power Industry"/>
    <x v="5"/>
    <n v="140821715"/>
  </r>
  <r>
    <x v="22"/>
    <x v="44"/>
    <s v="Total Electric Power Industry"/>
    <x v="6"/>
    <n v="37799129"/>
  </r>
  <r>
    <x v="22"/>
    <x v="44"/>
    <s v="Combined Heat and Power, Industrial Power"/>
    <x v="0"/>
    <n v="146106611"/>
  </r>
  <r>
    <x v="22"/>
    <x v="44"/>
    <s v="Combined Heat and Power, Industrial Power"/>
    <x v="1"/>
    <n v="12603109"/>
  </r>
  <r>
    <x v="22"/>
    <x v="44"/>
    <s v="Combined Heat and Power, Industrial Power"/>
    <x v="2"/>
    <n v="2353192"/>
  </r>
  <r>
    <x v="22"/>
    <x v="44"/>
    <s v="Combined Heat and Power, Industrial Power"/>
    <x v="3"/>
    <n v="86500209"/>
  </r>
  <r>
    <x v="22"/>
    <x v="44"/>
    <s v="Combined Heat and Power, Industrial Power"/>
    <x v="9"/>
    <n v="8913213"/>
  </r>
  <r>
    <x v="22"/>
    <x v="44"/>
    <s v="Combined Heat and Power, Industrial Power"/>
    <x v="12"/>
    <n v="5108336"/>
  </r>
  <r>
    <x v="22"/>
    <x v="44"/>
    <s v="Combined Heat and Power, Industrial Power"/>
    <x v="4"/>
    <n v="2921570"/>
  </r>
  <r>
    <x v="22"/>
    <x v="44"/>
    <s v="Combined Heat and Power, Industrial Power"/>
    <x v="13"/>
    <n v="14186"/>
  </r>
  <r>
    <x v="22"/>
    <x v="44"/>
    <s v="Combined Heat and Power, Industrial Power"/>
    <x v="8"/>
    <n v="948495"/>
  </r>
  <r>
    <x v="22"/>
    <x v="44"/>
    <s v="Combined Heat and Power, Industrial Power"/>
    <x v="5"/>
    <n v="19140"/>
  </r>
  <r>
    <x v="22"/>
    <x v="44"/>
    <s v="Combined Heat and Power, Industrial Power"/>
    <x v="6"/>
    <n v="26725161"/>
  </r>
  <r>
    <x v="22"/>
    <x v="44"/>
    <s v="Combined Heat and Power, Commercial Power"/>
    <x v="0"/>
    <n v="11300753"/>
  </r>
  <r>
    <x v="22"/>
    <x v="44"/>
    <s v="Combined Heat and Power, Commercial Power"/>
    <x v="1"/>
    <n v="882980"/>
  </r>
  <r>
    <x v="22"/>
    <x v="44"/>
    <s v="Combined Heat and Power, Commercial Power"/>
    <x v="2"/>
    <n v="27532"/>
  </r>
  <r>
    <x v="22"/>
    <x v="44"/>
    <s v="Combined Heat and Power, Commercial Power"/>
    <x v="3"/>
    <n v="6602884"/>
  </r>
  <r>
    <x v="22"/>
    <x v="44"/>
    <s v="Combined Heat and Power, Commercial Power"/>
    <x v="9"/>
    <n v="0"/>
  </r>
  <r>
    <x v="22"/>
    <x v="44"/>
    <s v="Combined Heat and Power, Commercial Power"/>
    <x v="12"/>
    <n v="1046049"/>
  </r>
  <r>
    <x v="22"/>
    <x v="44"/>
    <s v="Combined Heat and Power, Commercial Power"/>
    <x v="4"/>
    <n v="196214"/>
  </r>
  <r>
    <x v="22"/>
    <x v="44"/>
    <s v="Combined Heat and Power, Commercial Power"/>
    <x v="13"/>
    <n v="148449"/>
  </r>
  <r>
    <x v="22"/>
    <x v="44"/>
    <s v="Combined Heat and Power, Commercial Power"/>
    <x v="8"/>
    <n v="2319183"/>
  </r>
  <r>
    <x v="22"/>
    <x v="44"/>
    <s v="Combined Heat and Power, Commercial Power"/>
    <x v="5"/>
    <n v="53857"/>
  </r>
  <r>
    <x v="22"/>
    <x v="44"/>
    <s v="Combined Heat and Power, Commercial Power"/>
    <x v="6"/>
    <n v="23604"/>
  </r>
  <r>
    <x v="22"/>
    <x v="44"/>
    <s v="Combined Heat and Power, Electric Power"/>
    <x v="0"/>
    <n v="164194382"/>
  </r>
  <r>
    <x v="22"/>
    <x v="44"/>
    <s v="Combined Heat and Power, Electric Power"/>
    <x v="1"/>
    <n v="22240965"/>
  </r>
  <r>
    <x v="22"/>
    <x v="44"/>
    <s v="Combined Heat and Power, Electric Power"/>
    <x v="3"/>
    <n v="132397949"/>
  </r>
  <r>
    <x v="22"/>
    <x v="44"/>
    <s v="Combined Heat and Power, Electric Power"/>
    <x v="9"/>
    <n v="2984095"/>
  </r>
  <r>
    <x v="22"/>
    <x v="44"/>
    <s v="Combined Heat and Power, Electric Power"/>
    <x v="12"/>
    <n v="816694"/>
  </r>
  <r>
    <x v="22"/>
    <x v="44"/>
    <s v="Combined Heat and Power, Electric Power"/>
    <x v="4"/>
    <n v="2009754"/>
  </r>
  <r>
    <x v="22"/>
    <x v="44"/>
    <s v="Combined Heat and Power, Electric Power"/>
    <x v="8"/>
    <n v="1474089"/>
  </r>
  <r>
    <x v="22"/>
    <x v="44"/>
    <s v="Combined Heat and Power, Electric Power"/>
    <x v="6"/>
    <n v="2270837"/>
  </r>
  <r>
    <x v="22"/>
    <x v="44"/>
    <s v="Electric Generators, Independent Power Producers"/>
    <x v="0"/>
    <n v="1386991133"/>
  </r>
  <r>
    <x v="22"/>
    <x v="44"/>
    <s v="Electric Generators, Independent Power Producers"/>
    <x v="1"/>
    <n v="331835471"/>
  </r>
  <r>
    <x v="22"/>
    <x v="44"/>
    <s v="Electric Generators, Independent Power Producers"/>
    <x v="11"/>
    <n v="14419043"/>
  </r>
  <r>
    <x v="22"/>
    <x v="44"/>
    <s v="Electric Generators, Independent Power Producers"/>
    <x v="10"/>
    <n v="-748196"/>
  </r>
  <r>
    <x v="22"/>
    <x v="44"/>
    <s v="Electric Generators, Independent Power Producers"/>
    <x v="2"/>
    <n v="20923187"/>
  </r>
  <r>
    <x v="22"/>
    <x v="44"/>
    <s v="Electric Generators, Independent Power Producers"/>
    <x v="3"/>
    <n v="495434903"/>
  </r>
  <r>
    <x v="22"/>
    <x v="44"/>
    <s v="Electric Generators, Independent Power Producers"/>
    <x v="7"/>
    <n v="374508531"/>
  </r>
  <r>
    <x v="22"/>
    <x v="44"/>
    <s v="Electric Generators, Independent Power Producers"/>
    <x v="9"/>
    <n v="0"/>
  </r>
  <r>
    <x v="22"/>
    <x v="44"/>
    <s v="Electric Generators, Independent Power Producers"/>
    <x v="12"/>
    <n v="6212934"/>
  </r>
  <r>
    <x v="22"/>
    <x v="44"/>
    <s v="Electric Generators, Independent Power Producers"/>
    <x v="4"/>
    <n v="2505373"/>
  </r>
  <r>
    <x v="22"/>
    <x v="44"/>
    <s v="Electric Generators, Independent Power Producers"/>
    <x v="13"/>
    <n v="3524556"/>
  </r>
  <r>
    <x v="22"/>
    <x v="44"/>
    <s v="Electric Generators, Independent Power Producers"/>
    <x v="8"/>
    <n v="13609657"/>
  </r>
  <r>
    <x v="22"/>
    <x v="44"/>
    <s v="Electric Generators, Independent Power Producers"/>
    <x v="5"/>
    <n v="117822392"/>
  </r>
  <r>
    <x v="22"/>
    <x v="44"/>
    <s v="Electric Generators, Independent Power Producers"/>
    <x v="6"/>
    <n v="6943284"/>
  </r>
  <r>
    <x v="22"/>
    <x v="44"/>
    <s v="Electric Generators, Electric Utilities"/>
    <x v="0"/>
    <n v="2339172387"/>
  </r>
  <r>
    <x v="22"/>
    <x v="44"/>
    <s v="Electric Generators, Electric Utilities"/>
    <x v="1"/>
    <n v="1146480420"/>
  </r>
  <r>
    <x v="22"/>
    <x v="44"/>
    <s v="Electric Generators, Electric Utilities"/>
    <x v="11"/>
    <n v="1143383"/>
  </r>
  <r>
    <x v="22"/>
    <x v="44"/>
    <s v="Electric Generators, Electric Utilities"/>
    <x v="10"/>
    <n v="-4202300"/>
  </r>
  <r>
    <x v="22"/>
    <x v="44"/>
    <s v="Electric Generators, Electric Utilities"/>
    <x v="2"/>
    <n v="252936308"/>
  </r>
  <r>
    <x v="22"/>
    <x v="44"/>
    <s v="Electric Generators, Electric Utilities"/>
    <x v="3"/>
    <n v="504958230"/>
  </r>
  <r>
    <x v="22"/>
    <x v="44"/>
    <s v="Electric Generators, Electric Utilities"/>
    <x v="7"/>
    <n v="394822718"/>
  </r>
  <r>
    <x v="22"/>
    <x v="44"/>
    <s v="Electric Generators, Electric Utilities"/>
    <x v="9"/>
    <n v="277"/>
  </r>
  <r>
    <x v="22"/>
    <x v="44"/>
    <s v="Electric Generators, Electric Utilities"/>
    <x v="12"/>
    <n v="603055"/>
  </r>
  <r>
    <x v="22"/>
    <x v="44"/>
    <s v="Electric Generators, Electric Utilities"/>
    <x v="4"/>
    <n v="15556630"/>
  </r>
  <r>
    <x v="22"/>
    <x v="44"/>
    <s v="Electric Generators, Electric Utilities"/>
    <x v="13"/>
    <n v="639484"/>
  </r>
  <r>
    <x v="22"/>
    <x v="44"/>
    <s v="Electric Generators, Electric Utilities"/>
    <x v="8"/>
    <n v="1471613"/>
  </r>
  <r>
    <x v="22"/>
    <x v="44"/>
    <s v="Electric Generators, Electric Utilities"/>
    <x v="5"/>
    <n v="22926326"/>
  </r>
  <r>
    <x v="22"/>
    <x v="44"/>
    <s v="Electric Generators, Electric Utilities"/>
    <x v="6"/>
    <n v="1836244"/>
  </r>
  <r>
    <x v="22"/>
    <x v="45"/>
    <s v="Total Electric Power Industry"/>
    <x v="0"/>
    <n v="39402961"/>
  </r>
  <r>
    <x v="22"/>
    <x v="45"/>
    <s v="Total Electric Power Industry"/>
    <x v="1"/>
    <n v="30799120"/>
  </r>
  <r>
    <x v="22"/>
    <x v="45"/>
    <s v="Total Electric Power Industry"/>
    <x v="11"/>
    <n v="334638"/>
  </r>
  <r>
    <x v="22"/>
    <x v="45"/>
    <s v="Total Electric Power Industry"/>
    <x v="2"/>
    <n v="747786"/>
  </r>
  <r>
    <x v="22"/>
    <x v="45"/>
    <s v="Total Electric Power Industry"/>
    <x v="3"/>
    <n v="6579604"/>
  </r>
  <r>
    <x v="22"/>
    <x v="45"/>
    <s v="Total Electric Power Industry"/>
    <x v="9"/>
    <n v="3931"/>
  </r>
  <r>
    <x v="22"/>
    <x v="45"/>
    <s v="Total Electric Power Industry"/>
    <x v="12"/>
    <n v="133008"/>
  </r>
  <r>
    <x v="22"/>
    <x v="45"/>
    <s v="Total Electric Power Industry"/>
    <x v="4"/>
    <n v="39787"/>
  </r>
  <r>
    <x v="22"/>
    <x v="45"/>
    <s v="Total Electric Power Industry"/>
    <x v="13"/>
    <n v="1619"/>
  </r>
  <r>
    <x v="22"/>
    <x v="45"/>
    <s v="Total Electric Power Industry"/>
    <x v="8"/>
    <n v="59556"/>
  </r>
  <r>
    <x v="22"/>
    <x v="45"/>
    <s v="Total Electric Power Industry"/>
    <x v="5"/>
    <n v="703911"/>
  </r>
  <r>
    <x v="22"/>
    <x v="45"/>
    <s v="Combined Heat and Power, Industrial Power"/>
    <x v="0"/>
    <n v="1021755"/>
  </r>
  <r>
    <x v="22"/>
    <x v="45"/>
    <s v="Combined Heat and Power, Industrial Power"/>
    <x v="1"/>
    <n v="405286"/>
  </r>
  <r>
    <x v="22"/>
    <x v="45"/>
    <s v="Combined Heat and Power, Industrial Power"/>
    <x v="3"/>
    <n v="483790"/>
  </r>
  <r>
    <x v="22"/>
    <x v="45"/>
    <s v="Combined Heat and Power, Industrial Power"/>
    <x v="9"/>
    <n v="3931"/>
  </r>
  <r>
    <x v="22"/>
    <x v="45"/>
    <s v="Combined Heat and Power, Industrial Power"/>
    <x v="12"/>
    <n v="128388"/>
  </r>
  <r>
    <x v="22"/>
    <x v="45"/>
    <s v="Combined Heat and Power, Industrial Power"/>
    <x v="4"/>
    <n v="360"/>
  </r>
  <r>
    <x v="22"/>
    <x v="45"/>
    <s v="Combined Heat and Power, Commercial Power"/>
    <x v="0"/>
    <n v="37815"/>
  </r>
  <r>
    <x v="22"/>
    <x v="45"/>
    <s v="Combined Heat and Power, Commercial Power"/>
    <x v="3"/>
    <n v="37815"/>
  </r>
  <r>
    <x v="22"/>
    <x v="45"/>
    <s v="Combined Heat and Power, Commercial Power"/>
    <x v="4"/>
    <n v="0"/>
  </r>
  <r>
    <x v="22"/>
    <x v="45"/>
    <s v="Combined Heat and Power, Electric Power"/>
    <x v="0"/>
    <n v="9429"/>
  </r>
  <r>
    <x v="22"/>
    <x v="45"/>
    <s v="Combined Heat and Power, Electric Power"/>
    <x v="12"/>
    <n v="4620"/>
  </r>
  <r>
    <x v="22"/>
    <x v="45"/>
    <s v="Combined Heat and Power, Electric Power"/>
    <x v="4"/>
    <n v="0"/>
  </r>
  <r>
    <x v="22"/>
    <x v="45"/>
    <s v="Combined Heat and Power, Electric Power"/>
    <x v="8"/>
    <n v="4809"/>
  </r>
  <r>
    <x v="22"/>
    <x v="45"/>
    <s v="Electric Generators, Independent Power Producers"/>
    <x v="0"/>
    <n v="1947826"/>
  </r>
  <r>
    <x v="22"/>
    <x v="45"/>
    <s v="Electric Generators, Independent Power Producers"/>
    <x v="1"/>
    <n v="417517"/>
  </r>
  <r>
    <x v="22"/>
    <x v="45"/>
    <s v="Electric Generators, Independent Power Producers"/>
    <x v="11"/>
    <n v="66096"/>
  </r>
  <r>
    <x v="22"/>
    <x v="45"/>
    <s v="Electric Generators, Independent Power Producers"/>
    <x v="2"/>
    <n v="8107"/>
  </r>
  <r>
    <x v="22"/>
    <x v="45"/>
    <s v="Electric Generators, Independent Power Producers"/>
    <x v="3"/>
    <n v="695070"/>
  </r>
  <r>
    <x v="22"/>
    <x v="45"/>
    <s v="Electric Generators, Independent Power Producers"/>
    <x v="4"/>
    <n v="759"/>
  </r>
  <r>
    <x v="22"/>
    <x v="45"/>
    <s v="Electric Generators, Independent Power Producers"/>
    <x v="13"/>
    <n v="1619"/>
  </r>
  <r>
    <x v="22"/>
    <x v="45"/>
    <s v="Electric Generators, Independent Power Producers"/>
    <x v="8"/>
    <n v="54747"/>
  </r>
  <r>
    <x v="22"/>
    <x v="45"/>
    <s v="Electric Generators, Independent Power Producers"/>
    <x v="5"/>
    <n v="703911"/>
  </r>
  <r>
    <x v="22"/>
    <x v="45"/>
    <s v="Electric Generators, Electric Utilities"/>
    <x v="0"/>
    <n v="36386135"/>
  </r>
  <r>
    <x v="22"/>
    <x v="45"/>
    <s v="Electric Generators, Electric Utilities"/>
    <x v="1"/>
    <n v="29976318"/>
  </r>
  <r>
    <x v="22"/>
    <x v="45"/>
    <s v="Electric Generators, Electric Utilities"/>
    <x v="11"/>
    <n v="268542"/>
  </r>
  <r>
    <x v="22"/>
    <x v="45"/>
    <s v="Electric Generators, Electric Utilities"/>
    <x v="2"/>
    <n v="739679"/>
  </r>
  <r>
    <x v="22"/>
    <x v="45"/>
    <s v="Electric Generators, Electric Utilities"/>
    <x v="3"/>
    <n v="5362929"/>
  </r>
  <r>
    <x v="22"/>
    <x v="45"/>
    <s v="Electric Generators, Electric Utilities"/>
    <x v="4"/>
    <n v="38667"/>
  </r>
  <r>
    <x v="22"/>
    <x v="46"/>
    <s v="Total Electric Power Industry"/>
    <x v="0"/>
    <n v="70739235"/>
  </r>
  <r>
    <x v="22"/>
    <x v="46"/>
    <s v="Total Electric Power Industry"/>
    <x v="1"/>
    <n v="14180795"/>
  </r>
  <r>
    <x v="22"/>
    <x v="46"/>
    <s v="Total Electric Power Industry"/>
    <x v="10"/>
    <n v="-1365574"/>
  </r>
  <r>
    <x v="22"/>
    <x v="46"/>
    <s v="Total Electric Power Industry"/>
    <x v="2"/>
    <n v="1043774"/>
  </r>
  <r>
    <x v="22"/>
    <x v="46"/>
    <s v="Total Electric Power Industry"/>
    <x v="3"/>
    <n v="25037749"/>
  </r>
  <r>
    <x v="22"/>
    <x v="46"/>
    <s v="Total Electric Power Industry"/>
    <x v="7"/>
    <n v="28723390"/>
  </r>
  <r>
    <x v="22"/>
    <x v="46"/>
    <s v="Total Electric Power Industry"/>
    <x v="12"/>
    <n v="396689"/>
  </r>
  <r>
    <x v="22"/>
    <x v="46"/>
    <s v="Total Electric Power Industry"/>
    <x v="4"/>
    <n v="363968"/>
  </r>
  <r>
    <x v="22"/>
    <x v="46"/>
    <s v="Total Electric Power Industry"/>
    <x v="8"/>
    <n v="922654"/>
  </r>
  <r>
    <x v="22"/>
    <x v="46"/>
    <s v="Total Electric Power Industry"/>
    <x v="6"/>
    <n v="1435790"/>
  </r>
  <r>
    <x v="22"/>
    <x v="46"/>
    <s v="Combined Heat and Power, Industrial Power"/>
    <x v="0"/>
    <n v="1988565"/>
  </r>
  <r>
    <x v="22"/>
    <x v="46"/>
    <s v="Combined Heat and Power, Industrial Power"/>
    <x v="1"/>
    <n v="628425"/>
  </r>
  <r>
    <x v="22"/>
    <x v="46"/>
    <s v="Combined Heat and Power, Industrial Power"/>
    <x v="2"/>
    <n v="12196"/>
  </r>
  <r>
    <x v="22"/>
    <x v="46"/>
    <s v="Combined Heat and Power, Industrial Power"/>
    <x v="3"/>
    <n v="217343"/>
  </r>
  <r>
    <x v="22"/>
    <x v="46"/>
    <s v="Combined Heat and Power, Industrial Power"/>
    <x v="12"/>
    <n v="503"/>
  </r>
  <r>
    <x v="22"/>
    <x v="46"/>
    <s v="Combined Heat and Power, Industrial Power"/>
    <x v="4"/>
    <n v="28824"/>
  </r>
  <r>
    <x v="22"/>
    <x v="46"/>
    <s v="Combined Heat and Power, Industrial Power"/>
    <x v="8"/>
    <n v="6657"/>
  </r>
  <r>
    <x v="22"/>
    <x v="46"/>
    <s v="Combined Heat and Power, Industrial Power"/>
    <x v="6"/>
    <n v="1094616"/>
  </r>
  <r>
    <x v="22"/>
    <x v="46"/>
    <s v="Combined Heat and Power, Commercial Power"/>
    <x v="0"/>
    <n v="253178"/>
  </r>
  <r>
    <x v="22"/>
    <x v="46"/>
    <s v="Combined Heat and Power, Commercial Power"/>
    <x v="1"/>
    <n v="9096"/>
  </r>
  <r>
    <x v="22"/>
    <x v="46"/>
    <s v="Combined Heat and Power, Commercial Power"/>
    <x v="12"/>
    <n v="112526"/>
  </r>
  <r>
    <x v="22"/>
    <x v="46"/>
    <s v="Combined Heat and Power, Commercial Power"/>
    <x v="4"/>
    <n v="1059"/>
  </r>
  <r>
    <x v="22"/>
    <x v="46"/>
    <s v="Combined Heat and Power, Commercial Power"/>
    <x v="8"/>
    <n v="130497"/>
  </r>
  <r>
    <x v="22"/>
    <x v="46"/>
    <s v="Combined Heat and Power, Electric Power"/>
    <x v="0"/>
    <n v="1484439"/>
  </r>
  <r>
    <x v="22"/>
    <x v="46"/>
    <s v="Combined Heat and Power, Electric Power"/>
    <x v="1"/>
    <n v="238232"/>
  </r>
  <r>
    <x v="22"/>
    <x v="46"/>
    <s v="Combined Heat and Power, Electric Power"/>
    <x v="3"/>
    <n v="1245773"/>
  </r>
  <r>
    <x v="22"/>
    <x v="46"/>
    <s v="Combined Heat and Power, Electric Power"/>
    <x v="12"/>
    <n v="0"/>
  </r>
  <r>
    <x v="22"/>
    <x v="46"/>
    <s v="Combined Heat and Power, Electric Power"/>
    <x v="4"/>
    <n v="434"/>
  </r>
  <r>
    <x v="22"/>
    <x v="46"/>
    <s v="Electric Generators, Independent Power Producers"/>
    <x v="0"/>
    <n v="10824652"/>
  </r>
  <r>
    <x v="22"/>
    <x v="46"/>
    <s v="Electric Generators, Independent Power Producers"/>
    <x v="1"/>
    <n v="731770"/>
  </r>
  <r>
    <x v="22"/>
    <x v="46"/>
    <s v="Electric Generators, Independent Power Producers"/>
    <x v="2"/>
    <n v="62220"/>
  </r>
  <r>
    <x v="22"/>
    <x v="46"/>
    <s v="Electric Generators, Independent Power Producers"/>
    <x v="3"/>
    <n v="8866063"/>
  </r>
  <r>
    <x v="22"/>
    <x v="46"/>
    <s v="Electric Generators, Independent Power Producers"/>
    <x v="12"/>
    <n v="283660"/>
  </r>
  <r>
    <x v="22"/>
    <x v="46"/>
    <s v="Electric Generators, Independent Power Producers"/>
    <x v="4"/>
    <n v="99345"/>
  </r>
  <r>
    <x v="22"/>
    <x v="46"/>
    <s v="Electric Generators, Independent Power Producers"/>
    <x v="8"/>
    <n v="781594"/>
  </r>
  <r>
    <x v="22"/>
    <x v="46"/>
    <s v="Electric Generators, Electric Utilities"/>
    <x v="0"/>
    <n v="56188401"/>
  </r>
  <r>
    <x v="22"/>
    <x v="46"/>
    <s v="Electric Generators, Electric Utilities"/>
    <x v="1"/>
    <n v="12573273"/>
  </r>
  <r>
    <x v="22"/>
    <x v="46"/>
    <s v="Electric Generators, Electric Utilities"/>
    <x v="10"/>
    <n v="-1365574"/>
  </r>
  <r>
    <x v="22"/>
    <x v="46"/>
    <s v="Electric Generators, Electric Utilities"/>
    <x v="2"/>
    <n v="969358"/>
  </r>
  <r>
    <x v="22"/>
    <x v="46"/>
    <s v="Electric Generators, Electric Utilities"/>
    <x v="3"/>
    <n v="14708570"/>
  </r>
  <r>
    <x v="22"/>
    <x v="46"/>
    <s v="Electric Generators, Electric Utilities"/>
    <x v="7"/>
    <n v="28723390"/>
  </r>
  <r>
    <x v="22"/>
    <x v="46"/>
    <s v="Electric Generators, Electric Utilities"/>
    <x v="4"/>
    <n v="234305"/>
  </r>
  <r>
    <x v="22"/>
    <x v="46"/>
    <s v="Electric Generators, Electric Utilities"/>
    <x v="8"/>
    <n v="3906"/>
  </r>
  <r>
    <x v="22"/>
    <x v="46"/>
    <s v="Electric Generators, Electric Utilities"/>
    <x v="6"/>
    <n v="341173"/>
  </r>
  <r>
    <x v="22"/>
    <x v="47"/>
    <s v="Total Electric Power Industry"/>
    <x v="0"/>
    <n v="6611786"/>
  </r>
  <r>
    <x v="22"/>
    <x v="47"/>
    <s v="Total Electric Power Industry"/>
    <x v="2"/>
    <n v="1151321"/>
  </r>
  <r>
    <x v="22"/>
    <x v="47"/>
    <s v="Total Electric Power Industry"/>
    <x v="3"/>
    <n v="2539"/>
  </r>
  <r>
    <x v="22"/>
    <x v="47"/>
    <s v="Total Electric Power Industry"/>
    <x v="7"/>
    <n v="4989338"/>
  </r>
  <r>
    <x v="22"/>
    <x v="47"/>
    <s v="Total Electric Power Industry"/>
    <x v="4"/>
    <n v="3420"/>
  </r>
  <r>
    <x v="22"/>
    <x v="47"/>
    <s v="Total Electric Power Industry"/>
    <x v="13"/>
    <n v="5064"/>
  </r>
  <r>
    <x v="22"/>
    <x v="47"/>
    <s v="Total Electric Power Industry"/>
    <x v="8"/>
    <n v="25646"/>
  </r>
  <r>
    <x v="22"/>
    <x v="47"/>
    <s v="Total Electric Power Industry"/>
    <x v="5"/>
    <n v="106897"/>
  </r>
  <r>
    <x v="22"/>
    <x v="47"/>
    <s v="Total Electric Power Industry"/>
    <x v="6"/>
    <n v="327561"/>
  </r>
  <r>
    <x v="22"/>
    <x v="47"/>
    <s v="Combined Heat and Power, Industrial Power"/>
    <x v="0"/>
    <n v="23268"/>
  </r>
  <r>
    <x v="22"/>
    <x v="47"/>
    <s v="Combined Heat and Power, Industrial Power"/>
    <x v="2"/>
    <n v="23268"/>
  </r>
  <r>
    <x v="22"/>
    <x v="47"/>
    <s v="Combined Heat and Power, Commercial Power"/>
    <x v="0"/>
    <n v="3413"/>
  </r>
  <r>
    <x v="22"/>
    <x v="47"/>
    <s v="Combined Heat and Power, Commercial Power"/>
    <x v="4"/>
    <n v="1138"/>
  </r>
  <r>
    <x v="22"/>
    <x v="47"/>
    <s v="Combined Heat and Power, Commercial Power"/>
    <x v="6"/>
    <n v="2275"/>
  </r>
  <r>
    <x v="22"/>
    <x v="47"/>
    <s v="Electric Generators, Independent Power Producers"/>
    <x v="0"/>
    <n v="5962535"/>
  </r>
  <r>
    <x v="22"/>
    <x v="47"/>
    <s v="Electric Generators, Independent Power Producers"/>
    <x v="2"/>
    <n v="759163"/>
  </r>
  <r>
    <x v="22"/>
    <x v="47"/>
    <s v="Electric Generators, Independent Power Producers"/>
    <x v="7"/>
    <n v="4989338"/>
  </r>
  <r>
    <x v="22"/>
    <x v="47"/>
    <s v="Electric Generators, Independent Power Producers"/>
    <x v="13"/>
    <n v="5064"/>
  </r>
  <r>
    <x v="22"/>
    <x v="47"/>
    <s v="Electric Generators, Independent Power Producers"/>
    <x v="8"/>
    <n v="25646"/>
  </r>
  <r>
    <x v="22"/>
    <x v="47"/>
    <s v="Electric Generators, Independent Power Producers"/>
    <x v="5"/>
    <n v="80945"/>
  </r>
  <r>
    <x v="22"/>
    <x v="47"/>
    <s v="Electric Generators, Independent Power Producers"/>
    <x v="6"/>
    <n v="102379"/>
  </r>
  <r>
    <x v="22"/>
    <x v="47"/>
    <s v="Electric Generators, Electric Utilities"/>
    <x v="0"/>
    <n v="622570"/>
  </r>
  <r>
    <x v="22"/>
    <x v="47"/>
    <s v="Electric Generators, Electric Utilities"/>
    <x v="2"/>
    <n v="368890"/>
  </r>
  <r>
    <x v="22"/>
    <x v="47"/>
    <s v="Electric Generators, Electric Utilities"/>
    <x v="3"/>
    <n v="2539"/>
  </r>
  <r>
    <x v="22"/>
    <x v="47"/>
    <s v="Electric Generators, Electric Utilities"/>
    <x v="4"/>
    <n v="2282"/>
  </r>
  <r>
    <x v="22"/>
    <x v="47"/>
    <s v="Electric Generators, Electric Utilities"/>
    <x v="5"/>
    <n v="25952"/>
  </r>
  <r>
    <x v="22"/>
    <x v="47"/>
    <s v="Electric Generators, Electric Utilities"/>
    <x v="6"/>
    <n v="222907"/>
  </r>
  <r>
    <x v="22"/>
    <x v="48"/>
    <s v="Total Electric Power Industry"/>
    <x v="0"/>
    <n v="116835473"/>
  </r>
  <r>
    <x v="22"/>
    <x v="48"/>
    <s v="Total Electric Power Industry"/>
    <x v="1"/>
    <n v="3762957"/>
  </r>
  <r>
    <x v="22"/>
    <x v="48"/>
    <s v="Total Electric Power Industry"/>
    <x v="10"/>
    <n v="43551"/>
  </r>
  <r>
    <x v="22"/>
    <x v="48"/>
    <s v="Total Electric Power Industry"/>
    <x v="2"/>
    <n v="89464355"/>
  </r>
  <r>
    <x v="22"/>
    <x v="48"/>
    <s v="Total Electric Power Industry"/>
    <x v="3"/>
    <n v="5437593"/>
  </r>
  <r>
    <x v="22"/>
    <x v="48"/>
    <s v="Total Electric Power Industry"/>
    <x v="7"/>
    <n v="9333709"/>
  </r>
  <r>
    <x v="22"/>
    <x v="48"/>
    <s v="Total Electric Power Industry"/>
    <x v="9"/>
    <n v="405337"/>
  </r>
  <r>
    <x v="22"/>
    <x v="48"/>
    <s v="Total Electric Power Industry"/>
    <x v="12"/>
    <n v="146910"/>
  </r>
  <r>
    <x v="22"/>
    <x v="48"/>
    <s v="Total Electric Power Industry"/>
    <x v="4"/>
    <n v="26713"/>
  </r>
  <r>
    <x v="22"/>
    <x v="48"/>
    <s v="Total Electric Power Industry"/>
    <x v="13"/>
    <n v="794"/>
  </r>
  <r>
    <x v="22"/>
    <x v="48"/>
    <s v="Total Electric Power Industry"/>
    <x v="8"/>
    <n v="238989"/>
  </r>
  <r>
    <x v="22"/>
    <x v="48"/>
    <s v="Total Electric Power Industry"/>
    <x v="5"/>
    <n v="6599766"/>
  </r>
  <r>
    <x v="22"/>
    <x v="48"/>
    <s v="Total Electric Power Industry"/>
    <x v="6"/>
    <n v="1374801"/>
  </r>
  <r>
    <x v="22"/>
    <x v="48"/>
    <s v="Combined Heat and Power, Industrial Power"/>
    <x v="0"/>
    <n v="1366478"/>
  </r>
  <r>
    <x v="22"/>
    <x v="48"/>
    <s v="Combined Heat and Power, Industrial Power"/>
    <x v="1"/>
    <n v="34521"/>
  </r>
  <r>
    <x v="22"/>
    <x v="48"/>
    <s v="Combined Heat and Power, Industrial Power"/>
    <x v="2"/>
    <n v="1475"/>
  </r>
  <r>
    <x v="22"/>
    <x v="48"/>
    <s v="Combined Heat and Power, Industrial Power"/>
    <x v="3"/>
    <n v="60613"/>
  </r>
  <r>
    <x v="22"/>
    <x v="48"/>
    <s v="Combined Heat and Power, Industrial Power"/>
    <x v="12"/>
    <n v="78165"/>
  </r>
  <r>
    <x v="22"/>
    <x v="48"/>
    <s v="Combined Heat and Power, Industrial Power"/>
    <x v="4"/>
    <n v="12567"/>
  </r>
  <r>
    <x v="22"/>
    <x v="48"/>
    <s v="Combined Heat and Power, Industrial Power"/>
    <x v="8"/>
    <n v="13278"/>
  </r>
  <r>
    <x v="22"/>
    <x v="48"/>
    <s v="Combined Heat and Power, Industrial Power"/>
    <x v="6"/>
    <n v="1165859"/>
  </r>
  <r>
    <x v="22"/>
    <x v="48"/>
    <s v="Combined Heat and Power, Commercial Power"/>
    <x v="0"/>
    <n v="7020"/>
  </r>
  <r>
    <x v="22"/>
    <x v="48"/>
    <s v="Combined Heat and Power, Commercial Power"/>
    <x v="3"/>
    <n v="6639"/>
  </r>
  <r>
    <x v="22"/>
    <x v="48"/>
    <s v="Combined Heat and Power, Commercial Power"/>
    <x v="4"/>
    <n v="188"/>
  </r>
  <r>
    <x v="22"/>
    <x v="48"/>
    <s v="Combined Heat and Power, Commercial Power"/>
    <x v="8"/>
    <n v="194"/>
  </r>
  <r>
    <x v="22"/>
    <x v="48"/>
    <s v="Combined Heat and Power, Electric Power"/>
    <x v="0"/>
    <n v="1117518"/>
  </r>
  <r>
    <x v="22"/>
    <x v="48"/>
    <s v="Combined Heat and Power, Electric Power"/>
    <x v="3"/>
    <n v="712181"/>
  </r>
  <r>
    <x v="22"/>
    <x v="48"/>
    <s v="Combined Heat and Power, Electric Power"/>
    <x v="9"/>
    <n v="405337"/>
  </r>
  <r>
    <x v="22"/>
    <x v="48"/>
    <s v="Combined Heat and Power, Electric Power"/>
    <x v="4"/>
    <n v="0"/>
  </r>
  <r>
    <x v="22"/>
    <x v="48"/>
    <s v="Electric Generators, Independent Power Producers"/>
    <x v="0"/>
    <n v="7770860"/>
  </r>
  <r>
    <x v="22"/>
    <x v="48"/>
    <s v="Electric Generators, Independent Power Producers"/>
    <x v="1"/>
    <n v="3728436"/>
  </r>
  <r>
    <x v="22"/>
    <x v="48"/>
    <s v="Electric Generators, Independent Power Producers"/>
    <x v="2"/>
    <n v="265402"/>
  </r>
  <r>
    <x v="22"/>
    <x v="48"/>
    <s v="Electric Generators, Independent Power Producers"/>
    <x v="3"/>
    <n v="351408"/>
  </r>
  <r>
    <x v="22"/>
    <x v="48"/>
    <s v="Electric Generators, Independent Power Producers"/>
    <x v="12"/>
    <n v="68745"/>
  </r>
  <r>
    <x v="22"/>
    <x v="48"/>
    <s v="Electric Generators, Independent Power Producers"/>
    <x v="4"/>
    <n v="8572"/>
  </r>
  <r>
    <x v="22"/>
    <x v="48"/>
    <s v="Electric Generators, Independent Power Producers"/>
    <x v="8"/>
    <n v="83419"/>
  </r>
  <r>
    <x v="22"/>
    <x v="48"/>
    <s v="Electric Generators, Independent Power Producers"/>
    <x v="5"/>
    <n v="3264879"/>
  </r>
  <r>
    <x v="22"/>
    <x v="48"/>
    <s v="Electric Generators, Electric Utilities"/>
    <x v="0"/>
    <n v="106573597"/>
  </r>
  <r>
    <x v="22"/>
    <x v="48"/>
    <s v="Electric Generators, Electric Utilities"/>
    <x v="10"/>
    <n v="43551"/>
  </r>
  <r>
    <x v="22"/>
    <x v="48"/>
    <s v="Electric Generators, Electric Utilities"/>
    <x v="2"/>
    <n v="89197478"/>
  </r>
  <r>
    <x v="22"/>
    <x v="48"/>
    <s v="Electric Generators, Electric Utilities"/>
    <x v="3"/>
    <n v="4306752"/>
  </r>
  <r>
    <x v="22"/>
    <x v="48"/>
    <s v="Electric Generators, Electric Utilities"/>
    <x v="7"/>
    <n v="9333709"/>
  </r>
  <r>
    <x v="22"/>
    <x v="48"/>
    <s v="Electric Generators, Electric Utilities"/>
    <x v="4"/>
    <n v="5386"/>
  </r>
  <r>
    <x v="22"/>
    <x v="48"/>
    <s v="Electric Generators, Electric Utilities"/>
    <x v="13"/>
    <n v="794"/>
  </r>
  <r>
    <x v="22"/>
    <x v="48"/>
    <s v="Electric Generators, Electric Utilities"/>
    <x v="8"/>
    <n v="142098"/>
  </r>
  <r>
    <x v="22"/>
    <x v="48"/>
    <s v="Electric Generators, Electric Utilities"/>
    <x v="5"/>
    <n v="3334887"/>
  </r>
  <r>
    <x v="22"/>
    <x v="48"/>
    <s v="Electric Generators, Electric Utilities"/>
    <x v="6"/>
    <n v="208942"/>
  </r>
  <r>
    <x v="22"/>
    <x v="49"/>
    <s v="Total Electric Power Industry"/>
    <x v="0"/>
    <n v="63750938"/>
  </r>
  <r>
    <x v="22"/>
    <x v="49"/>
    <s v="Total Electric Power Industry"/>
    <x v="1"/>
    <n v="32758435"/>
  </r>
  <r>
    <x v="22"/>
    <x v="49"/>
    <s v="Total Electric Power Industry"/>
    <x v="2"/>
    <n v="1530263"/>
  </r>
  <r>
    <x v="22"/>
    <x v="49"/>
    <s v="Total Electric Power Industry"/>
    <x v="3"/>
    <n v="11542007"/>
  </r>
  <r>
    <x v="22"/>
    <x v="49"/>
    <s v="Total Electric Power Industry"/>
    <x v="7"/>
    <n v="14299595"/>
  </r>
  <r>
    <x v="22"/>
    <x v="49"/>
    <s v="Total Electric Power Industry"/>
    <x v="12"/>
    <n v="79892"/>
  </r>
  <r>
    <x v="22"/>
    <x v="49"/>
    <s v="Total Electric Power Industry"/>
    <x v="4"/>
    <n v="317568"/>
  </r>
  <r>
    <x v="22"/>
    <x v="49"/>
    <s v="Total Electric Power Industry"/>
    <x v="8"/>
    <n v="516726"/>
  </r>
  <r>
    <x v="22"/>
    <x v="49"/>
    <s v="Total Electric Power Industry"/>
    <x v="5"/>
    <n v="1557578"/>
  </r>
  <r>
    <x v="22"/>
    <x v="49"/>
    <s v="Total Electric Power Industry"/>
    <x v="6"/>
    <n v="1148874"/>
  </r>
  <r>
    <x v="22"/>
    <x v="49"/>
    <s v="Combined Heat and Power, Industrial Power"/>
    <x v="0"/>
    <n v="2003500"/>
  </r>
  <r>
    <x v="22"/>
    <x v="49"/>
    <s v="Combined Heat and Power, Industrial Power"/>
    <x v="1"/>
    <n v="847618"/>
  </r>
  <r>
    <x v="22"/>
    <x v="49"/>
    <s v="Combined Heat and Power, Industrial Power"/>
    <x v="2"/>
    <n v="116691"/>
  </r>
  <r>
    <x v="22"/>
    <x v="49"/>
    <s v="Combined Heat and Power, Industrial Power"/>
    <x v="3"/>
    <n v="133550"/>
  </r>
  <r>
    <x v="22"/>
    <x v="49"/>
    <s v="Combined Heat and Power, Industrial Power"/>
    <x v="12"/>
    <n v="40698"/>
  </r>
  <r>
    <x v="22"/>
    <x v="49"/>
    <s v="Combined Heat and Power, Industrial Power"/>
    <x v="4"/>
    <n v="224411"/>
  </r>
  <r>
    <x v="22"/>
    <x v="49"/>
    <s v="Combined Heat and Power, Industrial Power"/>
    <x v="8"/>
    <n v="4294"/>
  </r>
  <r>
    <x v="22"/>
    <x v="49"/>
    <s v="Combined Heat and Power, Industrial Power"/>
    <x v="6"/>
    <n v="636239"/>
  </r>
  <r>
    <x v="22"/>
    <x v="49"/>
    <s v="Combined Heat and Power, Commercial Power"/>
    <x v="0"/>
    <n v="71941"/>
  </r>
  <r>
    <x v="22"/>
    <x v="49"/>
    <s v="Combined Heat and Power, Commercial Power"/>
    <x v="1"/>
    <n v="2161"/>
  </r>
  <r>
    <x v="22"/>
    <x v="49"/>
    <s v="Combined Heat and Power, Commercial Power"/>
    <x v="2"/>
    <n v="2231"/>
  </r>
  <r>
    <x v="22"/>
    <x v="49"/>
    <s v="Combined Heat and Power, Commercial Power"/>
    <x v="3"/>
    <n v="51336"/>
  </r>
  <r>
    <x v="22"/>
    <x v="49"/>
    <s v="Combined Heat and Power, Commercial Power"/>
    <x v="12"/>
    <n v="0"/>
  </r>
  <r>
    <x v="22"/>
    <x v="49"/>
    <s v="Combined Heat and Power, Commercial Power"/>
    <x v="4"/>
    <n v="120"/>
  </r>
  <r>
    <x v="22"/>
    <x v="49"/>
    <s v="Combined Heat and Power, Commercial Power"/>
    <x v="8"/>
    <n v="16092"/>
  </r>
  <r>
    <x v="22"/>
    <x v="49"/>
    <s v="Combined Heat and Power, Commercial Power"/>
    <x v="6"/>
    <n v="0"/>
  </r>
  <r>
    <x v="22"/>
    <x v="49"/>
    <s v="Combined Heat and Power, Electric Power"/>
    <x v="0"/>
    <n v="994009"/>
  </r>
  <r>
    <x v="22"/>
    <x v="49"/>
    <s v="Combined Heat and Power, Electric Power"/>
    <x v="1"/>
    <n v="0"/>
  </r>
  <r>
    <x v="22"/>
    <x v="49"/>
    <s v="Combined Heat and Power, Electric Power"/>
    <x v="3"/>
    <n v="953487"/>
  </r>
  <r>
    <x v="22"/>
    <x v="49"/>
    <s v="Combined Heat and Power, Electric Power"/>
    <x v="4"/>
    <n v="1599"/>
  </r>
  <r>
    <x v="22"/>
    <x v="49"/>
    <s v="Combined Heat and Power, Electric Power"/>
    <x v="8"/>
    <n v="38923"/>
  </r>
  <r>
    <x v="22"/>
    <x v="49"/>
    <s v="Electric Generators, Independent Power Producers"/>
    <x v="0"/>
    <n v="20138057"/>
  </r>
  <r>
    <x v="22"/>
    <x v="49"/>
    <s v="Electric Generators, Independent Power Producers"/>
    <x v="1"/>
    <n v="0"/>
  </r>
  <r>
    <x v="22"/>
    <x v="49"/>
    <s v="Electric Generators, Independent Power Producers"/>
    <x v="2"/>
    <n v="71062"/>
  </r>
  <r>
    <x v="22"/>
    <x v="49"/>
    <s v="Electric Generators, Independent Power Producers"/>
    <x v="3"/>
    <n v="4436073"/>
  </r>
  <r>
    <x v="22"/>
    <x v="49"/>
    <s v="Electric Generators, Independent Power Producers"/>
    <x v="7"/>
    <n v="14299595"/>
  </r>
  <r>
    <x v="22"/>
    <x v="49"/>
    <s v="Electric Generators, Independent Power Producers"/>
    <x v="4"/>
    <n v="746"/>
  </r>
  <r>
    <x v="22"/>
    <x v="49"/>
    <s v="Electric Generators, Independent Power Producers"/>
    <x v="8"/>
    <n v="436122"/>
  </r>
  <r>
    <x v="22"/>
    <x v="49"/>
    <s v="Electric Generators, Independent Power Producers"/>
    <x v="5"/>
    <n v="618218"/>
  </r>
  <r>
    <x v="22"/>
    <x v="49"/>
    <s v="Electric Generators, Independent Power Producers"/>
    <x v="6"/>
    <n v="276240"/>
  </r>
  <r>
    <x v="22"/>
    <x v="49"/>
    <s v="Electric Generators, Electric Utilities"/>
    <x v="0"/>
    <n v="40543431"/>
  </r>
  <r>
    <x v="22"/>
    <x v="49"/>
    <s v="Electric Generators, Electric Utilities"/>
    <x v="1"/>
    <n v="31908656"/>
  </r>
  <r>
    <x v="22"/>
    <x v="49"/>
    <s v="Electric Generators, Electric Utilities"/>
    <x v="2"/>
    <n v="1340279"/>
  </r>
  <r>
    <x v="22"/>
    <x v="49"/>
    <s v="Electric Generators, Electric Utilities"/>
    <x v="3"/>
    <n v="5967561"/>
  </r>
  <r>
    <x v="22"/>
    <x v="49"/>
    <s v="Electric Generators, Electric Utilities"/>
    <x v="12"/>
    <n v="39195"/>
  </r>
  <r>
    <x v="22"/>
    <x v="49"/>
    <s v="Electric Generators, Electric Utilities"/>
    <x v="4"/>
    <n v="90692"/>
  </r>
  <r>
    <x v="22"/>
    <x v="49"/>
    <s v="Electric Generators, Electric Utilities"/>
    <x v="8"/>
    <n v="21294"/>
  </r>
  <r>
    <x v="22"/>
    <x v="49"/>
    <s v="Electric Generators, Electric Utilities"/>
    <x v="5"/>
    <n v="939360"/>
  </r>
  <r>
    <x v="22"/>
    <x v="49"/>
    <s v="Electric Generators, Electric Utilities"/>
    <x v="6"/>
    <n v="236394"/>
  </r>
  <r>
    <x v="22"/>
    <x v="50"/>
    <s v="Total Electric Power Industry"/>
    <x v="0"/>
    <n v="73413405"/>
  </r>
  <r>
    <x v="22"/>
    <x v="50"/>
    <s v="Total Electric Power Industry"/>
    <x v="1"/>
    <n v="70267429"/>
  </r>
  <r>
    <x v="22"/>
    <x v="50"/>
    <s v="Total Electric Power Industry"/>
    <x v="2"/>
    <n v="1431440"/>
  </r>
  <r>
    <x v="22"/>
    <x v="50"/>
    <s v="Total Electric Power Industry"/>
    <x v="3"/>
    <n v="242894"/>
  </r>
  <r>
    <x v="22"/>
    <x v="50"/>
    <s v="Total Electric Power Industry"/>
    <x v="9"/>
    <n v="31631"/>
  </r>
  <r>
    <x v="22"/>
    <x v="50"/>
    <s v="Total Electric Power Industry"/>
    <x v="12"/>
    <n v="0"/>
  </r>
  <r>
    <x v="22"/>
    <x v="50"/>
    <s v="Total Electric Power Industry"/>
    <x v="4"/>
    <n v="143448"/>
  </r>
  <r>
    <x v="22"/>
    <x v="50"/>
    <s v="Total Electric Power Industry"/>
    <x v="8"/>
    <n v="10540"/>
  </r>
  <r>
    <x v="22"/>
    <x v="50"/>
    <s v="Total Electric Power Industry"/>
    <x v="5"/>
    <n v="1286024"/>
  </r>
  <r>
    <x v="22"/>
    <x v="50"/>
    <s v="Total Electric Power Industry"/>
    <x v="6"/>
    <n v="-1"/>
  </r>
  <r>
    <x v="22"/>
    <x v="50"/>
    <s v="Combined Heat and Power, Industrial Power"/>
    <x v="0"/>
    <n v="1007086"/>
  </r>
  <r>
    <x v="22"/>
    <x v="50"/>
    <s v="Combined Heat and Power, Industrial Power"/>
    <x v="1"/>
    <n v="413235"/>
  </r>
  <r>
    <x v="22"/>
    <x v="50"/>
    <s v="Combined Heat and Power, Industrial Power"/>
    <x v="2"/>
    <n v="546944"/>
  </r>
  <r>
    <x v="22"/>
    <x v="50"/>
    <s v="Combined Heat and Power, Industrial Power"/>
    <x v="3"/>
    <n v="15276"/>
  </r>
  <r>
    <x v="22"/>
    <x v="50"/>
    <s v="Combined Heat and Power, Industrial Power"/>
    <x v="9"/>
    <n v="31631"/>
  </r>
  <r>
    <x v="22"/>
    <x v="50"/>
    <s v="Combined Heat and Power, Industrial Power"/>
    <x v="12"/>
    <n v="0"/>
  </r>
  <r>
    <x v="22"/>
    <x v="50"/>
    <s v="Combined Heat and Power, Electric Power"/>
    <x v="0"/>
    <n v="408719"/>
  </r>
  <r>
    <x v="22"/>
    <x v="50"/>
    <s v="Combined Heat and Power, Electric Power"/>
    <x v="1"/>
    <n v="408453"/>
  </r>
  <r>
    <x v="22"/>
    <x v="50"/>
    <s v="Combined Heat and Power, Electric Power"/>
    <x v="3"/>
    <n v="266"/>
  </r>
  <r>
    <x v="22"/>
    <x v="50"/>
    <s v="Electric Generators, Independent Power Producers"/>
    <x v="0"/>
    <n v="24634159"/>
  </r>
  <r>
    <x v="22"/>
    <x v="50"/>
    <s v="Electric Generators, Independent Power Producers"/>
    <x v="1"/>
    <n v="22741443"/>
  </r>
  <r>
    <x v="22"/>
    <x v="50"/>
    <s v="Electric Generators, Independent Power Producers"/>
    <x v="2"/>
    <n v="401329"/>
  </r>
  <r>
    <x v="22"/>
    <x v="50"/>
    <s v="Electric Generators, Independent Power Producers"/>
    <x v="3"/>
    <n v="193940"/>
  </r>
  <r>
    <x v="22"/>
    <x v="50"/>
    <s v="Electric Generators, Independent Power Producers"/>
    <x v="12"/>
    <n v="0"/>
  </r>
  <r>
    <x v="22"/>
    <x v="50"/>
    <s v="Electric Generators, Independent Power Producers"/>
    <x v="4"/>
    <n v="883"/>
  </r>
  <r>
    <x v="22"/>
    <x v="50"/>
    <s v="Electric Generators, Independent Power Producers"/>
    <x v="8"/>
    <n v="10540"/>
  </r>
  <r>
    <x v="22"/>
    <x v="50"/>
    <s v="Electric Generators, Independent Power Producers"/>
    <x v="5"/>
    <n v="1286024"/>
  </r>
  <r>
    <x v="22"/>
    <x v="50"/>
    <s v="Electric Generators, Electric Utilities"/>
    <x v="0"/>
    <n v="47363441"/>
  </r>
  <r>
    <x v="22"/>
    <x v="50"/>
    <s v="Electric Generators, Electric Utilities"/>
    <x v="1"/>
    <n v="46704298"/>
  </r>
  <r>
    <x v="22"/>
    <x v="50"/>
    <s v="Electric Generators, Electric Utilities"/>
    <x v="2"/>
    <n v="483167"/>
  </r>
  <r>
    <x v="22"/>
    <x v="50"/>
    <s v="Electric Generators, Electric Utilities"/>
    <x v="3"/>
    <n v="33412"/>
  </r>
  <r>
    <x v="22"/>
    <x v="50"/>
    <s v="Electric Generators, Electric Utilities"/>
    <x v="12"/>
    <n v="0"/>
  </r>
  <r>
    <x v="22"/>
    <x v="50"/>
    <s v="Electric Generators, Electric Utilities"/>
    <x v="4"/>
    <n v="142565"/>
  </r>
  <r>
    <x v="22"/>
    <x v="50"/>
    <s v="Electric Generators, Electric Utilities"/>
    <x v="8"/>
    <n v="0"/>
  </r>
  <r>
    <x v="22"/>
    <x v="50"/>
    <s v="Electric Generators, Electric Utilities"/>
    <x v="6"/>
    <n v="-1"/>
  </r>
  <r>
    <x v="22"/>
    <x v="51"/>
    <s v="Total Electric Power Industry"/>
    <x v="0"/>
    <n v="49588606"/>
  </r>
  <r>
    <x v="22"/>
    <x v="51"/>
    <s v="Total Electric Power Industry"/>
    <x v="1"/>
    <n v="43411766"/>
  </r>
  <r>
    <x v="22"/>
    <x v="51"/>
    <s v="Total Electric Power Industry"/>
    <x v="2"/>
    <n v="893470"/>
  </r>
  <r>
    <x v="22"/>
    <x v="51"/>
    <s v="Total Electric Power Industry"/>
    <x v="3"/>
    <n v="512915"/>
  </r>
  <r>
    <x v="22"/>
    <x v="51"/>
    <s v="Total Electric Power Industry"/>
    <x v="9"/>
    <n v="282499"/>
  </r>
  <r>
    <x v="22"/>
    <x v="51"/>
    <s v="Total Electric Power Industry"/>
    <x v="12"/>
    <n v="66996"/>
  </r>
  <r>
    <x v="22"/>
    <x v="51"/>
    <s v="Total Electric Power Industry"/>
    <x v="4"/>
    <n v="51854"/>
  </r>
  <r>
    <x v="22"/>
    <x v="51"/>
    <s v="Total Electric Power Industry"/>
    <x v="5"/>
    <n v="4369107"/>
  </r>
  <r>
    <x v="22"/>
    <x v="51"/>
    <s v="Combined Heat and Power, Industrial Power"/>
    <x v="0"/>
    <n v="1231772"/>
  </r>
  <r>
    <x v="22"/>
    <x v="51"/>
    <s v="Combined Heat and Power, Industrial Power"/>
    <x v="1"/>
    <n v="410952"/>
  </r>
  <r>
    <x v="22"/>
    <x v="51"/>
    <s v="Combined Heat and Power, Industrial Power"/>
    <x v="3"/>
    <n v="467108"/>
  </r>
  <r>
    <x v="22"/>
    <x v="51"/>
    <s v="Combined Heat and Power, Industrial Power"/>
    <x v="9"/>
    <n v="282499"/>
  </r>
  <r>
    <x v="22"/>
    <x v="51"/>
    <s v="Combined Heat and Power, Industrial Power"/>
    <x v="12"/>
    <n v="66996"/>
  </r>
  <r>
    <x v="22"/>
    <x v="51"/>
    <s v="Combined Heat and Power, Industrial Power"/>
    <x v="4"/>
    <n v="4217"/>
  </r>
  <r>
    <x v="22"/>
    <x v="51"/>
    <s v="Electric Generators, Independent Power Producers"/>
    <x v="0"/>
    <n v="3128382"/>
  </r>
  <r>
    <x v="22"/>
    <x v="51"/>
    <s v="Electric Generators, Independent Power Producers"/>
    <x v="1"/>
    <n v="683671"/>
  </r>
  <r>
    <x v="22"/>
    <x v="51"/>
    <s v="Electric Generators, Independent Power Producers"/>
    <x v="2"/>
    <n v="10184"/>
  </r>
  <r>
    <x v="22"/>
    <x v="51"/>
    <s v="Electric Generators, Independent Power Producers"/>
    <x v="3"/>
    <n v="16176"/>
  </r>
  <r>
    <x v="22"/>
    <x v="51"/>
    <s v="Electric Generators, Independent Power Producers"/>
    <x v="5"/>
    <n v="2418351"/>
  </r>
  <r>
    <x v="22"/>
    <x v="51"/>
    <s v="Electric Generators, Electric Utilities"/>
    <x v="0"/>
    <n v="45228452"/>
  </r>
  <r>
    <x v="22"/>
    <x v="51"/>
    <s v="Electric Generators, Electric Utilities"/>
    <x v="1"/>
    <n v="42317142"/>
  </r>
  <r>
    <x v="22"/>
    <x v="51"/>
    <s v="Electric Generators, Electric Utilities"/>
    <x v="2"/>
    <n v="883286"/>
  </r>
  <r>
    <x v="22"/>
    <x v="51"/>
    <s v="Electric Generators, Electric Utilities"/>
    <x v="3"/>
    <n v="29631"/>
  </r>
  <r>
    <x v="22"/>
    <x v="51"/>
    <s v="Electric Generators, Electric Utilities"/>
    <x v="4"/>
    <n v="47636"/>
  </r>
  <r>
    <x v="22"/>
    <x v="51"/>
    <s v="Electric Generators, Electric Utilities"/>
    <x v="5"/>
    <n v="1950756"/>
  </r>
  <r>
    <x v="23"/>
    <x v="0"/>
    <s v="Total Electric Power Industry"/>
    <x v="0"/>
    <n v="6496821.6399999997"/>
  </r>
  <r>
    <x v="23"/>
    <x v="0"/>
    <s v="Total Electric Power Industry"/>
    <x v="1"/>
    <n v="624620.71"/>
  </r>
  <r>
    <x v="23"/>
    <x v="0"/>
    <s v="Total Electric Power Industry"/>
    <x v="2"/>
    <n v="1435479.43"/>
  </r>
  <r>
    <x v="23"/>
    <x v="0"/>
    <s v="Total Electric Power Industry"/>
    <x v="3"/>
    <n v="3421005.42"/>
  </r>
  <r>
    <x v="23"/>
    <x v="0"/>
    <s v="Total Electric Power Industry"/>
    <x v="12"/>
    <n v="-257"/>
  </r>
  <r>
    <x v="23"/>
    <x v="0"/>
    <s v="Total Electric Power Industry"/>
    <x v="8"/>
    <n v="52031.97"/>
  </r>
  <r>
    <x v="23"/>
    <x v="0"/>
    <s v="Total Electric Power Industry"/>
    <x v="4"/>
    <n v="818652.11"/>
  </r>
  <r>
    <x v="23"/>
    <x v="0"/>
    <s v="Total Electric Power Industry"/>
    <x v="5"/>
    <n v="145289"/>
  </r>
  <r>
    <x v="23"/>
    <x v="0"/>
    <s v="Total Electric Power Industry"/>
    <x v="6"/>
    <n v="0"/>
  </r>
  <r>
    <x v="23"/>
    <x v="0"/>
    <s v="Electric Generators, Independent Power Producers"/>
    <x v="0"/>
    <n v="46384"/>
  </r>
  <r>
    <x v="23"/>
    <x v="0"/>
    <s v="Electric Generators, Independent Power Producers"/>
    <x v="5"/>
    <n v="46384"/>
  </r>
  <r>
    <x v="23"/>
    <x v="0"/>
    <s v="Electric Generators, Electric Utilities"/>
    <x v="0"/>
    <n v="5851726.8899999997"/>
  </r>
  <r>
    <x v="23"/>
    <x v="0"/>
    <s v="Electric Generators, Electric Utilities"/>
    <x v="1"/>
    <n v="191063.84"/>
  </r>
  <r>
    <x v="23"/>
    <x v="0"/>
    <s v="Electric Generators, Electric Utilities"/>
    <x v="2"/>
    <n v="1435479.43"/>
  </r>
  <r>
    <x v="23"/>
    <x v="0"/>
    <s v="Electric Generators, Electric Utilities"/>
    <x v="3"/>
    <n v="3356112.7"/>
  </r>
  <r>
    <x v="23"/>
    <x v="0"/>
    <s v="Electric Generators, Electric Utilities"/>
    <x v="12"/>
    <n v="-257"/>
  </r>
  <r>
    <x v="23"/>
    <x v="0"/>
    <s v="Electric Generators, Electric Utilities"/>
    <x v="4"/>
    <n v="770422.93"/>
  </r>
  <r>
    <x v="23"/>
    <x v="0"/>
    <s v="Electric Generators, Electric Utilities"/>
    <x v="5"/>
    <n v="98905"/>
  </r>
  <r>
    <x v="23"/>
    <x v="0"/>
    <s v="Combined Heat and Power, Industrial Power"/>
    <x v="0"/>
    <n v="110723.42"/>
  </r>
  <r>
    <x v="23"/>
    <x v="0"/>
    <s v="Combined Heat and Power, Industrial Power"/>
    <x v="3"/>
    <n v="59853.48"/>
  </r>
  <r>
    <x v="23"/>
    <x v="0"/>
    <s v="Combined Heat and Power, Industrial Power"/>
    <x v="8"/>
    <n v="6490.77"/>
  </r>
  <r>
    <x v="23"/>
    <x v="0"/>
    <s v="Combined Heat and Power, Industrial Power"/>
    <x v="4"/>
    <n v="44379.17"/>
  </r>
  <r>
    <x v="23"/>
    <x v="0"/>
    <s v="Combined Heat and Power, Electric Power"/>
    <x v="0"/>
    <n v="187843"/>
  </r>
  <r>
    <x v="23"/>
    <x v="0"/>
    <s v="Combined Heat and Power, Electric Power"/>
    <x v="1"/>
    <n v="187843"/>
  </r>
  <r>
    <x v="23"/>
    <x v="0"/>
    <s v="Combined Heat and Power, Electric Power"/>
    <x v="8"/>
    <n v="0"/>
  </r>
  <r>
    <x v="23"/>
    <x v="0"/>
    <s v="Combined Heat and Power, Electric Power"/>
    <x v="4"/>
    <n v="0"/>
  </r>
  <r>
    <x v="23"/>
    <x v="0"/>
    <s v="Combined Heat and Power, Electric Power"/>
    <x v="6"/>
    <n v="0"/>
  </r>
  <r>
    <x v="23"/>
    <x v="0"/>
    <s v="Combined Heat and Power, Commercial Power"/>
    <x v="0"/>
    <n v="300144.33"/>
  </r>
  <r>
    <x v="23"/>
    <x v="0"/>
    <s v="Combined Heat and Power, Commercial Power"/>
    <x v="1"/>
    <n v="245713.88"/>
  </r>
  <r>
    <x v="23"/>
    <x v="0"/>
    <s v="Combined Heat and Power, Commercial Power"/>
    <x v="3"/>
    <n v="5039.24"/>
  </r>
  <r>
    <x v="23"/>
    <x v="0"/>
    <s v="Combined Heat and Power, Commercial Power"/>
    <x v="8"/>
    <n v="45541.2"/>
  </r>
  <r>
    <x v="23"/>
    <x v="0"/>
    <s v="Combined Heat and Power, Commercial Power"/>
    <x v="4"/>
    <n v="3850.01"/>
  </r>
  <r>
    <x v="23"/>
    <x v="0"/>
    <s v="Combined Heat and Power, Commercial Power"/>
    <x v="6"/>
    <n v="0"/>
  </r>
  <r>
    <x v="23"/>
    <x v="1"/>
    <s v="Total Electric Power Industry"/>
    <x v="0"/>
    <n v="150572923.86000001"/>
  </r>
  <r>
    <x v="23"/>
    <x v="1"/>
    <s v="Total Electric Power Industry"/>
    <x v="1"/>
    <n v="47050483.93"/>
  </r>
  <r>
    <x v="23"/>
    <x v="1"/>
    <s v="Total Electric Power Industry"/>
    <x v="2"/>
    <n v="12899178"/>
  </r>
  <r>
    <x v="23"/>
    <x v="1"/>
    <s v="Total Electric Power Industry"/>
    <x v="3"/>
    <n v="46586385.25"/>
  </r>
  <r>
    <x v="23"/>
    <x v="1"/>
    <s v="Total Electric Power Industry"/>
    <x v="7"/>
    <n v="40816135"/>
  </r>
  <r>
    <x v="23"/>
    <x v="1"/>
    <s v="Total Electric Power Industry"/>
    <x v="12"/>
    <n v="3296.73"/>
  </r>
  <r>
    <x v="23"/>
    <x v="1"/>
    <s v="Total Electric Power Industry"/>
    <x v="8"/>
    <n v="21190.13"/>
  </r>
  <r>
    <x v="23"/>
    <x v="1"/>
    <s v="Total Electric Power Industry"/>
    <x v="9"/>
    <n v="267735.55"/>
  </r>
  <r>
    <x v="23"/>
    <x v="1"/>
    <s v="Total Electric Power Industry"/>
    <x v="4"/>
    <n v="74130.97"/>
  </r>
  <r>
    <x v="23"/>
    <x v="1"/>
    <s v="Total Electric Power Industry"/>
    <x v="6"/>
    <n v="2854388.29"/>
  </r>
  <r>
    <x v="23"/>
    <x v="1"/>
    <s v="Electric Generators, Independent Power Producers"/>
    <x v="0"/>
    <n v="27383743"/>
  </r>
  <r>
    <x v="23"/>
    <x v="1"/>
    <s v="Electric Generators, Independent Power Producers"/>
    <x v="3"/>
    <n v="27370910.260000002"/>
  </r>
  <r>
    <x v="23"/>
    <x v="1"/>
    <s v="Electric Generators, Independent Power Producers"/>
    <x v="8"/>
    <n v="11862"/>
  </r>
  <r>
    <x v="23"/>
    <x v="1"/>
    <s v="Electric Generators, Independent Power Producers"/>
    <x v="4"/>
    <n v="970.74"/>
  </r>
  <r>
    <x v="23"/>
    <x v="1"/>
    <s v="Electric Generators, Electric Utilities"/>
    <x v="0"/>
    <n v="115027021"/>
  </r>
  <r>
    <x v="23"/>
    <x v="1"/>
    <s v="Electric Generators, Electric Utilities"/>
    <x v="1"/>
    <n v="46859709"/>
  </r>
  <r>
    <x v="23"/>
    <x v="1"/>
    <s v="Electric Generators, Electric Utilities"/>
    <x v="2"/>
    <n v="12899178"/>
  </r>
  <r>
    <x v="23"/>
    <x v="1"/>
    <s v="Electric Generators, Electric Utilities"/>
    <x v="3"/>
    <n v="14394433.84"/>
  </r>
  <r>
    <x v="23"/>
    <x v="1"/>
    <s v="Electric Generators, Electric Utilities"/>
    <x v="7"/>
    <n v="40816135"/>
  </r>
  <r>
    <x v="23"/>
    <x v="1"/>
    <s v="Electric Generators, Electric Utilities"/>
    <x v="4"/>
    <n v="57565.16"/>
  </r>
  <r>
    <x v="23"/>
    <x v="1"/>
    <s v="Combined Heat and Power, Industrial Power"/>
    <x v="0"/>
    <n v="4147536.86"/>
  </r>
  <r>
    <x v="23"/>
    <x v="1"/>
    <s v="Combined Heat and Power, Industrial Power"/>
    <x v="1"/>
    <n v="190774.93"/>
  </r>
  <r>
    <x v="23"/>
    <x v="1"/>
    <s v="Combined Heat and Power, Industrial Power"/>
    <x v="3"/>
    <n v="993433.11"/>
  </r>
  <r>
    <x v="23"/>
    <x v="1"/>
    <s v="Combined Heat and Power, Industrial Power"/>
    <x v="12"/>
    <n v="3296.73"/>
  </r>
  <r>
    <x v="23"/>
    <x v="1"/>
    <s v="Combined Heat and Power, Industrial Power"/>
    <x v="8"/>
    <n v="9328.1299999999992"/>
  </r>
  <r>
    <x v="23"/>
    <x v="1"/>
    <s v="Combined Heat and Power, Industrial Power"/>
    <x v="9"/>
    <n v="267735.55"/>
  </r>
  <r>
    <x v="23"/>
    <x v="1"/>
    <s v="Combined Heat and Power, Industrial Power"/>
    <x v="4"/>
    <n v="15595.08"/>
  </r>
  <r>
    <x v="23"/>
    <x v="1"/>
    <s v="Combined Heat and Power, Industrial Power"/>
    <x v="6"/>
    <n v="2667373.3199999998"/>
  </r>
  <r>
    <x v="23"/>
    <x v="1"/>
    <s v="Combined Heat and Power, Electric Power"/>
    <x v="0"/>
    <n v="4014623"/>
  </r>
  <r>
    <x v="23"/>
    <x v="1"/>
    <s v="Combined Heat and Power, Electric Power"/>
    <x v="1"/>
    <n v="0"/>
  </r>
  <r>
    <x v="23"/>
    <x v="1"/>
    <s v="Combined Heat and Power, Electric Power"/>
    <x v="3"/>
    <n v="3827608.03"/>
  </r>
  <r>
    <x v="23"/>
    <x v="1"/>
    <s v="Combined Heat and Power, Electric Power"/>
    <x v="6"/>
    <n v="187014.97"/>
  </r>
  <r>
    <x v="23"/>
    <x v="2"/>
    <s v="Total Electric Power Industry"/>
    <x v="0"/>
    <n v="60322492.140000001"/>
  </r>
  <r>
    <x v="23"/>
    <x v="2"/>
    <s v="Total Electric Power Industry"/>
    <x v="1"/>
    <n v="31889234.550000001"/>
  </r>
  <r>
    <x v="23"/>
    <x v="2"/>
    <s v="Total Electric Power Industry"/>
    <x v="2"/>
    <n v="2654740.44"/>
  </r>
  <r>
    <x v="23"/>
    <x v="2"/>
    <s v="Total Electric Power Industry"/>
    <x v="3"/>
    <n v="12139377.08"/>
  </r>
  <r>
    <x v="23"/>
    <x v="2"/>
    <s v="Total Electric Power Industry"/>
    <x v="7"/>
    <n v="11945257"/>
  </r>
  <r>
    <x v="23"/>
    <x v="2"/>
    <s v="Total Electric Power Industry"/>
    <x v="12"/>
    <n v="20564.95"/>
  </r>
  <r>
    <x v="23"/>
    <x v="2"/>
    <s v="Total Electric Power Industry"/>
    <x v="8"/>
    <n v="105218.46"/>
  </r>
  <r>
    <x v="23"/>
    <x v="2"/>
    <s v="Total Electric Power Industry"/>
    <x v="4"/>
    <n v="41686.93"/>
  </r>
  <r>
    <x v="23"/>
    <x v="2"/>
    <s v="Total Electric Power Industry"/>
    <x v="10"/>
    <n v="30818"/>
  </r>
  <r>
    <x v="23"/>
    <x v="2"/>
    <s v="Total Electric Power Industry"/>
    <x v="6"/>
    <n v="1495594.74"/>
  </r>
  <r>
    <x v="23"/>
    <x v="2"/>
    <s v="Electric Generators, Independent Power Producers"/>
    <x v="0"/>
    <n v="10369514"/>
  </r>
  <r>
    <x v="23"/>
    <x v="2"/>
    <s v="Electric Generators, Independent Power Producers"/>
    <x v="1"/>
    <n v="3981132.84"/>
  </r>
  <r>
    <x v="23"/>
    <x v="2"/>
    <s v="Electric Generators, Independent Power Producers"/>
    <x v="2"/>
    <n v="45930"/>
  </r>
  <r>
    <x v="23"/>
    <x v="2"/>
    <s v="Electric Generators, Independent Power Producers"/>
    <x v="3"/>
    <n v="6267016"/>
  </r>
  <r>
    <x v="23"/>
    <x v="2"/>
    <s v="Electric Generators, Independent Power Producers"/>
    <x v="8"/>
    <n v="60721"/>
  </r>
  <r>
    <x v="23"/>
    <x v="2"/>
    <s v="Electric Generators, Independent Power Producers"/>
    <x v="4"/>
    <n v="14714.16"/>
  </r>
  <r>
    <x v="23"/>
    <x v="2"/>
    <s v="Electric Generators, Electric Utilities"/>
    <x v="0"/>
    <n v="46547772.439999998"/>
  </r>
  <r>
    <x v="23"/>
    <x v="2"/>
    <s v="Electric Generators, Electric Utilities"/>
    <x v="1"/>
    <n v="27821614.25"/>
  </r>
  <r>
    <x v="23"/>
    <x v="2"/>
    <s v="Electric Generators, Electric Utilities"/>
    <x v="2"/>
    <n v="2608810.44"/>
  </r>
  <r>
    <x v="23"/>
    <x v="2"/>
    <s v="Electric Generators, Electric Utilities"/>
    <x v="3"/>
    <n v="4115513.31"/>
  </r>
  <r>
    <x v="23"/>
    <x v="2"/>
    <s v="Electric Generators, Electric Utilities"/>
    <x v="7"/>
    <n v="11945257"/>
  </r>
  <r>
    <x v="23"/>
    <x v="2"/>
    <s v="Electric Generators, Electric Utilities"/>
    <x v="4"/>
    <n v="25759.439999999999"/>
  </r>
  <r>
    <x v="23"/>
    <x v="2"/>
    <s v="Electric Generators, Electric Utilities"/>
    <x v="10"/>
    <n v="30818"/>
  </r>
  <r>
    <x v="23"/>
    <x v="2"/>
    <s v="Combined Heat and Power, Industrial Power"/>
    <x v="0"/>
    <n v="1867867"/>
  </r>
  <r>
    <x v="23"/>
    <x v="2"/>
    <s v="Combined Heat and Power, Industrial Power"/>
    <x v="1"/>
    <n v="86487.46"/>
  </r>
  <r>
    <x v="23"/>
    <x v="2"/>
    <s v="Combined Heat and Power, Industrial Power"/>
    <x v="3"/>
    <n v="264006.52"/>
  </r>
  <r>
    <x v="23"/>
    <x v="2"/>
    <s v="Combined Heat and Power, Industrial Power"/>
    <x v="12"/>
    <n v="20564.95"/>
  </r>
  <r>
    <x v="23"/>
    <x v="2"/>
    <s v="Combined Heat and Power, Industrial Power"/>
    <x v="8"/>
    <n v="0"/>
  </r>
  <r>
    <x v="23"/>
    <x v="2"/>
    <s v="Combined Heat and Power, Industrial Power"/>
    <x v="4"/>
    <n v="1213.32"/>
  </r>
  <r>
    <x v="23"/>
    <x v="2"/>
    <s v="Combined Heat and Power, Industrial Power"/>
    <x v="6"/>
    <n v="1495594.74"/>
  </r>
  <r>
    <x v="23"/>
    <x v="2"/>
    <s v="Combined Heat and Power, Electric Power"/>
    <x v="0"/>
    <n v="1531003"/>
  </r>
  <r>
    <x v="23"/>
    <x v="2"/>
    <s v="Combined Heat and Power, Electric Power"/>
    <x v="3"/>
    <n v="1491837"/>
  </r>
  <r>
    <x v="23"/>
    <x v="2"/>
    <s v="Combined Heat and Power, Electric Power"/>
    <x v="8"/>
    <n v="39166"/>
  </r>
  <r>
    <x v="23"/>
    <x v="2"/>
    <s v="Combined Heat and Power, Commercial Power"/>
    <x v="0"/>
    <n v="6335.7"/>
  </r>
  <r>
    <x v="23"/>
    <x v="2"/>
    <s v="Combined Heat and Power, Commercial Power"/>
    <x v="3"/>
    <n v="1004.24"/>
  </r>
  <r>
    <x v="23"/>
    <x v="2"/>
    <s v="Combined Heat and Power, Commercial Power"/>
    <x v="8"/>
    <n v="5331.46"/>
  </r>
  <r>
    <x v="23"/>
    <x v="3"/>
    <s v="Total Electric Power Industry"/>
    <x v="0"/>
    <n v="113325986.12"/>
  </r>
  <r>
    <x v="23"/>
    <x v="3"/>
    <s v="Total Electric Power Industry"/>
    <x v="1"/>
    <n v="43492375.810000002"/>
  </r>
  <r>
    <x v="23"/>
    <x v="3"/>
    <s v="Total Electric Power Industry"/>
    <x v="2"/>
    <n v="5914658"/>
  </r>
  <r>
    <x v="23"/>
    <x v="3"/>
    <s v="Total Electric Power Industry"/>
    <x v="3"/>
    <n v="29684631.289999999"/>
  </r>
  <r>
    <x v="23"/>
    <x v="3"/>
    <s v="Total Electric Power Industry"/>
    <x v="7"/>
    <n v="31431080"/>
  </r>
  <r>
    <x v="23"/>
    <x v="3"/>
    <s v="Total Electric Power Industry"/>
    <x v="12"/>
    <n v="3361.48"/>
  </r>
  <r>
    <x v="23"/>
    <x v="3"/>
    <s v="Total Electric Power Industry"/>
    <x v="8"/>
    <n v="69133.56"/>
  </r>
  <r>
    <x v="23"/>
    <x v="3"/>
    <s v="Total Electric Power Industry"/>
    <x v="4"/>
    <n v="42964.77"/>
  </r>
  <r>
    <x v="23"/>
    <x v="3"/>
    <s v="Total Electric Power Industry"/>
    <x v="10"/>
    <n v="24271"/>
  </r>
  <r>
    <x v="23"/>
    <x v="3"/>
    <s v="Total Electric Power Industry"/>
    <x v="13"/>
    <n v="2111438.64"/>
  </r>
  <r>
    <x v="23"/>
    <x v="3"/>
    <s v="Total Electric Power Industry"/>
    <x v="5"/>
    <n v="449764"/>
  </r>
  <r>
    <x v="23"/>
    <x v="3"/>
    <s v="Total Electric Power Industry"/>
    <x v="6"/>
    <n v="102307.57"/>
  </r>
  <r>
    <x v="23"/>
    <x v="3"/>
    <s v="Electric Generators, Independent Power Producers"/>
    <x v="0"/>
    <n v="20236009.800000001"/>
  </r>
  <r>
    <x v="23"/>
    <x v="3"/>
    <s v="Electric Generators, Independent Power Producers"/>
    <x v="3"/>
    <n v="17821756.120000001"/>
  </r>
  <r>
    <x v="23"/>
    <x v="3"/>
    <s v="Electric Generators, Independent Power Producers"/>
    <x v="12"/>
    <n v="3361.48"/>
  </r>
  <r>
    <x v="23"/>
    <x v="3"/>
    <s v="Electric Generators, Independent Power Producers"/>
    <x v="8"/>
    <n v="42995"/>
  </r>
  <r>
    <x v="23"/>
    <x v="3"/>
    <s v="Electric Generators, Independent Power Producers"/>
    <x v="13"/>
    <n v="1815825.64"/>
  </r>
  <r>
    <x v="23"/>
    <x v="3"/>
    <s v="Electric Generators, Independent Power Producers"/>
    <x v="5"/>
    <n v="449764"/>
  </r>
  <r>
    <x v="23"/>
    <x v="3"/>
    <s v="Electric Generators, Independent Power Producers"/>
    <x v="6"/>
    <n v="102307.57"/>
  </r>
  <r>
    <x v="23"/>
    <x v="3"/>
    <s v="Electric Generators, Electric Utilities"/>
    <x v="0"/>
    <n v="92740581.560000002"/>
  </r>
  <r>
    <x v="23"/>
    <x v="3"/>
    <s v="Electric Generators, Electric Utilities"/>
    <x v="1"/>
    <n v="43492375.810000002"/>
  </r>
  <r>
    <x v="23"/>
    <x v="3"/>
    <s v="Electric Generators, Electric Utilities"/>
    <x v="2"/>
    <n v="5914658"/>
  </r>
  <r>
    <x v="23"/>
    <x v="3"/>
    <s v="Electric Generators, Electric Utilities"/>
    <x v="3"/>
    <n v="11533028.970000001"/>
  </r>
  <r>
    <x v="23"/>
    <x v="3"/>
    <s v="Electric Generators, Electric Utilities"/>
    <x v="7"/>
    <n v="31431080"/>
  </r>
  <r>
    <x v="23"/>
    <x v="3"/>
    <s v="Electric Generators, Electric Utilities"/>
    <x v="8"/>
    <n v="26138.560000000001"/>
  </r>
  <r>
    <x v="23"/>
    <x v="3"/>
    <s v="Electric Generators, Electric Utilities"/>
    <x v="4"/>
    <n v="42930.22"/>
  </r>
  <r>
    <x v="23"/>
    <x v="3"/>
    <s v="Electric Generators, Electric Utilities"/>
    <x v="10"/>
    <n v="24271"/>
  </r>
  <r>
    <x v="23"/>
    <x v="3"/>
    <s v="Electric Generators, Electric Utilities"/>
    <x v="13"/>
    <n v="276099"/>
  </r>
  <r>
    <x v="23"/>
    <x v="3"/>
    <s v="Combined Heat and Power, Electric Power"/>
    <x v="0"/>
    <n v="191953"/>
  </r>
  <r>
    <x v="23"/>
    <x v="3"/>
    <s v="Combined Heat and Power, Electric Power"/>
    <x v="3"/>
    <n v="191953"/>
  </r>
  <r>
    <x v="23"/>
    <x v="3"/>
    <s v="Combined Heat and Power, Electric Power"/>
    <x v="4"/>
    <n v="0"/>
  </r>
  <r>
    <x v="23"/>
    <x v="3"/>
    <s v="Combined Heat and Power, Commercial Power"/>
    <x v="0"/>
    <n v="157441.76"/>
  </r>
  <r>
    <x v="23"/>
    <x v="3"/>
    <s v="Combined Heat and Power, Commercial Power"/>
    <x v="3"/>
    <n v="137893.21"/>
  </r>
  <r>
    <x v="23"/>
    <x v="3"/>
    <s v="Combined Heat and Power, Commercial Power"/>
    <x v="8"/>
    <n v="0"/>
  </r>
  <r>
    <x v="23"/>
    <x v="3"/>
    <s v="Combined Heat and Power, Commercial Power"/>
    <x v="4"/>
    <n v="34.549999999999997"/>
  </r>
  <r>
    <x v="23"/>
    <x v="3"/>
    <s v="Combined Heat and Power, Commercial Power"/>
    <x v="13"/>
    <n v="19514"/>
  </r>
  <r>
    <x v="23"/>
    <x v="4"/>
    <s v="Total Electric Power Industry"/>
    <x v="0"/>
    <n v="200077114.62"/>
  </r>
  <r>
    <x v="23"/>
    <x v="4"/>
    <s v="Total Electric Power Industry"/>
    <x v="1"/>
    <n v="823170.96"/>
  </r>
  <r>
    <x v="23"/>
    <x v="4"/>
    <s v="Total Electric Power Industry"/>
    <x v="11"/>
    <n v="12306571"/>
  </r>
  <r>
    <x v="23"/>
    <x v="4"/>
    <s v="Total Electric Power Industry"/>
    <x v="2"/>
    <n v="23754599.48"/>
  </r>
  <r>
    <x v="23"/>
    <x v="4"/>
    <s v="Total Electric Power Industry"/>
    <x v="3"/>
    <n v="119522859.29000001"/>
  </r>
  <r>
    <x v="23"/>
    <x v="4"/>
    <s v="Total Electric Power Industry"/>
    <x v="7"/>
    <n v="17911943"/>
  </r>
  <r>
    <x v="23"/>
    <x v="4"/>
    <s v="Total Electric Power Industry"/>
    <x v="12"/>
    <n v="816044.75"/>
  </r>
  <r>
    <x v="23"/>
    <x v="4"/>
    <s v="Total Electric Power Industry"/>
    <x v="8"/>
    <n v="2843202.84"/>
  </r>
  <r>
    <x v="23"/>
    <x v="4"/>
    <s v="Total Electric Power Industry"/>
    <x v="9"/>
    <n v="1405720.18"/>
  </r>
  <r>
    <x v="23"/>
    <x v="4"/>
    <s v="Total Electric Power Industry"/>
    <x v="4"/>
    <n v="68854.75"/>
  </r>
  <r>
    <x v="23"/>
    <x v="4"/>
    <s v="Total Electric Power Industry"/>
    <x v="10"/>
    <n v="196290"/>
  </r>
  <r>
    <x v="23"/>
    <x v="4"/>
    <s v="Total Electric Power Industry"/>
    <x v="13"/>
    <n v="3813724.79"/>
  </r>
  <r>
    <x v="23"/>
    <x v="4"/>
    <s v="Total Electric Power Industry"/>
    <x v="5"/>
    <n v="12822060.43"/>
  </r>
  <r>
    <x v="23"/>
    <x v="4"/>
    <s v="Total Electric Power Industry"/>
    <x v="6"/>
    <n v="3792073.16"/>
  </r>
  <r>
    <x v="23"/>
    <x v="4"/>
    <s v="Electric Generators, Independent Power Producers"/>
    <x v="0"/>
    <n v="86201997.780000001"/>
  </r>
  <r>
    <x v="23"/>
    <x v="4"/>
    <s v="Electric Generators, Independent Power Producers"/>
    <x v="11"/>
    <n v="11247836"/>
  </r>
  <r>
    <x v="23"/>
    <x v="4"/>
    <s v="Electric Generators, Independent Power Producers"/>
    <x v="2"/>
    <n v="1092603.3999999999"/>
  </r>
  <r>
    <x v="23"/>
    <x v="4"/>
    <s v="Electric Generators, Independent Power Producers"/>
    <x v="3"/>
    <n v="54538702.659999996"/>
  </r>
  <r>
    <x v="23"/>
    <x v="4"/>
    <s v="Electric Generators, Independent Power Producers"/>
    <x v="12"/>
    <n v="107659.8"/>
  </r>
  <r>
    <x v="23"/>
    <x v="4"/>
    <s v="Electric Generators, Independent Power Producers"/>
    <x v="8"/>
    <n v="1398473.71"/>
  </r>
  <r>
    <x v="23"/>
    <x v="4"/>
    <s v="Electric Generators, Independent Power Producers"/>
    <x v="4"/>
    <n v="5290.42"/>
  </r>
  <r>
    <x v="23"/>
    <x v="4"/>
    <s v="Electric Generators, Independent Power Producers"/>
    <x v="13"/>
    <n v="3363719.34"/>
  </r>
  <r>
    <x v="23"/>
    <x v="4"/>
    <s v="Electric Generators, Independent Power Producers"/>
    <x v="5"/>
    <n v="11927840.43"/>
  </r>
  <r>
    <x v="23"/>
    <x v="4"/>
    <s v="Electric Generators, Independent Power Producers"/>
    <x v="6"/>
    <n v="2519872.0299999998"/>
  </r>
  <r>
    <x v="23"/>
    <x v="4"/>
    <s v="Electric Generators, Electric Utilities"/>
    <x v="0"/>
    <n v="78407643.120000005"/>
  </r>
  <r>
    <x v="23"/>
    <x v="4"/>
    <s v="Electric Generators, Electric Utilities"/>
    <x v="11"/>
    <n v="753926"/>
  </r>
  <r>
    <x v="23"/>
    <x v="4"/>
    <s v="Electric Generators, Electric Utilities"/>
    <x v="2"/>
    <n v="22656722.079999998"/>
  </r>
  <r>
    <x v="23"/>
    <x v="4"/>
    <s v="Electric Generators, Electric Utilities"/>
    <x v="3"/>
    <n v="35397811.630000003"/>
  </r>
  <r>
    <x v="23"/>
    <x v="4"/>
    <s v="Electric Generators, Electric Utilities"/>
    <x v="7"/>
    <n v="17911943"/>
  </r>
  <r>
    <x v="23"/>
    <x v="4"/>
    <s v="Electric Generators, Electric Utilities"/>
    <x v="12"/>
    <n v="-1220"/>
  </r>
  <r>
    <x v="23"/>
    <x v="4"/>
    <s v="Electric Generators, Electric Utilities"/>
    <x v="8"/>
    <n v="204579.09"/>
  </r>
  <r>
    <x v="23"/>
    <x v="4"/>
    <s v="Electric Generators, Electric Utilities"/>
    <x v="9"/>
    <n v="0"/>
  </r>
  <r>
    <x v="23"/>
    <x v="4"/>
    <s v="Electric Generators, Electric Utilities"/>
    <x v="4"/>
    <n v="32489.33"/>
  </r>
  <r>
    <x v="23"/>
    <x v="4"/>
    <s v="Electric Generators, Electric Utilities"/>
    <x v="10"/>
    <n v="196290"/>
  </r>
  <r>
    <x v="23"/>
    <x v="4"/>
    <s v="Electric Generators, Electric Utilities"/>
    <x v="13"/>
    <n v="363501"/>
  </r>
  <r>
    <x v="23"/>
    <x v="4"/>
    <s v="Electric Generators, Electric Utilities"/>
    <x v="5"/>
    <n v="891601"/>
  </r>
  <r>
    <x v="23"/>
    <x v="4"/>
    <s v="Combined Heat and Power, Industrial Power"/>
    <x v="0"/>
    <n v="15800403.6"/>
  </r>
  <r>
    <x v="23"/>
    <x v="4"/>
    <s v="Combined Heat and Power, Industrial Power"/>
    <x v="1"/>
    <n v="354287.01"/>
  </r>
  <r>
    <x v="23"/>
    <x v="4"/>
    <s v="Combined Heat and Power, Industrial Power"/>
    <x v="3"/>
    <n v="12679579.74"/>
  </r>
  <r>
    <x v="23"/>
    <x v="4"/>
    <s v="Combined Heat and Power, Industrial Power"/>
    <x v="12"/>
    <n v="602403.77"/>
  </r>
  <r>
    <x v="23"/>
    <x v="4"/>
    <s v="Combined Heat and Power, Industrial Power"/>
    <x v="8"/>
    <n v="6434"/>
  </r>
  <r>
    <x v="23"/>
    <x v="4"/>
    <s v="Combined Heat and Power, Industrial Power"/>
    <x v="9"/>
    <n v="1405720.18"/>
  </r>
  <r>
    <x v="23"/>
    <x v="4"/>
    <s v="Combined Heat and Power, Industrial Power"/>
    <x v="4"/>
    <n v="8231.98"/>
  </r>
  <r>
    <x v="23"/>
    <x v="4"/>
    <s v="Combined Heat and Power, Industrial Power"/>
    <x v="13"/>
    <n v="4991.67"/>
  </r>
  <r>
    <x v="23"/>
    <x v="4"/>
    <s v="Combined Heat and Power, Industrial Power"/>
    <x v="5"/>
    <n v="1594"/>
  </r>
  <r>
    <x v="23"/>
    <x v="4"/>
    <s v="Combined Heat and Power, Industrial Power"/>
    <x v="6"/>
    <n v="737161.25"/>
  </r>
  <r>
    <x v="23"/>
    <x v="4"/>
    <s v="Combined Heat and Power, Electric Power"/>
    <x v="0"/>
    <n v="16905497.870000001"/>
  </r>
  <r>
    <x v="23"/>
    <x v="4"/>
    <s v="Combined Heat and Power, Electric Power"/>
    <x v="1"/>
    <n v="468883.94"/>
  </r>
  <r>
    <x v="23"/>
    <x v="4"/>
    <s v="Combined Heat and Power, Electric Power"/>
    <x v="11"/>
    <n v="304809"/>
  </r>
  <r>
    <x v="23"/>
    <x v="4"/>
    <s v="Combined Heat and Power, Electric Power"/>
    <x v="3"/>
    <n v="15251323.439999999"/>
  </r>
  <r>
    <x v="23"/>
    <x v="4"/>
    <s v="Combined Heat and Power, Electric Power"/>
    <x v="12"/>
    <n v="107201.18"/>
  </r>
  <r>
    <x v="23"/>
    <x v="4"/>
    <s v="Combined Heat and Power, Electric Power"/>
    <x v="8"/>
    <n v="216224.79"/>
  </r>
  <r>
    <x v="23"/>
    <x v="4"/>
    <s v="Combined Heat and Power, Electric Power"/>
    <x v="9"/>
    <n v="0"/>
  </r>
  <r>
    <x v="23"/>
    <x v="4"/>
    <s v="Combined Heat and Power, Electric Power"/>
    <x v="4"/>
    <n v="22015.64"/>
  </r>
  <r>
    <x v="23"/>
    <x v="4"/>
    <s v="Combined Heat and Power, Electric Power"/>
    <x v="13"/>
    <n v="0"/>
  </r>
  <r>
    <x v="23"/>
    <x v="4"/>
    <s v="Combined Heat and Power, Electric Power"/>
    <x v="6"/>
    <n v="535039.88"/>
  </r>
  <r>
    <x v="23"/>
    <x v="4"/>
    <s v="Combined Heat and Power, Commercial Power"/>
    <x v="0"/>
    <n v="2761572.24"/>
  </r>
  <r>
    <x v="23"/>
    <x v="4"/>
    <s v="Combined Heat and Power, Commercial Power"/>
    <x v="2"/>
    <n v="5274"/>
  </r>
  <r>
    <x v="23"/>
    <x v="4"/>
    <s v="Combined Heat and Power, Commercial Power"/>
    <x v="3"/>
    <n v="1655441.82"/>
  </r>
  <r>
    <x v="23"/>
    <x v="4"/>
    <s v="Combined Heat and Power, Commercial Power"/>
    <x v="8"/>
    <n v="1017491.26"/>
  </r>
  <r>
    <x v="23"/>
    <x v="4"/>
    <s v="Combined Heat and Power, Commercial Power"/>
    <x v="4"/>
    <n v="827.39"/>
  </r>
  <r>
    <x v="23"/>
    <x v="4"/>
    <s v="Combined Heat and Power, Commercial Power"/>
    <x v="13"/>
    <n v="81512.78"/>
  </r>
  <r>
    <x v="23"/>
    <x v="4"/>
    <s v="Combined Heat and Power, Commercial Power"/>
    <x v="5"/>
    <n v="1025"/>
  </r>
  <r>
    <x v="23"/>
    <x v="5"/>
    <s v="Total Electric Power Industry"/>
    <x v="0"/>
    <n v="52937435.909999996"/>
  </r>
  <r>
    <x v="23"/>
    <x v="5"/>
    <s v="Total Electric Power Industry"/>
    <x v="1"/>
    <n v="33703436.82"/>
  </r>
  <r>
    <x v="23"/>
    <x v="5"/>
    <s v="Total Electric Power Industry"/>
    <x v="2"/>
    <n v="1212872"/>
  </r>
  <r>
    <x v="23"/>
    <x v="5"/>
    <s v="Total Electric Power Industry"/>
    <x v="3"/>
    <n v="10708804.5"/>
  </r>
  <r>
    <x v="23"/>
    <x v="5"/>
    <s v="Total Electric Power Industry"/>
    <x v="12"/>
    <n v="46180"/>
  </r>
  <r>
    <x v="23"/>
    <x v="5"/>
    <s v="Total Electric Power Industry"/>
    <x v="8"/>
    <n v="81121.25"/>
  </r>
  <r>
    <x v="23"/>
    <x v="5"/>
    <s v="Total Electric Power Industry"/>
    <x v="4"/>
    <n v="10192.34"/>
  </r>
  <r>
    <x v="23"/>
    <x v="5"/>
    <s v="Total Electric Power Industry"/>
    <x v="10"/>
    <n v="-280433"/>
  </r>
  <r>
    <x v="23"/>
    <x v="5"/>
    <s v="Total Electric Power Industry"/>
    <x v="13"/>
    <n v="248452.46"/>
  </r>
  <r>
    <x v="23"/>
    <x v="5"/>
    <s v="Total Electric Power Industry"/>
    <x v="5"/>
    <n v="7203720.1900000004"/>
  </r>
  <r>
    <x v="23"/>
    <x v="5"/>
    <s v="Total Electric Power Industry"/>
    <x v="6"/>
    <n v="3089.35"/>
  </r>
  <r>
    <x v="23"/>
    <x v="5"/>
    <s v="Electric Generators, Independent Power Producers"/>
    <x v="0"/>
    <n v="9976436.4600000009"/>
  </r>
  <r>
    <x v="23"/>
    <x v="5"/>
    <s v="Electric Generators, Independent Power Producers"/>
    <x v="2"/>
    <n v="80091"/>
  </r>
  <r>
    <x v="23"/>
    <x v="5"/>
    <s v="Electric Generators, Independent Power Producers"/>
    <x v="3"/>
    <n v="2582435"/>
  </r>
  <r>
    <x v="23"/>
    <x v="5"/>
    <s v="Electric Generators, Independent Power Producers"/>
    <x v="12"/>
    <n v="7784"/>
  </r>
  <r>
    <x v="23"/>
    <x v="5"/>
    <s v="Electric Generators, Independent Power Producers"/>
    <x v="8"/>
    <n v="45018"/>
  </r>
  <r>
    <x v="23"/>
    <x v="5"/>
    <s v="Electric Generators, Independent Power Producers"/>
    <x v="4"/>
    <n v="0"/>
  </r>
  <r>
    <x v="23"/>
    <x v="5"/>
    <s v="Electric Generators, Independent Power Producers"/>
    <x v="13"/>
    <n v="234497.46"/>
  </r>
  <r>
    <x v="23"/>
    <x v="5"/>
    <s v="Electric Generators, Independent Power Producers"/>
    <x v="5"/>
    <n v="7025328"/>
  </r>
  <r>
    <x v="23"/>
    <x v="5"/>
    <s v="Electric Generators, Independent Power Producers"/>
    <x v="6"/>
    <n v="1283"/>
  </r>
  <r>
    <x v="23"/>
    <x v="5"/>
    <s v="Electric Generators, Electric Utilities"/>
    <x v="0"/>
    <n v="42508826"/>
  </r>
  <r>
    <x v="23"/>
    <x v="5"/>
    <s v="Electric Generators, Electric Utilities"/>
    <x v="1"/>
    <n v="33584061.740000002"/>
  </r>
  <r>
    <x v="23"/>
    <x v="5"/>
    <s v="Electric Generators, Electric Utilities"/>
    <x v="2"/>
    <n v="1125774"/>
  </r>
  <r>
    <x v="23"/>
    <x v="5"/>
    <s v="Electric Generators, Electric Utilities"/>
    <x v="3"/>
    <n v="7897014.2599999998"/>
  </r>
  <r>
    <x v="23"/>
    <x v="5"/>
    <s v="Electric Generators, Electric Utilities"/>
    <x v="4"/>
    <n v="10075.65"/>
  </r>
  <r>
    <x v="23"/>
    <x v="5"/>
    <s v="Electric Generators, Electric Utilities"/>
    <x v="10"/>
    <n v="-280433"/>
  </r>
  <r>
    <x v="23"/>
    <x v="5"/>
    <s v="Electric Generators, Electric Utilities"/>
    <x v="5"/>
    <n v="170527"/>
  </r>
  <r>
    <x v="23"/>
    <x v="5"/>
    <s v="Electric Generators, Electric Utilities"/>
    <x v="6"/>
    <n v="1806.35"/>
  </r>
  <r>
    <x v="23"/>
    <x v="5"/>
    <s v="Combined Heat and Power, Industrial Power"/>
    <x v="0"/>
    <n v="64421.19"/>
  </r>
  <r>
    <x v="23"/>
    <x v="5"/>
    <s v="Combined Heat and Power, Industrial Power"/>
    <x v="1"/>
    <n v="7152"/>
  </r>
  <r>
    <x v="23"/>
    <x v="5"/>
    <s v="Combined Heat and Power, Industrial Power"/>
    <x v="3"/>
    <n v="16188"/>
  </r>
  <r>
    <x v="23"/>
    <x v="5"/>
    <s v="Combined Heat and Power, Industrial Power"/>
    <x v="12"/>
    <n v="38396"/>
  </r>
  <r>
    <x v="23"/>
    <x v="5"/>
    <s v="Combined Heat and Power, Industrial Power"/>
    <x v="4"/>
    <n v="31"/>
  </r>
  <r>
    <x v="23"/>
    <x v="5"/>
    <s v="Combined Heat and Power, Industrial Power"/>
    <x v="5"/>
    <n v="2654.19"/>
  </r>
  <r>
    <x v="23"/>
    <x v="5"/>
    <s v="Combined Heat and Power, Electric Power"/>
    <x v="0"/>
    <n v="354214.81"/>
  </r>
  <r>
    <x v="23"/>
    <x v="5"/>
    <s v="Combined Heat and Power, Electric Power"/>
    <x v="1"/>
    <n v="112223.08"/>
  </r>
  <r>
    <x v="23"/>
    <x v="5"/>
    <s v="Combined Heat and Power, Electric Power"/>
    <x v="3"/>
    <n v="205888.48"/>
  </r>
  <r>
    <x v="23"/>
    <x v="5"/>
    <s v="Combined Heat and Power, Electric Power"/>
    <x v="8"/>
    <n v="36103.25"/>
  </r>
  <r>
    <x v="23"/>
    <x v="5"/>
    <s v="Combined Heat and Power, Electric Power"/>
    <x v="4"/>
    <n v="0"/>
  </r>
  <r>
    <x v="23"/>
    <x v="5"/>
    <s v="Combined Heat and Power, Commercial Power"/>
    <x v="0"/>
    <n v="33537.449999999997"/>
  </r>
  <r>
    <x v="23"/>
    <x v="5"/>
    <s v="Combined Heat and Power, Commercial Power"/>
    <x v="2"/>
    <n v="7007"/>
  </r>
  <r>
    <x v="23"/>
    <x v="5"/>
    <s v="Combined Heat and Power, Commercial Power"/>
    <x v="3"/>
    <n v="7278.76"/>
  </r>
  <r>
    <x v="23"/>
    <x v="5"/>
    <s v="Combined Heat and Power, Commercial Power"/>
    <x v="4"/>
    <n v="85.69"/>
  </r>
  <r>
    <x v="23"/>
    <x v="5"/>
    <s v="Combined Heat and Power, Commercial Power"/>
    <x v="13"/>
    <n v="13955"/>
  </r>
  <r>
    <x v="23"/>
    <x v="5"/>
    <s v="Combined Heat and Power, Commercial Power"/>
    <x v="5"/>
    <n v="5211"/>
  </r>
  <r>
    <x v="23"/>
    <x v="6"/>
    <s v="Total Electric Power Industry"/>
    <x v="0"/>
    <n v="35610789.32"/>
  </r>
  <r>
    <x v="23"/>
    <x v="6"/>
    <s v="Total Electric Power Industry"/>
    <x v="1"/>
    <n v="680652.53"/>
  </r>
  <r>
    <x v="23"/>
    <x v="6"/>
    <s v="Total Electric Power Industry"/>
    <x v="2"/>
    <n v="401928.05"/>
  </r>
  <r>
    <x v="23"/>
    <x v="6"/>
    <s v="Total Electric Power Industry"/>
    <x v="3"/>
    <n v="15780297.039999999"/>
  </r>
  <r>
    <x v="23"/>
    <x v="6"/>
    <s v="Total Electric Power Industry"/>
    <x v="7"/>
    <n v="17079582"/>
  </r>
  <r>
    <x v="23"/>
    <x v="6"/>
    <s v="Total Electric Power Industry"/>
    <x v="12"/>
    <n v="711238.91"/>
  </r>
  <r>
    <x v="23"/>
    <x v="6"/>
    <s v="Total Electric Power Industry"/>
    <x v="8"/>
    <n v="647801.18999999994"/>
  </r>
  <r>
    <x v="23"/>
    <x v="6"/>
    <s v="Total Electric Power Industry"/>
    <x v="4"/>
    <n v="306052.07"/>
  </r>
  <r>
    <x v="23"/>
    <x v="6"/>
    <s v="Total Electric Power Industry"/>
    <x v="10"/>
    <n v="-1051"/>
  </r>
  <r>
    <x v="23"/>
    <x v="6"/>
    <s v="Total Electric Power Industry"/>
    <x v="13"/>
    <n v="0"/>
  </r>
  <r>
    <x v="23"/>
    <x v="6"/>
    <s v="Total Electric Power Industry"/>
    <x v="6"/>
    <n v="4288.54"/>
  </r>
  <r>
    <x v="23"/>
    <x v="6"/>
    <s v="Electric Generators, Independent Power Producers"/>
    <x v="0"/>
    <n v="34459537"/>
  </r>
  <r>
    <x v="23"/>
    <x v="6"/>
    <s v="Electric Generators, Independent Power Producers"/>
    <x v="1"/>
    <n v="680652.53"/>
  </r>
  <r>
    <x v="23"/>
    <x v="6"/>
    <s v="Electric Generators, Independent Power Producers"/>
    <x v="2"/>
    <n v="365996"/>
  </r>
  <r>
    <x v="23"/>
    <x v="6"/>
    <s v="Electric Generators, Independent Power Producers"/>
    <x v="3"/>
    <n v="14725062.039999999"/>
  </r>
  <r>
    <x v="23"/>
    <x v="6"/>
    <s v="Electric Generators, Independent Power Producers"/>
    <x v="7"/>
    <n v="17079582"/>
  </r>
  <r>
    <x v="23"/>
    <x v="6"/>
    <s v="Electric Generators, Independent Power Producers"/>
    <x v="12"/>
    <n v="688099.13"/>
  </r>
  <r>
    <x v="23"/>
    <x v="6"/>
    <s v="Electric Generators, Independent Power Producers"/>
    <x v="8"/>
    <n v="623716.84"/>
  </r>
  <r>
    <x v="23"/>
    <x v="6"/>
    <s v="Electric Generators, Independent Power Producers"/>
    <x v="4"/>
    <n v="295059.46999999997"/>
  </r>
  <r>
    <x v="23"/>
    <x v="6"/>
    <s v="Electric Generators, Independent Power Producers"/>
    <x v="10"/>
    <n v="-1051"/>
  </r>
  <r>
    <x v="23"/>
    <x v="6"/>
    <s v="Electric Generators, Independent Power Producers"/>
    <x v="13"/>
    <n v="0"/>
  </r>
  <r>
    <x v="23"/>
    <x v="6"/>
    <s v="Electric Generators, Independent Power Producers"/>
    <x v="6"/>
    <n v="2420"/>
  </r>
  <r>
    <x v="23"/>
    <x v="6"/>
    <s v="Electric Generators, Electric Utilities"/>
    <x v="0"/>
    <n v="50273.05"/>
  </r>
  <r>
    <x v="23"/>
    <x v="6"/>
    <s v="Electric Generators, Electric Utilities"/>
    <x v="2"/>
    <n v="35932.050000000003"/>
  </r>
  <r>
    <x v="23"/>
    <x v="6"/>
    <s v="Electric Generators, Electric Utilities"/>
    <x v="3"/>
    <n v="8568.9"/>
  </r>
  <r>
    <x v="23"/>
    <x v="6"/>
    <s v="Electric Generators, Electric Utilities"/>
    <x v="4"/>
    <n v="5772.1"/>
  </r>
  <r>
    <x v="23"/>
    <x v="6"/>
    <s v="Combined Heat and Power, Industrial Power"/>
    <x v="0"/>
    <n v="614702.64"/>
  </r>
  <r>
    <x v="23"/>
    <x v="6"/>
    <s v="Combined Heat and Power, Industrial Power"/>
    <x v="3"/>
    <n v="612478.87"/>
  </r>
  <r>
    <x v="23"/>
    <x v="6"/>
    <s v="Combined Heat and Power, Industrial Power"/>
    <x v="12"/>
    <n v="0"/>
  </r>
  <r>
    <x v="23"/>
    <x v="6"/>
    <s v="Combined Heat and Power, Industrial Power"/>
    <x v="4"/>
    <n v="2223.77"/>
  </r>
  <r>
    <x v="23"/>
    <x v="6"/>
    <s v="Combined Heat and Power, Electric Power"/>
    <x v="0"/>
    <n v="139059.6"/>
  </r>
  <r>
    <x v="23"/>
    <x v="6"/>
    <s v="Combined Heat and Power, Electric Power"/>
    <x v="3"/>
    <n v="138110.23000000001"/>
  </r>
  <r>
    <x v="23"/>
    <x v="6"/>
    <s v="Combined Heat and Power, Electric Power"/>
    <x v="4"/>
    <n v="949.37"/>
  </r>
  <r>
    <x v="23"/>
    <x v="6"/>
    <s v="Combined Heat and Power, Commercial Power"/>
    <x v="0"/>
    <n v="347217.03"/>
  </r>
  <r>
    <x v="23"/>
    <x v="6"/>
    <s v="Combined Heat and Power, Commercial Power"/>
    <x v="3"/>
    <n v="296077"/>
  </r>
  <r>
    <x v="23"/>
    <x v="6"/>
    <s v="Combined Heat and Power, Commercial Power"/>
    <x v="12"/>
    <n v="23139.78"/>
  </r>
  <r>
    <x v="23"/>
    <x v="6"/>
    <s v="Combined Heat and Power, Commercial Power"/>
    <x v="8"/>
    <n v="24084.36"/>
  </r>
  <r>
    <x v="23"/>
    <x v="6"/>
    <s v="Combined Heat and Power, Commercial Power"/>
    <x v="4"/>
    <n v="2047.37"/>
  </r>
  <r>
    <x v="23"/>
    <x v="6"/>
    <s v="Combined Heat and Power, Commercial Power"/>
    <x v="6"/>
    <n v="1868.54"/>
  </r>
  <r>
    <x v="23"/>
    <x v="7"/>
    <s v="Total Electric Power Industry"/>
    <x v="0"/>
    <n v="65852.08"/>
  </r>
  <r>
    <x v="23"/>
    <x v="7"/>
    <s v="Total Electric Power Industry"/>
    <x v="3"/>
    <n v="65852.08"/>
  </r>
  <r>
    <x v="23"/>
    <x v="7"/>
    <s v="Total Electric Power Industry"/>
    <x v="4"/>
    <n v="0"/>
  </r>
  <r>
    <x v="23"/>
    <x v="7"/>
    <s v="Combined Heat and Power, Commercial Power"/>
    <x v="0"/>
    <n v="65852.08"/>
  </r>
  <r>
    <x v="23"/>
    <x v="7"/>
    <s v="Combined Heat and Power, Commercial Power"/>
    <x v="3"/>
    <n v="65852.08"/>
  </r>
  <r>
    <x v="23"/>
    <x v="7"/>
    <s v="Combined Heat and Power, Commercial Power"/>
    <x v="4"/>
    <n v="0"/>
  </r>
  <r>
    <x v="23"/>
    <x v="8"/>
    <s v="Total Electric Power Industry"/>
    <x v="0"/>
    <n v="7760861"/>
  </r>
  <r>
    <x v="23"/>
    <x v="8"/>
    <s v="Total Electric Power Industry"/>
    <x v="1"/>
    <n v="1544720.51"/>
  </r>
  <r>
    <x v="23"/>
    <x v="8"/>
    <s v="Total Electric Power Industry"/>
    <x v="3"/>
    <n v="5931287.8600000003"/>
  </r>
  <r>
    <x v="23"/>
    <x v="8"/>
    <s v="Total Electric Power Industry"/>
    <x v="8"/>
    <n v="57347"/>
  </r>
  <r>
    <x v="23"/>
    <x v="8"/>
    <s v="Total Electric Power Industry"/>
    <x v="9"/>
    <n v="155408.59"/>
  </r>
  <r>
    <x v="23"/>
    <x v="8"/>
    <s v="Total Electric Power Industry"/>
    <x v="4"/>
    <n v="22912.04"/>
  </r>
  <r>
    <x v="23"/>
    <x v="8"/>
    <s v="Total Electric Power Industry"/>
    <x v="13"/>
    <n v="44727"/>
  </r>
  <r>
    <x v="23"/>
    <x v="8"/>
    <s v="Total Electric Power Industry"/>
    <x v="5"/>
    <n v="4458"/>
  </r>
  <r>
    <x v="23"/>
    <x v="8"/>
    <s v="Electric Generators, Independent Power Producers"/>
    <x v="0"/>
    <n v="6267297"/>
  </r>
  <r>
    <x v="23"/>
    <x v="8"/>
    <s v="Electric Generators, Independent Power Producers"/>
    <x v="1"/>
    <n v="1544720.51"/>
  </r>
  <r>
    <x v="23"/>
    <x v="8"/>
    <s v="Electric Generators, Independent Power Producers"/>
    <x v="3"/>
    <n v="4605321.38"/>
  </r>
  <r>
    <x v="23"/>
    <x v="8"/>
    <s v="Electric Generators, Independent Power Producers"/>
    <x v="8"/>
    <n v="57347"/>
  </r>
  <r>
    <x v="23"/>
    <x v="8"/>
    <s v="Electric Generators, Independent Power Producers"/>
    <x v="4"/>
    <n v="17193.11"/>
  </r>
  <r>
    <x v="23"/>
    <x v="8"/>
    <s v="Electric Generators, Independent Power Producers"/>
    <x v="13"/>
    <n v="42715"/>
  </r>
  <r>
    <x v="23"/>
    <x v="8"/>
    <s v="Electric Generators, Electric Utilities"/>
    <x v="0"/>
    <n v="25986"/>
  </r>
  <r>
    <x v="23"/>
    <x v="8"/>
    <s v="Electric Generators, Electric Utilities"/>
    <x v="3"/>
    <n v="23755.4"/>
  </r>
  <r>
    <x v="23"/>
    <x v="8"/>
    <s v="Electric Generators, Electric Utilities"/>
    <x v="4"/>
    <n v="218.6"/>
  </r>
  <r>
    <x v="23"/>
    <x v="8"/>
    <s v="Electric Generators, Electric Utilities"/>
    <x v="13"/>
    <n v="2012"/>
  </r>
  <r>
    <x v="23"/>
    <x v="8"/>
    <s v="Combined Heat and Power, Industrial Power"/>
    <x v="0"/>
    <n v="958505"/>
  </r>
  <r>
    <x v="23"/>
    <x v="8"/>
    <s v="Combined Heat and Power, Industrial Power"/>
    <x v="3"/>
    <n v="803096.41"/>
  </r>
  <r>
    <x v="23"/>
    <x v="8"/>
    <s v="Combined Heat and Power, Industrial Power"/>
    <x v="9"/>
    <n v="155408.59"/>
  </r>
  <r>
    <x v="23"/>
    <x v="8"/>
    <s v="Combined Heat and Power, Industrial Power"/>
    <x v="4"/>
    <n v="0"/>
  </r>
  <r>
    <x v="23"/>
    <x v="8"/>
    <s v="Combined Heat and Power, Electric Power"/>
    <x v="0"/>
    <n v="504615"/>
  </r>
  <r>
    <x v="23"/>
    <x v="8"/>
    <s v="Combined Heat and Power, Electric Power"/>
    <x v="1"/>
    <n v="0"/>
  </r>
  <r>
    <x v="23"/>
    <x v="8"/>
    <s v="Combined Heat and Power, Electric Power"/>
    <x v="3"/>
    <n v="499114.67"/>
  </r>
  <r>
    <x v="23"/>
    <x v="8"/>
    <s v="Combined Heat and Power, Electric Power"/>
    <x v="8"/>
    <n v="0"/>
  </r>
  <r>
    <x v="23"/>
    <x v="8"/>
    <s v="Combined Heat and Power, Electric Power"/>
    <x v="4"/>
    <n v="5500.33"/>
  </r>
  <r>
    <x v="23"/>
    <x v="8"/>
    <s v="Combined Heat and Power, Commercial Power"/>
    <x v="0"/>
    <n v="4458"/>
  </r>
  <r>
    <x v="23"/>
    <x v="8"/>
    <s v="Combined Heat and Power, Commercial Power"/>
    <x v="5"/>
    <n v="4458"/>
  </r>
  <r>
    <x v="23"/>
    <x v="9"/>
    <s v="Total Electric Power Industry"/>
    <x v="0"/>
    <n v="222398923.97999999"/>
  </r>
  <r>
    <x v="23"/>
    <x v="9"/>
    <s v="Total Electric Power Industry"/>
    <x v="1"/>
    <n v="46342554.710000001"/>
  </r>
  <r>
    <x v="23"/>
    <x v="9"/>
    <s v="Total Electric Power Industry"/>
    <x v="2"/>
    <n v="254214"/>
  </r>
  <r>
    <x v="23"/>
    <x v="9"/>
    <s v="Total Electric Power Industry"/>
    <x v="3"/>
    <n v="138966368.53"/>
  </r>
  <r>
    <x v="23"/>
    <x v="9"/>
    <s v="Total Electric Power Industry"/>
    <x v="7"/>
    <n v="26525855"/>
  </r>
  <r>
    <x v="23"/>
    <x v="9"/>
    <s v="Total Electric Power Industry"/>
    <x v="12"/>
    <n v="3086048.51"/>
  </r>
  <r>
    <x v="23"/>
    <x v="9"/>
    <s v="Total Electric Power Industry"/>
    <x v="8"/>
    <n v="2309441.2000000002"/>
  </r>
  <r>
    <x v="23"/>
    <x v="9"/>
    <s v="Total Electric Power Industry"/>
    <x v="9"/>
    <n v="4671.43"/>
  </r>
  <r>
    <x v="23"/>
    <x v="9"/>
    <s v="Total Electric Power Industry"/>
    <x v="4"/>
    <n v="2560466.1800000002"/>
  </r>
  <r>
    <x v="23"/>
    <x v="9"/>
    <s v="Total Electric Power Industry"/>
    <x v="13"/>
    <n v="209902"/>
  </r>
  <r>
    <x v="23"/>
    <x v="9"/>
    <s v="Total Electric Power Industry"/>
    <x v="6"/>
    <n v="2139402.41"/>
  </r>
  <r>
    <x v="23"/>
    <x v="9"/>
    <s v="Electric Generators, Independent Power Producers"/>
    <x v="0"/>
    <n v="9084375"/>
  </r>
  <r>
    <x v="23"/>
    <x v="9"/>
    <s v="Electric Generators, Independent Power Producers"/>
    <x v="1"/>
    <n v="0"/>
  </r>
  <r>
    <x v="23"/>
    <x v="9"/>
    <s v="Electric Generators, Independent Power Producers"/>
    <x v="3"/>
    <n v="5657737.5300000003"/>
  </r>
  <r>
    <x v="23"/>
    <x v="9"/>
    <s v="Electric Generators, Independent Power Producers"/>
    <x v="12"/>
    <n v="1393036.38"/>
  </r>
  <r>
    <x v="23"/>
    <x v="9"/>
    <s v="Electric Generators, Independent Power Producers"/>
    <x v="8"/>
    <n v="1681148.6"/>
  </r>
  <r>
    <x v="23"/>
    <x v="9"/>
    <s v="Electric Generators, Independent Power Producers"/>
    <x v="4"/>
    <n v="855.71"/>
  </r>
  <r>
    <x v="23"/>
    <x v="9"/>
    <s v="Electric Generators, Independent Power Producers"/>
    <x v="13"/>
    <n v="38260"/>
  </r>
  <r>
    <x v="23"/>
    <x v="9"/>
    <s v="Electric Generators, Independent Power Producers"/>
    <x v="6"/>
    <n v="313336.78000000003"/>
  </r>
  <r>
    <x v="23"/>
    <x v="9"/>
    <s v="Electric Generators, Electric Utilities"/>
    <x v="0"/>
    <n v="202527297.09999999"/>
  </r>
  <r>
    <x v="23"/>
    <x v="9"/>
    <s v="Electric Generators, Electric Utilities"/>
    <x v="1"/>
    <n v="44743210.350000001"/>
  </r>
  <r>
    <x v="23"/>
    <x v="9"/>
    <s v="Electric Generators, Electric Utilities"/>
    <x v="2"/>
    <n v="254214"/>
  </r>
  <r>
    <x v="23"/>
    <x v="9"/>
    <s v="Electric Generators, Electric Utilities"/>
    <x v="3"/>
    <n v="128205004.64"/>
  </r>
  <r>
    <x v="23"/>
    <x v="9"/>
    <s v="Electric Generators, Electric Utilities"/>
    <x v="7"/>
    <n v="26525855"/>
  </r>
  <r>
    <x v="23"/>
    <x v="9"/>
    <s v="Electric Generators, Electric Utilities"/>
    <x v="8"/>
    <n v="92433.68"/>
  </r>
  <r>
    <x v="23"/>
    <x v="9"/>
    <s v="Electric Generators, Electric Utilities"/>
    <x v="4"/>
    <n v="2536702.4300000002"/>
  </r>
  <r>
    <x v="23"/>
    <x v="9"/>
    <s v="Electric Generators, Electric Utilities"/>
    <x v="13"/>
    <n v="169877"/>
  </r>
  <r>
    <x v="23"/>
    <x v="9"/>
    <s v="Combined Heat and Power, Industrial Power"/>
    <x v="0"/>
    <n v="5506751.2400000002"/>
  </r>
  <r>
    <x v="23"/>
    <x v="9"/>
    <s v="Combined Heat and Power, Industrial Power"/>
    <x v="1"/>
    <n v="198955.87"/>
  </r>
  <r>
    <x v="23"/>
    <x v="9"/>
    <s v="Combined Heat and Power, Industrial Power"/>
    <x v="3"/>
    <n v="1449273.09"/>
  </r>
  <r>
    <x v="23"/>
    <x v="9"/>
    <s v="Combined Heat and Power, Industrial Power"/>
    <x v="12"/>
    <n v="1693012.13"/>
  </r>
  <r>
    <x v="23"/>
    <x v="9"/>
    <s v="Combined Heat and Power, Industrial Power"/>
    <x v="8"/>
    <n v="378124.49"/>
  </r>
  <r>
    <x v="23"/>
    <x v="9"/>
    <s v="Combined Heat and Power, Industrial Power"/>
    <x v="9"/>
    <n v="4671.43"/>
  </r>
  <r>
    <x v="23"/>
    <x v="9"/>
    <s v="Combined Heat and Power, Industrial Power"/>
    <x v="4"/>
    <n v="19968.650000000001"/>
  </r>
  <r>
    <x v="23"/>
    <x v="9"/>
    <s v="Combined Heat and Power, Industrial Power"/>
    <x v="6"/>
    <n v="1762745.57"/>
  </r>
  <r>
    <x v="23"/>
    <x v="9"/>
    <s v="Combined Heat and Power, Electric Power"/>
    <x v="0"/>
    <n v="5216520.9000000004"/>
  </r>
  <r>
    <x v="23"/>
    <x v="9"/>
    <s v="Combined Heat and Power, Electric Power"/>
    <x v="1"/>
    <n v="1400388.49"/>
  </r>
  <r>
    <x v="23"/>
    <x v="9"/>
    <s v="Combined Heat and Power, Electric Power"/>
    <x v="3"/>
    <n v="3624640.94"/>
  </r>
  <r>
    <x v="23"/>
    <x v="9"/>
    <s v="Combined Heat and Power, Electric Power"/>
    <x v="12"/>
    <n v="0"/>
  </r>
  <r>
    <x v="23"/>
    <x v="9"/>
    <s v="Combined Heat and Power, Electric Power"/>
    <x v="8"/>
    <n v="125232.01"/>
  </r>
  <r>
    <x v="23"/>
    <x v="9"/>
    <s v="Combined Heat and Power, Electric Power"/>
    <x v="4"/>
    <n v="2939.39"/>
  </r>
  <r>
    <x v="23"/>
    <x v="9"/>
    <s v="Combined Heat and Power, Electric Power"/>
    <x v="6"/>
    <n v="63320.07"/>
  </r>
  <r>
    <x v="23"/>
    <x v="9"/>
    <s v="Combined Heat and Power, Commercial Power"/>
    <x v="0"/>
    <n v="63979.74"/>
  </r>
  <r>
    <x v="23"/>
    <x v="9"/>
    <s v="Combined Heat and Power, Commercial Power"/>
    <x v="3"/>
    <n v="29712.32"/>
  </r>
  <r>
    <x v="23"/>
    <x v="9"/>
    <s v="Combined Heat and Power, Commercial Power"/>
    <x v="8"/>
    <n v="32502.42"/>
  </r>
  <r>
    <x v="23"/>
    <x v="9"/>
    <s v="Combined Heat and Power, Commercial Power"/>
    <x v="4"/>
    <n v="0"/>
  </r>
  <r>
    <x v="23"/>
    <x v="9"/>
    <s v="Combined Heat and Power, Commercial Power"/>
    <x v="13"/>
    <n v="1765"/>
  </r>
  <r>
    <x v="23"/>
    <x v="10"/>
    <s v="Total Electric Power Industry"/>
    <x v="0"/>
    <n v="120953734.3"/>
  </r>
  <r>
    <x v="23"/>
    <x v="10"/>
    <s v="Total Electric Power Industry"/>
    <x v="1"/>
    <n v="40232866.259999998"/>
  </r>
  <r>
    <x v="23"/>
    <x v="10"/>
    <s v="Total Electric Power Industry"/>
    <x v="2"/>
    <n v="3713590.19"/>
  </r>
  <r>
    <x v="23"/>
    <x v="10"/>
    <s v="Total Electric Power Industry"/>
    <x v="3"/>
    <n v="40329847.350000001"/>
  </r>
  <r>
    <x v="23"/>
    <x v="10"/>
    <s v="Total Electric Power Industry"/>
    <x v="7"/>
    <n v="32902781"/>
  </r>
  <r>
    <x v="23"/>
    <x v="10"/>
    <s v="Total Electric Power Industry"/>
    <x v="12"/>
    <n v="87834.61"/>
  </r>
  <r>
    <x v="23"/>
    <x v="10"/>
    <s v="Total Electric Power Industry"/>
    <x v="8"/>
    <n v="415238.65"/>
  </r>
  <r>
    <x v="23"/>
    <x v="10"/>
    <s v="Total Electric Power Industry"/>
    <x v="4"/>
    <n v="274937.65000000002"/>
  </r>
  <r>
    <x v="23"/>
    <x v="10"/>
    <s v="Total Electric Power Industry"/>
    <x v="10"/>
    <n v="-427301"/>
  </r>
  <r>
    <x v="23"/>
    <x v="10"/>
    <s v="Total Electric Power Industry"/>
    <x v="13"/>
    <n v="14497.3"/>
  </r>
  <r>
    <x v="23"/>
    <x v="10"/>
    <s v="Total Electric Power Industry"/>
    <x v="6"/>
    <n v="3409442.3"/>
  </r>
  <r>
    <x v="23"/>
    <x v="10"/>
    <s v="Electric Generators, Independent Power Producers"/>
    <x v="0"/>
    <n v="9046649"/>
  </r>
  <r>
    <x v="23"/>
    <x v="10"/>
    <s v="Electric Generators, Independent Power Producers"/>
    <x v="2"/>
    <n v="13555"/>
  </r>
  <r>
    <x v="23"/>
    <x v="10"/>
    <s v="Electric Generators, Independent Power Producers"/>
    <x v="3"/>
    <n v="8519240.1999999993"/>
  </r>
  <r>
    <x v="23"/>
    <x v="10"/>
    <s v="Electric Generators, Independent Power Producers"/>
    <x v="8"/>
    <n v="108278"/>
  </r>
  <r>
    <x v="23"/>
    <x v="10"/>
    <s v="Electric Generators, Independent Power Producers"/>
    <x v="4"/>
    <n v="1373.8"/>
  </r>
  <r>
    <x v="23"/>
    <x v="10"/>
    <s v="Electric Generators, Independent Power Producers"/>
    <x v="13"/>
    <n v="11486"/>
  </r>
  <r>
    <x v="23"/>
    <x v="10"/>
    <s v="Electric Generators, Independent Power Producers"/>
    <x v="6"/>
    <n v="392716"/>
  </r>
  <r>
    <x v="23"/>
    <x v="10"/>
    <s v="Electric Generators, Electric Utilities"/>
    <x v="0"/>
    <n v="107082884"/>
  </r>
  <r>
    <x v="23"/>
    <x v="10"/>
    <s v="Electric Generators, Electric Utilities"/>
    <x v="1"/>
    <n v="39767901.390000001"/>
  </r>
  <r>
    <x v="23"/>
    <x v="10"/>
    <s v="Electric Generators, Electric Utilities"/>
    <x v="2"/>
    <n v="3676720"/>
  </r>
  <r>
    <x v="23"/>
    <x v="10"/>
    <s v="Electric Generators, Electric Utilities"/>
    <x v="3"/>
    <n v="31143124.829999998"/>
  </r>
  <r>
    <x v="23"/>
    <x v="10"/>
    <s v="Electric Generators, Electric Utilities"/>
    <x v="7"/>
    <n v="32902781"/>
  </r>
  <r>
    <x v="23"/>
    <x v="10"/>
    <s v="Electric Generators, Electric Utilities"/>
    <x v="8"/>
    <n v="0"/>
  </r>
  <r>
    <x v="23"/>
    <x v="10"/>
    <s v="Electric Generators, Electric Utilities"/>
    <x v="4"/>
    <n v="19657.78"/>
  </r>
  <r>
    <x v="23"/>
    <x v="10"/>
    <s v="Electric Generators, Electric Utilities"/>
    <x v="10"/>
    <n v="-427301"/>
  </r>
  <r>
    <x v="23"/>
    <x v="10"/>
    <s v="Combined Heat and Power, Industrial Power"/>
    <x v="0"/>
    <n v="4723180.78"/>
  </r>
  <r>
    <x v="23"/>
    <x v="10"/>
    <s v="Combined Heat and Power, Industrial Power"/>
    <x v="1"/>
    <n v="464964.87"/>
  </r>
  <r>
    <x v="23"/>
    <x v="10"/>
    <s v="Combined Heat and Power, Industrial Power"/>
    <x v="2"/>
    <n v="23315.19"/>
  </r>
  <r>
    <x v="23"/>
    <x v="10"/>
    <s v="Combined Heat and Power, Industrial Power"/>
    <x v="3"/>
    <n v="594089.31000000006"/>
  </r>
  <r>
    <x v="23"/>
    <x v="10"/>
    <s v="Combined Heat and Power, Industrial Power"/>
    <x v="12"/>
    <n v="87834.61"/>
  </r>
  <r>
    <x v="23"/>
    <x v="10"/>
    <s v="Combined Heat and Power, Industrial Power"/>
    <x v="8"/>
    <n v="283870.65000000002"/>
  </r>
  <r>
    <x v="23"/>
    <x v="10"/>
    <s v="Combined Heat and Power, Industrial Power"/>
    <x v="4"/>
    <n v="252379.85"/>
  </r>
  <r>
    <x v="23"/>
    <x v="10"/>
    <s v="Combined Heat and Power, Industrial Power"/>
    <x v="6"/>
    <n v="3016726.3"/>
  </r>
  <r>
    <x v="23"/>
    <x v="10"/>
    <s v="Combined Heat and Power, Electric Power"/>
    <x v="0"/>
    <n v="73393"/>
  </r>
  <r>
    <x v="23"/>
    <x v="10"/>
    <s v="Combined Heat and Power, Electric Power"/>
    <x v="3"/>
    <n v="73393"/>
  </r>
  <r>
    <x v="23"/>
    <x v="10"/>
    <s v="Combined Heat and Power, Electric Power"/>
    <x v="4"/>
    <n v="0"/>
  </r>
  <r>
    <x v="23"/>
    <x v="10"/>
    <s v="Combined Heat and Power, Commercial Power"/>
    <x v="0"/>
    <n v="27627.52"/>
  </r>
  <r>
    <x v="23"/>
    <x v="10"/>
    <s v="Combined Heat and Power, Commercial Power"/>
    <x v="3"/>
    <n v="0"/>
  </r>
  <r>
    <x v="23"/>
    <x v="10"/>
    <s v="Combined Heat and Power, Commercial Power"/>
    <x v="8"/>
    <n v="23090"/>
  </r>
  <r>
    <x v="23"/>
    <x v="10"/>
    <s v="Combined Heat and Power, Commercial Power"/>
    <x v="4"/>
    <n v="1526.22"/>
  </r>
  <r>
    <x v="23"/>
    <x v="10"/>
    <s v="Combined Heat and Power, Commercial Power"/>
    <x v="13"/>
    <n v="3011.3"/>
  </r>
  <r>
    <x v="23"/>
    <x v="11"/>
    <s v="Total Electric Power Industry"/>
    <x v="0"/>
    <n v="10267052.27"/>
  </r>
  <r>
    <x v="23"/>
    <x v="11"/>
    <s v="Total Electric Power Industry"/>
    <x v="1"/>
    <n v="1403753.87"/>
  </r>
  <r>
    <x v="23"/>
    <x v="11"/>
    <s v="Total Electric Power Industry"/>
    <x v="11"/>
    <n v="274841"/>
  </r>
  <r>
    <x v="23"/>
    <x v="11"/>
    <s v="Total Electric Power Industry"/>
    <x v="2"/>
    <n v="78294.64"/>
  </r>
  <r>
    <x v="23"/>
    <x v="11"/>
    <s v="Total Electric Power Industry"/>
    <x v="12"/>
    <n v="393927.11"/>
  </r>
  <r>
    <x v="23"/>
    <x v="11"/>
    <s v="Total Electric Power Industry"/>
    <x v="8"/>
    <n v="329364.25"/>
  </r>
  <r>
    <x v="23"/>
    <x v="11"/>
    <s v="Total Electric Power Industry"/>
    <x v="9"/>
    <n v="41329.660000000003"/>
  </r>
  <r>
    <x v="23"/>
    <x v="11"/>
    <s v="Total Electric Power Industry"/>
    <x v="4"/>
    <n v="7222765.79"/>
  </r>
  <r>
    <x v="23"/>
    <x v="11"/>
    <s v="Total Electric Power Industry"/>
    <x v="13"/>
    <n v="19465.96"/>
  </r>
  <r>
    <x v="23"/>
    <x v="11"/>
    <s v="Total Electric Power Industry"/>
    <x v="5"/>
    <n v="503310"/>
  </r>
  <r>
    <x v="23"/>
    <x v="11"/>
    <s v="Electric Generators, Independent Power Producers"/>
    <x v="0"/>
    <n v="983144.89"/>
  </r>
  <r>
    <x v="23"/>
    <x v="11"/>
    <s v="Electric Generators, Independent Power Producers"/>
    <x v="11"/>
    <n v="274841"/>
  </r>
  <r>
    <x v="23"/>
    <x v="11"/>
    <s v="Electric Generators, Independent Power Producers"/>
    <x v="2"/>
    <n v="15129"/>
  </r>
  <r>
    <x v="23"/>
    <x v="11"/>
    <s v="Electric Generators, Independent Power Producers"/>
    <x v="12"/>
    <n v="0"/>
  </r>
  <r>
    <x v="23"/>
    <x v="11"/>
    <s v="Electric Generators, Independent Power Producers"/>
    <x v="4"/>
    <n v="170398.93"/>
  </r>
  <r>
    <x v="23"/>
    <x v="11"/>
    <s v="Electric Generators, Independent Power Producers"/>
    <x v="13"/>
    <n v="19465.96"/>
  </r>
  <r>
    <x v="23"/>
    <x v="11"/>
    <s v="Electric Generators, Independent Power Producers"/>
    <x v="5"/>
    <n v="503310"/>
  </r>
  <r>
    <x v="23"/>
    <x v="11"/>
    <s v="Electric Generators, Electric Utilities"/>
    <x v="0"/>
    <n v="5748256"/>
  </r>
  <r>
    <x v="23"/>
    <x v="11"/>
    <s v="Electric Generators, Electric Utilities"/>
    <x v="1"/>
    <n v="0"/>
  </r>
  <r>
    <x v="23"/>
    <x v="11"/>
    <s v="Electric Generators, Electric Utilities"/>
    <x v="2"/>
    <n v="18963"/>
  </r>
  <r>
    <x v="23"/>
    <x v="11"/>
    <s v="Electric Generators, Electric Utilities"/>
    <x v="12"/>
    <n v="205414.77"/>
  </r>
  <r>
    <x v="23"/>
    <x v="11"/>
    <s v="Electric Generators, Electric Utilities"/>
    <x v="8"/>
    <n v="28507"/>
  </r>
  <r>
    <x v="23"/>
    <x v="11"/>
    <s v="Electric Generators, Electric Utilities"/>
    <x v="4"/>
    <n v="5495371.2300000004"/>
  </r>
  <r>
    <x v="23"/>
    <x v="11"/>
    <s v="Combined Heat and Power, Industrial Power"/>
    <x v="0"/>
    <n v="386071.38"/>
  </r>
  <r>
    <x v="23"/>
    <x v="11"/>
    <s v="Combined Heat and Power, Industrial Power"/>
    <x v="1"/>
    <n v="46441.74"/>
  </r>
  <r>
    <x v="23"/>
    <x v="11"/>
    <s v="Combined Heat and Power, Industrial Power"/>
    <x v="2"/>
    <n v="44202.64"/>
  </r>
  <r>
    <x v="23"/>
    <x v="11"/>
    <s v="Combined Heat and Power, Industrial Power"/>
    <x v="8"/>
    <n v="118300.69"/>
  </r>
  <r>
    <x v="23"/>
    <x v="11"/>
    <s v="Combined Heat and Power, Industrial Power"/>
    <x v="9"/>
    <n v="41329.660000000003"/>
  </r>
  <r>
    <x v="23"/>
    <x v="11"/>
    <s v="Combined Heat and Power, Industrial Power"/>
    <x v="4"/>
    <n v="135796.65"/>
  </r>
  <r>
    <x v="23"/>
    <x v="11"/>
    <s v="Combined Heat and Power, Electric Power"/>
    <x v="0"/>
    <n v="2789803"/>
  </r>
  <r>
    <x v="23"/>
    <x v="11"/>
    <s v="Combined Heat and Power, Electric Power"/>
    <x v="1"/>
    <n v="1357312.13"/>
  </r>
  <r>
    <x v="23"/>
    <x v="11"/>
    <s v="Combined Heat and Power, Electric Power"/>
    <x v="12"/>
    <n v="13110.95"/>
  </r>
  <r>
    <x v="23"/>
    <x v="11"/>
    <s v="Combined Heat and Power, Electric Power"/>
    <x v="4"/>
    <n v="1419379.93"/>
  </r>
  <r>
    <x v="23"/>
    <x v="11"/>
    <s v="Combined Heat and Power, Commercial Power"/>
    <x v="0"/>
    <n v="359777"/>
  </r>
  <r>
    <x v="23"/>
    <x v="11"/>
    <s v="Combined Heat and Power, Commercial Power"/>
    <x v="12"/>
    <n v="175401.39"/>
  </r>
  <r>
    <x v="23"/>
    <x v="11"/>
    <s v="Combined Heat and Power, Commercial Power"/>
    <x v="8"/>
    <n v="182556.56"/>
  </r>
  <r>
    <x v="23"/>
    <x v="11"/>
    <s v="Combined Heat and Power, Commercial Power"/>
    <x v="4"/>
    <n v="1819.05"/>
  </r>
  <r>
    <x v="23"/>
    <x v="12"/>
    <s v="Total Electric Power Industry"/>
    <x v="0"/>
    <n v="56670756.920000002"/>
  </r>
  <r>
    <x v="23"/>
    <x v="12"/>
    <s v="Total Electric Power Industry"/>
    <x v="1"/>
    <n v="33302345.120000001"/>
  </r>
  <r>
    <x v="23"/>
    <x v="12"/>
    <s v="Total Electric Power Industry"/>
    <x v="2"/>
    <n v="749122"/>
  </r>
  <r>
    <x v="23"/>
    <x v="12"/>
    <s v="Total Electric Power Industry"/>
    <x v="3"/>
    <n v="1430011.71"/>
  </r>
  <r>
    <x v="23"/>
    <x v="12"/>
    <s v="Total Electric Power Industry"/>
    <x v="7"/>
    <n v="5320785"/>
  </r>
  <r>
    <x v="23"/>
    <x v="12"/>
    <s v="Total Electric Power Industry"/>
    <x v="12"/>
    <n v="0"/>
  </r>
  <r>
    <x v="23"/>
    <x v="12"/>
    <s v="Total Electric Power Industry"/>
    <x v="8"/>
    <n v="158630.46"/>
  </r>
  <r>
    <x v="23"/>
    <x v="12"/>
    <s v="Total Electric Power Industry"/>
    <x v="4"/>
    <n v="141456.23000000001"/>
  </r>
  <r>
    <x v="23"/>
    <x v="12"/>
    <s v="Total Electric Power Industry"/>
    <x v="5"/>
    <n v="15568406.41"/>
  </r>
  <r>
    <x v="23"/>
    <x v="12"/>
    <s v="Total Electric Power Industry"/>
    <x v="6"/>
    <n v="0"/>
  </r>
  <r>
    <x v="23"/>
    <x v="12"/>
    <s v="Electric Generators, Independent Power Producers"/>
    <x v="0"/>
    <n v="12401988.390000001"/>
  </r>
  <r>
    <x v="23"/>
    <x v="12"/>
    <s v="Electric Generators, Independent Power Producers"/>
    <x v="2"/>
    <n v="6048"/>
  </r>
  <r>
    <x v="23"/>
    <x v="12"/>
    <s v="Electric Generators, Independent Power Producers"/>
    <x v="3"/>
    <n v="28"/>
  </r>
  <r>
    <x v="23"/>
    <x v="12"/>
    <s v="Electric Generators, Independent Power Producers"/>
    <x v="7"/>
    <n v="5320785"/>
  </r>
  <r>
    <x v="23"/>
    <x v="12"/>
    <s v="Electric Generators, Independent Power Producers"/>
    <x v="8"/>
    <n v="85245"/>
  </r>
  <r>
    <x v="23"/>
    <x v="12"/>
    <s v="Electric Generators, Independent Power Producers"/>
    <x v="4"/>
    <n v="815.98"/>
  </r>
  <r>
    <x v="23"/>
    <x v="12"/>
    <s v="Electric Generators, Independent Power Producers"/>
    <x v="5"/>
    <n v="6989066.4100000001"/>
  </r>
  <r>
    <x v="23"/>
    <x v="12"/>
    <s v="Electric Generators, Electric Utilities"/>
    <x v="0"/>
    <n v="41932708.460000001"/>
  </r>
  <r>
    <x v="23"/>
    <x v="12"/>
    <s v="Electric Generators, Electric Utilities"/>
    <x v="1"/>
    <n v="31194488.940000001"/>
  </r>
  <r>
    <x v="23"/>
    <x v="12"/>
    <s v="Electric Generators, Electric Utilities"/>
    <x v="2"/>
    <n v="743074"/>
  </r>
  <r>
    <x v="23"/>
    <x v="12"/>
    <s v="Electric Generators, Electric Utilities"/>
    <x v="3"/>
    <n v="1327280.83"/>
  </r>
  <r>
    <x v="23"/>
    <x v="12"/>
    <s v="Electric Generators, Electric Utilities"/>
    <x v="8"/>
    <n v="24143.119999999999"/>
  </r>
  <r>
    <x v="23"/>
    <x v="12"/>
    <s v="Electric Generators, Electric Utilities"/>
    <x v="4"/>
    <n v="67947.570000000007"/>
  </r>
  <r>
    <x v="23"/>
    <x v="12"/>
    <s v="Electric Generators, Electric Utilities"/>
    <x v="5"/>
    <n v="8575774"/>
  </r>
  <r>
    <x v="23"/>
    <x v="12"/>
    <s v="Electric Generators, Electric Utilities"/>
    <x v="6"/>
    <n v="0"/>
  </r>
  <r>
    <x v="23"/>
    <x v="12"/>
    <s v="Combined Heat and Power, Industrial Power"/>
    <x v="0"/>
    <n v="2118103.62"/>
  </r>
  <r>
    <x v="23"/>
    <x v="12"/>
    <s v="Combined Heat and Power, Industrial Power"/>
    <x v="1"/>
    <n v="1958072.71"/>
  </r>
  <r>
    <x v="23"/>
    <x v="12"/>
    <s v="Combined Heat and Power, Industrial Power"/>
    <x v="3"/>
    <n v="71477.19"/>
  </r>
  <r>
    <x v="23"/>
    <x v="12"/>
    <s v="Combined Heat and Power, Industrial Power"/>
    <x v="12"/>
    <n v="0"/>
  </r>
  <r>
    <x v="23"/>
    <x v="12"/>
    <s v="Combined Heat and Power, Industrial Power"/>
    <x v="8"/>
    <n v="21329.03"/>
  </r>
  <r>
    <x v="23"/>
    <x v="12"/>
    <s v="Combined Heat and Power, Industrial Power"/>
    <x v="4"/>
    <n v="67224.69"/>
  </r>
  <r>
    <x v="23"/>
    <x v="12"/>
    <s v="Combined Heat and Power, Industrial Power"/>
    <x v="6"/>
    <n v="0"/>
  </r>
  <r>
    <x v="23"/>
    <x v="12"/>
    <s v="Combined Heat and Power, Electric Power"/>
    <x v="0"/>
    <n v="740"/>
  </r>
  <r>
    <x v="23"/>
    <x v="12"/>
    <s v="Combined Heat and Power, Electric Power"/>
    <x v="8"/>
    <n v="740"/>
  </r>
  <r>
    <x v="23"/>
    <x v="12"/>
    <s v="Combined Heat and Power, Commercial Power"/>
    <x v="0"/>
    <n v="217216.45"/>
  </r>
  <r>
    <x v="23"/>
    <x v="12"/>
    <s v="Combined Heat and Power, Commercial Power"/>
    <x v="1"/>
    <n v="149783.47"/>
  </r>
  <r>
    <x v="23"/>
    <x v="12"/>
    <s v="Combined Heat and Power, Commercial Power"/>
    <x v="3"/>
    <n v="31225.68"/>
  </r>
  <r>
    <x v="23"/>
    <x v="12"/>
    <s v="Combined Heat and Power, Commercial Power"/>
    <x v="8"/>
    <n v="27173.31"/>
  </r>
  <r>
    <x v="23"/>
    <x v="12"/>
    <s v="Combined Heat and Power, Commercial Power"/>
    <x v="4"/>
    <n v="5467.99"/>
  </r>
  <r>
    <x v="23"/>
    <x v="12"/>
    <s v="Combined Heat and Power, Commercial Power"/>
    <x v="5"/>
    <n v="3566"/>
  </r>
  <r>
    <x v="23"/>
    <x v="13"/>
    <s v="Total Electric Power Industry"/>
    <x v="0"/>
    <n v="15186128.210000001"/>
  </r>
  <r>
    <x v="23"/>
    <x v="13"/>
    <s v="Total Electric Power Industry"/>
    <x v="1"/>
    <n v="91618.11"/>
  </r>
  <r>
    <x v="23"/>
    <x v="13"/>
    <s v="Total Electric Power Industry"/>
    <x v="11"/>
    <n v="39683"/>
  </r>
  <r>
    <x v="23"/>
    <x v="13"/>
    <s v="Total Electric Power Industry"/>
    <x v="2"/>
    <n v="8473450.7599999998"/>
  </r>
  <r>
    <x v="23"/>
    <x v="13"/>
    <s v="Total Electric Power Industry"/>
    <x v="3"/>
    <n v="3391909.86"/>
  </r>
  <r>
    <x v="23"/>
    <x v="13"/>
    <s v="Total Electric Power Industry"/>
    <x v="12"/>
    <n v="77058"/>
  </r>
  <r>
    <x v="23"/>
    <x v="13"/>
    <s v="Total Electric Power Industry"/>
    <x v="8"/>
    <n v="198415.14"/>
  </r>
  <r>
    <x v="23"/>
    <x v="13"/>
    <s v="Total Electric Power Industry"/>
    <x v="4"/>
    <n v="38"/>
  </r>
  <r>
    <x v="23"/>
    <x v="13"/>
    <s v="Total Electric Power Industry"/>
    <x v="5"/>
    <n v="2460131"/>
  </r>
  <r>
    <x v="23"/>
    <x v="13"/>
    <s v="Total Electric Power Industry"/>
    <x v="6"/>
    <n v="453824.34"/>
  </r>
  <r>
    <x v="23"/>
    <x v="13"/>
    <s v="Electric Generators, Independent Power Producers"/>
    <x v="0"/>
    <n v="4812406.76"/>
  </r>
  <r>
    <x v="23"/>
    <x v="13"/>
    <s v="Electric Generators, Independent Power Producers"/>
    <x v="11"/>
    <n v="39683"/>
  </r>
  <r>
    <x v="23"/>
    <x v="13"/>
    <s v="Electric Generators, Independent Power Producers"/>
    <x v="2"/>
    <n v="627033.76"/>
  </r>
  <r>
    <x v="23"/>
    <x v="13"/>
    <s v="Electric Generators, Independent Power Producers"/>
    <x v="3"/>
    <n v="1658962"/>
  </r>
  <r>
    <x v="23"/>
    <x v="13"/>
    <s v="Electric Generators, Independent Power Producers"/>
    <x v="8"/>
    <n v="159226"/>
  </r>
  <r>
    <x v="23"/>
    <x v="13"/>
    <s v="Electric Generators, Independent Power Producers"/>
    <x v="5"/>
    <n v="2327502"/>
  </r>
  <r>
    <x v="23"/>
    <x v="13"/>
    <s v="Electric Generators, Electric Utilities"/>
    <x v="0"/>
    <n v="9600216"/>
  </r>
  <r>
    <x v="23"/>
    <x v="13"/>
    <s v="Electric Generators, Electric Utilities"/>
    <x v="2"/>
    <n v="7846417"/>
  </r>
  <r>
    <x v="23"/>
    <x v="13"/>
    <s v="Electric Generators, Electric Utilities"/>
    <x v="3"/>
    <n v="1610113"/>
  </r>
  <r>
    <x v="23"/>
    <x v="13"/>
    <s v="Electric Generators, Electric Utilities"/>
    <x v="8"/>
    <n v="11019"/>
  </r>
  <r>
    <x v="23"/>
    <x v="13"/>
    <s v="Electric Generators, Electric Utilities"/>
    <x v="4"/>
    <n v="38"/>
  </r>
  <r>
    <x v="23"/>
    <x v="13"/>
    <s v="Electric Generators, Electric Utilities"/>
    <x v="5"/>
    <n v="132629"/>
  </r>
  <r>
    <x v="23"/>
    <x v="13"/>
    <s v="Combined Heat and Power, Industrial Power"/>
    <x v="0"/>
    <n v="609498.44999999995"/>
  </r>
  <r>
    <x v="23"/>
    <x v="13"/>
    <s v="Combined Heat and Power, Industrial Power"/>
    <x v="1"/>
    <n v="91618.11"/>
  </r>
  <r>
    <x v="23"/>
    <x v="13"/>
    <s v="Combined Heat and Power, Industrial Power"/>
    <x v="3"/>
    <n v="42777.86"/>
  </r>
  <r>
    <x v="23"/>
    <x v="13"/>
    <s v="Combined Heat and Power, Industrial Power"/>
    <x v="12"/>
    <n v="77058"/>
  </r>
  <r>
    <x v="23"/>
    <x v="13"/>
    <s v="Combined Heat and Power, Industrial Power"/>
    <x v="8"/>
    <n v="11851.14"/>
  </r>
  <r>
    <x v="23"/>
    <x v="13"/>
    <s v="Combined Heat and Power, Industrial Power"/>
    <x v="4"/>
    <n v="0"/>
  </r>
  <r>
    <x v="23"/>
    <x v="13"/>
    <s v="Combined Heat and Power, Industrial Power"/>
    <x v="6"/>
    <n v="386193.34"/>
  </r>
  <r>
    <x v="23"/>
    <x v="13"/>
    <s v="Combined Heat and Power, Electric Power"/>
    <x v="0"/>
    <n v="164007"/>
  </r>
  <r>
    <x v="23"/>
    <x v="13"/>
    <s v="Combined Heat and Power, Electric Power"/>
    <x v="3"/>
    <n v="80057"/>
  </r>
  <r>
    <x v="23"/>
    <x v="13"/>
    <s v="Combined Heat and Power, Electric Power"/>
    <x v="8"/>
    <n v="16319"/>
  </r>
  <r>
    <x v="23"/>
    <x v="13"/>
    <s v="Combined Heat and Power, Electric Power"/>
    <x v="6"/>
    <n v="67631"/>
  </r>
  <r>
    <x v="23"/>
    <x v="14"/>
    <s v="Total Electric Power Industry"/>
    <x v="0"/>
    <n v="203004919.47999999"/>
  </r>
  <r>
    <x v="23"/>
    <x v="14"/>
    <s v="Total Electric Power Industry"/>
    <x v="1"/>
    <n v="87927139.480000004"/>
  </r>
  <r>
    <x v="23"/>
    <x v="14"/>
    <s v="Total Electric Power Industry"/>
    <x v="2"/>
    <n v="120295"/>
  </r>
  <r>
    <x v="23"/>
    <x v="14"/>
    <s v="Total Electric Power Industry"/>
    <x v="3"/>
    <n v="6827685.8700000001"/>
  </r>
  <r>
    <x v="23"/>
    <x v="14"/>
    <s v="Total Electric Power Industry"/>
    <x v="7"/>
    <n v="97131436"/>
  </r>
  <r>
    <x v="23"/>
    <x v="14"/>
    <s v="Total Electric Power Industry"/>
    <x v="12"/>
    <n v="284644.81"/>
  </r>
  <r>
    <x v="23"/>
    <x v="14"/>
    <s v="Total Electric Power Industry"/>
    <x v="8"/>
    <n v="607986.44999999995"/>
  </r>
  <r>
    <x v="23"/>
    <x v="14"/>
    <s v="Total Electric Power Industry"/>
    <x v="9"/>
    <n v="355950.37"/>
  </r>
  <r>
    <x v="23"/>
    <x v="14"/>
    <s v="Total Electric Power Industry"/>
    <x v="4"/>
    <n v="72432.5"/>
  </r>
  <r>
    <x v="23"/>
    <x v="14"/>
    <s v="Total Electric Power Industry"/>
    <x v="13"/>
    <n v="52120"/>
  </r>
  <r>
    <x v="23"/>
    <x v="14"/>
    <s v="Total Electric Power Industry"/>
    <x v="5"/>
    <n v="9625229"/>
  </r>
  <r>
    <x v="23"/>
    <x v="14"/>
    <s v="Total Electric Power Industry"/>
    <x v="6"/>
    <n v="0"/>
  </r>
  <r>
    <x v="23"/>
    <x v="14"/>
    <s v="Electric Generators, Independent Power Producers"/>
    <x v="0"/>
    <n v="187568579.63999999"/>
  </r>
  <r>
    <x v="23"/>
    <x v="14"/>
    <s v="Electric Generators, Independent Power Producers"/>
    <x v="1"/>
    <n v="75282165.319999993"/>
  </r>
  <r>
    <x v="23"/>
    <x v="14"/>
    <s v="Electric Generators, Independent Power Producers"/>
    <x v="2"/>
    <n v="72704"/>
  </r>
  <r>
    <x v="23"/>
    <x v="14"/>
    <s v="Electric Generators, Independent Power Producers"/>
    <x v="3"/>
    <n v="4753327.97"/>
  </r>
  <r>
    <x v="23"/>
    <x v="14"/>
    <s v="Electric Generators, Independent Power Producers"/>
    <x v="7"/>
    <n v="97131436"/>
  </r>
  <r>
    <x v="23"/>
    <x v="14"/>
    <s v="Electric Generators, Independent Power Producers"/>
    <x v="12"/>
    <n v="0"/>
  </r>
  <r>
    <x v="23"/>
    <x v="14"/>
    <s v="Electric Generators, Independent Power Producers"/>
    <x v="8"/>
    <n v="607981.63"/>
  </r>
  <r>
    <x v="23"/>
    <x v="14"/>
    <s v="Electric Generators, Independent Power Producers"/>
    <x v="4"/>
    <n v="47170.73"/>
  </r>
  <r>
    <x v="23"/>
    <x v="14"/>
    <s v="Electric Generators, Independent Power Producers"/>
    <x v="13"/>
    <n v="52120"/>
  </r>
  <r>
    <x v="23"/>
    <x v="14"/>
    <s v="Electric Generators, Independent Power Producers"/>
    <x v="5"/>
    <n v="9621674"/>
  </r>
  <r>
    <x v="23"/>
    <x v="14"/>
    <s v="Electric Generators, Electric Utilities"/>
    <x v="0"/>
    <n v="11571734.289999999"/>
  </r>
  <r>
    <x v="23"/>
    <x v="14"/>
    <s v="Electric Generators, Electric Utilities"/>
    <x v="1"/>
    <n v="10918489.460000001"/>
  </r>
  <r>
    <x v="23"/>
    <x v="14"/>
    <s v="Electric Generators, Electric Utilities"/>
    <x v="2"/>
    <n v="45840"/>
  </r>
  <r>
    <x v="23"/>
    <x v="14"/>
    <s v="Electric Generators, Electric Utilities"/>
    <x v="3"/>
    <n v="578759.53"/>
  </r>
  <r>
    <x v="23"/>
    <x v="14"/>
    <s v="Electric Generators, Electric Utilities"/>
    <x v="4"/>
    <n v="25090.31"/>
  </r>
  <r>
    <x v="23"/>
    <x v="14"/>
    <s v="Electric Generators, Electric Utilities"/>
    <x v="5"/>
    <n v="3555"/>
  </r>
  <r>
    <x v="23"/>
    <x v="14"/>
    <s v="Combined Heat and Power, Industrial Power"/>
    <x v="0"/>
    <n v="2660294.87"/>
  </r>
  <r>
    <x v="23"/>
    <x v="14"/>
    <s v="Combined Heat and Power, Industrial Power"/>
    <x v="1"/>
    <n v="1675227.01"/>
  </r>
  <r>
    <x v="23"/>
    <x v="14"/>
    <s v="Combined Heat and Power, Industrial Power"/>
    <x v="3"/>
    <n v="361310.33"/>
  </r>
  <r>
    <x v="23"/>
    <x v="14"/>
    <s v="Combined Heat and Power, Industrial Power"/>
    <x v="12"/>
    <n v="284644.81"/>
  </r>
  <r>
    <x v="23"/>
    <x v="14"/>
    <s v="Combined Heat and Power, Industrial Power"/>
    <x v="9"/>
    <n v="339112.72"/>
  </r>
  <r>
    <x v="23"/>
    <x v="14"/>
    <s v="Combined Heat and Power, Industrial Power"/>
    <x v="4"/>
    <n v="0"/>
  </r>
  <r>
    <x v="23"/>
    <x v="14"/>
    <s v="Combined Heat and Power, Industrial Power"/>
    <x v="6"/>
    <n v="0"/>
  </r>
  <r>
    <x v="23"/>
    <x v="14"/>
    <s v="Combined Heat and Power, Electric Power"/>
    <x v="0"/>
    <n v="560596.72"/>
  </r>
  <r>
    <x v="23"/>
    <x v="14"/>
    <s v="Combined Heat and Power, Electric Power"/>
    <x v="3"/>
    <n v="543754.73"/>
  </r>
  <r>
    <x v="23"/>
    <x v="14"/>
    <s v="Combined Heat and Power, Electric Power"/>
    <x v="8"/>
    <n v="4.33"/>
  </r>
  <r>
    <x v="23"/>
    <x v="14"/>
    <s v="Combined Heat and Power, Electric Power"/>
    <x v="9"/>
    <n v="16837.66"/>
  </r>
  <r>
    <x v="23"/>
    <x v="14"/>
    <s v="Combined Heat and Power, Electric Power"/>
    <x v="4"/>
    <n v="0"/>
  </r>
  <r>
    <x v="23"/>
    <x v="14"/>
    <s v="Combined Heat and Power, Commercial Power"/>
    <x v="0"/>
    <n v="643713.96"/>
  </r>
  <r>
    <x v="23"/>
    <x v="14"/>
    <s v="Combined Heat and Power, Commercial Power"/>
    <x v="1"/>
    <n v="51257.7"/>
  </r>
  <r>
    <x v="23"/>
    <x v="14"/>
    <s v="Combined Heat and Power, Commercial Power"/>
    <x v="2"/>
    <n v="1751"/>
  </r>
  <r>
    <x v="23"/>
    <x v="14"/>
    <s v="Combined Heat and Power, Commercial Power"/>
    <x v="3"/>
    <n v="590533.30000000005"/>
  </r>
  <r>
    <x v="23"/>
    <x v="14"/>
    <s v="Combined Heat and Power, Commercial Power"/>
    <x v="8"/>
    <n v="0.49"/>
  </r>
  <r>
    <x v="23"/>
    <x v="14"/>
    <s v="Combined Heat and Power, Commercial Power"/>
    <x v="4"/>
    <n v="171.47"/>
  </r>
  <r>
    <x v="23"/>
    <x v="15"/>
    <s v="Total Electric Power Industry"/>
    <x v="0"/>
    <n v="110403477.11"/>
  </r>
  <r>
    <x v="23"/>
    <x v="15"/>
    <s v="Total Electric Power Industry"/>
    <x v="1"/>
    <n v="92671941.980000004"/>
  </r>
  <r>
    <x v="23"/>
    <x v="15"/>
    <s v="Total Electric Power Industry"/>
    <x v="2"/>
    <n v="386928"/>
  </r>
  <r>
    <x v="23"/>
    <x v="15"/>
    <s v="Total Electric Power Industry"/>
    <x v="3"/>
    <n v="9032236.3300000001"/>
  </r>
  <r>
    <x v="23"/>
    <x v="15"/>
    <s v="Total Electric Power Industry"/>
    <x v="12"/>
    <n v="442464.5"/>
  </r>
  <r>
    <x v="23"/>
    <x v="15"/>
    <s v="Total Electric Power Industry"/>
    <x v="8"/>
    <n v="376302.76"/>
  </r>
  <r>
    <x v="23"/>
    <x v="15"/>
    <s v="Total Electric Power Industry"/>
    <x v="9"/>
    <n v="2409661.5099999998"/>
  </r>
  <r>
    <x v="23"/>
    <x v="15"/>
    <s v="Total Electric Power Industry"/>
    <x v="4"/>
    <n v="1572309.04"/>
  </r>
  <r>
    <x v="23"/>
    <x v="15"/>
    <s v="Total Electric Power Industry"/>
    <x v="13"/>
    <n v="30540"/>
  </r>
  <r>
    <x v="23"/>
    <x v="15"/>
    <s v="Total Electric Power Industry"/>
    <x v="5"/>
    <n v="3481093"/>
  </r>
  <r>
    <x v="23"/>
    <x v="15"/>
    <s v="Total Electric Power Industry"/>
    <x v="6"/>
    <n v="0"/>
  </r>
  <r>
    <x v="23"/>
    <x v="15"/>
    <s v="Electric Generators, Independent Power Producers"/>
    <x v="0"/>
    <n v="3582000"/>
  </r>
  <r>
    <x v="23"/>
    <x v="15"/>
    <s v="Electric Generators, Independent Power Producers"/>
    <x v="3"/>
    <n v="71251"/>
  </r>
  <r>
    <x v="23"/>
    <x v="15"/>
    <s v="Electric Generators, Independent Power Producers"/>
    <x v="13"/>
    <n v="30540"/>
  </r>
  <r>
    <x v="23"/>
    <x v="15"/>
    <s v="Electric Generators, Independent Power Producers"/>
    <x v="5"/>
    <n v="3480209"/>
  </r>
  <r>
    <x v="23"/>
    <x v="15"/>
    <s v="Electric Generators, Electric Utilities"/>
    <x v="0"/>
    <n v="96047678"/>
  </r>
  <r>
    <x v="23"/>
    <x v="15"/>
    <s v="Electric Generators, Electric Utilities"/>
    <x v="1"/>
    <n v="87228590.209999993"/>
  </r>
  <r>
    <x v="23"/>
    <x v="15"/>
    <s v="Electric Generators, Electric Utilities"/>
    <x v="2"/>
    <n v="386928"/>
  </r>
  <r>
    <x v="23"/>
    <x v="15"/>
    <s v="Electric Generators, Electric Utilities"/>
    <x v="3"/>
    <n v="6452857.1100000003"/>
  </r>
  <r>
    <x v="23"/>
    <x v="15"/>
    <s v="Electric Generators, Electric Utilities"/>
    <x v="12"/>
    <n v="95867.55"/>
  </r>
  <r>
    <x v="23"/>
    <x v="15"/>
    <s v="Electric Generators, Electric Utilities"/>
    <x v="8"/>
    <n v="314698"/>
  </r>
  <r>
    <x v="23"/>
    <x v="15"/>
    <s v="Electric Generators, Electric Utilities"/>
    <x v="9"/>
    <n v="4245"/>
  </r>
  <r>
    <x v="23"/>
    <x v="15"/>
    <s v="Electric Generators, Electric Utilities"/>
    <x v="4"/>
    <n v="1564492.12"/>
  </r>
  <r>
    <x v="23"/>
    <x v="15"/>
    <s v="Electric Generators, Electric Utilities"/>
    <x v="6"/>
    <n v="0"/>
  </r>
  <r>
    <x v="23"/>
    <x v="15"/>
    <s v="Combined Heat and Power, Industrial Power"/>
    <x v="0"/>
    <n v="3235980.11"/>
  </r>
  <r>
    <x v="23"/>
    <x v="15"/>
    <s v="Combined Heat and Power, Industrial Power"/>
    <x v="1"/>
    <n v="18022.599999999999"/>
  </r>
  <r>
    <x v="23"/>
    <x v="15"/>
    <s v="Combined Heat and Power, Industrial Power"/>
    <x v="3"/>
    <n v="436835.78"/>
  </r>
  <r>
    <x v="23"/>
    <x v="15"/>
    <s v="Combined Heat and Power, Industrial Power"/>
    <x v="12"/>
    <n v="327100"/>
  </r>
  <r>
    <x v="23"/>
    <x v="15"/>
    <s v="Combined Heat and Power, Industrial Power"/>
    <x v="8"/>
    <n v="41313"/>
  </r>
  <r>
    <x v="23"/>
    <x v="15"/>
    <s v="Combined Heat and Power, Industrial Power"/>
    <x v="9"/>
    <n v="2405416.5099999998"/>
  </r>
  <r>
    <x v="23"/>
    <x v="15"/>
    <s v="Combined Heat and Power, Industrial Power"/>
    <x v="4"/>
    <n v="7292.22"/>
  </r>
  <r>
    <x v="23"/>
    <x v="15"/>
    <s v="Combined Heat and Power, Industrial Power"/>
    <x v="6"/>
    <n v="0"/>
  </r>
  <r>
    <x v="23"/>
    <x v="15"/>
    <s v="Combined Heat and Power, Electric Power"/>
    <x v="0"/>
    <n v="7317889.1399999997"/>
  </r>
  <r>
    <x v="23"/>
    <x v="15"/>
    <s v="Combined Heat and Power, Electric Power"/>
    <x v="1"/>
    <n v="5309241.63"/>
  </r>
  <r>
    <x v="23"/>
    <x v="15"/>
    <s v="Combined Heat and Power, Electric Power"/>
    <x v="3"/>
    <n v="2008647.51"/>
  </r>
  <r>
    <x v="23"/>
    <x v="15"/>
    <s v="Combined Heat and Power, Electric Power"/>
    <x v="12"/>
    <n v="0"/>
  </r>
  <r>
    <x v="23"/>
    <x v="15"/>
    <s v="Combined Heat and Power, Electric Power"/>
    <x v="4"/>
    <n v="0"/>
  </r>
  <r>
    <x v="23"/>
    <x v="15"/>
    <s v="Combined Heat and Power, Commercial Power"/>
    <x v="0"/>
    <n v="219929.86"/>
  </r>
  <r>
    <x v="23"/>
    <x v="15"/>
    <s v="Combined Heat and Power, Commercial Power"/>
    <x v="1"/>
    <n v="116087.53"/>
  </r>
  <r>
    <x v="23"/>
    <x v="15"/>
    <s v="Combined Heat and Power, Commercial Power"/>
    <x v="3"/>
    <n v="62644.93"/>
  </r>
  <r>
    <x v="23"/>
    <x v="15"/>
    <s v="Combined Heat and Power, Commercial Power"/>
    <x v="12"/>
    <n v="19496.95"/>
  </r>
  <r>
    <x v="23"/>
    <x v="15"/>
    <s v="Combined Heat and Power, Commercial Power"/>
    <x v="8"/>
    <n v="20291.759999999998"/>
  </r>
  <r>
    <x v="23"/>
    <x v="15"/>
    <s v="Combined Heat and Power, Commercial Power"/>
    <x v="4"/>
    <n v="524.70000000000005"/>
  </r>
  <r>
    <x v="23"/>
    <x v="15"/>
    <s v="Combined Heat and Power, Commercial Power"/>
    <x v="5"/>
    <n v="884"/>
  </r>
  <r>
    <x v="23"/>
    <x v="16"/>
    <s v="Total Electric Power Industry"/>
    <x v="0"/>
    <n v="48472581.299999997"/>
  </r>
  <r>
    <x v="23"/>
    <x v="16"/>
    <s v="Total Electric Power Industry"/>
    <x v="1"/>
    <n v="29767262.039999999"/>
  </r>
  <r>
    <x v="23"/>
    <x v="16"/>
    <s v="Total Electric Power Industry"/>
    <x v="2"/>
    <n v="14518"/>
  </r>
  <r>
    <x v="23"/>
    <x v="16"/>
    <s v="Total Electric Power Industry"/>
    <x v="3"/>
    <n v="1980178.51"/>
  </r>
  <r>
    <x v="23"/>
    <x v="16"/>
    <s v="Total Electric Power Industry"/>
    <x v="7"/>
    <n v="7168301"/>
  </r>
  <r>
    <x v="23"/>
    <x v="16"/>
    <s v="Total Electric Power Industry"/>
    <x v="12"/>
    <n v="0"/>
  </r>
  <r>
    <x v="23"/>
    <x v="16"/>
    <s v="Total Electric Power Industry"/>
    <x v="8"/>
    <n v="58002.400000000001"/>
  </r>
  <r>
    <x v="23"/>
    <x v="16"/>
    <s v="Total Electric Power Industry"/>
    <x v="4"/>
    <n v="51123.35"/>
  </r>
  <r>
    <x v="23"/>
    <x v="16"/>
    <s v="Total Electric Power Industry"/>
    <x v="5"/>
    <n v="9433196"/>
  </r>
  <r>
    <x v="23"/>
    <x v="16"/>
    <s v="Electric Generators, Independent Power Producers"/>
    <x v="0"/>
    <n v="8588130"/>
  </r>
  <r>
    <x v="23"/>
    <x v="16"/>
    <s v="Electric Generators, Independent Power Producers"/>
    <x v="2"/>
    <n v="14518"/>
  </r>
  <r>
    <x v="23"/>
    <x v="16"/>
    <s v="Electric Generators, Independent Power Producers"/>
    <x v="8"/>
    <n v="57901"/>
  </r>
  <r>
    <x v="23"/>
    <x v="16"/>
    <s v="Electric Generators, Independent Power Producers"/>
    <x v="5"/>
    <n v="8515711"/>
  </r>
  <r>
    <x v="23"/>
    <x v="16"/>
    <s v="Electric Generators, Electric Utilities"/>
    <x v="0"/>
    <n v="39808762.759999998"/>
  </r>
  <r>
    <x v="23"/>
    <x v="16"/>
    <s v="Electric Generators, Electric Utilities"/>
    <x v="1"/>
    <n v="29767262.039999999"/>
  </r>
  <r>
    <x v="23"/>
    <x v="16"/>
    <s v="Electric Generators, Electric Utilities"/>
    <x v="3"/>
    <n v="1904591.37"/>
  </r>
  <r>
    <x v="23"/>
    <x v="16"/>
    <s v="Electric Generators, Electric Utilities"/>
    <x v="7"/>
    <n v="7168301"/>
  </r>
  <r>
    <x v="23"/>
    <x v="16"/>
    <s v="Electric Generators, Electric Utilities"/>
    <x v="4"/>
    <n v="51123.35"/>
  </r>
  <r>
    <x v="23"/>
    <x v="16"/>
    <s v="Electric Generators, Electric Utilities"/>
    <x v="5"/>
    <n v="917485"/>
  </r>
  <r>
    <x v="23"/>
    <x v="16"/>
    <s v="Combined Heat and Power, Industrial Power"/>
    <x v="0"/>
    <n v="75688.539999999994"/>
  </r>
  <r>
    <x v="23"/>
    <x v="16"/>
    <s v="Combined Heat and Power, Industrial Power"/>
    <x v="3"/>
    <n v="75587.149999999994"/>
  </r>
  <r>
    <x v="23"/>
    <x v="16"/>
    <s v="Combined Heat and Power, Industrial Power"/>
    <x v="12"/>
    <n v="0"/>
  </r>
  <r>
    <x v="23"/>
    <x v="16"/>
    <s v="Combined Heat and Power, Industrial Power"/>
    <x v="8"/>
    <n v="101.4"/>
  </r>
  <r>
    <x v="23"/>
    <x v="17"/>
    <s v="Total Electric Power Industry"/>
    <x v="0"/>
    <n v="89741021.219999999"/>
  </r>
  <r>
    <x v="23"/>
    <x v="17"/>
    <s v="Total Electric Power Industry"/>
    <x v="1"/>
    <n v="83303260.469999999"/>
  </r>
  <r>
    <x v="23"/>
    <x v="17"/>
    <s v="Total Electric Power Industry"/>
    <x v="2"/>
    <n v="3275214"/>
  </r>
  <r>
    <x v="23"/>
    <x v="17"/>
    <s v="Total Electric Power Industry"/>
    <x v="3"/>
    <n v="1418346.15"/>
  </r>
  <r>
    <x v="23"/>
    <x v="17"/>
    <s v="Total Electric Power Industry"/>
    <x v="12"/>
    <n v="8584.7000000000007"/>
  </r>
  <r>
    <x v="23"/>
    <x v="17"/>
    <s v="Total Electric Power Industry"/>
    <x v="8"/>
    <n v="98492.08"/>
  </r>
  <r>
    <x v="23"/>
    <x v="17"/>
    <s v="Total Electric Power Industry"/>
    <x v="4"/>
    <n v="1408935.17"/>
  </r>
  <r>
    <x v="23"/>
    <x v="17"/>
    <s v="Total Electric Power Industry"/>
    <x v="6"/>
    <n v="228188.66"/>
  </r>
  <r>
    <x v="23"/>
    <x v="17"/>
    <s v="Electric Generators, Independent Power Producers"/>
    <x v="0"/>
    <n v="210206"/>
  </r>
  <r>
    <x v="23"/>
    <x v="17"/>
    <s v="Electric Generators, Independent Power Producers"/>
    <x v="2"/>
    <n v="9303"/>
  </r>
  <r>
    <x v="23"/>
    <x v="17"/>
    <s v="Electric Generators, Independent Power Producers"/>
    <x v="3"/>
    <n v="200903"/>
  </r>
  <r>
    <x v="23"/>
    <x v="17"/>
    <s v="Electric Generators, Independent Power Producers"/>
    <x v="8"/>
    <n v="0"/>
  </r>
  <r>
    <x v="23"/>
    <x v="17"/>
    <s v="Electric Generators, Electric Utilities"/>
    <x v="0"/>
    <n v="89098127"/>
  </r>
  <r>
    <x v="23"/>
    <x v="17"/>
    <s v="Electric Generators, Electric Utilities"/>
    <x v="1"/>
    <n v="83303260.469999999"/>
  </r>
  <r>
    <x v="23"/>
    <x v="17"/>
    <s v="Electric Generators, Electric Utilities"/>
    <x v="2"/>
    <n v="3265911"/>
  </r>
  <r>
    <x v="23"/>
    <x v="17"/>
    <s v="Electric Generators, Electric Utilities"/>
    <x v="3"/>
    <n v="1013137.66"/>
  </r>
  <r>
    <x v="23"/>
    <x v="17"/>
    <s v="Electric Generators, Electric Utilities"/>
    <x v="12"/>
    <n v="8584.7000000000007"/>
  </r>
  <r>
    <x v="23"/>
    <x v="17"/>
    <s v="Electric Generators, Electric Utilities"/>
    <x v="8"/>
    <n v="98298"/>
  </r>
  <r>
    <x v="23"/>
    <x v="17"/>
    <s v="Electric Generators, Electric Utilities"/>
    <x v="4"/>
    <n v="1408935.17"/>
  </r>
  <r>
    <x v="23"/>
    <x v="17"/>
    <s v="Combined Heat and Power, Industrial Power"/>
    <x v="0"/>
    <n v="432688.22"/>
  </r>
  <r>
    <x v="23"/>
    <x v="17"/>
    <s v="Combined Heat and Power, Industrial Power"/>
    <x v="3"/>
    <n v="204305.49"/>
  </r>
  <r>
    <x v="23"/>
    <x v="17"/>
    <s v="Combined Heat and Power, Industrial Power"/>
    <x v="8"/>
    <n v="194.08"/>
  </r>
  <r>
    <x v="23"/>
    <x v="17"/>
    <s v="Combined Heat and Power, Industrial Power"/>
    <x v="6"/>
    <n v="228188.66"/>
  </r>
  <r>
    <x v="23"/>
    <x v="18"/>
    <s v="Total Electric Power Industry"/>
    <x v="0"/>
    <n v="102010176.98999999"/>
  </r>
  <r>
    <x v="23"/>
    <x v="18"/>
    <s v="Total Electric Power Industry"/>
    <x v="1"/>
    <n v="20843712.52"/>
  </r>
  <r>
    <x v="23"/>
    <x v="18"/>
    <s v="Total Electric Power Industry"/>
    <x v="2"/>
    <n v="1044561"/>
  </r>
  <r>
    <x v="23"/>
    <x v="18"/>
    <s v="Total Electric Power Industry"/>
    <x v="3"/>
    <n v="52510174.840000004"/>
  </r>
  <r>
    <x v="23"/>
    <x v="18"/>
    <s v="Total Electric Power Industry"/>
    <x v="7"/>
    <n v="16954394"/>
  </r>
  <r>
    <x v="23"/>
    <x v="18"/>
    <s v="Total Electric Power Industry"/>
    <x v="12"/>
    <n v="679253.51"/>
  </r>
  <r>
    <x v="23"/>
    <x v="18"/>
    <s v="Total Electric Power Industry"/>
    <x v="8"/>
    <n v="82346.78"/>
  </r>
  <r>
    <x v="23"/>
    <x v="18"/>
    <s v="Total Electric Power Industry"/>
    <x v="9"/>
    <n v="2246280.0699999998"/>
  </r>
  <r>
    <x v="23"/>
    <x v="18"/>
    <s v="Total Electric Power Industry"/>
    <x v="4"/>
    <n v="4945198.26"/>
  </r>
  <r>
    <x v="23"/>
    <x v="18"/>
    <s v="Total Electric Power Industry"/>
    <x v="6"/>
    <n v="2704256"/>
  </r>
  <r>
    <x v="23"/>
    <x v="18"/>
    <s v="Electric Generators, Independent Power Producers"/>
    <x v="0"/>
    <n v="13211712"/>
  </r>
  <r>
    <x v="23"/>
    <x v="18"/>
    <s v="Electric Generators, Independent Power Producers"/>
    <x v="1"/>
    <n v="11000944.630000001"/>
  </r>
  <r>
    <x v="23"/>
    <x v="18"/>
    <s v="Electric Generators, Independent Power Producers"/>
    <x v="2"/>
    <n v="1044561"/>
  </r>
  <r>
    <x v="23"/>
    <x v="18"/>
    <s v="Electric Generators, Independent Power Producers"/>
    <x v="3"/>
    <n v="1066203.32"/>
  </r>
  <r>
    <x v="23"/>
    <x v="18"/>
    <s v="Electric Generators, Independent Power Producers"/>
    <x v="8"/>
    <n v="72666.679999999993"/>
  </r>
  <r>
    <x v="23"/>
    <x v="18"/>
    <s v="Electric Generators, Independent Power Producers"/>
    <x v="4"/>
    <n v="27336.37"/>
  </r>
  <r>
    <x v="23"/>
    <x v="18"/>
    <s v="Electric Generators, Electric Utilities"/>
    <x v="0"/>
    <n v="56226016.039999999"/>
  </r>
  <r>
    <x v="23"/>
    <x v="18"/>
    <s v="Electric Generators, Electric Utilities"/>
    <x v="1"/>
    <n v="9842767.8900000006"/>
  </r>
  <r>
    <x v="23"/>
    <x v="18"/>
    <s v="Electric Generators, Electric Utilities"/>
    <x v="3"/>
    <n v="24227348.82"/>
  </r>
  <r>
    <x v="23"/>
    <x v="18"/>
    <s v="Electric Generators, Electric Utilities"/>
    <x v="7"/>
    <n v="16954394"/>
  </r>
  <r>
    <x v="23"/>
    <x v="18"/>
    <s v="Electric Generators, Electric Utilities"/>
    <x v="9"/>
    <n v="725189.28"/>
  </r>
  <r>
    <x v="23"/>
    <x v="18"/>
    <s v="Electric Generators, Electric Utilities"/>
    <x v="4"/>
    <n v="4476316.04"/>
  </r>
  <r>
    <x v="23"/>
    <x v="18"/>
    <s v="Combined Heat and Power, Industrial Power"/>
    <x v="0"/>
    <n v="30123330.949999999"/>
  </r>
  <r>
    <x v="23"/>
    <x v="18"/>
    <s v="Combined Heat and Power, Industrial Power"/>
    <x v="1"/>
    <n v="0"/>
  </r>
  <r>
    <x v="23"/>
    <x v="18"/>
    <s v="Combined Heat and Power, Industrial Power"/>
    <x v="3"/>
    <n v="24767504.690000001"/>
  </r>
  <r>
    <x v="23"/>
    <x v="18"/>
    <s v="Combined Heat and Power, Industrial Power"/>
    <x v="12"/>
    <n v="679253.51"/>
  </r>
  <r>
    <x v="23"/>
    <x v="18"/>
    <s v="Combined Heat and Power, Industrial Power"/>
    <x v="8"/>
    <n v="9680.1"/>
  </r>
  <r>
    <x v="23"/>
    <x v="18"/>
    <s v="Combined Heat and Power, Industrial Power"/>
    <x v="9"/>
    <n v="1521090.78"/>
  </r>
  <r>
    <x v="23"/>
    <x v="18"/>
    <s v="Combined Heat and Power, Industrial Power"/>
    <x v="4"/>
    <n v="441545.85"/>
  </r>
  <r>
    <x v="23"/>
    <x v="18"/>
    <s v="Combined Heat and Power, Industrial Power"/>
    <x v="6"/>
    <n v="2704256"/>
  </r>
  <r>
    <x v="23"/>
    <x v="18"/>
    <s v="Combined Heat and Power, Electric Power"/>
    <x v="0"/>
    <n v="2246533"/>
  </r>
  <r>
    <x v="23"/>
    <x v="18"/>
    <s v="Combined Heat and Power, Electric Power"/>
    <x v="3"/>
    <n v="2246533"/>
  </r>
  <r>
    <x v="23"/>
    <x v="18"/>
    <s v="Combined Heat and Power, Commercial Power"/>
    <x v="0"/>
    <n v="202585"/>
  </r>
  <r>
    <x v="23"/>
    <x v="18"/>
    <s v="Combined Heat and Power, Commercial Power"/>
    <x v="3"/>
    <n v="202585"/>
  </r>
  <r>
    <x v="23"/>
    <x v="19"/>
    <s v="Total Electric Power Industry"/>
    <x v="0"/>
    <n v="32885020.68"/>
  </r>
  <r>
    <x v="23"/>
    <x v="19"/>
    <s v="Total Electric Power Industry"/>
    <x v="1"/>
    <n v="3959229.27"/>
  </r>
  <r>
    <x v="23"/>
    <x v="19"/>
    <s v="Total Electric Power Industry"/>
    <x v="2"/>
    <n v="991504.05"/>
  </r>
  <r>
    <x v="23"/>
    <x v="19"/>
    <s v="Total Electric Power Industry"/>
    <x v="3"/>
    <n v="21256887.120000001"/>
  </r>
  <r>
    <x v="23"/>
    <x v="19"/>
    <s v="Total Electric Power Industry"/>
    <x v="7"/>
    <n v="4330643"/>
  </r>
  <r>
    <x v="23"/>
    <x v="19"/>
    <s v="Total Electric Power Industry"/>
    <x v="12"/>
    <n v="875925.89"/>
  </r>
  <r>
    <x v="23"/>
    <x v="19"/>
    <s v="Total Electric Power Industry"/>
    <x v="8"/>
    <n v="1060540.6100000001"/>
  </r>
  <r>
    <x v="23"/>
    <x v="19"/>
    <s v="Total Electric Power Industry"/>
    <x v="4"/>
    <n v="390311.29"/>
  </r>
  <r>
    <x v="23"/>
    <x v="19"/>
    <s v="Total Electric Power Industry"/>
    <x v="10"/>
    <n v="-367906"/>
  </r>
  <r>
    <x v="23"/>
    <x v="19"/>
    <s v="Total Electric Power Industry"/>
    <x v="13"/>
    <n v="106457.01"/>
  </r>
  <r>
    <x v="23"/>
    <x v="19"/>
    <s v="Total Electric Power Industry"/>
    <x v="5"/>
    <n v="204897.56"/>
  </r>
  <r>
    <x v="23"/>
    <x v="19"/>
    <s v="Total Electric Power Industry"/>
    <x v="6"/>
    <n v="76530.89"/>
  </r>
  <r>
    <x v="23"/>
    <x v="19"/>
    <s v="Electric Generators, Independent Power Producers"/>
    <x v="0"/>
    <n v="29674084.5"/>
  </r>
  <r>
    <x v="23"/>
    <x v="19"/>
    <s v="Electric Generators, Independent Power Producers"/>
    <x v="1"/>
    <n v="3934292.27"/>
  </r>
  <r>
    <x v="23"/>
    <x v="19"/>
    <s v="Electric Generators, Independent Power Producers"/>
    <x v="2"/>
    <n v="711808"/>
  </r>
  <r>
    <x v="23"/>
    <x v="19"/>
    <s v="Electric Generators, Independent Power Producers"/>
    <x v="3"/>
    <n v="18593881.5"/>
  </r>
  <r>
    <x v="23"/>
    <x v="19"/>
    <s v="Electric Generators, Independent Power Producers"/>
    <x v="7"/>
    <n v="4330643"/>
  </r>
  <r>
    <x v="23"/>
    <x v="19"/>
    <s v="Electric Generators, Independent Power Producers"/>
    <x v="12"/>
    <n v="875925.89"/>
  </r>
  <r>
    <x v="23"/>
    <x v="19"/>
    <s v="Electric Generators, Independent Power Producers"/>
    <x v="8"/>
    <n v="1060007.57"/>
  </r>
  <r>
    <x v="23"/>
    <x v="19"/>
    <s v="Electric Generators, Independent Power Producers"/>
    <x v="4"/>
    <n v="229570.47"/>
  </r>
  <r>
    <x v="23"/>
    <x v="19"/>
    <s v="Electric Generators, Independent Power Producers"/>
    <x v="10"/>
    <n v="-367906"/>
  </r>
  <r>
    <x v="23"/>
    <x v="19"/>
    <s v="Electric Generators, Independent Power Producers"/>
    <x v="13"/>
    <n v="101627.91"/>
  </r>
  <r>
    <x v="23"/>
    <x v="19"/>
    <s v="Electric Generators, Independent Power Producers"/>
    <x v="5"/>
    <n v="127703"/>
  </r>
  <r>
    <x v="23"/>
    <x v="19"/>
    <s v="Electric Generators, Independent Power Producers"/>
    <x v="6"/>
    <n v="76530.89"/>
  </r>
  <r>
    <x v="23"/>
    <x v="19"/>
    <s v="Electric Generators, Electric Utilities"/>
    <x v="0"/>
    <n v="611320.39"/>
  </r>
  <r>
    <x v="23"/>
    <x v="19"/>
    <s v="Electric Generators, Electric Utilities"/>
    <x v="2"/>
    <n v="270298"/>
  </r>
  <r>
    <x v="23"/>
    <x v="19"/>
    <s v="Electric Generators, Electric Utilities"/>
    <x v="3"/>
    <n v="203701.91"/>
  </r>
  <r>
    <x v="23"/>
    <x v="19"/>
    <s v="Electric Generators, Electric Utilities"/>
    <x v="4"/>
    <n v="71028.09"/>
  </r>
  <r>
    <x v="23"/>
    <x v="19"/>
    <s v="Electric Generators, Electric Utilities"/>
    <x v="13"/>
    <n v="3948"/>
  </r>
  <r>
    <x v="23"/>
    <x v="19"/>
    <s v="Electric Generators, Electric Utilities"/>
    <x v="5"/>
    <n v="62344.39"/>
  </r>
  <r>
    <x v="23"/>
    <x v="19"/>
    <s v="Combined Heat and Power, Industrial Power"/>
    <x v="0"/>
    <n v="174999.29"/>
  </r>
  <r>
    <x v="23"/>
    <x v="19"/>
    <s v="Combined Heat and Power, Industrial Power"/>
    <x v="1"/>
    <n v="24937"/>
  </r>
  <r>
    <x v="23"/>
    <x v="19"/>
    <s v="Combined Heat and Power, Industrial Power"/>
    <x v="2"/>
    <n v="3562"/>
  </r>
  <r>
    <x v="23"/>
    <x v="19"/>
    <s v="Combined Heat and Power, Industrial Power"/>
    <x v="3"/>
    <n v="145185.82999999999"/>
  </r>
  <r>
    <x v="23"/>
    <x v="19"/>
    <s v="Combined Heat and Power, Industrial Power"/>
    <x v="12"/>
    <n v="0"/>
  </r>
  <r>
    <x v="23"/>
    <x v="19"/>
    <s v="Combined Heat and Power, Industrial Power"/>
    <x v="4"/>
    <n v="1314.46"/>
  </r>
  <r>
    <x v="23"/>
    <x v="19"/>
    <s v="Combined Heat and Power, Electric Power"/>
    <x v="0"/>
    <n v="1897773"/>
  </r>
  <r>
    <x v="23"/>
    <x v="19"/>
    <s v="Combined Heat and Power, Electric Power"/>
    <x v="3"/>
    <n v="1840439.93"/>
  </r>
  <r>
    <x v="23"/>
    <x v="19"/>
    <s v="Combined Heat and Power, Electric Power"/>
    <x v="4"/>
    <n v="57333.07"/>
  </r>
  <r>
    <x v="23"/>
    <x v="19"/>
    <s v="Combined Heat and Power, Commercial Power"/>
    <x v="0"/>
    <n v="526843.5"/>
  </r>
  <r>
    <x v="23"/>
    <x v="19"/>
    <s v="Combined Heat and Power, Commercial Power"/>
    <x v="2"/>
    <n v="5836.05"/>
  </r>
  <r>
    <x v="23"/>
    <x v="19"/>
    <s v="Combined Heat and Power, Commercial Power"/>
    <x v="3"/>
    <n v="473677.94"/>
  </r>
  <r>
    <x v="23"/>
    <x v="19"/>
    <s v="Combined Heat and Power, Commercial Power"/>
    <x v="8"/>
    <n v="533.03"/>
  </r>
  <r>
    <x v="23"/>
    <x v="19"/>
    <s v="Combined Heat and Power, Commercial Power"/>
    <x v="4"/>
    <n v="31065.200000000001"/>
  </r>
  <r>
    <x v="23"/>
    <x v="19"/>
    <s v="Combined Heat and Power, Commercial Power"/>
    <x v="13"/>
    <n v="881.1"/>
  </r>
  <r>
    <x v="23"/>
    <x v="19"/>
    <s v="Combined Heat and Power, Commercial Power"/>
    <x v="5"/>
    <n v="14850.17"/>
  </r>
  <r>
    <x v="23"/>
    <x v="20"/>
    <s v="Total Electric Power Industry"/>
    <x v="0"/>
    <n v="35850812.329999998"/>
  </r>
  <r>
    <x v="23"/>
    <x v="20"/>
    <s v="Total Electric Power Industry"/>
    <x v="1"/>
    <n v="15538469.039999999"/>
  </r>
  <r>
    <x v="23"/>
    <x v="20"/>
    <s v="Total Electric Power Industry"/>
    <x v="2"/>
    <n v="1727020"/>
  </r>
  <r>
    <x v="23"/>
    <x v="20"/>
    <s v="Total Electric Power Industry"/>
    <x v="3"/>
    <n v="2887589.22"/>
  </r>
  <r>
    <x v="23"/>
    <x v="20"/>
    <s v="Total Electric Power Industry"/>
    <x v="7"/>
    <n v="14264305"/>
  </r>
  <r>
    <x v="23"/>
    <x v="20"/>
    <s v="Total Electric Power Industry"/>
    <x v="12"/>
    <n v="302711.8"/>
  </r>
  <r>
    <x v="23"/>
    <x v="20"/>
    <s v="Total Electric Power Industry"/>
    <x v="8"/>
    <n v="413220.07"/>
  </r>
  <r>
    <x v="23"/>
    <x v="20"/>
    <s v="Total Electric Power Industry"/>
    <x v="4"/>
    <n v="189553.21"/>
  </r>
  <r>
    <x v="23"/>
    <x v="20"/>
    <s v="Total Electric Power Industry"/>
    <x v="13"/>
    <n v="63485.39"/>
  </r>
  <r>
    <x v="23"/>
    <x v="20"/>
    <s v="Total Electric Power Industry"/>
    <x v="5"/>
    <n v="321670"/>
  </r>
  <r>
    <x v="23"/>
    <x v="20"/>
    <s v="Total Electric Power Industry"/>
    <x v="6"/>
    <n v="142788.60999999999"/>
  </r>
  <r>
    <x v="23"/>
    <x v="20"/>
    <s v="Electric Generators, Independent Power Producers"/>
    <x v="0"/>
    <n v="33231033.879999999"/>
  </r>
  <r>
    <x v="23"/>
    <x v="20"/>
    <s v="Electric Generators, Independent Power Producers"/>
    <x v="1"/>
    <n v="14047159.65"/>
  </r>
  <r>
    <x v="23"/>
    <x v="20"/>
    <s v="Electric Generators, Independent Power Producers"/>
    <x v="2"/>
    <n v="1727020"/>
  </r>
  <r>
    <x v="23"/>
    <x v="20"/>
    <s v="Electric Generators, Independent Power Producers"/>
    <x v="3"/>
    <n v="2285421.83"/>
  </r>
  <r>
    <x v="23"/>
    <x v="20"/>
    <s v="Electric Generators, Independent Power Producers"/>
    <x v="7"/>
    <n v="14264305"/>
  </r>
  <r>
    <x v="23"/>
    <x v="20"/>
    <s v="Electric Generators, Independent Power Producers"/>
    <x v="12"/>
    <n v="147951.15"/>
  </r>
  <r>
    <x v="23"/>
    <x v="20"/>
    <s v="Electric Generators, Independent Power Producers"/>
    <x v="8"/>
    <n v="239978.35"/>
  </r>
  <r>
    <x v="23"/>
    <x v="20"/>
    <s v="Electric Generators, Independent Power Producers"/>
    <x v="4"/>
    <n v="146413.54999999999"/>
  </r>
  <r>
    <x v="23"/>
    <x v="20"/>
    <s v="Electric Generators, Independent Power Producers"/>
    <x v="13"/>
    <n v="51114.34"/>
  </r>
  <r>
    <x v="23"/>
    <x v="20"/>
    <s v="Electric Generators, Independent Power Producers"/>
    <x v="5"/>
    <n v="321670"/>
  </r>
  <r>
    <x v="23"/>
    <x v="20"/>
    <s v="Electric Generators, Electric Utilities"/>
    <x v="0"/>
    <n v="30205"/>
  </r>
  <r>
    <x v="23"/>
    <x v="20"/>
    <s v="Electric Generators, Electric Utilities"/>
    <x v="3"/>
    <n v="0"/>
  </r>
  <r>
    <x v="23"/>
    <x v="20"/>
    <s v="Electric Generators, Electric Utilities"/>
    <x v="4"/>
    <n v="21393"/>
  </r>
  <r>
    <x v="23"/>
    <x v="20"/>
    <s v="Electric Generators, Electric Utilities"/>
    <x v="13"/>
    <n v="8812"/>
  </r>
  <r>
    <x v="23"/>
    <x v="20"/>
    <s v="Combined Heat and Power, Industrial Power"/>
    <x v="0"/>
    <n v="322541"/>
  </r>
  <r>
    <x v="23"/>
    <x v="20"/>
    <s v="Combined Heat and Power, Industrial Power"/>
    <x v="1"/>
    <n v="140174.42000000001"/>
  </r>
  <r>
    <x v="23"/>
    <x v="20"/>
    <s v="Combined Heat and Power, Industrial Power"/>
    <x v="3"/>
    <n v="54910.44"/>
  </r>
  <r>
    <x v="23"/>
    <x v="20"/>
    <s v="Combined Heat and Power, Industrial Power"/>
    <x v="4"/>
    <n v="1044.46"/>
  </r>
  <r>
    <x v="23"/>
    <x v="20"/>
    <s v="Combined Heat and Power, Industrial Power"/>
    <x v="6"/>
    <n v="126411.68"/>
  </r>
  <r>
    <x v="23"/>
    <x v="20"/>
    <s v="Combined Heat and Power, Electric Power"/>
    <x v="0"/>
    <n v="1823517"/>
  </r>
  <r>
    <x v="23"/>
    <x v="20"/>
    <s v="Combined Heat and Power, Electric Power"/>
    <x v="1"/>
    <n v="1347587.64"/>
  </r>
  <r>
    <x v="23"/>
    <x v="20"/>
    <s v="Combined Heat and Power, Electric Power"/>
    <x v="3"/>
    <n v="159124"/>
  </r>
  <r>
    <x v="23"/>
    <x v="20"/>
    <s v="Combined Heat and Power, Electric Power"/>
    <x v="12"/>
    <n v="154266.32999999999"/>
  </r>
  <r>
    <x v="23"/>
    <x v="20"/>
    <s v="Combined Heat and Power, Electric Power"/>
    <x v="8"/>
    <n v="160564.67000000001"/>
  </r>
  <r>
    <x v="23"/>
    <x v="20"/>
    <s v="Combined Heat and Power, Electric Power"/>
    <x v="4"/>
    <n v="1974.36"/>
  </r>
  <r>
    <x v="23"/>
    <x v="20"/>
    <s v="Combined Heat and Power, Electric Power"/>
    <x v="6"/>
    <n v="0"/>
  </r>
  <r>
    <x v="23"/>
    <x v="20"/>
    <s v="Combined Heat and Power, Commercial Power"/>
    <x v="0"/>
    <n v="443515.45"/>
  </r>
  <r>
    <x v="23"/>
    <x v="20"/>
    <s v="Combined Heat and Power, Commercial Power"/>
    <x v="1"/>
    <n v="3547.32"/>
  </r>
  <r>
    <x v="23"/>
    <x v="20"/>
    <s v="Combined Heat and Power, Commercial Power"/>
    <x v="3"/>
    <n v="388132.95"/>
  </r>
  <r>
    <x v="23"/>
    <x v="20"/>
    <s v="Combined Heat and Power, Commercial Power"/>
    <x v="12"/>
    <n v="494.31"/>
  </r>
  <r>
    <x v="23"/>
    <x v="20"/>
    <s v="Combined Heat and Power, Commercial Power"/>
    <x v="8"/>
    <n v="12677.05"/>
  </r>
  <r>
    <x v="23"/>
    <x v="20"/>
    <s v="Combined Heat and Power, Commercial Power"/>
    <x v="4"/>
    <n v="18727.849999999999"/>
  </r>
  <r>
    <x v="23"/>
    <x v="20"/>
    <s v="Combined Heat and Power, Commercial Power"/>
    <x v="13"/>
    <n v="3559.05"/>
  </r>
  <r>
    <x v="23"/>
    <x v="20"/>
    <s v="Combined Heat and Power, Commercial Power"/>
    <x v="6"/>
    <n v="16376.92"/>
  </r>
  <r>
    <x v="23"/>
    <x v="21"/>
    <s v="Total Electric Power Industry"/>
    <x v="0"/>
    <n v="14030037.609999999"/>
  </r>
  <r>
    <x v="23"/>
    <x v="21"/>
    <s v="Total Electric Power Industry"/>
    <x v="1"/>
    <n v="62751.77"/>
  </r>
  <r>
    <x v="23"/>
    <x v="21"/>
    <s v="Total Electric Power Industry"/>
    <x v="2"/>
    <n v="3560454.81"/>
  </r>
  <r>
    <x v="23"/>
    <x v="21"/>
    <s v="Total Electric Power Industry"/>
    <x v="3"/>
    <n v="4873388.16"/>
  </r>
  <r>
    <x v="23"/>
    <x v="21"/>
    <s v="Total Electric Power Industry"/>
    <x v="12"/>
    <n v="400951.44"/>
  </r>
  <r>
    <x v="23"/>
    <x v="21"/>
    <s v="Total Electric Power Industry"/>
    <x v="8"/>
    <n v="220334.4"/>
  </r>
  <r>
    <x v="23"/>
    <x v="21"/>
    <s v="Total Electric Power Industry"/>
    <x v="4"/>
    <n v="239127.58"/>
  </r>
  <r>
    <x v="23"/>
    <x v="21"/>
    <s v="Total Electric Power Industry"/>
    <x v="5"/>
    <n v="1047670.18"/>
  </r>
  <r>
    <x v="23"/>
    <x v="21"/>
    <s v="Total Electric Power Industry"/>
    <x v="6"/>
    <n v="3625359.26"/>
  </r>
  <r>
    <x v="23"/>
    <x v="21"/>
    <s v="Electric Generators, Independent Power Producers"/>
    <x v="0"/>
    <n v="8494974.0700000003"/>
  </r>
  <r>
    <x v="23"/>
    <x v="21"/>
    <s v="Electric Generators, Independent Power Producers"/>
    <x v="2"/>
    <n v="3123546.89"/>
  </r>
  <r>
    <x v="23"/>
    <x v="21"/>
    <s v="Electric Generators, Independent Power Producers"/>
    <x v="3"/>
    <n v="2906306.1"/>
  </r>
  <r>
    <x v="23"/>
    <x v="21"/>
    <s v="Electric Generators, Independent Power Producers"/>
    <x v="12"/>
    <n v="42890.8"/>
  </r>
  <r>
    <x v="23"/>
    <x v="21"/>
    <s v="Electric Generators, Independent Power Producers"/>
    <x v="8"/>
    <n v="79002.100000000006"/>
  </r>
  <r>
    <x v="23"/>
    <x v="21"/>
    <s v="Electric Generators, Independent Power Producers"/>
    <x v="4"/>
    <n v="200083"/>
  </r>
  <r>
    <x v="23"/>
    <x v="21"/>
    <s v="Electric Generators, Independent Power Producers"/>
    <x v="5"/>
    <n v="1047670.18"/>
  </r>
  <r>
    <x v="23"/>
    <x v="21"/>
    <s v="Electric Generators, Independent Power Producers"/>
    <x v="6"/>
    <n v="1095475"/>
  </r>
  <r>
    <x v="23"/>
    <x v="21"/>
    <s v="Electric Generators, Electric Utilities"/>
    <x v="0"/>
    <n v="597"/>
  </r>
  <r>
    <x v="23"/>
    <x v="21"/>
    <s v="Electric Generators, Electric Utilities"/>
    <x v="4"/>
    <n v="597"/>
  </r>
  <r>
    <x v="23"/>
    <x v="21"/>
    <s v="Combined Heat and Power, Industrial Power"/>
    <x v="0"/>
    <n v="4717463.54"/>
  </r>
  <r>
    <x v="23"/>
    <x v="21"/>
    <s v="Combined Heat and Power, Industrial Power"/>
    <x v="1"/>
    <n v="27569.27"/>
  </r>
  <r>
    <x v="23"/>
    <x v="21"/>
    <s v="Combined Heat and Power, Industrial Power"/>
    <x v="2"/>
    <n v="436907.92"/>
  </r>
  <r>
    <x v="23"/>
    <x v="21"/>
    <s v="Combined Heat and Power, Industrial Power"/>
    <x v="3"/>
    <n v="1940689.53"/>
  </r>
  <r>
    <x v="23"/>
    <x v="21"/>
    <s v="Combined Heat and Power, Industrial Power"/>
    <x v="12"/>
    <n v="119405.96"/>
  </r>
  <r>
    <x v="23"/>
    <x v="21"/>
    <s v="Combined Heat and Power, Industrial Power"/>
    <x v="8"/>
    <n v="34430.33"/>
  </r>
  <r>
    <x v="23"/>
    <x v="21"/>
    <s v="Combined Heat and Power, Industrial Power"/>
    <x v="4"/>
    <n v="32405.06"/>
  </r>
  <r>
    <x v="23"/>
    <x v="21"/>
    <s v="Combined Heat and Power, Industrial Power"/>
    <x v="6"/>
    <n v="2126055.48"/>
  </r>
  <r>
    <x v="23"/>
    <x v="21"/>
    <s v="Combined Heat and Power, Electric Power"/>
    <x v="0"/>
    <n v="611503"/>
  </r>
  <r>
    <x v="23"/>
    <x v="21"/>
    <s v="Combined Heat and Power, Electric Power"/>
    <x v="1"/>
    <n v="35182.51"/>
  </r>
  <r>
    <x v="23"/>
    <x v="21"/>
    <s v="Combined Heat and Power, Electric Power"/>
    <x v="12"/>
    <n v="152208.39000000001"/>
  </r>
  <r>
    <x v="23"/>
    <x v="21"/>
    <s v="Combined Heat and Power, Electric Power"/>
    <x v="8"/>
    <n v="16927.47"/>
  </r>
  <r>
    <x v="23"/>
    <x v="21"/>
    <s v="Combined Heat and Power, Electric Power"/>
    <x v="4"/>
    <n v="3949.51"/>
  </r>
  <r>
    <x v="23"/>
    <x v="21"/>
    <s v="Combined Heat and Power, Electric Power"/>
    <x v="6"/>
    <n v="403235.12"/>
  </r>
  <r>
    <x v="23"/>
    <x v="21"/>
    <s v="Combined Heat and Power, Commercial Power"/>
    <x v="0"/>
    <n v="205500"/>
  </r>
  <r>
    <x v="23"/>
    <x v="21"/>
    <s v="Combined Heat and Power, Commercial Power"/>
    <x v="3"/>
    <n v="26392.53"/>
  </r>
  <r>
    <x v="23"/>
    <x v="21"/>
    <s v="Combined Heat and Power, Commercial Power"/>
    <x v="12"/>
    <n v="86446.3"/>
  </r>
  <r>
    <x v="23"/>
    <x v="21"/>
    <s v="Combined Heat and Power, Commercial Power"/>
    <x v="8"/>
    <n v="89974.5"/>
  </r>
  <r>
    <x v="23"/>
    <x v="21"/>
    <s v="Combined Heat and Power, Commercial Power"/>
    <x v="4"/>
    <n v="2093.0100000000002"/>
  </r>
  <r>
    <x v="23"/>
    <x v="21"/>
    <s v="Combined Heat and Power, Commercial Power"/>
    <x v="6"/>
    <n v="593.66999999999996"/>
  </r>
  <r>
    <x v="23"/>
    <x v="22"/>
    <s v="Total Electric Power Industry"/>
    <x v="0"/>
    <n v="105417800.56"/>
  </r>
  <r>
    <x v="23"/>
    <x v="22"/>
    <s v="Total Electric Power Industry"/>
    <x v="1"/>
    <n v="56291452.829999998"/>
  </r>
  <r>
    <x v="23"/>
    <x v="22"/>
    <s v="Total Electric Power Industry"/>
    <x v="2"/>
    <n v="1419049"/>
  </r>
  <r>
    <x v="23"/>
    <x v="22"/>
    <s v="Total Electric Power Industry"/>
    <x v="3"/>
    <n v="12341391.93"/>
  </r>
  <r>
    <x v="23"/>
    <x v="22"/>
    <s v="Total Electric Power Industry"/>
    <x v="7"/>
    <n v="28920823"/>
  </r>
  <r>
    <x v="23"/>
    <x v="22"/>
    <s v="Total Electric Power Industry"/>
    <x v="12"/>
    <n v="312375.33"/>
  </r>
  <r>
    <x v="23"/>
    <x v="22"/>
    <s v="Total Electric Power Industry"/>
    <x v="8"/>
    <n v="987687.99"/>
  </r>
  <r>
    <x v="23"/>
    <x v="22"/>
    <s v="Total Electric Power Industry"/>
    <x v="9"/>
    <n v="956664.94"/>
  </r>
  <r>
    <x v="23"/>
    <x v="22"/>
    <s v="Total Electric Power Industry"/>
    <x v="4"/>
    <n v="532481.09"/>
  </r>
  <r>
    <x v="23"/>
    <x v="22"/>
    <s v="Total Electric Power Industry"/>
    <x v="10"/>
    <n v="-870822"/>
  </r>
  <r>
    <x v="23"/>
    <x v="22"/>
    <s v="Total Electric Power Industry"/>
    <x v="5"/>
    <n v="2799624"/>
  </r>
  <r>
    <x v="23"/>
    <x v="22"/>
    <s v="Total Electric Power Industry"/>
    <x v="6"/>
    <n v="1727072.44"/>
  </r>
  <r>
    <x v="23"/>
    <x v="22"/>
    <s v="Electric Generators, Independent Power Producers"/>
    <x v="0"/>
    <n v="12560765.560000001"/>
  </r>
  <r>
    <x v="23"/>
    <x v="22"/>
    <s v="Electric Generators, Independent Power Producers"/>
    <x v="1"/>
    <n v="23942.97"/>
  </r>
  <r>
    <x v="23"/>
    <x v="22"/>
    <s v="Electric Generators, Independent Power Producers"/>
    <x v="2"/>
    <n v="96911"/>
  </r>
  <r>
    <x v="23"/>
    <x v="22"/>
    <s v="Electric Generators, Independent Power Producers"/>
    <x v="3"/>
    <n v="2980660.9"/>
  </r>
  <r>
    <x v="23"/>
    <x v="22"/>
    <s v="Electric Generators, Independent Power Producers"/>
    <x v="7"/>
    <n v="6041696"/>
  </r>
  <r>
    <x v="23"/>
    <x v="22"/>
    <s v="Electric Generators, Independent Power Producers"/>
    <x v="12"/>
    <n v="90488.67"/>
  </r>
  <r>
    <x v="23"/>
    <x v="22"/>
    <s v="Electric Generators, Independent Power Producers"/>
    <x v="8"/>
    <n v="838637.56"/>
  </r>
  <r>
    <x v="23"/>
    <x v="22"/>
    <s v="Electric Generators, Independent Power Producers"/>
    <x v="4"/>
    <n v="0"/>
  </r>
  <r>
    <x v="23"/>
    <x v="22"/>
    <s v="Electric Generators, Independent Power Producers"/>
    <x v="5"/>
    <n v="1609370"/>
  </r>
  <r>
    <x v="23"/>
    <x v="22"/>
    <s v="Electric Generators, Independent Power Producers"/>
    <x v="6"/>
    <n v="879058.46"/>
  </r>
  <r>
    <x v="23"/>
    <x v="22"/>
    <s v="Electric Generators, Electric Utilities"/>
    <x v="0"/>
    <n v="83171310.060000002"/>
  </r>
  <r>
    <x v="23"/>
    <x v="22"/>
    <s v="Electric Generators, Electric Utilities"/>
    <x v="1"/>
    <n v="55616169.719999999"/>
  </r>
  <r>
    <x v="23"/>
    <x v="22"/>
    <s v="Electric Generators, Electric Utilities"/>
    <x v="2"/>
    <n v="1292863"/>
  </r>
  <r>
    <x v="23"/>
    <x v="22"/>
    <s v="Electric Generators, Electric Utilities"/>
    <x v="3"/>
    <n v="2657548.2000000002"/>
  </r>
  <r>
    <x v="23"/>
    <x v="22"/>
    <s v="Electric Generators, Electric Utilities"/>
    <x v="7"/>
    <n v="22879127"/>
  </r>
  <r>
    <x v="23"/>
    <x v="22"/>
    <s v="Electric Generators, Electric Utilities"/>
    <x v="12"/>
    <n v="14117.48"/>
  </r>
  <r>
    <x v="23"/>
    <x v="22"/>
    <s v="Electric Generators, Electric Utilities"/>
    <x v="9"/>
    <n v="68491.990000000005"/>
  </r>
  <r>
    <x v="23"/>
    <x v="22"/>
    <s v="Electric Generators, Electric Utilities"/>
    <x v="4"/>
    <n v="323560.67"/>
  </r>
  <r>
    <x v="23"/>
    <x v="22"/>
    <s v="Electric Generators, Electric Utilities"/>
    <x v="10"/>
    <n v="-870822"/>
  </r>
  <r>
    <x v="23"/>
    <x v="22"/>
    <s v="Electric Generators, Electric Utilities"/>
    <x v="5"/>
    <n v="1190254"/>
  </r>
  <r>
    <x v="23"/>
    <x v="22"/>
    <s v="Electric Generators, Electric Utilities"/>
    <x v="6"/>
    <n v="0"/>
  </r>
  <r>
    <x v="23"/>
    <x v="22"/>
    <s v="Combined Heat and Power, Industrial Power"/>
    <x v="0"/>
    <n v="1511774.91"/>
  </r>
  <r>
    <x v="23"/>
    <x v="22"/>
    <s v="Combined Heat and Power, Industrial Power"/>
    <x v="1"/>
    <n v="250094.06"/>
  </r>
  <r>
    <x v="23"/>
    <x v="22"/>
    <s v="Combined Heat and Power, Industrial Power"/>
    <x v="2"/>
    <n v="29275"/>
  </r>
  <r>
    <x v="23"/>
    <x v="22"/>
    <s v="Combined Heat and Power, Industrial Power"/>
    <x v="3"/>
    <n v="249266.5"/>
  </r>
  <r>
    <x v="23"/>
    <x v="22"/>
    <s v="Combined Heat and Power, Industrial Power"/>
    <x v="12"/>
    <n v="24313.25"/>
  </r>
  <r>
    <x v="23"/>
    <x v="22"/>
    <s v="Combined Heat and Power, Industrial Power"/>
    <x v="8"/>
    <n v="3772.55"/>
  </r>
  <r>
    <x v="23"/>
    <x v="22"/>
    <s v="Combined Heat and Power, Industrial Power"/>
    <x v="4"/>
    <n v="137100.22"/>
  </r>
  <r>
    <x v="23"/>
    <x v="22"/>
    <s v="Combined Heat and Power, Industrial Power"/>
    <x v="6"/>
    <n v="817953.33"/>
  </r>
  <r>
    <x v="23"/>
    <x v="22"/>
    <s v="Combined Heat and Power, Electric Power"/>
    <x v="0"/>
    <n v="7312667.3899999997"/>
  </r>
  <r>
    <x v="23"/>
    <x v="22"/>
    <s v="Combined Heat and Power, Electric Power"/>
    <x v="1"/>
    <n v="310484.09999999998"/>
  </r>
  <r>
    <x v="23"/>
    <x v="22"/>
    <s v="Combined Heat and Power, Electric Power"/>
    <x v="3"/>
    <n v="5965299.5"/>
  </r>
  <r>
    <x v="23"/>
    <x v="22"/>
    <s v="Combined Heat and Power, Electric Power"/>
    <x v="12"/>
    <n v="48510.28"/>
  </r>
  <r>
    <x v="23"/>
    <x v="22"/>
    <s v="Combined Heat and Power, Electric Power"/>
    <x v="8"/>
    <n v="4825"/>
  </r>
  <r>
    <x v="23"/>
    <x v="22"/>
    <s v="Combined Heat and Power, Electric Power"/>
    <x v="9"/>
    <n v="888172.95"/>
  </r>
  <r>
    <x v="23"/>
    <x v="22"/>
    <s v="Combined Heat and Power, Electric Power"/>
    <x v="4"/>
    <n v="70453"/>
  </r>
  <r>
    <x v="23"/>
    <x v="22"/>
    <s v="Combined Heat and Power, Electric Power"/>
    <x v="6"/>
    <n v="24922.57"/>
  </r>
  <r>
    <x v="23"/>
    <x v="22"/>
    <s v="Combined Heat and Power, Commercial Power"/>
    <x v="0"/>
    <n v="861282.64"/>
  </r>
  <r>
    <x v="23"/>
    <x v="22"/>
    <s v="Combined Heat and Power, Commercial Power"/>
    <x v="1"/>
    <n v="90761.99"/>
  </r>
  <r>
    <x v="23"/>
    <x v="22"/>
    <s v="Combined Heat and Power, Commercial Power"/>
    <x v="3"/>
    <n v="488616.83"/>
  </r>
  <r>
    <x v="23"/>
    <x v="22"/>
    <s v="Combined Heat and Power, Commercial Power"/>
    <x v="12"/>
    <n v="134945.65"/>
  </r>
  <r>
    <x v="23"/>
    <x v="22"/>
    <s v="Combined Heat and Power, Commercial Power"/>
    <x v="8"/>
    <n v="140452.88"/>
  </r>
  <r>
    <x v="23"/>
    <x v="22"/>
    <s v="Combined Heat and Power, Commercial Power"/>
    <x v="4"/>
    <n v="1367.2"/>
  </r>
  <r>
    <x v="23"/>
    <x v="22"/>
    <s v="Combined Heat and Power, Commercial Power"/>
    <x v="6"/>
    <n v="5138.09"/>
  </r>
  <r>
    <x v="23"/>
    <x v="23"/>
    <s v="Total Electric Power Industry"/>
    <x v="0"/>
    <n v="51296987.609999999"/>
  </r>
  <r>
    <x v="23"/>
    <x v="23"/>
    <s v="Total Electric Power Industry"/>
    <x v="1"/>
    <n v="23517798.219999999"/>
  </r>
  <r>
    <x v="23"/>
    <x v="23"/>
    <s v="Total Electric Power Industry"/>
    <x v="2"/>
    <n v="511112.06"/>
  </r>
  <r>
    <x v="23"/>
    <x v="23"/>
    <s v="Total Electric Power Industry"/>
    <x v="3"/>
    <n v="6301053.1600000001"/>
  </r>
  <r>
    <x v="23"/>
    <x v="23"/>
    <s v="Total Electric Power Industry"/>
    <x v="7"/>
    <n v="10707717"/>
  </r>
  <r>
    <x v="23"/>
    <x v="23"/>
    <s v="Total Electric Power Industry"/>
    <x v="12"/>
    <n v="360852.93"/>
  </r>
  <r>
    <x v="23"/>
    <x v="23"/>
    <s v="Total Electric Power Industry"/>
    <x v="8"/>
    <n v="574245.53"/>
  </r>
  <r>
    <x v="23"/>
    <x v="23"/>
    <s v="Total Electric Power Industry"/>
    <x v="4"/>
    <n v="27167.27"/>
  </r>
  <r>
    <x v="23"/>
    <x v="23"/>
    <s v="Total Electric Power Industry"/>
    <x v="13"/>
    <n v="2706"/>
  </r>
  <r>
    <x v="23"/>
    <x v="23"/>
    <s v="Total Electric Power Industry"/>
    <x v="5"/>
    <n v="8258750.75"/>
  </r>
  <r>
    <x v="23"/>
    <x v="23"/>
    <s v="Total Electric Power Industry"/>
    <x v="6"/>
    <n v="1035584.69"/>
  </r>
  <r>
    <x v="23"/>
    <x v="23"/>
    <s v="Electric Generators, Independent Power Producers"/>
    <x v="0"/>
    <n v="7976975.3099999996"/>
  </r>
  <r>
    <x v="23"/>
    <x v="23"/>
    <s v="Electric Generators, Independent Power Producers"/>
    <x v="2"/>
    <n v="169824"/>
  </r>
  <r>
    <x v="23"/>
    <x v="23"/>
    <s v="Electric Generators, Independent Power Producers"/>
    <x v="3"/>
    <n v="719946.54"/>
  </r>
  <r>
    <x v="23"/>
    <x v="23"/>
    <s v="Electric Generators, Independent Power Producers"/>
    <x v="12"/>
    <n v="103095.51"/>
  </r>
  <r>
    <x v="23"/>
    <x v="23"/>
    <s v="Electric Generators, Independent Power Producers"/>
    <x v="8"/>
    <n v="310505.09000000003"/>
  </r>
  <r>
    <x v="23"/>
    <x v="23"/>
    <s v="Electric Generators, Independent Power Producers"/>
    <x v="4"/>
    <n v="3120.38"/>
  </r>
  <r>
    <x v="23"/>
    <x v="23"/>
    <s v="Electric Generators, Independent Power Producers"/>
    <x v="13"/>
    <n v="2706"/>
  </r>
  <r>
    <x v="23"/>
    <x v="23"/>
    <s v="Electric Generators, Independent Power Producers"/>
    <x v="5"/>
    <n v="6468970"/>
  </r>
  <r>
    <x v="23"/>
    <x v="23"/>
    <s v="Electric Generators, Independent Power Producers"/>
    <x v="6"/>
    <n v="198807.79"/>
  </r>
  <r>
    <x v="23"/>
    <x v="23"/>
    <s v="Electric Generators, Electric Utilities"/>
    <x v="0"/>
    <n v="41155903.939999998"/>
  </r>
  <r>
    <x v="23"/>
    <x v="23"/>
    <s v="Electric Generators, Electric Utilities"/>
    <x v="1"/>
    <n v="22789792.850000001"/>
  </r>
  <r>
    <x v="23"/>
    <x v="23"/>
    <s v="Electric Generators, Electric Utilities"/>
    <x v="2"/>
    <n v="251352.53"/>
  </r>
  <r>
    <x v="23"/>
    <x v="23"/>
    <s v="Electric Generators, Electric Utilities"/>
    <x v="3"/>
    <n v="5067344.29"/>
  </r>
  <r>
    <x v="23"/>
    <x v="23"/>
    <s v="Electric Generators, Electric Utilities"/>
    <x v="7"/>
    <n v="10707717"/>
  </r>
  <r>
    <x v="23"/>
    <x v="23"/>
    <s v="Electric Generators, Electric Utilities"/>
    <x v="12"/>
    <n v="175553.57"/>
  </r>
  <r>
    <x v="23"/>
    <x v="23"/>
    <s v="Electric Generators, Electric Utilities"/>
    <x v="8"/>
    <n v="217328.7"/>
  </r>
  <r>
    <x v="23"/>
    <x v="23"/>
    <s v="Electric Generators, Electric Utilities"/>
    <x v="4"/>
    <n v="20792.34"/>
  </r>
  <r>
    <x v="23"/>
    <x v="23"/>
    <s v="Electric Generators, Electric Utilities"/>
    <x v="5"/>
    <n v="1762168.75"/>
  </r>
  <r>
    <x v="23"/>
    <x v="23"/>
    <s v="Electric Generators, Electric Utilities"/>
    <x v="6"/>
    <n v="163853.92000000001"/>
  </r>
  <r>
    <x v="23"/>
    <x v="23"/>
    <s v="Combined Heat and Power, Industrial Power"/>
    <x v="0"/>
    <n v="1487023.34"/>
  </r>
  <r>
    <x v="23"/>
    <x v="23"/>
    <s v="Combined Heat and Power, Industrial Power"/>
    <x v="1"/>
    <n v="728005.37"/>
  </r>
  <r>
    <x v="23"/>
    <x v="23"/>
    <s v="Combined Heat and Power, Industrial Power"/>
    <x v="2"/>
    <n v="89935.53"/>
  </r>
  <r>
    <x v="23"/>
    <x v="23"/>
    <s v="Combined Heat and Power, Industrial Power"/>
    <x v="3"/>
    <n v="100073.36"/>
  </r>
  <r>
    <x v="23"/>
    <x v="23"/>
    <s v="Combined Heat and Power, Industrial Power"/>
    <x v="12"/>
    <n v="54509.41"/>
  </r>
  <r>
    <x v="23"/>
    <x v="23"/>
    <s v="Combined Heat and Power, Industrial Power"/>
    <x v="8"/>
    <n v="7758.44"/>
  </r>
  <r>
    <x v="23"/>
    <x v="23"/>
    <s v="Combined Heat and Power, Industrial Power"/>
    <x v="4"/>
    <n v="1331.72"/>
  </r>
  <r>
    <x v="23"/>
    <x v="23"/>
    <s v="Combined Heat and Power, Industrial Power"/>
    <x v="6"/>
    <n v="505409.5"/>
  </r>
  <r>
    <x v="23"/>
    <x v="23"/>
    <s v="Combined Heat and Power, Electric Power"/>
    <x v="0"/>
    <n v="493799.94"/>
  </r>
  <r>
    <x v="23"/>
    <x v="23"/>
    <s v="Combined Heat and Power, Electric Power"/>
    <x v="3"/>
    <n v="304554.33"/>
  </r>
  <r>
    <x v="23"/>
    <x v="23"/>
    <s v="Combined Heat and Power, Electric Power"/>
    <x v="8"/>
    <n v="21732.13"/>
  </r>
  <r>
    <x v="23"/>
    <x v="23"/>
    <s v="Combined Heat and Power, Electric Power"/>
    <x v="4"/>
    <n v="0"/>
  </r>
  <r>
    <x v="23"/>
    <x v="23"/>
    <s v="Combined Heat and Power, Electric Power"/>
    <x v="6"/>
    <n v="167513.48000000001"/>
  </r>
  <r>
    <x v="23"/>
    <x v="23"/>
    <s v="Combined Heat and Power, Commercial Power"/>
    <x v="0"/>
    <n v="183285.08"/>
  </r>
  <r>
    <x v="23"/>
    <x v="23"/>
    <s v="Combined Heat and Power, Commercial Power"/>
    <x v="1"/>
    <n v="0"/>
  </r>
  <r>
    <x v="23"/>
    <x v="23"/>
    <s v="Combined Heat and Power, Commercial Power"/>
    <x v="3"/>
    <n v="109134.65"/>
  </r>
  <r>
    <x v="23"/>
    <x v="23"/>
    <s v="Combined Heat and Power, Commercial Power"/>
    <x v="12"/>
    <n v="27694.45"/>
  </r>
  <r>
    <x v="23"/>
    <x v="23"/>
    <s v="Combined Heat and Power, Commercial Power"/>
    <x v="8"/>
    <n v="16921.16"/>
  </r>
  <r>
    <x v="23"/>
    <x v="23"/>
    <s v="Combined Heat and Power, Commercial Power"/>
    <x v="4"/>
    <n v="1922.82"/>
  </r>
  <r>
    <x v="23"/>
    <x v="23"/>
    <s v="Combined Heat and Power, Commercial Power"/>
    <x v="5"/>
    <n v="27612"/>
  </r>
  <r>
    <x v="23"/>
    <x v="24"/>
    <s v="Total Electric Power Industry"/>
    <x v="0"/>
    <n v="91626592.930000007"/>
  </r>
  <r>
    <x v="23"/>
    <x v="24"/>
    <s v="Total Electric Power Industry"/>
    <x v="1"/>
    <n v="76104817.670000002"/>
  </r>
  <r>
    <x v="23"/>
    <x v="24"/>
    <s v="Total Electric Power Industry"/>
    <x v="2"/>
    <n v="1136427"/>
  </r>
  <r>
    <x v="23"/>
    <x v="24"/>
    <s v="Total Electric Power Industry"/>
    <x v="3"/>
    <n v="4399627.7"/>
  </r>
  <r>
    <x v="23"/>
    <x v="24"/>
    <s v="Total Electric Power Industry"/>
    <x v="7"/>
    <n v="8367103"/>
  </r>
  <r>
    <x v="23"/>
    <x v="24"/>
    <s v="Total Electric Power Industry"/>
    <x v="12"/>
    <n v="16190.17"/>
  </r>
  <r>
    <x v="23"/>
    <x v="24"/>
    <s v="Total Electric Power Industry"/>
    <x v="8"/>
    <n v="66336.070000000007"/>
  </r>
  <r>
    <x v="23"/>
    <x v="24"/>
    <s v="Total Electric Power Industry"/>
    <x v="4"/>
    <n v="65475.360000000001"/>
  </r>
  <r>
    <x v="23"/>
    <x v="24"/>
    <s v="Total Electric Power Industry"/>
    <x v="10"/>
    <n v="296075"/>
  </r>
  <r>
    <x v="23"/>
    <x v="24"/>
    <s v="Total Electric Power Industry"/>
    <x v="5"/>
    <n v="1166862"/>
  </r>
  <r>
    <x v="23"/>
    <x v="24"/>
    <s v="Total Electric Power Industry"/>
    <x v="6"/>
    <n v="7678.97"/>
  </r>
  <r>
    <x v="23"/>
    <x v="24"/>
    <s v="Electric Generators, Independent Power Producers"/>
    <x v="0"/>
    <n v="2127559"/>
  </r>
  <r>
    <x v="23"/>
    <x v="24"/>
    <s v="Electric Generators, Independent Power Producers"/>
    <x v="1"/>
    <n v="0"/>
  </r>
  <r>
    <x v="23"/>
    <x v="24"/>
    <s v="Electric Generators, Independent Power Producers"/>
    <x v="3"/>
    <n v="938857"/>
  </r>
  <r>
    <x v="23"/>
    <x v="24"/>
    <s v="Electric Generators, Independent Power Producers"/>
    <x v="8"/>
    <n v="21840"/>
  </r>
  <r>
    <x v="23"/>
    <x v="24"/>
    <s v="Electric Generators, Independent Power Producers"/>
    <x v="4"/>
    <n v="0"/>
  </r>
  <r>
    <x v="23"/>
    <x v="24"/>
    <s v="Electric Generators, Independent Power Producers"/>
    <x v="5"/>
    <n v="1166862"/>
  </r>
  <r>
    <x v="23"/>
    <x v="24"/>
    <s v="Electric Generators, Electric Utilities"/>
    <x v="0"/>
    <n v="89217205.480000004"/>
  </r>
  <r>
    <x v="23"/>
    <x v="24"/>
    <s v="Electric Generators, Electric Utilities"/>
    <x v="1"/>
    <n v="75933318.670000002"/>
  </r>
  <r>
    <x v="23"/>
    <x v="24"/>
    <s v="Electric Generators, Electric Utilities"/>
    <x v="2"/>
    <n v="1136427"/>
  </r>
  <r>
    <x v="23"/>
    <x v="24"/>
    <s v="Electric Generators, Electric Utilities"/>
    <x v="3"/>
    <n v="3361370.58"/>
  </r>
  <r>
    <x v="23"/>
    <x v="24"/>
    <s v="Electric Generators, Electric Utilities"/>
    <x v="7"/>
    <n v="8367103"/>
  </r>
  <r>
    <x v="23"/>
    <x v="24"/>
    <s v="Electric Generators, Electric Utilities"/>
    <x v="12"/>
    <n v="16190.17"/>
  </r>
  <r>
    <x v="23"/>
    <x v="24"/>
    <s v="Electric Generators, Electric Utilities"/>
    <x v="8"/>
    <n v="41281.699999999997"/>
  </r>
  <r>
    <x v="23"/>
    <x v="24"/>
    <s v="Electric Generators, Electric Utilities"/>
    <x v="4"/>
    <n v="65439.360000000001"/>
  </r>
  <r>
    <x v="23"/>
    <x v="24"/>
    <s v="Electric Generators, Electric Utilities"/>
    <x v="10"/>
    <n v="296075"/>
  </r>
  <r>
    <x v="23"/>
    <x v="24"/>
    <s v="Combined Heat and Power, Industrial Power"/>
    <x v="0"/>
    <n v="57372.62"/>
  </r>
  <r>
    <x v="23"/>
    <x v="24"/>
    <s v="Combined Heat and Power, Industrial Power"/>
    <x v="1"/>
    <n v="49070.16"/>
  </r>
  <r>
    <x v="23"/>
    <x v="24"/>
    <s v="Combined Heat and Power, Industrial Power"/>
    <x v="3"/>
    <n v="5074.1400000000003"/>
  </r>
  <r>
    <x v="23"/>
    <x v="24"/>
    <s v="Combined Heat and Power, Industrial Power"/>
    <x v="8"/>
    <n v="3214.37"/>
  </r>
  <r>
    <x v="23"/>
    <x v="24"/>
    <s v="Combined Heat and Power, Industrial Power"/>
    <x v="4"/>
    <n v="0"/>
  </r>
  <r>
    <x v="23"/>
    <x v="24"/>
    <s v="Combined Heat and Power, Industrial Power"/>
    <x v="6"/>
    <n v="13.95"/>
  </r>
  <r>
    <x v="23"/>
    <x v="24"/>
    <s v="Combined Heat and Power, Electric Power"/>
    <x v="0"/>
    <n v="58544.83"/>
  </r>
  <r>
    <x v="23"/>
    <x v="24"/>
    <s v="Combined Heat and Power, Electric Power"/>
    <x v="1"/>
    <n v="30357.42"/>
  </r>
  <r>
    <x v="23"/>
    <x v="24"/>
    <s v="Combined Heat and Power, Electric Power"/>
    <x v="3"/>
    <n v="28187.41"/>
  </r>
  <r>
    <x v="23"/>
    <x v="24"/>
    <s v="Combined Heat and Power, Electric Power"/>
    <x v="4"/>
    <n v="0"/>
  </r>
  <r>
    <x v="23"/>
    <x v="24"/>
    <s v="Combined Heat and Power, Commercial Power"/>
    <x v="0"/>
    <n v="165911"/>
  </r>
  <r>
    <x v="23"/>
    <x v="24"/>
    <s v="Combined Heat and Power, Commercial Power"/>
    <x v="1"/>
    <n v="92071.42"/>
  </r>
  <r>
    <x v="23"/>
    <x v="24"/>
    <s v="Combined Heat and Power, Commercial Power"/>
    <x v="3"/>
    <n v="66138.559999999998"/>
  </r>
  <r>
    <x v="23"/>
    <x v="24"/>
    <s v="Combined Heat and Power, Commercial Power"/>
    <x v="12"/>
    <n v="0"/>
  </r>
  <r>
    <x v="23"/>
    <x v="24"/>
    <s v="Combined Heat and Power, Commercial Power"/>
    <x v="4"/>
    <n v="36"/>
  </r>
  <r>
    <x v="23"/>
    <x v="24"/>
    <s v="Combined Heat and Power, Commercial Power"/>
    <x v="6"/>
    <n v="7665.02"/>
  </r>
  <r>
    <x v="23"/>
    <x v="25"/>
    <s v="Total Electric Power Industry"/>
    <x v="0"/>
    <n v="52810263.890000001"/>
  </r>
  <r>
    <x v="23"/>
    <x v="25"/>
    <s v="Total Electric Power Industry"/>
    <x v="1"/>
    <n v="8701295.0800000001"/>
  </r>
  <r>
    <x v="23"/>
    <x v="25"/>
    <s v="Total Electric Power Industry"/>
    <x v="3"/>
    <n v="31776888.510000002"/>
  </r>
  <r>
    <x v="23"/>
    <x v="25"/>
    <s v="Total Electric Power Industry"/>
    <x v="7"/>
    <n v="10864509"/>
  </r>
  <r>
    <x v="23"/>
    <x v="25"/>
    <s v="Total Electric Power Industry"/>
    <x v="12"/>
    <n v="5202.0600000000004"/>
  </r>
  <r>
    <x v="23"/>
    <x v="25"/>
    <s v="Total Electric Power Industry"/>
    <x v="8"/>
    <n v="15173.38"/>
  </r>
  <r>
    <x v="23"/>
    <x v="25"/>
    <s v="Total Electric Power Industry"/>
    <x v="4"/>
    <n v="13982.14"/>
  </r>
  <r>
    <x v="23"/>
    <x v="25"/>
    <s v="Total Electric Power Industry"/>
    <x v="6"/>
    <n v="1433213.73"/>
  </r>
  <r>
    <x v="23"/>
    <x v="25"/>
    <s v="Electric Generators, Independent Power Producers"/>
    <x v="0"/>
    <n v="4579927"/>
  </r>
  <r>
    <x v="23"/>
    <x v="25"/>
    <s v="Electric Generators, Independent Power Producers"/>
    <x v="1"/>
    <n v="2924534.2"/>
  </r>
  <r>
    <x v="23"/>
    <x v="25"/>
    <s v="Electric Generators, Independent Power Producers"/>
    <x v="3"/>
    <n v="1643028.8"/>
  </r>
  <r>
    <x v="23"/>
    <x v="25"/>
    <s v="Electric Generators, Independent Power Producers"/>
    <x v="8"/>
    <n v="12364"/>
  </r>
  <r>
    <x v="23"/>
    <x v="25"/>
    <s v="Electric Generators, Independent Power Producers"/>
    <x v="6"/>
    <n v="0"/>
  </r>
  <r>
    <x v="23"/>
    <x v="25"/>
    <s v="Electric Generators, Electric Utilities"/>
    <x v="0"/>
    <n v="45413403"/>
  </r>
  <r>
    <x v="23"/>
    <x v="25"/>
    <s v="Electric Generators, Electric Utilities"/>
    <x v="1"/>
    <n v="5776760.8799999999"/>
  </r>
  <r>
    <x v="23"/>
    <x v="25"/>
    <s v="Electric Generators, Electric Utilities"/>
    <x v="3"/>
    <n v="28761166.579999998"/>
  </r>
  <r>
    <x v="23"/>
    <x v="25"/>
    <s v="Electric Generators, Electric Utilities"/>
    <x v="7"/>
    <n v="10864509"/>
  </r>
  <r>
    <x v="23"/>
    <x v="25"/>
    <s v="Electric Generators, Electric Utilities"/>
    <x v="8"/>
    <n v="26.54"/>
  </r>
  <r>
    <x v="23"/>
    <x v="25"/>
    <s v="Electric Generators, Electric Utilities"/>
    <x v="4"/>
    <n v="10612.43"/>
  </r>
  <r>
    <x v="23"/>
    <x v="25"/>
    <s v="Electric Generators, Electric Utilities"/>
    <x v="6"/>
    <n v="327.57"/>
  </r>
  <r>
    <x v="23"/>
    <x v="25"/>
    <s v="Combined Heat and Power, Industrial Power"/>
    <x v="0"/>
    <n v="2794383.89"/>
  </r>
  <r>
    <x v="23"/>
    <x v="25"/>
    <s v="Combined Heat and Power, Industrial Power"/>
    <x v="1"/>
    <n v="0"/>
  </r>
  <r>
    <x v="23"/>
    <x v="25"/>
    <s v="Combined Heat and Power, Industrial Power"/>
    <x v="3"/>
    <n v="1350143.13"/>
  </r>
  <r>
    <x v="23"/>
    <x v="25"/>
    <s v="Combined Heat and Power, Industrial Power"/>
    <x v="12"/>
    <n v="5202.0600000000004"/>
  </r>
  <r>
    <x v="23"/>
    <x v="25"/>
    <s v="Combined Heat and Power, Industrial Power"/>
    <x v="8"/>
    <n v="2782.84"/>
  </r>
  <r>
    <x v="23"/>
    <x v="25"/>
    <s v="Combined Heat and Power, Industrial Power"/>
    <x v="4"/>
    <n v="3369.71"/>
  </r>
  <r>
    <x v="23"/>
    <x v="25"/>
    <s v="Combined Heat and Power, Industrial Power"/>
    <x v="6"/>
    <n v="1432886.16"/>
  </r>
  <r>
    <x v="23"/>
    <x v="25"/>
    <s v="Combined Heat and Power, Commercial Power"/>
    <x v="0"/>
    <n v="22550"/>
  </r>
  <r>
    <x v="23"/>
    <x v="25"/>
    <s v="Combined Heat and Power, Commercial Power"/>
    <x v="3"/>
    <n v="22550"/>
  </r>
  <r>
    <x v="23"/>
    <x v="25"/>
    <s v="Combined Heat and Power, Commercial Power"/>
    <x v="12"/>
    <n v="0"/>
  </r>
  <r>
    <x v="23"/>
    <x v="26"/>
    <s v="Total Electric Power Industry"/>
    <x v="0"/>
    <n v="27687326.309999999"/>
  </r>
  <r>
    <x v="23"/>
    <x v="26"/>
    <s v="Total Electric Power Industry"/>
    <x v="1"/>
    <n v="14880295.49"/>
  </r>
  <r>
    <x v="23"/>
    <x v="26"/>
    <s v="Total Electric Power Industry"/>
    <x v="2"/>
    <n v="9638259.7799999993"/>
  </r>
  <r>
    <x v="23"/>
    <x v="26"/>
    <s v="Total Electric Power Industry"/>
    <x v="3"/>
    <n v="614231.23"/>
  </r>
  <r>
    <x v="23"/>
    <x v="26"/>
    <s v="Total Electric Power Industry"/>
    <x v="12"/>
    <n v="332460"/>
  </r>
  <r>
    <x v="23"/>
    <x v="26"/>
    <s v="Total Electric Power Industry"/>
    <x v="9"/>
    <n v="16.059999999999999"/>
  </r>
  <r>
    <x v="23"/>
    <x v="26"/>
    <s v="Total Electric Power Industry"/>
    <x v="4"/>
    <n v="462302.22"/>
  </r>
  <r>
    <x v="23"/>
    <x v="26"/>
    <s v="Total Electric Power Industry"/>
    <x v="5"/>
    <n v="1754644.53"/>
  </r>
  <r>
    <x v="23"/>
    <x v="26"/>
    <s v="Total Electric Power Industry"/>
    <x v="6"/>
    <n v="5117"/>
  </r>
  <r>
    <x v="23"/>
    <x v="26"/>
    <s v="Electric Generators, Independent Power Producers"/>
    <x v="0"/>
    <n v="19861783.309999999"/>
  </r>
  <r>
    <x v="23"/>
    <x v="26"/>
    <s v="Electric Generators, Independent Power Producers"/>
    <x v="1"/>
    <n v="14572116.51"/>
  </r>
  <r>
    <x v="23"/>
    <x v="26"/>
    <s v="Electric Generators, Independent Power Producers"/>
    <x v="2"/>
    <n v="3391015.78"/>
  </r>
  <r>
    <x v="23"/>
    <x v="26"/>
    <s v="Electric Generators, Independent Power Producers"/>
    <x v="3"/>
    <n v="37513.230000000003"/>
  </r>
  <r>
    <x v="23"/>
    <x v="26"/>
    <s v="Electric Generators, Independent Power Producers"/>
    <x v="12"/>
    <n v="332460"/>
  </r>
  <r>
    <x v="23"/>
    <x v="26"/>
    <s v="Electric Generators, Independent Power Producers"/>
    <x v="4"/>
    <n v="11318.26"/>
  </r>
  <r>
    <x v="23"/>
    <x v="26"/>
    <s v="Electric Generators, Independent Power Producers"/>
    <x v="5"/>
    <n v="1517359.53"/>
  </r>
  <r>
    <x v="23"/>
    <x v="26"/>
    <s v="Electric Generators, Electric Utilities"/>
    <x v="0"/>
    <n v="7361898"/>
  </r>
  <r>
    <x v="23"/>
    <x v="26"/>
    <s v="Electric Generators, Electric Utilities"/>
    <x v="1"/>
    <n v="298318.98"/>
  </r>
  <r>
    <x v="23"/>
    <x v="26"/>
    <s v="Electric Generators, Electric Utilities"/>
    <x v="2"/>
    <n v="6247244"/>
  </r>
  <r>
    <x v="23"/>
    <x v="26"/>
    <s v="Electric Generators, Electric Utilities"/>
    <x v="3"/>
    <n v="576718.01"/>
  </r>
  <r>
    <x v="23"/>
    <x v="26"/>
    <s v="Electric Generators, Electric Utilities"/>
    <x v="4"/>
    <n v="2332.02"/>
  </r>
  <r>
    <x v="23"/>
    <x v="26"/>
    <s v="Electric Generators, Electric Utilities"/>
    <x v="5"/>
    <n v="237285"/>
  </r>
  <r>
    <x v="23"/>
    <x v="26"/>
    <s v="Combined Heat and Power, Industrial Power"/>
    <x v="0"/>
    <n v="14977"/>
  </r>
  <r>
    <x v="23"/>
    <x v="26"/>
    <s v="Combined Heat and Power, Industrial Power"/>
    <x v="1"/>
    <n v="9860"/>
  </r>
  <r>
    <x v="23"/>
    <x v="26"/>
    <s v="Combined Heat and Power, Industrial Power"/>
    <x v="3"/>
    <n v="0"/>
  </r>
  <r>
    <x v="23"/>
    <x v="26"/>
    <s v="Combined Heat and Power, Industrial Power"/>
    <x v="9"/>
    <n v="0"/>
  </r>
  <r>
    <x v="23"/>
    <x v="26"/>
    <s v="Combined Heat and Power, Industrial Power"/>
    <x v="4"/>
    <n v="0"/>
  </r>
  <r>
    <x v="23"/>
    <x v="26"/>
    <s v="Combined Heat and Power, Industrial Power"/>
    <x v="6"/>
    <n v="5117"/>
  </r>
  <r>
    <x v="23"/>
    <x v="26"/>
    <s v="Combined Heat and Power, Electric Power"/>
    <x v="0"/>
    <n v="448668"/>
  </r>
  <r>
    <x v="23"/>
    <x v="26"/>
    <s v="Combined Heat and Power, Electric Power"/>
    <x v="9"/>
    <n v="16.059999999999999"/>
  </r>
  <r>
    <x v="23"/>
    <x v="26"/>
    <s v="Combined Heat and Power, Electric Power"/>
    <x v="4"/>
    <n v="448651.94"/>
  </r>
  <r>
    <x v="23"/>
    <x v="27"/>
    <s v="Total Electric Power Industry"/>
    <x v="0"/>
    <n v="125936293.36"/>
  </r>
  <r>
    <x v="23"/>
    <x v="27"/>
    <s v="Total Electric Power Industry"/>
    <x v="1"/>
    <n v="47072209.590000004"/>
  </r>
  <r>
    <x v="23"/>
    <x v="27"/>
    <s v="Total Electric Power Industry"/>
    <x v="2"/>
    <n v="6900532.5"/>
  </r>
  <r>
    <x v="23"/>
    <x v="27"/>
    <s v="Total Electric Power Industry"/>
    <x v="3"/>
    <n v="27982509.079999998"/>
  </r>
  <r>
    <x v="23"/>
    <x v="27"/>
    <s v="Total Electric Power Industry"/>
    <x v="7"/>
    <n v="40241737"/>
  </r>
  <r>
    <x v="23"/>
    <x v="27"/>
    <s v="Total Electric Power Industry"/>
    <x v="12"/>
    <n v="566884.1"/>
  </r>
  <r>
    <x v="23"/>
    <x v="27"/>
    <s v="Total Electric Power Industry"/>
    <x v="8"/>
    <n v="410294.2"/>
  </r>
  <r>
    <x v="23"/>
    <x v="27"/>
    <s v="Total Electric Power Industry"/>
    <x v="4"/>
    <n v="217570.86"/>
  </r>
  <r>
    <x v="23"/>
    <x v="27"/>
    <s v="Total Electric Power Industry"/>
    <x v="10"/>
    <n v="0"/>
  </r>
  <r>
    <x v="23"/>
    <x v="27"/>
    <s v="Total Electric Power Industry"/>
    <x v="13"/>
    <n v="344662.81"/>
  </r>
  <r>
    <x v="23"/>
    <x v="27"/>
    <s v="Total Electric Power Industry"/>
    <x v="6"/>
    <n v="2199893.23"/>
  </r>
  <r>
    <x v="23"/>
    <x v="27"/>
    <s v="Electric Generators, Independent Power Producers"/>
    <x v="0"/>
    <n v="4196660.91"/>
  </r>
  <r>
    <x v="23"/>
    <x v="27"/>
    <s v="Electric Generators, Independent Power Producers"/>
    <x v="1"/>
    <n v="56675.040000000001"/>
  </r>
  <r>
    <x v="23"/>
    <x v="27"/>
    <s v="Electric Generators, Independent Power Producers"/>
    <x v="2"/>
    <n v="61775.56"/>
  </r>
  <r>
    <x v="23"/>
    <x v="27"/>
    <s v="Electric Generators, Independent Power Producers"/>
    <x v="3"/>
    <n v="2936315.28"/>
  </r>
  <r>
    <x v="23"/>
    <x v="27"/>
    <s v="Electric Generators, Independent Power Producers"/>
    <x v="12"/>
    <n v="76495.539999999994"/>
  </r>
  <r>
    <x v="23"/>
    <x v="27"/>
    <s v="Electric Generators, Independent Power Producers"/>
    <x v="8"/>
    <n v="315641.56"/>
  </r>
  <r>
    <x v="23"/>
    <x v="27"/>
    <s v="Electric Generators, Independent Power Producers"/>
    <x v="4"/>
    <n v="1422.4"/>
  </r>
  <r>
    <x v="23"/>
    <x v="27"/>
    <s v="Electric Generators, Independent Power Producers"/>
    <x v="13"/>
    <n v="290885.34999999998"/>
  </r>
  <r>
    <x v="23"/>
    <x v="27"/>
    <s v="Electric Generators, Independent Power Producers"/>
    <x v="6"/>
    <n v="457450.18"/>
  </r>
  <r>
    <x v="23"/>
    <x v="27"/>
    <s v="Electric Generators, Electric Utilities"/>
    <x v="0"/>
    <n v="116317050.09999999"/>
  </r>
  <r>
    <x v="23"/>
    <x v="27"/>
    <s v="Electric Generators, Electric Utilities"/>
    <x v="1"/>
    <n v="44973501.68"/>
  </r>
  <r>
    <x v="23"/>
    <x v="27"/>
    <s v="Electric Generators, Electric Utilities"/>
    <x v="2"/>
    <n v="5943421"/>
  </r>
  <r>
    <x v="23"/>
    <x v="27"/>
    <s v="Electric Generators, Electric Utilities"/>
    <x v="3"/>
    <n v="24949352.719999999"/>
  </r>
  <r>
    <x v="23"/>
    <x v="27"/>
    <s v="Electric Generators, Electric Utilities"/>
    <x v="7"/>
    <n v="40241737"/>
  </r>
  <r>
    <x v="23"/>
    <x v="27"/>
    <s v="Electric Generators, Electric Utilities"/>
    <x v="4"/>
    <n v="202480.04"/>
  </r>
  <r>
    <x v="23"/>
    <x v="27"/>
    <s v="Electric Generators, Electric Utilities"/>
    <x v="10"/>
    <n v="0"/>
  </r>
  <r>
    <x v="23"/>
    <x v="27"/>
    <s v="Electric Generators, Electric Utilities"/>
    <x v="13"/>
    <n v="6510"/>
  </r>
  <r>
    <x v="23"/>
    <x v="27"/>
    <s v="Electric Generators, Electric Utilities"/>
    <x v="6"/>
    <n v="47.66"/>
  </r>
  <r>
    <x v="23"/>
    <x v="27"/>
    <s v="Combined Heat and Power, Industrial Power"/>
    <x v="0"/>
    <n v="2926567.91"/>
  </r>
  <r>
    <x v="23"/>
    <x v="27"/>
    <s v="Combined Heat and Power, Industrial Power"/>
    <x v="1"/>
    <n v="286944.19"/>
  </r>
  <r>
    <x v="23"/>
    <x v="27"/>
    <s v="Combined Heat and Power, Industrial Power"/>
    <x v="2"/>
    <n v="880825.94"/>
  </r>
  <r>
    <x v="23"/>
    <x v="27"/>
    <s v="Combined Heat and Power, Industrial Power"/>
    <x v="3"/>
    <n v="92310.28"/>
  </r>
  <r>
    <x v="23"/>
    <x v="27"/>
    <s v="Combined Heat and Power, Industrial Power"/>
    <x v="12"/>
    <n v="338006"/>
  </r>
  <r>
    <x v="23"/>
    <x v="27"/>
    <s v="Combined Heat and Power, Industrial Power"/>
    <x v="8"/>
    <n v="2805.63"/>
  </r>
  <r>
    <x v="23"/>
    <x v="27"/>
    <s v="Combined Heat and Power, Industrial Power"/>
    <x v="4"/>
    <n v="10052.709999999999"/>
  </r>
  <r>
    <x v="23"/>
    <x v="27"/>
    <s v="Combined Heat and Power, Industrial Power"/>
    <x v="6"/>
    <n v="1315623.1599999999"/>
  </r>
  <r>
    <x v="23"/>
    <x v="27"/>
    <s v="Combined Heat and Power, Electric Power"/>
    <x v="0"/>
    <n v="2325081"/>
  </r>
  <r>
    <x v="23"/>
    <x v="27"/>
    <s v="Combined Heat and Power, Electric Power"/>
    <x v="1"/>
    <n v="1721003.49"/>
  </r>
  <r>
    <x v="23"/>
    <x v="27"/>
    <s v="Combined Heat and Power, Electric Power"/>
    <x v="12"/>
    <n v="152382.57"/>
  </r>
  <r>
    <x v="23"/>
    <x v="27"/>
    <s v="Combined Heat and Power, Electric Power"/>
    <x v="8"/>
    <n v="21413"/>
  </r>
  <r>
    <x v="23"/>
    <x v="27"/>
    <s v="Combined Heat and Power, Electric Power"/>
    <x v="4"/>
    <n v="3509.73"/>
  </r>
  <r>
    <x v="23"/>
    <x v="27"/>
    <s v="Combined Heat and Power, Electric Power"/>
    <x v="6"/>
    <n v="426772.22"/>
  </r>
  <r>
    <x v="23"/>
    <x v="27"/>
    <s v="Combined Heat and Power, Commercial Power"/>
    <x v="0"/>
    <n v="170933.44"/>
  </r>
  <r>
    <x v="23"/>
    <x v="27"/>
    <s v="Combined Heat and Power, Commercial Power"/>
    <x v="1"/>
    <n v="34085.19"/>
  </r>
  <r>
    <x v="23"/>
    <x v="27"/>
    <s v="Combined Heat and Power, Commercial Power"/>
    <x v="2"/>
    <n v="14510"/>
  </r>
  <r>
    <x v="23"/>
    <x v="27"/>
    <s v="Combined Heat and Power, Commercial Power"/>
    <x v="3"/>
    <n v="4530.8100000000004"/>
  </r>
  <r>
    <x v="23"/>
    <x v="27"/>
    <s v="Combined Heat and Power, Commercial Power"/>
    <x v="8"/>
    <n v="70434"/>
  </r>
  <r>
    <x v="23"/>
    <x v="27"/>
    <s v="Combined Heat and Power, Commercial Power"/>
    <x v="4"/>
    <n v="105.98"/>
  </r>
  <r>
    <x v="23"/>
    <x v="27"/>
    <s v="Combined Heat and Power, Commercial Power"/>
    <x v="13"/>
    <n v="47267.46"/>
  </r>
  <r>
    <x v="23"/>
    <x v="28"/>
    <s v="Total Electric Power Industry"/>
    <x v="0"/>
    <n v="35021672.729999997"/>
  </r>
  <r>
    <x v="23"/>
    <x v="28"/>
    <s v="Total Electric Power Industry"/>
    <x v="1"/>
    <n v="27477822.300000001"/>
  </r>
  <r>
    <x v="23"/>
    <x v="28"/>
    <s v="Total Electric Power Industry"/>
    <x v="2"/>
    <n v="1852421"/>
  </r>
  <r>
    <x v="23"/>
    <x v="28"/>
    <s v="Total Electric Power Industry"/>
    <x v="3"/>
    <n v="54194.66"/>
  </r>
  <r>
    <x v="23"/>
    <x v="28"/>
    <s v="Total Electric Power Industry"/>
    <x v="12"/>
    <n v="38053"/>
  </r>
  <r>
    <x v="23"/>
    <x v="28"/>
    <s v="Total Electric Power Industry"/>
    <x v="8"/>
    <n v="5481"/>
  </r>
  <r>
    <x v="23"/>
    <x v="28"/>
    <s v="Total Electric Power Industry"/>
    <x v="9"/>
    <n v="41609.07"/>
  </r>
  <r>
    <x v="23"/>
    <x v="28"/>
    <s v="Total Electric Power Industry"/>
    <x v="4"/>
    <n v="33133.699999999997"/>
  </r>
  <r>
    <x v="23"/>
    <x v="28"/>
    <s v="Total Electric Power Industry"/>
    <x v="5"/>
    <n v="5518958"/>
  </r>
  <r>
    <x v="23"/>
    <x v="28"/>
    <s v="Electric Generators, Independent Power Producers"/>
    <x v="0"/>
    <n v="3811889"/>
  </r>
  <r>
    <x v="23"/>
    <x v="28"/>
    <s v="Electric Generators, Independent Power Producers"/>
    <x v="4"/>
    <n v="3"/>
  </r>
  <r>
    <x v="23"/>
    <x v="28"/>
    <s v="Electric Generators, Independent Power Producers"/>
    <x v="5"/>
    <n v="3811886"/>
  </r>
  <r>
    <x v="23"/>
    <x v="28"/>
    <s v="Electric Generators, Electric Utilities"/>
    <x v="0"/>
    <n v="31044374"/>
  </r>
  <r>
    <x v="23"/>
    <x v="28"/>
    <s v="Electric Generators, Electric Utilities"/>
    <x v="1"/>
    <n v="27376870.57"/>
  </r>
  <r>
    <x v="23"/>
    <x v="28"/>
    <s v="Electric Generators, Electric Utilities"/>
    <x v="2"/>
    <n v="1852421"/>
  </r>
  <r>
    <x v="23"/>
    <x v="28"/>
    <s v="Electric Generators, Electric Utilities"/>
    <x v="3"/>
    <n v="37452"/>
  </r>
  <r>
    <x v="23"/>
    <x v="28"/>
    <s v="Electric Generators, Electric Utilities"/>
    <x v="12"/>
    <n v="38053"/>
  </r>
  <r>
    <x v="23"/>
    <x v="28"/>
    <s v="Electric Generators, Electric Utilities"/>
    <x v="4"/>
    <n v="32505.43"/>
  </r>
  <r>
    <x v="23"/>
    <x v="28"/>
    <s v="Electric Generators, Electric Utilities"/>
    <x v="5"/>
    <n v="1707072"/>
  </r>
  <r>
    <x v="23"/>
    <x v="28"/>
    <s v="Combined Heat and Power, Industrial Power"/>
    <x v="0"/>
    <n v="165353.73000000001"/>
  </r>
  <r>
    <x v="23"/>
    <x v="28"/>
    <s v="Combined Heat and Power, Industrial Power"/>
    <x v="1"/>
    <n v="100951.73"/>
  </r>
  <r>
    <x v="23"/>
    <x v="28"/>
    <s v="Combined Heat and Power, Industrial Power"/>
    <x v="3"/>
    <n v="16742.66"/>
  </r>
  <r>
    <x v="23"/>
    <x v="28"/>
    <s v="Combined Heat and Power, Industrial Power"/>
    <x v="8"/>
    <n v="5481"/>
  </r>
  <r>
    <x v="23"/>
    <x v="28"/>
    <s v="Combined Heat and Power, Industrial Power"/>
    <x v="9"/>
    <n v="41609.07"/>
  </r>
  <r>
    <x v="23"/>
    <x v="28"/>
    <s v="Combined Heat and Power, Industrial Power"/>
    <x v="4"/>
    <n v="569.27"/>
  </r>
  <r>
    <x v="23"/>
    <x v="28"/>
    <s v="Combined Heat and Power, Commercial Power"/>
    <x v="0"/>
    <n v="56"/>
  </r>
  <r>
    <x v="23"/>
    <x v="28"/>
    <s v="Combined Heat and Power, Commercial Power"/>
    <x v="4"/>
    <n v="56"/>
  </r>
  <r>
    <x v="23"/>
    <x v="29"/>
    <s v="Total Electric Power Industry"/>
    <x v="0"/>
    <n v="37104627.770000003"/>
  </r>
  <r>
    <x v="23"/>
    <x v="29"/>
    <s v="Total Electric Power Industry"/>
    <x v="1"/>
    <n v="26767101.199999999"/>
  </r>
  <r>
    <x v="23"/>
    <x v="29"/>
    <s v="Total Electric Power Industry"/>
    <x v="2"/>
    <n v="1123915"/>
  </r>
  <r>
    <x v="23"/>
    <x v="29"/>
    <s v="Total Electric Power Industry"/>
    <x v="3"/>
    <n v="436645.29"/>
  </r>
  <r>
    <x v="23"/>
    <x v="29"/>
    <s v="Total Electric Power Industry"/>
    <x v="7"/>
    <n v="6865367"/>
  </r>
  <r>
    <x v="23"/>
    <x v="29"/>
    <s v="Total Electric Power Industry"/>
    <x v="12"/>
    <n v="0"/>
  </r>
  <r>
    <x v="23"/>
    <x v="29"/>
    <s v="Total Electric Power Industry"/>
    <x v="8"/>
    <n v="67278.87"/>
  </r>
  <r>
    <x v="23"/>
    <x v="29"/>
    <s v="Total Electric Power Industry"/>
    <x v="4"/>
    <n v="42560.54"/>
  </r>
  <r>
    <x v="23"/>
    <x v="29"/>
    <s v="Total Electric Power Industry"/>
    <x v="5"/>
    <n v="1801759.87"/>
  </r>
  <r>
    <x v="23"/>
    <x v="29"/>
    <s v="Total Electric Power Industry"/>
    <x v="6"/>
    <n v="0"/>
  </r>
  <r>
    <x v="23"/>
    <x v="29"/>
    <s v="Electric Generators, Independent Power Producers"/>
    <x v="0"/>
    <n v="1583211.87"/>
  </r>
  <r>
    <x v="23"/>
    <x v="29"/>
    <s v="Electric Generators, Independent Power Producers"/>
    <x v="5"/>
    <n v="1583211.87"/>
  </r>
  <r>
    <x v="23"/>
    <x v="29"/>
    <s v="Electric Generators, Electric Utilities"/>
    <x v="0"/>
    <n v="35170166.899999999"/>
  </r>
  <r>
    <x v="23"/>
    <x v="29"/>
    <s v="Electric Generators, Electric Utilities"/>
    <x v="1"/>
    <n v="26434152.539999999"/>
  </r>
  <r>
    <x v="23"/>
    <x v="29"/>
    <s v="Electric Generators, Electric Utilities"/>
    <x v="2"/>
    <n v="1123915"/>
  </r>
  <r>
    <x v="23"/>
    <x v="29"/>
    <s v="Electric Generators, Electric Utilities"/>
    <x v="3"/>
    <n v="436499.82"/>
  </r>
  <r>
    <x v="23"/>
    <x v="29"/>
    <s v="Electric Generators, Electric Utilities"/>
    <x v="7"/>
    <n v="6865367"/>
  </r>
  <r>
    <x v="23"/>
    <x v="29"/>
    <s v="Electric Generators, Electric Utilities"/>
    <x v="8"/>
    <n v="49124"/>
  </r>
  <r>
    <x v="23"/>
    <x v="29"/>
    <s v="Electric Generators, Electric Utilities"/>
    <x v="4"/>
    <n v="42560.54"/>
  </r>
  <r>
    <x v="23"/>
    <x v="29"/>
    <s v="Electric Generators, Electric Utilities"/>
    <x v="5"/>
    <n v="218548"/>
  </r>
  <r>
    <x v="23"/>
    <x v="29"/>
    <s v="Combined Heat and Power, Industrial Power"/>
    <x v="0"/>
    <n v="332978"/>
  </r>
  <r>
    <x v="23"/>
    <x v="29"/>
    <s v="Combined Heat and Power, Industrial Power"/>
    <x v="1"/>
    <n v="332948.65999999997"/>
  </r>
  <r>
    <x v="23"/>
    <x v="29"/>
    <s v="Combined Heat and Power, Industrial Power"/>
    <x v="3"/>
    <n v="29.34"/>
  </r>
  <r>
    <x v="23"/>
    <x v="29"/>
    <s v="Combined Heat and Power, Industrial Power"/>
    <x v="12"/>
    <n v="0"/>
  </r>
  <r>
    <x v="23"/>
    <x v="29"/>
    <s v="Combined Heat and Power, Industrial Power"/>
    <x v="8"/>
    <n v="0"/>
  </r>
  <r>
    <x v="23"/>
    <x v="29"/>
    <s v="Combined Heat and Power, Industrial Power"/>
    <x v="6"/>
    <n v="0"/>
  </r>
  <r>
    <x v="23"/>
    <x v="29"/>
    <s v="Combined Heat and Power, Commercial Power"/>
    <x v="0"/>
    <n v="18271"/>
  </r>
  <r>
    <x v="23"/>
    <x v="29"/>
    <s v="Combined Heat and Power, Commercial Power"/>
    <x v="3"/>
    <n v="116.13"/>
  </r>
  <r>
    <x v="23"/>
    <x v="29"/>
    <s v="Combined Heat and Power, Commercial Power"/>
    <x v="8"/>
    <n v="18154.87"/>
  </r>
  <r>
    <x v="23"/>
    <x v="30"/>
    <s v="Total Electric Power Industry"/>
    <x v="0"/>
    <n v="19778520.449999999"/>
  </r>
  <r>
    <x v="23"/>
    <x v="30"/>
    <s v="Total Electric Power Industry"/>
    <x v="1"/>
    <n v="1463531.25"/>
  </r>
  <r>
    <x v="23"/>
    <x v="30"/>
    <s v="Total Electric Power Industry"/>
    <x v="2"/>
    <n v="1427198.42"/>
  </r>
  <r>
    <x v="23"/>
    <x v="30"/>
    <s v="Total Electric Power Industry"/>
    <x v="3"/>
    <n v="4100172.01"/>
  </r>
  <r>
    <x v="23"/>
    <x v="30"/>
    <s v="Total Electric Power Industry"/>
    <x v="7"/>
    <n v="10926725"/>
  </r>
  <r>
    <x v="23"/>
    <x v="30"/>
    <s v="Total Electric Power Industry"/>
    <x v="12"/>
    <n v="60978.720000000001"/>
  </r>
  <r>
    <x v="23"/>
    <x v="30"/>
    <s v="Total Electric Power Industry"/>
    <x v="8"/>
    <n v="137286.46"/>
  </r>
  <r>
    <x v="23"/>
    <x v="30"/>
    <s v="Total Electric Power Industry"/>
    <x v="4"/>
    <n v="104512.11"/>
  </r>
  <r>
    <x v="23"/>
    <x v="30"/>
    <s v="Total Electric Power Industry"/>
    <x v="5"/>
    <n v="389184"/>
  </r>
  <r>
    <x v="23"/>
    <x v="30"/>
    <s v="Total Electric Power Industry"/>
    <x v="6"/>
    <n v="1168932.48"/>
  </r>
  <r>
    <x v="23"/>
    <x v="30"/>
    <s v="Electric Generators, Independent Power Producers"/>
    <x v="0"/>
    <n v="17411467.420000002"/>
  </r>
  <r>
    <x v="23"/>
    <x v="30"/>
    <s v="Electric Generators, Independent Power Producers"/>
    <x v="2"/>
    <n v="1069354.42"/>
  </r>
  <r>
    <x v="23"/>
    <x v="30"/>
    <s v="Electric Generators, Independent Power Producers"/>
    <x v="3"/>
    <n v="4030021.25"/>
  </r>
  <r>
    <x v="23"/>
    <x v="30"/>
    <s v="Electric Generators, Independent Power Producers"/>
    <x v="7"/>
    <n v="10926725"/>
  </r>
  <r>
    <x v="23"/>
    <x v="30"/>
    <s v="Electric Generators, Independent Power Producers"/>
    <x v="12"/>
    <n v="60978.720000000001"/>
  </r>
  <r>
    <x v="23"/>
    <x v="30"/>
    <s v="Electric Generators, Independent Power Producers"/>
    <x v="8"/>
    <n v="96473.279999999999"/>
  </r>
  <r>
    <x v="23"/>
    <x v="30"/>
    <s v="Electric Generators, Independent Power Producers"/>
    <x v="4"/>
    <n v="27883.33"/>
  </r>
  <r>
    <x v="23"/>
    <x v="30"/>
    <s v="Electric Generators, Independent Power Producers"/>
    <x v="5"/>
    <n v="389184"/>
  </r>
  <r>
    <x v="23"/>
    <x v="30"/>
    <s v="Electric Generators, Independent Power Producers"/>
    <x v="6"/>
    <n v="810847.42"/>
  </r>
  <r>
    <x v="23"/>
    <x v="30"/>
    <s v="Electric Generators, Electric Utilities"/>
    <x v="0"/>
    <n v="2266903"/>
  </r>
  <r>
    <x v="23"/>
    <x v="30"/>
    <s v="Electric Generators, Electric Utilities"/>
    <x v="1"/>
    <n v="1463531.25"/>
  </r>
  <r>
    <x v="23"/>
    <x v="30"/>
    <s v="Electric Generators, Electric Utilities"/>
    <x v="2"/>
    <n v="357844"/>
  </r>
  <r>
    <x v="23"/>
    <x v="30"/>
    <s v="Electric Generators, Electric Utilities"/>
    <x v="3"/>
    <n v="24825.66"/>
  </r>
  <r>
    <x v="23"/>
    <x v="30"/>
    <s v="Electric Generators, Electric Utilities"/>
    <x v="8"/>
    <n v="613.21"/>
  </r>
  <r>
    <x v="23"/>
    <x v="30"/>
    <s v="Electric Generators, Electric Utilities"/>
    <x v="4"/>
    <n v="62003.81"/>
  </r>
  <r>
    <x v="23"/>
    <x v="30"/>
    <s v="Electric Generators, Electric Utilities"/>
    <x v="6"/>
    <n v="358085.06"/>
  </r>
  <r>
    <x v="23"/>
    <x v="30"/>
    <s v="Combined Heat and Power, Industrial Power"/>
    <x v="0"/>
    <n v="30019"/>
  </r>
  <r>
    <x v="23"/>
    <x v="30"/>
    <s v="Combined Heat and Power, Industrial Power"/>
    <x v="2"/>
    <n v="0"/>
  </r>
  <r>
    <x v="23"/>
    <x v="30"/>
    <s v="Combined Heat and Power, Industrial Power"/>
    <x v="3"/>
    <n v="29760"/>
  </r>
  <r>
    <x v="23"/>
    <x v="30"/>
    <s v="Combined Heat and Power, Industrial Power"/>
    <x v="4"/>
    <n v="259"/>
  </r>
  <r>
    <x v="23"/>
    <x v="30"/>
    <s v="Combined Heat and Power, Commercial Power"/>
    <x v="0"/>
    <n v="70131.03"/>
  </r>
  <r>
    <x v="23"/>
    <x v="30"/>
    <s v="Combined Heat and Power, Commercial Power"/>
    <x v="3"/>
    <n v="15565.1"/>
  </r>
  <r>
    <x v="23"/>
    <x v="30"/>
    <s v="Combined Heat and Power, Commercial Power"/>
    <x v="8"/>
    <n v="40199.97"/>
  </r>
  <r>
    <x v="23"/>
    <x v="30"/>
    <s v="Combined Heat and Power, Commercial Power"/>
    <x v="4"/>
    <n v="14365.97"/>
  </r>
  <r>
    <x v="23"/>
    <x v="31"/>
    <s v="Total Electric Power Industry"/>
    <x v="0"/>
    <n v="64750941.710000001"/>
  </r>
  <r>
    <x v="23"/>
    <x v="31"/>
    <s v="Total Electric Power Industry"/>
    <x v="1"/>
    <n v="2021618.38"/>
  </r>
  <r>
    <x v="23"/>
    <x v="31"/>
    <s v="Total Electric Power Industry"/>
    <x v="2"/>
    <n v="18274"/>
  </r>
  <r>
    <x v="23"/>
    <x v="31"/>
    <s v="Total Electric Power Industry"/>
    <x v="3"/>
    <n v="27076530.27"/>
  </r>
  <r>
    <x v="23"/>
    <x v="31"/>
    <s v="Total Electric Power Industry"/>
    <x v="7"/>
    <n v="33379688"/>
  </r>
  <r>
    <x v="23"/>
    <x v="31"/>
    <s v="Total Electric Power Industry"/>
    <x v="12"/>
    <n v="625083.54"/>
  </r>
  <r>
    <x v="23"/>
    <x v="31"/>
    <s v="Total Electric Power Industry"/>
    <x v="8"/>
    <n v="998832.18"/>
  </r>
  <r>
    <x v="23"/>
    <x v="31"/>
    <s v="Total Electric Power Industry"/>
    <x v="9"/>
    <n v="223164.02"/>
  </r>
  <r>
    <x v="23"/>
    <x v="31"/>
    <s v="Total Electric Power Industry"/>
    <x v="4"/>
    <n v="161598.54"/>
  </r>
  <r>
    <x v="23"/>
    <x v="31"/>
    <s v="Total Electric Power Industry"/>
    <x v="10"/>
    <n v="-202133"/>
  </r>
  <r>
    <x v="23"/>
    <x v="31"/>
    <s v="Total Electric Power Industry"/>
    <x v="13"/>
    <n v="437408.78"/>
  </r>
  <r>
    <x v="23"/>
    <x v="31"/>
    <s v="Total Electric Power Industry"/>
    <x v="5"/>
    <n v="10877"/>
  </r>
  <r>
    <x v="23"/>
    <x v="31"/>
    <s v="Electric Generators, Independent Power Producers"/>
    <x v="0"/>
    <n v="56082922.340000004"/>
  </r>
  <r>
    <x v="23"/>
    <x v="31"/>
    <s v="Electric Generators, Independent Power Producers"/>
    <x v="1"/>
    <n v="434489.39"/>
  </r>
  <r>
    <x v="23"/>
    <x v="31"/>
    <s v="Electric Generators, Independent Power Producers"/>
    <x v="2"/>
    <n v="18274"/>
  </r>
  <r>
    <x v="23"/>
    <x v="31"/>
    <s v="Electric Generators, Independent Power Producers"/>
    <x v="3"/>
    <n v="20714928.539999999"/>
  </r>
  <r>
    <x v="23"/>
    <x v="31"/>
    <s v="Electric Generators, Independent Power Producers"/>
    <x v="7"/>
    <n v="33379688"/>
  </r>
  <r>
    <x v="23"/>
    <x v="31"/>
    <s v="Electric Generators, Independent Power Producers"/>
    <x v="12"/>
    <n v="386119.84"/>
  </r>
  <r>
    <x v="23"/>
    <x v="31"/>
    <s v="Electric Generators, Independent Power Producers"/>
    <x v="8"/>
    <n v="749400.16"/>
  </r>
  <r>
    <x v="23"/>
    <x v="31"/>
    <s v="Electric Generators, Independent Power Producers"/>
    <x v="4"/>
    <n v="78331.41"/>
  </r>
  <r>
    <x v="23"/>
    <x v="31"/>
    <s v="Electric Generators, Independent Power Producers"/>
    <x v="13"/>
    <n v="310814"/>
  </r>
  <r>
    <x v="23"/>
    <x v="31"/>
    <s v="Electric Generators, Independent Power Producers"/>
    <x v="5"/>
    <n v="10877"/>
  </r>
  <r>
    <x v="23"/>
    <x v="31"/>
    <s v="Electric Generators, Electric Utilities"/>
    <x v="0"/>
    <n v="-122674"/>
  </r>
  <r>
    <x v="23"/>
    <x v="31"/>
    <s v="Electric Generators, Electric Utilities"/>
    <x v="1"/>
    <n v="0"/>
  </r>
  <r>
    <x v="23"/>
    <x v="31"/>
    <s v="Electric Generators, Electric Utilities"/>
    <x v="3"/>
    <n v="38523"/>
  </r>
  <r>
    <x v="23"/>
    <x v="31"/>
    <s v="Electric Generators, Electric Utilities"/>
    <x v="4"/>
    <n v="310"/>
  </r>
  <r>
    <x v="23"/>
    <x v="31"/>
    <s v="Electric Generators, Electric Utilities"/>
    <x v="10"/>
    <n v="-202133"/>
  </r>
  <r>
    <x v="23"/>
    <x v="31"/>
    <s v="Electric Generators, Electric Utilities"/>
    <x v="13"/>
    <n v="40626"/>
  </r>
  <r>
    <x v="23"/>
    <x v="31"/>
    <s v="Combined Heat and Power, Industrial Power"/>
    <x v="0"/>
    <n v="793083.3"/>
  </r>
  <r>
    <x v="23"/>
    <x v="31"/>
    <s v="Combined Heat and Power, Industrial Power"/>
    <x v="3"/>
    <n v="415111.97"/>
  </r>
  <r>
    <x v="23"/>
    <x v="31"/>
    <s v="Combined Heat and Power, Industrial Power"/>
    <x v="12"/>
    <n v="93344"/>
  </r>
  <r>
    <x v="23"/>
    <x v="31"/>
    <s v="Combined Heat and Power, Industrial Power"/>
    <x v="9"/>
    <n v="223164.02"/>
  </r>
  <r>
    <x v="23"/>
    <x v="31"/>
    <s v="Combined Heat and Power, Industrial Power"/>
    <x v="4"/>
    <n v="60215.31"/>
  </r>
  <r>
    <x v="23"/>
    <x v="31"/>
    <s v="Combined Heat and Power, Industrial Power"/>
    <x v="13"/>
    <n v="1248"/>
  </r>
  <r>
    <x v="23"/>
    <x v="31"/>
    <s v="Combined Heat and Power, Electric Power"/>
    <x v="0"/>
    <n v="7435592.6100000003"/>
  </r>
  <r>
    <x v="23"/>
    <x v="31"/>
    <s v="Combined Heat and Power, Electric Power"/>
    <x v="1"/>
    <n v="1587128.99"/>
  </r>
  <r>
    <x v="23"/>
    <x v="31"/>
    <s v="Combined Heat and Power, Electric Power"/>
    <x v="3"/>
    <n v="5734043"/>
  </r>
  <r>
    <x v="23"/>
    <x v="31"/>
    <s v="Combined Heat and Power, Electric Power"/>
    <x v="8"/>
    <n v="91667.05"/>
  </r>
  <r>
    <x v="23"/>
    <x v="31"/>
    <s v="Combined Heat and Power, Electric Power"/>
    <x v="4"/>
    <n v="21329.57"/>
  </r>
  <r>
    <x v="23"/>
    <x v="31"/>
    <s v="Combined Heat and Power, Electric Power"/>
    <x v="13"/>
    <n v="1424"/>
  </r>
  <r>
    <x v="23"/>
    <x v="31"/>
    <s v="Combined Heat and Power, Commercial Power"/>
    <x v="0"/>
    <n v="562017.46"/>
  </r>
  <r>
    <x v="23"/>
    <x v="31"/>
    <s v="Combined Heat and Power, Commercial Power"/>
    <x v="3"/>
    <n v="173923.76"/>
  </r>
  <r>
    <x v="23"/>
    <x v="31"/>
    <s v="Combined Heat and Power, Commercial Power"/>
    <x v="12"/>
    <n v="145619.70000000001"/>
  </r>
  <r>
    <x v="23"/>
    <x v="31"/>
    <s v="Combined Heat and Power, Commercial Power"/>
    <x v="8"/>
    <n v="157764.97"/>
  </r>
  <r>
    <x v="23"/>
    <x v="31"/>
    <s v="Combined Heat and Power, Commercial Power"/>
    <x v="4"/>
    <n v="1412.25"/>
  </r>
  <r>
    <x v="23"/>
    <x v="31"/>
    <s v="Combined Heat and Power, Commercial Power"/>
    <x v="13"/>
    <n v="83296.78"/>
  </r>
  <r>
    <x v="23"/>
    <x v="32"/>
    <s v="Total Electric Power Industry"/>
    <x v="0"/>
    <n v="35870965.18"/>
  </r>
  <r>
    <x v="23"/>
    <x v="32"/>
    <s v="Total Electric Power Industry"/>
    <x v="1"/>
    <n v="24145270.91"/>
  </r>
  <r>
    <x v="23"/>
    <x v="32"/>
    <s v="Total Electric Power Industry"/>
    <x v="11"/>
    <n v="69"/>
  </r>
  <r>
    <x v="23"/>
    <x v="32"/>
    <s v="Total Electric Power Industry"/>
    <x v="2"/>
    <n v="91838"/>
  </r>
  <r>
    <x v="23"/>
    <x v="32"/>
    <s v="Total Electric Power Industry"/>
    <x v="3"/>
    <n v="8975243.0999999996"/>
  </r>
  <r>
    <x v="23"/>
    <x v="32"/>
    <s v="Total Electric Power Industry"/>
    <x v="12"/>
    <n v="716"/>
  </r>
  <r>
    <x v="23"/>
    <x v="32"/>
    <s v="Total Electric Power Industry"/>
    <x v="8"/>
    <n v="18518.18"/>
  </r>
  <r>
    <x v="23"/>
    <x v="32"/>
    <s v="Total Electric Power Industry"/>
    <x v="4"/>
    <n v="57847.78"/>
  </r>
  <r>
    <x v="23"/>
    <x v="32"/>
    <s v="Total Electric Power Industry"/>
    <x v="13"/>
    <n v="388041.21"/>
  </r>
  <r>
    <x v="23"/>
    <x v="32"/>
    <s v="Total Electric Power Industry"/>
    <x v="5"/>
    <n v="2193421"/>
  </r>
  <r>
    <x v="23"/>
    <x v="32"/>
    <s v="Electric Generators, Independent Power Producers"/>
    <x v="0"/>
    <n v="5667056.21"/>
  </r>
  <r>
    <x v="23"/>
    <x v="32"/>
    <s v="Electric Generators, Independent Power Producers"/>
    <x v="11"/>
    <n v="69"/>
  </r>
  <r>
    <x v="23"/>
    <x v="32"/>
    <s v="Electric Generators, Independent Power Producers"/>
    <x v="3"/>
    <n v="3143596.32"/>
  </r>
  <r>
    <x v="23"/>
    <x v="32"/>
    <s v="Electric Generators, Independent Power Producers"/>
    <x v="4"/>
    <n v="2283.6799999999998"/>
  </r>
  <r>
    <x v="23"/>
    <x v="32"/>
    <s v="Electric Generators, Independent Power Producers"/>
    <x v="13"/>
    <n v="330827.21000000002"/>
  </r>
  <r>
    <x v="23"/>
    <x v="32"/>
    <s v="Electric Generators, Independent Power Producers"/>
    <x v="5"/>
    <n v="2190280"/>
  </r>
  <r>
    <x v="23"/>
    <x v="32"/>
    <s v="Electric Generators, Electric Utilities"/>
    <x v="0"/>
    <n v="29833095.449999999"/>
  </r>
  <r>
    <x v="23"/>
    <x v="32"/>
    <s v="Electric Generators, Electric Utilities"/>
    <x v="1"/>
    <n v="24145270.91"/>
  </r>
  <r>
    <x v="23"/>
    <x v="32"/>
    <s v="Electric Generators, Electric Utilities"/>
    <x v="2"/>
    <n v="91838"/>
  </r>
  <r>
    <x v="23"/>
    <x v="32"/>
    <s v="Electric Generators, Electric Utilities"/>
    <x v="3"/>
    <n v="5482530.4199999999"/>
  </r>
  <r>
    <x v="23"/>
    <x v="32"/>
    <s v="Electric Generators, Electric Utilities"/>
    <x v="12"/>
    <n v="716"/>
  </r>
  <r>
    <x v="23"/>
    <x v="32"/>
    <s v="Electric Generators, Electric Utilities"/>
    <x v="4"/>
    <n v="55526.12"/>
  </r>
  <r>
    <x v="23"/>
    <x v="32"/>
    <s v="Electric Generators, Electric Utilities"/>
    <x v="13"/>
    <n v="57214"/>
  </r>
  <r>
    <x v="23"/>
    <x v="32"/>
    <s v="Combined Heat and Power, Industrial Power"/>
    <x v="0"/>
    <n v="2289"/>
  </r>
  <r>
    <x v="23"/>
    <x v="32"/>
    <s v="Combined Heat and Power, Industrial Power"/>
    <x v="3"/>
    <n v="2251.02"/>
  </r>
  <r>
    <x v="23"/>
    <x v="32"/>
    <s v="Combined Heat and Power, Industrial Power"/>
    <x v="4"/>
    <n v="37.979999999999997"/>
  </r>
  <r>
    <x v="23"/>
    <x v="32"/>
    <s v="Combined Heat and Power, Electric Power"/>
    <x v="0"/>
    <n v="279473.52"/>
  </r>
  <r>
    <x v="23"/>
    <x v="32"/>
    <s v="Combined Heat and Power, Electric Power"/>
    <x v="3"/>
    <n v="260955.34"/>
  </r>
  <r>
    <x v="23"/>
    <x v="32"/>
    <s v="Combined Heat and Power, Electric Power"/>
    <x v="8"/>
    <n v="18518.18"/>
  </r>
  <r>
    <x v="23"/>
    <x v="32"/>
    <s v="Combined Heat and Power, Commercial Power"/>
    <x v="0"/>
    <n v="89051"/>
  </r>
  <r>
    <x v="23"/>
    <x v="32"/>
    <s v="Combined Heat and Power, Commercial Power"/>
    <x v="3"/>
    <n v="85910"/>
  </r>
  <r>
    <x v="23"/>
    <x v="32"/>
    <s v="Combined Heat and Power, Commercial Power"/>
    <x v="5"/>
    <n v="3141"/>
  </r>
  <r>
    <x v="23"/>
    <x v="33"/>
    <s v="Total Electric Power Industry"/>
    <x v="0"/>
    <n v="36443873.590000004"/>
  </r>
  <r>
    <x v="23"/>
    <x v="33"/>
    <s v="Total Electric Power Industry"/>
    <x v="1"/>
    <n v="5254553.25"/>
  </r>
  <r>
    <x v="23"/>
    <x v="33"/>
    <s v="Total Electric Power Industry"/>
    <x v="11"/>
    <n v="2669953.08"/>
  </r>
  <r>
    <x v="23"/>
    <x v="33"/>
    <s v="Total Electric Power Industry"/>
    <x v="2"/>
    <n v="2681943"/>
  </r>
  <r>
    <x v="23"/>
    <x v="33"/>
    <s v="Total Electric Power Industry"/>
    <x v="3"/>
    <n v="24766633.18"/>
  </r>
  <r>
    <x v="23"/>
    <x v="33"/>
    <s v="Total Electric Power Industry"/>
    <x v="12"/>
    <n v="25388.63"/>
  </r>
  <r>
    <x v="23"/>
    <x v="33"/>
    <s v="Total Electric Power Industry"/>
    <x v="8"/>
    <n v="24277"/>
  </r>
  <r>
    <x v="23"/>
    <x v="33"/>
    <s v="Total Electric Power Industry"/>
    <x v="9"/>
    <n v="6304.15"/>
  </r>
  <r>
    <x v="23"/>
    <x v="33"/>
    <s v="Total Electric Power Industry"/>
    <x v="4"/>
    <n v="18890.310000000001"/>
  </r>
  <r>
    <x v="23"/>
    <x v="33"/>
    <s v="Total Electric Power Industry"/>
    <x v="13"/>
    <n v="745382"/>
  </r>
  <r>
    <x v="23"/>
    <x v="33"/>
    <s v="Total Electric Power Industry"/>
    <x v="5"/>
    <n v="250549"/>
  </r>
  <r>
    <x v="23"/>
    <x v="33"/>
    <s v="Total Electric Power Industry"/>
    <x v="6"/>
    <n v="0"/>
  </r>
  <r>
    <x v="23"/>
    <x v="33"/>
    <s v="Electric Generators, Independent Power Producers"/>
    <x v="0"/>
    <n v="6052984.0800000001"/>
  </r>
  <r>
    <x v="23"/>
    <x v="33"/>
    <s v="Electric Generators, Independent Power Producers"/>
    <x v="1"/>
    <n v="1391279.11"/>
  </r>
  <r>
    <x v="23"/>
    <x v="33"/>
    <s v="Electric Generators, Independent Power Producers"/>
    <x v="11"/>
    <n v="2669953.08"/>
  </r>
  <r>
    <x v="23"/>
    <x v="33"/>
    <s v="Electric Generators, Independent Power Producers"/>
    <x v="2"/>
    <n v="53710"/>
  </r>
  <r>
    <x v="23"/>
    <x v="33"/>
    <s v="Electric Generators, Independent Power Producers"/>
    <x v="3"/>
    <n v="948458"/>
  </r>
  <r>
    <x v="23"/>
    <x v="33"/>
    <s v="Electric Generators, Independent Power Producers"/>
    <x v="8"/>
    <n v="24277"/>
  </r>
  <r>
    <x v="23"/>
    <x v="33"/>
    <s v="Electric Generators, Independent Power Producers"/>
    <x v="4"/>
    <n v="3780.89"/>
  </r>
  <r>
    <x v="23"/>
    <x v="33"/>
    <s v="Electric Generators, Independent Power Producers"/>
    <x v="13"/>
    <n v="710977"/>
  </r>
  <r>
    <x v="23"/>
    <x v="33"/>
    <s v="Electric Generators, Independent Power Producers"/>
    <x v="5"/>
    <n v="250549"/>
  </r>
  <r>
    <x v="23"/>
    <x v="33"/>
    <s v="Electric Generators, Electric Utilities"/>
    <x v="0"/>
    <n v="27888007.629999999"/>
  </r>
  <r>
    <x v="23"/>
    <x v="33"/>
    <s v="Electric Generators, Electric Utilities"/>
    <x v="1"/>
    <n v="3863274.13"/>
  </r>
  <r>
    <x v="23"/>
    <x v="33"/>
    <s v="Electric Generators, Electric Utilities"/>
    <x v="2"/>
    <n v="2628233"/>
  </r>
  <r>
    <x v="23"/>
    <x v="33"/>
    <s v="Electric Generators, Electric Utilities"/>
    <x v="3"/>
    <n v="21356005.82"/>
  </r>
  <r>
    <x v="23"/>
    <x v="33"/>
    <s v="Electric Generators, Electric Utilities"/>
    <x v="12"/>
    <n v="25388.63"/>
  </r>
  <r>
    <x v="23"/>
    <x v="33"/>
    <s v="Electric Generators, Electric Utilities"/>
    <x v="4"/>
    <n v="15106.05"/>
  </r>
  <r>
    <x v="23"/>
    <x v="33"/>
    <s v="Electric Generators, Electric Utilities"/>
    <x v="6"/>
    <n v="0"/>
  </r>
  <r>
    <x v="23"/>
    <x v="33"/>
    <s v="Combined Heat and Power, Industrial Power"/>
    <x v="0"/>
    <n v="250560"/>
  </r>
  <r>
    <x v="23"/>
    <x v="33"/>
    <s v="Combined Heat and Power, Industrial Power"/>
    <x v="3"/>
    <n v="247913"/>
  </r>
  <r>
    <x v="23"/>
    <x v="33"/>
    <s v="Combined Heat and Power, Industrial Power"/>
    <x v="13"/>
    <n v="2647"/>
  </r>
  <r>
    <x v="23"/>
    <x v="33"/>
    <s v="Combined Heat and Power, Electric Power"/>
    <x v="0"/>
    <n v="2153869"/>
  </r>
  <r>
    <x v="23"/>
    <x v="33"/>
    <s v="Combined Heat and Power, Electric Power"/>
    <x v="3"/>
    <n v="2147561.48"/>
  </r>
  <r>
    <x v="23"/>
    <x v="33"/>
    <s v="Combined Heat and Power, Electric Power"/>
    <x v="9"/>
    <n v="6304.15"/>
  </r>
  <r>
    <x v="23"/>
    <x v="33"/>
    <s v="Combined Heat and Power, Electric Power"/>
    <x v="4"/>
    <n v="3.38"/>
  </r>
  <r>
    <x v="23"/>
    <x v="33"/>
    <s v="Combined Heat and Power, Commercial Power"/>
    <x v="0"/>
    <n v="98452.88"/>
  </r>
  <r>
    <x v="23"/>
    <x v="33"/>
    <s v="Combined Heat and Power, Commercial Power"/>
    <x v="3"/>
    <n v="66694.880000000005"/>
  </r>
  <r>
    <x v="23"/>
    <x v="33"/>
    <s v="Combined Heat and Power, Commercial Power"/>
    <x v="13"/>
    <n v="31758"/>
  </r>
  <r>
    <x v="23"/>
    <x v="34"/>
    <s v="Total Electric Power Industry"/>
    <x v="0"/>
    <n v="136116829.97"/>
  </r>
  <r>
    <x v="23"/>
    <x v="34"/>
    <s v="Total Electric Power Industry"/>
    <x v="1"/>
    <n v="4697104.74"/>
  </r>
  <r>
    <x v="23"/>
    <x v="34"/>
    <s v="Total Electric Power Industry"/>
    <x v="2"/>
    <n v="24973289.280000001"/>
  </r>
  <r>
    <x v="23"/>
    <x v="34"/>
    <s v="Total Electric Power Industry"/>
    <x v="3"/>
    <n v="54354386.609999999"/>
  </r>
  <r>
    <x v="23"/>
    <x v="34"/>
    <s v="Total Electric Power Industry"/>
    <x v="7"/>
    <n v="44755606"/>
  </r>
  <r>
    <x v="23"/>
    <x v="34"/>
    <s v="Total Electric Power Industry"/>
    <x v="12"/>
    <n v="883827.46"/>
  </r>
  <r>
    <x v="23"/>
    <x v="34"/>
    <s v="Total Electric Power Industry"/>
    <x v="8"/>
    <n v="1674041.38"/>
  </r>
  <r>
    <x v="23"/>
    <x v="34"/>
    <s v="Total Electric Power Industry"/>
    <x v="4"/>
    <n v="1007373.31"/>
  </r>
  <r>
    <x v="23"/>
    <x v="34"/>
    <s v="Total Electric Power Industry"/>
    <x v="10"/>
    <n v="-442868"/>
  </r>
  <r>
    <x v="23"/>
    <x v="34"/>
    <s v="Total Electric Power Industry"/>
    <x v="13"/>
    <n v="67017.16"/>
  </r>
  <r>
    <x v="23"/>
    <x v="34"/>
    <s v="Total Electric Power Industry"/>
    <x v="5"/>
    <n v="3539498"/>
  </r>
  <r>
    <x v="23"/>
    <x v="34"/>
    <s v="Total Electric Power Industry"/>
    <x v="6"/>
    <n v="607554.03"/>
  </r>
  <r>
    <x v="23"/>
    <x v="34"/>
    <s v="Electric Generators, Independent Power Producers"/>
    <x v="0"/>
    <n v="84712127.489999995"/>
  </r>
  <r>
    <x v="23"/>
    <x v="34"/>
    <s v="Electric Generators, Independent Power Producers"/>
    <x v="1"/>
    <n v="4374723.13"/>
  </r>
  <r>
    <x v="23"/>
    <x v="34"/>
    <s v="Electric Generators, Independent Power Producers"/>
    <x v="2"/>
    <n v="4579004.28"/>
  </r>
  <r>
    <x v="23"/>
    <x v="34"/>
    <s v="Electric Generators, Independent Power Producers"/>
    <x v="3"/>
    <n v="25019832.84"/>
  </r>
  <r>
    <x v="23"/>
    <x v="34"/>
    <s v="Electric Generators, Independent Power Producers"/>
    <x v="7"/>
    <n v="44755606"/>
  </r>
  <r>
    <x v="23"/>
    <x v="34"/>
    <s v="Electric Generators, Independent Power Producers"/>
    <x v="12"/>
    <n v="602759.71"/>
  </r>
  <r>
    <x v="23"/>
    <x v="34"/>
    <s v="Electric Generators, Independent Power Producers"/>
    <x v="8"/>
    <n v="1378952.4"/>
  </r>
  <r>
    <x v="23"/>
    <x v="34"/>
    <s v="Electric Generators, Independent Power Producers"/>
    <x v="4"/>
    <n v="378986.47"/>
  </r>
  <r>
    <x v="23"/>
    <x v="34"/>
    <s v="Electric Generators, Independent Power Producers"/>
    <x v="13"/>
    <n v="67017.16"/>
  </r>
  <r>
    <x v="23"/>
    <x v="34"/>
    <s v="Electric Generators, Independent Power Producers"/>
    <x v="5"/>
    <n v="3535827"/>
  </r>
  <r>
    <x v="23"/>
    <x v="34"/>
    <s v="Electric Generators, Independent Power Producers"/>
    <x v="6"/>
    <n v="19418.509999999998"/>
  </r>
  <r>
    <x v="23"/>
    <x v="34"/>
    <s v="Electric Generators, Electric Utilities"/>
    <x v="0"/>
    <n v="33860489.979999997"/>
  </r>
  <r>
    <x v="23"/>
    <x v="34"/>
    <s v="Electric Generators, Electric Utilities"/>
    <x v="1"/>
    <n v="15243.43"/>
  </r>
  <r>
    <x v="23"/>
    <x v="34"/>
    <s v="Electric Generators, Electric Utilities"/>
    <x v="2"/>
    <n v="20327013"/>
  </r>
  <r>
    <x v="23"/>
    <x v="34"/>
    <s v="Electric Generators, Electric Utilities"/>
    <x v="3"/>
    <n v="13309745.779999999"/>
  </r>
  <r>
    <x v="23"/>
    <x v="34"/>
    <s v="Electric Generators, Electric Utilities"/>
    <x v="12"/>
    <n v="6762.54"/>
  </r>
  <r>
    <x v="23"/>
    <x v="34"/>
    <s v="Electric Generators, Electric Utilities"/>
    <x v="4"/>
    <n v="469917.03"/>
  </r>
  <r>
    <x v="23"/>
    <x v="34"/>
    <s v="Electric Generators, Electric Utilities"/>
    <x v="10"/>
    <n v="-442868"/>
  </r>
  <r>
    <x v="23"/>
    <x v="34"/>
    <s v="Electric Generators, Electric Utilities"/>
    <x v="6"/>
    <n v="174676.2"/>
  </r>
  <r>
    <x v="23"/>
    <x v="34"/>
    <s v="Combined Heat and Power, Industrial Power"/>
    <x v="0"/>
    <n v="938726.9"/>
  </r>
  <r>
    <x v="23"/>
    <x v="34"/>
    <s v="Combined Heat and Power, Industrial Power"/>
    <x v="1"/>
    <n v="307138.18"/>
  </r>
  <r>
    <x v="23"/>
    <x v="34"/>
    <s v="Combined Heat and Power, Industrial Power"/>
    <x v="2"/>
    <n v="61570"/>
  </r>
  <r>
    <x v="23"/>
    <x v="34"/>
    <s v="Combined Heat and Power, Industrial Power"/>
    <x v="3"/>
    <n v="242372.25"/>
  </r>
  <r>
    <x v="23"/>
    <x v="34"/>
    <s v="Combined Heat and Power, Industrial Power"/>
    <x v="4"/>
    <n v="77030.52"/>
  </r>
  <r>
    <x v="23"/>
    <x v="34"/>
    <s v="Combined Heat and Power, Industrial Power"/>
    <x v="5"/>
    <n v="3671"/>
  </r>
  <r>
    <x v="23"/>
    <x v="34"/>
    <s v="Combined Heat and Power, Industrial Power"/>
    <x v="6"/>
    <n v="246944.95"/>
  </r>
  <r>
    <x v="23"/>
    <x v="34"/>
    <s v="Combined Heat and Power, Electric Power"/>
    <x v="0"/>
    <n v="15473146.369999999"/>
  </r>
  <r>
    <x v="23"/>
    <x v="34"/>
    <s v="Combined Heat and Power, Electric Power"/>
    <x v="1"/>
    <n v="0"/>
  </r>
  <r>
    <x v="23"/>
    <x v="34"/>
    <s v="Combined Heat and Power, Electric Power"/>
    <x v="3"/>
    <n v="15072743.300000001"/>
  </r>
  <r>
    <x v="23"/>
    <x v="34"/>
    <s v="Combined Heat and Power, Electric Power"/>
    <x v="12"/>
    <n v="82961.87"/>
  </r>
  <r>
    <x v="23"/>
    <x v="34"/>
    <s v="Combined Heat and Power, Electric Power"/>
    <x v="8"/>
    <n v="86346.93"/>
  </r>
  <r>
    <x v="23"/>
    <x v="34"/>
    <s v="Combined Heat and Power, Electric Power"/>
    <x v="4"/>
    <n v="64579.89"/>
  </r>
  <r>
    <x v="23"/>
    <x v="34"/>
    <s v="Combined Heat and Power, Electric Power"/>
    <x v="6"/>
    <n v="166514.37"/>
  </r>
  <r>
    <x v="23"/>
    <x v="34"/>
    <s v="Combined Heat and Power, Commercial Power"/>
    <x v="0"/>
    <n v="1132339.23"/>
  </r>
  <r>
    <x v="23"/>
    <x v="34"/>
    <s v="Combined Heat and Power, Commercial Power"/>
    <x v="1"/>
    <n v="0"/>
  </r>
  <r>
    <x v="23"/>
    <x v="34"/>
    <s v="Combined Heat and Power, Commercial Power"/>
    <x v="2"/>
    <n v="5702"/>
  </r>
  <r>
    <x v="23"/>
    <x v="34"/>
    <s v="Combined Heat and Power, Commercial Power"/>
    <x v="3"/>
    <n v="709692.44"/>
  </r>
  <r>
    <x v="23"/>
    <x v="34"/>
    <s v="Combined Heat and Power, Commercial Power"/>
    <x v="12"/>
    <n v="191343.34"/>
  </r>
  <r>
    <x v="23"/>
    <x v="34"/>
    <s v="Combined Heat and Power, Commercial Power"/>
    <x v="8"/>
    <n v="208742.05"/>
  </r>
  <r>
    <x v="23"/>
    <x v="34"/>
    <s v="Combined Heat and Power, Commercial Power"/>
    <x v="4"/>
    <n v="16859.400000000001"/>
  </r>
  <r>
    <x v="23"/>
    <x v="35"/>
    <s v="Total Electric Power Industry"/>
    <x v="0"/>
    <n v="137284188.68000001"/>
  </r>
  <r>
    <x v="23"/>
    <x v="35"/>
    <s v="Total Electric Power Industry"/>
    <x v="1"/>
    <n v="94563884.819999993"/>
  </r>
  <r>
    <x v="23"/>
    <x v="35"/>
    <s v="Total Electric Power Industry"/>
    <x v="2"/>
    <n v="549238"/>
  </r>
  <r>
    <x v="23"/>
    <x v="35"/>
    <s v="Total Electric Power Industry"/>
    <x v="3"/>
    <n v="21694211.350000001"/>
  </r>
  <r>
    <x v="23"/>
    <x v="35"/>
    <s v="Total Electric Power Industry"/>
    <x v="7"/>
    <n v="16121250"/>
  </r>
  <r>
    <x v="23"/>
    <x v="35"/>
    <s v="Total Electric Power Industry"/>
    <x v="12"/>
    <n v="7623.65"/>
  </r>
  <r>
    <x v="23"/>
    <x v="35"/>
    <s v="Total Electric Power Industry"/>
    <x v="8"/>
    <n v="474466.14"/>
  </r>
  <r>
    <x v="23"/>
    <x v="35"/>
    <s v="Total Electric Power Industry"/>
    <x v="9"/>
    <n v="952833.68"/>
  </r>
  <r>
    <x v="23"/>
    <x v="35"/>
    <s v="Total Electric Power Industry"/>
    <x v="4"/>
    <n v="1385887.94"/>
  </r>
  <r>
    <x v="23"/>
    <x v="35"/>
    <s v="Total Electric Power Industry"/>
    <x v="13"/>
    <n v="46309.54"/>
  </r>
  <r>
    <x v="23"/>
    <x v="35"/>
    <s v="Total Electric Power Industry"/>
    <x v="5"/>
    <n v="1145900.58"/>
  </r>
  <r>
    <x v="23"/>
    <x v="35"/>
    <s v="Total Electric Power Industry"/>
    <x v="6"/>
    <n v="342582.98"/>
  </r>
  <r>
    <x v="23"/>
    <x v="35"/>
    <s v="Electric Generators, Independent Power Producers"/>
    <x v="0"/>
    <n v="46925304.539999999"/>
  </r>
  <r>
    <x v="23"/>
    <x v="35"/>
    <s v="Electric Generators, Independent Power Producers"/>
    <x v="1"/>
    <n v="16281685.470000001"/>
  </r>
  <r>
    <x v="23"/>
    <x v="35"/>
    <s v="Electric Generators, Independent Power Producers"/>
    <x v="3"/>
    <n v="11354887.98"/>
  </r>
  <r>
    <x v="23"/>
    <x v="35"/>
    <s v="Electric Generators, Independent Power Producers"/>
    <x v="7"/>
    <n v="16121250"/>
  </r>
  <r>
    <x v="23"/>
    <x v="35"/>
    <s v="Electric Generators, Independent Power Producers"/>
    <x v="12"/>
    <n v="-1907"/>
  </r>
  <r>
    <x v="23"/>
    <x v="35"/>
    <s v="Electric Generators, Independent Power Producers"/>
    <x v="8"/>
    <n v="453563"/>
  </r>
  <r>
    <x v="23"/>
    <x v="35"/>
    <s v="Electric Generators, Independent Power Producers"/>
    <x v="9"/>
    <n v="384763.68"/>
  </r>
  <r>
    <x v="23"/>
    <x v="35"/>
    <s v="Electric Generators, Independent Power Producers"/>
    <x v="4"/>
    <n v="1192300.8700000001"/>
  </r>
  <r>
    <x v="23"/>
    <x v="35"/>
    <s v="Electric Generators, Independent Power Producers"/>
    <x v="13"/>
    <n v="36663.54"/>
  </r>
  <r>
    <x v="23"/>
    <x v="35"/>
    <s v="Electric Generators, Independent Power Producers"/>
    <x v="5"/>
    <n v="1102097"/>
  </r>
  <r>
    <x v="23"/>
    <x v="35"/>
    <s v="Electric Generators, Electric Utilities"/>
    <x v="0"/>
    <n v="88763825.079999998"/>
  </r>
  <r>
    <x v="23"/>
    <x v="35"/>
    <s v="Electric Generators, Electric Utilities"/>
    <x v="1"/>
    <n v="78059089.040000007"/>
  </r>
  <r>
    <x v="23"/>
    <x v="35"/>
    <s v="Electric Generators, Electric Utilities"/>
    <x v="2"/>
    <n v="549238"/>
  </r>
  <r>
    <x v="23"/>
    <x v="35"/>
    <s v="Electric Generators, Electric Utilities"/>
    <x v="3"/>
    <n v="9955514.5299999993"/>
  </r>
  <r>
    <x v="23"/>
    <x v="35"/>
    <s v="Electric Generators, Electric Utilities"/>
    <x v="8"/>
    <n v="7150.44"/>
  </r>
  <r>
    <x v="23"/>
    <x v="35"/>
    <s v="Electric Generators, Electric Utilities"/>
    <x v="4"/>
    <n v="171792.07"/>
  </r>
  <r>
    <x v="23"/>
    <x v="35"/>
    <s v="Electric Generators, Electric Utilities"/>
    <x v="13"/>
    <n v="6608"/>
  </r>
  <r>
    <x v="23"/>
    <x v="35"/>
    <s v="Electric Generators, Electric Utilities"/>
    <x v="5"/>
    <n v="14433"/>
  </r>
  <r>
    <x v="23"/>
    <x v="35"/>
    <s v="Combined Heat and Power, Industrial Power"/>
    <x v="0"/>
    <n v="870577.5"/>
  </r>
  <r>
    <x v="23"/>
    <x v="35"/>
    <s v="Combined Heat and Power, Industrial Power"/>
    <x v="1"/>
    <n v="220200.32000000001"/>
  </r>
  <r>
    <x v="23"/>
    <x v="35"/>
    <s v="Combined Heat and Power, Industrial Power"/>
    <x v="3"/>
    <n v="53720.56"/>
  </r>
  <r>
    <x v="23"/>
    <x v="35"/>
    <s v="Combined Heat and Power, Industrial Power"/>
    <x v="12"/>
    <n v="9530.65"/>
  </r>
  <r>
    <x v="23"/>
    <x v="35"/>
    <s v="Combined Heat and Power, Industrial Power"/>
    <x v="8"/>
    <n v="13752.7"/>
  </r>
  <r>
    <x v="23"/>
    <x v="35"/>
    <s v="Combined Heat and Power, Industrial Power"/>
    <x v="9"/>
    <n v="206832.11"/>
  </r>
  <r>
    <x v="23"/>
    <x v="35"/>
    <s v="Combined Heat and Power, Industrial Power"/>
    <x v="4"/>
    <n v="21551.84"/>
  </r>
  <r>
    <x v="23"/>
    <x v="35"/>
    <s v="Combined Heat and Power, Industrial Power"/>
    <x v="5"/>
    <n v="29370.58"/>
  </r>
  <r>
    <x v="23"/>
    <x v="35"/>
    <s v="Combined Heat and Power, Industrial Power"/>
    <x v="6"/>
    <n v="315618.75"/>
  </r>
  <r>
    <x v="23"/>
    <x v="35"/>
    <s v="Combined Heat and Power, Electric Power"/>
    <x v="0"/>
    <n v="538679"/>
  </r>
  <r>
    <x v="23"/>
    <x v="35"/>
    <s v="Combined Heat and Power, Electric Power"/>
    <x v="1"/>
    <n v="0"/>
  </r>
  <r>
    <x v="23"/>
    <x v="35"/>
    <s v="Combined Heat and Power, Electric Power"/>
    <x v="3"/>
    <n v="150476.89000000001"/>
  </r>
  <r>
    <x v="23"/>
    <x v="35"/>
    <s v="Combined Heat and Power, Electric Power"/>
    <x v="9"/>
    <n v="361237.89"/>
  </r>
  <r>
    <x v="23"/>
    <x v="35"/>
    <s v="Combined Heat and Power, Electric Power"/>
    <x v="6"/>
    <n v="26964.23"/>
  </r>
  <r>
    <x v="23"/>
    <x v="35"/>
    <s v="Combined Heat and Power, Commercial Power"/>
    <x v="0"/>
    <n v="185802.55"/>
  </r>
  <r>
    <x v="23"/>
    <x v="35"/>
    <s v="Combined Heat and Power, Commercial Power"/>
    <x v="1"/>
    <n v="2910"/>
  </r>
  <r>
    <x v="23"/>
    <x v="35"/>
    <s v="Combined Heat and Power, Commercial Power"/>
    <x v="3"/>
    <n v="179611.39"/>
  </r>
  <r>
    <x v="23"/>
    <x v="35"/>
    <s v="Combined Heat and Power, Commercial Power"/>
    <x v="8"/>
    <n v="0"/>
  </r>
  <r>
    <x v="23"/>
    <x v="35"/>
    <s v="Combined Heat and Power, Commercial Power"/>
    <x v="4"/>
    <n v="243.16"/>
  </r>
  <r>
    <x v="23"/>
    <x v="35"/>
    <s v="Combined Heat and Power, Commercial Power"/>
    <x v="13"/>
    <n v="3038"/>
  </r>
  <r>
    <x v="23"/>
    <x v="36"/>
    <s v="Total Electric Power Industry"/>
    <x v="0"/>
    <n v="73673680.260000005"/>
  </r>
  <r>
    <x v="23"/>
    <x v="36"/>
    <s v="Total Electric Power Industry"/>
    <x v="1"/>
    <n v="29999448.5"/>
  </r>
  <r>
    <x v="23"/>
    <x v="36"/>
    <s v="Total Electric Power Industry"/>
    <x v="2"/>
    <n v="2178078"/>
  </r>
  <r>
    <x v="23"/>
    <x v="36"/>
    <s v="Total Electric Power Industry"/>
    <x v="3"/>
    <n v="30055997.789999999"/>
  </r>
  <r>
    <x v="23"/>
    <x v="36"/>
    <s v="Total Electric Power Industry"/>
    <x v="12"/>
    <n v="1997.75"/>
  </r>
  <r>
    <x v="23"/>
    <x v="36"/>
    <s v="Total Electric Power Industry"/>
    <x v="8"/>
    <n v="125597.68"/>
  </r>
  <r>
    <x v="23"/>
    <x v="36"/>
    <s v="Total Electric Power Industry"/>
    <x v="4"/>
    <n v="10211.07"/>
  </r>
  <r>
    <x v="23"/>
    <x v="36"/>
    <s v="Total Electric Power Industry"/>
    <x v="10"/>
    <n v="-78457"/>
  </r>
  <r>
    <x v="23"/>
    <x v="36"/>
    <s v="Total Electric Power Industry"/>
    <x v="5"/>
    <n v="11162493"/>
  </r>
  <r>
    <x v="23"/>
    <x v="36"/>
    <s v="Total Electric Power Industry"/>
    <x v="6"/>
    <n v="218313.48"/>
  </r>
  <r>
    <x v="23"/>
    <x v="36"/>
    <s v="Electric Generators, Independent Power Producers"/>
    <x v="0"/>
    <n v="17526171"/>
  </r>
  <r>
    <x v="23"/>
    <x v="36"/>
    <s v="Electric Generators, Independent Power Producers"/>
    <x v="3"/>
    <n v="7976122"/>
  </r>
  <r>
    <x v="23"/>
    <x v="36"/>
    <s v="Electric Generators, Independent Power Producers"/>
    <x v="8"/>
    <n v="18016"/>
  </r>
  <r>
    <x v="23"/>
    <x v="36"/>
    <s v="Electric Generators, Independent Power Producers"/>
    <x v="5"/>
    <n v="9532033"/>
  </r>
  <r>
    <x v="23"/>
    <x v="36"/>
    <s v="Electric Generators, Electric Utilities"/>
    <x v="0"/>
    <n v="53348841"/>
  </r>
  <r>
    <x v="23"/>
    <x v="36"/>
    <s v="Electric Generators, Electric Utilities"/>
    <x v="1"/>
    <n v="27746038.77"/>
  </r>
  <r>
    <x v="23"/>
    <x v="36"/>
    <s v="Electric Generators, Electric Utilities"/>
    <x v="2"/>
    <n v="2178078"/>
  </r>
  <r>
    <x v="23"/>
    <x v="36"/>
    <s v="Electric Generators, Electric Utilities"/>
    <x v="3"/>
    <n v="21863275.02"/>
  </r>
  <r>
    <x v="23"/>
    <x v="36"/>
    <s v="Electric Generators, Electric Utilities"/>
    <x v="12"/>
    <n v="0"/>
  </r>
  <r>
    <x v="23"/>
    <x v="36"/>
    <s v="Electric Generators, Electric Utilities"/>
    <x v="4"/>
    <n v="9446.2000000000007"/>
  </r>
  <r>
    <x v="23"/>
    <x v="36"/>
    <s v="Electric Generators, Electric Utilities"/>
    <x v="10"/>
    <n v="-78457"/>
  </r>
  <r>
    <x v="23"/>
    <x v="36"/>
    <s v="Electric Generators, Electric Utilities"/>
    <x v="5"/>
    <n v="1630460"/>
  </r>
  <r>
    <x v="23"/>
    <x v="36"/>
    <s v="Combined Heat and Power, Industrial Power"/>
    <x v="0"/>
    <n v="792281.38"/>
  </r>
  <r>
    <x v="23"/>
    <x v="36"/>
    <s v="Combined Heat and Power, Industrial Power"/>
    <x v="1"/>
    <n v="380756.73"/>
  </r>
  <r>
    <x v="23"/>
    <x v="36"/>
    <s v="Combined Heat and Power, Industrial Power"/>
    <x v="3"/>
    <n v="82868.39"/>
  </r>
  <r>
    <x v="23"/>
    <x v="36"/>
    <s v="Combined Heat and Power, Industrial Power"/>
    <x v="12"/>
    <n v="1997.75"/>
  </r>
  <r>
    <x v="23"/>
    <x v="36"/>
    <s v="Combined Heat and Power, Industrial Power"/>
    <x v="8"/>
    <n v="107581.68"/>
  </r>
  <r>
    <x v="23"/>
    <x v="36"/>
    <s v="Combined Heat and Power, Industrial Power"/>
    <x v="4"/>
    <n v="763.35"/>
  </r>
  <r>
    <x v="23"/>
    <x v="36"/>
    <s v="Combined Heat and Power, Industrial Power"/>
    <x v="6"/>
    <n v="218313.48"/>
  </r>
  <r>
    <x v="23"/>
    <x v="36"/>
    <s v="Combined Heat and Power, Electric Power"/>
    <x v="0"/>
    <n v="2062328"/>
  </r>
  <r>
    <x v="23"/>
    <x v="36"/>
    <s v="Combined Heat and Power, Electric Power"/>
    <x v="1"/>
    <n v="1872653"/>
  </r>
  <r>
    <x v="23"/>
    <x v="36"/>
    <s v="Combined Heat and Power, Electric Power"/>
    <x v="3"/>
    <n v="189675"/>
  </r>
  <r>
    <x v="23"/>
    <x v="36"/>
    <s v="Combined Heat and Power, Commercial Power"/>
    <x v="0"/>
    <n v="-55941.11"/>
  </r>
  <r>
    <x v="23"/>
    <x v="36"/>
    <s v="Combined Heat and Power, Commercial Power"/>
    <x v="3"/>
    <n v="-55942.63"/>
  </r>
  <r>
    <x v="23"/>
    <x v="36"/>
    <s v="Combined Heat and Power, Commercial Power"/>
    <x v="4"/>
    <n v="1.51"/>
  </r>
  <r>
    <x v="23"/>
    <x v="37"/>
    <s v="Total Electric Power Industry"/>
    <x v="0"/>
    <n v="59895514.659999996"/>
  </r>
  <r>
    <x v="23"/>
    <x v="37"/>
    <s v="Total Electric Power Industry"/>
    <x v="1"/>
    <n v="3758995.72"/>
  </r>
  <r>
    <x v="23"/>
    <x v="37"/>
    <s v="Total Electric Power Industry"/>
    <x v="11"/>
    <n v="164649"/>
  </r>
  <r>
    <x v="23"/>
    <x v="37"/>
    <s v="Total Electric Power Industry"/>
    <x v="2"/>
    <n v="33097667"/>
  </r>
  <r>
    <x v="23"/>
    <x v="37"/>
    <s v="Total Electric Power Industry"/>
    <x v="3"/>
    <n v="14363040.27"/>
  </r>
  <r>
    <x v="23"/>
    <x v="37"/>
    <s v="Total Electric Power Industry"/>
    <x v="12"/>
    <n v="34745.5"/>
  </r>
  <r>
    <x v="23"/>
    <x v="37"/>
    <s v="Total Electric Power Industry"/>
    <x v="8"/>
    <n v="293888.37"/>
  </r>
  <r>
    <x v="23"/>
    <x v="37"/>
    <s v="Total Electric Power Industry"/>
    <x v="4"/>
    <n v="6151.44"/>
  </r>
  <r>
    <x v="23"/>
    <x v="37"/>
    <s v="Total Electric Power Industry"/>
    <x v="13"/>
    <n v="20493"/>
  </r>
  <r>
    <x v="23"/>
    <x v="37"/>
    <s v="Total Electric Power Industry"/>
    <x v="5"/>
    <n v="7455702"/>
  </r>
  <r>
    <x v="23"/>
    <x v="37"/>
    <s v="Total Electric Power Industry"/>
    <x v="6"/>
    <n v="700182.35"/>
  </r>
  <r>
    <x v="23"/>
    <x v="37"/>
    <s v="Electric Generators, Independent Power Producers"/>
    <x v="0"/>
    <n v="10562552"/>
  </r>
  <r>
    <x v="23"/>
    <x v="37"/>
    <s v="Electric Generators, Independent Power Producers"/>
    <x v="11"/>
    <n v="164649"/>
  </r>
  <r>
    <x v="23"/>
    <x v="37"/>
    <s v="Electric Generators, Independent Power Producers"/>
    <x v="2"/>
    <n v="243589"/>
  </r>
  <r>
    <x v="23"/>
    <x v="37"/>
    <s v="Electric Generators, Independent Power Producers"/>
    <x v="3"/>
    <n v="3702704.55"/>
  </r>
  <r>
    <x v="23"/>
    <x v="37"/>
    <s v="Electric Generators, Independent Power Producers"/>
    <x v="12"/>
    <n v="34745.5"/>
  </r>
  <r>
    <x v="23"/>
    <x v="37"/>
    <s v="Electric Generators, Independent Power Producers"/>
    <x v="8"/>
    <n v="172251.95"/>
  </r>
  <r>
    <x v="23"/>
    <x v="37"/>
    <s v="Electric Generators, Independent Power Producers"/>
    <x v="13"/>
    <n v="13883"/>
  </r>
  <r>
    <x v="23"/>
    <x v="37"/>
    <s v="Electric Generators, Independent Power Producers"/>
    <x v="5"/>
    <n v="6058719"/>
  </r>
  <r>
    <x v="23"/>
    <x v="37"/>
    <s v="Electric Generators, Independent Power Producers"/>
    <x v="6"/>
    <n v="172010"/>
  </r>
  <r>
    <x v="23"/>
    <x v="37"/>
    <s v="Electric Generators, Electric Utilities"/>
    <x v="0"/>
    <n v="43254167"/>
  </r>
  <r>
    <x v="23"/>
    <x v="37"/>
    <s v="Electric Generators, Electric Utilities"/>
    <x v="1"/>
    <n v="3758995.72"/>
  </r>
  <r>
    <x v="23"/>
    <x v="37"/>
    <s v="Electric Generators, Electric Utilities"/>
    <x v="2"/>
    <n v="32854078"/>
  </r>
  <r>
    <x v="23"/>
    <x v="37"/>
    <s v="Electric Generators, Electric Utilities"/>
    <x v="3"/>
    <n v="5168708.8899999997"/>
  </r>
  <r>
    <x v="23"/>
    <x v="37"/>
    <s v="Electric Generators, Electric Utilities"/>
    <x v="8"/>
    <n v="63106"/>
  </r>
  <r>
    <x v="23"/>
    <x v="37"/>
    <s v="Electric Generators, Electric Utilities"/>
    <x v="4"/>
    <n v="5685.39"/>
  </r>
  <r>
    <x v="23"/>
    <x v="37"/>
    <s v="Electric Generators, Electric Utilities"/>
    <x v="13"/>
    <n v="6610"/>
  </r>
  <r>
    <x v="23"/>
    <x v="37"/>
    <s v="Electric Generators, Electric Utilities"/>
    <x v="5"/>
    <n v="1396983"/>
  </r>
  <r>
    <x v="23"/>
    <x v="37"/>
    <s v="Combined Heat and Power, Industrial Power"/>
    <x v="0"/>
    <n v="594813.25"/>
  </r>
  <r>
    <x v="23"/>
    <x v="37"/>
    <s v="Combined Heat and Power, Industrial Power"/>
    <x v="3"/>
    <n v="51388.47"/>
  </r>
  <r>
    <x v="23"/>
    <x v="37"/>
    <s v="Combined Heat and Power, Industrial Power"/>
    <x v="8"/>
    <n v="15252.43"/>
  </r>
  <r>
    <x v="23"/>
    <x v="37"/>
    <s v="Combined Heat and Power, Industrial Power"/>
    <x v="4"/>
    <n v="0"/>
  </r>
  <r>
    <x v="23"/>
    <x v="37"/>
    <s v="Combined Heat and Power, Industrial Power"/>
    <x v="6"/>
    <n v="528172.35"/>
  </r>
  <r>
    <x v="23"/>
    <x v="37"/>
    <s v="Combined Heat and Power, Electric Power"/>
    <x v="0"/>
    <n v="5385568"/>
  </r>
  <r>
    <x v="23"/>
    <x v="37"/>
    <s v="Combined Heat and Power, Electric Power"/>
    <x v="3"/>
    <n v="5363906"/>
  </r>
  <r>
    <x v="23"/>
    <x v="37"/>
    <s v="Combined Heat and Power, Electric Power"/>
    <x v="8"/>
    <n v="21662"/>
  </r>
  <r>
    <x v="23"/>
    <x v="37"/>
    <s v="Combined Heat and Power, Electric Power"/>
    <x v="6"/>
    <n v="0"/>
  </r>
  <r>
    <x v="23"/>
    <x v="37"/>
    <s v="Combined Heat and Power, Commercial Power"/>
    <x v="0"/>
    <n v="98414.41"/>
  </r>
  <r>
    <x v="23"/>
    <x v="37"/>
    <s v="Combined Heat and Power, Commercial Power"/>
    <x v="3"/>
    <n v="76332.36"/>
  </r>
  <r>
    <x v="23"/>
    <x v="37"/>
    <s v="Combined Heat and Power, Commercial Power"/>
    <x v="8"/>
    <n v="21616"/>
  </r>
  <r>
    <x v="23"/>
    <x v="37"/>
    <s v="Combined Heat and Power, Commercial Power"/>
    <x v="4"/>
    <n v="466.05"/>
  </r>
  <r>
    <x v="23"/>
    <x v="38"/>
    <s v="Total Electric Power Industry"/>
    <x v="0"/>
    <n v="226785630.47"/>
  </r>
  <r>
    <x v="23"/>
    <x v="38"/>
    <s v="Total Electric Power Industry"/>
    <x v="1"/>
    <n v="88443208.959999993"/>
  </r>
  <r>
    <x v="23"/>
    <x v="38"/>
    <s v="Total Electric Power Industry"/>
    <x v="2"/>
    <n v="2524673.02"/>
  </r>
  <r>
    <x v="23"/>
    <x v="38"/>
    <s v="Total Electric Power Industry"/>
    <x v="3"/>
    <n v="49937702.289999999"/>
  </r>
  <r>
    <x v="23"/>
    <x v="38"/>
    <s v="Total Electric Power Industry"/>
    <x v="7"/>
    <n v="78714031"/>
  </r>
  <r>
    <x v="23"/>
    <x v="38"/>
    <s v="Total Electric Power Industry"/>
    <x v="12"/>
    <n v="840579.11"/>
  </r>
  <r>
    <x v="23"/>
    <x v="38"/>
    <s v="Total Electric Power Industry"/>
    <x v="8"/>
    <n v="1846840.16"/>
  </r>
  <r>
    <x v="23"/>
    <x v="38"/>
    <s v="Total Electric Power Industry"/>
    <x v="9"/>
    <n v="650147.43999999994"/>
  </r>
  <r>
    <x v="23"/>
    <x v="38"/>
    <s v="Total Electric Power Industry"/>
    <x v="4"/>
    <n v="460072.03"/>
  </r>
  <r>
    <x v="23"/>
    <x v="38"/>
    <s v="Total Electric Power Industry"/>
    <x v="10"/>
    <n v="-538770"/>
  </r>
  <r>
    <x v="23"/>
    <x v="38"/>
    <s v="Total Electric Power Industry"/>
    <x v="13"/>
    <n v="63105.81"/>
  </r>
  <r>
    <x v="23"/>
    <x v="38"/>
    <s v="Total Electric Power Industry"/>
    <x v="5"/>
    <n v="3352043"/>
  </r>
  <r>
    <x v="23"/>
    <x v="38"/>
    <s v="Total Electric Power Industry"/>
    <x v="6"/>
    <n v="491997.65"/>
  </r>
  <r>
    <x v="23"/>
    <x v="38"/>
    <s v="Electric Generators, Independent Power Producers"/>
    <x v="0"/>
    <n v="212505920.24000001"/>
  </r>
  <r>
    <x v="23"/>
    <x v="38"/>
    <s v="Electric Generators, Independent Power Producers"/>
    <x v="1"/>
    <n v="83812625.709999993"/>
  </r>
  <r>
    <x v="23"/>
    <x v="38"/>
    <s v="Electric Generators, Independent Power Producers"/>
    <x v="2"/>
    <n v="1422648"/>
  </r>
  <r>
    <x v="23"/>
    <x v="38"/>
    <s v="Electric Generators, Independent Power Producers"/>
    <x v="3"/>
    <n v="43329071.68"/>
  </r>
  <r>
    <x v="23"/>
    <x v="38"/>
    <s v="Electric Generators, Independent Power Producers"/>
    <x v="7"/>
    <n v="78714031"/>
  </r>
  <r>
    <x v="23"/>
    <x v="38"/>
    <s v="Electric Generators, Independent Power Producers"/>
    <x v="12"/>
    <n v="671722.45"/>
  </r>
  <r>
    <x v="23"/>
    <x v="38"/>
    <s v="Electric Generators, Independent Power Producers"/>
    <x v="8"/>
    <n v="1419581.8"/>
  </r>
  <r>
    <x v="23"/>
    <x v="38"/>
    <s v="Electric Generators, Independent Power Producers"/>
    <x v="4"/>
    <n v="267970.56"/>
  </r>
  <r>
    <x v="23"/>
    <x v="38"/>
    <s v="Electric Generators, Independent Power Producers"/>
    <x v="10"/>
    <n v="-538770"/>
  </r>
  <r>
    <x v="23"/>
    <x v="38"/>
    <s v="Electric Generators, Independent Power Producers"/>
    <x v="13"/>
    <n v="54738.82"/>
  </r>
  <r>
    <x v="23"/>
    <x v="38"/>
    <s v="Electric Generators, Independent Power Producers"/>
    <x v="5"/>
    <n v="3352043"/>
  </r>
  <r>
    <x v="23"/>
    <x v="38"/>
    <s v="Electric Generators, Independent Power Producers"/>
    <x v="6"/>
    <n v="257.22000000000003"/>
  </r>
  <r>
    <x v="23"/>
    <x v="38"/>
    <s v="Electric Generators, Electric Utilities"/>
    <x v="0"/>
    <n v="1105740.02"/>
  </r>
  <r>
    <x v="23"/>
    <x v="38"/>
    <s v="Electric Generators, Electric Utilities"/>
    <x v="2"/>
    <n v="1102025.02"/>
  </r>
  <r>
    <x v="23"/>
    <x v="38"/>
    <s v="Electric Generators, Electric Utilities"/>
    <x v="3"/>
    <n v="3317.26"/>
  </r>
  <r>
    <x v="23"/>
    <x v="38"/>
    <s v="Electric Generators, Electric Utilities"/>
    <x v="4"/>
    <n v="397.74"/>
  </r>
  <r>
    <x v="23"/>
    <x v="38"/>
    <s v="Combined Heat and Power, Industrial Power"/>
    <x v="0"/>
    <n v="2876221.84"/>
  </r>
  <r>
    <x v="23"/>
    <x v="38"/>
    <s v="Combined Heat and Power, Industrial Power"/>
    <x v="1"/>
    <n v="466088.44"/>
  </r>
  <r>
    <x v="23"/>
    <x v="38"/>
    <s v="Combined Heat and Power, Industrial Power"/>
    <x v="3"/>
    <n v="1062511.1599999999"/>
  </r>
  <r>
    <x v="23"/>
    <x v="38"/>
    <s v="Combined Heat and Power, Industrial Power"/>
    <x v="8"/>
    <n v="57486.31"/>
  </r>
  <r>
    <x v="23"/>
    <x v="38"/>
    <s v="Combined Heat and Power, Industrial Power"/>
    <x v="9"/>
    <n v="650147.43999999994"/>
  </r>
  <r>
    <x v="23"/>
    <x v="38"/>
    <s v="Combined Heat and Power, Industrial Power"/>
    <x v="4"/>
    <n v="166426.18"/>
  </r>
  <r>
    <x v="23"/>
    <x v="38"/>
    <s v="Combined Heat and Power, Industrial Power"/>
    <x v="13"/>
    <n v="8366"/>
  </r>
  <r>
    <x v="23"/>
    <x v="38"/>
    <s v="Combined Heat and Power, Industrial Power"/>
    <x v="6"/>
    <n v="465196.32"/>
  </r>
  <r>
    <x v="23"/>
    <x v="38"/>
    <s v="Combined Heat and Power, Electric Power"/>
    <x v="0"/>
    <n v="9942781.4800000004"/>
  </r>
  <r>
    <x v="23"/>
    <x v="38"/>
    <s v="Combined Heat and Power, Electric Power"/>
    <x v="1"/>
    <n v="4146252.05"/>
  </r>
  <r>
    <x v="23"/>
    <x v="38"/>
    <s v="Combined Heat and Power, Electric Power"/>
    <x v="3"/>
    <n v="5430006.6500000004"/>
  </r>
  <r>
    <x v="23"/>
    <x v="38"/>
    <s v="Combined Heat and Power, Electric Power"/>
    <x v="12"/>
    <n v="65751.460000000006"/>
  </r>
  <r>
    <x v="23"/>
    <x v="38"/>
    <s v="Combined Heat and Power, Electric Power"/>
    <x v="8"/>
    <n v="250865.78"/>
  </r>
  <r>
    <x v="23"/>
    <x v="38"/>
    <s v="Combined Heat and Power, Electric Power"/>
    <x v="4"/>
    <n v="23361.439999999999"/>
  </r>
  <r>
    <x v="23"/>
    <x v="38"/>
    <s v="Combined Heat and Power, Electric Power"/>
    <x v="6"/>
    <n v="26544.11"/>
  </r>
  <r>
    <x v="23"/>
    <x v="38"/>
    <s v="Combined Heat and Power, Commercial Power"/>
    <x v="0"/>
    <n v="354966.89"/>
  </r>
  <r>
    <x v="23"/>
    <x v="38"/>
    <s v="Combined Heat and Power, Commercial Power"/>
    <x v="1"/>
    <n v="18242.77"/>
  </r>
  <r>
    <x v="23"/>
    <x v="38"/>
    <s v="Combined Heat and Power, Commercial Power"/>
    <x v="3"/>
    <n v="112795.55"/>
  </r>
  <r>
    <x v="23"/>
    <x v="38"/>
    <s v="Combined Heat and Power, Commercial Power"/>
    <x v="12"/>
    <n v="103105.2"/>
  </r>
  <r>
    <x v="23"/>
    <x v="38"/>
    <s v="Combined Heat and Power, Commercial Power"/>
    <x v="8"/>
    <n v="118906.27"/>
  </r>
  <r>
    <x v="23"/>
    <x v="38"/>
    <s v="Combined Heat and Power, Commercial Power"/>
    <x v="4"/>
    <n v="1916.11"/>
  </r>
  <r>
    <x v="23"/>
    <x v="38"/>
    <s v="Combined Heat and Power, Commercial Power"/>
    <x v="13"/>
    <n v="0.99"/>
  </r>
  <r>
    <x v="23"/>
    <x v="39"/>
    <s v="Total Electric Power Industry"/>
    <x v="0"/>
    <n v="6246806.7199999997"/>
  </r>
  <r>
    <x v="23"/>
    <x v="39"/>
    <s v="Total Electric Power Industry"/>
    <x v="2"/>
    <n v="4447.08"/>
  </r>
  <r>
    <x v="23"/>
    <x v="39"/>
    <s v="Total Electric Power Industry"/>
    <x v="3"/>
    <n v="6139090.4199999999"/>
  </r>
  <r>
    <x v="23"/>
    <x v="39"/>
    <s v="Total Electric Power Industry"/>
    <x v="8"/>
    <n v="48132.38"/>
  </r>
  <r>
    <x v="23"/>
    <x v="39"/>
    <s v="Total Electric Power Industry"/>
    <x v="4"/>
    <n v="50540.24"/>
  </r>
  <r>
    <x v="23"/>
    <x v="39"/>
    <s v="Total Electric Power Industry"/>
    <x v="13"/>
    <n v="2006.6"/>
  </r>
  <r>
    <x v="23"/>
    <x v="39"/>
    <s v="Total Electric Power Industry"/>
    <x v="5"/>
    <n v="2590"/>
  </r>
  <r>
    <x v="23"/>
    <x v="39"/>
    <s v="Electric Generators, Independent Power Producers"/>
    <x v="0"/>
    <n v="6182246.2400000002"/>
  </r>
  <r>
    <x v="23"/>
    <x v="39"/>
    <s v="Electric Generators, Independent Power Producers"/>
    <x v="2"/>
    <n v="4447.08"/>
  </r>
  <r>
    <x v="23"/>
    <x v="39"/>
    <s v="Electric Generators, Independent Power Producers"/>
    <x v="3"/>
    <n v="6099096.1299999999"/>
  </r>
  <r>
    <x v="23"/>
    <x v="39"/>
    <s v="Electric Generators, Independent Power Producers"/>
    <x v="8"/>
    <n v="48132.38"/>
  </r>
  <r>
    <x v="23"/>
    <x v="39"/>
    <s v="Electric Generators, Independent Power Producers"/>
    <x v="4"/>
    <n v="25974.05"/>
  </r>
  <r>
    <x v="23"/>
    <x v="39"/>
    <s v="Electric Generators, Independent Power Producers"/>
    <x v="13"/>
    <n v="2006.6"/>
  </r>
  <r>
    <x v="23"/>
    <x v="39"/>
    <s v="Electric Generators, Independent Power Producers"/>
    <x v="5"/>
    <n v="2590"/>
  </r>
  <r>
    <x v="23"/>
    <x v="39"/>
    <s v="Electric Generators, Electric Utilities"/>
    <x v="0"/>
    <n v="10659"/>
  </r>
  <r>
    <x v="23"/>
    <x v="39"/>
    <s v="Electric Generators, Electric Utilities"/>
    <x v="4"/>
    <n v="10659"/>
  </r>
  <r>
    <x v="23"/>
    <x v="39"/>
    <s v="Combined Heat and Power, Commercial Power"/>
    <x v="0"/>
    <n v="53901.48"/>
  </r>
  <r>
    <x v="23"/>
    <x v="39"/>
    <s v="Combined Heat and Power, Commercial Power"/>
    <x v="3"/>
    <n v="39994.29"/>
  </r>
  <r>
    <x v="23"/>
    <x v="39"/>
    <s v="Combined Heat and Power, Commercial Power"/>
    <x v="4"/>
    <n v="13907.19"/>
  </r>
  <r>
    <x v="23"/>
    <x v="40"/>
    <s v="Total Electric Power Industry"/>
    <x v="0"/>
    <n v="95249893.969999999"/>
  </r>
  <r>
    <x v="23"/>
    <x v="40"/>
    <s v="Total Electric Power Industry"/>
    <x v="1"/>
    <n v="24407147.780000001"/>
  </r>
  <r>
    <x v="23"/>
    <x v="40"/>
    <s v="Total Electric Power Industry"/>
    <x v="2"/>
    <n v="3160274"/>
  </r>
  <r>
    <x v="23"/>
    <x v="40"/>
    <s v="Total Electric Power Industry"/>
    <x v="3"/>
    <n v="11834074.18"/>
  </r>
  <r>
    <x v="23"/>
    <x v="40"/>
    <s v="Total Electric Power Industry"/>
    <x v="7"/>
    <n v="54251968"/>
  </r>
  <r>
    <x v="23"/>
    <x v="40"/>
    <s v="Total Electric Power Industry"/>
    <x v="12"/>
    <n v="62006.96"/>
  </r>
  <r>
    <x v="23"/>
    <x v="40"/>
    <s v="Total Electric Power Industry"/>
    <x v="8"/>
    <n v="212896.28"/>
  </r>
  <r>
    <x v="23"/>
    <x v="40"/>
    <s v="Total Electric Power Industry"/>
    <x v="4"/>
    <n v="103346.23"/>
  </r>
  <r>
    <x v="23"/>
    <x v="40"/>
    <s v="Total Electric Power Industry"/>
    <x v="10"/>
    <n v="-794922"/>
  </r>
  <r>
    <x v="23"/>
    <x v="40"/>
    <s v="Total Electric Power Industry"/>
    <x v="13"/>
    <n v="115"/>
  </r>
  <r>
    <x v="23"/>
    <x v="40"/>
    <s v="Total Electric Power Industry"/>
    <x v="6"/>
    <n v="2012987.54"/>
  </r>
  <r>
    <x v="23"/>
    <x v="40"/>
    <s v="Electric Generators, Independent Power Producers"/>
    <x v="0"/>
    <n v="516429"/>
  </r>
  <r>
    <x v="23"/>
    <x v="40"/>
    <s v="Electric Generators, Independent Power Producers"/>
    <x v="1"/>
    <n v="0"/>
  </r>
  <r>
    <x v="23"/>
    <x v="40"/>
    <s v="Electric Generators, Independent Power Producers"/>
    <x v="2"/>
    <n v="100286"/>
  </r>
  <r>
    <x v="23"/>
    <x v="40"/>
    <s v="Electric Generators, Independent Power Producers"/>
    <x v="3"/>
    <n v="390821"/>
  </r>
  <r>
    <x v="23"/>
    <x v="40"/>
    <s v="Electric Generators, Independent Power Producers"/>
    <x v="8"/>
    <n v="17765"/>
  </r>
  <r>
    <x v="23"/>
    <x v="40"/>
    <s v="Electric Generators, Independent Power Producers"/>
    <x v="4"/>
    <n v="0"/>
  </r>
  <r>
    <x v="23"/>
    <x v="40"/>
    <s v="Electric Generators, Independent Power Producers"/>
    <x v="13"/>
    <n v="115"/>
  </r>
  <r>
    <x v="23"/>
    <x v="40"/>
    <s v="Electric Generators, Independent Power Producers"/>
    <x v="6"/>
    <n v="7442"/>
  </r>
  <r>
    <x v="23"/>
    <x v="40"/>
    <s v="Electric Generators, Electric Utilities"/>
    <x v="0"/>
    <n v="91795731.959999993"/>
  </r>
  <r>
    <x v="23"/>
    <x v="40"/>
    <s v="Electric Generators, Electric Utilities"/>
    <x v="1"/>
    <n v="24248292.02"/>
  </r>
  <r>
    <x v="23"/>
    <x v="40"/>
    <s v="Electric Generators, Electric Utilities"/>
    <x v="2"/>
    <n v="3056127"/>
  </r>
  <r>
    <x v="23"/>
    <x v="40"/>
    <s v="Electric Generators, Electric Utilities"/>
    <x v="3"/>
    <n v="10504596.66"/>
  </r>
  <r>
    <x v="23"/>
    <x v="40"/>
    <s v="Electric Generators, Electric Utilities"/>
    <x v="7"/>
    <n v="54251968"/>
  </r>
  <r>
    <x v="23"/>
    <x v="40"/>
    <s v="Electric Generators, Electric Utilities"/>
    <x v="8"/>
    <n v="127134.96"/>
  </r>
  <r>
    <x v="23"/>
    <x v="40"/>
    <s v="Electric Generators, Electric Utilities"/>
    <x v="4"/>
    <n v="90979.75"/>
  </r>
  <r>
    <x v="23"/>
    <x v="40"/>
    <s v="Electric Generators, Electric Utilities"/>
    <x v="10"/>
    <n v="-794922"/>
  </r>
  <r>
    <x v="23"/>
    <x v="40"/>
    <s v="Electric Generators, Electric Utilities"/>
    <x v="6"/>
    <n v="311555.57"/>
  </r>
  <r>
    <x v="23"/>
    <x v="40"/>
    <s v="Combined Heat and Power, Industrial Power"/>
    <x v="0"/>
    <n v="1984461.38"/>
  </r>
  <r>
    <x v="23"/>
    <x v="40"/>
    <s v="Combined Heat and Power, Industrial Power"/>
    <x v="1"/>
    <n v="158855.76"/>
  </r>
  <r>
    <x v="23"/>
    <x v="40"/>
    <s v="Combined Heat and Power, Industrial Power"/>
    <x v="3"/>
    <n v="58187.89"/>
  </r>
  <r>
    <x v="23"/>
    <x v="40"/>
    <s v="Combined Heat and Power, Industrial Power"/>
    <x v="12"/>
    <n v="56567.99"/>
  </r>
  <r>
    <x v="23"/>
    <x v="40"/>
    <s v="Combined Heat and Power, Industrial Power"/>
    <x v="8"/>
    <n v="67996.320000000007"/>
  </r>
  <r>
    <x v="23"/>
    <x v="40"/>
    <s v="Combined Heat and Power, Industrial Power"/>
    <x v="4"/>
    <n v="9334.83"/>
  </r>
  <r>
    <x v="23"/>
    <x v="40"/>
    <s v="Combined Heat and Power, Industrial Power"/>
    <x v="6"/>
    <n v="1633518.59"/>
  </r>
  <r>
    <x v="23"/>
    <x v="40"/>
    <s v="Combined Heat and Power, Electric Power"/>
    <x v="0"/>
    <n v="944381.63"/>
  </r>
  <r>
    <x v="23"/>
    <x v="40"/>
    <s v="Combined Heat and Power, Electric Power"/>
    <x v="3"/>
    <n v="875598.63"/>
  </r>
  <r>
    <x v="23"/>
    <x v="40"/>
    <s v="Combined Heat and Power, Electric Power"/>
    <x v="12"/>
    <n v="5438.97"/>
  </r>
  <r>
    <x v="23"/>
    <x v="40"/>
    <s v="Combined Heat and Power, Electric Power"/>
    <x v="4"/>
    <n v="2872.65"/>
  </r>
  <r>
    <x v="23"/>
    <x v="40"/>
    <s v="Combined Heat and Power, Electric Power"/>
    <x v="6"/>
    <n v="60471.38"/>
  </r>
  <r>
    <x v="23"/>
    <x v="40"/>
    <s v="Combined Heat and Power, Commercial Power"/>
    <x v="0"/>
    <n v="8890"/>
  </r>
  <r>
    <x v="23"/>
    <x v="40"/>
    <s v="Combined Heat and Power, Commercial Power"/>
    <x v="2"/>
    <n v="3861"/>
  </r>
  <r>
    <x v="23"/>
    <x v="40"/>
    <s v="Combined Heat and Power, Commercial Power"/>
    <x v="3"/>
    <n v="4870"/>
  </r>
  <r>
    <x v="23"/>
    <x v="40"/>
    <s v="Combined Heat and Power, Commercial Power"/>
    <x v="4"/>
    <n v="159"/>
  </r>
  <r>
    <x v="23"/>
    <x v="41"/>
    <s v="Total Electric Power Industry"/>
    <x v="0"/>
    <n v="10108886.5"/>
  </r>
  <r>
    <x v="23"/>
    <x v="41"/>
    <s v="Total Electric Power Industry"/>
    <x v="1"/>
    <n v="2849383.43"/>
  </r>
  <r>
    <x v="23"/>
    <x v="41"/>
    <s v="Total Electric Power Industry"/>
    <x v="2"/>
    <n v="4062609"/>
  </r>
  <r>
    <x v="23"/>
    <x v="41"/>
    <s v="Total Electric Power Industry"/>
    <x v="3"/>
    <n v="502200.99"/>
  </r>
  <r>
    <x v="23"/>
    <x v="41"/>
    <s v="Total Electric Power Industry"/>
    <x v="12"/>
    <n v="0"/>
  </r>
  <r>
    <x v="23"/>
    <x v="41"/>
    <s v="Total Electric Power Industry"/>
    <x v="8"/>
    <n v="0"/>
  </r>
  <r>
    <x v="23"/>
    <x v="41"/>
    <s v="Total Electric Power Industry"/>
    <x v="4"/>
    <n v="6994.08"/>
  </r>
  <r>
    <x v="23"/>
    <x v="41"/>
    <s v="Total Electric Power Industry"/>
    <x v="5"/>
    <n v="2687699"/>
  </r>
  <r>
    <x v="23"/>
    <x v="41"/>
    <s v="Electric Generators, Independent Power Producers"/>
    <x v="0"/>
    <n v="2078317"/>
  </r>
  <r>
    <x v="23"/>
    <x v="41"/>
    <s v="Electric Generators, Independent Power Producers"/>
    <x v="4"/>
    <n v="357"/>
  </r>
  <r>
    <x v="23"/>
    <x v="41"/>
    <s v="Electric Generators, Independent Power Producers"/>
    <x v="5"/>
    <n v="2077960"/>
  </r>
  <r>
    <x v="23"/>
    <x v="41"/>
    <s v="Electric Generators, Electric Utilities"/>
    <x v="0"/>
    <n v="8030545"/>
  </r>
  <r>
    <x v="23"/>
    <x v="41"/>
    <s v="Electric Generators, Electric Utilities"/>
    <x v="1"/>
    <n v="2849383.43"/>
  </r>
  <r>
    <x v="23"/>
    <x v="41"/>
    <s v="Electric Generators, Electric Utilities"/>
    <x v="2"/>
    <n v="4062609"/>
  </r>
  <r>
    <x v="23"/>
    <x v="41"/>
    <s v="Electric Generators, Electric Utilities"/>
    <x v="3"/>
    <n v="502200.99"/>
  </r>
  <r>
    <x v="23"/>
    <x v="41"/>
    <s v="Electric Generators, Electric Utilities"/>
    <x v="12"/>
    <n v="0"/>
  </r>
  <r>
    <x v="23"/>
    <x v="41"/>
    <s v="Electric Generators, Electric Utilities"/>
    <x v="8"/>
    <n v="0"/>
  </r>
  <r>
    <x v="23"/>
    <x v="41"/>
    <s v="Electric Generators, Electric Utilities"/>
    <x v="4"/>
    <n v="6612.58"/>
  </r>
  <r>
    <x v="23"/>
    <x v="41"/>
    <s v="Electric Generators, Electric Utilities"/>
    <x v="5"/>
    <n v="609739"/>
  </r>
  <r>
    <x v="23"/>
    <x v="41"/>
    <s v="Combined Heat and Power, Commercial Power"/>
    <x v="0"/>
    <n v="24.5"/>
  </r>
  <r>
    <x v="23"/>
    <x v="41"/>
    <s v="Combined Heat and Power, Commercial Power"/>
    <x v="4"/>
    <n v="24.5"/>
  </r>
  <r>
    <x v="23"/>
    <x v="42"/>
    <s v="Total Electric Power Industry"/>
    <x v="0"/>
    <n v="79651619.430000007"/>
  </r>
  <r>
    <x v="23"/>
    <x v="42"/>
    <s v="Total Electric Power Industry"/>
    <x v="1"/>
    <n v="32485830.82"/>
  </r>
  <r>
    <x v="23"/>
    <x v="42"/>
    <s v="Total Electric Power Industry"/>
    <x v="2"/>
    <n v="12443283"/>
  </r>
  <r>
    <x v="23"/>
    <x v="42"/>
    <s v="Total Electric Power Industry"/>
    <x v="3"/>
    <n v="5016698.26"/>
  </r>
  <r>
    <x v="23"/>
    <x v="42"/>
    <s v="Total Electric Power Industry"/>
    <x v="7"/>
    <n v="28493814"/>
  </r>
  <r>
    <x v="23"/>
    <x v="42"/>
    <s v="Total Electric Power Industry"/>
    <x v="12"/>
    <n v="551.07000000000005"/>
  </r>
  <r>
    <x v="23"/>
    <x v="42"/>
    <s v="Total Electric Power Industry"/>
    <x v="8"/>
    <n v="85033.36"/>
  </r>
  <r>
    <x v="23"/>
    <x v="42"/>
    <s v="Total Electric Power Industry"/>
    <x v="9"/>
    <n v="12768.26"/>
  </r>
  <r>
    <x v="23"/>
    <x v="42"/>
    <s v="Total Electric Power Industry"/>
    <x v="4"/>
    <n v="130496.68"/>
  </r>
  <r>
    <x v="23"/>
    <x v="42"/>
    <s v="Total Electric Power Industry"/>
    <x v="10"/>
    <n v="-42012"/>
  </r>
  <r>
    <x v="23"/>
    <x v="42"/>
    <s v="Total Electric Power Industry"/>
    <x v="13"/>
    <n v="20394"/>
  </r>
  <r>
    <x v="23"/>
    <x v="42"/>
    <s v="Total Electric Power Industry"/>
    <x v="5"/>
    <n v="46745"/>
  </r>
  <r>
    <x v="23"/>
    <x v="42"/>
    <s v="Total Electric Power Industry"/>
    <x v="6"/>
    <n v="958016.98"/>
  </r>
  <r>
    <x v="23"/>
    <x v="42"/>
    <s v="Electric Generators, Independent Power Producers"/>
    <x v="0"/>
    <n v="143746"/>
  </r>
  <r>
    <x v="23"/>
    <x v="42"/>
    <s v="Electric Generators, Independent Power Producers"/>
    <x v="8"/>
    <n v="78604"/>
  </r>
  <r>
    <x v="23"/>
    <x v="42"/>
    <s v="Electric Generators, Independent Power Producers"/>
    <x v="13"/>
    <n v="18397"/>
  </r>
  <r>
    <x v="23"/>
    <x v="42"/>
    <s v="Electric Generators, Independent Power Producers"/>
    <x v="5"/>
    <n v="46745"/>
  </r>
  <r>
    <x v="23"/>
    <x v="42"/>
    <s v="Electric Generators, Electric Utilities"/>
    <x v="0"/>
    <n v="75988871"/>
  </r>
  <r>
    <x v="23"/>
    <x v="42"/>
    <s v="Electric Generators, Electric Utilities"/>
    <x v="1"/>
    <n v="31264113.73"/>
  </r>
  <r>
    <x v="23"/>
    <x v="42"/>
    <s v="Electric Generators, Electric Utilities"/>
    <x v="2"/>
    <n v="11368871"/>
  </r>
  <r>
    <x v="23"/>
    <x v="42"/>
    <s v="Electric Generators, Electric Utilities"/>
    <x v="3"/>
    <n v="4774967.74"/>
  </r>
  <r>
    <x v="23"/>
    <x v="42"/>
    <s v="Electric Generators, Electric Utilities"/>
    <x v="7"/>
    <n v="28493814"/>
  </r>
  <r>
    <x v="23"/>
    <x v="42"/>
    <s v="Electric Generators, Electric Utilities"/>
    <x v="8"/>
    <n v="0"/>
  </r>
  <r>
    <x v="23"/>
    <x v="42"/>
    <s v="Electric Generators, Electric Utilities"/>
    <x v="4"/>
    <n v="129116.53"/>
  </r>
  <r>
    <x v="23"/>
    <x v="42"/>
    <s v="Electric Generators, Electric Utilities"/>
    <x v="10"/>
    <n v="-42012"/>
  </r>
  <r>
    <x v="23"/>
    <x v="42"/>
    <s v="Electric Generators, Electric Utilities"/>
    <x v="5"/>
    <n v="0"/>
  </r>
  <r>
    <x v="23"/>
    <x v="42"/>
    <s v="Combined Heat and Power, Industrial Power"/>
    <x v="0"/>
    <n v="3321056.67"/>
  </r>
  <r>
    <x v="23"/>
    <x v="42"/>
    <s v="Combined Heat and Power, Industrial Power"/>
    <x v="1"/>
    <n v="1195919.5900000001"/>
  </r>
  <r>
    <x v="23"/>
    <x v="42"/>
    <s v="Combined Heat and Power, Industrial Power"/>
    <x v="2"/>
    <n v="1074412"/>
  </r>
  <r>
    <x v="23"/>
    <x v="42"/>
    <s v="Combined Heat and Power, Industrial Power"/>
    <x v="3"/>
    <n v="71648.84"/>
  </r>
  <r>
    <x v="23"/>
    <x v="42"/>
    <s v="Combined Heat and Power, Industrial Power"/>
    <x v="12"/>
    <n v="551.07000000000005"/>
  </r>
  <r>
    <x v="23"/>
    <x v="42"/>
    <s v="Combined Heat and Power, Industrial Power"/>
    <x v="8"/>
    <n v="6429.36"/>
  </r>
  <r>
    <x v="23"/>
    <x v="42"/>
    <s v="Combined Heat and Power, Industrial Power"/>
    <x v="9"/>
    <n v="12768.26"/>
  </r>
  <r>
    <x v="23"/>
    <x v="42"/>
    <s v="Combined Heat and Power, Industrial Power"/>
    <x v="4"/>
    <n v="1310.58"/>
  </r>
  <r>
    <x v="23"/>
    <x v="42"/>
    <s v="Combined Heat and Power, Industrial Power"/>
    <x v="6"/>
    <n v="958016.98"/>
  </r>
  <r>
    <x v="23"/>
    <x v="42"/>
    <s v="Combined Heat and Power, Commercial Power"/>
    <x v="0"/>
    <n v="197945.76"/>
  </r>
  <r>
    <x v="23"/>
    <x v="42"/>
    <s v="Combined Heat and Power, Commercial Power"/>
    <x v="1"/>
    <n v="25797.5"/>
  </r>
  <r>
    <x v="23"/>
    <x v="42"/>
    <s v="Combined Heat and Power, Commercial Power"/>
    <x v="3"/>
    <n v="170081.68"/>
  </r>
  <r>
    <x v="23"/>
    <x v="42"/>
    <s v="Combined Heat and Power, Commercial Power"/>
    <x v="4"/>
    <n v="69.58"/>
  </r>
  <r>
    <x v="23"/>
    <x v="42"/>
    <s v="Combined Heat and Power, Commercial Power"/>
    <x v="13"/>
    <n v="1997"/>
  </r>
  <r>
    <x v="23"/>
    <x v="43"/>
    <s v="Total Electric Power Industry"/>
    <x v="0"/>
    <n v="433380165.69"/>
  </r>
  <r>
    <x v="23"/>
    <x v="43"/>
    <s v="Total Electric Power Industry"/>
    <x v="1"/>
    <n v="149404243.31"/>
  </r>
  <r>
    <x v="23"/>
    <x v="43"/>
    <s v="Total Electric Power Industry"/>
    <x v="2"/>
    <n v="480042"/>
  </r>
  <r>
    <x v="23"/>
    <x v="43"/>
    <s v="Total Electric Power Industry"/>
    <x v="3"/>
    <n v="203798415.56999999"/>
  </r>
  <r>
    <x v="23"/>
    <x v="43"/>
    <s v="Total Electric Power Industry"/>
    <x v="7"/>
    <n v="38314996"/>
  </r>
  <r>
    <x v="23"/>
    <x v="43"/>
    <s v="Total Electric Power Industry"/>
    <x v="12"/>
    <n v="272140.59999999998"/>
  </r>
  <r>
    <x v="23"/>
    <x v="43"/>
    <s v="Total Electric Power Industry"/>
    <x v="8"/>
    <n v="730229.57"/>
  </r>
  <r>
    <x v="23"/>
    <x v="43"/>
    <s v="Total Electric Power Industry"/>
    <x v="9"/>
    <n v="2399969.27"/>
  </r>
  <r>
    <x v="23"/>
    <x v="43"/>
    <s v="Total Electric Power Industry"/>
    <x v="4"/>
    <n v="950801.53"/>
  </r>
  <r>
    <x v="23"/>
    <x v="43"/>
    <s v="Total Electric Power Industry"/>
    <x v="13"/>
    <n v="163012.93"/>
  </r>
  <r>
    <x v="23"/>
    <x v="43"/>
    <s v="Total Electric Power Industry"/>
    <x v="5"/>
    <n v="35873620.939999998"/>
  </r>
  <r>
    <x v="23"/>
    <x v="43"/>
    <s v="Total Electric Power Industry"/>
    <x v="6"/>
    <n v="992693.98"/>
  </r>
  <r>
    <x v="23"/>
    <x v="43"/>
    <s v="Electric Generators, Independent Power Producers"/>
    <x v="0"/>
    <n v="252840831.74000001"/>
  </r>
  <r>
    <x v="23"/>
    <x v="43"/>
    <s v="Electric Generators, Independent Power Producers"/>
    <x v="1"/>
    <n v="90076991.719999999"/>
  </r>
  <r>
    <x v="23"/>
    <x v="43"/>
    <s v="Electric Generators, Independent Power Producers"/>
    <x v="2"/>
    <n v="31434"/>
  </r>
  <r>
    <x v="23"/>
    <x v="43"/>
    <s v="Electric Generators, Independent Power Producers"/>
    <x v="3"/>
    <n v="87867185.099999994"/>
  </r>
  <r>
    <x v="23"/>
    <x v="43"/>
    <s v="Electric Generators, Independent Power Producers"/>
    <x v="7"/>
    <n v="38314996"/>
  </r>
  <r>
    <x v="23"/>
    <x v="43"/>
    <s v="Electric Generators, Independent Power Producers"/>
    <x v="12"/>
    <n v="-635"/>
  </r>
  <r>
    <x v="23"/>
    <x v="43"/>
    <s v="Electric Generators, Independent Power Producers"/>
    <x v="8"/>
    <n v="595862"/>
  </r>
  <r>
    <x v="23"/>
    <x v="43"/>
    <s v="Electric Generators, Independent Power Producers"/>
    <x v="4"/>
    <n v="166285.51999999999"/>
  </r>
  <r>
    <x v="23"/>
    <x v="43"/>
    <s v="Electric Generators, Independent Power Producers"/>
    <x v="13"/>
    <n v="160683.46"/>
  </r>
  <r>
    <x v="23"/>
    <x v="43"/>
    <s v="Electric Generators, Independent Power Producers"/>
    <x v="5"/>
    <n v="35552641.939999998"/>
  </r>
  <r>
    <x v="23"/>
    <x v="43"/>
    <s v="Electric Generators, Independent Power Producers"/>
    <x v="6"/>
    <n v="75387"/>
  </r>
  <r>
    <x v="23"/>
    <x v="43"/>
    <s v="Electric Generators, Electric Utilities"/>
    <x v="0"/>
    <n v="96131887.629999995"/>
  </r>
  <r>
    <x v="23"/>
    <x v="43"/>
    <s v="Electric Generators, Electric Utilities"/>
    <x v="1"/>
    <n v="59327251.590000004"/>
  </r>
  <r>
    <x v="23"/>
    <x v="43"/>
    <s v="Electric Generators, Electric Utilities"/>
    <x v="2"/>
    <n v="448608"/>
  </r>
  <r>
    <x v="23"/>
    <x v="43"/>
    <s v="Electric Generators, Electric Utilities"/>
    <x v="3"/>
    <n v="36009141.039999999"/>
  </r>
  <r>
    <x v="23"/>
    <x v="43"/>
    <s v="Electric Generators, Electric Utilities"/>
    <x v="4"/>
    <n v="25908.01"/>
  </r>
  <r>
    <x v="23"/>
    <x v="43"/>
    <s v="Electric Generators, Electric Utilities"/>
    <x v="5"/>
    <n v="320979"/>
  </r>
  <r>
    <x v="23"/>
    <x v="43"/>
    <s v="Combined Heat and Power, Industrial Power"/>
    <x v="0"/>
    <n v="40731330.68"/>
  </r>
  <r>
    <x v="23"/>
    <x v="43"/>
    <s v="Combined Heat and Power, Industrial Power"/>
    <x v="3"/>
    <n v="37739371.439999998"/>
  </r>
  <r>
    <x v="23"/>
    <x v="43"/>
    <s v="Combined Heat and Power, Industrial Power"/>
    <x v="12"/>
    <n v="272775.59999999998"/>
  </r>
  <r>
    <x v="23"/>
    <x v="43"/>
    <s v="Combined Heat and Power, Industrial Power"/>
    <x v="8"/>
    <n v="100144.81"/>
  </r>
  <r>
    <x v="23"/>
    <x v="43"/>
    <s v="Combined Heat and Power, Industrial Power"/>
    <x v="9"/>
    <n v="942766.66"/>
  </r>
  <r>
    <x v="23"/>
    <x v="43"/>
    <s v="Combined Heat and Power, Industrial Power"/>
    <x v="4"/>
    <n v="758965.18"/>
  </r>
  <r>
    <x v="23"/>
    <x v="43"/>
    <s v="Combined Heat and Power, Industrial Power"/>
    <x v="6"/>
    <n v="917306.98"/>
  </r>
  <r>
    <x v="23"/>
    <x v="43"/>
    <s v="Combined Heat and Power, Electric Power"/>
    <x v="0"/>
    <n v="42941808.969999999"/>
  </r>
  <r>
    <x v="23"/>
    <x v="43"/>
    <s v="Combined Heat and Power, Electric Power"/>
    <x v="3"/>
    <n v="41484606.359999999"/>
  </r>
  <r>
    <x v="23"/>
    <x v="43"/>
    <s v="Combined Heat and Power, Electric Power"/>
    <x v="12"/>
    <n v="0"/>
  </r>
  <r>
    <x v="23"/>
    <x v="43"/>
    <s v="Combined Heat and Power, Electric Power"/>
    <x v="9"/>
    <n v="1457202.61"/>
  </r>
  <r>
    <x v="23"/>
    <x v="43"/>
    <s v="Combined Heat and Power, Commercial Power"/>
    <x v="0"/>
    <n v="734306.68"/>
  </r>
  <r>
    <x v="23"/>
    <x v="43"/>
    <s v="Combined Heat and Power, Commercial Power"/>
    <x v="3"/>
    <n v="698111.63"/>
  </r>
  <r>
    <x v="23"/>
    <x v="43"/>
    <s v="Combined Heat and Power, Commercial Power"/>
    <x v="8"/>
    <n v="34222.76"/>
  </r>
  <r>
    <x v="23"/>
    <x v="43"/>
    <s v="Combined Heat and Power, Commercial Power"/>
    <x v="4"/>
    <n v="-357.18"/>
  </r>
  <r>
    <x v="23"/>
    <x v="43"/>
    <s v="Combined Heat and Power, Commercial Power"/>
    <x v="13"/>
    <n v="2329.4699999999998"/>
  </r>
  <r>
    <x v="23"/>
    <x v="44"/>
    <s v="Total Electric Power Industry"/>
    <x v="0"/>
    <n v="4065964067.46"/>
  </r>
  <r>
    <x v="23"/>
    <x v="44"/>
    <s v="Total Electric Power Industry"/>
    <x v="1"/>
    <n v="1581114715.8"/>
  </r>
  <r>
    <x v="23"/>
    <x v="44"/>
    <s v="Total Electric Power Industry"/>
    <x v="11"/>
    <n v="15774674.08"/>
  </r>
  <r>
    <x v="23"/>
    <x v="44"/>
    <s v="Total Electric Power Industry"/>
    <x v="2"/>
    <n v="268565382.73000002"/>
  </r>
  <r>
    <x v="23"/>
    <x v="44"/>
    <s v="Total Electric Power Industry"/>
    <x v="3"/>
    <n v="1124835559.8399999"/>
  </r>
  <r>
    <x v="23"/>
    <x v="44"/>
    <s v="Total Electric Power Industry"/>
    <x v="7"/>
    <n v="789016473"/>
  </r>
  <r>
    <x v="23"/>
    <x v="44"/>
    <s v="Total Electric Power Industry"/>
    <x v="12"/>
    <n v="13587521.810000001"/>
  </r>
  <r>
    <x v="23"/>
    <x v="44"/>
    <s v="Total Electric Power Industry"/>
    <x v="8"/>
    <n v="20830489.539999999"/>
  </r>
  <r>
    <x v="23"/>
    <x v="44"/>
    <s v="Total Electric Power Industry"/>
    <x v="9"/>
    <n v="12852937.140000001"/>
  </r>
  <r>
    <x v="23"/>
    <x v="44"/>
    <s v="Total Electric Power Industry"/>
    <x v="4"/>
    <n v="27164443.739999998"/>
  </r>
  <r>
    <x v="23"/>
    <x v="44"/>
    <s v="Total Electric Power Industry"/>
    <x v="10"/>
    <n v="-4681033"/>
  </r>
  <r>
    <x v="23"/>
    <x v="44"/>
    <s v="Total Electric Power Industry"/>
    <x v="13"/>
    <n v="9035620.3800000008"/>
  </r>
  <r>
    <x v="23"/>
    <x v="44"/>
    <s v="Total Electric Power Industry"/>
    <x v="5"/>
    <n v="167839745.44"/>
  </r>
  <r>
    <x v="23"/>
    <x v="44"/>
    <s v="Total Electric Power Industry"/>
    <x v="6"/>
    <n v="40027536.960000001"/>
  </r>
  <r>
    <x v="23"/>
    <x v="44"/>
    <s v="Electric Generators, Independent Power Producers"/>
    <x v="0"/>
    <n v="1368038296.53"/>
  </r>
  <r>
    <x v="23"/>
    <x v="44"/>
    <s v="Electric Generators, Independent Power Producers"/>
    <x v="1"/>
    <n v="358715092.54000002"/>
  </r>
  <r>
    <x v="23"/>
    <x v="44"/>
    <s v="Electric Generators, Independent Power Producers"/>
    <x v="11"/>
    <n v="14465217.08"/>
  </r>
  <r>
    <x v="23"/>
    <x v="44"/>
    <s v="Electric Generators, Independent Power Producers"/>
    <x v="2"/>
    <n v="21993528.850000001"/>
  </r>
  <r>
    <x v="23"/>
    <x v="44"/>
    <s v="Electric Generators, Independent Power Producers"/>
    <x v="3"/>
    <n v="410195374.11000001"/>
  </r>
  <r>
    <x v="23"/>
    <x v="44"/>
    <s v="Electric Generators, Independent Power Producers"/>
    <x v="7"/>
    <n v="382902264"/>
  </r>
  <r>
    <x v="23"/>
    <x v="44"/>
    <s v="Electric Generators, Independent Power Producers"/>
    <x v="12"/>
    <n v="5954956.5"/>
  </r>
  <r>
    <x v="23"/>
    <x v="44"/>
    <s v="Electric Generators, Independent Power Producers"/>
    <x v="8"/>
    <n v="14247363.810000001"/>
  </r>
  <r>
    <x v="23"/>
    <x v="44"/>
    <s v="Electric Generators, Independent Power Producers"/>
    <x v="9"/>
    <n v="384763.68"/>
  </r>
  <r>
    <x v="23"/>
    <x v="44"/>
    <s v="Electric Generators, Independent Power Producers"/>
    <x v="4"/>
    <n v="3388856.75"/>
  </r>
  <r>
    <x v="23"/>
    <x v="44"/>
    <s v="Electric Generators, Independent Power Producers"/>
    <x v="10"/>
    <n v="-907727"/>
  </r>
  <r>
    <x v="23"/>
    <x v="44"/>
    <s v="Electric Generators, Independent Power Producers"/>
    <x v="13"/>
    <n v="7780478.7699999996"/>
  </r>
  <r>
    <x v="23"/>
    <x v="44"/>
    <s v="Electric Generators, Independent Power Producers"/>
    <x v="5"/>
    <n v="141305787.36000001"/>
  </r>
  <r>
    <x v="23"/>
    <x v="44"/>
    <s v="Electric Generators, Independent Power Producers"/>
    <x v="6"/>
    <n v="7612340.0800000001"/>
  </r>
  <r>
    <x v="23"/>
    <x v="44"/>
    <s v="Electric Generators, Electric Utilities"/>
    <x v="0"/>
    <n v="2388058409.4699998"/>
  </r>
  <r>
    <x v="23"/>
    <x v="44"/>
    <s v="Electric Generators, Electric Utilities"/>
    <x v="1"/>
    <n v="1188452414.04"/>
  </r>
  <r>
    <x v="23"/>
    <x v="44"/>
    <s v="Electric Generators, Electric Utilities"/>
    <x v="11"/>
    <n v="1004648"/>
  </r>
  <r>
    <x v="23"/>
    <x v="44"/>
    <s v="Electric Generators, Electric Utilities"/>
    <x v="2"/>
    <n v="243040017.55000001"/>
  </r>
  <r>
    <x v="23"/>
    <x v="44"/>
    <s v="Electric Generators, Electric Utilities"/>
    <x v="3"/>
    <n v="501427064"/>
  </r>
  <r>
    <x v="23"/>
    <x v="44"/>
    <s v="Electric Generators, Electric Utilities"/>
    <x v="7"/>
    <n v="406114209"/>
  </r>
  <r>
    <x v="23"/>
    <x v="44"/>
    <s v="Electric Generators, Electric Utilities"/>
    <x v="12"/>
    <n v="615378.25"/>
  </r>
  <r>
    <x v="23"/>
    <x v="44"/>
    <s v="Electric Generators, Electric Utilities"/>
    <x v="8"/>
    <n v="1499416.77"/>
  </r>
  <r>
    <x v="23"/>
    <x v="44"/>
    <s v="Electric Generators, Electric Utilities"/>
    <x v="9"/>
    <n v="797926.27"/>
  </r>
  <r>
    <x v="23"/>
    <x v="44"/>
    <s v="Electric Generators, Electric Utilities"/>
    <x v="4"/>
    <n v="18967930.460000001"/>
  </r>
  <r>
    <x v="23"/>
    <x v="44"/>
    <s v="Electric Generators, Electric Utilities"/>
    <x v="10"/>
    <n v="-3773306"/>
  </r>
  <r>
    <x v="23"/>
    <x v="44"/>
    <s v="Electric Generators, Electric Utilities"/>
    <x v="13"/>
    <n v="942579"/>
  </r>
  <r>
    <x v="23"/>
    <x v="44"/>
    <s v="Electric Generators, Electric Utilities"/>
    <x v="5"/>
    <n v="26435921.140000001"/>
  </r>
  <r>
    <x v="23"/>
    <x v="44"/>
    <s v="Electric Generators, Electric Utilities"/>
    <x v="6"/>
    <n v="2534211"/>
  </r>
  <r>
    <x v="23"/>
    <x v="44"/>
    <s v="Combined Heat and Power, Industrial Power"/>
    <x v="0"/>
    <n v="150015072.71000001"/>
  </r>
  <r>
    <x v="23"/>
    <x v="44"/>
    <s v="Combined Heat and Power, Industrial Power"/>
    <x v="1"/>
    <n v="12553664.210000001"/>
  </r>
  <r>
    <x v="23"/>
    <x v="44"/>
    <s v="Combined Heat and Power, Industrial Power"/>
    <x v="2"/>
    <n v="3462995.28"/>
  </r>
  <r>
    <x v="23"/>
    <x v="44"/>
    <s v="Combined Heat and Power, Industrial Power"/>
    <x v="3"/>
    <n v="88732511.269999996"/>
  </r>
  <r>
    <x v="23"/>
    <x v="44"/>
    <s v="Combined Heat and Power, Industrial Power"/>
    <x v="12"/>
    <n v="5112999.95"/>
  </r>
  <r>
    <x v="23"/>
    <x v="44"/>
    <s v="Combined Heat and Power, Industrial Power"/>
    <x v="8"/>
    <n v="1345668.67"/>
  </r>
  <r>
    <x v="23"/>
    <x v="44"/>
    <s v="Combined Heat and Power, Industrial Power"/>
    <x v="9"/>
    <n v="8530690.1500000004"/>
  </r>
  <r>
    <x v="23"/>
    <x v="44"/>
    <s v="Combined Heat and Power, Industrial Power"/>
    <x v="4"/>
    <n v="2531074.87"/>
  </r>
  <r>
    <x v="23"/>
    <x v="44"/>
    <s v="Combined Heat and Power, Industrial Power"/>
    <x v="13"/>
    <n v="17252.669999999998"/>
  </r>
  <r>
    <x v="23"/>
    <x v="44"/>
    <s v="Combined Heat and Power, Industrial Power"/>
    <x v="5"/>
    <n v="37289.769999999997"/>
  </r>
  <r>
    <x v="23"/>
    <x v="44"/>
    <s v="Combined Heat and Power, Industrial Power"/>
    <x v="6"/>
    <n v="27690925.879999999"/>
  </r>
  <r>
    <x v="23"/>
    <x v="44"/>
    <s v="Combined Heat and Power, Electric Power"/>
    <x v="0"/>
    <n v="147618619.06"/>
  </r>
  <r>
    <x v="23"/>
    <x v="44"/>
    <s v="Combined Heat and Power, Electric Power"/>
    <x v="1"/>
    <n v="20554989.670000002"/>
  </r>
  <r>
    <x v="23"/>
    <x v="44"/>
    <s v="Combined Heat and Power, Electric Power"/>
    <x v="11"/>
    <n v="304809"/>
  </r>
  <r>
    <x v="23"/>
    <x v="44"/>
    <s v="Combined Heat and Power, Electric Power"/>
    <x v="2"/>
    <n v="24900"/>
  </r>
  <r>
    <x v="23"/>
    <x v="44"/>
    <s v="Combined Heat and Power, Electric Power"/>
    <x v="3"/>
    <n v="117326335.54000001"/>
  </r>
  <r>
    <x v="23"/>
    <x v="44"/>
    <s v="Combined Heat and Power, Electric Power"/>
    <x v="12"/>
    <n v="786579.57"/>
  </r>
  <r>
    <x v="23"/>
    <x v="44"/>
    <s v="Combined Heat and Power, Electric Power"/>
    <x v="8"/>
    <n v="1171204.82"/>
  </r>
  <r>
    <x v="23"/>
    <x v="44"/>
    <s v="Combined Heat and Power, Electric Power"/>
    <x v="9"/>
    <n v="3139557.04"/>
  </r>
  <r>
    <x v="23"/>
    <x v="44"/>
    <s v="Combined Heat and Power, Electric Power"/>
    <x v="4"/>
    <n v="2152876.04"/>
  </r>
  <r>
    <x v="23"/>
    <x v="44"/>
    <s v="Combined Heat and Power, Electric Power"/>
    <x v="13"/>
    <n v="1424"/>
  </r>
  <r>
    <x v="23"/>
    <x v="44"/>
    <s v="Combined Heat and Power, Electric Power"/>
    <x v="6"/>
    <n v="2155943.39"/>
  </r>
  <r>
    <x v="23"/>
    <x v="44"/>
    <s v="Combined Heat and Power, Commercial Power"/>
    <x v="0"/>
    <n v="12233669.689999999"/>
  </r>
  <r>
    <x v="23"/>
    <x v="44"/>
    <s v="Combined Heat and Power, Commercial Power"/>
    <x v="1"/>
    <n v="838555.34"/>
  </r>
  <r>
    <x v="23"/>
    <x v="44"/>
    <s v="Combined Heat and Power, Commercial Power"/>
    <x v="2"/>
    <n v="43941.05"/>
  </r>
  <r>
    <x v="23"/>
    <x v="44"/>
    <s v="Combined Heat and Power, Commercial Power"/>
    <x v="3"/>
    <n v="7154274.9299999997"/>
  </r>
  <r>
    <x v="23"/>
    <x v="44"/>
    <s v="Combined Heat and Power, Commercial Power"/>
    <x v="12"/>
    <n v="1117607.54"/>
  </r>
  <r>
    <x v="23"/>
    <x v="44"/>
    <s v="Combined Heat and Power, Commercial Power"/>
    <x v="8"/>
    <n v="2566835.4900000002"/>
  </r>
  <r>
    <x v="23"/>
    <x v="44"/>
    <s v="Combined Heat and Power, Commercial Power"/>
    <x v="4"/>
    <n v="123705.62"/>
  </r>
  <r>
    <x v="23"/>
    <x v="44"/>
    <s v="Combined Heat and Power, Commercial Power"/>
    <x v="13"/>
    <n v="293885.93"/>
  </r>
  <r>
    <x v="23"/>
    <x v="44"/>
    <s v="Combined Heat and Power, Commercial Power"/>
    <x v="5"/>
    <n v="60747.17"/>
  </r>
  <r>
    <x v="23"/>
    <x v="44"/>
    <s v="Combined Heat and Power, Commercial Power"/>
    <x v="6"/>
    <n v="34116.61"/>
  </r>
  <r>
    <x v="23"/>
    <x v="45"/>
    <s v="Total Electric Power Industry"/>
    <x v="0"/>
    <n v="42516750.82"/>
  </r>
  <r>
    <x v="23"/>
    <x v="45"/>
    <s v="Total Electric Power Industry"/>
    <x v="1"/>
    <n v="34284956.82"/>
  </r>
  <r>
    <x v="23"/>
    <x v="45"/>
    <s v="Total Electric Power Industry"/>
    <x v="11"/>
    <n v="318908"/>
  </r>
  <r>
    <x v="23"/>
    <x v="45"/>
    <s v="Total Electric Power Industry"/>
    <x v="2"/>
    <n v="504996"/>
  </r>
  <r>
    <x v="23"/>
    <x v="45"/>
    <s v="Total Electric Power Industry"/>
    <x v="3"/>
    <n v="6606422.8799999999"/>
  </r>
  <r>
    <x v="23"/>
    <x v="45"/>
    <s v="Total Electric Power Industry"/>
    <x v="12"/>
    <n v="160863.59"/>
  </r>
  <r>
    <x v="23"/>
    <x v="45"/>
    <s v="Total Electric Power Industry"/>
    <x v="8"/>
    <n v="70926.240000000005"/>
  </r>
  <r>
    <x v="23"/>
    <x v="45"/>
    <s v="Total Electric Power Industry"/>
    <x v="9"/>
    <n v="1770.28"/>
  </r>
  <r>
    <x v="23"/>
    <x v="45"/>
    <s v="Total Electric Power Industry"/>
    <x v="4"/>
    <n v="26001.03"/>
  </r>
  <r>
    <x v="23"/>
    <x v="45"/>
    <s v="Total Electric Power Industry"/>
    <x v="13"/>
    <n v="2100"/>
  </r>
  <r>
    <x v="23"/>
    <x v="45"/>
    <s v="Total Electric Power Industry"/>
    <x v="5"/>
    <n v="539806"/>
  </r>
  <r>
    <x v="23"/>
    <x v="45"/>
    <s v="Electric Generators, Independent Power Producers"/>
    <x v="0"/>
    <n v="1843244"/>
  </r>
  <r>
    <x v="23"/>
    <x v="45"/>
    <s v="Electric Generators, Independent Power Producers"/>
    <x v="1"/>
    <n v="413197.81"/>
  </r>
  <r>
    <x v="23"/>
    <x v="45"/>
    <s v="Electric Generators, Independent Power Producers"/>
    <x v="11"/>
    <n v="68186"/>
  </r>
  <r>
    <x v="23"/>
    <x v="45"/>
    <s v="Electric Generators, Independent Power Producers"/>
    <x v="2"/>
    <n v="9759"/>
  </r>
  <r>
    <x v="23"/>
    <x v="45"/>
    <s v="Electric Generators, Independent Power Producers"/>
    <x v="3"/>
    <n v="743503"/>
  </r>
  <r>
    <x v="23"/>
    <x v="45"/>
    <s v="Electric Generators, Independent Power Producers"/>
    <x v="8"/>
    <n v="65985"/>
  </r>
  <r>
    <x v="23"/>
    <x v="45"/>
    <s v="Electric Generators, Independent Power Producers"/>
    <x v="4"/>
    <n v="707.19"/>
  </r>
  <r>
    <x v="23"/>
    <x v="45"/>
    <s v="Electric Generators, Independent Power Producers"/>
    <x v="13"/>
    <n v="2100"/>
  </r>
  <r>
    <x v="23"/>
    <x v="45"/>
    <s v="Electric Generators, Independent Power Producers"/>
    <x v="5"/>
    <n v="539806"/>
  </r>
  <r>
    <x v="23"/>
    <x v="45"/>
    <s v="Electric Generators, Electric Utilities"/>
    <x v="0"/>
    <n v="39526881"/>
  </r>
  <r>
    <x v="23"/>
    <x v="45"/>
    <s v="Electric Generators, Electric Utilities"/>
    <x v="1"/>
    <n v="33382259.66"/>
  </r>
  <r>
    <x v="23"/>
    <x v="45"/>
    <s v="Electric Generators, Electric Utilities"/>
    <x v="11"/>
    <n v="250722"/>
  </r>
  <r>
    <x v="23"/>
    <x v="45"/>
    <s v="Electric Generators, Electric Utilities"/>
    <x v="2"/>
    <n v="495237"/>
  </r>
  <r>
    <x v="23"/>
    <x v="45"/>
    <s v="Electric Generators, Electric Utilities"/>
    <x v="3"/>
    <n v="5373471.7300000004"/>
  </r>
  <r>
    <x v="23"/>
    <x v="45"/>
    <s v="Electric Generators, Electric Utilities"/>
    <x v="4"/>
    <n v="25190.61"/>
  </r>
  <r>
    <x v="23"/>
    <x v="45"/>
    <s v="Combined Heat and Power, Industrial Power"/>
    <x v="0"/>
    <n v="1053184.82"/>
  </r>
  <r>
    <x v="23"/>
    <x v="45"/>
    <s v="Combined Heat and Power, Industrial Power"/>
    <x v="1"/>
    <n v="489499.34"/>
  </r>
  <r>
    <x v="23"/>
    <x v="45"/>
    <s v="Combined Heat and Power, Industrial Power"/>
    <x v="3"/>
    <n v="405715.27"/>
  </r>
  <r>
    <x v="23"/>
    <x v="45"/>
    <s v="Combined Heat and Power, Industrial Power"/>
    <x v="12"/>
    <n v="156116"/>
  </r>
  <r>
    <x v="23"/>
    <x v="45"/>
    <s v="Combined Heat and Power, Industrial Power"/>
    <x v="9"/>
    <n v="1770.28"/>
  </r>
  <r>
    <x v="23"/>
    <x v="45"/>
    <s v="Combined Heat and Power, Industrial Power"/>
    <x v="4"/>
    <n v="83.93"/>
  </r>
  <r>
    <x v="23"/>
    <x v="45"/>
    <s v="Combined Heat and Power, Electric Power"/>
    <x v="0"/>
    <n v="9716"/>
  </r>
  <r>
    <x v="23"/>
    <x v="45"/>
    <s v="Combined Heat and Power, Electric Power"/>
    <x v="3"/>
    <n v="7.88"/>
  </r>
  <r>
    <x v="23"/>
    <x v="45"/>
    <s v="Combined Heat and Power, Electric Power"/>
    <x v="12"/>
    <n v="4747.59"/>
  </r>
  <r>
    <x v="23"/>
    <x v="45"/>
    <s v="Combined Heat and Power, Electric Power"/>
    <x v="8"/>
    <n v="4941.24"/>
  </r>
  <r>
    <x v="23"/>
    <x v="45"/>
    <s v="Combined Heat and Power, Electric Power"/>
    <x v="4"/>
    <n v="19.3"/>
  </r>
  <r>
    <x v="23"/>
    <x v="45"/>
    <s v="Combined Heat and Power, Commercial Power"/>
    <x v="0"/>
    <n v="83725"/>
  </r>
  <r>
    <x v="23"/>
    <x v="45"/>
    <s v="Combined Heat and Power, Commercial Power"/>
    <x v="3"/>
    <n v="83725"/>
  </r>
  <r>
    <x v="23"/>
    <x v="45"/>
    <s v="Combined Heat and Power, Commercial Power"/>
    <x v="4"/>
    <n v="0"/>
  </r>
  <r>
    <x v="23"/>
    <x v="46"/>
    <s v="Total Electric Power Industry"/>
    <x v="0"/>
    <n v="76896565.060000002"/>
  </r>
  <r>
    <x v="23"/>
    <x v="46"/>
    <s v="Total Electric Power Industry"/>
    <x v="1"/>
    <n v="21160501.27"/>
  </r>
  <r>
    <x v="23"/>
    <x v="46"/>
    <s v="Total Electric Power Industry"/>
    <x v="2"/>
    <n v="1253669.52"/>
  </r>
  <r>
    <x v="23"/>
    <x v="46"/>
    <s v="Total Electric Power Industry"/>
    <x v="3"/>
    <n v="22651166.98"/>
  </r>
  <r>
    <x v="23"/>
    <x v="46"/>
    <s v="Total Electric Power Industry"/>
    <x v="7"/>
    <n v="29326231"/>
  </r>
  <r>
    <x v="23"/>
    <x v="46"/>
    <s v="Total Electric Power Industry"/>
    <x v="12"/>
    <n v="474766.72"/>
  </r>
  <r>
    <x v="23"/>
    <x v="46"/>
    <s v="Total Electric Power Industry"/>
    <x v="8"/>
    <n v="959724.79"/>
  </r>
  <r>
    <x v="23"/>
    <x v="46"/>
    <s v="Total Electric Power Industry"/>
    <x v="4"/>
    <n v="313288.07"/>
  </r>
  <r>
    <x v="23"/>
    <x v="46"/>
    <s v="Total Electric Power Industry"/>
    <x v="10"/>
    <n v="-1189000"/>
  </r>
  <r>
    <x v="23"/>
    <x v="46"/>
    <s v="Total Electric Power Industry"/>
    <x v="6"/>
    <n v="1946216.72"/>
  </r>
  <r>
    <x v="23"/>
    <x v="46"/>
    <s v="Electric Generators, Independent Power Producers"/>
    <x v="0"/>
    <n v="9587885.5199999996"/>
  </r>
  <r>
    <x v="23"/>
    <x v="46"/>
    <s v="Electric Generators, Independent Power Producers"/>
    <x v="1"/>
    <n v="626655.67000000004"/>
  </r>
  <r>
    <x v="23"/>
    <x v="46"/>
    <s v="Electric Generators, Independent Power Producers"/>
    <x v="2"/>
    <n v="77806.52"/>
  </r>
  <r>
    <x v="23"/>
    <x v="46"/>
    <s v="Electric Generators, Independent Power Producers"/>
    <x v="3"/>
    <n v="7807764.2199999997"/>
  </r>
  <r>
    <x v="23"/>
    <x v="46"/>
    <s v="Electric Generators, Independent Power Producers"/>
    <x v="12"/>
    <n v="264846.25"/>
  </r>
  <r>
    <x v="23"/>
    <x v="46"/>
    <s v="Electric Generators, Independent Power Producers"/>
    <x v="8"/>
    <n v="713628.92"/>
  </r>
  <r>
    <x v="23"/>
    <x v="46"/>
    <s v="Electric Generators, Independent Power Producers"/>
    <x v="4"/>
    <n v="58103.94"/>
  </r>
  <r>
    <x v="23"/>
    <x v="46"/>
    <s v="Electric Generators, Independent Power Producers"/>
    <x v="6"/>
    <n v="39080"/>
  </r>
  <r>
    <x v="23"/>
    <x v="46"/>
    <s v="Electric Generators, Electric Utilities"/>
    <x v="0"/>
    <n v="63724859.560000002"/>
  </r>
  <r>
    <x v="23"/>
    <x v="46"/>
    <s v="Electric Generators, Electric Utilities"/>
    <x v="1"/>
    <n v="19735507.670000002"/>
  </r>
  <r>
    <x v="23"/>
    <x v="46"/>
    <s v="Electric Generators, Electric Utilities"/>
    <x v="2"/>
    <n v="1170663"/>
  </r>
  <r>
    <x v="23"/>
    <x v="46"/>
    <s v="Electric Generators, Electric Utilities"/>
    <x v="3"/>
    <n v="13781412.449999999"/>
  </r>
  <r>
    <x v="23"/>
    <x v="46"/>
    <s v="Electric Generators, Electric Utilities"/>
    <x v="7"/>
    <n v="29326231"/>
  </r>
  <r>
    <x v="23"/>
    <x v="46"/>
    <s v="Electric Generators, Electric Utilities"/>
    <x v="12"/>
    <n v="0"/>
  </r>
  <r>
    <x v="23"/>
    <x v="46"/>
    <s v="Electric Generators, Electric Utilities"/>
    <x v="8"/>
    <n v="4449"/>
  </r>
  <r>
    <x v="23"/>
    <x v="46"/>
    <s v="Electric Generators, Electric Utilities"/>
    <x v="4"/>
    <n v="225735.88"/>
  </r>
  <r>
    <x v="23"/>
    <x v="46"/>
    <s v="Electric Generators, Electric Utilities"/>
    <x v="10"/>
    <n v="-1189000"/>
  </r>
  <r>
    <x v="23"/>
    <x v="46"/>
    <s v="Electric Generators, Electric Utilities"/>
    <x v="6"/>
    <n v="669860.56000000006"/>
  </r>
  <r>
    <x v="23"/>
    <x v="46"/>
    <s v="Combined Heat and Power, Industrial Power"/>
    <x v="0"/>
    <n v="2052518.45"/>
  </r>
  <r>
    <x v="23"/>
    <x v="46"/>
    <s v="Combined Heat and Power, Industrial Power"/>
    <x v="1"/>
    <n v="527067.80000000005"/>
  </r>
  <r>
    <x v="23"/>
    <x v="46"/>
    <s v="Combined Heat and Power, Industrial Power"/>
    <x v="2"/>
    <n v="5200"/>
  </r>
  <r>
    <x v="23"/>
    <x v="46"/>
    <s v="Combined Heat and Power, Industrial Power"/>
    <x v="3"/>
    <n v="245278.16"/>
  </r>
  <r>
    <x v="23"/>
    <x v="46"/>
    <s v="Combined Heat and Power, Industrial Power"/>
    <x v="8"/>
    <n v="11555.38"/>
  </r>
  <r>
    <x v="23"/>
    <x v="46"/>
    <s v="Combined Heat and Power, Industrial Power"/>
    <x v="4"/>
    <n v="26140.959999999999"/>
  </r>
  <r>
    <x v="23"/>
    <x v="46"/>
    <s v="Combined Heat and Power, Industrial Power"/>
    <x v="6"/>
    <n v="1237276.1599999999"/>
  </r>
  <r>
    <x v="23"/>
    <x v="46"/>
    <s v="Combined Heat and Power, Electric Power"/>
    <x v="0"/>
    <n v="1080585"/>
  </r>
  <r>
    <x v="23"/>
    <x v="46"/>
    <s v="Combined Heat and Power, Electric Power"/>
    <x v="1"/>
    <n v="263985"/>
  </r>
  <r>
    <x v="23"/>
    <x v="46"/>
    <s v="Combined Heat and Power, Electric Power"/>
    <x v="3"/>
    <n v="814069.03"/>
  </r>
  <r>
    <x v="23"/>
    <x v="46"/>
    <s v="Combined Heat and Power, Electric Power"/>
    <x v="12"/>
    <n v="0"/>
  </r>
  <r>
    <x v="23"/>
    <x v="46"/>
    <s v="Combined Heat and Power, Electric Power"/>
    <x v="4"/>
    <n v="2530.9699999999998"/>
  </r>
  <r>
    <x v="23"/>
    <x v="46"/>
    <s v="Combined Heat and Power, Commercial Power"/>
    <x v="0"/>
    <n v="450716.53"/>
  </r>
  <r>
    <x v="23"/>
    <x v="46"/>
    <s v="Combined Heat and Power, Commercial Power"/>
    <x v="1"/>
    <n v="7285.12"/>
  </r>
  <r>
    <x v="23"/>
    <x v="46"/>
    <s v="Combined Heat and Power, Commercial Power"/>
    <x v="3"/>
    <n v="2643.12"/>
  </r>
  <r>
    <x v="23"/>
    <x v="46"/>
    <s v="Combined Heat and Power, Commercial Power"/>
    <x v="12"/>
    <n v="209920.47"/>
  </r>
  <r>
    <x v="23"/>
    <x v="46"/>
    <s v="Combined Heat and Power, Commercial Power"/>
    <x v="8"/>
    <n v="230091.49"/>
  </r>
  <r>
    <x v="23"/>
    <x v="46"/>
    <s v="Combined Heat and Power, Commercial Power"/>
    <x v="4"/>
    <n v="776.32"/>
  </r>
  <r>
    <x v="23"/>
    <x v="46"/>
    <s v="Combined Heat and Power, Commercial Power"/>
    <x v="6"/>
    <n v="0"/>
  </r>
  <r>
    <x v="23"/>
    <x v="47"/>
    <s v="Total Electric Power Industry"/>
    <x v="0"/>
    <n v="6884910"/>
  </r>
  <r>
    <x v="23"/>
    <x v="47"/>
    <s v="Total Electric Power Industry"/>
    <x v="2"/>
    <n v="1285912"/>
  </r>
  <r>
    <x v="23"/>
    <x v="47"/>
    <s v="Total Electric Power Industry"/>
    <x v="3"/>
    <n v="3029.13"/>
  </r>
  <r>
    <x v="23"/>
    <x v="47"/>
    <s v="Total Electric Power Industry"/>
    <x v="7"/>
    <n v="4846327"/>
  </r>
  <r>
    <x v="23"/>
    <x v="47"/>
    <s v="Total Electric Power Industry"/>
    <x v="8"/>
    <n v="25698"/>
  </r>
  <r>
    <x v="23"/>
    <x v="47"/>
    <s v="Total Electric Power Industry"/>
    <x v="4"/>
    <n v="5103.46"/>
  </r>
  <r>
    <x v="23"/>
    <x v="47"/>
    <s v="Total Electric Power Industry"/>
    <x v="13"/>
    <n v="17293"/>
  </r>
  <r>
    <x v="23"/>
    <x v="47"/>
    <s v="Total Electric Power Industry"/>
    <x v="5"/>
    <n v="236034"/>
  </r>
  <r>
    <x v="23"/>
    <x v="47"/>
    <s v="Total Electric Power Industry"/>
    <x v="6"/>
    <n v="465513.41"/>
  </r>
  <r>
    <x v="23"/>
    <x v="47"/>
    <s v="Electric Generators, Independent Power Producers"/>
    <x v="0"/>
    <n v="5984293"/>
  </r>
  <r>
    <x v="23"/>
    <x v="47"/>
    <s v="Electric Generators, Independent Power Producers"/>
    <x v="2"/>
    <n v="839867"/>
  </r>
  <r>
    <x v="23"/>
    <x v="47"/>
    <s v="Electric Generators, Independent Power Producers"/>
    <x v="7"/>
    <n v="4846327"/>
  </r>
  <r>
    <x v="23"/>
    <x v="47"/>
    <s v="Electric Generators, Independent Power Producers"/>
    <x v="8"/>
    <n v="25698"/>
  </r>
  <r>
    <x v="23"/>
    <x v="47"/>
    <s v="Electric Generators, Independent Power Producers"/>
    <x v="13"/>
    <n v="17293"/>
  </r>
  <r>
    <x v="23"/>
    <x v="47"/>
    <s v="Electric Generators, Independent Power Producers"/>
    <x v="5"/>
    <n v="108977"/>
  </r>
  <r>
    <x v="23"/>
    <x v="47"/>
    <s v="Electric Generators, Independent Power Producers"/>
    <x v="6"/>
    <n v="146131"/>
  </r>
  <r>
    <x v="23"/>
    <x v="47"/>
    <s v="Electric Generators, Electric Utilities"/>
    <x v="0"/>
    <n v="872238"/>
  </r>
  <r>
    <x v="23"/>
    <x v="47"/>
    <s v="Electric Generators, Electric Utilities"/>
    <x v="2"/>
    <n v="421145"/>
  </r>
  <r>
    <x v="23"/>
    <x v="47"/>
    <s v="Electric Generators, Electric Utilities"/>
    <x v="3"/>
    <n v="3029.13"/>
  </r>
  <r>
    <x v="23"/>
    <x v="47"/>
    <s v="Electric Generators, Electric Utilities"/>
    <x v="4"/>
    <n v="4036"/>
  </r>
  <r>
    <x v="23"/>
    <x v="47"/>
    <s v="Electric Generators, Electric Utilities"/>
    <x v="5"/>
    <n v="127057"/>
  </r>
  <r>
    <x v="23"/>
    <x v="47"/>
    <s v="Electric Generators, Electric Utilities"/>
    <x v="6"/>
    <n v="316970.87"/>
  </r>
  <r>
    <x v="23"/>
    <x v="47"/>
    <s v="Combined Heat and Power, Electric Power"/>
    <x v="0"/>
    <n v="24900"/>
  </r>
  <r>
    <x v="23"/>
    <x v="47"/>
    <s v="Combined Heat and Power, Electric Power"/>
    <x v="2"/>
    <n v="24900"/>
  </r>
  <r>
    <x v="23"/>
    <x v="47"/>
    <s v="Combined Heat and Power, Electric Power"/>
    <x v="6"/>
    <n v="0"/>
  </r>
  <r>
    <x v="23"/>
    <x v="47"/>
    <s v="Combined Heat and Power, Commercial Power"/>
    <x v="0"/>
    <n v="3479"/>
  </r>
  <r>
    <x v="23"/>
    <x v="47"/>
    <s v="Combined Heat and Power, Commercial Power"/>
    <x v="4"/>
    <n v="1067.46"/>
  </r>
  <r>
    <x v="23"/>
    <x v="47"/>
    <s v="Combined Heat and Power, Commercial Power"/>
    <x v="6"/>
    <n v="2411.54"/>
  </r>
  <r>
    <x v="23"/>
    <x v="48"/>
    <s v="Total Electric Power Industry"/>
    <x v="0"/>
    <n v="114172916.23"/>
  </r>
  <r>
    <x v="23"/>
    <x v="48"/>
    <s v="Total Electric Power Industry"/>
    <x v="1"/>
    <n v="6740424.9800000004"/>
  </r>
  <r>
    <x v="23"/>
    <x v="48"/>
    <s v="Total Electric Power Industry"/>
    <x v="2"/>
    <n v="78155087"/>
  </r>
  <r>
    <x v="23"/>
    <x v="48"/>
    <s v="Total Electric Power Industry"/>
    <x v="3"/>
    <n v="11424310.449999999"/>
  </r>
  <r>
    <x v="23"/>
    <x v="48"/>
    <s v="Total Electric Power Industry"/>
    <x v="7"/>
    <n v="8460890"/>
  </r>
  <r>
    <x v="23"/>
    <x v="48"/>
    <s v="Total Electric Power Industry"/>
    <x v="12"/>
    <n v="129102.68"/>
  </r>
  <r>
    <x v="23"/>
    <x v="48"/>
    <s v="Total Electric Power Industry"/>
    <x v="8"/>
    <n v="283903.53000000003"/>
  </r>
  <r>
    <x v="23"/>
    <x v="48"/>
    <s v="Total Electric Power Industry"/>
    <x v="9"/>
    <n v="409785.73"/>
  </r>
  <r>
    <x v="23"/>
    <x v="48"/>
    <s v="Total Electric Power Industry"/>
    <x v="4"/>
    <n v="24362.54"/>
  </r>
  <r>
    <x v="23"/>
    <x v="48"/>
    <s v="Total Electric Power Industry"/>
    <x v="10"/>
    <n v="7188"/>
  </r>
  <r>
    <x v="23"/>
    <x v="48"/>
    <s v="Total Electric Power Industry"/>
    <x v="13"/>
    <n v="762"/>
  </r>
  <r>
    <x v="23"/>
    <x v="48"/>
    <s v="Total Electric Power Industry"/>
    <x v="5"/>
    <n v="7004365"/>
  </r>
  <r>
    <x v="23"/>
    <x v="48"/>
    <s v="Total Electric Power Industry"/>
    <x v="6"/>
    <n v="1532734.34"/>
  </r>
  <r>
    <x v="23"/>
    <x v="48"/>
    <s v="Electric Generators, Independent Power Producers"/>
    <x v="0"/>
    <n v="11658343"/>
  </r>
  <r>
    <x v="23"/>
    <x v="48"/>
    <s v="Electric Generators, Independent Power Producers"/>
    <x v="1"/>
    <n v="6703714.75"/>
  </r>
  <r>
    <x v="23"/>
    <x v="48"/>
    <s v="Electric Generators, Independent Power Producers"/>
    <x v="2"/>
    <n v="272023"/>
  </r>
  <r>
    <x v="23"/>
    <x v="48"/>
    <s v="Electric Generators, Independent Power Producers"/>
    <x v="3"/>
    <n v="835491"/>
  </r>
  <r>
    <x v="23"/>
    <x v="48"/>
    <s v="Electric Generators, Independent Power Producers"/>
    <x v="12"/>
    <n v="67077.679999999993"/>
  </r>
  <r>
    <x v="23"/>
    <x v="48"/>
    <s v="Electric Generators, Independent Power Producers"/>
    <x v="8"/>
    <n v="92811.54"/>
  </r>
  <r>
    <x v="23"/>
    <x v="48"/>
    <s v="Electric Generators, Independent Power Producers"/>
    <x v="4"/>
    <n v="9416.0400000000009"/>
  </r>
  <r>
    <x v="23"/>
    <x v="48"/>
    <s v="Electric Generators, Independent Power Producers"/>
    <x v="5"/>
    <n v="3677809"/>
  </r>
  <r>
    <x v="23"/>
    <x v="48"/>
    <s v="Electric Generators, Electric Utilities"/>
    <x v="0"/>
    <n v="100013661"/>
  </r>
  <r>
    <x v="23"/>
    <x v="48"/>
    <s v="Electric Generators, Electric Utilities"/>
    <x v="2"/>
    <n v="77883064"/>
  </r>
  <r>
    <x v="23"/>
    <x v="48"/>
    <s v="Electric Generators, Electric Utilities"/>
    <x v="3"/>
    <n v="9867738.0299999993"/>
  </r>
  <r>
    <x v="23"/>
    <x v="48"/>
    <s v="Electric Generators, Electric Utilities"/>
    <x v="7"/>
    <n v="8460890"/>
  </r>
  <r>
    <x v="23"/>
    <x v="48"/>
    <s v="Electric Generators, Electric Utilities"/>
    <x v="12"/>
    <n v="0"/>
  </r>
  <r>
    <x v="23"/>
    <x v="48"/>
    <s v="Electric Generators, Electric Utilities"/>
    <x v="8"/>
    <n v="170409"/>
  </r>
  <r>
    <x v="23"/>
    <x v="48"/>
    <s v="Electric Generators, Electric Utilities"/>
    <x v="4"/>
    <n v="2949.74"/>
  </r>
  <r>
    <x v="23"/>
    <x v="48"/>
    <s v="Electric Generators, Electric Utilities"/>
    <x v="10"/>
    <n v="7188"/>
  </r>
  <r>
    <x v="23"/>
    <x v="48"/>
    <s v="Electric Generators, Electric Utilities"/>
    <x v="13"/>
    <n v="762"/>
  </r>
  <r>
    <x v="23"/>
    <x v="48"/>
    <s v="Electric Generators, Electric Utilities"/>
    <x v="5"/>
    <n v="3326556"/>
  </r>
  <r>
    <x v="23"/>
    <x v="48"/>
    <s v="Electric Generators, Electric Utilities"/>
    <x v="6"/>
    <n v="294104.23"/>
  </r>
  <r>
    <x v="23"/>
    <x v="48"/>
    <s v="Combined Heat and Power, Industrial Power"/>
    <x v="0"/>
    <n v="1433006.93"/>
  </r>
  <r>
    <x v="23"/>
    <x v="48"/>
    <s v="Combined Heat and Power, Industrial Power"/>
    <x v="1"/>
    <n v="36710.230000000003"/>
  </r>
  <r>
    <x v="23"/>
    <x v="48"/>
    <s v="Combined Heat and Power, Industrial Power"/>
    <x v="2"/>
    <n v="0"/>
  </r>
  <r>
    <x v="23"/>
    <x v="48"/>
    <s v="Combined Heat and Power, Industrial Power"/>
    <x v="3"/>
    <n v="70088.69"/>
  </r>
  <r>
    <x v="23"/>
    <x v="48"/>
    <s v="Combined Heat and Power, Industrial Power"/>
    <x v="12"/>
    <n v="62025"/>
  </r>
  <r>
    <x v="23"/>
    <x v="48"/>
    <s v="Combined Heat and Power, Industrial Power"/>
    <x v="8"/>
    <n v="14176.99"/>
  </r>
  <r>
    <x v="23"/>
    <x v="48"/>
    <s v="Combined Heat and Power, Industrial Power"/>
    <x v="4"/>
    <n v="11375.91"/>
  </r>
  <r>
    <x v="23"/>
    <x v="48"/>
    <s v="Combined Heat and Power, Industrial Power"/>
    <x v="6"/>
    <n v="1238630.1100000001"/>
  </r>
  <r>
    <x v="23"/>
    <x v="48"/>
    <s v="Combined Heat and Power, Electric Power"/>
    <x v="0"/>
    <n v="1042190.28"/>
  </r>
  <r>
    <x v="23"/>
    <x v="48"/>
    <s v="Combined Heat and Power, Electric Power"/>
    <x v="3"/>
    <n v="632404.55000000005"/>
  </r>
  <r>
    <x v="23"/>
    <x v="48"/>
    <s v="Combined Heat and Power, Electric Power"/>
    <x v="9"/>
    <n v="409785.73"/>
  </r>
  <r>
    <x v="23"/>
    <x v="48"/>
    <s v="Combined Heat and Power, Electric Power"/>
    <x v="4"/>
    <n v="0"/>
  </r>
  <r>
    <x v="23"/>
    <x v="48"/>
    <s v="Combined Heat and Power, Commercial Power"/>
    <x v="0"/>
    <n v="25715.02"/>
  </r>
  <r>
    <x v="23"/>
    <x v="48"/>
    <s v="Combined Heat and Power, Commercial Power"/>
    <x v="3"/>
    <n v="18588.169999999998"/>
  </r>
  <r>
    <x v="23"/>
    <x v="48"/>
    <s v="Combined Heat and Power, Commercial Power"/>
    <x v="8"/>
    <n v="6506"/>
  </r>
  <r>
    <x v="23"/>
    <x v="48"/>
    <s v="Combined Heat and Power, Commercial Power"/>
    <x v="4"/>
    <n v="620.85"/>
  </r>
  <r>
    <x v="23"/>
    <x v="49"/>
    <s v="Total Electric Power Industry"/>
    <x v="0"/>
    <n v="65962791.789999999"/>
  </r>
  <r>
    <x v="23"/>
    <x v="49"/>
    <s v="Total Electric Power Industry"/>
    <x v="1"/>
    <n v="40645180.93"/>
  </r>
  <r>
    <x v="23"/>
    <x v="49"/>
    <s v="Total Electric Power Industry"/>
    <x v="2"/>
    <n v="1978872.06"/>
  </r>
  <r>
    <x v="23"/>
    <x v="49"/>
    <s v="Total Electric Power Industry"/>
    <x v="3"/>
    <n v="8102491.0800000001"/>
  </r>
  <r>
    <x v="23"/>
    <x v="49"/>
    <s v="Total Electric Power Industry"/>
    <x v="7"/>
    <n v="11675194"/>
  </r>
  <r>
    <x v="23"/>
    <x v="49"/>
    <s v="Total Electric Power Industry"/>
    <x v="12"/>
    <n v="66017.350000000006"/>
  </r>
  <r>
    <x v="23"/>
    <x v="49"/>
    <s v="Total Electric Power Industry"/>
    <x v="8"/>
    <n v="484340.22"/>
  </r>
  <r>
    <x v="23"/>
    <x v="49"/>
    <s v="Total Electric Power Industry"/>
    <x v="4"/>
    <n v="303055.28000000003"/>
  </r>
  <r>
    <x v="23"/>
    <x v="49"/>
    <s v="Total Electric Power Industry"/>
    <x v="5"/>
    <n v="1557924"/>
  </r>
  <r>
    <x v="23"/>
    <x v="49"/>
    <s v="Total Electric Power Industry"/>
    <x v="6"/>
    <n v="1149716.8700000001"/>
  </r>
  <r>
    <x v="23"/>
    <x v="49"/>
    <s v="Electric Generators, Independent Power Producers"/>
    <x v="0"/>
    <n v="16136351.42"/>
  </r>
  <r>
    <x v="23"/>
    <x v="49"/>
    <s v="Electric Generators, Independent Power Producers"/>
    <x v="1"/>
    <n v="0"/>
  </r>
  <r>
    <x v="23"/>
    <x v="49"/>
    <s v="Electric Generators, Independent Power Producers"/>
    <x v="2"/>
    <n v="89941"/>
  </r>
  <r>
    <x v="23"/>
    <x v="49"/>
    <s v="Electric Generators, Independent Power Producers"/>
    <x v="3"/>
    <n v="3105144.69"/>
  </r>
  <r>
    <x v="23"/>
    <x v="49"/>
    <s v="Electric Generators, Independent Power Producers"/>
    <x v="7"/>
    <n v="11675194"/>
  </r>
  <r>
    <x v="23"/>
    <x v="49"/>
    <s v="Electric Generators, Independent Power Producers"/>
    <x v="8"/>
    <n v="401805.7"/>
  </r>
  <r>
    <x v="23"/>
    <x v="49"/>
    <s v="Electric Generators, Independent Power Producers"/>
    <x v="4"/>
    <n v="685.79"/>
  </r>
  <r>
    <x v="23"/>
    <x v="49"/>
    <s v="Electric Generators, Independent Power Producers"/>
    <x v="5"/>
    <n v="561071"/>
  </r>
  <r>
    <x v="23"/>
    <x v="49"/>
    <s v="Electric Generators, Independent Power Producers"/>
    <x v="6"/>
    <n v="302509.24"/>
  </r>
  <r>
    <x v="23"/>
    <x v="49"/>
    <s v="Electric Generators, Electric Utilities"/>
    <x v="0"/>
    <n v="47027454.579999998"/>
  </r>
  <r>
    <x v="23"/>
    <x v="49"/>
    <s v="Electric Generators, Electric Utilities"/>
    <x v="1"/>
    <n v="39824096.390000001"/>
  </r>
  <r>
    <x v="23"/>
    <x v="49"/>
    <s v="Electric Generators, Electric Utilities"/>
    <x v="2"/>
    <n v="1733729"/>
  </r>
  <r>
    <x v="23"/>
    <x v="49"/>
    <s v="Electric Generators, Electric Utilities"/>
    <x v="3"/>
    <n v="4094650.43"/>
  </r>
  <r>
    <x v="23"/>
    <x v="49"/>
    <s v="Electric Generators, Electric Utilities"/>
    <x v="12"/>
    <n v="30206.85"/>
  </r>
  <r>
    <x v="23"/>
    <x v="49"/>
    <s v="Electric Generators, Electric Utilities"/>
    <x v="8"/>
    <n v="18976.759999999998"/>
  </r>
  <r>
    <x v="23"/>
    <x v="49"/>
    <s v="Electric Generators, Electric Utilities"/>
    <x v="4"/>
    <n v="86019.14"/>
  </r>
  <r>
    <x v="23"/>
    <x v="49"/>
    <s v="Electric Generators, Electric Utilities"/>
    <x v="5"/>
    <n v="996853"/>
  </r>
  <r>
    <x v="23"/>
    <x v="49"/>
    <s v="Electric Generators, Electric Utilities"/>
    <x v="6"/>
    <n v="242923.01"/>
  </r>
  <r>
    <x v="23"/>
    <x v="49"/>
    <s v="Combined Heat and Power, Industrial Power"/>
    <x v="0"/>
    <n v="1939941.64"/>
  </r>
  <r>
    <x v="23"/>
    <x v="49"/>
    <s v="Combined Heat and Power, Industrial Power"/>
    <x v="1"/>
    <n v="820073.1"/>
  </r>
  <r>
    <x v="23"/>
    <x v="49"/>
    <s v="Combined Heat and Power, Industrial Power"/>
    <x v="2"/>
    <n v="155202.06"/>
  </r>
  <r>
    <x v="23"/>
    <x v="49"/>
    <s v="Combined Heat and Power, Industrial Power"/>
    <x v="3"/>
    <n v="106221.32"/>
  </r>
  <r>
    <x v="23"/>
    <x v="49"/>
    <s v="Combined Heat and Power, Industrial Power"/>
    <x v="12"/>
    <n v="35810.51"/>
  </r>
  <r>
    <x v="23"/>
    <x v="49"/>
    <s v="Combined Heat and Power, Industrial Power"/>
    <x v="8"/>
    <n v="4030.05"/>
  </r>
  <r>
    <x v="23"/>
    <x v="49"/>
    <s v="Combined Heat and Power, Industrial Power"/>
    <x v="4"/>
    <n v="214382.81"/>
  </r>
  <r>
    <x v="23"/>
    <x v="49"/>
    <s v="Combined Heat and Power, Industrial Power"/>
    <x v="6"/>
    <n v="604221.80000000005"/>
  </r>
  <r>
    <x v="23"/>
    <x v="49"/>
    <s v="Combined Heat and Power, Electric Power"/>
    <x v="0"/>
    <n v="728849"/>
  </r>
  <r>
    <x v="23"/>
    <x v="49"/>
    <s v="Combined Heat and Power, Electric Power"/>
    <x v="3"/>
    <n v="689374.43"/>
  </r>
  <r>
    <x v="23"/>
    <x v="49"/>
    <s v="Combined Heat and Power, Electric Power"/>
    <x v="8"/>
    <n v="37952"/>
  </r>
  <r>
    <x v="23"/>
    <x v="49"/>
    <s v="Combined Heat and Power, Electric Power"/>
    <x v="4"/>
    <n v="1522.57"/>
  </r>
  <r>
    <x v="23"/>
    <x v="49"/>
    <s v="Combined Heat and Power, Commercial Power"/>
    <x v="0"/>
    <n v="130195.15"/>
  </r>
  <r>
    <x v="23"/>
    <x v="49"/>
    <s v="Combined Heat and Power, Commercial Power"/>
    <x v="1"/>
    <n v="1011.43"/>
  </r>
  <r>
    <x v="23"/>
    <x v="49"/>
    <s v="Combined Heat and Power, Commercial Power"/>
    <x v="3"/>
    <n v="107100.22"/>
  </r>
  <r>
    <x v="23"/>
    <x v="49"/>
    <s v="Combined Heat and Power, Commercial Power"/>
    <x v="12"/>
    <n v="0"/>
  </r>
  <r>
    <x v="23"/>
    <x v="49"/>
    <s v="Combined Heat and Power, Commercial Power"/>
    <x v="8"/>
    <n v="21575.7"/>
  </r>
  <r>
    <x v="23"/>
    <x v="49"/>
    <s v="Combined Heat and Power, Commercial Power"/>
    <x v="4"/>
    <n v="444.97"/>
  </r>
  <r>
    <x v="23"/>
    <x v="49"/>
    <s v="Combined Heat and Power, Commercial Power"/>
    <x v="6"/>
    <n v="62.83"/>
  </r>
  <r>
    <x v="23"/>
    <x v="50"/>
    <s v="Total Electric Power Industry"/>
    <x v="0"/>
    <n v="75863066.640000001"/>
  </r>
  <r>
    <x v="23"/>
    <x v="50"/>
    <s v="Total Electric Power Industry"/>
    <x v="1"/>
    <n v="72284358.450000003"/>
  </r>
  <r>
    <x v="23"/>
    <x v="50"/>
    <s v="Total Electric Power Industry"/>
    <x v="2"/>
    <n v="1738776"/>
  </r>
  <r>
    <x v="23"/>
    <x v="50"/>
    <s v="Total Electric Power Industry"/>
    <x v="3"/>
    <n v="269639.38"/>
  </r>
  <r>
    <x v="23"/>
    <x v="50"/>
    <s v="Total Electric Power Industry"/>
    <x v="12"/>
    <n v="0"/>
  </r>
  <r>
    <x v="23"/>
    <x v="50"/>
    <s v="Total Electric Power Industry"/>
    <x v="8"/>
    <n v="3999"/>
  </r>
  <r>
    <x v="23"/>
    <x v="50"/>
    <s v="Total Electric Power Industry"/>
    <x v="9"/>
    <n v="29947.15"/>
  </r>
  <r>
    <x v="23"/>
    <x v="50"/>
    <s v="Total Electric Power Industry"/>
    <x v="4"/>
    <n v="149830.66"/>
  </r>
  <r>
    <x v="23"/>
    <x v="50"/>
    <s v="Total Electric Power Industry"/>
    <x v="5"/>
    <n v="1386516"/>
  </r>
  <r>
    <x v="23"/>
    <x v="50"/>
    <s v="Electric Generators, Independent Power Producers"/>
    <x v="0"/>
    <n v="27971143"/>
  </r>
  <r>
    <x v="23"/>
    <x v="50"/>
    <s v="Electric Generators, Independent Power Producers"/>
    <x v="1"/>
    <n v="25847273.579999998"/>
  </r>
  <r>
    <x v="23"/>
    <x v="50"/>
    <s v="Electric Generators, Independent Power Producers"/>
    <x v="2"/>
    <n v="502426"/>
  </r>
  <r>
    <x v="23"/>
    <x v="50"/>
    <s v="Electric Generators, Independent Power Producers"/>
    <x v="3"/>
    <n v="228248.87"/>
  </r>
  <r>
    <x v="23"/>
    <x v="50"/>
    <s v="Electric Generators, Independent Power Producers"/>
    <x v="12"/>
    <n v="0"/>
  </r>
  <r>
    <x v="23"/>
    <x v="50"/>
    <s v="Electric Generators, Independent Power Producers"/>
    <x v="8"/>
    <n v="3999"/>
  </r>
  <r>
    <x v="23"/>
    <x v="50"/>
    <s v="Electric Generators, Independent Power Producers"/>
    <x v="4"/>
    <n v="2679.55"/>
  </r>
  <r>
    <x v="23"/>
    <x v="50"/>
    <s v="Electric Generators, Independent Power Producers"/>
    <x v="5"/>
    <n v="1386516"/>
  </r>
  <r>
    <x v="23"/>
    <x v="50"/>
    <s v="Electric Generators, Electric Utilities"/>
    <x v="0"/>
    <n v="46351104"/>
  </r>
  <r>
    <x v="23"/>
    <x v="50"/>
    <s v="Electric Generators, Electric Utilities"/>
    <x v="1"/>
    <n v="45585249.880000003"/>
  </r>
  <r>
    <x v="23"/>
    <x v="50"/>
    <s v="Electric Generators, Electric Utilities"/>
    <x v="2"/>
    <n v="577763"/>
  </r>
  <r>
    <x v="23"/>
    <x v="50"/>
    <s v="Electric Generators, Electric Utilities"/>
    <x v="3"/>
    <n v="40940"/>
  </r>
  <r>
    <x v="23"/>
    <x v="50"/>
    <s v="Electric Generators, Electric Utilities"/>
    <x v="4"/>
    <n v="147151.12"/>
  </r>
  <r>
    <x v="23"/>
    <x v="50"/>
    <s v="Combined Heat and Power, Industrial Power"/>
    <x v="0"/>
    <n v="1135915.6399999999"/>
  </r>
  <r>
    <x v="23"/>
    <x v="50"/>
    <s v="Combined Heat and Power, Industrial Power"/>
    <x v="1"/>
    <n v="447371.77"/>
  </r>
  <r>
    <x v="23"/>
    <x v="50"/>
    <s v="Combined Heat and Power, Industrial Power"/>
    <x v="2"/>
    <n v="658587"/>
  </r>
  <r>
    <x v="23"/>
    <x v="50"/>
    <s v="Combined Heat and Power, Industrial Power"/>
    <x v="3"/>
    <n v="9.7200000000000006"/>
  </r>
  <r>
    <x v="23"/>
    <x v="50"/>
    <s v="Combined Heat and Power, Industrial Power"/>
    <x v="9"/>
    <n v="29947.15"/>
  </r>
  <r>
    <x v="23"/>
    <x v="50"/>
    <s v="Combined Heat and Power, Electric Power"/>
    <x v="0"/>
    <n v="404904"/>
  </r>
  <r>
    <x v="23"/>
    <x v="50"/>
    <s v="Combined Heat and Power, Electric Power"/>
    <x v="1"/>
    <n v="404463.21"/>
  </r>
  <r>
    <x v="23"/>
    <x v="50"/>
    <s v="Combined Heat and Power, Electric Power"/>
    <x v="3"/>
    <n v="440.79"/>
  </r>
  <r>
    <x v="23"/>
    <x v="51"/>
    <s v="Total Electric Power Industry"/>
    <x v="0"/>
    <n v="52483065.399999999"/>
  </r>
  <r>
    <x v="23"/>
    <x v="51"/>
    <s v="Total Electric Power Industry"/>
    <x v="1"/>
    <n v="46436678.640000001"/>
  </r>
  <r>
    <x v="23"/>
    <x v="51"/>
    <s v="Total Electric Power Industry"/>
    <x v="2"/>
    <n v="710878.17"/>
  </r>
  <r>
    <x v="23"/>
    <x v="51"/>
    <s v="Total Electric Power Industry"/>
    <x v="3"/>
    <n v="512438.65"/>
  </r>
  <r>
    <x v="23"/>
    <x v="51"/>
    <s v="Total Electric Power Industry"/>
    <x v="12"/>
    <n v="69280.19"/>
  </r>
  <r>
    <x v="23"/>
    <x v="51"/>
    <s v="Total Electric Power Industry"/>
    <x v="9"/>
    <n v="281199.76"/>
  </r>
  <r>
    <x v="23"/>
    <x v="51"/>
    <s v="Total Electric Power Industry"/>
    <x v="4"/>
    <n v="39306"/>
  </r>
  <r>
    <x v="23"/>
    <x v="51"/>
    <s v="Total Electric Power Industry"/>
    <x v="5"/>
    <n v="4433284"/>
  </r>
  <r>
    <x v="23"/>
    <x v="51"/>
    <s v="Electric Generators, Independent Power Producers"/>
    <x v="0"/>
    <n v="3119986.17"/>
  </r>
  <r>
    <x v="23"/>
    <x v="51"/>
    <s v="Electric Generators, Independent Power Producers"/>
    <x v="1"/>
    <n v="704119.73"/>
  </r>
  <r>
    <x v="23"/>
    <x v="51"/>
    <s v="Electric Generators, Independent Power Producers"/>
    <x v="2"/>
    <n v="9586.17"/>
  </r>
  <r>
    <x v="23"/>
    <x v="51"/>
    <s v="Electric Generators, Independent Power Producers"/>
    <x v="3"/>
    <n v="17709.27"/>
  </r>
  <r>
    <x v="23"/>
    <x v="51"/>
    <s v="Electric Generators, Independent Power Producers"/>
    <x v="5"/>
    <n v="2388571"/>
  </r>
  <r>
    <x v="23"/>
    <x v="51"/>
    <s v="Electric Generators, Electric Utilities"/>
    <x v="0"/>
    <n v="48089178"/>
  </r>
  <r>
    <x v="23"/>
    <x v="51"/>
    <s v="Electric Generators, Electric Utilities"/>
    <x v="1"/>
    <n v="45271135.140000001"/>
  </r>
  <r>
    <x v="23"/>
    <x v="51"/>
    <s v="Electric Generators, Electric Utilities"/>
    <x v="2"/>
    <n v="701292"/>
  </r>
  <r>
    <x v="23"/>
    <x v="51"/>
    <s v="Electric Generators, Electric Utilities"/>
    <x v="3"/>
    <n v="32858.51"/>
  </r>
  <r>
    <x v="23"/>
    <x v="51"/>
    <s v="Electric Generators, Electric Utilities"/>
    <x v="4"/>
    <n v="39179.35"/>
  </r>
  <r>
    <x v="23"/>
    <x v="51"/>
    <s v="Electric Generators, Electric Utilities"/>
    <x v="5"/>
    <n v="2044713"/>
  </r>
  <r>
    <x v="23"/>
    <x v="51"/>
    <s v="Combined Heat and Power, Industrial Power"/>
    <x v="0"/>
    <n v="1273901.23"/>
  </r>
  <r>
    <x v="23"/>
    <x v="51"/>
    <s v="Combined Heat and Power, Industrial Power"/>
    <x v="1"/>
    <n v="461423.77"/>
  </r>
  <r>
    <x v="23"/>
    <x v="51"/>
    <s v="Combined Heat and Power, Industrial Power"/>
    <x v="3"/>
    <n v="461870.87"/>
  </r>
  <r>
    <x v="23"/>
    <x v="51"/>
    <s v="Combined Heat and Power, Industrial Power"/>
    <x v="12"/>
    <n v="69280.19"/>
  </r>
  <r>
    <x v="23"/>
    <x v="51"/>
    <s v="Combined Heat and Power, Industrial Power"/>
    <x v="9"/>
    <n v="281199.76"/>
  </r>
  <r>
    <x v="23"/>
    <x v="51"/>
    <s v="Combined Heat and Power, Industrial Power"/>
    <x v="4"/>
    <n v="126.65"/>
  </r>
  <r>
    <x v="24"/>
    <x v="0"/>
    <s v="Total Electric Power Industry"/>
    <x v="0"/>
    <n v="6042829.6299999999"/>
  </r>
  <r>
    <x v="24"/>
    <x v="0"/>
    <s v="Total Electric Power Industry"/>
    <x v="1"/>
    <n v="558292.18000000005"/>
  </r>
  <r>
    <x v="24"/>
    <x v="0"/>
    <s v="Total Electric Power Industry"/>
    <x v="2"/>
    <n v="1538738"/>
  </r>
  <r>
    <x v="24"/>
    <x v="0"/>
    <s v="Total Electric Power Industry"/>
    <x v="3"/>
    <n v="3288022.32"/>
  </r>
  <r>
    <x v="24"/>
    <x v="0"/>
    <s v="Total Electric Power Industry"/>
    <x v="12"/>
    <n v="-2313"/>
  </r>
  <r>
    <x v="24"/>
    <x v="0"/>
    <s v="Total Electric Power Industry"/>
    <x v="4"/>
    <n v="445621.45"/>
  </r>
  <r>
    <x v="24"/>
    <x v="0"/>
    <s v="Total Electric Power Industry"/>
    <x v="8"/>
    <n v="62511.68"/>
  </r>
  <r>
    <x v="24"/>
    <x v="0"/>
    <s v="Total Electric Power Industry"/>
    <x v="5"/>
    <n v="151957"/>
  </r>
  <r>
    <x v="24"/>
    <x v="0"/>
    <s v="Total Electric Power Industry"/>
    <x v="6"/>
    <n v="0"/>
  </r>
  <r>
    <x v="24"/>
    <x v="0"/>
    <s v="Combined Heat and Power, Industrial Power"/>
    <x v="0"/>
    <n v="117558.24"/>
  </r>
  <r>
    <x v="24"/>
    <x v="0"/>
    <s v="Combined Heat and Power, Industrial Power"/>
    <x v="3"/>
    <n v="67069.240000000005"/>
  </r>
  <r>
    <x v="24"/>
    <x v="0"/>
    <s v="Combined Heat and Power, Industrial Power"/>
    <x v="4"/>
    <n v="44143.09"/>
  </r>
  <r>
    <x v="24"/>
    <x v="0"/>
    <s v="Combined Heat and Power, Industrial Power"/>
    <x v="8"/>
    <n v="6345.91"/>
  </r>
  <r>
    <x v="24"/>
    <x v="0"/>
    <s v="Combined Heat and Power, Commercial Power"/>
    <x v="0"/>
    <n v="171905.84"/>
  </r>
  <r>
    <x v="24"/>
    <x v="0"/>
    <s v="Combined Heat and Power, Commercial Power"/>
    <x v="1"/>
    <n v="110575.23"/>
  </r>
  <r>
    <x v="24"/>
    <x v="0"/>
    <s v="Combined Heat and Power, Commercial Power"/>
    <x v="3"/>
    <n v="2162.34"/>
  </r>
  <r>
    <x v="24"/>
    <x v="0"/>
    <s v="Combined Heat and Power, Commercial Power"/>
    <x v="4"/>
    <n v="3002.49"/>
  </r>
  <r>
    <x v="24"/>
    <x v="0"/>
    <s v="Combined Heat and Power, Commercial Power"/>
    <x v="8"/>
    <n v="56165.77"/>
  </r>
  <r>
    <x v="24"/>
    <x v="0"/>
    <s v="Combined Heat and Power, Commercial Power"/>
    <x v="6"/>
    <n v="0"/>
  </r>
  <r>
    <x v="24"/>
    <x v="0"/>
    <s v="Combined Heat and Power, Electric Power"/>
    <x v="0"/>
    <n v="191062"/>
  </r>
  <r>
    <x v="24"/>
    <x v="0"/>
    <s v="Combined Heat and Power, Electric Power"/>
    <x v="1"/>
    <n v="191062"/>
  </r>
  <r>
    <x v="24"/>
    <x v="0"/>
    <s v="Combined Heat and Power, Electric Power"/>
    <x v="4"/>
    <n v="0"/>
  </r>
  <r>
    <x v="24"/>
    <x v="0"/>
    <s v="Combined Heat and Power, Electric Power"/>
    <x v="8"/>
    <n v="0"/>
  </r>
  <r>
    <x v="24"/>
    <x v="0"/>
    <s v="Combined Heat and Power, Electric Power"/>
    <x v="6"/>
    <n v="0"/>
  </r>
  <r>
    <x v="24"/>
    <x v="0"/>
    <s v="Electric Generators, Independent Power Producers"/>
    <x v="0"/>
    <n v="52313"/>
  </r>
  <r>
    <x v="24"/>
    <x v="0"/>
    <s v="Electric Generators, Independent Power Producers"/>
    <x v="5"/>
    <n v="52313"/>
  </r>
  <r>
    <x v="24"/>
    <x v="0"/>
    <s v="Electric Generators, Electric Utilities"/>
    <x v="0"/>
    <n v="5509990.5499999998"/>
  </r>
  <r>
    <x v="24"/>
    <x v="0"/>
    <s v="Electric Generators, Electric Utilities"/>
    <x v="1"/>
    <n v="256654.95"/>
  </r>
  <r>
    <x v="24"/>
    <x v="0"/>
    <s v="Electric Generators, Electric Utilities"/>
    <x v="2"/>
    <n v="1538738"/>
  </r>
  <r>
    <x v="24"/>
    <x v="0"/>
    <s v="Electric Generators, Electric Utilities"/>
    <x v="3"/>
    <n v="3218790.74"/>
  </r>
  <r>
    <x v="24"/>
    <x v="0"/>
    <s v="Electric Generators, Electric Utilities"/>
    <x v="12"/>
    <n v="-2313"/>
  </r>
  <r>
    <x v="24"/>
    <x v="0"/>
    <s v="Electric Generators, Electric Utilities"/>
    <x v="4"/>
    <n v="398475.87"/>
  </r>
  <r>
    <x v="24"/>
    <x v="0"/>
    <s v="Electric Generators, Electric Utilities"/>
    <x v="5"/>
    <n v="99644"/>
  </r>
  <r>
    <x v="24"/>
    <x v="1"/>
    <s v="Total Electric Power Industry"/>
    <x v="0"/>
    <n v="149340447.09"/>
  </r>
  <r>
    <x v="24"/>
    <x v="1"/>
    <s v="Total Electric Power Industry"/>
    <x v="1"/>
    <n v="47301626.25"/>
  </r>
  <r>
    <x v="24"/>
    <x v="1"/>
    <s v="Total Electric Power Industry"/>
    <x v="2"/>
    <n v="9466872"/>
  </r>
  <r>
    <x v="24"/>
    <x v="1"/>
    <s v="Total Electric Power Industry"/>
    <x v="3"/>
    <n v="48270074.380000003"/>
  </r>
  <r>
    <x v="24"/>
    <x v="1"/>
    <s v="Total Electric Power Industry"/>
    <x v="7"/>
    <n v="41243689"/>
  </r>
  <r>
    <x v="24"/>
    <x v="1"/>
    <s v="Total Electric Power Industry"/>
    <x v="9"/>
    <n v="180403.47"/>
  </r>
  <r>
    <x v="24"/>
    <x v="1"/>
    <s v="Total Electric Power Industry"/>
    <x v="12"/>
    <n v="660.97"/>
  </r>
  <r>
    <x v="24"/>
    <x v="1"/>
    <s v="Total Electric Power Industry"/>
    <x v="4"/>
    <n v="98099.98"/>
  </r>
  <r>
    <x v="24"/>
    <x v="1"/>
    <s v="Total Electric Power Industry"/>
    <x v="8"/>
    <n v="46936.81"/>
  </r>
  <r>
    <x v="24"/>
    <x v="1"/>
    <s v="Total Electric Power Industry"/>
    <x v="6"/>
    <n v="2732084.22"/>
  </r>
  <r>
    <x v="24"/>
    <x v="1"/>
    <s v="Combined Heat and Power, Industrial Power"/>
    <x v="0"/>
    <n v="3837837.09"/>
  </r>
  <r>
    <x v="24"/>
    <x v="1"/>
    <s v="Combined Heat and Power, Industrial Power"/>
    <x v="1"/>
    <n v="131425.60000000001"/>
  </r>
  <r>
    <x v="24"/>
    <x v="1"/>
    <s v="Combined Heat and Power, Industrial Power"/>
    <x v="3"/>
    <n v="974928.98"/>
  </r>
  <r>
    <x v="24"/>
    <x v="1"/>
    <s v="Combined Heat and Power, Industrial Power"/>
    <x v="9"/>
    <n v="180403.47"/>
  </r>
  <r>
    <x v="24"/>
    <x v="1"/>
    <s v="Combined Heat and Power, Industrial Power"/>
    <x v="12"/>
    <n v="660.97"/>
  </r>
  <r>
    <x v="24"/>
    <x v="1"/>
    <s v="Combined Heat and Power, Industrial Power"/>
    <x v="4"/>
    <n v="16439.61"/>
  </r>
  <r>
    <x v="24"/>
    <x v="1"/>
    <s v="Combined Heat and Power, Industrial Power"/>
    <x v="8"/>
    <n v="2382.81"/>
  </r>
  <r>
    <x v="24"/>
    <x v="1"/>
    <s v="Combined Heat and Power, Industrial Power"/>
    <x v="6"/>
    <n v="2531595.64"/>
  </r>
  <r>
    <x v="24"/>
    <x v="1"/>
    <s v="Combined Heat and Power, Electric Power"/>
    <x v="0"/>
    <n v="4125833"/>
  </r>
  <r>
    <x v="24"/>
    <x v="1"/>
    <s v="Combined Heat and Power, Electric Power"/>
    <x v="1"/>
    <n v="0"/>
  </r>
  <r>
    <x v="24"/>
    <x v="1"/>
    <s v="Combined Heat and Power, Electric Power"/>
    <x v="3"/>
    <n v="3926632.33"/>
  </r>
  <r>
    <x v="24"/>
    <x v="1"/>
    <s v="Combined Heat and Power, Electric Power"/>
    <x v="6"/>
    <n v="199200.67"/>
  </r>
  <r>
    <x v="24"/>
    <x v="1"/>
    <s v="Electric Generators, Independent Power Producers"/>
    <x v="0"/>
    <n v="29036222"/>
  </r>
  <r>
    <x v="24"/>
    <x v="1"/>
    <s v="Electric Generators, Independent Power Producers"/>
    <x v="3"/>
    <n v="28980796.07"/>
  </r>
  <r>
    <x v="24"/>
    <x v="1"/>
    <s v="Electric Generators, Independent Power Producers"/>
    <x v="4"/>
    <n v="10871.94"/>
  </r>
  <r>
    <x v="24"/>
    <x v="1"/>
    <s v="Electric Generators, Independent Power Producers"/>
    <x v="8"/>
    <n v="44554"/>
  </r>
  <r>
    <x v="24"/>
    <x v="1"/>
    <s v="Electric Generators, Electric Utilities"/>
    <x v="0"/>
    <n v="112340555"/>
  </r>
  <r>
    <x v="24"/>
    <x v="1"/>
    <s v="Electric Generators, Electric Utilities"/>
    <x v="1"/>
    <n v="47170200.649999999"/>
  </r>
  <r>
    <x v="24"/>
    <x v="1"/>
    <s v="Electric Generators, Electric Utilities"/>
    <x v="2"/>
    <n v="9466872"/>
  </r>
  <r>
    <x v="24"/>
    <x v="1"/>
    <s v="Electric Generators, Electric Utilities"/>
    <x v="3"/>
    <n v="14387717"/>
  </r>
  <r>
    <x v="24"/>
    <x v="1"/>
    <s v="Electric Generators, Electric Utilities"/>
    <x v="7"/>
    <n v="41243689"/>
  </r>
  <r>
    <x v="24"/>
    <x v="1"/>
    <s v="Electric Generators, Electric Utilities"/>
    <x v="4"/>
    <n v="70788.44"/>
  </r>
  <r>
    <x v="24"/>
    <x v="1"/>
    <s v="Electric Generators, Electric Utilities"/>
    <x v="6"/>
    <n v="1287.9100000000001"/>
  </r>
  <r>
    <x v="24"/>
    <x v="2"/>
    <s v="Total Electric Power Industry"/>
    <x v="0"/>
    <n v="61592136.659999996"/>
  </r>
  <r>
    <x v="24"/>
    <x v="2"/>
    <s v="Total Electric Power Industry"/>
    <x v="1"/>
    <n v="33220754.789999999"/>
  </r>
  <r>
    <x v="24"/>
    <x v="2"/>
    <s v="Total Electric Power Industry"/>
    <x v="10"/>
    <n v="67070"/>
  </r>
  <r>
    <x v="24"/>
    <x v="2"/>
    <s v="Total Electric Power Industry"/>
    <x v="2"/>
    <n v="2639776"/>
  </r>
  <r>
    <x v="24"/>
    <x v="2"/>
    <s v="Total Electric Power Industry"/>
    <x v="3"/>
    <n v="9613708.0299999993"/>
  </r>
  <r>
    <x v="24"/>
    <x v="2"/>
    <s v="Total Electric Power Industry"/>
    <x v="7"/>
    <n v="14478259"/>
  </r>
  <r>
    <x v="24"/>
    <x v="2"/>
    <s v="Total Electric Power Industry"/>
    <x v="12"/>
    <n v="13078.41"/>
  </r>
  <r>
    <x v="24"/>
    <x v="2"/>
    <s v="Total Electric Power Industry"/>
    <x v="4"/>
    <n v="29273.77"/>
  </r>
  <r>
    <x v="24"/>
    <x v="2"/>
    <s v="Total Electric Power Industry"/>
    <x v="8"/>
    <n v="102273.71"/>
  </r>
  <r>
    <x v="24"/>
    <x v="2"/>
    <s v="Total Electric Power Industry"/>
    <x v="6"/>
    <n v="1427942.95"/>
  </r>
  <r>
    <x v="24"/>
    <x v="2"/>
    <s v="Combined Heat and Power, Industrial Power"/>
    <x v="0"/>
    <n v="1780271.14"/>
  </r>
  <r>
    <x v="24"/>
    <x v="2"/>
    <s v="Combined Heat and Power, Industrial Power"/>
    <x v="1"/>
    <n v="57118.11"/>
  </r>
  <r>
    <x v="24"/>
    <x v="2"/>
    <s v="Combined Heat and Power, Industrial Power"/>
    <x v="3"/>
    <n v="278972.58"/>
  </r>
  <r>
    <x v="24"/>
    <x v="2"/>
    <s v="Combined Heat and Power, Industrial Power"/>
    <x v="12"/>
    <n v="13078.41"/>
  </r>
  <r>
    <x v="24"/>
    <x v="2"/>
    <s v="Combined Heat and Power, Industrial Power"/>
    <x v="4"/>
    <n v="3159.09"/>
  </r>
  <r>
    <x v="24"/>
    <x v="2"/>
    <s v="Combined Heat and Power, Industrial Power"/>
    <x v="8"/>
    <n v="0"/>
  </r>
  <r>
    <x v="24"/>
    <x v="2"/>
    <s v="Combined Heat and Power, Industrial Power"/>
    <x v="6"/>
    <n v="1427942.95"/>
  </r>
  <r>
    <x v="24"/>
    <x v="2"/>
    <s v="Combined Heat and Power, Commercial Power"/>
    <x v="0"/>
    <n v="7633.22"/>
  </r>
  <r>
    <x v="24"/>
    <x v="2"/>
    <s v="Combined Heat and Power, Commercial Power"/>
    <x v="3"/>
    <n v="2866.51"/>
  </r>
  <r>
    <x v="24"/>
    <x v="2"/>
    <s v="Combined Heat and Power, Commercial Power"/>
    <x v="8"/>
    <n v="4766.71"/>
  </r>
  <r>
    <x v="24"/>
    <x v="2"/>
    <s v="Combined Heat and Power, Electric Power"/>
    <x v="0"/>
    <n v="1089454"/>
  </r>
  <r>
    <x v="24"/>
    <x v="2"/>
    <s v="Combined Heat and Power, Electric Power"/>
    <x v="3"/>
    <n v="1058494"/>
  </r>
  <r>
    <x v="24"/>
    <x v="2"/>
    <s v="Combined Heat and Power, Electric Power"/>
    <x v="4"/>
    <n v="0"/>
  </r>
  <r>
    <x v="24"/>
    <x v="2"/>
    <s v="Combined Heat and Power, Electric Power"/>
    <x v="8"/>
    <n v="30960"/>
  </r>
  <r>
    <x v="24"/>
    <x v="2"/>
    <s v="Electric Generators, Independent Power Producers"/>
    <x v="0"/>
    <n v="9961883"/>
  </r>
  <r>
    <x v="24"/>
    <x v="2"/>
    <s v="Electric Generators, Independent Power Producers"/>
    <x v="1"/>
    <n v="3619417.13"/>
  </r>
  <r>
    <x v="24"/>
    <x v="2"/>
    <s v="Electric Generators, Independent Power Producers"/>
    <x v="2"/>
    <n v="20157"/>
  </r>
  <r>
    <x v="24"/>
    <x v="2"/>
    <s v="Electric Generators, Independent Power Producers"/>
    <x v="3"/>
    <n v="6248560"/>
  </r>
  <r>
    <x v="24"/>
    <x v="2"/>
    <s v="Electric Generators, Independent Power Producers"/>
    <x v="4"/>
    <n v="7201.87"/>
  </r>
  <r>
    <x v="24"/>
    <x v="2"/>
    <s v="Electric Generators, Independent Power Producers"/>
    <x v="8"/>
    <n v="66547"/>
  </r>
  <r>
    <x v="24"/>
    <x v="2"/>
    <s v="Electric Generators, Electric Utilities"/>
    <x v="0"/>
    <n v="48752895.299999997"/>
  </r>
  <r>
    <x v="24"/>
    <x v="2"/>
    <s v="Electric Generators, Electric Utilities"/>
    <x v="1"/>
    <n v="29544219.550000001"/>
  </r>
  <r>
    <x v="24"/>
    <x v="2"/>
    <s v="Electric Generators, Electric Utilities"/>
    <x v="10"/>
    <n v="67070"/>
  </r>
  <r>
    <x v="24"/>
    <x v="2"/>
    <s v="Electric Generators, Electric Utilities"/>
    <x v="2"/>
    <n v="2619619"/>
  </r>
  <r>
    <x v="24"/>
    <x v="2"/>
    <s v="Electric Generators, Electric Utilities"/>
    <x v="3"/>
    <n v="2024814.95"/>
  </r>
  <r>
    <x v="24"/>
    <x v="2"/>
    <s v="Electric Generators, Electric Utilities"/>
    <x v="7"/>
    <n v="14478259"/>
  </r>
  <r>
    <x v="24"/>
    <x v="2"/>
    <s v="Electric Generators, Electric Utilities"/>
    <x v="4"/>
    <n v="18912.810000000001"/>
  </r>
  <r>
    <x v="24"/>
    <x v="3"/>
    <s v="Total Electric Power Industry"/>
    <x v="0"/>
    <n v="112257187.45999999"/>
  </r>
  <r>
    <x v="24"/>
    <x v="3"/>
    <s v="Total Electric Power Industry"/>
    <x v="1"/>
    <n v="42665010.57"/>
  </r>
  <r>
    <x v="24"/>
    <x v="3"/>
    <s v="Total Electric Power Industry"/>
    <x v="10"/>
    <n v="13892"/>
  </r>
  <r>
    <x v="24"/>
    <x v="3"/>
    <s v="Total Electric Power Industry"/>
    <x v="2"/>
    <n v="6118261"/>
  </r>
  <r>
    <x v="24"/>
    <x v="3"/>
    <s v="Total Electric Power Industry"/>
    <x v="3"/>
    <n v="27241878.670000002"/>
  </r>
  <r>
    <x v="24"/>
    <x v="3"/>
    <s v="Total Electric Power Industry"/>
    <x v="7"/>
    <n v="32320917"/>
  </r>
  <r>
    <x v="24"/>
    <x v="3"/>
    <s v="Total Electric Power Industry"/>
    <x v="12"/>
    <n v="0"/>
  </r>
  <r>
    <x v="24"/>
    <x v="3"/>
    <s v="Total Electric Power Industry"/>
    <x v="4"/>
    <n v="56862.15"/>
  </r>
  <r>
    <x v="24"/>
    <x v="3"/>
    <s v="Total Electric Power Industry"/>
    <x v="13"/>
    <n v="3141507.86"/>
  </r>
  <r>
    <x v="24"/>
    <x v="3"/>
    <s v="Total Electric Power Industry"/>
    <x v="8"/>
    <n v="61053"/>
  </r>
  <r>
    <x v="24"/>
    <x v="3"/>
    <s v="Total Electric Power Industry"/>
    <x v="5"/>
    <n v="468115"/>
  </r>
  <r>
    <x v="24"/>
    <x v="3"/>
    <s v="Total Electric Power Industry"/>
    <x v="6"/>
    <n v="169690.21"/>
  </r>
  <r>
    <x v="24"/>
    <x v="3"/>
    <s v="Combined Heat and Power, Commercial Power"/>
    <x v="0"/>
    <n v="155794.04"/>
  </r>
  <r>
    <x v="24"/>
    <x v="3"/>
    <s v="Combined Heat and Power, Commercial Power"/>
    <x v="3"/>
    <n v="132182.32"/>
  </r>
  <r>
    <x v="24"/>
    <x v="3"/>
    <s v="Combined Heat and Power, Commercial Power"/>
    <x v="4"/>
    <n v="27.72"/>
  </r>
  <r>
    <x v="24"/>
    <x v="3"/>
    <s v="Combined Heat and Power, Commercial Power"/>
    <x v="13"/>
    <n v="23584"/>
  </r>
  <r>
    <x v="24"/>
    <x v="3"/>
    <s v="Combined Heat and Power, Electric Power"/>
    <x v="0"/>
    <n v="61811"/>
  </r>
  <r>
    <x v="24"/>
    <x v="3"/>
    <s v="Combined Heat and Power, Electric Power"/>
    <x v="3"/>
    <n v="61811"/>
  </r>
  <r>
    <x v="24"/>
    <x v="3"/>
    <s v="Combined Heat and Power, Electric Power"/>
    <x v="4"/>
    <n v="0"/>
  </r>
  <r>
    <x v="24"/>
    <x v="3"/>
    <s v="Electric Generators, Independent Power Producers"/>
    <x v="0"/>
    <n v="17192447.829999998"/>
  </r>
  <r>
    <x v="24"/>
    <x v="3"/>
    <s v="Electric Generators, Independent Power Producers"/>
    <x v="3"/>
    <n v="13796875.35"/>
  </r>
  <r>
    <x v="24"/>
    <x v="3"/>
    <s v="Electric Generators, Independent Power Producers"/>
    <x v="12"/>
    <n v="0"/>
  </r>
  <r>
    <x v="24"/>
    <x v="3"/>
    <s v="Electric Generators, Independent Power Producers"/>
    <x v="13"/>
    <n v="2717220.27"/>
  </r>
  <r>
    <x v="24"/>
    <x v="3"/>
    <s v="Electric Generators, Independent Power Producers"/>
    <x v="8"/>
    <n v="40547"/>
  </r>
  <r>
    <x v="24"/>
    <x v="3"/>
    <s v="Electric Generators, Independent Power Producers"/>
    <x v="5"/>
    <n v="468115"/>
  </r>
  <r>
    <x v="24"/>
    <x v="3"/>
    <s v="Electric Generators, Independent Power Producers"/>
    <x v="6"/>
    <n v="169690.21"/>
  </r>
  <r>
    <x v="24"/>
    <x v="3"/>
    <s v="Electric Generators, Electric Utilities"/>
    <x v="0"/>
    <n v="94847134.579999998"/>
  </r>
  <r>
    <x v="24"/>
    <x v="3"/>
    <s v="Electric Generators, Electric Utilities"/>
    <x v="1"/>
    <n v="42665010.57"/>
  </r>
  <r>
    <x v="24"/>
    <x v="3"/>
    <s v="Electric Generators, Electric Utilities"/>
    <x v="10"/>
    <n v="13892"/>
  </r>
  <r>
    <x v="24"/>
    <x v="3"/>
    <s v="Electric Generators, Electric Utilities"/>
    <x v="2"/>
    <n v="6118261"/>
  </r>
  <r>
    <x v="24"/>
    <x v="3"/>
    <s v="Electric Generators, Electric Utilities"/>
    <x v="3"/>
    <n v="13251010.01"/>
  </r>
  <r>
    <x v="24"/>
    <x v="3"/>
    <s v="Electric Generators, Electric Utilities"/>
    <x v="7"/>
    <n v="32320917"/>
  </r>
  <r>
    <x v="24"/>
    <x v="3"/>
    <s v="Electric Generators, Electric Utilities"/>
    <x v="4"/>
    <n v="56834.42"/>
  </r>
  <r>
    <x v="24"/>
    <x v="3"/>
    <s v="Electric Generators, Electric Utilities"/>
    <x v="13"/>
    <n v="400703.58"/>
  </r>
  <r>
    <x v="24"/>
    <x v="3"/>
    <s v="Electric Generators, Electric Utilities"/>
    <x v="8"/>
    <n v="20506"/>
  </r>
  <r>
    <x v="24"/>
    <x v="4"/>
    <s v="Total Electric Power Industry"/>
    <x v="0"/>
    <n v="198807621.78"/>
  </r>
  <r>
    <x v="24"/>
    <x v="4"/>
    <s v="Total Electric Power Industry"/>
    <x v="1"/>
    <n v="804759.57"/>
  </r>
  <r>
    <x v="24"/>
    <x v="4"/>
    <s v="Total Electric Power Industry"/>
    <x v="11"/>
    <n v="12101728"/>
  </r>
  <r>
    <x v="24"/>
    <x v="4"/>
    <s v="Total Electric Power Industry"/>
    <x v="10"/>
    <n v="-104740"/>
  </r>
  <r>
    <x v="24"/>
    <x v="4"/>
    <s v="Total Electric Power Industry"/>
    <x v="2"/>
    <n v="16531340.16"/>
  </r>
  <r>
    <x v="24"/>
    <x v="4"/>
    <s v="Total Electric Power Industry"/>
    <x v="3"/>
    <n v="120426435.48999999"/>
  </r>
  <r>
    <x v="24"/>
    <x v="4"/>
    <s v="Total Electric Power Industry"/>
    <x v="7"/>
    <n v="16985978"/>
  </r>
  <r>
    <x v="24"/>
    <x v="4"/>
    <s v="Total Electric Power Industry"/>
    <x v="9"/>
    <n v="1332951.03"/>
  </r>
  <r>
    <x v="24"/>
    <x v="4"/>
    <s v="Total Electric Power Industry"/>
    <x v="12"/>
    <n v="847834.96"/>
  </r>
  <r>
    <x v="24"/>
    <x v="4"/>
    <s v="Total Electric Power Industry"/>
    <x v="4"/>
    <n v="66305.289999999994"/>
  </r>
  <r>
    <x v="24"/>
    <x v="4"/>
    <s v="Total Electric Power Industry"/>
    <x v="13"/>
    <n v="9931814.8599999994"/>
  </r>
  <r>
    <x v="24"/>
    <x v="4"/>
    <s v="Total Electric Power Industry"/>
    <x v="8"/>
    <n v="2913292.18"/>
  </r>
  <r>
    <x v="24"/>
    <x v="4"/>
    <s v="Total Electric Power Industry"/>
    <x v="5"/>
    <n v="12992497.58"/>
  </r>
  <r>
    <x v="24"/>
    <x v="4"/>
    <s v="Total Electric Power Industry"/>
    <x v="6"/>
    <n v="3977424.66"/>
  </r>
  <r>
    <x v="24"/>
    <x v="4"/>
    <s v="Combined Heat and Power, Industrial Power"/>
    <x v="0"/>
    <n v="15184173.539999999"/>
  </r>
  <r>
    <x v="24"/>
    <x v="4"/>
    <s v="Combined Heat and Power, Industrial Power"/>
    <x v="1"/>
    <n v="305330.43"/>
  </r>
  <r>
    <x v="24"/>
    <x v="4"/>
    <s v="Combined Heat and Power, Industrial Power"/>
    <x v="3"/>
    <n v="12252913.83"/>
  </r>
  <r>
    <x v="24"/>
    <x v="4"/>
    <s v="Combined Heat and Power, Industrial Power"/>
    <x v="9"/>
    <n v="1332951.03"/>
  </r>
  <r>
    <x v="24"/>
    <x v="4"/>
    <s v="Combined Heat and Power, Industrial Power"/>
    <x v="12"/>
    <n v="636010.19999999995"/>
  </r>
  <r>
    <x v="24"/>
    <x v="4"/>
    <s v="Combined Heat and Power, Industrial Power"/>
    <x v="4"/>
    <n v="3637.26"/>
  </r>
  <r>
    <x v="24"/>
    <x v="4"/>
    <s v="Combined Heat and Power, Industrial Power"/>
    <x v="13"/>
    <n v="4582"/>
  </r>
  <r>
    <x v="24"/>
    <x v="4"/>
    <s v="Combined Heat and Power, Industrial Power"/>
    <x v="8"/>
    <n v="6315"/>
  </r>
  <r>
    <x v="24"/>
    <x v="4"/>
    <s v="Combined Heat and Power, Industrial Power"/>
    <x v="5"/>
    <n v="1676"/>
  </r>
  <r>
    <x v="24"/>
    <x v="4"/>
    <s v="Combined Heat and Power, Industrial Power"/>
    <x v="6"/>
    <n v="640757.79"/>
  </r>
  <r>
    <x v="24"/>
    <x v="4"/>
    <s v="Combined Heat and Power, Commercial Power"/>
    <x v="0"/>
    <n v="2802160.18"/>
  </r>
  <r>
    <x v="24"/>
    <x v="4"/>
    <s v="Combined Heat and Power, Commercial Power"/>
    <x v="10"/>
    <n v="0"/>
  </r>
  <r>
    <x v="24"/>
    <x v="4"/>
    <s v="Combined Heat and Power, Commercial Power"/>
    <x v="2"/>
    <n v="4054.62"/>
  </r>
  <r>
    <x v="24"/>
    <x v="4"/>
    <s v="Combined Heat and Power, Commercial Power"/>
    <x v="3"/>
    <n v="1733294.11"/>
  </r>
  <r>
    <x v="24"/>
    <x v="4"/>
    <s v="Combined Heat and Power, Commercial Power"/>
    <x v="4"/>
    <n v="776.52"/>
  </r>
  <r>
    <x v="24"/>
    <x v="4"/>
    <s v="Combined Heat and Power, Commercial Power"/>
    <x v="13"/>
    <n v="92807.89"/>
  </r>
  <r>
    <x v="24"/>
    <x v="4"/>
    <s v="Combined Heat and Power, Commercial Power"/>
    <x v="8"/>
    <n v="967958.04"/>
  </r>
  <r>
    <x v="24"/>
    <x v="4"/>
    <s v="Combined Heat and Power, Commercial Power"/>
    <x v="5"/>
    <n v="3269"/>
  </r>
  <r>
    <x v="24"/>
    <x v="4"/>
    <s v="Combined Heat and Power, Electric Power"/>
    <x v="0"/>
    <n v="20207580.300000001"/>
  </r>
  <r>
    <x v="24"/>
    <x v="4"/>
    <s v="Combined Heat and Power, Electric Power"/>
    <x v="1"/>
    <n v="499429.14"/>
  </r>
  <r>
    <x v="24"/>
    <x v="4"/>
    <s v="Combined Heat and Power, Electric Power"/>
    <x v="11"/>
    <n v="163804"/>
  </r>
  <r>
    <x v="24"/>
    <x v="4"/>
    <s v="Combined Heat and Power, Electric Power"/>
    <x v="3"/>
    <n v="18473619.559999999"/>
  </r>
  <r>
    <x v="24"/>
    <x v="4"/>
    <s v="Combined Heat and Power, Electric Power"/>
    <x v="9"/>
    <n v="0"/>
  </r>
  <r>
    <x v="24"/>
    <x v="4"/>
    <s v="Combined Heat and Power, Electric Power"/>
    <x v="12"/>
    <n v="103708.49"/>
  </r>
  <r>
    <x v="24"/>
    <x v="4"/>
    <s v="Combined Heat and Power, Electric Power"/>
    <x v="4"/>
    <n v="19329.650000000001"/>
  </r>
  <r>
    <x v="24"/>
    <x v="4"/>
    <s v="Combined Heat and Power, Electric Power"/>
    <x v="8"/>
    <n v="193972.05"/>
  </r>
  <r>
    <x v="24"/>
    <x v="4"/>
    <s v="Combined Heat and Power, Electric Power"/>
    <x v="6"/>
    <n v="753717.41"/>
  </r>
  <r>
    <x v="24"/>
    <x v="4"/>
    <s v="Electric Generators, Independent Power Producers"/>
    <x v="0"/>
    <n v="89576573.099999994"/>
  </r>
  <r>
    <x v="24"/>
    <x v="4"/>
    <s v="Electric Generators, Independent Power Producers"/>
    <x v="11"/>
    <n v="11097318"/>
  </r>
  <r>
    <x v="24"/>
    <x v="4"/>
    <s v="Electric Generators, Independent Power Producers"/>
    <x v="2"/>
    <n v="697234.35"/>
  </r>
  <r>
    <x v="24"/>
    <x v="4"/>
    <s v="Electric Generators, Independent Power Producers"/>
    <x v="3"/>
    <n v="51964678.340000004"/>
  </r>
  <r>
    <x v="24"/>
    <x v="4"/>
    <s v="Electric Generators, Independent Power Producers"/>
    <x v="9"/>
    <n v="0"/>
  </r>
  <r>
    <x v="24"/>
    <x v="4"/>
    <s v="Electric Generators, Independent Power Producers"/>
    <x v="12"/>
    <n v="109207.27"/>
  </r>
  <r>
    <x v="24"/>
    <x v="4"/>
    <s v="Electric Generators, Independent Power Producers"/>
    <x v="4"/>
    <n v="9932.1"/>
  </r>
  <r>
    <x v="24"/>
    <x v="4"/>
    <s v="Electric Generators, Independent Power Producers"/>
    <x v="13"/>
    <n v="9411689.9700000007"/>
  </r>
  <r>
    <x v="24"/>
    <x v="4"/>
    <s v="Electric Generators, Independent Power Producers"/>
    <x v="8"/>
    <n v="1561626.02"/>
  </r>
  <r>
    <x v="24"/>
    <x v="4"/>
    <s v="Electric Generators, Independent Power Producers"/>
    <x v="5"/>
    <n v="12141937.58"/>
  </r>
  <r>
    <x v="24"/>
    <x v="4"/>
    <s v="Electric Generators, Independent Power Producers"/>
    <x v="6"/>
    <n v="2582949.4700000002"/>
  </r>
  <r>
    <x v="24"/>
    <x v="4"/>
    <s v="Electric Generators, Electric Utilities"/>
    <x v="0"/>
    <n v="71037134.680000007"/>
  </r>
  <r>
    <x v="24"/>
    <x v="4"/>
    <s v="Electric Generators, Electric Utilities"/>
    <x v="11"/>
    <n v="840606"/>
  </r>
  <r>
    <x v="24"/>
    <x v="4"/>
    <s v="Electric Generators, Electric Utilities"/>
    <x v="10"/>
    <n v="-104740"/>
  </r>
  <r>
    <x v="24"/>
    <x v="4"/>
    <s v="Electric Generators, Electric Utilities"/>
    <x v="2"/>
    <n v="15830051.189999999"/>
  </r>
  <r>
    <x v="24"/>
    <x v="4"/>
    <s v="Electric Generators, Electric Utilities"/>
    <x v="3"/>
    <n v="36001929.649999999"/>
  </r>
  <r>
    <x v="24"/>
    <x v="4"/>
    <s v="Electric Generators, Electric Utilities"/>
    <x v="7"/>
    <n v="16985978"/>
  </r>
  <r>
    <x v="24"/>
    <x v="4"/>
    <s v="Electric Generators, Electric Utilities"/>
    <x v="9"/>
    <n v="0"/>
  </r>
  <r>
    <x v="24"/>
    <x v="4"/>
    <s v="Electric Generators, Electric Utilities"/>
    <x v="12"/>
    <n v="-1091"/>
  </r>
  <r>
    <x v="24"/>
    <x v="4"/>
    <s v="Electric Generators, Electric Utilities"/>
    <x v="4"/>
    <n v="32629.77"/>
  </r>
  <r>
    <x v="24"/>
    <x v="4"/>
    <s v="Electric Generators, Electric Utilities"/>
    <x v="13"/>
    <n v="422735"/>
  </r>
  <r>
    <x v="24"/>
    <x v="4"/>
    <s v="Electric Generators, Electric Utilities"/>
    <x v="8"/>
    <n v="183421.07"/>
  </r>
  <r>
    <x v="24"/>
    <x v="4"/>
    <s v="Electric Generators, Electric Utilities"/>
    <x v="5"/>
    <n v="845615"/>
  </r>
  <r>
    <x v="24"/>
    <x v="5"/>
    <s v="Total Electric Power Industry"/>
    <x v="0"/>
    <n v="53847385.909999996"/>
  </r>
  <r>
    <x v="24"/>
    <x v="5"/>
    <s v="Total Electric Power Industry"/>
    <x v="1"/>
    <n v="32544848.890000001"/>
  </r>
  <r>
    <x v="24"/>
    <x v="5"/>
    <s v="Total Electric Power Industry"/>
    <x v="10"/>
    <n v="-225264"/>
  </r>
  <r>
    <x v="24"/>
    <x v="5"/>
    <s v="Total Electric Power Industry"/>
    <x v="2"/>
    <n v="1769800.92"/>
  </r>
  <r>
    <x v="24"/>
    <x v="5"/>
    <s v="Total Electric Power Industry"/>
    <x v="3"/>
    <n v="11953808.26"/>
  </r>
  <r>
    <x v="24"/>
    <x v="5"/>
    <s v="Total Electric Power Industry"/>
    <x v="12"/>
    <n v="46874"/>
  </r>
  <r>
    <x v="24"/>
    <x v="5"/>
    <s v="Total Electric Power Industry"/>
    <x v="4"/>
    <n v="9932.0400000000009"/>
  </r>
  <r>
    <x v="24"/>
    <x v="5"/>
    <s v="Total Electric Power Industry"/>
    <x v="13"/>
    <n v="253065"/>
  </r>
  <r>
    <x v="24"/>
    <x v="5"/>
    <s v="Total Electric Power Industry"/>
    <x v="8"/>
    <n v="79073.69"/>
  </r>
  <r>
    <x v="24"/>
    <x v="5"/>
    <s v="Total Electric Power Industry"/>
    <x v="5"/>
    <n v="7368614"/>
  </r>
  <r>
    <x v="24"/>
    <x v="5"/>
    <s v="Total Electric Power Industry"/>
    <x v="6"/>
    <n v="46633.120000000003"/>
  </r>
  <r>
    <x v="24"/>
    <x v="5"/>
    <s v="Combined Heat and Power, Industrial Power"/>
    <x v="0"/>
    <n v="71175"/>
  </r>
  <r>
    <x v="24"/>
    <x v="5"/>
    <s v="Combined Heat and Power, Industrial Power"/>
    <x v="1"/>
    <n v="7530"/>
  </r>
  <r>
    <x v="24"/>
    <x v="5"/>
    <s v="Combined Heat and Power, Industrial Power"/>
    <x v="3"/>
    <n v="17832"/>
  </r>
  <r>
    <x v="24"/>
    <x v="5"/>
    <s v="Combined Heat and Power, Industrial Power"/>
    <x v="12"/>
    <n v="42386"/>
  </r>
  <r>
    <x v="24"/>
    <x v="5"/>
    <s v="Combined Heat and Power, Industrial Power"/>
    <x v="4"/>
    <n v="25"/>
  </r>
  <r>
    <x v="24"/>
    <x v="5"/>
    <s v="Combined Heat and Power, Industrial Power"/>
    <x v="5"/>
    <n v="3402"/>
  </r>
  <r>
    <x v="24"/>
    <x v="5"/>
    <s v="Combined Heat and Power, Commercial Power"/>
    <x v="0"/>
    <n v="26148.959999999999"/>
  </r>
  <r>
    <x v="24"/>
    <x v="5"/>
    <s v="Combined Heat and Power, Commercial Power"/>
    <x v="2"/>
    <n v="6276"/>
  </r>
  <r>
    <x v="24"/>
    <x v="5"/>
    <s v="Combined Heat and Power, Commercial Power"/>
    <x v="3"/>
    <n v="7183.98"/>
  </r>
  <r>
    <x v="24"/>
    <x v="5"/>
    <s v="Combined Heat and Power, Commercial Power"/>
    <x v="4"/>
    <n v="5.98"/>
  </r>
  <r>
    <x v="24"/>
    <x v="5"/>
    <s v="Combined Heat and Power, Commercial Power"/>
    <x v="13"/>
    <n v="12476"/>
  </r>
  <r>
    <x v="24"/>
    <x v="5"/>
    <s v="Combined Heat and Power, Commercial Power"/>
    <x v="5"/>
    <n v="207"/>
  </r>
  <r>
    <x v="24"/>
    <x v="5"/>
    <s v="Combined Heat and Power, Electric Power"/>
    <x v="0"/>
    <n v="213200.03"/>
  </r>
  <r>
    <x v="24"/>
    <x v="5"/>
    <s v="Combined Heat and Power, Electric Power"/>
    <x v="1"/>
    <n v="94190.58"/>
  </r>
  <r>
    <x v="24"/>
    <x v="5"/>
    <s v="Combined Heat and Power, Electric Power"/>
    <x v="3"/>
    <n v="84022.76"/>
  </r>
  <r>
    <x v="24"/>
    <x v="5"/>
    <s v="Combined Heat and Power, Electric Power"/>
    <x v="4"/>
    <n v="0"/>
  </r>
  <r>
    <x v="24"/>
    <x v="5"/>
    <s v="Combined Heat and Power, Electric Power"/>
    <x v="8"/>
    <n v="34986.69"/>
  </r>
  <r>
    <x v="24"/>
    <x v="5"/>
    <s v="Electric Generators, Independent Power Producers"/>
    <x v="0"/>
    <n v="10297246.92"/>
  </r>
  <r>
    <x v="24"/>
    <x v="5"/>
    <s v="Electric Generators, Independent Power Producers"/>
    <x v="2"/>
    <n v="195964.92"/>
  </r>
  <r>
    <x v="24"/>
    <x v="5"/>
    <s v="Electric Generators, Independent Power Producers"/>
    <x v="3"/>
    <n v="2571856.63"/>
  </r>
  <r>
    <x v="24"/>
    <x v="5"/>
    <s v="Electric Generators, Independent Power Producers"/>
    <x v="12"/>
    <n v="4488"/>
  </r>
  <r>
    <x v="24"/>
    <x v="5"/>
    <s v="Electric Generators, Independent Power Producers"/>
    <x v="4"/>
    <n v="102.38"/>
  </r>
  <r>
    <x v="24"/>
    <x v="5"/>
    <s v="Electric Generators, Independent Power Producers"/>
    <x v="13"/>
    <n v="240589"/>
  </r>
  <r>
    <x v="24"/>
    <x v="5"/>
    <s v="Electric Generators, Independent Power Producers"/>
    <x v="8"/>
    <n v="44087"/>
  </r>
  <r>
    <x v="24"/>
    <x v="5"/>
    <s v="Electric Generators, Independent Power Producers"/>
    <x v="5"/>
    <n v="7196486"/>
  </r>
  <r>
    <x v="24"/>
    <x v="5"/>
    <s v="Electric Generators, Independent Power Producers"/>
    <x v="6"/>
    <n v="43673"/>
  </r>
  <r>
    <x v="24"/>
    <x v="5"/>
    <s v="Electric Generators, Electric Utilities"/>
    <x v="0"/>
    <n v="43239615"/>
  </r>
  <r>
    <x v="24"/>
    <x v="5"/>
    <s v="Electric Generators, Electric Utilities"/>
    <x v="1"/>
    <n v="32443128.309999999"/>
  </r>
  <r>
    <x v="24"/>
    <x v="5"/>
    <s v="Electric Generators, Electric Utilities"/>
    <x v="10"/>
    <n v="-225264"/>
  </r>
  <r>
    <x v="24"/>
    <x v="5"/>
    <s v="Electric Generators, Electric Utilities"/>
    <x v="2"/>
    <n v="1567560"/>
  </r>
  <r>
    <x v="24"/>
    <x v="5"/>
    <s v="Electric Generators, Electric Utilities"/>
    <x v="3"/>
    <n v="9272912.8900000006"/>
  </r>
  <r>
    <x v="24"/>
    <x v="5"/>
    <s v="Electric Generators, Electric Utilities"/>
    <x v="4"/>
    <n v="9798.68"/>
  </r>
  <r>
    <x v="24"/>
    <x v="5"/>
    <s v="Electric Generators, Electric Utilities"/>
    <x v="5"/>
    <n v="168519"/>
  </r>
  <r>
    <x v="24"/>
    <x v="5"/>
    <s v="Electric Generators, Electric Utilities"/>
    <x v="6"/>
    <n v="2960.12"/>
  </r>
  <r>
    <x v="24"/>
    <x v="6"/>
    <s v="Total Electric Power Industry"/>
    <x v="0"/>
    <n v="33676980.409999996"/>
  </r>
  <r>
    <x v="24"/>
    <x v="6"/>
    <s v="Total Electric Power Industry"/>
    <x v="1"/>
    <n v="824947.89"/>
  </r>
  <r>
    <x v="24"/>
    <x v="6"/>
    <s v="Total Electric Power Industry"/>
    <x v="10"/>
    <n v="6782"/>
  </r>
  <r>
    <x v="24"/>
    <x v="6"/>
    <s v="Total Electric Power Industry"/>
    <x v="2"/>
    <n v="433960.19"/>
  </r>
  <r>
    <x v="24"/>
    <x v="6"/>
    <s v="Total Electric Power Industry"/>
    <x v="3"/>
    <n v="14683904.859999999"/>
  </r>
  <r>
    <x v="24"/>
    <x v="6"/>
    <s v="Total Electric Power Industry"/>
    <x v="7"/>
    <n v="15840619"/>
  </r>
  <r>
    <x v="24"/>
    <x v="6"/>
    <s v="Total Electric Power Industry"/>
    <x v="12"/>
    <n v="604506.41"/>
  </r>
  <r>
    <x v="24"/>
    <x v="6"/>
    <s v="Total Electric Power Industry"/>
    <x v="4"/>
    <n v="513414.03"/>
  </r>
  <r>
    <x v="24"/>
    <x v="6"/>
    <s v="Total Electric Power Industry"/>
    <x v="13"/>
    <n v="11706.23"/>
  </r>
  <r>
    <x v="24"/>
    <x v="6"/>
    <s v="Total Electric Power Industry"/>
    <x v="8"/>
    <n v="650101.64"/>
  </r>
  <r>
    <x v="24"/>
    <x v="6"/>
    <s v="Total Electric Power Industry"/>
    <x v="6"/>
    <n v="107038.16"/>
  </r>
  <r>
    <x v="24"/>
    <x v="6"/>
    <s v="Combined Heat and Power, Industrial Power"/>
    <x v="0"/>
    <n v="472774.92"/>
  </r>
  <r>
    <x v="24"/>
    <x v="6"/>
    <s v="Combined Heat and Power, Industrial Power"/>
    <x v="3"/>
    <n v="467613.95"/>
  </r>
  <r>
    <x v="24"/>
    <x v="6"/>
    <s v="Combined Heat and Power, Industrial Power"/>
    <x v="12"/>
    <n v="0"/>
  </r>
  <r>
    <x v="24"/>
    <x v="6"/>
    <s v="Combined Heat and Power, Industrial Power"/>
    <x v="4"/>
    <n v="5160.97"/>
  </r>
  <r>
    <x v="24"/>
    <x v="6"/>
    <s v="Combined Heat and Power, Commercial Power"/>
    <x v="0"/>
    <n v="440246.37"/>
  </r>
  <r>
    <x v="24"/>
    <x v="6"/>
    <s v="Combined Heat and Power, Commercial Power"/>
    <x v="3"/>
    <n v="394457.65"/>
  </r>
  <r>
    <x v="24"/>
    <x v="6"/>
    <s v="Combined Heat and Power, Commercial Power"/>
    <x v="12"/>
    <n v="18100.13"/>
  </r>
  <r>
    <x v="24"/>
    <x v="6"/>
    <s v="Combined Heat and Power, Commercial Power"/>
    <x v="4"/>
    <n v="6899.71"/>
  </r>
  <r>
    <x v="24"/>
    <x v="6"/>
    <s v="Combined Heat and Power, Commercial Power"/>
    <x v="8"/>
    <n v="18838.55"/>
  </r>
  <r>
    <x v="24"/>
    <x v="6"/>
    <s v="Combined Heat and Power, Commercial Power"/>
    <x v="6"/>
    <n v="1950.33"/>
  </r>
  <r>
    <x v="24"/>
    <x v="6"/>
    <s v="Combined Heat and Power, Electric Power"/>
    <x v="0"/>
    <n v="148904.70000000001"/>
  </r>
  <r>
    <x v="24"/>
    <x v="6"/>
    <s v="Combined Heat and Power, Electric Power"/>
    <x v="3"/>
    <n v="133736.95999999999"/>
  </r>
  <r>
    <x v="24"/>
    <x v="6"/>
    <s v="Combined Heat and Power, Electric Power"/>
    <x v="4"/>
    <n v="15167.74"/>
  </r>
  <r>
    <x v="24"/>
    <x v="6"/>
    <s v="Electric Generators, Independent Power Producers"/>
    <x v="0"/>
    <n v="32560361.879999999"/>
  </r>
  <r>
    <x v="24"/>
    <x v="6"/>
    <s v="Electric Generators, Independent Power Producers"/>
    <x v="1"/>
    <n v="824947.89"/>
  </r>
  <r>
    <x v="24"/>
    <x v="6"/>
    <s v="Electric Generators, Independent Power Producers"/>
    <x v="10"/>
    <n v="6782"/>
  </r>
  <r>
    <x v="24"/>
    <x v="6"/>
    <s v="Electric Generators, Independent Power Producers"/>
    <x v="2"/>
    <n v="399660.65"/>
  </r>
  <r>
    <x v="24"/>
    <x v="6"/>
    <s v="Electric Generators, Independent Power Producers"/>
    <x v="3"/>
    <n v="13677030.289999999"/>
  </r>
  <r>
    <x v="24"/>
    <x v="6"/>
    <s v="Electric Generators, Independent Power Producers"/>
    <x v="7"/>
    <n v="15840619"/>
  </r>
  <r>
    <x v="24"/>
    <x v="6"/>
    <s v="Electric Generators, Independent Power Producers"/>
    <x v="12"/>
    <n v="586406.28"/>
  </r>
  <r>
    <x v="24"/>
    <x v="6"/>
    <s v="Electric Generators, Independent Power Producers"/>
    <x v="4"/>
    <n v="476858.62"/>
  </r>
  <r>
    <x v="24"/>
    <x v="6"/>
    <s v="Electric Generators, Independent Power Producers"/>
    <x v="13"/>
    <n v="11706.23"/>
  </r>
  <r>
    <x v="24"/>
    <x v="6"/>
    <s v="Electric Generators, Independent Power Producers"/>
    <x v="8"/>
    <n v="631263.1"/>
  </r>
  <r>
    <x v="24"/>
    <x v="6"/>
    <s v="Electric Generators, Independent Power Producers"/>
    <x v="6"/>
    <n v="105087.83"/>
  </r>
  <r>
    <x v="24"/>
    <x v="6"/>
    <s v="Electric Generators, Electric Utilities"/>
    <x v="0"/>
    <n v="54692.54"/>
  </r>
  <r>
    <x v="24"/>
    <x v="6"/>
    <s v="Electric Generators, Electric Utilities"/>
    <x v="2"/>
    <n v="34299.54"/>
  </r>
  <r>
    <x v="24"/>
    <x v="6"/>
    <s v="Electric Generators, Electric Utilities"/>
    <x v="3"/>
    <n v="11066.01"/>
  </r>
  <r>
    <x v="24"/>
    <x v="6"/>
    <s v="Electric Generators, Electric Utilities"/>
    <x v="4"/>
    <n v="9326.99"/>
  </r>
  <r>
    <x v="24"/>
    <x v="6"/>
    <s v="Electric Generators, Electric Utilities"/>
    <x v="8"/>
    <n v="0"/>
  </r>
  <r>
    <x v="24"/>
    <x v="7"/>
    <s v="Total Electric Power Industry"/>
    <x v="0"/>
    <n v="67612.160000000003"/>
  </r>
  <r>
    <x v="24"/>
    <x v="7"/>
    <s v="Total Electric Power Industry"/>
    <x v="3"/>
    <n v="67612.160000000003"/>
  </r>
  <r>
    <x v="24"/>
    <x v="7"/>
    <s v="Total Electric Power Industry"/>
    <x v="4"/>
    <n v="0"/>
  </r>
  <r>
    <x v="24"/>
    <x v="7"/>
    <s v="Combined Heat and Power, Commercial Power"/>
    <x v="0"/>
    <n v="67612.160000000003"/>
  </r>
  <r>
    <x v="24"/>
    <x v="7"/>
    <s v="Combined Heat and Power, Commercial Power"/>
    <x v="3"/>
    <n v="67612.160000000003"/>
  </r>
  <r>
    <x v="24"/>
    <x v="7"/>
    <s v="Combined Heat and Power, Commercial Power"/>
    <x v="4"/>
    <n v="0"/>
  </r>
  <r>
    <x v="24"/>
    <x v="8"/>
    <s v="Total Electric Power Industry"/>
    <x v="0"/>
    <n v="7703583.5199999996"/>
  </r>
  <r>
    <x v="24"/>
    <x v="8"/>
    <s v="Total Electric Power Industry"/>
    <x v="1"/>
    <n v="865384.24"/>
  </r>
  <r>
    <x v="24"/>
    <x v="8"/>
    <s v="Total Electric Power Industry"/>
    <x v="3"/>
    <n v="6297458.3899999997"/>
  </r>
  <r>
    <x v="24"/>
    <x v="8"/>
    <s v="Total Electric Power Industry"/>
    <x v="9"/>
    <n v="226378.89"/>
  </r>
  <r>
    <x v="24"/>
    <x v="8"/>
    <s v="Total Electric Power Industry"/>
    <x v="4"/>
    <n v="183281.62"/>
  </r>
  <r>
    <x v="24"/>
    <x v="8"/>
    <s v="Total Electric Power Industry"/>
    <x v="13"/>
    <n v="49530"/>
  </r>
  <r>
    <x v="24"/>
    <x v="8"/>
    <s v="Total Electric Power Industry"/>
    <x v="8"/>
    <n v="76499.38"/>
  </r>
  <r>
    <x v="24"/>
    <x v="8"/>
    <s v="Total Electric Power Industry"/>
    <x v="5"/>
    <n v="5051"/>
  </r>
  <r>
    <x v="24"/>
    <x v="8"/>
    <s v="Combined Heat and Power, Industrial Power"/>
    <x v="0"/>
    <n v="881944.38"/>
  </r>
  <r>
    <x v="24"/>
    <x v="8"/>
    <s v="Combined Heat and Power, Industrial Power"/>
    <x v="3"/>
    <n v="638777.11"/>
  </r>
  <r>
    <x v="24"/>
    <x v="8"/>
    <s v="Combined Heat and Power, Industrial Power"/>
    <x v="9"/>
    <n v="226378.89"/>
  </r>
  <r>
    <x v="24"/>
    <x v="8"/>
    <s v="Combined Heat and Power, Industrial Power"/>
    <x v="4"/>
    <n v="0"/>
  </r>
  <r>
    <x v="24"/>
    <x v="8"/>
    <s v="Combined Heat and Power, Industrial Power"/>
    <x v="8"/>
    <n v="16788.38"/>
  </r>
  <r>
    <x v="24"/>
    <x v="8"/>
    <s v="Combined Heat and Power, Commercial Power"/>
    <x v="0"/>
    <n v="6767"/>
  </r>
  <r>
    <x v="24"/>
    <x v="8"/>
    <s v="Combined Heat and Power, Commercial Power"/>
    <x v="13"/>
    <n v="1716"/>
  </r>
  <r>
    <x v="24"/>
    <x v="8"/>
    <s v="Combined Heat and Power, Commercial Power"/>
    <x v="5"/>
    <n v="5051"/>
  </r>
  <r>
    <x v="24"/>
    <x v="8"/>
    <s v="Combined Heat and Power, Electric Power"/>
    <x v="0"/>
    <n v="199426"/>
  </r>
  <r>
    <x v="24"/>
    <x v="8"/>
    <s v="Combined Heat and Power, Electric Power"/>
    <x v="1"/>
    <n v="0"/>
  </r>
  <r>
    <x v="24"/>
    <x v="8"/>
    <s v="Combined Heat and Power, Electric Power"/>
    <x v="3"/>
    <n v="190333.19"/>
  </r>
  <r>
    <x v="24"/>
    <x v="8"/>
    <s v="Combined Heat and Power, Electric Power"/>
    <x v="4"/>
    <n v="9092.82"/>
  </r>
  <r>
    <x v="24"/>
    <x v="8"/>
    <s v="Electric Generators, Independent Power Producers"/>
    <x v="0"/>
    <n v="6566396.1399999997"/>
  </r>
  <r>
    <x v="24"/>
    <x v="8"/>
    <s v="Electric Generators, Independent Power Producers"/>
    <x v="1"/>
    <n v="865384.24"/>
  </r>
  <r>
    <x v="24"/>
    <x v="8"/>
    <s v="Electric Generators, Independent Power Producers"/>
    <x v="3"/>
    <n v="5434065.6600000001"/>
  </r>
  <r>
    <x v="24"/>
    <x v="8"/>
    <s v="Electric Generators, Independent Power Producers"/>
    <x v="4"/>
    <n v="165654.24"/>
  </r>
  <r>
    <x v="24"/>
    <x v="8"/>
    <s v="Electric Generators, Independent Power Producers"/>
    <x v="13"/>
    <n v="41581"/>
  </r>
  <r>
    <x v="24"/>
    <x v="8"/>
    <s v="Electric Generators, Independent Power Producers"/>
    <x v="8"/>
    <n v="59711"/>
  </r>
  <r>
    <x v="24"/>
    <x v="8"/>
    <s v="Electric Generators, Electric Utilities"/>
    <x v="0"/>
    <n v="49050"/>
  </r>
  <r>
    <x v="24"/>
    <x v="8"/>
    <s v="Electric Generators, Electric Utilities"/>
    <x v="3"/>
    <n v="34282.44"/>
  </r>
  <r>
    <x v="24"/>
    <x v="8"/>
    <s v="Electric Generators, Electric Utilities"/>
    <x v="4"/>
    <n v="8534.56"/>
  </r>
  <r>
    <x v="24"/>
    <x v="8"/>
    <s v="Electric Generators, Electric Utilities"/>
    <x v="13"/>
    <n v="6233"/>
  </r>
  <r>
    <x v="24"/>
    <x v="9"/>
    <s v="Total Electric Power Industry"/>
    <x v="0"/>
    <n v="230015937.30000001"/>
  </r>
  <r>
    <x v="24"/>
    <x v="9"/>
    <s v="Total Electric Power Industry"/>
    <x v="1"/>
    <n v="52053689.130000003"/>
  </r>
  <r>
    <x v="24"/>
    <x v="9"/>
    <s v="Total Electric Power Industry"/>
    <x v="2"/>
    <n v="211388"/>
  </r>
  <r>
    <x v="24"/>
    <x v="9"/>
    <s v="Total Electric Power Industry"/>
    <x v="3"/>
    <n v="140034069.59"/>
  </r>
  <r>
    <x v="24"/>
    <x v="9"/>
    <s v="Total Electric Power Industry"/>
    <x v="7"/>
    <n v="27868270"/>
  </r>
  <r>
    <x v="24"/>
    <x v="9"/>
    <s v="Total Electric Power Industry"/>
    <x v="9"/>
    <n v="6669.44"/>
  </r>
  <r>
    <x v="24"/>
    <x v="9"/>
    <s v="Total Electric Power Industry"/>
    <x v="12"/>
    <n v="2890815.75"/>
  </r>
  <r>
    <x v="24"/>
    <x v="9"/>
    <s v="Total Electric Power Industry"/>
    <x v="4"/>
    <n v="1877927.05"/>
  </r>
  <r>
    <x v="24"/>
    <x v="9"/>
    <s v="Total Electric Power Industry"/>
    <x v="13"/>
    <n v="241684.18"/>
  </r>
  <r>
    <x v="24"/>
    <x v="9"/>
    <s v="Total Electric Power Industry"/>
    <x v="8"/>
    <n v="2291815.85"/>
  </r>
  <r>
    <x v="24"/>
    <x v="9"/>
    <s v="Total Electric Power Industry"/>
    <x v="6"/>
    <n v="2539608.31"/>
  </r>
  <r>
    <x v="24"/>
    <x v="9"/>
    <s v="Combined Heat and Power, Industrial Power"/>
    <x v="0"/>
    <n v="5134619.66"/>
  </r>
  <r>
    <x v="24"/>
    <x v="9"/>
    <s v="Combined Heat and Power, Industrial Power"/>
    <x v="1"/>
    <n v="262053.79"/>
  </r>
  <r>
    <x v="24"/>
    <x v="9"/>
    <s v="Combined Heat and Power, Industrial Power"/>
    <x v="3"/>
    <n v="1266892.31"/>
  </r>
  <r>
    <x v="24"/>
    <x v="9"/>
    <s v="Combined Heat and Power, Industrial Power"/>
    <x v="9"/>
    <n v="6669.44"/>
  </r>
  <r>
    <x v="24"/>
    <x v="9"/>
    <s v="Combined Heat and Power, Industrial Power"/>
    <x v="12"/>
    <n v="1609720.05"/>
  </r>
  <r>
    <x v="24"/>
    <x v="9"/>
    <s v="Combined Heat and Power, Industrial Power"/>
    <x v="4"/>
    <n v="21998.400000000001"/>
  </r>
  <r>
    <x v="24"/>
    <x v="9"/>
    <s v="Combined Heat and Power, Industrial Power"/>
    <x v="8"/>
    <n v="366337.49"/>
  </r>
  <r>
    <x v="24"/>
    <x v="9"/>
    <s v="Combined Heat and Power, Industrial Power"/>
    <x v="6"/>
    <n v="1600948.18"/>
  </r>
  <r>
    <x v="24"/>
    <x v="9"/>
    <s v="Combined Heat and Power, Commercial Power"/>
    <x v="0"/>
    <n v="66854.05"/>
  </r>
  <r>
    <x v="24"/>
    <x v="9"/>
    <s v="Combined Heat and Power, Commercial Power"/>
    <x v="3"/>
    <n v="32467.61"/>
  </r>
  <r>
    <x v="24"/>
    <x v="9"/>
    <s v="Combined Heat and Power, Commercial Power"/>
    <x v="12"/>
    <n v="0"/>
  </r>
  <r>
    <x v="24"/>
    <x v="9"/>
    <s v="Combined Heat and Power, Commercial Power"/>
    <x v="4"/>
    <n v="0"/>
  </r>
  <r>
    <x v="24"/>
    <x v="9"/>
    <s v="Combined Heat and Power, Commercial Power"/>
    <x v="13"/>
    <n v="1713.69"/>
  </r>
  <r>
    <x v="24"/>
    <x v="9"/>
    <s v="Combined Heat and Power, Commercial Power"/>
    <x v="8"/>
    <n v="32672.75"/>
  </r>
  <r>
    <x v="24"/>
    <x v="9"/>
    <s v="Combined Heat and Power, Electric Power"/>
    <x v="0"/>
    <n v="4170130.6"/>
  </r>
  <r>
    <x v="24"/>
    <x v="9"/>
    <s v="Combined Heat and Power, Electric Power"/>
    <x v="1"/>
    <n v="1516122.6"/>
  </r>
  <r>
    <x v="24"/>
    <x v="9"/>
    <s v="Combined Heat and Power, Electric Power"/>
    <x v="3"/>
    <n v="2424736.44"/>
  </r>
  <r>
    <x v="24"/>
    <x v="9"/>
    <s v="Combined Heat and Power, Electric Power"/>
    <x v="12"/>
    <n v="0"/>
  </r>
  <r>
    <x v="24"/>
    <x v="9"/>
    <s v="Combined Heat and Power, Electric Power"/>
    <x v="4"/>
    <n v="3196.62"/>
  </r>
  <r>
    <x v="24"/>
    <x v="9"/>
    <s v="Combined Heat and Power, Electric Power"/>
    <x v="8"/>
    <n v="132813.82999999999"/>
  </r>
  <r>
    <x v="24"/>
    <x v="9"/>
    <s v="Combined Heat and Power, Electric Power"/>
    <x v="6"/>
    <n v="93261.11"/>
  </r>
  <r>
    <x v="24"/>
    <x v="9"/>
    <s v="Electric Generators, Independent Power Producers"/>
    <x v="0"/>
    <n v="8673745.4900000002"/>
  </r>
  <r>
    <x v="24"/>
    <x v="9"/>
    <s v="Electric Generators, Independent Power Producers"/>
    <x v="1"/>
    <n v="0"/>
  </r>
  <r>
    <x v="24"/>
    <x v="9"/>
    <s v="Electric Generators, Independent Power Producers"/>
    <x v="3"/>
    <n v="4833136.04"/>
  </r>
  <r>
    <x v="24"/>
    <x v="9"/>
    <s v="Electric Generators, Independent Power Producers"/>
    <x v="12"/>
    <n v="1281095.69"/>
  </r>
  <r>
    <x v="24"/>
    <x v="9"/>
    <s v="Electric Generators, Independent Power Producers"/>
    <x v="4"/>
    <n v="1895.1"/>
  </r>
  <r>
    <x v="24"/>
    <x v="9"/>
    <s v="Electric Generators, Independent Power Producers"/>
    <x v="13"/>
    <n v="50522.49"/>
  </r>
  <r>
    <x v="24"/>
    <x v="9"/>
    <s v="Electric Generators, Independent Power Producers"/>
    <x v="8"/>
    <n v="1661697.15"/>
  </r>
  <r>
    <x v="24"/>
    <x v="9"/>
    <s v="Electric Generators, Independent Power Producers"/>
    <x v="6"/>
    <n v="845399.02"/>
  </r>
  <r>
    <x v="24"/>
    <x v="9"/>
    <s v="Electric Generators, Electric Utilities"/>
    <x v="0"/>
    <n v="211970587.5"/>
  </r>
  <r>
    <x v="24"/>
    <x v="9"/>
    <s v="Electric Generators, Electric Utilities"/>
    <x v="1"/>
    <n v="50275512.740000002"/>
  </r>
  <r>
    <x v="24"/>
    <x v="9"/>
    <s v="Electric Generators, Electric Utilities"/>
    <x v="2"/>
    <n v="211388"/>
  </r>
  <r>
    <x v="24"/>
    <x v="9"/>
    <s v="Electric Generators, Electric Utilities"/>
    <x v="3"/>
    <n v="131476837.2"/>
  </r>
  <r>
    <x v="24"/>
    <x v="9"/>
    <s v="Electric Generators, Electric Utilities"/>
    <x v="7"/>
    <n v="27868270"/>
  </r>
  <r>
    <x v="24"/>
    <x v="9"/>
    <s v="Electric Generators, Electric Utilities"/>
    <x v="4"/>
    <n v="1850836.93"/>
  </r>
  <r>
    <x v="24"/>
    <x v="9"/>
    <s v="Electric Generators, Electric Utilities"/>
    <x v="13"/>
    <n v="189448"/>
  </r>
  <r>
    <x v="24"/>
    <x v="9"/>
    <s v="Electric Generators, Electric Utilities"/>
    <x v="8"/>
    <n v="98294.63"/>
  </r>
  <r>
    <x v="24"/>
    <x v="10"/>
    <s v="Total Electric Power Industry"/>
    <x v="0"/>
    <n v="125837223.53"/>
  </r>
  <r>
    <x v="24"/>
    <x v="10"/>
    <s v="Total Electric Power Industry"/>
    <x v="1"/>
    <n v="45295113.32"/>
  </r>
  <r>
    <x v="24"/>
    <x v="10"/>
    <s v="Total Electric Power Industry"/>
    <x v="10"/>
    <n v="-780633"/>
  </r>
  <r>
    <x v="24"/>
    <x v="10"/>
    <s v="Total Electric Power Industry"/>
    <x v="2"/>
    <n v="3064347"/>
  </r>
  <r>
    <x v="24"/>
    <x v="10"/>
    <s v="Total Electric Power Industry"/>
    <x v="3"/>
    <n v="40960797.920000002"/>
  </r>
  <r>
    <x v="24"/>
    <x v="10"/>
    <s v="Total Electric Power Industry"/>
    <x v="7"/>
    <n v="32570182"/>
  </r>
  <r>
    <x v="24"/>
    <x v="10"/>
    <s v="Total Electric Power Industry"/>
    <x v="12"/>
    <n v="66997.39"/>
  </r>
  <r>
    <x v="24"/>
    <x v="10"/>
    <s v="Total Electric Power Industry"/>
    <x v="4"/>
    <n v="377810.1"/>
  </r>
  <r>
    <x v="24"/>
    <x v="10"/>
    <s v="Total Electric Power Industry"/>
    <x v="13"/>
    <n v="119226.66"/>
  </r>
  <r>
    <x v="24"/>
    <x v="10"/>
    <s v="Total Electric Power Industry"/>
    <x v="8"/>
    <n v="413496.43"/>
  </r>
  <r>
    <x v="24"/>
    <x v="10"/>
    <s v="Total Electric Power Industry"/>
    <x v="6"/>
    <n v="3749885.71"/>
  </r>
  <r>
    <x v="24"/>
    <x v="10"/>
    <s v="Combined Heat and Power, Industrial Power"/>
    <x v="0"/>
    <n v="4664741.55"/>
  </r>
  <r>
    <x v="24"/>
    <x v="10"/>
    <s v="Combined Heat and Power, Industrial Power"/>
    <x v="1"/>
    <n v="450815.87"/>
  </r>
  <r>
    <x v="24"/>
    <x v="10"/>
    <s v="Combined Heat and Power, Industrial Power"/>
    <x v="2"/>
    <n v="18088"/>
  </r>
  <r>
    <x v="24"/>
    <x v="10"/>
    <s v="Combined Heat and Power, Industrial Power"/>
    <x v="3"/>
    <n v="376819.88"/>
  </r>
  <r>
    <x v="24"/>
    <x v="10"/>
    <s v="Combined Heat and Power, Industrial Power"/>
    <x v="12"/>
    <n v="66997.39"/>
  </r>
  <r>
    <x v="24"/>
    <x v="10"/>
    <s v="Combined Heat and Power, Industrial Power"/>
    <x v="4"/>
    <n v="236947.27"/>
  </r>
  <r>
    <x v="24"/>
    <x v="10"/>
    <s v="Combined Heat and Power, Industrial Power"/>
    <x v="8"/>
    <n v="247611.97"/>
  </r>
  <r>
    <x v="24"/>
    <x v="10"/>
    <s v="Combined Heat and Power, Industrial Power"/>
    <x v="6"/>
    <n v="3267461.17"/>
  </r>
  <r>
    <x v="24"/>
    <x v="10"/>
    <s v="Combined Heat and Power, Commercial Power"/>
    <x v="0"/>
    <n v="29541.98"/>
  </r>
  <r>
    <x v="24"/>
    <x v="10"/>
    <s v="Combined Heat and Power, Commercial Power"/>
    <x v="3"/>
    <n v="0"/>
  </r>
  <r>
    <x v="24"/>
    <x v="10"/>
    <s v="Combined Heat and Power, Commercial Power"/>
    <x v="4"/>
    <n v="2803.32"/>
  </r>
  <r>
    <x v="24"/>
    <x v="10"/>
    <s v="Combined Heat and Power, Commercial Power"/>
    <x v="13"/>
    <n v="2769.66"/>
  </r>
  <r>
    <x v="24"/>
    <x v="10"/>
    <s v="Combined Heat and Power, Commercial Power"/>
    <x v="8"/>
    <n v="23969"/>
  </r>
  <r>
    <x v="24"/>
    <x v="10"/>
    <s v="Combined Heat and Power, Electric Power"/>
    <x v="0"/>
    <n v="208880"/>
  </r>
  <r>
    <x v="24"/>
    <x v="10"/>
    <s v="Combined Heat and Power, Electric Power"/>
    <x v="3"/>
    <n v="194456.4"/>
  </r>
  <r>
    <x v="24"/>
    <x v="10"/>
    <s v="Combined Heat and Power, Electric Power"/>
    <x v="4"/>
    <n v="2591.6"/>
  </r>
  <r>
    <x v="24"/>
    <x v="10"/>
    <s v="Combined Heat and Power, Electric Power"/>
    <x v="8"/>
    <n v="11832"/>
  </r>
  <r>
    <x v="24"/>
    <x v="10"/>
    <s v="Electric Generators, Independent Power Producers"/>
    <x v="0"/>
    <n v="11410724"/>
  </r>
  <r>
    <x v="24"/>
    <x v="10"/>
    <s v="Electric Generators, Independent Power Producers"/>
    <x v="2"/>
    <n v="10193"/>
  </r>
  <r>
    <x v="24"/>
    <x v="10"/>
    <s v="Electric Generators, Independent Power Producers"/>
    <x v="3"/>
    <n v="10635714.48"/>
  </r>
  <r>
    <x v="24"/>
    <x v="10"/>
    <s v="Electric Generators, Independent Power Producers"/>
    <x v="4"/>
    <n v="36355.519999999997"/>
  </r>
  <r>
    <x v="24"/>
    <x v="10"/>
    <s v="Electric Generators, Independent Power Producers"/>
    <x v="13"/>
    <n v="115953"/>
  </r>
  <r>
    <x v="24"/>
    <x v="10"/>
    <s v="Electric Generators, Independent Power Producers"/>
    <x v="8"/>
    <n v="130083.46"/>
  </r>
  <r>
    <x v="24"/>
    <x v="10"/>
    <s v="Electric Generators, Independent Power Producers"/>
    <x v="6"/>
    <n v="482424.54"/>
  </r>
  <r>
    <x v="24"/>
    <x v="10"/>
    <s v="Electric Generators, Electric Utilities"/>
    <x v="0"/>
    <n v="109523336"/>
  </r>
  <r>
    <x v="24"/>
    <x v="10"/>
    <s v="Electric Generators, Electric Utilities"/>
    <x v="1"/>
    <n v="44844297.450000003"/>
  </r>
  <r>
    <x v="24"/>
    <x v="10"/>
    <s v="Electric Generators, Electric Utilities"/>
    <x v="10"/>
    <n v="-780633"/>
  </r>
  <r>
    <x v="24"/>
    <x v="10"/>
    <s v="Electric Generators, Electric Utilities"/>
    <x v="2"/>
    <n v="3036066"/>
  </r>
  <r>
    <x v="24"/>
    <x v="10"/>
    <s v="Electric Generators, Electric Utilities"/>
    <x v="3"/>
    <n v="29753807.16"/>
  </r>
  <r>
    <x v="24"/>
    <x v="10"/>
    <s v="Electric Generators, Electric Utilities"/>
    <x v="7"/>
    <n v="32570182"/>
  </r>
  <r>
    <x v="24"/>
    <x v="10"/>
    <s v="Electric Generators, Electric Utilities"/>
    <x v="4"/>
    <n v="99112.39"/>
  </r>
  <r>
    <x v="24"/>
    <x v="10"/>
    <s v="Electric Generators, Electric Utilities"/>
    <x v="13"/>
    <n v="504"/>
  </r>
  <r>
    <x v="24"/>
    <x v="10"/>
    <s v="Electric Generators, Electric Utilities"/>
    <x v="8"/>
    <n v="0"/>
  </r>
  <r>
    <x v="24"/>
    <x v="11"/>
    <s v="Total Electric Power Industry"/>
    <x v="0"/>
    <n v="10204158.25"/>
  </r>
  <r>
    <x v="24"/>
    <x v="11"/>
    <s v="Total Electric Power Industry"/>
    <x v="1"/>
    <n v="1511183.82"/>
  </r>
  <r>
    <x v="24"/>
    <x v="11"/>
    <s v="Total Electric Power Industry"/>
    <x v="11"/>
    <n v="253841"/>
  </r>
  <r>
    <x v="24"/>
    <x v="11"/>
    <s v="Total Electric Power Industry"/>
    <x v="2"/>
    <n v="94083.09"/>
  </r>
  <r>
    <x v="24"/>
    <x v="11"/>
    <s v="Total Electric Power Industry"/>
    <x v="9"/>
    <n v="62203.96"/>
  </r>
  <r>
    <x v="24"/>
    <x v="11"/>
    <s v="Total Electric Power Industry"/>
    <x v="12"/>
    <n v="405018.89"/>
  </r>
  <r>
    <x v="24"/>
    <x v="11"/>
    <s v="Total Electric Power Industry"/>
    <x v="4"/>
    <n v="6925918.6600000001"/>
  </r>
  <r>
    <x v="24"/>
    <x v="11"/>
    <s v="Total Electric Power Industry"/>
    <x v="13"/>
    <n v="39261.75"/>
  </r>
  <r>
    <x v="24"/>
    <x v="11"/>
    <s v="Total Electric Power Industry"/>
    <x v="8"/>
    <n v="334030.08000000002"/>
  </r>
  <r>
    <x v="24"/>
    <x v="11"/>
    <s v="Total Electric Power Industry"/>
    <x v="5"/>
    <n v="578617"/>
  </r>
  <r>
    <x v="24"/>
    <x v="11"/>
    <s v="Combined Heat and Power, Industrial Power"/>
    <x v="0"/>
    <n v="450566.5"/>
  </r>
  <r>
    <x v="24"/>
    <x v="11"/>
    <s v="Combined Heat and Power, Industrial Power"/>
    <x v="1"/>
    <n v="45346.27"/>
  </r>
  <r>
    <x v="24"/>
    <x v="11"/>
    <s v="Combined Heat and Power, Industrial Power"/>
    <x v="2"/>
    <n v="52357.09"/>
  </r>
  <r>
    <x v="24"/>
    <x v="11"/>
    <s v="Combined Heat and Power, Industrial Power"/>
    <x v="9"/>
    <n v="62203.96"/>
  </r>
  <r>
    <x v="24"/>
    <x v="11"/>
    <s v="Combined Heat and Power, Industrial Power"/>
    <x v="4"/>
    <n v="187339.8"/>
  </r>
  <r>
    <x v="24"/>
    <x v="11"/>
    <s v="Combined Heat and Power, Industrial Power"/>
    <x v="8"/>
    <n v="103319.38"/>
  </r>
  <r>
    <x v="24"/>
    <x v="11"/>
    <s v="Combined Heat and Power, Commercial Power"/>
    <x v="0"/>
    <n v="382607"/>
  </r>
  <r>
    <x v="24"/>
    <x v="11"/>
    <s v="Combined Heat and Power, Commercial Power"/>
    <x v="12"/>
    <n v="186529.86"/>
  </r>
  <r>
    <x v="24"/>
    <x v="11"/>
    <s v="Combined Heat and Power, Commercial Power"/>
    <x v="4"/>
    <n v="1939.44"/>
  </r>
  <r>
    <x v="24"/>
    <x v="11"/>
    <s v="Combined Heat and Power, Commercial Power"/>
    <x v="8"/>
    <n v="194137.7"/>
  </r>
  <r>
    <x v="24"/>
    <x v="11"/>
    <s v="Combined Heat and Power, Electric Power"/>
    <x v="0"/>
    <n v="2791485"/>
  </r>
  <r>
    <x v="24"/>
    <x v="11"/>
    <s v="Combined Heat and Power, Electric Power"/>
    <x v="1"/>
    <n v="1465837.56"/>
  </r>
  <r>
    <x v="24"/>
    <x v="11"/>
    <s v="Combined Heat and Power, Electric Power"/>
    <x v="12"/>
    <n v="7785.67"/>
  </r>
  <r>
    <x v="24"/>
    <x v="11"/>
    <s v="Combined Heat and Power, Electric Power"/>
    <x v="4"/>
    <n v="1317861.77"/>
  </r>
  <r>
    <x v="24"/>
    <x v="11"/>
    <s v="Combined Heat and Power, Electric Power"/>
    <x v="8"/>
    <n v="0"/>
  </r>
  <r>
    <x v="24"/>
    <x v="11"/>
    <s v="Electric Generators, Independent Power Producers"/>
    <x v="0"/>
    <n v="1062110.75"/>
  </r>
  <r>
    <x v="24"/>
    <x v="11"/>
    <s v="Electric Generators, Independent Power Producers"/>
    <x v="11"/>
    <n v="253841"/>
  </r>
  <r>
    <x v="24"/>
    <x v="11"/>
    <s v="Electric Generators, Independent Power Producers"/>
    <x v="2"/>
    <n v="18185"/>
  </r>
  <r>
    <x v="24"/>
    <x v="11"/>
    <s v="Electric Generators, Independent Power Producers"/>
    <x v="12"/>
    <n v="0"/>
  </r>
  <r>
    <x v="24"/>
    <x v="11"/>
    <s v="Electric Generators, Independent Power Producers"/>
    <x v="4"/>
    <n v="182618"/>
  </r>
  <r>
    <x v="24"/>
    <x v="11"/>
    <s v="Electric Generators, Independent Power Producers"/>
    <x v="13"/>
    <n v="28849.75"/>
  </r>
  <r>
    <x v="24"/>
    <x v="11"/>
    <s v="Electric Generators, Independent Power Producers"/>
    <x v="5"/>
    <n v="578617"/>
  </r>
  <r>
    <x v="24"/>
    <x v="11"/>
    <s v="Electric Generators, Electric Utilities"/>
    <x v="0"/>
    <n v="5517389"/>
  </r>
  <r>
    <x v="24"/>
    <x v="11"/>
    <s v="Electric Generators, Electric Utilities"/>
    <x v="1"/>
    <n v="0"/>
  </r>
  <r>
    <x v="24"/>
    <x v="11"/>
    <s v="Electric Generators, Electric Utilities"/>
    <x v="2"/>
    <n v="23541"/>
  </r>
  <r>
    <x v="24"/>
    <x v="11"/>
    <s v="Electric Generators, Electric Utilities"/>
    <x v="12"/>
    <n v="210703.35"/>
  </r>
  <r>
    <x v="24"/>
    <x v="11"/>
    <s v="Electric Generators, Electric Utilities"/>
    <x v="4"/>
    <n v="5236159.6500000004"/>
  </r>
  <r>
    <x v="24"/>
    <x v="11"/>
    <s v="Electric Generators, Electric Utilities"/>
    <x v="13"/>
    <n v="10412"/>
  </r>
  <r>
    <x v="24"/>
    <x v="11"/>
    <s v="Electric Generators, Electric Utilities"/>
    <x v="8"/>
    <n v="36573"/>
  </r>
  <r>
    <x v="24"/>
    <x v="12"/>
    <s v="Total Electric Power Industry"/>
    <x v="0"/>
    <n v="56853282.469999999"/>
  </r>
  <r>
    <x v="24"/>
    <x v="12"/>
    <s v="Total Electric Power Industry"/>
    <x v="1"/>
    <n v="33732765.359999999"/>
  </r>
  <r>
    <x v="24"/>
    <x v="12"/>
    <s v="Total Electric Power Industry"/>
    <x v="2"/>
    <n v="878605"/>
  </r>
  <r>
    <x v="24"/>
    <x v="12"/>
    <s v="Total Electric Power Industry"/>
    <x v="3"/>
    <n v="1372515.28"/>
  </r>
  <r>
    <x v="24"/>
    <x v="12"/>
    <s v="Total Electric Power Industry"/>
    <x v="7"/>
    <n v="4152468"/>
  </r>
  <r>
    <x v="24"/>
    <x v="12"/>
    <s v="Total Electric Power Industry"/>
    <x v="12"/>
    <n v="0"/>
  </r>
  <r>
    <x v="24"/>
    <x v="12"/>
    <s v="Total Electric Power Industry"/>
    <x v="4"/>
    <n v="143928.92000000001"/>
  </r>
  <r>
    <x v="24"/>
    <x v="12"/>
    <s v="Total Electric Power Industry"/>
    <x v="8"/>
    <n v="264469.73"/>
  </r>
  <r>
    <x v="24"/>
    <x v="12"/>
    <s v="Total Electric Power Industry"/>
    <x v="5"/>
    <n v="16306754.529999999"/>
  </r>
  <r>
    <x v="24"/>
    <x v="12"/>
    <s v="Total Electric Power Industry"/>
    <x v="6"/>
    <n v="1775.66"/>
  </r>
  <r>
    <x v="24"/>
    <x v="12"/>
    <s v="Combined Heat and Power, Industrial Power"/>
    <x v="0"/>
    <n v="2064492.01"/>
  </r>
  <r>
    <x v="24"/>
    <x v="12"/>
    <s v="Combined Heat and Power, Industrial Power"/>
    <x v="1"/>
    <n v="1836436.74"/>
  </r>
  <r>
    <x v="24"/>
    <x v="12"/>
    <s v="Combined Heat and Power, Industrial Power"/>
    <x v="3"/>
    <n v="57587.47"/>
  </r>
  <r>
    <x v="24"/>
    <x v="12"/>
    <s v="Combined Heat and Power, Industrial Power"/>
    <x v="12"/>
    <n v="0"/>
  </r>
  <r>
    <x v="24"/>
    <x v="12"/>
    <s v="Combined Heat and Power, Industrial Power"/>
    <x v="4"/>
    <n v="76280.39"/>
  </r>
  <r>
    <x v="24"/>
    <x v="12"/>
    <s v="Combined Heat and Power, Industrial Power"/>
    <x v="8"/>
    <n v="94187.41"/>
  </r>
  <r>
    <x v="24"/>
    <x v="12"/>
    <s v="Combined Heat and Power, Industrial Power"/>
    <x v="6"/>
    <n v="0"/>
  </r>
  <r>
    <x v="24"/>
    <x v="12"/>
    <s v="Combined Heat and Power, Commercial Power"/>
    <x v="0"/>
    <n v="220472.32000000001"/>
  </r>
  <r>
    <x v="24"/>
    <x v="12"/>
    <s v="Combined Heat and Power, Commercial Power"/>
    <x v="1"/>
    <n v="140182.57999999999"/>
  </r>
  <r>
    <x v="24"/>
    <x v="12"/>
    <s v="Combined Heat and Power, Commercial Power"/>
    <x v="3"/>
    <n v="38305.599999999999"/>
  </r>
  <r>
    <x v="24"/>
    <x v="12"/>
    <s v="Combined Heat and Power, Commercial Power"/>
    <x v="4"/>
    <n v="8557.08"/>
  </r>
  <r>
    <x v="24"/>
    <x v="12"/>
    <s v="Combined Heat and Power, Commercial Power"/>
    <x v="8"/>
    <n v="28120.06"/>
  </r>
  <r>
    <x v="24"/>
    <x v="12"/>
    <s v="Combined Heat and Power, Commercial Power"/>
    <x v="5"/>
    <n v="3531.33"/>
  </r>
  <r>
    <x v="24"/>
    <x v="12"/>
    <s v="Combined Heat and Power, Commercial Power"/>
    <x v="6"/>
    <n v="1775.66"/>
  </r>
  <r>
    <x v="24"/>
    <x v="12"/>
    <s v="Combined Heat and Power, Electric Power"/>
    <x v="0"/>
    <n v="3886"/>
  </r>
  <r>
    <x v="24"/>
    <x v="12"/>
    <s v="Combined Heat and Power, Electric Power"/>
    <x v="8"/>
    <n v="3886"/>
  </r>
  <r>
    <x v="24"/>
    <x v="12"/>
    <s v="Electric Generators, Independent Power Producers"/>
    <x v="0"/>
    <n v="11542477.84"/>
  </r>
  <r>
    <x v="24"/>
    <x v="12"/>
    <s v="Electric Generators, Independent Power Producers"/>
    <x v="2"/>
    <n v="6310"/>
  </r>
  <r>
    <x v="24"/>
    <x v="12"/>
    <s v="Electric Generators, Independent Power Producers"/>
    <x v="3"/>
    <n v="9"/>
  </r>
  <r>
    <x v="24"/>
    <x v="12"/>
    <s v="Electric Generators, Independent Power Producers"/>
    <x v="7"/>
    <n v="4152468"/>
  </r>
  <r>
    <x v="24"/>
    <x v="12"/>
    <s v="Electric Generators, Independent Power Producers"/>
    <x v="4"/>
    <n v="924.64"/>
  </r>
  <r>
    <x v="24"/>
    <x v="12"/>
    <s v="Electric Generators, Independent Power Producers"/>
    <x v="8"/>
    <n v="113705"/>
  </r>
  <r>
    <x v="24"/>
    <x v="12"/>
    <s v="Electric Generators, Independent Power Producers"/>
    <x v="5"/>
    <n v="7269061.2000000002"/>
  </r>
  <r>
    <x v="24"/>
    <x v="12"/>
    <s v="Electric Generators, Electric Utilities"/>
    <x v="0"/>
    <n v="43021954.299999997"/>
  </r>
  <r>
    <x v="24"/>
    <x v="12"/>
    <s v="Electric Generators, Electric Utilities"/>
    <x v="1"/>
    <n v="31756146.030000001"/>
  </r>
  <r>
    <x v="24"/>
    <x v="12"/>
    <s v="Electric Generators, Electric Utilities"/>
    <x v="2"/>
    <n v="872295"/>
  </r>
  <r>
    <x v="24"/>
    <x v="12"/>
    <s v="Electric Generators, Electric Utilities"/>
    <x v="3"/>
    <n v="1276613.2"/>
  </r>
  <r>
    <x v="24"/>
    <x v="12"/>
    <s v="Electric Generators, Electric Utilities"/>
    <x v="4"/>
    <n v="58166.8"/>
  </r>
  <r>
    <x v="24"/>
    <x v="12"/>
    <s v="Electric Generators, Electric Utilities"/>
    <x v="8"/>
    <n v="24571.26"/>
  </r>
  <r>
    <x v="24"/>
    <x v="12"/>
    <s v="Electric Generators, Electric Utilities"/>
    <x v="5"/>
    <n v="9034162"/>
  </r>
  <r>
    <x v="24"/>
    <x v="12"/>
    <s v="Electric Generators, Electric Utilities"/>
    <x v="6"/>
    <n v="0"/>
  </r>
  <r>
    <x v="24"/>
    <x v="13"/>
    <s v="Total Electric Power Industry"/>
    <x v="0"/>
    <n v="15184416.5"/>
  </r>
  <r>
    <x v="24"/>
    <x v="13"/>
    <s v="Total Electric Power Industry"/>
    <x v="1"/>
    <n v="77671.27"/>
  </r>
  <r>
    <x v="24"/>
    <x v="13"/>
    <s v="Total Electric Power Industry"/>
    <x v="11"/>
    <n v="78799"/>
  </r>
  <r>
    <x v="24"/>
    <x v="13"/>
    <s v="Total Electric Power Industry"/>
    <x v="2"/>
    <n v="9002210.1699999999"/>
  </r>
  <r>
    <x v="24"/>
    <x v="13"/>
    <s v="Total Electric Power Industry"/>
    <x v="3"/>
    <n v="2552537.7200000002"/>
  </r>
  <r>
    <x v="24"/>
    <x v="13"/>
    <s v="Total Electric Power Industry"/>
    <x v="12"/>
    <n v="74878"/>
  </r>
  <r>
    <x v="24"/>
    <x v="13"/>
    <s v="Total Electric Power Industry"/>
    <x v="4"/>
    <n v="1"/>
  </r>
  <r>
    <x v="24"/>
    <x v="13"/>
    <s v="Total Electric Power Industry"/>
    <x v="8"/>
    <n v="175414.44"/>
  </r>
  <r>
    <x v="24"/>
    <x v="13"/>
    <s v="Total Electric Power Industry"/>
    <x v="5"/>
    <n v="2805800"/>
  </r>
  <r>
    <x v="24"/>
    <x v="13"/>
    <s v="Total Electric Power Industry"/>
    <x v="6"/>
    <n v="417104.9"/>
  </r>
  <r>
    <x v="24"/>
    <x v="13"/>
    <s v="Combined Heat and Power, Industrial Power"/>
    <x v="0"/>
    <n v="554183.5"/>
  </r>
  <r>
    <x v="24"/>
    <x v="13"/>
    <s v="Combined Heat and Power, Industrial Power"/>
    <x v="1"/>
    <n v="77671.27"/>
  </r>
  <r>
    <x v="24"/>
    <x v="13"/>
    <s v="Combined Heat and Power, Industrial Power"/>
    <x v="3"/>
    <n v="30195.33"/>
  </r>
  <r>
    <x v="24"/>
    <x v="13"/>
    <s v="Combined Heat and Power, Industrial Power"/>
    <x v="12"/>
    <n v="74878"/>
  </r>
  <r>
    <x v="24"/>
    <x v="13"/>
    <s v="Combined Heat and Power, Industrial Power"/>
    <x v="4"/>
    <n v="0"/>
  </r>
  <r>
    <x v="24"/>
    <x v="13"/>
    <s v="Combined Heat and Power, Industrial Power"/>
    <x v="8"/>
    <n v="13463"/>
  </r>
  <r>
    <x v="24"/>
    <x v="13"/>
    <s v="Combined Heat and Power, Industrial Power"/>
    <x v="6"/>
    <n v="357975.9"/>
  </r>
  <r>
    <x v="24"/>
    <x v="13"/>
    <s v="Combined Heat and Power, Commercial Power"/>
    <x v="0"/>
    <n v="4838"/>
  </r>
  <r>
    <x v="24"/>
    <x v="13"/>
    <s v="Combined Heat and Power, Commercial Power"/>
    <x v="8"/>
    <n v="4838"/>
  </r>
  <r>
    <x v="24"/>
    <x v="13"/>
    <s v="Combined Heat and Power, Electric Power"/>
    <x v="0"/>
    <n v="178352.12"/>
  </r>
  <r>
    <x v="24"/>
    <x v="13"/>
    <s v="Combined Heat and Power, Electric Power"/>
    <x v="3"/>
    <n v="74717.16"/>
  </r>
  <r>
    <x v="24"/>
    <x v="13"/>
    <s v="Combined Heat and Power, Electric Power"/>
    <x v="8"/>
    <n v="44505.96"/>
  </r>
  <r>
    <x v="24"/>
    <x v="13"/>
    <s v="Combined Heat and Power, Electric Power"/>
    <x v="6"/>
    <n v="59129"/>
  </r>
  <r>
    <x v="24"/>
    <x v="13"/>
    <s v="Electric Generators, Independent Power Producers"/>
    <x v="0"/>
    <n v="4819026.66"/>
  </r>
  <r>
    <x v="24"/>
    <x v="13"/>
    <s v="Electric Generators, Independent Power Producers"/>
    <x v="11"/>
    <n v="78799"/>
  </r>
  <r>
    <x v="24"/>
    <x v="13"/>
    <s v="Electric Generators, Independent Power Producers"/>
    <x v="2"/>
    <n v="793503.17"/>
  </r>
  <r>
    <x v="24"/>
    <x v="13"/>
    <s v="Electric Generators, Independent Power Producers"/>
    <x v="3"/>
    <n v="1201397"/>
  </r>
  <r>
    <x v="24"/>
    <x v="13"/>
    <s v="Electric Generators, Independent Power Producers"/>
    <x v="8"/>
    <n v="103968.48"/>
  </r>
  <r>
    <x v="24"/>
    <x v="13"/>
    <s v="Electric Generators, Independent Power Producers"/>
    <x v="5"/>
    <n v="2641359"/>
  </r>
  <r>
    <x v="24"/>
    <x v="13"/>
    <s v="Electric Generators, Electric Utilities"/>
    <x v="0"/>
    <n v="9628016.2300000004"/>
  </r>
  <r>
    <x v="24"/>
    <x v="13"/>
    <s v="Electric Generators, Electric Utilities"/>
    <x v="2"/>
    <n v="8208707"/>
  </r>
  <r>
    <x v="24"/>
    <x v="13"/>
    <s v="Electric Generators, Electric Utilities"/>
    <x v="3"/>
    <n v="1246228.23"/>
  </r>
  <r>
    <x v="24"/>
    <x v="13"/>
    <s v="Electric Generators, Electric Utilities"/>
    <x v="4"/>
    <n v="1"/>
  </r>
  <r>
    <x v="24"/>
    <x v="13"/>
    <s v="Electric Generators, Electric Utilities"/>
    <x v="8"/>
    <n v="8639"/>
  </r>
  <r>
    <x v="24"/>
    <x v="13"/>
    <s v="Electric Generators, Electric Utilities"/>
    <x v="5"/>
    <n v="164441"/>
  </r>
  <r>
    <x v="24"/>
    <x v="14"/>
    <s v="Total Electric Power Industry"/>
    <x v="0"/>
    <n v="202143877.97999999"/>
  </r>
  <r>
    <x v="24"/>
    <x v="14"/>
    <s v="Total Electric Power Industry"/>
    <x v="1"/>
    <n v="87282390.379999995"/>
  </r>
  <r>
    <x v="24"/>
    <x v="14"/>
    <s v="Total Electric Power Industry"/>
    <x v="2"/>
    <n v="132298"/>
  </r>
  <r>
    <x v="24"/>
    <x v="14"/>
    <s v="Total Electric Power Industry"/>
    <x v="3"/>
    <n v="5465425.0499999998"/>
  </r>
  <r>
    <x v="24"/>
    <x v="14"/>
    <s v="Total Electric Power Industry"/>
    <x v="7"/>
    <n v="97857900"/>
  </r>
  <r>
    <x v="24"/>
    <x v="14"/>
    <s v="Total Electric Power Industry"/>
    <x v="9"/>
    <n v="338092.76"/>
  </r>
  <r>
    <x v="24"/>
    <x v="14"/>
    <s v="Total Electric Power Industry"/>
    <x v="12"/>
    <n v="281632.48"/>
  </r>
  <r>
    <x v="24"/>
    <x v="14"/>
    <s v="Total Electric Power Industry"/>
    <x v="4"/>
    <n v="86756.05"/>
  </r>
  <r>
    <x v="24"/>
    <x v="14"/>
    <s v="Total Electric Power Industry"/>
    <x v="13"/>
    <n v="50116.9"/>
  </r>
  <r>
    <x v="24"/>
    <x v="14"/>
    <s v="Total Electric Power Industry"/>
    <x v="8"/>
    <n v="566372.36"/>
  </r>
  <r>
    <x v="24"/>
    <x v="14"/>
    <s v="Total Electric Power Industry"/>
    <x v="5"/>
    <n v="10082894"/>
  </r>
  <r>
    <x v="24"/>
    <x v="14"/>
    <s v="Total Electric Power Industry"/>
    <x v="6"/>
    <n v="0"/>
  </r>
  <r>
    <x v="24"/>
    <x v="14"/>
    <s v="Combined Heat and Power, Industrial Power"/>
    <x v="0"/>
    <n v="2788688.95"/>
  </r>
  <r>
    <x v="24"/>
    <x v="14"/>
    <s v="Combined Heat and Power, Industrial Power"/>
    <x v="1"/>
    <n v="1751307.12"/>
  </r>
  <r>
    <x v="24"/>
    <x v="14"/>
    <s v="Combined Heat and Power, Industrial Power"/>
    <x v="3"/>
    <n v="425116.73"/>
  </r>
  <r>
    <x v="24"/>
    <x v="14"/>
    <s v="Combined Heat and Power, Industrial Power"/>
    <x v="9"/>
    <n v="330340.74"/>
  </r>
  <r>
    <x v="24"/>
    <x v="14"/>
    <s v="Combined Heat and Power, Industrial Power"/>
    <x v="12"/>
    <n v="281918.48"/>
  </r>
  <r>
    <x v="24"/>
    <x v="14"/>
    <s v="Combined Heat and Power, Industrial Power"/>
    <x v="4"/>
    <n v="5.88"/>
  </r>
  <r>
    <x v="24"/>
    <x v="14"/>
    <s v="Combined Heat and Power, Industrial Power"/>
    <x v="6"/>
    <n v="0"/>
  </r>
  <r>
    <x v="24"/>
    <x v="14"/>
    <s v="Combined Heat and Power, Commercial Power"/>
    <x v="0"/>
    <n v="537517.17000000004"/>
  </r>
  <r>
    <x v="24"/>
    <x v="14"/>
    <s v="Combined Heat and Power, Commercial Power"/>
    <x v="1"/>
    <n v="40063.040000000001"/>
  </r>
  <r>
    <x v="24"/>
    <x v="14"/>
    <s v="Combined Heat and Power, Commercial Power"/>
    <x v="2"/>
    <n v="2843"/>
  </r>
  <r>
    <x v="24"/>
    <x v="14"/>
    <s v="Combined Heat and Power, Commercial Power"/>
    <x v="3"/>
    <n v="490496.75"/>
  </r>
  <r>
    <x v="24"/>
    <x v="14"/>
    <s v="Combined Heat and Power, Commercial Power"/>
    <x v="4"/>
    <n v="236.39"/>
  </r>
  <r>
    <x v="24"/>
    <x v="14"/>
    <s v="Combined Heat and Power, Commercial Power"/>
    <x v="8"/>
    <n v="0"/>
  </r>
  <r>
    <x v="24"/>
    <x v="14"/>
    <s v="Combined Heat and Power, Commercial Power"/>
    <x v="5"/>
    <n v="3878"/>
  </r>
  <r>
    <x v="24"/>
    <x v="14"/>
    <s v="Combined Heat and Power, Electric Power"/>
    <x v="0"/>
    <n v="606391.22"/>
  </r>
  <r>
    <x v="24"/>
    <x v="14"/>
    <s v="Combined Heat and Power, Electric Power"/>
    <x v="3"/>
    <n v="591376.01"/>
  </r>
  <r>
    <x v="24"/>
    <x v="14"/>
    <s v="Combined Heat and Power, Electric Power"/>
    <x v="9"/>
    <n v="7752.02"/>
  </r>
  <r>
    <x v="24"/>
    <x v="14"/>
    <s v="Combined Heat and Power, Electric Power"/>
    <x v="12"/>
    <n v="0"/>
  </r>
  <r>
    <x v="24"/>
    <x v="14"/>
    <s v="Combined Heat and Power, Electric Power"/>
    <x v="4"/>
    <n v="2053.83"/>
  </r>
  <r>
    <x v="24"/>
    <x v="14"/>
    <s v="Combined Heat and Power, Electric Power"/>
    <x v="8"/>
    <n v="5209.3599999999997"/>
  </r>
  <r>
    <x v="24"/>
    <x v="14"/>
    <s v="Electric Generators, Independent Power Producers"/>
    <x v="0"/>
    <n v="187753882.90000001"/>
  </r>
  <r>
    <x v="24"/>
    <x v="14"/>
    <s v="Electric Generators, Independent Power Producers"/>
    <x v="1"/>
    <n v="75504652.069999993"/>
  </r>
  <r>
    <x v="24"/>
    <x v="14"/>
    <s v="Electric Generators, Independent Power Producers"/>
    <x v="2"/>
    <n v="82985"/>
  </r>
  <r>
    <x v="24"/>
    <x v="14"/>
    <s v="Electric Generators, Independent Power Producers"/>
    <x v="3"/>
    <n v="3575895.89"/>
  </r>
  <r>
    <x v="24"/>
    <x v="14"/>
    <s v="Electric Generators, Independent Power Producers"/>
    <x v="7"/>
    <n v="97857900"/>
  </r>
  <r>
    <x v="24"/>
    <x v="14"/>
    <s v="Electric Generators, Independent Power Producers"/>
    <x v="12"/>
    <n v="-286"/>
  </r>
  <r>
    <x v="24"/>
    <x v="14"/>
    <s v="Electric Generators, Independent Power Producers"/>
    <x v="4"/>
    <n v="55911.05"/>
  </r>
  <r>
    <x v="24"/>
    <x v="14"/>
    <s v="Electric Generators, Independent Power Producers"/>
    <x v="13"/>
    <n v="50116.9"/>
  </r>
  <r>
    <x v="24"/>
    <x v="14"/>
    <s v="Electric Generators, Independent Power Producers"/>
    <x v="8"/>
    <n v="561163"/>
  </r>
  <r>
    <x v="24"/>
    <x v="14"/>
    <s v="Electric Generators, Independent Power Producers"/>
    <x v="5"/>
    <n v="10065545"/>
  </r>
  <r>
    <x v="24"/>
    <x v="14"/>
    <s v="Electric Generators, Electric Utilities"/>
    <x v="0"/>
    <n v="10457397.74"/>
  </r>
  <r>
    <x v="24"/>
    <x v="14"/>
    <s v="Electric Generators, Electric Utilities"/>
    <x v="1"/>
    <n v="9986368.1600000001"/>
  </r>
  <r>
    <x v="24"/>
    <x v="14"/>
    <s v="Electric Generators, Electric Utilities"/>
    <x v="2"/>
    <n v="46470"/>
  </r>
  <r>
    <x v="24"/>
    <x v="14"/>
    <s v="Electric Generators, Electric Utilities"/>
    <x v="3"/>
    <n v="382539.68"/>
  </r>
  <r>
    <x v="24"/>
    <x v="14"/>
    <s v="Electric Generators, Electric Utilities"/>
    <x v="4"/>
    <n v="28548.9"/>
  </r>
  <r>
    <x v="24"/>
    <x v="14"/>
    <s v="Electric Generators, Electric Utilities"/>
    <x v="13"/>
    <n v="0"/>
  </r>
  <r>
    <x v="24"/>
    <x v="14"/>
    <s v="Electric Generators, Electric Utilities"/>
    <x v="8"/>
    <n v="0"/>
  </r>
  <r>
    <x v="24"/>
    <x v="14"/>
    <s v="Electric Generators, Electric Utilities"/>
    <x v="5"/>
    <n v="13471"/>
  </r>
  <r>
    <x v="24"/>
    <x v="15"/>
    <s v="Total Electric Power Industry"/>
    <x v="0"/>
    <n v="115395391.78"/>
  </r>
  <r>
    <x v="24"/>
    <x v="15"/>
    <s v="Total Electric Power Industry"/>
    <x v="1"/>
    <n v="97548738.519999996"/>
  </r>
  <r>
    <x v="24"/>
    <x v="15"/>
    <s v="Total Electric Power Industry"/>
    <x v="2"/>
    <n v="371153"/>
  </r>
  <r>
    <x v="24"/>
    <x v="15"/>
    <s v="Total Electric Power Industry"/>
    <x v="3"/>
    <n v="9572346.4399999995"/>
  </r>
  <r>
    <x v="24"/>
    <x v="15"/>
    <s v="Total Electric Power Industry"/>
    <x v="9"/>
    <n v="2161218.6800000002"/>
  </r>
  <r>
    <x v="24"/>
    <x v="15"/>
    <s v="Total Electric Power Industry"/>
    <x v="12"/>
    <n v="390683.63"/>
  </r>
  <r>
    <x v="24"/>
    <x v="15"/>
    <s v="Total Electric Power Industry"/>
    <x v="4"/>
    <n v="1362544.18"/>
  </r>
  <r>
    <x v="24"/>
    <x v="15"/>
    <s v="Total Electric Power Industry"/>
    <x v="13"/>
    <n v="102126.9"/>
  </r>
  <r>
    <x v="24"/>
    <x v="15"/>
    <s v="Total Electric Power Industry"/>
    <x v="8"/>
    <n v="390538.74"/>
  </r>
  <r>
    <x v="24"/>
    <x v="15"/>
    <s v="Total Electric Power Industry"/>
    <x v="5"/>
    <n v="3496041.69"/>
  </r>
  <r>
    <x v="24"/>
    <x v="15"/>
    <s v="Total Electric Power Industry"/>
    <x v="6"/>
    <n v="0"/>
  </r>
  <r>
    <x v="24"/>
    <x v="15"/>
    <s v="Combined Heat and Power, Industrial Power"/>
    <x v="0"/>
    <n v="3038628.61"/>
  </r>
  <r>
    <x v="24"/>
    <x v="15"/>
    <s v="Combined Heat and Power, Industrial Power"/>
    <x v="1"/>
    <n v="19353.39"/>
  </r>
  <r>
    <x v="24"/>
    <x v="15"/>
    <s v="Combined Heat and Power, Industrial Power"/>
    <x v="3"/>
    <n v="454859.55"/>
  </r>
  <r>
    <x v="24"/>
    <x v="15"/>
    <s v="Combined Heat and Power, Industrial Power"/>
    <x v="9"/>
    <n v="2141592.6800000002"/>
  </r>
  <r>
    <x v="24"/>
    <x v="15"/>
    <s v="Combined Heat and Power, Industrial Power"/>
    <x v="12"/>
    <n v="342381"/>
  </r>
  <r>
    <x v="24"/>
    <x v="15"/>
    <s v="Combined Heat and Power, Industrial Power"/>
    <x v="4"/>
    <n v="13877.96"/>
  </r>
  <r>
    <x v="24"/>
    <x v="15"/>
    <s v="Combined Heat and Power, Industrial Power"/>
    <x v="8"/>
    <n v="66564.02"/>
  </r>
  <r>
    <x v="24"/>
    <x v="15"/>
    <s v="Combined Heat and Power, Industrial Power"/>
    <x v="6"/>
    <n v="0"/>
  </r>
  <r>
    <x v="24"/>
    <x v="15"/>
    <s v="Combined Heat and Power, Commercial Power"/>
    <x v="0"/>
    <n v="213898.85"/>
  </r>
  <r>
    <x v="24"/>
    <x v="15"/>
    <s v="Combined Heat and Power, Commercial Power"/>
    <x v="1"/>
    <n v="61646.61"/>
  </r>
  <r>
    <x v="24"/>
    <x v="15"/>
    <s v="Combined Heat and Power, Commercial Power"/>
    <x v="3"/>
    <n v="111276.02"/>
  </r>
  <r>
    <x v="24"/>
    <x v="15"/>
    <s v="Combined Heat and Power, Commercial Power"/>
    <x v="12"/>
    <n v="19211.099999999999"/>
  </r>
  <r>
    <x v="24"/>
    <x v="15"/>
    <s v="Combined Heat and Power, Commercial Power"/>
    <x v="4"/>
    <n v="657.4"/>
  </r>
  <r>
    <x v="24"/>
    <x v="15"/>
    <s v="Combined Heat and Power, Commercial Power"/>
    <x v="8"/>
    <n v="19994.72"/>
  </r>
  <r>
    <x v="24"/>
    <x v="15"/>
    <s v="Combined Heat and Power, Commercial Power"/>
    <x v="5"/>
    <n v="1113"/>
  </r>
  <r>
    <x v="24"/>
    <x v="15"/>
    <s v="Combined Heat and Power, Electric Power"/>
    <x v="0"/>
    <n v="7462709.7300000004"/>
  </r>
  <r>
    <x v="24"/>
    <x v="15"/>
    <s v="Combined Heat and Power, Electric Power"/>
    <x v="1"/>
    <n v="5483611.0099999998"/>
  </r>
  <r>
    <x v="24"/>
    <x v="15"/>
    <s v="Combined Heat and Power, Electric Power"/>
    <x v="3"/>
    <n v="1978897.67"/>
  </r>
  <r>
    <x v="24"/>
    <x v="15"/>
    <s v="Combined Heat and Power, Electric Power"/>
    <x v="12"/>
    <n v="0"/>
  </r>
  <r>
    <x v="24"/>
    <x v="15"/>
    <s v="Combined Heat and Power, Electric Power"/>
    <x v="4"/>
    <n v="201.05"/>
  </r>
  <r>
    <x v="24"/>
    <x v="15"/>
    <s v="Electric Generators, Independent Power Producers"/>
    <x v="0"/>
    <n v="3696869.59"/>
  </r>
  <r>
    <x v="24"/>
    <x v="15"/>
    <s v="Electric Generators, Independent Power Producers"/>
    <x v="1"/>
    <n v="21368"/>
  </r>
  <r>
    <x v="24"/>
    <x v="15"/>
    <s v="Electric Generators, Independent Power Producers"/>
    <x v="3"/>
    <n v="76523"/>
  </r>
  <r>
    <x v="24"/>
    <x v="15"/>
    <s v="Electric Generators, Independent Power Producers"/>
    <x v="4"/>
    <n v="0"/>
  </r>
  <r>
    <x v="24"/>
    <x v="15"/>
    <s v="Electric Generators, Independent Power Producers"/>
    <x v="13"/>
    <n v="100504.9"/>
  </r>
  <r>
    <x v="24"/>
    <x v="15"/>
    <s v="Electric Generators, Independent Power Producers"/>
    <x v="8"/>
    <n v="3545"/>
  </r>
  <r>
    <x v="24"/>
    <x v="15"/>
    <s v="Electric Generators, Independent Power Producers"/>
    <x v="5"/>
    <n v="3494928.69"/>
  </r>
  <r>
    <x v="24"/>
    <x v="15"/>
    <s v="Electric Generators, Independent Power Producers"/>
    <x v="6"/>
    <n v="0"/>
  </r>
  <r>
    <x v="24"/>
    <x v="15"/>
    <s v="Electric Generators, Electric Utilities"/>
    <x v="0"/>
    <n v="100983285"/>
  </r>
  <r>
    <x v="24"/>
    <x v="15"/>
    <s v="Electric Generators, Electric Utilities"/>
    <x v="1"/>
    <n v="91962759.510000005"/>
  </r>
  <r>
    <x v="24"/>
    <x v="15"/>
    <s v="Electric Generators, Electric Utilities"/>
    <x v="2"/>
    <n v="371153"/>
  </r>
  <r>
    <x v="24"/>
    <x v="15"/>
    <s v="Electric Generators, Electric Utilities"/>
    <x v="3"/>
    <n v="6950790.2000000002"/>
  </r>
  <r>
    <x v="24"/>
    <x v="15"/>
    <s v="Electric Generators, Electric Utilities"/>
    <x v="9"/>
    <n v="19626"/>
  </r>
  <r>
    <x v="24"/>
    <x v="15"/>
    <s v="Electric Generators, Electric Utilities"/>
    <x v="12"/>
    <n v="29091.53"/>
  </r>
  <r>
    <x v="24"/>
    <x v="15"/>
    <s v="Electric Generators, Electric Utilities"/>
    <x v="4"/>
    <n v="1347807.76"/>
  </r>
  <r>
    <x v="24"/>
    <x v="15"/>
    <s v="Electric Generators, Electric Utilities"/>
    <x v="13"/>
    <n v="1622"/>
  </r>
  <r>
    <x v="24"/>
    <x v="15"/>
    <s v="Electric Generators, Electric Utilities"/>
    <x v="8"/>
    <n v="300435"/>
  </r>
  <r>
    <x v="24"/>
    <x v="15"/>
    <s v="Electric Generators, Electric Utilities"/>
    <x v="6"/>
    <n v="0"/>
  </r>
  <r>
    <x v="24"/>
    <x v="16"/>
    <s v="Total Electric Power Industry"/>
    <x v="0"/>
    <n v="49728363.109999999"/>
  </r>
  <r>
    <x v="24"/>
    <x v="16"/>
    <s v="Total Electric Power Industry"/>
    <x v="1"/>
    <n v="28752282.199999999"/>
  </r>
  <r>
    <x v="24"/>
    <x v="16"/>
    <s v="Total Electric Power Industry"/>
    <x v="2"/>
    <n v="16214"/>
  </r>
  <r>
    <x v="24"/>
    <x v="16"/>
    <s v="Total Electric Power Industry"/>
    <x v="3"/>
    <n v="1452523.39"/>
  </r>
  <r>
    <x v="24"/>
    <x v="16"/>
    <s v="Total Electric Power Industry"/>
    <x v="7"/>
    <n v="8558384"/>
  </r>
  <r>
    <x v="24"/>
    <x v="16"/>
    <s v="Total Electric Power Industry"/>
    <x v="12"/>
    <n v="0.97"/>
  </r>
  <r>
    <x v="24"/>
    <x v="16"/>
    <s v="Total Electric Power Industry"/>
    <x v="4"/>
    <n v="44880.86"/>
  </r>
  <r>
    <x v="24"/>
    <x v="16"/>
    <s v="Total Electric Power Industry"/>
    <x v="8"/>
    <n v="59216.69"/>
  </r>
  <r>
    <x v="24"/>
    <x v="16"/>
    <s v="Total Electric Power Industry"/>
    <x v="5"/>
    <n v="10844861"/>
  </r>
  <r>
    <x v="24"/>
    <x v="16"/>
    <s v="Combined Heat and Power, Industrial Power"/>
    <x v="0"/>
    <n v="36371.129999999997"/>
  </r>
  <r>
    <x v="24"/>
    <x v="16"/>
    <s v="Combined Heat and Power, Industrial Power"/>
    <x v="3"/>
    <n v="40689.65"/>
  </r>
  <r>
    <x v="24"/>
    <x v="16"/>
    <s v="Combined Heat and Power, Industrial Power"/>
    <x v="12"/>
    <n v="0.97"/>
  </r>
  <r>
    <x v="24"/>
    <x v="16"/>
    <s v="Combined Heat and Power, Industrial Power"/>
    <x v="8"/>
    <n v="-4319.49"/>
  </r>
  <r>
    <x v="24"/>
    <x v="16"/>
    <s v="Electric Generators, Independent Power Producers"/>
    <x v="0"/>
    <n v="10022363.18"/>
  </r>
  <r>
    <x v="24"/>
    <x v="16"/>
    <s v="Electric Generators, Independent Power Producers"/>
    <x v="2"/>
    <n v="16214"/>
  </r>
  <r>
    <x v="24"/>
    <x v="16"/>
    <s v="Electric Generators, Independent Power Producers"/>
    <x v="8"/>
    <n v="63536.18"/>
  </r>
  <r>
    <x v="24"/>
    <x v="16"/>
    <s v="Electric Generators, Independent Power Producers"/>
    <x v="5"/>
    <n v="9942613"/>
  </r>
  <r>
    <x v="24"/>
    <x v="16"/>
    <s v="Electric Generators, Electric Utilities"/>
    <x v="0"/>
    <n v="39669628.799999997"/>
  </r>
  <r>
    <x v="24"/>
    <x v="16"/>
    <s v="Electric Generators, Electric Utilities"/>
    <x v="1"/>
    <n v="28752282.199999999"/>
  </r>
  <r>
    <x v="24"/>
    <x v="16"/>
    <s v="Electric Generators, Electric Utilities"/>
    <x v="3"/>
    <n v="1411833.74"/>
  </r>
  <r>
    <x v="24"/>
    <x v="16"/>
    <s v="Electric Generators, Electric Utilities"/>
    <x v="7"/>
    <n v="8558384"/>
  </r>
  <r>
    <x v="24"/>
    <x v="16"/>
    <s v="Electric Generators, Electric Utilities"/>
    <x v="4"/>
    <n v="44880.86"/>
  </r>
  <r>
    <x v="24"/>
    <x v="16"/>
    <s v="Electric Generators, Electric Utilities"/>
    <x v="5"/>
    <n v="902248"/>
  </r>
  <r>
    <x v="24"/>
    <x v="17"/>
    <s v="Total Electric Power Industry"/>
    <x v="0"/>
    <n v="90896435.069999993"/>
  </r>
  <r>
    <x v="24"/>
    <x v="17"/>
    <s v="Total Electric Power Industry"/>
    <x v="1"/>
    <n v="83601961.150000006"/>
  </r>
  <r>
    <x v="24"/>
    <x v="17"/>
    <s v="Total Electric Power Industry"/>
    <x v="2"/>
    <n v="3143567"/>
  </r>
  <r>
    <x v="24"/>
    <x v="17"/>
    <s v="Total Electric Power Industry"/>
    <x v="3"/>
    <n v="2499599.2999999998"/>
  </r>
  <r>
    <x v="24"/>
    <x v="17"/>
    <s v="Total Electric Power Industry"/>
    <x v="12"/>
    <n v="49941.27"/>
  </r>
  <r>
    <x v="24"/>
    <x v="17"/>
    <s v="Total Electric Power Industry"/>
    <x v="4"/>
    <n v="1153376.98"/>
  </r>
  <r>
    <x v="24"/>
    <x v="17"/>
    <s v="Total Electric Power Industry"/>
    <x v="8"/>
    <n v="93534"/>
  </r>
  <r>
    <x v="24"/>
    <x v="17"/>
    <s v="Total Electric Power Industry"/>
    <x v="6"/>
    <n v="354455.37"/>
  </r>
  <r>
    <x v="24"/>
    <x v="17"/>
    <s v="Combined Heat and Power, Industrial Power"/>
    <x v="0"/>
    <n v="598604.06999999995"/>
  </r>
  <r>
    <x v="24"/>
    <x v="17"/>
    <s v="Combined Heat and Power, Industrial Power"/>
    <x v="3"/>
    <n v="244148.7"/>
  </r>
  <r>
    <x v="24"/>
    <x v="17"/>
    <s v="Combined Heat and Power, Industrial Power"/>
    <x v="8"/>
    <n v="0"/>
  </r>
  <r>
    <x v="24"/>
    <x v="17"/>
    <s v="Combined Heat and Power, Industrial Power"/>
    <x v="6"/>
    <n v="354455.37"/>
  </r>
  <r>
    <x v="24"/>
    <x v="17"/>
    <s v="Electric Generators, Independent Power Producers"/>
    <x v="0"/>
    <n v="164428"/>
  </r>
  <r>
    <x v="24"/>
    <x v="17"/>
    <s v="Electric Generators, Independent Power Producers"/>
    <x v="2"/>
    <n v="7744"/>
  </r>
  <r>
    <x v="24"/>
    <x v="17"/>
    <s v="Electric Generators, Independent Power Producers"/>
    <x v="3"/>
    <n v="151377"/>
  </r>
  <r>
    <x v="24"/>
    <x v="17"/>
    <s v="Electric Generators, Independent Power Producers"/>
    <x v="8"/>
    <n v="5307"/>
  </r>
  <r>
    <x v="24"/>
    <x v="17"/>
    <s v="Electric Generators, Electric Utilities"/>
    <x v="0"/>
    <n v="90133403"/>
  </r>
  <r>
    <x v="24"/>
    <x v="17"/>
    <s v="Electric Generators, Electric Utilities"/>
    <x v="1"/>
    <n v="83601961.150000006"/>
  </r>
  <r>
    <x v="24"/>
    <x v="17"/>
    <s v="Electric Generators, Electric Utilities"/>
    <x v="2"/>
    <n v="3135823"/>
  </r>
  <r>
    <x v="24"/>
    <x v="17"/>
    <s v="Electric Generators, Electric Utilities"/>
    <x v="3"/>
    <n v="2104073.59"/>
  </r>
  <r>
    <x v="24"/>
    <x v="17"/>
    <s v="Electric Generators, Electric Utilities"/>
    <x v="12"/>
    <n v="49941.27"/>
  </r>
  <r>
    <x v="24"/>
    <x v="17"/>
    <s v="Electric Generators, Electric Utilities"/>
    <x v="4"/>
    <n v="1153376.98"/>
  </r>
  <r>
    <x v="24"/>
    <x v="17"/>
    <s v="Electric Generators, Electric Utilities"/>
    <x v="8"/>
    <n v="88227"/>
  </r>
  <r>
    <x v="24"/>
    <x v="17"/>
    <s v="Electric Generators, Electric Utilities"/>
    <x v="6"/>
    <n v="0"/>
  </r>
  <r>
    <x v="24"/>
    <x v="18"/>
    <s v="Total Electric Power Industry"/>
    <x v="0"/>
    <n v="104229401.63"/>
  </r>
  <r>
    <x v="24"/>
    <x v="18"/>
    <s v="Total Electric Power Industry"/>
    <x v="1"/>
    <n v="19221019"/>
  </r>
  <r>
    <x v="24"/>
    <x v="18"/>
    <s v="Total Electric Power Industry"/>
    <x v="2"/>
    <n v="1090038"/>
  </r>
  <r>
    <x v="24"/>
    <x v="18"/>
    <s v="Total Electric Power Industry"/>
    <x v="3"/>
    <n v="56120564.380000003"/>
  </r>
  <r>
    <x v="24"/>
    <x v="18"/>
    <s v="Total Electric Power Industry"/>
    <x v="7"/>
    <n v="17311330"/>
  </r>
  <r>
    <x v="24"/>
    <x v="18"/>
    <s v="Total Electric Power Industry"/>
    <x v="9"/>
    <n v="1942575.09"/>
  </r>
  <r>
    <x v="24"/>
    <x v="18"/>
    <s v="Total Electric Power Industry"/>
    <x v="12"/>
    <n v="533197.02"/>
  </r>
  <r>
    <x v="24"/>
    <x v="18"/>
    <s v="Total Electric Power Industry"/>
    <x v="4"/>
    <n v="5231073.99"/>
  </r>
  <r>
    <x v="24"/>
    <x v="18"/>
    <s v="Total Electric Power Industry"/>
    <x v="8"/>
    <n v="93876.800000000003"/>
  </r>
  <r>
    <x v="24"/>
    <x v="18"/>
    <s v="Total Electric Power Industry"/>
    <x v="6"/>
    <n v="2685727.36"/>
  </r>
  <r>
    <x v="24"/>
    <x v="18"/>
    <s v="Combined Heat and Power, Industrial Power"/>
    <x v="0"/>
    <n v="31366536.629999999"/>
  </r>
  <r>
    <x v="24"/>
    <x v="18"/>
    <s v="Combined Heat and Power, Industrial Power"/>
    <x v="1"/>
    <n v="0"/>
  </r>
  <r>
    <x v="24"/>
    <x v="18"/>
    <s v="Combined Heat and Power, Industrial Power"/>
    <x v="3"/>
    <n v="25785939.68"/>
  </r>
  <r>
    <x v="24"/>
    <x v="18"/>
    <s v="Combined Heat and Power, Industrial Power"/>
    <x v="9"/>
    <n v="1942575.09"/>
  </r>
  <r>
    <x v="24"/>
    <x v="18"/>
    <s v="Combined Heat and Power, Industrial Power"/>
    <x v="12"/>
    <n v="533197.02"/>
  </r>
  <r>
    <x v="24"/>
    <x v="18"/>
    <s v="Combined Heat and Power, Industrial Power"/>
    <x v="4"/>
    <n v="410349.17"/>
  </r>
  <r>
    <x v="24"/>
    <x v="18"/>
    <s v="Combined Heat and Power, Industrial Power"/>
    <x v="8"/>
    <n v="8748.31"/>
  </r>
  <r>
    <x v="24"/>
    <x v="18"/>
    <s v="Combined Heat and Power, Industrial Power"/>
    <x v="6"/>
    <n v="2685727.36"/>
  </r>
  <r>
    <x v="24"/>
    <x v="18"/>
    <s v="Combined Heat and Power, Commercial Power"/>
    <x v="0"/>
    <n v="190355"/>
  </r>
  <r>
    <x v="24"/>
    <x v="18"/>
    <s v="Combined Heat and Power, Commercial Power"/>
    <x v="3"/>
    <n v="190355"/>
  </r>
  <r>
    <x v="24"/>
    <x v="18"/>
    <s v="Combined Heat and Power, Electric Power"/>
    <x v="0"/>
    <n v="2067416"/>
  </r>
  <r>
    <x v="24"/>
    <x v="18"/>
    <s v="Combined Heat and Power, Electric Power"/>
    <x v="3"/>
    <n v="2067416"/>
  </r>
  <r>
    <x v="24"/>
    <x v="18"/>
    <s v="Electric Generators, Independent Power Producers"/>
    <x v="0"/>
    <n v="12086823"/>
  </r>
  <r>
    <x v="24"/>
    <x v="18"/>
    <s v="Electric Generators, Independent Power Producers"/>
    <x v="1"/>
    <n v="10683431.289999999"/>
  </r>
  <r>
    <x v="24"/>
    <x v="18"/>
    <s v="Electric Generators, Independent Power Producers"/>
    <x v="2"/>
    <n v="1090038"/>
  </r>
  <r>
    <x v="24"/>
    <x v="18"/>
    <s v="Electric Generators, Independent Power Producers"/>
    <x v="3"/>
    <n v="198887.51"/>
  </r>
  <r>
    <x v="24"/>
    <x v="18"/>
    <s v="Electric Generators, Independent Power Producers"/>
    <x v="4"/>
    <n v="29337.71"/>
  </r>
  <r>
    <x v="24"/>
    <x v="18"/>
    <s v="Electric Generators, Independent Power Producers"/>
    <x v="8"/>
    <n v="85128.5"/>
  </r>
  <r>
    <x v="24"/>
    <x v="18"/>
    <s v="Electric Generators, Electric Utilities"/>
    <x v="0"/>
    <n v="58518271"/>
  </r>
  <r>
    <x v="24"/>
    <x v="18"/>
    <s v="Electric Generators, Electric Utilities"/>
    <x v="1"/>
    <n v="8537587.7100000009"/>
  </r>
  <r>
    <x v="24"/>
    <x v="18"/>
    <s v="Electric Generators, Electric Utilities"/>
    <x v="3"/>
    <n v="27877966.190000001"/>
  </r>
  <r>
    <x v="24"/>
    <x v="18"/>
    <s v="Electric Generators, Electric Utilities"/>
    <x v="7"/>
    <n v="17311330"/>
  </r>
  <r>
    <x v="24"/>
    <x v="18"/>
    <s v="Electric Generators, Electric Utilities"/>
    <x v="4"/>
    <n v="4791387.0999999996"/>
  </r>
  <r>
    <x v="24"/>
    <x v="19"/>
    <s v="Total Electric Power Industry"/>
    <x v="0"/>
    <n v="31118591.32"/>
  </r>
  <r>
    <x v="24"/>
    <x v="19"/>
    <s v="Total Electric Power Industry"/>
    <x v="1"/>
    <n v="2794889"/>
  </r>
  <r>
    <x v="24"/>
    <x v="19"/>
    <s v="Total Electric Power Industry"/>
    <x v="10"/>
    <n v="-458158"/>
  </r>
  <r>
    <x v="24"/>
    <x v="19"/>
    <s v="Total Electric Power Industry"/>
    <x v="2"/>
    <n v="902077.07"/>
  </r>
  <r>
    <x v="24"/>
    <x v="19"/>
    <s v="Total Electric Power Industry"/>
    <x v="3"/>
    <n v="18497714.68"/>
  </r>
  <r>
    <x v="24"/>
    <x v="19"/>
    <s v="Total Electric Power Industry"/>
    <x v="7"/>
    <n v="5769154"/>
  </r>
  <r>
    <x v="24"/>
    <x v="19"/>
    <s v="Total Electric Power Industry"/>
    <x v="12"/>
    <n v="878129.92"/>
  </r>
  <r>
    <x v="24"/>
    <x v="19"/>
    <s v="Total Electric Power Industry"/>
    <x v="4"/>
    <n v="1004833.68"/>
  </r>
  <r>
    <x v="24"/>
    <x v="19"/>
    <s v="Total Electric Power Industry"/>
    <x v="13"/>
    <n v="306321.39"/>
  </r>
  <r>
    <x v="24"/>
    <x v="19"/>
    <s v="Total Electric Power Industry"/>
    <x v="8"/>
    <n v="1073421.53"/>
  </r>
  <r>
    <x v="24"/>
    <x v="19"/>
    <s v="Total Electric Power Industry"/>
    <x v="5"/>
    <n v="224971.05"/>
  </r>
  <r>
    <x v="24"/>
    <x v="19"/>
    <s v="Total Electric Power Industry"/>
    <x v="6"/>
    <n v="125237.01"/>
  </r>
  <r>
    <x v="24"/>
    <x v="19"/>
    <s v="Combined Heat and Power, Industrial Power"/>
    <x v="0"/>
    <n v="151756.20000000001"/>
  </r>
  <r>
    <x v="24"/>
    <x v="19"/>
    <s v="Combined Heat and Power, Industrial Power"/>
    <x v="1"/>
    <n v="22664"/>
  </r>
  <r>
    <x v="24"/>
    <x v="19"/>
    <s v="Combined Heat and Power, Industrial Power"/>
    <x v="2"/>
    <n v="5669"/>
  </r>
  <r>
    <x v="24"/>
    <x v="19"/>
    <s v="Combined Heat and Power, Industrial Power"/>
    <x v="3"/>
    <n v="119447.74"/>
  </r>
  <r>
    <x v="24"/>
    <x v="19"/>
    <s v="Combined Heat and Power, Industrial Power"/>
    <x v="12"/>
    <n v="0"/>
  </r>
  <r>
    <x v="24"/>
    <x v="19"/>
    <s v="Combined Heat and Power, Industrial Power"/>
    <x v="4"/>
    <n v="988.46"/>
  </r>
  <r>
    <x v="24"/>
    <x v="19"/>
    <s v="Combined Heat and Power, Industrial Power"/>
    <x v="5"/>
    <n v="2987"/>
  </r>
  <r>
    <x v="24"/>
    <x v="19"/>
    <s v="Combined Heat and Power, Commercial Power"/>
    <x v="0"/>
    <n v="600218.99"/>
  </r>
  <r>
    <x v="24"/>
    <x v="19"/>
    <s v="Combined Heat and Power, Commercial Power"/>
    <x v="2"/>
    <n v="5145.07"/>
  </r>
  <r>
    <x v="24"/>
    <x v="19"/>
    <s v="Combined Heat and Power, Commercial Power"/>
    <x v="3"/>
    <n v="484627.39"/>
  </r>
  <r>
    <x v="24"/>
    <x v="19"/>
    <s v="Combined Heat and Power, Commercial Power"/>
    <x v="4"/>
    <n v="79599.320000000007"/>
  </r>
  <r>
    <x v="24"/>
    <x v="19"/>
    <s v="Combined Heat and Power, Commercial Power"/>
    <x v="13"/>
    <n v="4934.3900000000003"/>
  </r>
  <r>
    <x v="24"/>
    <x v="19"/>
    <s v="Combined Heat and Power, Commercial Power"/>
    <x v="8"/>
    <n v="1050.33"/>
  </r>
  <r>
    <x v="24"/>
    <x v="19"/>
    <s v="Combined Heat and Power, Commercial Power"/>
    <x v="5"/>
    <n v="24862.49"/>
  </r>
  <r>
    <x v="24"/>
    <x v="19"/>
    <s v="Combined Heat and Power, Electric Power"/>
    <x v="0"/>
    <n v="2532255"/>
  </r>
  <r>
    <x v="24"/>
    <x v="19"/>
    <s v="Combined Heat and Power, Electric Power"/>
    <x v="3"/>
    <n v="2493849.61"/>
  </r>
  <r>
    <x v="24"/>
    <x v="19"/>
    <s v="Combined Heat and Power, Electric Power"/>
    <x v="4"/>
    <n v="38405.39"/>
  </r>
  <r>
    <x v="24"/>
    <x v="19"/>
    <s v="Electric Generators, Independent Power Producers"/>
    <x v="0"/>
    <n v="27154375.530000001"/>
  </r>
  <r>
    <x v="24"/>
    <x v="19"/>
    <s v="Electric Generators, Independent Power Producers"/>
    <x v="1"/>
    <n v="2772225"/>
  </r>
  <r>
    <x v="24"/>
    <x v="19"/>
    <s v="Electric Generators, Independent Power Producers"/>
    <x v="10"/>
    <n v="-458158"/>
  </r>
  <r>
    <x v="24"/>
    <x v="19"/>
    <s v="Electric Generators, Independent Power Producers"/>
    <x v="2"/>
    <n v="715434"/>
  </r>
  <r>
    <x v="24"/>
    <x v="19"/>
    <s v="Electric Generators, Independent Power Producers"/>
    <x v="3"/>
    <n v="15100527.15"/>
  </r>
  <r>
    <x v="24"/>
    <x v="19"/>
    <s v="Electric Generators, Independent Power Producers"/>
    <x v="7"/>
    <n v="5769154"/>
  </r>
  <r>
    <x v="24"/>
    <x v="19"/>
    <s v="Electric Generators, Independent Power Producers"/>
    <x v="12"/>
    <n v="878129.92"/>
  </r>
  <r>
    <x v="24"/>
    <x v="19"/>
    <s v="Electric Generators, Independent Power Producers"/>
    <x v="4"/>
    <n v="754360.7"/>
  </r>
  <r>
    <x v="24"/>
    <x v="19"/>
    <s v="Electric Generators, Independent Power Producers"/>
    <x v="13"/>
    <n v="290228"/>
  </r>
  <r>
    <x v="24"/>
    <x v="19"/>
    <s v="Electric Generators, Independent Power Producers"/>
    <x v="8"/>
    <n v="1072371.2"/>
  </r>
  <r>
    <x v="24"/>
    <x v="19"/>
    <s v="Electric Generators, Independent Power Producers"/>
    <x v="5"/>
    <n v="134866.56"/>
  </r>
  <r>
    <x v="24"/>
    <x v="19"/>
    <s v="Electric Generators, Independent Power Producers"/>
    <x v="6"/>
    <n v="125237.01"/>
  </r>
  <r>
    <x v="24"/>
    <x v="19"/>
    <s v="Electric Generators, Electric Utilities"/>
    <x v="0"/>
    <n v="679985.6"/>
  </r>
  <r>
    <x v="24"/>
    <x v="19"/>
    <s v="Electric Generators, Electric Utilities"/>
    <x v="2"/>
    <n v="175829"/>
  </r>
  <r>
    <x v="24"/>
    <x v="19"/>
    <s v="Electric Generators, Electric Utilities"/>
    <x v="3"/>
    <n v="299262.78999999998"/>
  </r>
  <r>
    <x v="24"/>
    <x v="19"/>
    <s v="Electric Generators, Electric Utilities"/>
    <x v="4"/>
    <n v="131479.81"/>
  </r>
  <r>
    <x v="24"/>
    <x v="19"/>
    <s v="Electric Generators, Electric Utilities"/>
    <x v="13"/>
    <n v="11159"/>
  </r>
  <r>
    <x v="24"/>
    <x v="19"/>
    <s v="Electric Generators, Electric Utilities"/>
    <x v="5"/>
    <n v="62255"/>
  </r>
  <r>
    <x v="24"/>
    <x v="20"/>
    <s v="Total Electric Power Industry"/>
    <x v="0"/>
    <n v="37833652.420000002"/>
  </r>
  <r>
    <x v="24"/>
    <x v="20"/>
    <s v="Total Electric Power Industry"/>
    <x v="1"/>
    <n v="17603290.899999999"/>
  </r>
  <r>
    <x v="24"/>
    <x v="20"/>
    <s v="Total Electric Power Industry"/>
    <x v="2"/>
    <n v="1615523"/>
  </r>
  <r>
    <x v="24"/>
    <x v="20"/>
    <s v="Total Electric Power Industry"/>
    <x v="3"/>
    <n v="2505890.2999999998"/>
  </r>
  <r>
    <x v="24"/>
    <x v="20"/>
    <s v="Total Electric Power Industry"/>
    <x v="7"/>
    <n v="14343334"/>
  </r>
  <r>
    <x v="24"/>
    <x v="20"/>
    <s v="Total Electric Power Industry"/>
    <x v="12"/>
    <n v="313284.15999999997"/>
  </r>
  <r>
    <x v="24"/>
    <x v="20"/>
    <s v="Total Electric Power Industry"/>
    <x v="4"/>
    <n v="463455.62"/>
  </r>
  <r>
    <x v="24"/>
    <x v="20"/>
    <s v="Total Electric Power Industry"/>
    <x v="13"/>
    <n v="98117.72"/>
  </r>
  <r>
    <x v="24"/>
    <x v="20"/>
    <s v="Total Electric Power Industry"/>
    <x v="8"/>
    <n v="416718.83"/>
  </r>
  <r>
    <x v="24"/>
    <x v="20"/>
    <s v="Total Electric Power Industry"/>
    <x v="5"/>
    <n v="323612.34000000003"/>
  </r>
  <r>
    <x v="24"/>
    <x v="20"/>
    <s v="Total Electric Power Industry"/>
    <x v="6"/>
    <n v="150425.54"/>
  </r>
  <r>
    <x v="24"/>
    <x v="20"/>
    <s v="Combined Heat and Power, Industrial Power"/>
    <x v="0"/>
    <n v="349628"/>
  </r>
  <r>
    <x v="24"/>
    <x v="20"/>
    <s v="Combined Heat and Power, Industrial Power"/>
    <x v="1"/>
    <n v="157224.95999999999"/>
  </r>
  <r>
    <x v="24"/>
    <x v="20"/>
    <s v="Combined Heat and Power, Industrial Power"/>
    <x v="3"/>
    <n v="52923.17"/>
  </r>
  <r>
    <x v="24"/>
    <x v="20"/>
    <s v="Combined Heat and Power, Industrial Power"/>
    <x v="4"/>
    <n v="1370.56"/>
  </r>
  <r>
    <x v="24"/>
    <x v="20"/>
    <s v="Combined Heat and Power, Industrial Power"/>
    <x v="6"/>
    <n v="138109.31"/>
  </r>
  <r>
    <x v="24"/>
    <x v="20"/>
    <s v="Combined Heat and Power, Commercial Power"/>
    <x v="0"/>
    <n v="414490.83"/>
  </r>
  <r>
    <x v="24"/>
    <x v="20"/>
    <s v="Combined Heat and Power, Commercial Power"/>
    <x v="1"/>
    <n v="2214.6799999999998"/>
  </r>
  <r>
    <x v="24"/>
    <x v="20"/>
    <s v="Combined Heat and Power, Commercial Power"/>
    <x v="3"/>
    <n v="364262.66"/>
  </r>
  <r>
    <x v="24"/>
    <x v="20"/>
    <s v="Combined Heat and Power, Commercial Power"/>
    <x v="12"/>
    <n v="400.2"/>
  </r>
  <r>
    <x v="24"/>
    <x v="20"/>
    <s v="Combined Heat and Power, Commercial Power"/>
    <x v="4"/>
    <n v="22595.94"/>
  </r>
  <r>
    <x v="24"/>
    <x v="20"/>
    <s v="Combined Heat and Power, Commercial Power"/>
    <x v="13"/>
    <n v="3566.97"/>
  </r>
  <r>
    <x v="24"/>
    <x v="20"/>
    <s v="Combined Heat and Power, Commercial Power"/>
    <x v="8"/>
    <n v="9134.14"/>
  </r>
  <r>
    <x v="24"/>
    <x v="20"/>
    <s v="Combined Heat and Power, Commercial Power"/>
    <x v="6"/>
    <n v="12316.23"/>
  </r>
  <r>
    <x v="24"/>
    <x v="20"/>
    <s v="Combined Heat and Power, Electric Power"/>
    <x v="0"/>
    <n v="2694498.5"/>
  </r>
  <r>
    <x v="24"/>
    <x v="20"/>
    <s v="Combined Heat and Power, Electric Power"/>
    <x v="1"/>
    <n v="1262803.1399999999"/>
  </r>
  <r>
    <x v="24"/>
    <x v="20"/>
    <s v="Combined Heat and Power, Electric Power"/>
    <x v="3"/>
    <n v="1103709.52"/>
  </r>
  <r>
    <x v="24"/>
    <x v="20"/>
    <s v="Combined Heat and Power, Electric Power"/>
    <x v="12"/>
    <n v="158314.70000000001"/>
  </r>
  <r>
    <x v="24"/>
    <x v="20"/>
    <s v="Combined Heat and Power, Electric Power"/>
    <x v="4"/>
    <n v="4891.84"/>
  </r>
  <r>
    <x v="24"/>
    <x v="20"/>
    <s v="Combined Heat and Power, Electric Power"/>
    <x v="8"/>
    <n v="164779.29999999999"/>
  </r>
  <r>
    <x v="24"/>
    <x v="20"/>
    <s v="Combined Heat and Power, Electric Power"/>
    <x v="6"/>
    <n v="0"/>
  </r>
  <r>
    <x v="24"/>
    <x v="20"/>
    <s v="Electric Generators, Independent Power Producers"/>
    <x v="0"/>
    <n v="34354775.090000004"/>
  </r>
  <r>
    <x v="24"/>
    <x v="20"/>
    <s v="Electric Generators, Independent Power Producers"/>
    <x v="1"/>
    <n v="16181048.130000001"/>
  </r>
  <r>
    <x v="24"/>
    <x v="20"/>
    <s v="Electric Generators, Independent Power Producers"/>
    <x v="2"/>
    <n v="1615523"/>
  </r>
  <r>
    <x v="24"/>
    <x v="20"/>
    <s v="Electric Generators, Independent Power Producers"/>
    <x v="3"/>
    <n v="984994.94"/>
  </r>
  <r>
    <x v="24"/>
    <x v="20"/>
    <s v="Electric Generators, Independent Power Producers"/>
    <x v="7"/>
    <n v="14343334"/>
  </r>
  <r>
    <x v="24"/>
    <x v="20"/>
    <s v="Electric Generators, Independent Power Producers"/>
    <x v="12"/>
    <n v="154569.26"/>
  </r>
  <r>
    <x v="24"/>
    <x v="20"/>
    <s v="Electric Generators, Independent Power Producers"/>
    <x v="4"/>
    <n v="422881.28000000003"/>
  </r>
  <r>
    <x v="24"/>
    <x v="20"/>
    <s v="Electric Generators, Independent Power Producers"/>
    <x v="13"/>
    <n v="86006.75"/>
  </r>
  <r>
    <x v="24"/>
    <x v="20"/>
    <s v="Electric Generators, Independent Power Producers"/>
    <x v="8"/>
    <n v="242805.39"/>
  </r>
  <r>
    <x v="24"/>
    <x v="20"/>
    <s v="Electric Generators, Independent Power Producers"/>
    <x v="5"/>
    <n v="323612.34000000003"/>
  </r>
  <r>
    <x v="24"/>
    <x v="20"/>
    <s v="Electric Generators, Electric Utilities"/>
    <x v="0"/>
    <n v="20260"/>
  </r>
  <r>
    <x v="24"/>
    <x v="20"/>
    <s v="Electric Generators, Electric Utilities"/>
    <x v="3"/>
    <n v="0"/>
  </r>
  <r>
    <x v="24"/>
    <x v="20"/>
    <s v="Electric Generators, Electric Utilities"/>
    <x v="4"/>
    <n v="11716"/>
  </r>
  <r>
    <x v="24"/>
    <x v="20"/>
    <s v="Electric Generators, Electric Utilities"/>
    <x v="13"/>
    <n v="8544"/>
  </r>
  <r>
    <x v="24"/>
    <x v="21"/>
    <s v="Total Electric Power Industry"/>
    <x v="0"/>
    <n v="13248709.890000001"/>
  </r>
  <r>
    <x v="24"/>
    <x v="21"/>
    <s v="Total Electric Power Industry"/>
    <x v="1"/>
    <n v="79103.92"/>
  </r>
  <r>
    <x v="24"/>
    <x v="21"/>
    <s v="Total Electric Power Industry"/>
    <x v="2"/>
    <n v="3623248.5"/>
  </r>
  <r>
    <x v="24"/>
    <x v="21"/>
    <s v="Total Electric Power Industry"/>
    <x v="3"/>
    <n v="4344381.3600000003"/>
  </r>
  <r>
    <x v="24"/>
    <x v="21"/>
    <s v="Total Electric Power Industry"/>
    <x v="12"/>
    <n v="405129.34"/>
  </r>
  <r>
    <x v="24"/>
    <x v="21"/>
    <s v="Total Electric Power Industry"/>
    <x v="4"/>
    <n v="305132.01"/>
  </r>
  <r>
    <x v="24"/>
    <x v="21"/>
    <s v="Total Electric Power Industry"/>
    <x v="8"/>
    <n v="205386.01"/>
  </r>
  <r>
    <x v="24"/>
    <x v="21"/>
    <s v="Total Electric Power Industry"/>
    <x v="5"/>
    <n v="1097329"/>
  </r>
  <r>
    <x v="24"/>
    <x v="21"/>
    <s v="Total Electric Power Industry"/>
    <x v="6"/>
    <n v="3188999.76"/>
  </r>
  <r>
    <x v="24"/>
    <x v="21"/>
    <s v="Combined Heat and Power, Industrial Power"/>
    <x v="0"/>
    <n v="3236281.98"/>
  </r>
  <r>
    <x v="24"/>
    <x v="21"/>
    <s v="Combined Heat and Power, Industrial Power"/>
    <x v="1"/>
    <n v="30296.58"/>
  </r>
  <r>
    <x v="24"/>
    <x v="21"/>
    <s v="Combined Heat and Power, Industrial Power"/>
    <x v="2"/>
    <n v="391890.59"/>
  </r>
  <r>
    <x v="24"/>
    <x v="21"/>
    <s v="Combined Heat and Power, Industrial Power"/>
    <x v="3"/>
    <n v="966426.08"/>
  </r>
  <r>
    <x v="24"/>
    <x v="21"/>
    <s v="Combined Heat and Power, Industrial Power"/>
    <x v="12"/>
    <n v="131925.04"/>
  </r>
  <r>
    <x v="24"/>
    <x v="21"/>
    <s v="Combined Heat and Power, Industrial Power"/>
    <x v="4"/>
    <n v="41148.129999999997"/>
  </r>
  <r>
    <x v="24"/>
    <x v="21"/>
    <s v="Combined Heat and Power, Industrial Power"/>
    <x v="8"/>
    <n v="27813.599999999999"/>
  </r>
  <r>
    <x v="24"/>
    <x v="21"/>
    <s v="Combined Heat and Power, Industrial Power"/>
    <x v="6"/>
    <n v="1646781.96"/>
  </r>
  <r>
    <x v="24"/>
    <x v="21"/>
    <s v="Combined Heat and Power, Commercial Power"/>
    <x v="0"/>
    <n v="207801"/>
  </r>
  <r>
    <x v="24"/>
    <x v="21"/>
    <s v="Combined Heat and Power, Commercial Power"/>
    <x v="3"/>
    <n v="25509.39"/>
  </r>
  <r>
    <x v="24"/>
    <x v="21"/>
    <s v="Combined Heat and Power, Commercial Power"/>
    <x v="12"/>
    <n v="86867.87"/>
  </r>
  <r>
    <x v="24"/>
    <x v="21"/>
    <s v="Combined Heat and Power, Commercial Power"/>
    <x v="4"/>
    <n v="2291.5"/>
  </r>
  <r>
    <x v="24"/>
    <x v="21"/>
    <s v="Combined Heat and Power, Commercial Power"/>
    <x v="8"/>
    <n v="90413.82"/>
  </r>
  <r>
    <x v="24"/>
    <x v="21"/>
    <s v="Combined Heat and Power, Commercial Power"/>
    <x v="6"/>
    <n v="2718.42"/>
  </r>
  <r>
    <x v="24"/>
    <x v="21"/>
    <s v="Combined Heat and Power, Electric Power"/>
    <x v="0"/>
    <n v="588453"/>
  </r>
  <r>
    <x v="24"/>
    <x v="21"/>
    <s v="Combined Heat and Power, Electric Power"/>
    <x v="1"/>
    <n v="48807.34"/>
  </r>
  <r>
    <x v="24"/>
    <x v="21"/>
    <s v="Combined Heat and Power, Electric Power"/>
    <x v="12"/>
    <n v="143597.79"/>
  </r>
  <r>
    <x v="24"/>
    <x v="21"/>
    <s v="Combined Heat and Power, Electric Power"/>
    <x v="4"/>
    <n v="5828.77"/>
  </r>
  <r>
    <x v="24"/>
    <x v="21"/>
    <s v="Combined Heat and Power, Electric Power"/>
    <x v="8"/>
    <n v="4394.18"/>
  </r>
  <r>
    <x v="24"/>
    <x v="21"/>
    <s v="Combined Heat and Power, Electric Power"/>
    <x v="6"/>
    <n v="385824.92"/>
  </r>
  <r>
    <x v="24"/>
    <x v="21"/>
    <s v="Electric Generators, Independent Power Producers"/>
    <x v="0"/>
    <n v="9215650.9100000001"/>
  </r>
  <r>
    <x v="24"/>
    <x v="21"/>
    <s v="Electric Generators, Independent Power Producers"/>
    <x v="2"/>
    <n v="3231357.91"/>
  </r>
  <r>
    <x v="24"/>
    <x v="21"/>
    <s v="Electric Generators, Independent Power Producers"/>
    <x v="3"/>
    <n v="3352445.9"/>
  </r>
  <r>
    <x v="24"/>
    <x v="21"/>
    <s v="Electric Generators, Independent Power Producers"/>
    <x v="12"/>
    <n v="42738.64"/>
  </r>
  <r>
    <x v="24"/>
    <x v="21"/>
    <s v="Electric Generators, Independent Power Producers"/>
    <x v="4"/>
    <n v="255340.6"/>
  </r>
  <r>
    <x v="24"/>
    <x v="21"/>
    <s v="Electric Generators, Independent Power Producers"/>
    <x v="8"/>
    <n v="82764.41"/>
  </r>
  <r>
    <x v="24"/>
    <x v="21"/>
    <s v="Electric Generators, Independent Power Producers"/>
    <x v="5"/>
    <n v="1097329"/>
  </r>
  <r>
    <x v="24"/>
    <x v="21"/>
    <s v="Electric Generators, Independent Power Producers"/>
    <x v="6"/>
    <n v="1153674.45"/>
  </r>
  <r>
    <x v="24"/>
    <x v="21"/>
    <s v="Electric Generators, Electric Utilities"/>
    <x v="0"/>
    <n v="523"/>
  </r>
  <r>
    <x v="24"/>
    <x v="21"/>
    <s v="Electric Generators, Electric Utilities"/>
    <x v="4"/>
    <n v="523"/>
  </r>
  <r>
    <x v="24"/>
    <x v="22"/>
    <s v="Total Electric Power Industry"/>
    <x v="0"/>
    <n v="106816991.01000001"/>
  </r>
  <r>
    <x v="24"/>
    <x v="22"/>
    <s v="Total Electric Power Industry"/>
    <x v="1"/>
    <n v="52899844.18"/>
  </r>
  <r>
    <x v="24"/>
    <x v="22"/>
    <s v="Total Electric Power Industry"/>
    <x v="10"/>
    <n v="-700889"/>
  </r>
  <r>
    <x v="24"/>
    <x v="22"/>
    <s v="Total Electric Power Industry"/>
    <x v="2"/>
    <n v="1600022"/>
  </r>
  <r>
    <x v="24"/>
    <x v="22"/>
    <s v="Total Electric Power Industry"/>
    <x v="3"/>
    <n v="12522836.99"/>
  </r>
  <r>
    <x v="24"/>
    <x v="22"/>
    <s v="Total Electric Power Industry"/>
    <x v="7"/>
    <n v="31245848"/>
  </r>
  <r>
    <x v="24"/>
    <x v="22"/>
    <s v="Total Electric Power Industry"/>
    <x v="9"/>
    <n v="1119846.17"/>
  </r>
  <r>
    <x v="24"/>
    <x v="22"/>
    <s v="Total Electric Power Industry"/>
    <x v="12"/>
    <n v="403800.65"/>
  </r>
  <r>
    <x v="24"/>
    <x v="22"/>
    <s v="Total Electric Power Industry"/>
    <x v="4"/>
    <n v="1051330.1399999999"/>
  </r>
  <r>
    <x v="24"/>
    <x v="22"/>
    <s v="Total Electric Power Industry"/>
    <x v="8"/>
    <n v="1055105.52"/>
  </r>
  <r>
    <x v="24"/>
    <x v="22"/>
    <s v="Total Electric Power Industry"/>
    <x v="5"/>
    <n v="3868117.67"/>
  </r>
  <r>
    <x v="24"/>
    <x v="22"/>
    <s v="Total Electric Power Industry"/>
    <x v="6"/>
    <n v="1751128.69"/>
  </r>
  <r>
    <x v="24"/>
    <x v="22"/>
    <s v="Combined Heat and Power, Industrial Power"/>
    <x v="0"/>
    <n v="1350907.42"/>
  </r>
  <r>
    <x v="24"/>
    <x v="22"/>
    <s v="Combined Heat and Power, Industrial Power"/>
    <x v="1"/>
    <n v="175254.96"/>
  </r>
  <r>
    <x v="24"/>
    <x v="22"/>
    <s v="Combined Heat and Power, Industrial Power"/>
    <x v="2"/>
    <n v="28948"/>
  </r>
  <r>
    <x v="24"/>
    <x v="22"/>
    <s v="Combined Heat and Power, Industrial Power"/>
    <x v="3"/>
    <n v="180116.22"/>
  </r>
  <r>
    <x v="24"/>
    <x v="22"/>
    <s v="Combined Heat and Power, Industrial Power"/>
    <x v="12"/>
    <n v="40789.82"/>
  </r>
  <r>
    <x v="24"/>
    <x v="22"/>
    <s v="Combined Heat and Power, Industrial Power"/>
    <x v="4"/>
    <n v="165887.54"/>
  </r>
  <r>
    <x v="24"/>
    <x v="22"/>
    <s v="Combined Heat and Power, Industrial Power"/>
    <x v="8"/>
    <n v="5135.5200000000004"/>
  </r>
  <r>
    <x v="24"/>
    <x v="22"/>
    <s v="Combined Heat and Power, Industrial Power"/>
    <x v="6"/>
    <n v="754775.37"/>
  </r>
  <r>
    <x v="24"/>
    <x v="22"/>
    <s v="Combined Heat and Power, Commercial Power"/>
    <x v="0"/>
    <n v="971778.47"/>
  </r>
  <r>
    <x v="24"/>
    <x v="22"/>
    <s v="Combined Heat and Power, Commercial Power"/>
    <x v="1"/>
    <n v="78817.509999999995"/>
  </r>
  <r>
    <x v="24"/>
    <x v="22"/>
    <s v="Combined Heat and Power, Commercial Power"/>
    <x v="3"/>
    <n v="517682.59"/>
  </r>
  <r>
    <x v="24"/>
    <x v="22"/>
    <s v="Combined Heat and Power, Commercial Power"/>
    <x v="12"/>
    <n v="178836.07"/>
  </r>
  <r>
    <x v="24"/>
    <x v="22"/>
    <s v="Combined Heat and Power, Commercial Power"/>
    <x v="4"/>
    <n v="1867.29"/>
  </r>
  <r>
    <x v="24"/>
    <x v="22"/>
    <s v="Combined Heat and Power, Commercial Power"/>
    <x v="8"/>
    <n v="186139.22"/>
  </r>
  <r>
    <x v="24"/>
    <x v="22"/>
    <s v="Combined Heat and Power, Commercial Power"/>
    <x v="6"/>
    <n v="8435.7900000000009"/>
  </r>
  <r>
    <x v="24"/>
    <x v="22"/>
    <s v="Combined Heat and Power, Electric Power"/>
    <x v="0"/>
    <n v="7631138.1600000001"/>
  </r>
  <r>
    <x v="24"/>
    <x v="22"/>
    <s v="Combined Heat and Power, Electric Power"/>
    <x v="1"/>
    <n v="368881.21"/>
  </r>
  <r>
    <x v="24"/>
    <x v="22"/>
    <s v="Combined Heat and Power, Electric Power"/>
    <x v="3"/>
    <n v="6101896.0199999996"/>
  </r>
  <r>
    <x v="24"/>
    <x v="22"/>
    <s v="Combined Heat and Power, Electric Power"/>
    <x v="9"/>
    <n v="1027848.68"/>
  </r>
  <r>
    <x v="24"/>
    <x v="22"/>
    <s v="Combined Heat and Power, Electric Power"/>
    <x v="12"/>
    <n v="54572.2"/>
  </r>
  <r>
    <x v="24"/>
    <x v="22"/>
    <s v="Combined Heat and Power, Electric Power"/>
    <x v="4"/>
    <n v="49527.24"/>
  </r>
  <r>
    <x v="24"/>
    <x v="22"/>
    <s v="Combined Heat and Power, Electric Power"/>
    <x v="8"/>
    <n v="3659"/>
  </r>
  <r>
    <x v="24"/>
    <x v="22"/>
    <s v="Combined Heat and Power, Electric Power"/>
    <x v="6"/>
    <n v="24753.81"/>
  </r>
  <r>
    <x v="24"/>
    <x v="22"/>
    <s v="Electric Generators, Independent Power Producers"/>
    <x v="0"/>
    <n v="12787844.949999999"/>
  </r>
  <r>
    <x v="24"/>
    <x v="22"/>
    <s v="Electric Generators, Independent Power Producers"/>
    <x v="1"/>
    <n v="1618.91"/>
  </r>
  <r>
    <x v="24"/>
    <x v="22"/>
    <s v="Electric Generators, Independent Power Producers"/>
    <x v="2"/>
    <n v="103468"/>
  </r>
  <r>
    <x v="24"/>
    <x v="22"/>
    <s v="Electric Generators, Independent Power Producers"/>
    <x v="3"/>
    <n v="2398071.9700000002"/>
  </r>
  <r>
    <x v="24"/>
    <x v="22"/>
    <s v="Electric Generators, Independent Power Producers"/>
    <x v="7"/>
    <n v="5822926"/>
  </r>
  <r>
    <x v="24"/>
    <x v="22"/>
    <s v="Electric Generators, Independent Power Producers"/>
    <x v="12"/>
    <n v="97446.75"/>
  </r>
  <r>
    <x v="24"/>
    <x v="22"/>
    <s v="Electric Generators, Independent Power Producers"/>
    <x v="4"/>
    <n v="0"/>
  </r>
  <r>
    <x v="24"/>
    <x v="22"/>
    <s v="Electric Generators, Independent Power Producers"/>
    <x v="8"/>
    <n v="860171.78"/>
  </r>
  <r>
    <x v="24"/>
    <x v="22"/>
    <s v="Electric Generators, Independent Power Producers"/>
    <x v="5"/>
    <n v="2540988.67"/>
  </r>
  <r>
    <x v="24"/>
    <x v="22"/>
    <s v="Electric Generators, Independent Power Producers"/>
    <x v="6"/>
    <n v="963152.88"/>
  </r>
  <r>
    <x v="24"/>
    <x v="22"/>
    <s v="Electric Generators, Electric Utilities"/>
    <x v="0"/>
    <n v="84075322"/>
  </r>
  <r>
    <x v="24"/>
    <x v="22"/>
    <s v="Electric Generators, Electric Utilities"/>
    <x v="1"/>
    <n v="52275271.590000004"/>
  </r>
  <r>
    <x v="24"/>
    <x v="22"/>
    <s v="Electric Generators, Electric Utilities"/>
    <x v="10"/>
    <n v="-700889"/>
  </r>
  <r>
    <x v="24"/>
    <x v="22"/>
    <s v="Electric Generators, Electric Utilities"/>
    <x v="2"/>
    <n v="1467606"/>
  </r>
  <r>
    <x v="24"/>
    <x v="22"/>
    <s v="Electric Generators, Electric Utilities"/>
    <x v="3"/>
    <n v="3325070.19"/>
  </r>
  <r>
    <x v="24"/>
    <x v="22"/>
    <s v="Electric Generators, Electric Utilities"/>
    <x v="7"/>
    <n v="25422922"/>
  </r>
  <r>
    <x v="24"/>
    <x v="22"/>
    <s v="Electric Generators, Electric Utilities"/>
    <x v="9"/>
    <n v="91997.49"/>
  </r>
  <r>
    <x v="24"/>
    <x v="22"/>
    <s v="Electric Generators, Electric Utilities"/>
    <x v="12"/>
    <n v="32155.82"/>
  </r>
  <r>
    <x v="24"/>
    <x v="22"/>
    <s v="Electric Generators, Electric Utilities"/>
    <x v="4"/>
    <n v="834048.07"/>
  </r>
  <r>
    <x v="24"/>
    <x v="22"/>
    <s v="Electric Generators, Electric Utilities"/>
    <x v="8"/>
    <n v="0"/>
  </r>
  <r>
    <x v="24"/>
    <x v="22"/>
    <s v="Electric Generators, Electric Utilities"/>
    <x v="5"/>
    <n v="1327129"/>
  </r>
  <r>
    <x v="24"/>
    <x v="22"/>
    <s v="Electric Generators, Electric Utilities"/>
    <x v="6"/>
    <n v="10.85"/>
  </r>
  <r>
    <x v="24"/>
    <x v="23"/>
    <s v="Total Electric Power Industry"/>
    <x v="0"/>
    <n v="56998329.960000001"/>
  </r>
  <r>
    <x v="24"/>
    <x v="23"/>
    <s v="Total Electric Power Industry"/>
    <x v="1"/>
    <n v="27956679.219999999"/>
  </r>
  <r>
    <x v="24"/>
    <x v="23"/>
    <s v="Total Electric Power Industry"/>
    <x v="2"/>
    <n v="548488.18000000005"/>
  </r>
  <r>
    <x v="24"/>
    <x v="23"/>
    <s v="Total Electric Power Industry"/>
    <x v="3"/>
    <n v="3869632.57"/>
  </r>
  <r>
    <x v="24"/>
    <x v="23"/>
    <s v="Total Electric Power Industry"/>
    <x v="7"/>
    <n v="12707166"/>
  </r>
  <r>
    <x v="24"/>
    <x v="23"/>
    <s v="Total Electric Power Industry"/>
    <x v="12"/>
    <n v="396987.49"/>
  </r>
  <r>
    <x v="24"/>
    <x v="23"/>
    <s v="Total Electric Power Industry"/>
    <x v="4"/>
    <n v="62536.480000000003"/>
  </r>
  <r>
    <x v="24"/>
    <x v="23"/>
    <s v="Total Electric Power Industry"/>
    <x v="13"/>
    <n v="2653"/>
  </r>
  <r>
    <x v="24"/>
    <x v="23"/>
    <s v="Total Electric Power Industry"/>
    <x v="8"/>
    <n v="614241.07999999996"/>
  </r>
  <r>
    <x v="24"/>
    <x v="23"/>
    <s v="Total Electric Power Industry"/>
    <x v="5"/>
    <n v="9691019.1099999994"/>
  </r>
  <r>
    <x v="24"/>
    <x v="23"/>
    <s v="Total Electric Power Industry"/>
    <x v="6"/>
    <n v="1148926.83"/>
  </r>
  <r>
    <x v="24"/>
    <x v="23"/>
    <s v="Combined Heat and Power, Industrial Power"/>
    <x v="0"/>
    <n v="1383518.54"/>
  </r>
  <r>
    <x v="24"/>
    <x v="23"/>
    <s v="Combined Heat and Power, Industrial Power"/>
    <x v="1"/>
    <n v="700189.04"/>
  </r>
  <r>
    <x v="24"/>
    <x v="23"/>
    <s v="Combined Heat and Power, Industrial Power"/>
    <x v="2"/>
    <n v="19382.79"/>
  </r>
  <r>
    <x v="24"/>
    <x v="23"/>
    <s v="Combined Heat and Power, Industrial Power"/>
    <x v="3"/>
    <n v="65243.54"/>
  </r>
  <r>
    <x v="24"/>
    <x v="23"/>
    <s v="Combined Heat and Power, Industrial Power"/>
    <x v="12"/>
    <n v="60333"/>
  </r>
  <r>
    <x v="24"/>
    <x v="23"/>
    <s v="Combined Heat and Power, Industrial Power"/>
    <x v="4"/>
    <n v="1273.95"/>
  </r>
  <r>
    <x v="24"/>
    <x v="23"/>
    <s v="Combined Heat and Power, Industrial Power"/>
    <x v="8"/>
    <n v="5967.55"/>
  </r>
  <r>
    <x v="24"/>
    <x v="23"/>
    <s v="Combined Heat and Power, Industrial Power"/>
    <x v="6"/>
    <n v="531128.68999999994"/>
  </r>
  <r>
    <x v="24"/>
    <x v="23"/>
    <s v="Combined Heat and Power, Commercial Power"/>
    <x v="0"/>
    <n v="214944.88"/>
  </r>
  <r>
    <x v="24"/>
    <x v="23"/>
    <s v="Combined Heat and Power, Commercial Power"/>
    <x v="1"/>
    <n v="8725.3700000000008"/>
  </r>
  <r>
    <x v="24"/>
    <x v="23"/>
    <s v="Combined Heat and Power, Commercial Power"/>
    <x v="3"/>
    <n v="110492.03"/>
  </r>
  <r>
    <x v="24"/>
    <x v="23"/>
    <s v="Combined Heat and Power, Commercial Power"/>
    <x v="12"/>
    <n v="30438.59"/>
  </r>
  <r>
    <x v="24"/>
    <x v="23"/>
    <s v="Combined Heat and Power, Commercial Power"/>
    <x v="4"/>
    <n v="4687.2700000000004"/>
  </r>
  <r>
    <x v="24"/>
    <x v="23"/>
    <s v="Combined Heat and Power, Commercial Power"/>
    <x v="8"/>
    <n v="18512.509999999998"/>
  </r>
  <r>
    <x v="24"/>
    <x v="23"/>
    <s v="Combined Heat and Power, Commercial Power"/>
    <x v="5"/>
    <n v="30436"/>
  </r>
  <r>
    <x v="24"/>
    <x v="23"/>
    <s v="Combined Heat and Power, Commercial Power"/>
    <x v="6"/>
    <n v="11653.12"/>
  </r>
  <r>
    <x v="24"/>
    <x v="23"/>
    <s v="Combined Heat and Power, Electric Power"/>
    <x v="0"/>
    <n v="435650"/>
  </r>
  <r>
    <x v="24"/>
    <x v="23"/>
    <s v="Combined Heat and Power, Electric Power"/>
    <x v="3"/>
    <n v="187025.75"/>
  </r>
  <r>
    <x v="24"/>
    <x v="23"/>
    <s v="Combined Heat and Power, Electric Power"/>
    <x v="4"/>
    <n v="0"/>
  </r>
  <r>
    <x v="24"/>
    <x v="23"/>
    <s v="Combined Heat and Power, Electric Power"/>
    <x v="8"/>
    <n v="46117.71"/>
  </r>
  <r>
    <x v="24"/>
    <x v="23"/>
    <s v="Combined Heat and Power, Electric Power"/>
    <x v="6"/>
    <n v="202506.54"/>
  </r>
  <r>
    <x v="24"/>
    <x v="23"/>
    <s v="Electric Generators, Independent Power Producers"/>
    <x v="0"/>
    <n v="9000946"/>
  </r>
  <r>
    <x v="24"/>
    <x v="23"/>
    <s v="Electric Generators, Independent Power Producers"/>
    <x v="2"/>
    <n v="180862"/>
  </r>
  <r>
    <x v="24"/>
    <x v="23"/>
    <s v="Electric Generators, Independent Power Producers"/>
    <x v="3"/>
    <n v="366600.74"/>
  </r>
  <r>
    <x v="24"/>
    <x v="23"/>
    <s v="Electric Generators, Independent Power Producers"/>
    <x v="12"/>
    <n v="133630.06"/>
  </r>
  <r>
    <x v="24"/>
    <x v="23"/>
    <s v="Electric Generators, Independent Power Producers"/>
    <x v="4"/>
    <n v="11800.09"/>
  </r>
  <r>
    <x v="24"/>
    <x v="23"/>
    <s v="Electric Generators, Independent Power Producers"/>
    <x v="13"/>
    <n v="2653"/>
  </r>
  <r>
    <x v="24"/>
    <x v="23"/>
    <s v="Electric Generators, Independent Power Producers"/>
    <x v="8"/>
    <n v="328844.90999999997"/>
  </r>
  <r>
    <x v="24"/>
    <x v="23"/>
    <s v="Electric Generators, Independent Power Producers"/>
    <x v="5"/>
    <n v="7719923"/>
  </r>
  <r>
    <x v="24"/>
    <x v="23"/>
    <s v="Electric Generators, Independent Power Producers"/>
    <x v="6"/>
    <n v="256632.2"/>
  </r>
  <r>
    <x v="24"/>
    <x v="23"/>
    <s v="Electric Generators, Electric Utilities"/>
    <x v="0"/>
    <n v="45963270.539999999"/>
  </r>
  <r>
    <x v="24"/>
    <x v="23"/>
    <s v="Electric Generators, Electric Utilities"/>
    <x v="1"/>
    <n v="27247764.809999999"/>
  </r>
  <r>
    <x v="24"/>
    <x v="23"/>
    <s v="Electric Generators, Electric Utilities"/>
    <x v="2"/>
    <n v="348243.39"/>
  </r>
  <r>
    <x v="24"/>
    <x v="23"/>
    <s v="Electric Generators, Electric Utilities"/>
    <x v="3"/>
    <n v="3140270.51"/>
  </r>
  <r>
    <x v="24"/>
    <x v="23"/>
    <s v="Electric Generators, Electric Utilities"/>
    <x v="7"/>
    <n v="12707166"/>
  </r>
  <r>
    <x v="24"/>
    <x v="23"/>
    <s v="Electric Generators, Electric Utilities"/>
    <x v="12"/>
    <n v="172585.84"/>
  </r>
  <r>
    <x v="24"/>
    <x v="23"/>
    <s v="Electric Generators, Electric Utilities"/>
    <x v="4"/>
    <n v="44775.18"/>
  </r>
  <r>
    <x v="24"/>
    <x v="23"/>
    <s v="Electric Generators, Electric Utilities"/>
    <x v="8"/>
    <n v="214798.41"/>
  </r>
  <r>
    <x v="24"/>
    <x v="23"/>
    <s v="Electric Generators, Electric Utilities"/>
    <x v="5"/>
    <n v="1940660.11"/>
  </r>
  <r>
    <x v="24"/>
    <x v="23"/>
    <s v="Electric Generators, Electric Utilities"/>
    <x v="6"/>
    <n v="147006.29"/>
  </r>
  <r>
    <x v="24"/>
    <x v="24"/>
    <s v="Total Electric Power Industry"/>
    <x v="0"/>
    <n v="87834468.209999993"/>
  </r>
  <r>
    <x v="24"/>
    <x v="24"/>
    <s v="Total Electric Power Industry"/>
    <x v="1"/>
    <n v="72409212.140000001"/>
  </r>
  <r>
    <x v="24"/>
    <x v="24"/>
    <s v="Total Electric Power Industry"/>
    <x v="10"/>
    <n v="18853"/>
  </r>
  <r>
    <x v="24"/>
    <x v="24"/>
    <s v="Total Electric Power Industry"/>
    <x v="2"/>
    <n v="697336"/>
  </r>
  <r>
    <x v="24"/>
    <x v="24"/>
    <s v="Total Electric Power Industry"/>
    <x v="3"/>
    <n v="4044294.38"/>
  </r>
  <r>
    <x v="24"/>
    <x v="24"/>
    <s v="Total Electric Power Industry"/>
    <x v="7"/>
    <n v="9276356"/>
  </r>
  <r>
    <x v="24"/>
    <x v="24"/>
    <s v="Total Electric Power Industry"/>
    <x v="12"/>
    <n v="26314.799999999999"/>
  </r>
  <r>
    <x v="24"/>
    <x v="24"/>
    <s v="Total Electric Power Industry"/>
    <x v="4"/>
    <n v="106655.32"/>
  </r>
  <r>
    <x v="24"/>
    <x v="24"/>
    <s v="Total Electric Power Industry"/>
    <x v="13"/>
    <n v="8707"/>
  </r>
  <r>
    <x v="24"/>
    <x v="24"/>
    <s v="Total Electric Power Industry"/>
    <x v="8"/>
    <n v="83225.75"/>
  </r>
  <r>
    <x v="24"/>
    <x v="24"/>
    <s v="Total Electric Power Industry"/>
    <x v="5"/>
    <n v="1131105"/>
  </r>
  <r>
    <x v="24"/>
    <x v="24"/>
    <s v="Total Electric Power Industry"/>
    <x v="6"/>
    <n v="32408.83"/>
  </r>
  <r>
    <x v="24"/>
    <x v="24"/>
    <s v="Combined Heat and Power, Industrial Power"/>
    <x v="0"/>
    <n v="51293"/>
  </r>
  <r>
    <x v="24"/>
    <x v="24"/>
    <s v="Combined Heat and Power, Industrial Power"/>
    <x v="1"/>
    <n v="44921.120000000003"/>
  </r>
  <r>
    <x v="24"/>
    <x v="24"/>
    <s v="Combined Heat and Power, Industrial Power"/>
    <x v="3"/>
    <n v="3077.32"/>
  </r>
  <r>
    <x v="24"/>
    <x v="24"/>
    <s v="Combined Heat and Power, Industrial Power"/>
    <x v="4"/>
    <n v="0"/>
  </r>
  <r>
    <x v="24"/>
    <x v="24"/>
    <s v="Combined Heat and Power, Industrial Power"/>
    <x v="8"/>
    <n v="3294.57"/>
  </r>
  <r>
    <x v="24"/>
    <x v="24"/>
    <s v="Combined Heat and Power, Industrial Power"/>
    <x v="6"/>
    <n v="0"/>
  </r>
  <r>
    <x v="24"/>
    <x v="24"/>
    <s v="Combined Heat and Power, Commercial Power"/>
    <x v="0"/>
    <n v="165276"/>
  </r>
  <r>
    <x v="24"/>
    <x v="24"/>
    <s v="Combined Heat and Power, Commercial Power"/>
    <x v="1"/>
    <n v="76175.199999999997"/>
  </r>
  <r>
    <x v="24"/>
    <x v="24"/>
    <s v="Combined Heat and Power, Commercial Power"/>
    <x v="3"/>
    <n v="56660.38"/>
  </r>
  <r>
    <x v="24"/>
    <x v="24"/>
    <s v="Combined Heat and Power, Commercial Power"/>
    <x v="12"/>
    <n v="0"/>
  </r>
  <r>
    <x v="24"/>
    <x v="24"/>
    <s v="Combined Heat and Power, Commercial Power"/>
    <x v="4"/>
    <n v="155"/>
  </r>
  <r>
    <x v="24"/>
    <x v="24"/>
    <s v="Combined Heat and Power, Commercial Power"/>
    <x v="6"/>
    <n v="32285.42"/>
  </r>
  <r>
    <x v="24"/>
    <x v="24"/>
    <s v="Combined Heat and Power, Electric Power"/>
    <x v="0"/>
    <n v="52279.81"/>
  </r>
  <r>
    <x v="24"/>
    <x v="24"/>
    <s v="Combined Heat and Power, Electric Power"/>
    <x v="1"/>
    <n v="30837.18"/>
  </r>
  <r>
    <x v="24"/>
    <x v="24"/>
    <s v="Combined Heat and Power, Electric Power"/>
    <x v="3"/>
    <n v="21442.63"/>
  </r>
  <r>
    <x v="24"/>
    <x v="24"/>
    <s v="Combined Heat and Power, Electric Power"/>
    <x v="4"/>
    <n v="0"/>
  </r>
  <r>
    <x v="24"/>
    <x v="24"/>
    <s v="Electric Generators, Independent Power Producers"/>
    <x v="0"/>
    <n v="2294366.02"/>
  </r>
  <r>
    <x v="24"/>
    <x v="24"/>
    <s v="Electric Generators, Independent Power Producers"/>
    <x v="1"/>
    <n v="190.59"/>
  </r>
  <r>
    <x v="24"/>
    <x v="24"/>
    <s v="Electric Generators, Independent Power Producers"/>
    <x v="3"/>
    <n v="1121523"/>
  </r>
  <r>
    <x v="24"/>
    <x v="24"/>
    <s v="Electric Generators, Independent Power Producers"/>
    <x v="4"/>
    <n v="0"/>
  </r>
  <r>
    <x v="24"/>
    <x v="24"/>
    <s v="Electric Generators, Independent Power Producers"/>
    <x v="13"/>
    <n v="8707"/>
  </r>
  <r>
    <x v="24"/>
    <x v="24"/>
    <s v="Electric Generators, Independent Power Producers"/>
    <x v="8"/>
    <n v="32717.02"/>
  </r>
  <r>
    <x v="24"/>
    <x v="24"/>
    <s v="Electric Generators, Independent Power Producers"/>
    <x v="5"/>
    <n v="1131105"/>
  </r>
  <r>
    <x v="24"/>
    <x v="24"/>
    <s v="Electric Generators, Independent Power Producers"/>
    <x v="6"/>
    <n v="123.41"/>
  </r>
  <r>
    <x v="24"/>
    <x v="24"/>
    <s v="Electric Generators, Electric Utilities"/>
    <x v="0"/>
    <n v="85271253.379999995"/>
  </r>
  <r>
    <x v="24"/>
    <x v="24"/>
    <s v="Electric Generators, Electric Utilities"/>
    <x v="1"/>
    <n v="72257088.049999997"/>
  </r>
  <r>
    <x v="24"/>
    <x v="24"/>
    <s v="Electric Generators, Electric Utilities"/>
    <x v="10"/>
    <n v="18853"/>
  </r>
  <r>
    <x v="24"/>
    <x v="24"/>
    <s v="Electric Generators, Electric Utilities"/>
    <x v="2"/>
    <n v="697336"/>
  </r>
  <r>
    <x v="24"/>
    <x v="24"/>
    <s v="Electric Generators, Electric Utilities"/>
    <x v="3"/>
    <n v="2841591.05"/>
  </r>
  <r>
    <x v="24"/>
    <x v="24"/>
    <s v="Electric Generators, Electric Utilities"/>
    <x v="7"/>
    <n v="9276356"/>
  </r>
  <r>
    <x v="24"/>
    <x v="24"/>
    <s v="Electric Generators, Electric Utilities"/>
    <x v="12"/>
    <n v="26314.799999999999"/>
  </r>
  <r>
    <x v="24"/>
    <x v="24"/>
    <s v="Electric Generators, Electric Utilities"/>
    <x v="4"/>
    <n v="106500.32"/>
  </r>
  <r>
    <x v="24"/>
    <x v="24"/>
    <s v="Electric Generators, Electric Utilities"/>
    <x v="8"/>
    <n v="47214.17"/>
  </r>
  <r>
    <x v="24"/>
    <x v="24"/>
    <s v="Electric Generators, Electric Utilities"/>
    <x v="6"/>
    <n v="0"/>
  </r>
  <r>
    <x v="24"/>
    <x v="25"/>
    <s v="Total Electric Power Industry"/>
    <x v="0"/>
    <n v="55127091.659999996"/>
  </r>
  <r>
    <x v="24"/>
    <x v="25"/>
    <s v="Total Electric Power Industry"/>
    <x v="1"/>
    <n v="10742565.85"/>
  </r>
  <r>
    <x v="24"/>
    <x v="25"/>
    <s v="Total Electric Power Industry"/>
    <x v="3"/>
    <n v="32605949.440000001"/>
  </r>
  <r>
    <x v="24"/>
    <x v="25"/>
    <s v="Total Electric Power Industry"/>
    <x v="7"/>
    <n v="10252183"/>
  </r>
  <r>
    <x v="24"/>
    <x v="25"/>
    <s v="Total Electric Power Industry"/>
    <x v="12"/>
    <n v="4343.96"/>
  </r>
  <r>
    <x v="24"/>
    <x v="25"/>
    <s v="Total Electric Power Industry"/>
    <x v="4"/>
    <n v="14100.86"/>
  </r>
  <r>
    <x v="24"/>
    <x v="25"/>
    <s v="Total Electric Power Industry"/>
    <x v="8"/>
    <n v="17345.259999999998"/>
  </r>
  <r>
    <x v="24"/>
    <x v="25"/>
    <s v="Total Electric Power Industry"/>
    <x v="6"/>
    <n v="1490603.3"/>
  </r>
  <r>
    <x v="24"/>
    <x v="25"/>
    <s v="Combined Heat and Power, Industrial Power"/>
    <x v="0"/>
    <n v="1830897.66"/>
  </r>
  <r>
    <x v="24"/>
    <x v="25"/>
    <s v="Combined Heat and Power, Industrial Power"/>
    <x v="1"/>
    <n v="0"/>
  </r>
  <r>
    <x v="24"/>
    <x v="25"/>
    <s v="Combined Heat and Power, Industrial Power"/>
    <x v="3"/>
    <n v="331351.33"/>
  </r>
  <r>
    <x v="24"/>
    <x v="25"/>
    <s v="Combined Heat and Power, Industrial Power"/>
    <x v="12"/>
    <n v="4343.96"/>
  </r>
  <r>
    <x v="24"/>
    <x v="25"/>
    <s v="Combined Heat and Power, Industrial Power"/>
    <x v="4"/>
    <n v="769.44"/>
  </r>
  <r>
    <x v="24"/>
    <x v="25"/>
    <s v="Combined Heat and Power, Industrial Power"/>
    <x v="8"/>
    <n v="4092.41"/>
  </r>
  <r>
    <x v="24"/>
    <x v="25"/>
    <s v="Combined Heat and Power, Industrial Power"/>
    <x v="6"/>
    <n v="1490340.53"/>
  </r>
  <r>
    <x v="24"/>
    <x v="25"/>
    <s v="Combined Heat and Power, Commercial Power"/>
    <x v="0"/>
    <n v="20988"/>
  </r>
  <r>
    <x v="24"/>
    <x v="25"/>
    <s v="Combined Heat and Power, Commercial Power"/>
    <x v="3"/>
    <n v="20988"/>
  </r>
  <r>
    <x v="24"/>
    <x v="25"/>
    <s v="Electric Generators, Independent Power Producers"/>
    <x v="0"/>
    <n v="6190824"/>
  </r>
  <r>
    <x v="24"/>
    <x v="25"/>
    <s v="Electric Generators, Independent Power Producers"/>
    <x v="1"/>
    <n v="2463998.15"/>
  </r>
  <r>
    <x v="24"/>
    <x v="25"/>
    <s v="Electric Generators, Independent Power Producers"/>
    <x v="3"/>
    <n v="3714200.85"/>
  </r>
  <r>
    <x v="24"/>
    <x v="25"/>
    <s v="Electric Generators, Independent Power Producers"/>
    <x v="8"/>
    <n v="12625"/>
  </r>
  <r>
    <x v="24"/>
    <x v="25"/>
    <s v="Electric Generators, Independent Power Producers"/>
    <x v="6"/>
    <n v="0"/>
  </r>
  <r>
    <x v="24"/>
    <x v="25"/>
    <s v="Electric Generators, Electric Utilities"/>
    <x v="0"/>
    <n v="47084382"/>
  </r>
  <r>
    <x v="24"/>
    <x v="25"/>
    <s v="Electric Generators, Electric Utilities"/>
    <x v="1"/>
    <n v="8278567.71"/>
  </r>
  <r>
    <x v="24"/>
    <x v="25"/>
    <s v="Electric Generators, Electric Utilities"/>
    <x v="3"/>
    <n v="28539409.25"/>
  </r>
  <r>
    <x v="24"/>
    <x v="25"/>
    <s v="Electric Generators, Electric Utilities"/>
    <x v="7"/>
    <n v="10252183"/>
  </r>
  <r>
    <x v="24"/>
    <x v="25"/>
    <s v="Electric Generators, Electric Utilities"/>
    <x v="4"/>
    <n v="13331.41"/>
  </r>
  <r>
    <x v="24"/>
    <x v="25"/>
    <s v="Electric Generators, Electric Utilities"/>
    <x v="8"/>
    <n v="627.86"/>
  </r>
  <r>
    <x v="24"/>
    <x v="25"/>
    <s v="Electric Generators, Electric Utilities"/>
    <x v="6"/>
    <n v="262.77"/>
  </r>
  <r>
    <x v="24"/>
    <x v="26"/>
    <s v="Total Electric Power Industry"/>
    <x v="0"/>
    <n v="30257616.079999998"/>
  </r>
  <r>
    <x v="24"/>
    <x v="26"/>
    <s v="Total Electric Power Industry"/>
    <x v="1"/>
    <n v="15579415.439999999"/>
  </r>
  <r>
    <x v="24"/>
    <x v="26"/>
    <s v="Total Electric Power Industry"/>
    <x v="2"/>
    <n v="11482751"/>
  </r>
  <r>
    <x v="24"/>
    <x v="26"/>
    <s v="Total Electric Power Industry"/>
    <x v="3"/>
    <n v="515453.87"/>
  </r>
  <r>
    <x v="24"/>
    <x v="26"/>
    <s v="Total Electric Power Industry"/>
    <x v="9"/>
    <n v="9.81"/>
  </r>
  <r>
    <x v="24"/>
    <x v="26"/>
    <s v="Total Electric Power Industry"/>
    <x v="12"/>
    <n v="264814"/>
  </r>
  <r>
    <x v="24"/>
    <x v="26"/>
    <s v="Total Electric Power Industry"/>
    <x v="4"/>
    <n v="428368.89"/>
  </r>
  <r>
    <x v="24"/>
    <x v="26"/>
    <s v="Total Electric Power Industry"/>
    <x v="5"/>
    <n v="1973794.08"/>
  </r>
  <r>
    <x v="24"/>
    <x v="26"/>
    <s v="Total Electric Power Industry"/>
    <x v="6"/>
    <n v="13009"/>
  </r>
  <r>
    <x v="24"/>
    <x v="26"/>
    <s v="Combined Heat and Power, Industrial Power"/>
    <x v="0"/>
    <n v="21821"/>
  </r>
  <r>
    <x v="24"/>
    <x v="26"/>
    <s v="Combined Heat and Power, Industrial Power"/>
    <x v="1"/>
    <n v="8812"/>
  </r>
  <r>
    <x v="24"/>
    <x v="26"/>
    <s v="Combined Heat and Power, Industrial Power"/>
    <x v="3"/>
    <n v="0"/>
  </r>
  <r>
    <x v="24"/>
    <x v="26"/>
    <s v="Combined Heat and Power, Industrial Power"/>
    <x v="9"/>
    <n v="0"/>
  </r>
  <r>
    <x v="24"/>
    <x v="26"/>
    <s v="Combined Heat and Power, Industrial Power"/>
    <x v="4"/>
    <n v="0"/>
  </r>
  <r>
    <x v="24"/>
    <x v="26"/>
    <s v="Combined Heat and Power, Industrial Power"/>
    <x v="6"/>
    <n v="13009"/>
  </r>
  <r>
    <x v="24"/>
    <x v="26"/>
    <s v="Combined Heat and Power, Electric Power"/>
    <x v="0"/>
    <n v="404660"/>
  </r>
  <r>
    <x v="24"/>
    <x v="26"/>
    <s v="Combined Heat and Power, Electric Power"/>
    <x v="9"/>
    <n v="9.81"/>
  </r>
  <r>
    <x v="24"/>
    <x v="26"/>
    <s v="Combined Heat and Power, Electric Power"/>
    <x v="4"/>
    <n v="404650.19"/>
  </r>
  <r>
    <x v="24"/>
    <x v="26"/>
    <s v="Electric Generators, Independent Power Producers"/>
    <x v="0"/>
    <n v="17501724.079999998"/>
  </r>
  <r>
    <x v="24"/>
    <x v="26"/>
    <s v="Electric Generators, Independent Power Producers"/>
    <x v="1"/>
    <n v="15281997.310000001"/>
  </r>
  <r>
    <x v="24"/>
    <x v="26"/>
    <s v="Electric Generators, Independent Power Producers"/>
    <x v="2"/>
    <n v="155151"/>
  </r>
  <r>
    <x v="24"/>
    <x v="26"/>
    <s v="Electric Generators, Independent Power Producers"/>
    <x v="3"/>
    <n v="44091.25"/>
  </r>
  <r>
    <x v="24"/>
    <x v="26"/>
    <s v="Electric Generators, Independent Power Producers"/>
    <x v="12"/>
    <n v="264814"/>
  </r>
  <r>
    <x v="24"/>
    <x v="26"/>
    <s v="Electric Generators, Independent Power Producers"/>
    <x v="4"/>
    <n v="14768.43"/>
  </r>
  <r>
    <x v="24"/>
    <x v="26"/>
    <s v="Electric Generators, Independent Power Producers"/>
    <x v="5"/>
    <n v="1740902.08"/>
  </r>
  <r>
    <x v="24"/>
    <x v="26"/>
    <s v="Electric Generators, Electric Utilities"/>
    <x v="0"/>
    <n v="12329411"/>
  </r>
  <r>
    <x v="24"/>
    <x v="26"/>
    <s v="Electric Generators, Electric Utilities"/>
    <x v="1"/>
    <n v="288606.12"/>
  </r>
  <r>
    <x v="24"/>
    <x v="26"/>
    <s v="Electric Generators, Electric Utilities"/>
    <x v="2"/>
    <n v="11327600"/>
  </r>
  <r>
    <x v="24"/>
    <x v="26"/>
    <s v="Electric Generators, Electric Utilities"/>
    <x v="3"/>
    <n v="471362.62"/>
  </r>
  <r>
    <x v="24"/>
    <x v="26"/>
    <s v="Electric Generators, Electric Utilities"/>
    <x v="4"/>
    <n v="8950.26"/>
  </r>
  <r>
    <x v="24"/>
    <x v="26"/>
    <s v="Electric Generators, Electric Utilities"/>
    <x v="5"/>
    <n v="232892"/>
  </r>
  <r>
    <x v="24"/>
    <x v="27"/>
    <s v="Total Electric Power Industry"/>
    <x v="0"/>
    <n v="128143588.13"/>
  </r>
  <r>
    <x v="24"/>
    <x v="27"/>
    <s v="Total Electric Power Industry"/>
    <x v="1"/>
    <n v="49238196.869999997"/>
  </r>
  <r>
    <x v="24"/>
    <x v="27"/>
    <s v="Total Electric Power Industry"/>
    <x v="10"/>
    <n v="78009"/>
  </r>
  <r>
    <x v="24"/>
    <x v="27"/>
    <s v="Total Electric Power Industry"/>
    <x v="2"/>
    <n v="4756083.24"/>
  </r>
  <r>
    <x v="24"/>
    <x v="27"/>
    <s v="Total Electric Power Industry"/>
    <x v="3"/>
    <n v="28737608.109999999"/>
  </r>
  <r>
    <x v="24"/>
    <x v="27"/>
    <s v="Total Electric Power Industry"/>
    <x v="7"/>
    <n v="40967020"/>
  </r>
  <r>
    <x v="24"/>
    <x v="27"/>
    <s v="Total Electric Power Industry"/>
    <x v="12"/>
    <n v="631152.65"/>
  </r>
  <r>
    <x v="24"/>
    <x v="27"/>
    <s v="Total Electric Power Industry"/>
    <x v="4"/>
    <n v="459686.99"/>
  </r>
  <r>
    <x v="24"/>
    <x v="27"/>
    <s v="Total Electric Power Industry"/>
    <x v="13"/>
    <n v="729130.48"/>
  </r>
  <r>
    <x v="24"/>
    <x v="27"/>
    <s v="Total Electric Power Industry"/>
    <x v="8"/>
    <n v="519931.25"/>
  </r>
  <r>
    <x v="24"/>
    <x v="27"/>
    <s v="Total Electric Power Industry"/>
    <x v="6"/>
    <n v="2026769.55"/>
  </r>
  <r>
    <x v="24"/>
    <x v="27"/>
    <s v="Combined Heat and Power, Industrial Power"/>
    <x v="0"/>
    <n v="1868640.93"/>
  </r>
  <r>
    <x v="24"/>
    <x v="27"/>
    <s v="Combined Heat and Power, Industrial Power"/>
    <x v="1"/>
    <n v="305379.06"/>
  </r>
  <r>
    <x v="24"/>
    <x v="27"/>
    <s v="Combined Heat and Power, Industrial Power"/>
    <x v="2"/>
    <n v="0"/>
  </r>
  <r>
    <x v="24"/>
    <x v="27"/>
    <s v="Combined Heat and Power, Industrial Power"/>
    <x v="3"/>
    <n v="94244.19"/>
  </r>
  <r>
    <x v="24"/>
    <x v="27"/>
    <s v="Combined Heat and Power, Industrial Power"/>
    <x v="12"/>
    <n v="317875"/>
  </r>
  <r>
    <x v="24"/>
    <x v="27"/>
    <s v="Combined Heat and Power, Industrial Power"/>
    <x v="4"/>
    <n v="15462.9"/>
  </r>
  <r>
    <x v="24"/>
    <x v="27"/>
    <s v="Combined Heat and Power, Industrial Power"/>
    <x v="8"/>
    <n v="1104.17"/>
  </r>
  <r>
    <x v="24"/>
    <x v="27"/>
    <s v="Combined Heat and Power, Industrial Power"/>
    <x v="6"/>
    <n v="1134575.6200000001"/>
  </r>
  <r>
    <x v="24"/>
    <x v="27"/>
    <s v="Combined Heat and Power, Commercial Power"/>
    <x v="0"/>
    <n v="194865.1"/>
  </r>
  <r>
    <x v="24"/>
    <x v="27"/>
    <s v="Combined Heat and Power, Commercial Power"/>
    <x v="1"/>
    <n v="23108.06"/>
  </r>
  <r>
    <x v="24"/>
    <x v="27"/>
    <s v="Combined Heat and Power, Commercial Power"/>
    <x v="2"/>
    <n v="14492"/>
  </r>
  <r>
    <x v="24"/>
    <x v="27"/>
    <s v="Combined Heat and Power, Commercial Power"/>
    <x v="3"/>
    <n v="412.94"/>
  </r>
  <r>
    <x v="24"/>
    <x v="27"/>
    <s v="Combined Heat and Power, Commercial Power"/>
    <x v="4"/>
    <n v="106.1"/>
  </r>
  <r>
    <x v="24"/>
    <x v="27"/>
    <s v="Combined Heat and Power, Commercial Power"/>
    <x v="13"/>
    <n v="76666"/>
  </r>
  <r>
    <x v="24"/>
    <x v="27"/>
    <s v="Combined Heat and Power, Commercial Power"/>
    <x v="8"/>
    <n v="80080"/>
  </r>
  <r>
    <x v="24"/>
    <x v="27"/>
    <s v="Combined Heat and Power, Electric Power"/>
    <x v="0"/>
    <n v="1495760"/>
  </r>
  <r>
    <x v="24"/>
    <x v="27"/>
    <s v="Combined Heat and Power, Electric Power"/>
    <x v="1"/>
    <n v="815584.46"/>
  </r>
  <r>
    <x v="24"/>
    <x v="27"/>
    <s v="Combined Heat and Power, Electric Power"/>
    <x v="12"/>
    <n v="210012.14"/>
  </r>
  <r>
    <x v="24"/>
    <x v="27"/>
    <s v="Combined Heat and Power, Electric Power"/>
    <x v="4"/>
    <n v="3294"/>
  </r>
  <r>
    <x v="24"/>
    <x v="27"/>
    <s v="Combined Heat and Power, Electric Power"/>
    <x v="8"/>
    <n v="22801"/>
  </r>
  <r>
    <x v="24"/>
    <x v="27"/>
    <s v="Combined Heat and Power, Electric Power"/>
    <x v="6"/>
    <n v="444068.4"/>
  </r>
  <r>
    <x v="24"/>
    <x v="27"/>
    <s v="Electric Generators, Independent Power Producers"/>
    <x v="0"/>
    <n v="5152178.4400000004"/>
  </r>
  <r>
    <x v="24"/>
    <x v="27"/>
    <s v="Electric Generators, Independent Power Producers"/>
    <x v="1"/>
    <n v="36692.129999999997"/>
  </r>
  <r>
    <x v="24"/>
    <x v="27"/>
    <s v="Electric Generators, Independent Power Producers"/>
    <x v="2"/>
    <n v="58014.239999999998"/>
  </r>
  <r>
    <x v="24"/>
    <x v="27"/>
    <s v="Electric Generators, Independent Power Producers"/>
    <x v="3"/>
    <n v="3419421.49"/>
  </r>
  <r>
    <x v="24"/>
    <x v="27"/>
    <s v="Electric Generators, Independent Power Producers"/>
    <x v="12"/>
    <n v="103265.51"/>
  </r>
  <r>
    <x v="24"/>
    <x v="27"/>
    <s v="Electric Generators, Independent Power Producers"/>
    <x v="4"/>
    <n v="24575.97"/>
  </r>
  <r>
    <x v="24"/>
    <x v="27"/>
    <s v="Electric Generators, Independent Power Producers"/>
    <x v="13"/>
    <n v="646137.48"/>
  </r>
  <r>
    <x v="24"/>
    <x v="27"/>
    <s v="Electric Generators, Independent Power Producers"/>
    <x v="8"/>
    <n v="415946.09"/>
  </r>
  <r>
    <x v="24"/>
    <x v="27"/>
    <s v="Electric Generators, Independent Power Producers"/>
    <x v="6"/>
    <n v="448125.53"/>
  </r>
  <r>
    <x v="24"/>
    <x v="27"/>
    <s v="Electric Generators, Electric Utilities"/>
    <x v="0"/>
    <n v="119432143.66"/>
  </r>
  <r>
    <x v="24"/>
    <x v="27"/>
    <s v="Electric Generators, Electric Utilities"/>
    <x v="1"/>
    <n v="48057433.159999996"/>
  </r>
  <r>
    <x v="24"/>
    <x v="27"/>
    <s v="Electric Generators, Electric Utilities"/>
    <x v="10"/>
    <n v="78009"/>
  </r>
  <r>
    <x v="24"/>
    <x v="27"/>
    <s v="Electric Generators, Electric Utilities"/>
    <x v="2"/>
    <n v="4683577"/>
  </r>
  <r>
    <x v="24"/>
    <x v="27"/>
    <s v="Electric Generators, Electric Utilities"/>
    <x v="3"/>
    <n v="25223529.489999998"/>
  </r>
  <r>
    <x v="24"/>
    <x v="27"/>
    <s v="Electric Generators, Electric Utilities"/>
    <x v="7"/>
    <n v="40967020"/>
  </r>
  <r>
    <x v="24"/>
    <x v="27"/>
    <s v="Electric Generators, Electric Utilities"/>
    <x v="4"/>
    <n v="416248.01"/>
  </r>
  <r>
    <x v="24"/>
    <x v="27"/>
    <s v="Electric Generators, Electric Utilities"/>
    <x v="13"/>
    <n v="6327"/>
  </r>
  <r>
    <x v="24"/>
    <x v="28"/>
    <s v="Total Electric Power Industry"/>
    <x v="0"/>
    <n v="36462507.670000002"/>
  </r>
  <r>
    <x v="24"/>
    <x v="28"/>
    <s v="Total Electric Power Industry"/>
    <x v="1"/>
    <n v="27394068.170000002"/>
  </r>
  <r>
    <x v="24"/>
    <x v="28"/>
    <s v="Total Electric Power Industry"/>
    <x v="2"/>
    <n v="2531360"/>
  </r>
  <r>
    <x v="24"/>
    <x v="28"/>
    <s v="Total Electric Power Industry"/>
    <x v="3"/>
    <n v="234315.14"/>
  </r>
  <r>
    <x v="24"/>
    <x v="28"/>
    <s v="Total Electric Power Industry"/>
    <x v="9"/>
    <n v="40143.24"/>
  </r>
  <r>
    <x v="24"/>
    <x v="28"/>
    <s v="Total Electric Power Industry"/>
    <x v="12"/>
    <n v="31440"/>
  </r>
  <r>
    <x v="24"/>
    <x v="28"/>
    <s v="Total Electric Power Industry"/>
    <x v="4"/>
    <n v="26117.119999999999"/>
  </r>
  <r>
    <x v="24"/>
    <x v="28"/>
    <s v="Total Electric Power Industry"/>
    <x v="8"/>
    <n v="2652"/>
  </r>
  <r>
    <x v="24"/>
    <x v="28"/>
    <s v="Total Electric Power Industry"/>
    <x v="5"/>
    <n v="6202412"/>
  </r>
  <r>
    <x v="24"/>
    <x v="28"/>
    <s v="Combined Heat and Power, Industrial Power"/>
    <x v="0"/>
    <n v="124323.67"/>
  </r>
  <r>
    <x v="24"/>
    <x v="28"/>
    <s v="Combined Heat and Power, Industrial Power"/>
    <x v="1"/>
    <n v="59633.67"/>
  </r>
  <r>
    <x v="24"/>
    <x v="28"/>
    <s v="Combined Heat and Power, Industrial Power"/>
    <x v="3"/>
    <n v="21679.13"/>
  </r>
  <r>
    <x v="24"/>
    <x v="28"/>
    <s v="Combined Heat and Power, Industrial Power"/>
    <x v="9"/>
    <n v="40143.24"/>
  </r>
  <r>
    <x v="24"/>
    <x v="28"/>
    <s v="Combined Heat and Power, Industrial Power"/>
    <x v="4"/>
    <n v="215.63"/>
  </r>
  <r>
    <x v="24"/>
    <x v="28"/>
    <s v="Combined Heat and Power, Industrial Power"/>
    <x v="8"/>
    <n v="2652"/>
  </r>
  <r>
    <x v="24"/>
    <x v="28"/>
    <s v="Combined Heat and Power, Commercial Power"/>
    <x v="0"/>
    <n v="109"/>
  </r>
  <r>
    <x v="24"/>
    <x v="28"/>
    <s v="Combined Heat and Power, Commercial Power"/>
    <x v="4"/>
    <n v="109"/>
  </r>
  <r>
    <x v="24"/>
    <x v="28"/>
    <s v="Electric Generators, Independent Power Producers"/>
    <x v="0"/>
    <n v="4249629"/>
  </r>
  <r>
    <x v="24"/>
    <x v="28"/>
    <s v="Electric Generators, Independent Power Producers"/>
    <x v="5"/>
    <n v="4249629"/>
  </r>
  <r>
    <x v="24"/>
    <x v="28"/>
    <s v="Electric Generators, Electric Utilities"/>
    <x v="0"/>
    <n v="32088446"/>
  </r>
  <r>
    <x v="24"/>
    <x v="28"/>
    <s v="Electric Generators, Electric Utilities"/>
    <x v="1"/>
    <n v="27334434.5"/>
  </r>
  <r>
    <x v="24"/>
    <x v="28"/>
    <s v="Electric Generators, Electric Utilities"/>
    <x v="2"/>
    <n v="2531360"/>
  </r>
  <r>
    <x v="24"/>
    <x v="28"/>
    <s v="Electric Generators, Electric Utilities"/>
    <x v="3"/>
    <n v="212636.01"/>
  </r>
  <r>
    <x v="24"/>
    <x v="28"/>
    <s v="Electric Generators, Electric Utilities"/>
    <x v="12"/>
    <n v="31440"/>
  </r>
  <r>
    <x v="24"/>
    <x v="28"/>
    <s v="Electric Generators, Electric Utilities"/>
    <x v="4"/>
    <n v="25792.49"/>
  </r>
  <r>
    <x v="24"/>
    <x v="28"/>
    <s v="Electric Generators, Electric Utilities"/>
    <x v="5"/>
    <n v="1952783"/>
  </r>
  <r>
    <x v="24"/>
    <x v="29"/>
    <s v="Total Electric Power Industry"/>
    <x v="0"/>
    <n v="39431290.740000002"/>
  </r>
  <r>
    <x v="24"/>
    <x v="29"/>
    <s v="Total Electric Power Industry"/>
    <x v="1"/>
    <n v="24922174.920000002"/>
  </r>
  <r>
    <x v="24"/>
    <x v="29"/>
    <s v="Total Electric Power Industry"/>
    <x v="2"/>
    <n v="1157781"/>
  </r>
  <r>
    <x v="24"/>
    <x v="29"/>
    <s v="Total Electric Power Industry"/>
    <x v="3"/>
    <n v="405712.49"/>
  </r>
  <r>
    <x v="24"/>
    <x v="29"/>
    <s v="Total Electric Power Industry"/>
    <x v="7"/>
    <n v="10101838"/>
  </r>
  <r>
    <x v="24"/>
    <x v="29"/>
    <s v="Total Electric Power Industry"/>
    <x v="12"/>
    <n v="0"/>
  </r>
  <r>
    <x v="24"/>
    <x v="29"/>
    <s v="Total Electric Power Industry"/>
    <x v="4"/>
    <n v="42660.09"/>
  </r>
  <r>
    <x v="24"/>
    <x v="29"/>
    <s v="Total Electric Power Industry"/>
    <x v="8"/>
    <n v="64185.03"/>
  </r>
  <r>
    <x v="24"/>
    <x v="29"/>
    <s v="Total Electric Power Industry"/>
    <x v="5"/>
    <n v="2736939.22"/>
  </r>
  <r>
    <x v="24"/>
    <x v="29"/>
    <s v="Total Electric Power Industry"/>
    <x v="6"/>
    <n v="0"/>
  </r>
  <r>
    <x v="24"/>
    <x v="29"/>
    <s v="Combined Heat and Power, Industrial Power"/>
    <x v="0"/>
    <n v="342283"/>
  </r>
  <r>
    <x v="24"/>
    <x v="29"/>
    <s v="Combined Heat and Power, Industrial Power"/>
    <x v="1"/>
    <n v="341937.63"/>
  </r>
  <r>
    <x v="24"/>
    <x v="29"/>
    <s v="Combined Heat and Power, Industrial Power"/>
    <x v="3"/>
    <n v="345.37"/>
  </r>
  <r>
    <x v="24"/>
    <x v="29"/>
    <s v="Combined Heat and Power, Industrial Power"/>
    <x v="12"/>
    <n v="0"/>
  </r>
  <r>
    <x v="24"/>
    <x v="29"/>
    <s v="Combined Heat and Power, Industrial Power"/>
    <x v="8"/>
    <n v="0"/>
  </r>
  <r>
    <x v="24"/>
    <x v="29"/>
    <s v="Combined Heat and Power, Industrial Power"/>
    <x v="6"/>
    <n v="0"/>
  </r>
  <r>
    <x v="24"/>
    <x v="29"/>
    <s v="Combined Heat and Power, Commercial Power"/>
    <x v="0"/>
    <n v="17441"/>
  </r>
  <r>
    <x v="24"/>
    <x v="29"/>
    <s v="Combined Heat and Power, Commercial Power"/>
    <x v="3"/>
    <n v="335.97"/>
  </r>
  <r>
    <x v="24"/>
    <x v="29"/>
    <s v="Combined Heat and Power, Commercial Power"/>
    <x v="8"/>
    <n v="17105.03"/>
  </r>
  <r>
    <x v="24"/>
    <x v="29"/>
    <s v="Electric Generators, Independent Power Producers"/>
    <x v="0"/>
    <n v="2510607.2200000002"/>
  </r>
  <r>
    <x v="24"/>
    <x v="29"/>
    <s v="Electric Generators, Independent Power Producers"/>
    <x v="5"/>
    <n v="2510607.2200000002"/>
  </r>
  <r>
    <x v="24"/>
    <x v="29"/>
    <s v="Electric Generators, Electric Utilities"/>
    <x v="0"/>
    <n v="36560959.520000003"/>
  </r>
  <r>
    <x v="24"/>
    <x v="29"/>
    <s v="Electric Generators, Electric Utilities"/>
    <x v="1"/>
    <n v="24580237.289999999"/>
  </r>
  <r>
    <x v="24"/>
    <x v="29"/>
    <s v="Electric Generators, Electric Utilities"/>
    <x v="2"/>
    <n v="1157781"/>
  </r>
  <r>
    <x v="24"/>
    <x v="29"/>
    <s v="Electric Generators, Electric Utilities"/>
    <x v="3"/>
    <n v="405031.15"/>
  </r>
  <r>
    <x v="24"/>
    <x v="29"/>
    <s v="Electric Generators, Electric Utilities"/>
    <x v="7"/>
    <n v="10101838"/>
  </r>
  <r>
    <x v="24"/>
    <x v="29"/>
    <s v="Electric Generators, Electric Utilities"/>
    <x v="4"/>
    <n v="42660.09"/>
  </r>
  <r>
    <x v="24"/>
    <x v="29"/>
    <s v="Electric Generators, Electric Utilities"/>
    <x v="8"/>
    <n v="47080"/>
  </r>
  <r>
    <x v="24"/>
    <x v="29"/>
    <s v="Electric Generators, Electric Utilities"/>
    <x v="5"/>
    <n v="226332"/>
  </r>
  <r>
    <x v="24"/>
    <x v="30"/>
    <s v="Total Electric Power Industry"/>
    <x v="0"/>
    <n v="19538394.98"/>
  </r>
  <r>
    <x v="24"/>
    <x v="30"/>
    <s v="Total Electric Power Industry"/>
    <x v="1"/>
    <n v="1310998.73"/>
  </r>
  <r>
    <x v="24"/>
    <x v="30"/>
    <s v="Total Electric Power Industry"/>
    <x v="2"/>
    <n v="1381362"/>
  </r>
  <r>
    <x v="24"/>
    <x v="30"/>
    <s v="Total Electric Power Industry"/>
    <x v="3"/>
    <n v="4388291.4400000004"/>
  </r>
  <r>
    <x v="24"/>
    <x v="30"/>
    <s v="Total Electric Power Industry"/>
    <x v="7"/>
    <n v="10168265"/>
  </r>
  <r>
    <x v="24"/>
    <x v="30"/>
    <s v="Total Electric Power Industry"/>
    <x v="12"/>
    <n v="49639.27"/>
  </r>
  <r>
    <x v="24"/>
    <x v="30"/>
    <s v="Total Electric Power Industry"/>
    <x v="4"/>
    <n v="287449.84000000003"/>
  </r>
  <r>
    <x v="24"/>
    <x v="30"/>
    <s v="Total Electric Power Industry"/>
    <x v="8"/>
    <n v="125392.59"/>
  </r>
  <r>
    <x v="24"/>
    <x v="30"/>
    <s v="Total Electric Power Industry"/>
    <x v="5"/>
    <n v="411581"/>
  </r>
  <r>
    <x v="24"/>
    <x v="30"/>
    <s v="Total Electric Power Industry"/>
    <x v="6"/>
    <n v="1415415.11"/>
  </r>
  <r>
    <x v="24"/>
    <x v="30"/>
    <s v="Combined Heat and Power, Industrial Power"/>
    <x v="0"/>
    <n v="30927"/>
  </r>
  <r>
    <x v="24"/>
    <x v="30"/>
    <s v="Combined Heat and Power, Industrial Power"/>
    <x v="2"/>
    <n v="0"/>
  </r>
  <r>
    <x v="24"/>
    <x v="30"/>
    <s v="Combined Heat and Power, Industrial Power"/>
    <x v="3"/>
    <n v="30857"/>
  </r>
  <r>
    <x v="24"/>
    <x v="30"/>
    <s v="Combined Heat and Power, Industrial Power"/>
    <x v="4"/>
    <n v="70"/>
  </r>
  <r>
    <x v="24"/>
    <x v="30"/>
    <s v="Combined Heat and Power, Commercial Power"/>
    <x v="0"/>
    <n v="69294.98"/>
  </r>
  <r>
    <x v="24"/>
    <x v="30"/>
    <s v="Combined Heat and Power, Commercial Power"/>
    <x v="3"/>
    <n v="14755.34"/>
  </r>
  <r>
    <x v="24"/>
    <x v="30"/>
    <s v="Combined Heat and Power, Commercial Power"/>
    <x v="4"/>
    <n v="16299.24"/>
  </r>
  <r>
    <x v="24"/>
    <x v="30"/>
    <s v="Combined Heat and Power, Commercial Power"/>
    <x v="8"/>
    <n v="38240.400000000001"/>
  </r>
  <r>
    <x v="24"/>
    <x v="30"/>
    <s v="Electric Generators, Independent Power Producers"/>
    <x v="0"/>
    <n v="17352588"/>
  </r>
  <r>
    <x v="24"/>
    <x v="30"/>
    <s v="Electric Generators, Independent Power Producers"/>
    <x v="2"/>
    <n v="1080013"/>
  </r>
  <r>
    <x v="24"/>
    <x v="30"/>
    <s v="Electric Generators, Independent Power Producers"/>
    <x v="3"/>
    <n v="4312401.45"/>
  </r>
  <r>
    <x v="24"/>
    <x v="30"/>
    <s v="Electric Generators, Independent Power Producers"/>
    <x v="7"/>
    <n v="10168265"/>
  </r>
  <r>
    <x v="24"/>
    <x v="30"/>
    <s v="Electric Generators, Independent Power Producers"/>
    <x v="12"/>
    <n v="49639.27"/>
  </r>
  <r>
    <x v="24"/>
    <x v="30"/>
    <s v="Electric Generators, Independent Power Producers"/>
    <x v="4"/>
    <n v="163145.48000000001"/>
  </r>
  <r>
    <x v="24"/>
    <x v="30"/>
    <s v="Electric Generators, Independent Power Producers"/>
    <x v="8"/>
    <n v="86274.73"/>
  </r>
  <r>
    <x v="24"/>
    <x v="30"/>
    <s v="Electric Generators, Independent Power Producers"/>
    <x v="5"/>
    <n v="411581"/>
  </r>
  <r>
    <x v="24"/>
    <x v="30"/>
    <s v="Electric Generators, Independent Power Producers"/>
    <x v="6"/>
    <n v="1081268.07"/>
  </r>
  <r>
    <x v="24"/>
    <x v="30"/>
    <s v="Electric Generators, Electric Utilities"/>
    <x v="0"/>
    <n v="2085585"/>
  </r>
  <r>
    <x v="24"/>
    <x v="30"/>
    <s v="Electric Generators, Electric Utilities"/>
    <x v="1"/>
    <n v="1310998.73"/>
  </r>
  <r>
    <x v="24"/>
    <x v="30"/>
    <s v="Electric Generators, Electric Utilities"/>
    <x v="2"/>
    <n v="301349"/>
  </r>
  <r>
    <x v="24"/>
    <x v="30"/>
    <s v="Electric Generators, Electric Utilities"/>
    <x v="3"/>
    <n v="30277.65"/>
  </r>
  <r>
    <x v="24"/>
    <x v="30"/>
    <s v="Electric Generators, Electric Utilities"/>
    <x v="4"/>
    <n v="107935.12"/>
  </r>
  <r>
    <x v="24"/>
    <x v="30"/>
    <s v="Electric Generators, Electric Utilities"/>
    <x v="8"/>
    <n v="877.46"/>
  </r>
  <r>
    <x v="24"/>
    <x v="30"/>
    <s v="Electric Generators, Electric Utilities"/>
    <x v="6"/>
    <n v="334147.05"/>
  </r>
  <r>
    <x v="24"/>
    <x v="31"/>
    <s v="Total Electric Power Industry"/>
    <x v="0"/>
    <n v="68051085.849999994"/>
  </r>
  <r>
    <x v="24"/>
    <x v="31"/>
    <s v="Total Electric Power Industry"/>
    <x v="1"/>
    <n v="2519106.21"/>
  </r>
  <r>
    <x v="24"/>
    <x v="31"/>
    <s v="Total Electric Power Industry"/>
    <x v="10"/>
    <n v="-236904"/>
  </r>
  <r>
    <x v="24"/>
    <x v="31"/>
    <s v="Total Electric Power Industry"/>
    <x v="2"/>
    <n v="17296"/>
  </r>
  <r>
    <x v="24"/>
    <x v="31"/>
    <s v="Total Electric Power Industry"/>
    <x v="3"/>
    <n v="31410341.370000001"/>
  </r>
  <r>
    <x v="24"/>
    <x v="31"/>
    <s v="Total Electric Power Industry"/>
    <x v="7"/>
    <n v="31507121"/>
  </r>
  <r>
    <x v="24"/>
    <x v="31"/>
    <s v="Total Electric Power Industry"/>
    <x v="9"/>
    <n v="161681.62"/>
  </r>
  <r>
    <x v="24"/>
    <x v="31"/>
    <s v="Total Electric Power Industry"/>
    <x v="12"/>
    <n v="640133.81000000006"/>
  </r>
  <r>
    <x v="24"/>
    <x v="31"/>
    <s v="Total Electric Power Industry"/>
    <x v="4"/>
    <n v="496776.11"/>
  </r>
  <r>
    <x v="24"/>
    <x v="31"/>
    <s v="Total Electric Power Industry"/>
    <x v="13"/>
    <n v="514252.4"/>
  </r>
  <r>
    <x v="24"/>
    <x v="31"/>
    <s v="Total Electric Power Industry"/>
    <x v="8"/>
    <n v="998426.33"/>
  </r>
  <r>
    <x v="24"/>
    <x v="31"/>
    <s v="Total Electric Power Industry"/>
    <x v="5"/>
    <n v="22855"/>
  </r>
  <r>
    <x v="24"/>
    <x v="31"/>
    <s v="Combined Heat and Power, Industrial Power"/>
    <x v="0"/>
    <n v="690752.74"/>
  </r>
  <r>
    <x v="24"/>
    <x v="31"/>
    <s v="Combined Heat and Power, Industrial Power"/>
    <x v="3"/>
    <n v="393765.33"/>
  </r>
  <r>
    <x v="24"/>
    <x v="31"/>
    <s v="Combined Heat and Power, Industrial Power"/>
    <x v="9"/>
    <n v="161681.62"/>
  </r>
  <r>
    <x v="24"/>
    <x v="31"/>
    <s v="Combined Heat and Power, Industrial Power"/>
    <x v="12"/>
    <n v="102631"/>
  </r>
  <r>
    <x v="24"/>
    <x v="31"/>
    <s v="Combined Heat and Power, Industrial Power"/>
    <x v="4"/>
    <n v="31600.79"/>
  </r>
  <r>
    <x v="24"/>
    <x v="31"/>
    <s v="Combined Heat and Power, Industrial Power"/>
    <x v="13"/>
    <n v="1074"/>
  </r>
  <r>
    <x v="24"/>
    <x v="31"/>
    <s v="Combined Heat and Power, Commercial Power"/>
    <x v="0"/>
    <n v="603189.14"/>
  </r>
  <r>
    <x v="24"/>
    <x v="31"/>
    <s v="Combined Heat and Power, Commercial Power"/>
    <x v="3"/>
    <n v="183390.87"/>
  </r>
  <r>
    <x v="24"/>
    <x v="31"/>
    <s v="Combined Heat and Power, Commercial Power"/>
    <x v="12"/>
    <n v="142803.87"/>
  </r>
  <r>
    <x v="24"/>
    <x v="31"/>
    <s v="Combined Heat and Power, Commercial Power"/>
    <x v="4"/>
    <n v="914.4"/>
  </r>
  <r>
    <x v="24"/>
    <x v="31"/>
    <s v="Combined Heat and Power, Commercial Power"/>
    <x v="13"/>
    <n v="107127.74"/>
  </r>
  <r>
    <x v="24"/>
    <x v="31"/>
    <s v="Combined Heat and Power, Commercial Power"/>
    <x v="8"/>
    <n v="168952.26"/>
  </r>
  <r>
    <x v="24"/>
    <x v="31"/>
    <s v="Combined Heat and Power, Electric Power"/>
    <x v="0"/>
    <n v="7405234.8600000003"/>
  </r>
  <r>
    <x v="24"/>
    <x v="31"/>
    <s v="Combined Heat and Power, Electric Power"/>
    <x v="1"/>
    <n v="1757279.35"/>
  </r>
  <r>
    <x v="24"/>
    <x v="31"/>
    <s v="Combined Heat and Power, Electric Power"/>
    <x v="3"/>
    <n v="5461095.9100000001"/>
  </r>
  <r>
    <x v="24"/>
    <x v="31"/>
    <s v="Combined Heat and Power, Electric Power"/>
    <x v="4"/>
    <n v="105653.6"/>
  </r>
  <r>
    <x v="24"/>
    <x v="31"/>
    <s v="Combined Heat and Power, Electric Power"/>
    <x v="8"/>
    <n v="81206"/>
  </r>
  <r>
    <x v="24"/>
    <x v="31"/>
    <s v="Electric Generators, Independent Power Producers"/>
    <x v="0"/>
    <n v="59468912.590000004"/>
  </r>
  <r>
    <x v="24"/>
    <x v="31"/>
    <s v="Electric Generators, Independent Power Producers"/>
    <x v="1"/>
    <n v="761826.86"/>
  </r>
  <r>
    <x v="24"/>
    <x v="31"/>
    <s v="Electric Generators, Independent Power Producers"/>
    <x v="2"/>
    <n v="17296"/>
  </r>
  <r>
    <x v="24"/>
    <x v="31"/>
    <s v="Electric Generators, Independent Power Producers"/>
    <x v="3"/>
    <n v="25295658.27"/>
  </r>
  <r>
    <x v="24"/>
    <x v="31"/>
    <s v="Electric Generators, Independent Power Producers"/>
    <x v="7"/>
    <n v="31507121"/>
  </r>
  <r>
    <x v="24"/>
    <x v="31"/>
    <s v="Electric Generators, Independent Power Producers"/>
    <x v="12"/>
    <n v="394698.94"/>
  </r>
  <r>
    <x v="24"/>
    <x v="31"/>
    <s v="Electric Generators, Independent Power Producers"/>
    <x v="4"/>
    <n v="356184.81"/>
  </r>
  <r>
    <x v="24"/>
    <x v="31"/>
    <s v="Electric Generators, Independent Power Producers"/>
    <x v="13"/>
    <n v="365003.66"/>
  </r>
  <r>
    <x v="24"/>
    <x v="31"/>
    <s v="Electric Generators, Independent Power Producers"/>
    <x v="8"/>
    <n v="748268.07"/>
  </r>
  <r>
    <x v="24"/>
    <x v="31"/>
    <s v="Electric Generators, Independent Power Producers"/>
    <x v="5"/>
    <n v="22855"/>
  </r>
  <r>
    <x v="24"/>
    <x v="31"/>
    <s v="Electric Generators, Electric Utilities"/>
    <x v="0"/>
    <n v="-117003.5"/>
  </r>
  <r>
    <x v="24"/>
    <x v="31"/>
    <s v="Electric Generators, Electric Utilities"/>
    <x v="1"/>
    <n v="0"/>
  </r>
  <r>
    <x v="24"/>
    <x v="31"/>
    <s v="Electric Generators, Electric Utilities"/>
    <x v="10"/>
    <n v="-236904"/>
  </r>
  <r>
    <x v="24"/>
    <x v="31"/>
    <s v="Electric Generators, Electric Utilities"/>
    <x v="3"/>
    <n v="76431"/>
  </r>
  <r>
    <x v="24"/>
    <x v="31"/>
    <s v="Electric Generators, Electric Utilities"/>
    <x v="4"/>
    <n v="2422.5"/>
  </r>
  <r>
    <x v="24"/>
    <x v="31"/>
    <s v="Electric Generators, Electric Utilities"/>
    <x v="13"/>
    <n v="41047"/>
  </r>
  <r>
    <x v="24"/>
    <x v="32"/>
    <s v="Total Electric Power Industry"/>
    <x v="0"/>
    <n v="32306209.870000001"/>
  </r>
  <r>
    <x v="24"/>
    <x v="32"/>
    <s v="Total Electric Power Industry"/>
    <x v="1"/>
    <n v="20355631.309999999"/>
  </r>
  <r>
    <x v="24"/>
    <x v="32"/>
    <s v="Total Electric Power Industry"/>
    <x v="11"/>
    <n v="8736"/>
  </r>
  <r>
    <x v="24"/>
    <x v="32"/>
    <s v="Total Electric Power Industry"/>
    <x v="2"/>
    <n v="98381"/>
  </r>
  <r>
    <x v="24"/>
    <x v="32"/>
    <s v="Total Electric Power Industry"/>
    <x v="3"/>
    <n v="8975656.1400000006"/>
  </r>
  <r>
    <x v="24"/>
    <x v="32"/>
    <s v="Total Electric Power Industry"/>
    <x v="12"/>
    <n v="665"/>
  </r>
  <r>
    <x v="24"/>
    <x v="32"/>
    <s v="Total Electric Power Industry"/>
    <x v="4"/>
    <n v="63156.78"/>
  </r>
  <r>
    <x v="24"/>
    <x v="32"/>
    <s v="Total Electric Power Industry"/>
    <x v="13"/>
    <n v="515054.21"/>
  </r>
  <r>
    <x v="24"/>
    <x v="32"/>
    <s v="Total Electric Power Industry"/>
    <x v="8"/>
    <n v="14179.43"/>
  </r>
  <r>
    <x v="24"/>
    <x v="32"/>
    <s v="Total Electric Power Industry"/>
    <x v="5"/>
    <n v="2274750"/>
  </r>
  <r>
    <x v="24"/>
    <x v="32"/>
    <s v="Combined Heat and Power, Industrial Power"/>
    <x v="0"/>
    <n v="29805"/>
  </r>
  <r>
    <x v="24"/>
    <x v="32"/>
    <s v="Combined Heat and Power, Industrial Power"/>
    <x v="3"/>
    <n v="29686.92"/>
  </r>
  <r>
    <x v="24"/>
    <x v="32"/>
    <s v="Combined Heat and Power, Industrial Power"/>
    <x v="4"/>
    <n v="118.08"/>
  </r>
  <r>
    <x v="24"/>
    <x v="32"/>
    <s v="Combined Heat and Power, Commercial Power"/>
    <x v="0"/>
    <n v="112156"/>
  </r>
  <r>
    <x v="24"/>
    <x v="32"/>
    <s v="Combined Heat and Power, Commercial Power"/>
    <x v="3"/>
    <n v="109049"/>
  </r>
  <r>
    <x v="24"/>
    <x v="32"/>
    <s v="Combined Heat and Power, Commercial Power"/>
    <x v="5"/>
    <n v="3107"/>
  </r>
  <r>
    <x v="24"/>
    <x v="32"/>
    <s v="Combined Heat and Power, Electric Power"/>
    <x v="0"/>
    <n v="279543.65999999997"/>
  </r>
  <r>
    <x v="24"/>
    <x v="32"/>
    <s v="Combined Heat and Power, Electric Power"/>
    <x v="3"/>
    <n v="265364.23"/>
  </r>
  <r>
    <x v="24"/>
    <x v="32"/>
    <s v="Combined Heat and Power, Electric Power"/>
    <x v="8"/>
    <n v="14179.43"/>
  </r>
  <r>
    <x v="24"/>
    <x v="32"/>
    <s v="Electric Generators, Independent Power Producers"/>
    <x v="0"/>
    <n v="5461838.21"/>
  </r>
  <r>
    <x v="24"/>
    <x v="32"/>
    <s v="Electric Generators, Independent Power Producers"/>
    <x v="11"/>
    <n v="8736"/>
  </r>
  <r>
    <x v="24"/>
    <x v="32"/>
    <s v="Electric Generators, Independent Power Producers"/>
    <x v="3"/>
    <n v="2769466"/>
  </r>
  <r>
    <x v="24"/>
    <x v="32"/>
    <s v="Electric Generators, Independent Power Producers"/>
    <x v="13"/>
    <n v="411993.21"/>
  </r>
  <r>
    <x v="24"/>
    <x v="32"/>
    <s v="Electric Generators, Independent Power Producers"/>
    <x v="5"/>
    <n v="2271643"/>
  </r>
  <r>
    <x v="24"/>
    <x v="32"/>
    <s v="Electric Generators, Electric Utilities"/>
    <x v="0"/>
    <n v="26422867"/>
  </r>
  <r>
    <x v="24"/>
    <x v="32"/>
    <s v="Electric Generators, Electric Utilities"/>
    <x v="1"/>
    <n v="20355631.309999999"/>
  </r>
  <r>
    <x v="24"/>
    <x v="32"/>
    <s v="Electric Generators, Electric Utilities"/>
    <x v="2"/>
    <n v="98381"/>
  </r>
  <r>
    <x v="24"/>
    <x v="32"/>
    <s v="Electric Generators, Electric Utilities"/>
    <x v="3"/>
    <n v="5802089.9900000002"/>
  </r>
  <r>
    <x v="24"/>
    <x v="32"/>
    <s v="Electric Generators, Electric Utilities"/>
    <x v="12"/>
    <n v="665"/>
  </r>
  <r>
    <x v="24"/>
    <x v="32"/>
    <s v="Electric Generators, Electric Utilities"/>
    <x v="4"/>
    <n v="63038.7"/>
  </r>
  <r>
    <x v="24"/>
    <x v="32"/>
    <s v="Electric Generators, Electric Utilities"/>
    <x v="13"/>
    <n v="103061"/>
  </r>
  <r>
    <x v="24"/>
    <x v="33"/>
    <s v="Total Electric Power Industry"/>
    <x v="0"/>
    <n v="36000537"/>
  </r>
  <r>
    <x v="24"/>
    <x v="33"/>
    <s v="Total Electric Power Industry"/>
    <x v="1"/>
    <n v="6547863.5899999999"/>
  </r>
  <r>
    <x v="24"/>
    <x v="33"/>
    <s v="Total Electric Power Industry"/>
    <x v="11"/>
    <n v="2728788"/>
  </r>
  <r>
    <x v="24"/>
    <x v="33"/>
    <s v="Total Electric Power Industry"/>
    <x v="2"/>
    <n v="2389000"/>
  </r>
  <r>
    <x v="24"/>
    <x v="33"/>
    <s v="Total Electric Power Industry"/>
    <x v="3"/>
    <n v="22961355.140000001"/>
  </r>
  <r>
    <x v="24"/>
    <x v="33"/>
    <s v="Total Electric Power Industry"/>
    <x v="9"/>
    <n v="5151.38"/>
  </r>
  <r>
    <x v="24"/>
    <x v="33"/>
    <s v="Total Electric Power Industry"/>
    <x v="12"/>
    <n v="14965"/>
  </r>
  <r>
    <x v="24"/>
    <x v="33"/>
    <s v="Total Electric Power Industry"/>
    <x v="4"/>
    <n v="15029.89"/>
  </r>
  <r>
    <x v="24"/>
    <x v="33"/>
    <s v="Total Electric Power Industry"/>
    <x v="13"/>
    <n v="1013682"/>
  </r>
  <r>
    <x v="24"/>
    <x v="33"/>
    <s v="Total Electric Power Industry"/>
    <x v="8"/>
    <n v="24568"/>
  </r>
  <r>
    <x v="24"/>
    <x v="33"/>
    <s v="Total Electric Power Industry"/>
    <x v="5"/>
    <n v="300134"/>
  </r>
  <r>
    <x v="24"/>
    <x v="33"/>
    <s v="Total Electric Power Industry"/>
    <x v="6"/>
    <n v="0"/>
  </r>
  <r>
    <x v="24"/>
    <x v="33"/>
    <s v="Combined Heat and Power, Industrial Power"/>
    <x v="0"/>
    <n v="240964"/>
  </r>
  <r>
    <x v="24"/>
    <x v="33"/>
    <s v="Combined Heat and Power, Industrial Power"/>
    <x v="3"/>
    <n v="238404"/>
  </r>
  <r>
    <x v="24"/>
    <x v="33"/>
    <s v="Combined Heat and Power, Industrial Power"/>
    <x v="13"/>
    <n v="2560"/>
  </r>
  <r>
    <x v="24"/>
    <x v="33"/>
    <s v="Combined Heat and Power, Commercial Power"/>
    <x v="0"/>
    <n v="95465"/>
  </r>
  <r>
    <x v="24"/>
    <x v="33"/>
    <s v="Combined Heat and Power, Commercial Power"/>
    <x v="3"/>
    <n v="64263"/>
  </r>
  <r>
    <x v="24"/>
    <x v="33"/>
    <s v="Combined Heat and Power, Commercial Power"/>
    <x v="13"/>
    <n v="31202"/>
  </r>
  <r>
    <x v="24"/>
    <x v="33"/>
    <s v="Combined Heat and Power, Electric Power"/>
    <x v="0"/>
    <n v="2208897"/>
  </r>
  <r>
    <x v="24"/>
    <x v="33"/>
    <s v="Combined Heat and Power, Electric Power"/>
    <x v="3"/>
    <n v="2203693.1"/>
  </r>
  <r>
    <x v="24"/>
    <x v="33"/>
    <s v="Combined Heat and Power, Electric Power"/>
    <x v="9"/>
    <n v="5151.38"/>
  </r>
  <r>
    <x v="24"/>
    <x v="33"/>
    <s v="Combined Heat and Power, Electric Power"/>
    <x v="4"/>
    <n v="52.52"/>
  </r>
  <r>
    <x v="24"/>
    <x v="33"/>
    <s v="Electric Generators, Independent Power Producers"/>
    <x v="0"/>
    <n v="5696483"/>
  </r>
  <r>
    <x v="24"/>
    <x v="33"/>
    <s v="Electric Generators, Independent Power Producers"/>
    <x v="1"/>
    <n v="1422040.13"/>
  </r>
  <r>
    <x v="24"/>
    <x v="33"/>
    <s v="Electric Generators, Independent Power Producers"/>
    <x v="11"/>
    <n v="2728788"/>
  </r>
  <r>
    <x v="24"/>
    <x v="33"/>
    <s v="Electric Generators, Independent Power Producers"/>
    <x v="2"/>
    <n v="36692"/>
  </r>
  <r>
    <x v="24"/>
    <x v="33"/>
    <s v="Electric Generators, Independent Power Producers"/>
    <x v="3"/>
    <n v="202095"/>
  </r>
  <r>
    <x v="24"/>
    <x v="33"/>
    <s v="Electric Generators, Independent Power Producers"/>
    <x v="4"/>
    <n v="2245.87"/>
  </r>
  <r>
    <x v="24"/>
    <x v="33"/>
    <s v="Electric Generators, Independent Power Producers"/>
    <x v="13"/>
    <n v="979920"/>
  </r>
  <r>
    <x v="24"/>
    <x v="33"/>
    <s v="Electric Generators, Independent Power Producers"/>
    <x v="8"/>
    <n v="24568"/>
  </r>
  <r>
    <x v="24"/>
    <x v="33"/>
    <s v="Electric Generators, Independent Power Producers"/>
    <x v="5"/>
    <n v="300134"/>
  </r>
  <r>
    <x v="24"/>
    <x v="33"/>
    <s v="Electric Generators, Electric Utilities"/>
    <x v="0"/>
    <n v="27758728"/>
  </r>
  <r>
    <x v="24"/>
    <x v="33"/>
    <s v="Electric Generators, Electric Utilities"/>
    <x v="1"/>
    <n v="5125823.46"/>
  </r>
  <r>
    <x v="24"/>
    <x v="33"/>
    <s v="Electric Generators, Electric Utilities"/>
    <x v="2"/>
    <n v="2352308"/>
  </r>
  <r>
    <x v="24"/>
    <x v="33"/>
    <s v="Electric Generators, Electric Utilities"/>
    <x v="3"/>
    <n v="20252900.039999999"/>
  </r>
  <r>
    <x v="24"/>
    <x v="33"/>
    <s v="Electric Generators, Electric Utilities"/>
    <x v="12"/>
    <n v="14965"/>
  </r>
  <r>
    <x v="24"/>
    <x v="33"/>
    <s v="Electric Generators, Electric Utilities"/>
    <x v="4"/>
    <n v="12731.5"/>
  </r>
  <r>
    <x v="24"/>
    <x v="33"/>
    <s v="Electric Generators, Electric Utilities"/>
    <x v="6"/>
    <n v="0"/>
  </r>
  <r>
    <x v="24"/>
    <x v="34"/>
    <s v="Total Electric Power Industry"/>
    <x v="0"/>
    <n v="137122202.13999999"/>
  </r>
  <r>
    <x v="24"/>
    <x v="34"/>
    <s v="Total Electric Power Industry"/>
    <x v="1"/>
    <n v="4592054.1100000003"/>
  </r>
  <r>
    <x v="24"/>
    <x v="34"/>
    <s v="Total Electric Power Industry"/>
    <x v="10"/>
    <n v="-491330"/>
  </r>
  <r>
    <x v="24"/>
    <x v="34"/>
    <s v="Total Electric Power Industry"/>
    <x v="2"/>
    <n v="26086902.239999998"/>
  </r>
  <r>
    <x v="24"/>
    <x v="34"/>
    <s v="Total Electric Power Industry"/>
    <x v="3"/>
    <n v="54379758.950000003"/>
  </r>
  <r>
    <x v="24"/>
    <x v="34"/>
    <s v="Total Electric Power Industry"/>
    <x v="7"/>
    <n v="43038624"/>
  </r>
  <r>
    <x v="24"/>
    <x v="34"/>
    <s v="Total Electric Power Industry"/>
    <x v="9"/>
    <n v="0"/>
  </r>
  <r>
    <x v="24"/>
    <x v="34"/>
    <s v="Total Electric Power Industry"/>
    <x v="12"/>
    <n v="933084.39"/>
  </r>
  <r>
    <x v="24"/>
    <x v="34"/>
    <s v="Total Electric Power Industry"/>
    <x v="4"/>
    <n v="2136483.5099999998"/>
  </r>
  <r>
    <x v="24"/>
    <x v="34"/>
    <s v="Total Electric Power Industry"/>
    <x v="13"/>
    <n v="70615.64"/>
  </r>
  <r>
    <x v="24"/>
    <x v="34"/>
    <s v="Total Electric Power Industry"/>
    <x v="8"/>
    <n v="1668767.94"/>
  </r>
  <r>
    <x v="24"/>
    <x v="34"/>
    <s v="Total Electric Power Industry"/>
    <x v="5"/>
    <n v="3968407.15"/>
  </r>
  <r>
    <x v="24"/>
    <x v="34"/>
    <s v="Total Electric Power Industry"/>
    <x v="6"/>
    <n v="738834.21"/>
  </r>
  <r>
    <x v="24"/>
    <x v="34"/>
    <s v="Combined Heat and Power, Industrial Power"/>
    <x v="0"/>
    <n v="950812.81"/>
  </r>
  <r>
    <x v="24"/>
    <x v="34"/>
    <s v="Combined Heat and Power, Industrial Power"/>
    <x v="1"/>
    <n v="309522.34000000003"/>
  </r>
  <r>
    <x v="24"/>
    <x v="34"/>
    <s v="Combined Heat and Power, Industrial Power"/>
    <x v="2"/>
    <n v="68582"/>
  </r>
  <r>
    <x v="24"/>
    <x v="34"/>
    <s v="Combined Heat and Power, Industrial Power"/>
    <x v="3"/>
    <n v="227849.26"/>
  </r>
  <r>
    <x v="24"/>
    <x v="34"/>
    <s v="Combined Heat and Power, Industrial Power"/>
    <x v="9"/>
    <n v="0"/>
  </r>
  <r>
    <x v="24"/>
    <x v="34"/>
    <s v="Combined Heat and Power, Industrial Power"/>
    <x v="4"/>
    <n v="82835.33"/>
  </r>
  <r>
    <x v="24"/>
    <x v="34"/>
    <s v="Combined Heat and Power, Industrial Power"/>
    <x v="5"/>
    <n v="2460.15"/>
  </r>
  <r>
    <x v="24"/>
    <x v="34"/>
    <s v="Combined Heat and Power, Industrial Power"/>
    <x v="6"/>
    <n v="259563.73"/>
  </r>
  <r>
    <x v="24"/>
    <x v="34"/>
    <s v="Combined Heat and Power, Commercial Power"/>
    <x v="0"/>
    <n v="1174320.6299999999"/>
  </r>
  <r>
    <x v="24"/>
    <x v="34"/>
    <s v="Combined Heat and Power, Commercial Power"/>
    <x v="1"/>
    <n v="0"/>
  </r>
  <r>
    <x v="24"/>
    <x v="34"/>
    <s v="Combined Heat and Power, Commercial Power"/>
    <x v="2"/>
    <n v="2660"/>
  </r>
  <r>
    <x v="24"/>
    <x v="34"/>
    <s v="Combined Heat and Power, Commercial Power"/>
    <x v="3"/>
    <n v="687975.71"/>
  </r>
  <r>
    <x v="24"/>
    <x v="34"/>
    <s v="Combined Heat and Power, Commercial Power"/>
    <x v="12"/>
    <n v="195914.15"/>
  </r>
  <r>
    <x v="24"/>
    <x v="34"/>
    <s v="Combined Heat and Power, Commercial Power"/>
    <x v="4"/>
    <n v="76246.84"/>
  </r>
  <r>
    <x v="24"/>
    <x v="34"/>
    <s v="Combined Heat and Power, Commercial Power"/>
    <x v="13"/>
    <n v="4"/>
  </r>
  <r>
    <x v="24"/>
    <x v="34"/>
    <s v="Combined Heat and Power, Commercial Power"/>
    <x v="8"/>
    <n v="211519.93"/>
  </r>
  <r>
    <x v="24"/>
    <x v="34"/>
    <s v="Combined Heat and Power, Electric Power"/>
    <x v="0"/>
    <n v="15510730.08"/>
  </r>
  <r>
    <x v="24"/>
    <x v="34"/>
    <s v="Combined Heat and Power, Electric Power"/>
    <x v="3"/>
    <n v="15154381.32"/>
  </r>
  <r>
    <x v="24"/>
    <x v="34"/>
    <s v="Combined Heat and Power, Electric Power"/>
    <x v="12"/>
    <n v="73762.52"/>
  </r>
  <r>
    <x v="24"/>
    <x v="34"/>
    <s v="Combined Heat and Power, Electric Power"/>
    <x v="4"/>
    <n v="57447.18"/>
  </r>
  <r>
    <x v="24"/>
    <x v="34"/>
    <s v="Combined Heat and Power, Electric Power"/>
    <x v="8"/>
    <n v="76772.12"/>
  </r>
  <r>
    <x v="24"/>
    <x v="34"/>
    <s v="Combined Heat and Power, Electric Power"/>
    <x v="6"/>
    <n v="148366.94"/>
  </r>
  <r>
    <x v="24"/>
    <x v="34"/>
    <s v="Electric Generators, Independent Power Producers"/>
    <x v="0"/>
    <n v="85403483.049999997"/>
  </r>
  <r>
    <x v="24"/>
    <x v="34"/>
    <s v="Electric Generators, Independent Power Producers"/>
    <x v="1"/>
    <n v="4282531.7699999996"/>
  </r>
  <r>
    <x v="24"/>
    <x v="34"/>
    <s v="Electric Generators, Independent Power Producers"/>
    <x v="2"/>
    <n v="4587628.24"/>
  </r>
  <r>
    <x v="24"/>
    <x v="34"/>
    <s v="Electric Generators, Independent Power Producers"/>
    <x v="3"/>
    <n v="26396037.059999999"/>
  </r>
  <r>
    <x v="24"/>
    <x v="34"/>
    <s v="Electric Generators, Independent Power Producers"/>
    <x v="7"/>
    <n v="43038624"/>
  </r>
  <r>
    <x v="24"/>
    <x v="34"/>
    <s v="Electric Generators, Independent Power Producers"/>
    <x v="12"/>
    <n v="632362.18000000005"/>
  </r>
  <r>
    <x v="24"/>
    <x v="34"/>
    <s v="Electric Generators, Independent Power Producers"/>
    <x v="4"/>
    <n v="987279.84"/>
  </r>
  <r>
    <x v="24"/>
    <x v="34"/>
    <s v="Electric Generators, Independent Power Producers"/>
    <x v="13"/>
    <n v="70611.64"/>
  </r>
  <r>
    <x v="24"/>
    <x v="34"/>
    <s v="Electric Generators, Independent Power Producers"/>
    <x v="8"/>
    <n v="1380475.89"/>
  </r>
  <r>
    <x v="24"/>
    <x v="34"/>
    <s v="Electric Generators, Independent Power Producers"/>
    <x v="5"/>
    <n v="3965947"/>
  </r>
  <r>
    <x v="24"/>
    <x v="34"/>
    <s v="Electric Generators, Independent Power Producers"/>
    <x v="6"/>
    <n v="61985.43"/>
  </r>
  <r>
    <x v="24"/>
    <x v="34"/>
    <s v="Electric Generators, Electric Utilities"/>
    <x v="0"/>
    <n v="34082855.57"/>
  </r>
  <r>
    <x v="24"/>
    <x v="34"/>
    <s v="Electric Generators, Electric Utilities"/>
    <x v="1"/>
    <n v="0"/>
  </r>
  <r>
    <x v="24"/>
    <x v="34"/>
    <s v="Electric Generators, Electric Utilities"/>
    <x v="10"/>
    <n v="-491330"/>
  </r>
  <r>
    <x v="24"/>
    <x v="34"/>
    <s v="Electric Generators, Electric Utilities"/>
    <x v="2"/>
    <n v="21428032"/>
  </r>
  <r>
    <x v="24"/>
    <x v="34"/>
    <s v="Electric Generators, Electric Utilities"/>
    <x v="3"/>
    <n v="11913515.6"/>
  </r>
  <r>
    <x v="24"/>
    <x v="34"/>
    <s v="Electric Generators, Electric Utilities"/>
    <x v="12"/>
    <n v="31045.54"/>
  </r>
  <r>
    <x v="24"/>
    <x v="34"/>
    <s v="Electric Generators, Electric Utilities"/>
    <x v="4"/>
    <n v="932674.32"/>
  </r>
  <r>
    <x v="24"/>
    <x v="34"/>
    <s v="Electric Generators, Electric Utilities"/>
    <x v="6"/>
    <n v="268918.11"/>
  </r>
  <r>
    <x v="24"/>
    <x v="35"/>
    <s v="Total Electric Power Industry"/>
    <x v="0"/>
    <n v="134476404.97"/>
  </r>
  <r>
    <x v="24"/>
    <x v="35"/>
    <s v="Total Electric Power Industry"/>
    <x v="1"/>
    <n v="89879051.620000005"/>
  </r>
  <r>
    <x v="24"/>
    <x v="35"/>
    <s v="Total Electric Power Industry"/>
    <x v="2"/>
    <n v="478007.22"/>
  </r>
  <r>
    <x v="24"/>
    <x v="35"/>
    <s v="Total Electric Power Industry"/>
    <x v="3"/>
    <n v="23636444.989999998"/>
  </r>
  <r>
    <x v="24"/>
    <x v="35"/>
    <s v="Total Electric Power Industry"/>
    <x v="7"/>
    <n v="16284440"/>
  </r>
  <r>
    <x v="24"/>
    <x v="35"/>
    <s v="Total Electric Power Industry"/>
    <x v="9"/>
    <n v="929387.63"/>
  </r>
  <r>
    <x v="24"/>
    <x v="35"/>
    <s v="Total Electric Power Industry"/>
    <x v="12"/>
    <n v="-3392.69"/>
  </r>
  <r>
    <x v="24"/>
    <x v="35"/>
    <s v="Total Electric Power Industry"/>
    <x v="4"/>
    <n v="1246672.71"/>
  </r>
  <r>
    <x v="24"/>
    <x v="35"/>
    <s v="Total Electric Power Industry"/>
    <x v="13"/>
    <n v="53908.27"/>
  </r>
  <r>
    <x v="24"/>
    <x v="35"/>
    <s v="Total Electric Power Industry"/>
    <x v="8"/>
    <n v="470881"/>
  </r>
  <r>
    <x v="24"/>
    <x v="35"/>
    <s v="Total Electric Power Industry"/>
    <x v="5"/>
    <n v="1153418"/>
  </r>
  <r>
    <x v="24"/>
    <x v="35"/>
    <s v="Total Electric Power Industry"/>
    <x v="6"/>
    <n v="347586.22"/>
  </r>
  <r>
    <x v="24"/>
    <x v="35"/>
    <s v="Combined Heat and Power, Industrial Power"/>
    <x v="0"/>
    <n v="873745.81"/>
  </r>
  <r>
    <x v="24"/>
    <x v="35"/>
    <s v="Combined Heat and Power, Industrial Power"/>
    <x v="1"/>
    <n v="237174.38"/>
  </r>
  <r>
    <x v="24"/>
    <x v="35"/>
    <s v="Combined Heat and Power, Industrial Power"/>
    <x v="3"/>
    <n v="51275.63"/>
  </r>
  <r>
    <x v="24"/>
    <x v="35"/>
    <s v="Combined Heat and Power, Industrial Power"/>
    <x v="9"/>
    <n v="204115.43"/>
  </r>
  <r>
    <x v="24"/>
    <x v="35"/>
    <s v="Combined Heat and Power, Industrial Power"/>
    <x v="12"/>
    <n v="7377.31"/>
  </r>
  <r>
    <x v="24"/>
    <x v="35"/>
    <s v="Combined Heat and Power, Industrial Power"/>
    <x v="4"/>
    <n v="5008.12"/>
  </r>
  <r>
    <x v="24"/>
    <x v="35"/>
    <s v="Combined Heat and Power, Industrial Power"/>
    <x v="8"/>
    <n v="16357.88"/>
  </r>
  <r>
    <x v="24"/>
    <x v="35"/>
    <s v="Combined Heat and Power, Industrial Power"/>
    <x v="5"/>
    <n v="35175"/>
  </r>
  <r>
    <x v="24"/>
    <x v="35"/>
    <s v="Combined Heat and Power, Industrial Power"/>
    <x v="6"/>
    <n v="317262.08000000002"/>
  </r>
  <r>
    <x v="24"/>
    <x v="35"/>
    <s v="Combined Heat and Power, Commercial Power"/>
    <x v="0"/>
    <n v="107390.65"/>
  </r>
  <r>
    <x v="24"/>
    <x v="35"/>
    <s v="Combined Heat and Power, Commercial Power"/>
    <x v="1"/>
    <n v="2943.06"/>
  </r>
  <r>
    <x v="24"/>
    <x v="35"/>
    <s v="Combined Heat and Power, Commercial Power"/>
    <x v="3"/>
    <n v="94531.11"/>
  </r>
  <r>
    <x v="24"/>
    <x v="35"/>
    <s v="Combined Heat and Power, Commercial Power"/>
    <x v="4"/>
    <n v="164.48"/>
  </r>
  <r>
    <x v="24"/>
    <x v="35"/>
    <s v="Combined Heat and Power, Commercial Power"/>
    <x v="13"/>
    <n v="3038"/>
  </r>
  <r>
    <x v="24"/>
    <x v="35"/>
    <s v="Combined Heat and Power, Commercial Power"/>
    <x v="8"/>
    <n v="6714"/>
  </r>
  <r>
    <x v="24"/>
    <x v="35"/>
    <s v="Combined Heat and Power, Electric Power"/>
    <x v="0"/>
    <n v="530457"/>
  </r>
  <r>
    <x v="24"/>
    <x v="35"/>
    <s v="Combined Heat and Power, Electric Power"/>
    <x v="1"/>
    <n v="0"/>
  </r>
  <r>
    <x v="24"/>
    <x v="35"/>
    <s v="Combined Heat and Power, Electric Power"/>
    <x v="3"/>
    <n v="157688.62"/>
  </r>
  <r>
    <x v="24"/>
    <x v="35"/>
    <s v="Combined Heat and Power, Electric Power"/>
    <x v="9"/>
    <n v="342444.25"/>
  </r>
  <r>
    <x v="24"/>
    <x v="35"/>
    <s v="Combined Heat and Power, Electric Power"/>
    <x v="6"/>
    <n v="30324.14"/>
  </r>
  <r>
    <x v="24"/>
    <x v="35"/>
    <s v="Electric Generators, Independent Power Producers"/>
    <x v="0"/>
    <n v="89674299.560000002"/>
  </r>
  <r>
    <x v="24"/>
    <x v="35"/>
    <s v="Electric Generators, Independent Power Producers"/>
    <x v="1"/>
    <n v="53303724.93"/>
  </r>
  <r>
    <x v="24"/>
    <x v="35"/>
    <s v="Electric Generators, Independent Power Producers"/>
    <x v="2"/>
    <n v="251299"/>
  </r>
  <r>
    <x v="24"/>
    <x v="35"/>
    <s v="Electric Generators, Independent Power Producers"/>
    <x v="3"/>
    <n v="16743030.82"/>
  </r>
  <r>
    <x v="24"/>
    <x v="35"/>
    <s v="Electric Generators, Independent Power Producers"/>
    <x v="7"/>
    <n v="16284440"/>
  </r>
  <r>
    <x v="24"/>
    <x v="35"/>
    <s v="Electric Generators, Independent Power Producers"/>
    <x v="9"/>
    <n v="382827.96"/>
  </r>
  <r>
    <x v="24"/>
    <x v="35"/>
    <s v="Electric Generators, Independent Power Producers"/>
    <x v="12"/>
    <n v="-10770"/>
  </r>
  <r>
    <x v="24"/>
    <x v="35"/>
    <s v="Electric Generators, Independent Power Producers"/>
    <x v="4"/>
    <n v="1130927.33"/>
  </r>
  <r>
    <x v="24"/>
    <x v="35"/>
    <s v="Electric Generators, Independent Power Producers"/>
    <x v="13"/>
    <n v="41822"/>
  </r>
  <r>
    <x v="24"/>
    <x v="35"/>
    <s v="Electric Generators, Independent Power Producers"/>
    <x v="8"/>
    <n v="443016.51"/>
  </r>
  <r>
    <x v="24"/>
    <x v="35"/>
    <s v="Electric Generators, Independent Power Producers"/>
    <x v="5"/>
    <n v="1103981"/>
  </r>
  <r>
    <x v="24"/>
    <x v="35"/>
    <s v="Electric Generators, Electric Utilities"/>
    <x v="0"/>
    <n v="43290511.950000003"/>
  </r>
  <r>
    <x v="24"/>
    <x v="35"/>
    <s v="Electric Generators, Electric Utilities"/>
    <x v="1"/>
    <n v="36335209.25"/>
  </r>
  <r>
    <x v="24"/>
    <x v="35"/>
    <s v="Electric Generators, Electric Utilities"/>
    <x v="2"/>
    <n v="226708.22"/>
  </r>
  <r>
    <x v="24"/>
    <x v="35"/>
    <s v="Electric Generators, Electric Utilities"/>
    <x v="3"/>
    <n v="6589918.8099999996"/>
  </r>
  <r>
    <x v="24"/>
    <x v="35"/>
    <s v="Electric Generators, Electric Utilities"/>
    <x v="4"/>
    <n v="110572.78"/>
  </r>
  <r>
    <x v="24"/>
    <x v="35"/>
    <s v="Electric Generators, Electric Utilities"/>
    <x v="13"/>
    <n v="9048.27"/>
  </r>
  <r>
    <x v="24"/>
    <x v="35"/>
    <s v="Electric Generators, Electric Utilities"/>
    <x v="8"/>
    <n v="4792.6099999999997"/>
  </r>
  <r>
    <x v="24"/>
    <x v="35"/>
    <s v="Electric Generators, Electric Utilities"/>
    <x v="5"/>
    <n v="14262"/>
  </r>
  <r>
    <x v="24"/>
    <x v="36"/>
    <s v="Total Electric Power Industry"/>
    <x v="0"/>
    <n v="70155504.299999997"/>
  </r>
  <r>
    <x v="24"/>
    <x v="36"/>
    <s v="Total Electric Power Industry"/>
    <x v="1"/>
    <n v="29905951.789999999"/>
  </r>
  <r>
    <x v="24"/>
    <x v="36"/>
    <s v="Total Electric Power Industry"/>
    <x v="10"/>
    <n v="-105798"/>
  </r>
  <r>
    <x v="24"/>
    <x v="36"/>
    <s v="Total Electric Power Industry"/>
    <x v="2"/>
    <n v="1428473"/>
  </r>
  <r>
    <x v="24"/>
    <x v="36"/>
    <s v="Total Electric Power Industry"/>
    <x v="3"/>
    <n v="26641474.390000001"/>
  </r>
  <r>
    <x v="24"/>
    <x v="36"/>
    <s v="Total Electric Power Industry"/>
    <x v="12"/>
    <n v="-2278.96"/>
  </r>
  <r>
    <x v="24"/>
    <x v="36"/>
    <s v="Total Electric Power Industry"/>
    <x v="4"/>
    <n v="12493.92"/>
  </r>
  <r>
    <x v="24"/>
    <x v="36"/>
    <s v="Total Electric Power Industry"/>
    <x v="8"/>
    <n v="91650.58"/>
  </r>
  <r>
    <x v="24"/>
    <x v="36"/>
    <s v="Total Electric Power Industry"/>
    <x v="5"/>
    <n v="11936833.039999999"/>
  </r>
  <r>
    <x v="24"/>
    <x v="36"/>
    <s v="Total Electric Power Industry"/>
    <x v="6"/>
    <n v="246704.54"/>
  </r>
  <r>
    <x v="24"/>
    <x v="36"/>
    <s v="Combined Heat and Power, Industrial Power"/>
    <x v="0"/>
    <n v="841584.26"/>
  </r>
  <r>
    <x v="24"/>
    <x v="36"/>
    <s v="Combined Heat and Power, Industrial Power"/>
    <x v="1"/>
    <n v="386034.51"/>
  </r>
  <r>
    <x v="24"/>
    <x v="36"/>
    <s v="Combined Heat and Power, Industrial Power"/>
    <x v="3"/>
    <n v="134765.51"/>
  </r>
  <r>
    <x v="24"/>
    <x v="36"/>
    <s v="Combined Heat and Power, Industrial Power"/>
    <x v="12"/>
    <n v="-2278.96"/>
  </r>
  <r>
    <x v="24"/>
    <x v="36"/>
    <s v="Combined Heat and Power, Industrial Power"/>
    <x v="4"/>
    <n v="349.08"/>
  </r>
  <r>
    <x v="24"/>
    <x v="36"/>
    <s v="Combined Heat and Power, Industrial Power"/>
    <x v="8"/>
    <n v="76009.58"/>
  </r>
  <r>
    <x v="24"/>
    <x v="36"/>
    <s v="Combined Heat and Power, Industrial Power"/>
    <x v="6"/>
    <n v="246704.54"/>
  </r>
  <r>
    <x v="24"/>
    <x v="36"/>
    <s v="Combined Heat and Power, Commercial Power"/>
    <x v="0"/>
    <n v="49"/>
  </r>
  <r>
    <x v="24"/>
    <x v="36"/>
    <s v="Combined Heat and Power, Commercial Power"/>
    <x v="3"/>
    <n v="36.83"/>
  </r>
  <r>
    <x v="24"/>
    <x v="36"/>
    <s v="Combined Heat and Power, Commercial Power"/>
    <x v="4"/>
    <n v="12.17"/>
  </r>
  <r>
    <x v="24"/>
    <x v="36"/>
    <s v="Combined Heat and Power, Electric Power"/>
    <x v="0"/>
    <n v="1985176"/>
  </r>
  <r>
    <x v="24"/>
    <x v="36"/>
    <s v="Combined Heat and Power, Electric Power"/>
    <x v="1"/>
    <n v="1889733"/>
  </r>
  <r>
    <x v="24"/>
    <x v="36"/>
    <s v="Combined Heat and Power, Electric Power"/>
    <x v="3"/>
    <n v="95443"/>
  </r>
  <r>
    <x v="24"/>
    <x v="36"/>
    <s v="Electric Generators, Independent Power Producers"/>
    <x v="0"/>
    <n v="19232669.039999999"/>
  </r>
  <r>
    <x v="24"/>
    <x v="36"/>
    <s v="Electric Generators, Independent Power Producers"/>
    <x v="3"/>
    <n v="8926059"/>
  </r>
  <r>
    <x v="24"/>
    <x v="36"/>
    <s v="Electric Generators, Independent Power Producers"/>
    <x v="8"/>
    <n v="15641"/>
  </r>
  <r>
    <x v="24"/>
    <x v="36"/>
    <s v="Electric Generators, Independent Power Producers"/>
    <x v="5"/>
    <n v="10290969.039999999"/>
  </r>
  <r>
    <x v="24"/>
    <x v="36"/>
    <s v="Electric Generators, Electric Utilities"/>
    <x v="0"/>
    <n v="48096026"/>
  </r>
  <r>
    <x v="24"/>
    <x v="36"/>
    <s v="Electric Generators, Electric Utilities"/>
    <x v="1"/>
    <n v="27630184.280000001"/>
  </r>
  <r>
    <x v="24"/>
    <x v="36"/>
    <s v="Electric Generators, Electric Utilities"/>
    <x v="10"/>
    <n v="-105798"/>
  </r>
  <r>
    <x v="24"/>
    <x v="36"/>
    <s v="Electric Generators, Electric Utilities"/>
    <x v="2"/>
    <n v="1428473"/>
  </r>
  <r>
    <x v="24"/>
    <x v="36"/>
    <s v="Electric Generators, Electric Utilities"/>
    <x v="3"/>
    <n v="17485170.039999999"/>
  </r>
  <r>
    <x v="24"/>
    <x v="36"/>
    <s v="Electric Generators, Electric Utilities"/>
    <x v="12"/>
    <n v="0"/>
  </r>
  <r>
    <x v="24"/>
    <x v="36"/>
    <s v="Electric Generators, Electric Utilities"/>
    <x v="4"/>
    <n v="12132.68"/>
  </r>
  <r>
    <x v="24"/>
    <x v="36"/>
    <s v="Electric Generators, Electric Utilities"/>
    <x v="5"/>
    <n v="1645864"/>
  </r>
  <r>
    <x v="24"/>
    <x v="37"/>
    <s v="Total Electric Power Industry"/>
    <x v="0"/>
    <n v="60119907.200000003"/>
  </r>
  <r>
    <x v="24"/>
    <x v="37"/>
    <s v="Total Electric Power Industry"/>
    <x v="1"/>
    <n v="3192593.03"/>
  </r>
  <r>
    <x v="24"/>
    <x v="37"/>
    <s v="Total Electric Power Industry"/>
    <x v="11"/>
    <n v="183467"/>
  </r>
  <r>
    <x v="24"/>
    <x v="37"/>
    <s v="Total Electric Power Industry"/>
    <x v="2"/>
    <n v="35261936"/>
  </r>
  <r>
    <x v="24"/>
    <x v="37"/>
    <s v="Total Electric Power Industry"/>
    <x v="3"/>
    <n v="12698957.779999999"/>
  </r>
  <r>
    <x v="24"/>
    <x v="37"/>
    <s v="Total Electric Power Industry"/>
    <x v="12"/>
    <n v="43003.93"/>
  </r>
  <r>
    <x v="24"/>
    <x v="37"/>
    <s v="Total Electric Power Industry"/>
    <x v="4"/>
    <n v="9883.98"/>
  </r>
  <r>
    <x v="24"/>
    <x v="37"/>
    <s v="Total Electric Power Industry"/>
    <x v="13"/>
    <n v="24042.05"/>
  </r>
  <r>
    <x v="24"/>
    <x v="37"/>
    <s v="Total Electric Power Industry"/>
    <x v="8"/>
    <n v="348095.49"/>
  </r>
  <r>
    <x v="24"/>
    <x v="37"/>
    <s v="Total Electric Power Industry"/>
    <x v="5"/>
    <n v="7555402"/>
  </r>
  <r>
    <x v="24"/>
    <x v="37"/>
    <s v="Total Electric Power Industry"/>
    <x v="6"/>
    <n v="802525.94"/>
  </r>
  <r>
    <x v="24"/>
    <x v="37"/>
    <s v="Combined Heat and Power, Industrial Power"/>
    <x v="0"/>
    <n v="703110.24"/>
  </r>
  <r>
    <x v="24"/>
    <x v="37"/>
    <s v="Combined Heat and Power, Industrial Power"/>
    <x v="3"/>
    <n v="69710.38"/>
  </r>
  <r>
    <x v="24"/>
    <x v="37"/>
    <s v="Combined Heat and Power, Industrial Power"/>
    <x v="12"/>
    <n v="0"/>
  </r>
  <r>
    <x v="24"/>
    <x v="37"/>
    <s v="Combined Heat and Power, Industrial Power"/>
    <x v="4"/>
    <n v="0"/>
  </r>
  <r>
    <x v="24"/>
    <x v="37"/>
    <s v="Combined Heat and Power, Industrial Power"/>
    <x v="8"/>
    <n v="26028.93"/>
  </r>
  <r>
    <x v="24"/>
    <x v="37"/>
    <s v="Combined Heat and Power, Industrial Power"/>
    <x v="6"/>
    <n v="607370.93999999994"/>
  </r>
  <r>
    <x v="24"/>
    <x v="37"/>
    <s v="Combined Heat and Power, Commercial Power"/>
    <x v="0"/>
    <n v="97157.73"/>
  </r>
  <r>
    <x v="24"/>
    <x v="37"/>
    <s v="Combined Heat and Power, Commercial Power"/>
    <x v="3"/>
    <n v="76777.38"/>
  </r>
  <r>
    <x v="24"/>
    <x v="37"/>
    <s v="Combined Heat and Power, Commercial Power"/>
    <x v="4"/>
    <n v="41.35"/>
  </r>
  <r>
    <x v="24"/>
    <x v="37"/>
    <s v="Combined Heat and Power, Commercial Power"/>
    <x v="8"/>
    <n v="20339"/>
  </r>
  <r>
    <x v="24"/>
    <x v="37"/>
    <s v="Combined Heat and Power, Electric Power"/>
    <x v="0"/>
    <n v="4541093"/>
  </r>
  <r>
    <x v="24"/>
    <x v="37"/>
    <s v="Combined Heat and Power, Electric Power"/>
    <x v="3"/>
    <n v="4499968"/>
  </r>
  <r>
    <x v="24"/>
    <x v="37"/>
    <s v="Combined Heat and Power, Electric Power"/>
    <x v="8"/>
    <n v="41125"/>
  </r>
  <r>
    <x v="24"/>
    <x v="37"/>
    <s v="Combined Heat and Power, Electric Power"/>
    <x v="6"/>
    <n v="0"/>
  </r>
  <r>
    <x v="24"/>
    <x v="37"/>
    <s v="Electric Generators, Independent Power Producers"/>
    <x v="0"/>
    <n v="10213307.050000001"/>
  </r>
  <r>
    <x v="24"/>
    <x v="37"/>
    <s v="Electric Generators, Independent Power Producers"/>
    <x v="11"/>
    <n v="183467"/>
  </r>
  <r>
    <x v="24"/>
    <x v="37"/>
    <s v="Electric Generators, Independent Power Producers"/>
    <x v="2"/>
    <n v="244202"/>
  </r>
  <r>
    <x v="24"/>
    <x v="37"/>
    <s v="Electric Generators, Independent Power Producers"/>
    <x v="3"/>
    <n v="3135575.51"/>
  </r>
  <r>
    <x v="24"/>
    <x v="37"/>
    <s v="Electric Generators, Independent Power Producers"/>
    <x v="12"/>
    <n v="43003.93"/>
  </r>
  <r>
    <x v="24"/>
    <x v="37"/>
    <s v="Electric Generators, Independent Power Producers"/>
    <x v="13"/>
    <n v="17619.05"/>
  </r>
  <r>
    <x v="24"/>
    <x v="37"/>
    <s v="Electric Generators, Independent Power Producers"/>
    <x v="8"/>
    <n v="196613.56"/>
  </r>
  <r>
    <x v="24"/>
    <x v="37"/>
    <s v="Electric Generators, Independent Power Producers"/>
    <x v="5"/>
    <n v="6197671"/>
  </r>
  <r>
    <x v="24"/>
    <x v="37"/>
    <s v="Electric Generators, Independent Power Producers"/>
    <x v="6"/>
    <n v="195155"/>
  </r>
  <r>
    <x v="24"/>
    <x v="37"/>
    <s v="Electric Generators, Electric Utilities"/>
    <x v="0"/>
    <n v="44565239.18"/>
  </r>
  <r>
    <x v="24"/>
    <x v="37"/>
    <s v="Electric Generators, Electric Utilities"/>
    <x v="1"/>
    <n v="3192593.03"/>
  </r>
  <r>
    <x v="24"/>
    <x v="37"/>
    <s v="Electric Generators, Electric Utilities"/>
    <x v="2"/>
    <n v="35017734"/>
  </r>
  <r>
    <x v="24"/>
    <x v="37"/>
    <s v="Electric Generators, Electric Utilities"/>
    <x v="3"/>
    <n v="4916926.5199999996"/>
  </r>
  <r>
    <x v="24"/>
    <x v="37"/>
    <s v="Electric Generators, Electric Utilities"/>
    <x v="4"/>
    <n v="9842.6299999999992"/>
  </r>
  <r>
    <x v="24"/>
    <x v="37"/>
    <s v="Electric Generators, Electric Utilities"/>
    <x v="13"/>
    <n v="6423"/>
  </r>
  <r>
    <x v="24"/>
    <x v="37"/>
    <s v="Electric Generators, Electric Utilities"/>
    <x v="8"/>
    <n v="63989"/>
  </r>
  <r>
    <x v="24"/>
    <x v="37"/>
    <s v="Electric Generators, Electric Utilities"/>
    <x v="5"/>
    <n v="1357731"/>
  </r>
  <r>
    <x v="24"/>
    <x v="38"/>
    <s v="Total Electric Power Industry"/>
    <x v="0"/>
    <n v="221058365.49000001"/>
  </r>
  <r>
    <x v="24"/>
    <x v="38"/>
    <s v="Total Electric Power Industry"/>
    <x v="1"/>
    <n v="78985628.569999993"/>
  </r>
  <r>
    <x v="24"/>
    <x v="38"/>
    <s v="Total Electric Power Industry"/>
    <x v="10"/>
    <n v="-578653"/>
  </r>
  <r>
    <x v="24"/>
    <x v="38"/>
    <s v="Total Electric Power Industry"/>
    <x v="2"/>
    <n v="2641157"/>
  </r>
  <r>
    <x v="24"/>
    <x v="38"/>
    <s v="Total Electric Power Industry"/>
    <x v="3"/>
    <n v="53021235.219999999"/>
  </r>
  <r>
    <x v="24"/>
    <x v="38"/>
    <s v="Total Electric Power Industry"/>
    <x v="7"/>
    <n v="78714659"/>
  </r>
  <r>
    <x v="24"/>
    <x v="38"/>
    <s v="Total Electric Power Industry"/>
    <x v="9"/>
    <n v="490776.94"/>
  </r>
  <r>
    <x v="24"/>
    <x v="38"/>
    <s v="Total Electric Power Industry"/>
    <x v="12"/>
    <n v="900134.19"/>
  </r>
  <r>
    <x v="24"/>
    <x v="38"/>
    <s v="Total Electric Power Industry"/>
    <x v="4"/>
    <n v="803004.24"/>
  </r>
  <r>
    <x v="24"/>
    <x v="38"/>
    <s v="Total Electric Power Industry"/>
    <x v="13"/>
    <n v="62392.42"/>
  </r>
  <r>
    <x v="24"/>
    <x v="38"/>
    <s v="Total Electric Power Industry"/>
    <x v="8"/>
    <n v="1904224.2"/>
  </r>
  <r>
    <x v="24"/>
    <x v="38"/>
    <s v="Total Electric Power Industry"/>
    <x v="5"/>
    <n v="3564730"/>
  </r>
  <r>
    <x v="24"/>
    <x v="38"/>
    <s v="Total Electric Power Industry"/>
    <x v="6"/>
    <n v="549076.71"/>
  </r>
  <r>
    <x v="24"/>
    <x v="38"/>
    <s v="Combined Heat and Power, Industrial Power"/>
    <x v="0"/>
    <n v="3041253.57"/>
  </r>
  <r>
    <x v="24"/>
    <x v="38"/>
    <s v="Combined Heat and Power, Industrial Power"/>
    <x v="1"/>
    <n v="526855.81999999995"/>
  </r>
  <r>
    <x v="24"/>
    <x v="38"/>
    <s v="Combined Heat and Power, Industrial Power"/>
    <x v="3"/>
    <n v="1234937.73"/>
  </r>
  <r>
    <x v="24"/>
    <x v="38"/>
    <s v="Combined Heat and Power, Industrial Power"/>
    <x v="9"/>
    <n v="490776.94"/>
  </r>
  <r>
    <x v="24"/>
    <x v="38"/>
    <s v="Combined Heat and Power, Industrial Power"/>
    <x v="4"/>
    <n v="169416.49"/>
  </r>
  <r>
    <x v="24"/>
    <x v="38"/>
    <s v="Combined Heat and Power, Industrial Power"/>
    <x v="13"/>
    <n v="8154"/>
  </r>
  <r>
    <x v="24"/>
    <x v="38"/>
    <s v="Combined Heat and Power, Industrial Power"/>
    <x v="8"/>
    <n v="65732.42"/>
  </r>
  <r>
    <x v="24"/>
    <x v="38"/>
    <s v="Combined Heat and Power, Industrial Power"/>
    <x v="6"/>
    <n v="545380.17000000004"/>
  </r>
  <r>
    <x v="24"/>
    <x v="38"/>
    <s v="Combined Heat and Power, Commercial Power"/>
    <x v="0"/>
    <n v="417385.88"/>
  </r>
  <r>
    <x v="24"/>
    <x v="38"/>
    <s v="Combined Heat and Power, Commercial Power"/>
    <x v="1"/>
    <n v="16635.22"/>
  </r>
  <r>
    <x v="24"/>
    <x v="38"/>
    <s v="Combined Heat and Power, Commercial Power"/>
    <x v="3"/>
    <n v="138933.51"/>
  </r>
  <r>
    <x v="24"/>
    <x v="38"/>
    <s v="Combined Heat and Power, Commercial Power"/>
    <x v="12"/>
    <n v="99095.47"/>
  </r>
  <r>
    <x v="24"/>
    <x v="38"/>
    <s v="Combined Heat and Power, Commercial Power"/>
    <x v="4"/>
    <n v="2434.77"/>
  </r>
  <r>
    <x v="24"/>
    <x v="38"/>
    <s v="Combined Heat and Power, Commercial Power"/>
    <x v="13"/>
    <n v="3919"/>
  </r>
  <r>
    <x v="24"/>
    <x v="38"/>
    <s v="Combined Heat and Power, Commercial Power"/>
    <x v="8"/>
    <n v="156367.91"/>
  </r>
  <r>
    <x v="24"/>
    <x v="38"/>
    <s v="Combined Heat and Power, Electric Power"/>
    <x v="0"/>
    <n v="9451338.2799999993"/>
  </r>
  <r>
    <x v="24"/>
    <x v="38"/>
    <s v="Combined Heat and Power, Electric Power"/>
    <x v="1"/>
    <n v="3169014.44"/>
  </r>
  <r>
    <x v="24"/>
    <x v="38"/>
    <s v="Combined Heat and Power, Electric Power"/>
    <x v="3"/>
    <n v="6032043.6399999997"/>
  </r>
  <r>
    <x v="24"/>
    <x v="38"/>
    <s v="Combined Heat and Power, Electric Power"/>
    <x v="9"/>
    <n v="0"/>
  </r>
  <r>
    <x v="24"/>
    <x v="38"/>
    <s v="Combined Heat and Power, Electric Power"/>
    <x v="12"/>
    <n v="136197.18"/>
  </r>
  <r>
    <x v="24"/>
    <x v="38"/>
    <s v="Combined Heat and Power, Electric Power"/>
    <x v="4"/>
    <n v="37581.480000000003"/>
  </r>
  <r>
    <x v="24"/>
    <x v="38"/>
    <s v="Combined Heat and Power, Electric Power"/>
    <x v="8"/>
    <n v="72805"/>
  </r>
  <r>
    <x v="24"/>
    <x v="38"/>
    <s v="Combined Heat and Power, Electric Power"/>
    <x v="6"/>
    <n v="3696.54"/>
  </r>
  <r>
    <x v="24"/>
    <x v="38"/>
    <s v="Electric Generators, Independent Power Producers"/>
    <x v="0"/>
    <n v="208057393.75999999"/>
  </r>
  <r>
    <x v="24"/>
    <x v="38"/>
    <s v="Electric Generators, Independent Power Producers"/>
    <x v="1"/>
    <n v="75273123.079999998"/>
  </r>
  <r>
    <x v="24"/>
    <x v="38"/>
    <s v="Electric Generators, Independent Power Producers"/>
    <x v="10"/>
    <n v="-578653"/>
  </r>
  <r>
    <x v="24"/>
    <x v="38"/>
    <s v="Electric Generators, Independent Power Producers"/>
    <x v="2"/>
    <n v="2560029"/>
  </r>
  <r>
    <x v="24"/>
    <x v="38"/>
    <s v="Electric Generators, Independent Power Producers"/>
    <x v="3"/>
    <n v="45606779.219999999"/>
  </r>
  <r>
    <x v="24"/>
    <x v="38"/>
    <s v="Electric Generators, Independent Power Producers"/>
    <x v="7"/>
    <n v="78714659"/>
  </r>
  <r>
    <x v="24"/>
    <x v="38"/>
    <s v="Electric Generators, Independent Power Producers"/>
    <x v="12"/>
    <n v="664841.54"/>
  </r>
  <r>
    <x v="24"/>
    <x v="38"/>
    <s v="Electric Generators, Independent Power Producers"/>
    <x v="4"/>
    <n v="592246.63"/>
  </r>
  <r>
    <x v="24"/>
    <x v="38"/>
    <s v="Electric Generators, Independent Power Producers"/>
    <x v="13"/>
    <n v="50319.42"/>
  </r>
  <r>
    <x v="24"/>
    <x v="38"/>
    <s v="Electric Generators, Independent Power Producers"/>
    <x v="8"/>
    <n v="1609318.87"/>
  </r>
  <r>
    <x v="24"/>
    <x v="38"/>
    <s v="Electric Generators, Independent Power Producers"/>
    <x v="5"/>
    <n v="3564730"/>
  </r>
  <r>
    <x v="24"/>
    <x v="38"/>
    <s v="Electric Generators, Independent Power Producers"/>
    <x v="6"/>
    <n v="0"/>
  </r>
  <r>
    <x v="24"/>
    <x v="38"/>
    <s v="Electric Generators, Electric Utilities"/>
    <x v="0"/>
    <n v="90994"/>
  </r>
  <r>
    <x v="24"/>
    <x v="38"/>
    <s v="Electric Generators, Electric Utilities"/>
    <x v="1"/>
    <n v="0"/>
  </r>
  <r>
    <x v="24"/>
    <x v="38"/>
    <s v="Electric Generators, Electric Utilities"/>
    <x v="2"/>
    <n v="81128"/>
  </r>
  <r>
    <x v="24"/>
    <x v="38"/>
    <s v="Electric Generators, Electric Utilities"/>
    <x v="3"/>
    <n v="8541.1299999999992"/>
  </r>
  <r>
    <x v="24"/>
    <x v="38"/>
    <s v="Electric Generators, Electric Utilities"/>
    <x v="4"/>
    <n v="1324.87"/>
  </r>
  <r>
    <x v="24"/>
    <x v="39"/>
    <s v="Total Electric Power Industry"/>
    <x v="0"/>
    <n v="6281748.2199999997"/>
  </r>
  <r>
    <x v="24"/>
    <x v="39"/>
    <s v="Total Electric Power Industry"/>
    <x v="1"/>
    <n v="0"/>
  </r>
  <r>
    <x v="24"/>
    <x v="39"/>
    <s v="Total Electric Power Industry"/>
    <x v="2"/>
    <n v="3963.96"/>
  </r>
  <r>
    <x v="24"/>
    <x v="39"/>
    <s v="Total Electric Power Industry"/>
    <x v="3"/>
    <n v="5962950.9800000004"/>
  </r>
  <r>
    <x v="24"/>
    <x v="39"/>
    <s v="Total Electric Power Industry"/>
    <x v="4"/>
    <n v="88418.89"/>
  </r>
  <r>
    <x v="24"/>
    <x v="39"/>
    <s v="Total Electric Power Industry"/>
    <x v="13"/>
    <n v="9803"/>
  </r>
  <r>
    <x v="24"/>
    <x v="39"/>
    <s v="Total Electric Power Industry"/>
    <x v="8"/>
    <n v="206694.39"/>
  </r>
  <r>
    <x v="24"/>
    <x v="39"/>
    <s v="Total Electric Power Industry"/>
    <x v="5"/>
    <n v="9917"/>
  </r>
  <r>
    <x v="24"/>
    <x v="39"/>
    <s v="Combined Heat and Power, Commercial Power"/>
    <x v="0"/>
    <n v="67585.72"/>
  </r>
  <r>
    <x v="24"/>
    <x v="39"/>
    <s v="Combined Heat and Power, Commercial Power"/>
    <x v="3"/>
    <n v="42631.41"/>
  </r>
  <r>
    <x v="24"/>
    <x v="39"/>
    <s v="Combined Heat and Power, Commercial Power"/>
    <x v="4"/>
    <n v="17422.3"/>
  </r>
  <r>
    <x v="24"/>
    <x v="39"/>
    <s v="Combined Heat and Power, Commercial Power"/>
    <x v="5"/>
    <n v="7532"/>
  </r>
  <r>
    <x v="24"/>
    <x v="39"/>
    <s v="Electric Generators, Independent Power Producers"/>
    <x v="0"/>
    <n v="6203492.5"/>
  </r>
  <r>
    <x v="24"/>
    <x v="39"/>
    <s v="Electric Generators, Independent Power Producers"/>
    <x v="1"/>
    <n v="0"/>
  </r>
  <r>
    <x v="24"/>
    <x v="39"/>
    <s v="Electric Generators, Independent Power Producers"/>
    <x v="2"/>
    <n v="3963.96"/>
  </r>
  <r>
    <x v="24"/>
    <x v="39"/>
    <s v="Electric Generators, Independent Power Producers"/>
    <x v="3"/>
    <n v="5920319.5599999996"/>
  </r>
  <r>
    <x v="24"/>
    <x v="39"/>
    <s v="Electric Generators, Independent Power Producers"/>
    <x v="4"/>
    <n v="60326.59"/>
  </r>
  <r>
    <x v="24"/>
    <x v="39"/>
    <s v="Electric Generators, Independent Power Producers"/>
    <x v="13"/>
    <n v="9803"/>
  </r>
  <r>
    <x v="24"/>
    <x v="39"/>
    <s v="Electric Generators, Independent Power Producers"/>
    <x v="8"/>
    <n v="206694.39"/>
  </r>
  <r>
    <x v="24"/>
    <x v="39"/>
    <s v="Electric Generators, Independent Power Producers"/>
    <x v="5"/>
    <n v="2385"/>
  </r>
  <r>
    <x v="24"/>
    <x v="39"/>
    <s v="Electric Generators, Electric Utilities"/>
    <x v="0"/>
    <n v="10670"/>
  </r>
  <r>
    <x v="24"/>
    <x v="39"/>
    <s v="Electric Generators, Electric Utilities"/>
    <x v="4"/>
    <n v="10670"/>
  </r>
  <r>
    <x v="24"/>
    <x v="40"/>
    <s v="Total Electric Power Industry"/>
    <x v="0"/>
    <n v="97158464.930000007"/>
  </r>
  <r>
    <x v="24"/>
    <x v="40"/>
    <s v="Total Electric Power Industry"/>
    <x v="1"/>
    <n v="28914306.800000001"/>
  </r>
  <r>
    <x v="24"/>
    <x v="40"/>
    <s v="Total Electric Power Industry"/>
    <x v="10"/>
    <n v="-884495"/>
  </r>
  <r>
    <x v="24"/>
    <x v="40"/>
    <s v="Total Electric Power Industry"/>
    <x v="2"/>
    <n v="2569126"/>
  </r>
  <r>
    <x v="24"/>
    <x v="40"/>
    <s v="Total Electric Power Industry"/>
    <x v="3"/>
    <n v="11406640.029999999"/>
  </r>
  <r>
    <x v="24"/>
    <x v="40"/>
    <s v="Total Electric Power Industry"/>
    <x v="7"/>
    <n v="52418553"/>
  </r>
  <r>
    <x v="24"/>
    <x v="40"/>
    <s v="Total Electric Power Industry"/>
    <x v="12"/>
    <n v="46265.08"/>
  </r>
  <r>
    <x v="24"/>
    <x v="40"/>
    <s v="Total Electric Power Industry"/>
    <x v="4"/>
    <n v="245573.75"/>
  </r>
  <r>
    <x v="24"/>
    <x v="40"/>
    <s v="Total Electric Power Industry"/>
    <x v="13"/>
    <n v="4785"/>
  </r>
  <r>
    <x v="24"/>
    <x v="40"/>
    <s v="Total Electric Power Industry"/>
    <x v="8"/>
    <n v="194058.7"/>
  </r>
  <r>
    <x v="24"/>
    <x v="40"/>
    <s v="Total Electric Power Industry"/>
    <x v="6"/>
    <n v="2243651.5699999998"/>
  </r>
  <r>
    <x v="24"/>
    <x v="40"/>
    <s v="Combined Heat and Power, Industrial Power"/>
    <x v="0"/>
    <n v="1895298.88"/>
  </r>
  <r>
    <x v="24"/>
    <x v="40"/>
    <s v="Combined Heat and Power, Industrial Power"/>
    <x v="1"/>
    <n v="166789.04"/>
  </r>
  <r>
    <x v="24"/>
    <x v="40"/>
    <s v="Combined Heat and Power, Industrial Power"/>
    <x v="3"/>
    <n v="30344.53"/>
  </r>
  <r>
    <x v="24"/>
    <x v="40"/>
    <s v="Combined Heat and Power, Industrial Power"/>
    <x v="12"/>
    <n v="41488"/>
  </r>
  <r>
    <x v="24"/>
    <x v="40"/>
    <s v="Combined Heat and Power, Industrial Power"/>
    <x v="4"/>
    <n v="9957.89"/>
  </r>
  <r>
    <x v="24"/>
    <x v="40"/>
    <s v="Combined Heat and Power, Industrial Power"/>
    <x v="8"/>
    <n v="50357.3"/>
  </r>
  <r>
    <x v="24"/>
    <x v="40"/>
    <s v="Combined Heat and Power, Industrial Power"/>
    <x v="6"/>
    <n v="1596362.13"/>
  </r>
  <r>
    <x v="24"/>
    <x v="40"/>
    <s v="Combined Heat and Power, Commercial Power"/>
    <x v="0"/>
    <n v="6189"/>
  </r>
  <r>
    <x v="24"/>
    <x v="40"/>
    <s v="Combined Heat and Power, Commercial Power"/>
    <x v="2"/>
    <n v="2916"/>
  </r>
  <r>
    <x v="24"/>
    <x v="40"/>
    <s v="Combined Heat and Power, Commercial Power"/>
    <x v="3"/>
    <n v="3258"/>
  </r>
  <r>
    <x v="24"/>
    <x v="40"/>
    <s v="Combined Heat and Power, Commercial Power"/>
    <x v="4"/>
    <n v="15"/>
  </r>
  <r>
    <x v="24"/>
    <x v="40"/>
    <s v="Combined Heat and Power, Electric Power"/>
    <x v="0"/>
    <n v="983639.71"/>
  </r>
  <r>
    <x v="24"/>
    <x v="40"/>
    <s v="Combined Heat and Power, Electric Power"/>
    <x v="3"/>
    <n v="911506.78"/>
  </r>
  <r>
    <x v="24"/>
    <x v="40"/>
    <s v="Combined Heat and Power, Electric Power"/>
    <x v="12"/>
    <n v="4777.08"/>
  </r>
  <r>
    <x v="24"/>
    <x v="40"/>
    <s v="Combined Heat and Power, Electric Power"/>
    <x v="4"/>
    <n v="2797.49"/>
  </r>
  <r>
    <x v="24"/>
    <x v="40"/>
    <s v="Combined Heat and Power, Electric Power"/>
    <x v="6"/>
    <n v="64558.37"/>
  </r>
  <r>
    <x v="24"/>
    <x v="40"/>
    <s v="Electric Generators, Independent Power Producers"/>
    <x v="0"/>
    <n v="726333.56"/>
  </r>
  <r>
    <x v="24"/>
    <x v="40"/>
    <s v="Electric Generators, Independent Power Producers"/>
    <x v="2"/>
    <n v="74581"/>
  </r>
  <r>
    <x v="24"/>
    <x v="40"/>
    <s v="Electric Generators, Independent Power Producers"/>
    <x v="3"/>
    <n v="374745.9"/>
  </r>
  <r>
    <x v="24"/>
    <x v="40"/>
    <s v="Electric Generators, Independent Power Producers"/>
    <x v="4"/>
    <n v="14059.1"/>
  </r>
  <r>
    <x v="24"/>
    <x v="40"/>
    <s v="Electric Generators, Independent Power Producers"/>
    <x v="13"/>
    <n v="4785"/>
  </r>
  <r>
    <x v="24"/>
    <x v="40"/>
    <s v="Electric Generators, Independent Power Producers"/>
    <x v="8"/>
    <n v="15358.56"/>
  </r>
  <r>
    <x v="24"/>
    <x v="40"/>
    <s v="Electric Generators, Independent Power Producers"/>
    <x v="6"/>
    <n v="242804"/>
  </r>
  <r>
    <x v="24"/>
    <x v="40"/>
    <s v="Electric Generators, Electric Utilities"/>
    <x v="0"/>
    <n v="93547003.780000001"/>
  </r>
  <r>
    <x v="24"/>
    <x v="40"/>
    <s v="Electric Generators, Electric Utilities"/>
    <x v="1"/>
    <n v="28747517.760000002"/>
  </r>
  <r>
    <x v="24"/>
    <x v="40"/>
    <s v="Electric Generators, Electric Utilities"/>
    <x v="10"/>
    <n v="-884495"/>
  </r>
  <r>
    <x v="24"/>
    <x v="40"/>
    <s v="Electric Generators, Electric Utilities"/>
    <x v="2"/>
    <n v="2491629"/>
  </r>
  <r>
    <x v="24"/>
    <x v="40"/>
    <s v="Electric Generators, Electric Utilities"/>
    <x v="3"/>
    <n v="10086784.83"/>
  </r>
  <r>
    <x v="24"/>
    <x v="40"/>
    <s v="Electric Generators, Electric Utilities"/>
    <x v="7"/>
    <n v="52418553"/>
  </r>
  <r>
    <x v="24"/>
    <x v="40"/>
    <s v="Electric Generators, Electric Utilities"/>
    <x v="4"/>
    <n v="218744.27"/>
  </r>
  <r>
    <x v="24"/>
    <x v="40"/>
    <s v="Electric Generators, Electric Utilities"/>
    <x v="8"/>
    <n v="128342.84"/>
  </r>
  <r>
    <x v="24"/>
    <x v="40"/>
    <s v="Electric Generators, Electric Utilities"/>
    <x v="6"/>
    <n v="339927.08"/>
  </r>
  <r>
    <x v="24"/>
    <x v="41"/>
    <s v="Total Electric Power Industry"/>
    <x v="0"/>
    <n v="10995239.76"/>
  </r>
  <r>
    <x v="24"/>
    <x v="41"/>
    <s v="Total Electric Power Industry"/>
    <x v="1"/>
    <n v="2689215.74"/>
  </r>
  <r>
    <x v="24"/>
    <x v="41"/>
    <s v="Total Electric Power Industry"/>
    <x v="2"/>
    <n v="5498214.2599999998"/>
  </r>
  <r>
    <x v="24"/>
    <x v="41"/>
    <s v="Total Electric Power Industry"/>
    <x v="3"/>
    <n v="464817.26"/>
  </r>
  <r>
    <x v="24"/>
    <x v="41"/>
    <s v="Total Electric Power Industry"/>
    <x v="12"/>
    <n v="0"/>
  </r>
  <r>
    <x v="24"/>
    <x v="41"/>
    <s v="Total Electric Power Industry"/>
    <x v="4"/>
    <n v="6699.5"/>
  </r>
  <r>
    <x v="24"/>
    <x v="41"/>
    <s v="Total Electric Power Industry"/>
    <x v="8"/>
    <n v="0"/>
  </r>
  <r>
    <x v="24"/>
    <x v="41"/>
    <s v="Total Electric Power Industry"/>
    <x v="5"/>
    <n v="2336293"/>
  </r>
  <r>
    <x v="24"/>
    <x v="41"/>
    <s v="Combined Heat and Power, Commercial Power"/>
    <x v="0"/>
    <n v="24.5"/>
  </r>
  <r>
    <x v="24"/>
    <x v="41"/>
    <s v="Combined Heat and Power, Commercial Power"/>
    <x v="4"/>
    <n v="24.5"/>
  </r>
  <r>
    <x v="24"/>
    <x v="41"/>
    <s v="Electric Generators, Independent Power Producers"/>
    <x v="0"/>
    <n v="1650343"/>
  </r>
  <r>
    <x v="24"/>
    <x v="41"/>
    <s v="Electric Generators, Independent Power Producers"/>
    <x v="4"/>
    <n v="64"/>
  </r>
  <r>
    <x v="24"/>
    <x v="41"/>
    <s v="Electric Generators, Independent Power Producers"/>
    <x v="5"/>
    <n v="1650279"/>
  </r>
  <r>
    <x v="24"/>
    <x v="41"/>
    <s v="Electric Generators, Electric Utilities"/>
    <x v="0"/>
    <n v="9344872.2599999998"/>
  </r>
  <r>
    <x v="24"/>
    <x v="41"/>
    <s v="Electric Generators, Electric Utilities"/>
    <x v="1"/>
    <n v="2689215.74"/>
  </r>
  <r>
    <x v="24"/>
    <x v="41"/>
    <s v="Electric Generators, Electric Utilities"/>
    <x v="2"/>
    <n v="5498214.2599999998"/>
  </r>
  <r>
    <x v="24"/>
    <x v="41"/>
    <s v="Electric Generators, Electric Utilities"/>
    <x v="3"/>
    <n v="464817.26"/>
  </r>
  <r>
    <x v="24"/>
    <x v="41"/>
    <s v="Electric Generators, Electric Utilities"/>
    <x v="12"/>
    <n v="0"/>
  </r>
  <r>
    <x v="24"/>
    <x v="41"/>
    <s v="Electric Generators, Electric Utilities"/>
    <x v="4"/>
    <n v="6611"/>
  </r>
  <r>
    <x v="24"/>
    <x v="41"/>
    <s v="Electric Generators, Electric Utilities"/>
    <x v="8"/>
    <n v="0"/>
  </r>
  <r>
    <x v="24"/>
    <x v="41"/>
    <s v="Electric Generators, Electric Utilities"/>
    <x v="5"/>
    <n v="686014"/>
  </r>
  <r>
    <x v="24"/>
    <x v="42"/>
    <s v="Total Electric Power Industry"/>
    <x v="0"/>
    <n v="79506886.480000004"/>
  </r>
  <r>
    <x v="24"/>
    <x v="42"/>
    <s v="Total Electric Power Industry"/>
    <x v="1"/>
    <n v="35874581.979999997"/>
  </r>
  <r>
    <x v="24"/>
    <x v="42"/>
    <s v="Total Electric Power Industry"/>
    <x v="10"/>
    <n v="-491183"/>
  </r>
  <r>
    <x v="24"/>
    <x v="42"/>
    <s v="Total Electric Power Industry"/>
    <x v="2"/>
    <n v="8900650"/>
  </r>
  <r>
    <x v="24"/>
    <x v="42"/>
    <s v="Total Electric Power Industry"/>
    <x v="3"/>
    <n v="6199617.8099999996"/>
  </r>
  <r>
    <x v="24"/>
    <x v="42"/>
    <s v="Total Electric Power Industry"/>
    <x v="7"/>
    <n v="27670006"/>
  </r>
  <r>
    <x v="24"/>
    <x v="42"/>
    <s v="Total Electric Power Industry"/>
    <x v="9"/>
    <n v="13046.55"/>
  </r>
  <r>
    <x v="24"/>
    <x v="42"/>
    <s v="Total Electric Power Industry"/>
    <x v="12"/>
    <n v="14041.23"/>
  </r>
  <r>
    <x v="24"/>
    <x v="42"/>
    <s v="Total Electric Power Industry"/>
    <x v="4"/>
    <n v="185127.36"/>
  </r>
  <r>
    <x v="24"/>
    <x v="42"/>
    <s v="Total Electric Power Industry"/>
    <x v="13"/>
    <n v="27481"/>
  </r>
  <r>
    <x v="24"/>
    <x v="42"/>
    <s v="Total Electric Power Industry"/>
    <x v="8"/>
    <n v="89567.38"/>
  </r>
  <r>
    <x v="24"/>
    <x v="42"/>
    <s v="Total Electric Power Industry"/>
    <x v="5"/>
    <n v="51140"/>
  </r>
  <r>
    <x v="24"/>
    <x v="42"/>
    <s v="Total Electric Power Industry"/>
    <x v="6"/>
    <n v="972810.17"/>
  </r>
  <r>
    <x v="24"/>
    <x v="42"/>
    <s v="Combined Heat and Power, Industrial Power"/>
    <x v="0"/>
    <n v="2219087.8199999998"/>
  </r>
  <r>
    <x v="24"/>
    <x v="42"/>
    <s v="Combined Heat and Power, Industrial Power"/>
    <x v="1"/>
    <n v="1087634.83"/>
  </r>
  <r>
    <x v="24"/>
    <x v="42"/>
    <s v="Combined Heat and Power, Industrial Power"/>
    <x v="3"/>
    <n v="124046.31"/>
  </r>
  <r>
    <x v="24"/>
    <x v="42"/>
    <s v="Combined Heat and Power, Industrial Power"/>
    <x v="9"/>
    <n v="13046.55"/>
  </r>
  <r>
    <x v="24"/>
    <x v="42"/>
    <s v="Combined Heat and Power, Industrial Power"/>
    <x v="12"/>
    <n v="14041.23"/>
  </r>
  <r>
    <x v="24"/>
    <x v="42"/>
    <s v="Combined Heat and Power, Industrial Power"/>
    <x v="4"/>
    <n v="2051.4899999999998"/>
  </r>
  <r>
    <x v="24"/>
    <x v="42"/>
    <s v="Combined Heat and Power, Industrial Power"/>
    <x v="8"/>
    <n v="5457.24"/>
  </r>
  <r>
    <x v="24"/>
    <x v="42"/>
    <s v="Combined Heat and Power, Industrial Power"/>
    <x v="6"/>
    <n v="972810.17"/>
  </r>
  <r>
    <x v="24"/>
    <x v="42"/>
    <s v="Combined Heat and Power, Commercial Power"/>
    <x v="0"/>
    <n v="133830.38"/>
  </r>
  <r>
    <x v="24"/>
    <x v="42"/>
    <s v="Combined Heat and Power, Commercial Power"/>
    <x v="1"/>
    <n v="10860.38"/>
  </r>
  <r>
    <x v="24"/>
    <x v="42"/>
    <s v="Combined Heat and Power, Commercial Power"/>
    <x v="3"/>
    <n v="120195"/>
  </r>
  <r>
    <x v="24"/>
    <x v="42"/>
    <s v="Combined Heat and Power, Commercial Power"/>
    <x v="4"/>
    <n v="40"/>
  </r>
  <r>
    <x v="24"/>
    <x v="42"/>
    <s v="Combined Heat and Power, Commercial Power"/>
    <x v="13"/>
    <n v="2735"/>
  </r>
  <r>
    <x v="24"/>
    <x v="42"/>
    <s v="Electric Generators, Independent Power Producers"/>
    <x v="0"/>
    <n v="167339.28"/>
  </r>
  <r>
    <x v="24"/>
    <x v="42"/>
    <s v="Electric Generators, Independent Power Producers"/>
    <x v="3"/>
    <n v="6280.9"/>
  </r>
  <r>
    <x v="24"/>
    <x v="42"/>
    <s v="Electric Generators, Independent Power Producers"/>
    <x v="4"/>
    <n v="1062.24"/>
  </r>
  <r>
    <x v="24"/>
    <x v="42"/>
    <s v="Electric Generators, Independent Power Producers"/>
    <x v="13"/>
    <n v="24746"/>
  </r>
  <r>
    <x v="24"/>
    <x v="42"/>
    <s v="Electric Generators, Independent Power Producers"/>
    <x v="8"/>
    <n v="84110.14"/>
  </r>
  <r>
    <x v="24"/>
    <x v="42"/>
    <s v="Electric Generators, Independent Power Producers"/>
    <x v="5"/>
    <n v="51140"/>
  </r>
  <r>
    <x v="24"/>
    <x v="42"/>
    <s v="Electric Generators, Electric Utilities"/>
    <x v="0"/>
    <n v="76986629"/>
  </r>
  <r>
    <x v="24"/>
    <x v="42"/>
    <s v="Electric Generators, Electric Utilities"/>
    <x v="1"/>
    <n v="34776086.780000001"/>
  </r>
  <r>
    <x v="24"/>
    <x v="42"/>
    <s v="Electric Generators, Electric Utilities"/>
    <x v="10"/>
    <n v="-491183"/>
  </r>
  <r>
    <x v="24"/>
    <x v="42"/>
    <s v="Electric Generators, Electric Utilities"/>
    <x v="2"/>
    <n v="8900650"/>
  </r>
  <r>
    <x v="24"/>
    <x v="42"/>
    <s v="Electric Generators, Electric Utilities"/>
    <x v="3"/>
    <n v="5949095.5800000001"/>
  </r>
  <r>
    <x v="24"/>
    <x v="42"/>
    <s v="Electric Generators, Electric Utilities"/>
    <x v="7"/>
    <n v="27670006"/>
  </r>
  <r>
    <x v="24"/>
    <x v="42"/>
    <s v="Electric Generators, Electric Utilities"/>
    <x v="4"/>
    <n v="181973.64"/>
  </r>
  <r>
    <x v="24"/>
    <x v="42"/>
    <s v="Electric Generators, Electric Utilities"/>
    <x v="8"/>
    <n v="0"/>
  </r>
  <r>
    <x v="24"/>
    <x v="42"/>
    <s v="Electric Generators, Electric Utilities"/>
    <x v="5"/>
    <n v="0"/>
  </r>
  <r>
    <x v="24"/>
    <x v="43"/>
    <s v="Total Electric Power Industry"/>
    <x v="0"/>
    <n v="437629667.87"/>
  </r>
  <r>
    <x v="24"/>
    <x v="43"/>
    <s v="Total Electric Power Industry"/>
    <x v="1"/>
    <n v="148173726.40000001"/>
  </r>
  <r>
    <x v="24"/>
    <x v="43"/>
    <s v="Total Electric Power Industry"/>
    <x v="2"/>
    <n v="385898.25"/>
  </r>
  <r>
    <x v="24"/>
    <x v="43"/>
    <s v="Total Electric Power Industry"/>
    <x v="3"/>
    <n v="204721154.69999999"/>
  </r>
  <r>
    <x v="24"/>
    <x v="43"/>
    <s v="Total Electric Power Industry"/>
    <x v="7"/>
    <n v="39287443"/>
  </r>
  <r>
    <x v="24"/>
    <x v="43"/>
    <s v="Total Electric Power Industry"/>
    <x v="9"/>
    <n v="2306672.0299999998"/>
  </r>
  <r>
    <x v="24"/>
    <x v="43"/>
    <s v="Total Electric Power Industry"/>
    <x v="12"/>
    <n v="381027.2"/>
  </r>
  <r>
    <x v="24"/>
    <x v="43"/>
    <s v="Total Electric Power Industry"/>
    <x v="4"/>
    <n v="278032.62"/>
  </r>
  <r>
    <x v="24"/>
    <x v="43"/>
    <s v="Total Electric Power Industry"/>
    <x v="13"/>
    <n v="282351.3"/>
  </r>
  <r>
    <x v="24"/>
    <x v="43"/>
    <s v="Total Electric Power Industry"/>
    <x v="8"/>
    <n v="733453.75"/>
  </r>
  <r>
    <x v="24"/>
    <x v="43"/>
    <s v="Total Electric Power Industry"/>
    <x v="5"/>
    <n v="40005123.5"/>
  </r>
  <r>
    <x v="24"/>
    <x v="43"/>
    <s v="Total Electric Power Industry"/>
    <x v="6"/>
    <n v="1074785.1200000001"/>
  </r>
  <r>
    <x v="24"/>
    <x v="43"/>
    <s v="Combined Heat and Power, Industrial Power"/>
    <x v="0"/>
    <n v="39675322.43"/>
  </r>
  <r>
    <x v="24"/>
    <x v="43"/>
    <s v="Combined Heat and Power, Industrial Power"/>
    <x v="1"/>
    <n v="0"/>
  </r>
  <r>
    <x v="24"/>
    <x v="43"/>
    <s v="Combined Heat and Power, Industrial Power"/>
    <x v="3"/>
    <n v="37012651.840000004"/>
  </r>
  <r>
    <x v="24"/>
    <x v="43"/>
    <s v="Combined Heat and Power, Industrial Power"/>
    <x v="9"/>
    <n v="1163160.72"/>
  </r>
  <r>
    <x v="24"/>
    <x v="43"/>
    <s v="Combined Heat and Power, Industrial Power"/>
    <x v="12"/>
    <n v="368839.2"/>
  </r>
  <r>
    <x v="24"/>
    <x v="43"/>
    <s v="Combined Heat and Power, Industrial Power"/>
    <x v="4"/>
    <n v="177267.21"/>
  </r>
  <r>
    <x v="24"/>
    <x v="43"/>
    <s v="Combined Heat and Power, Industrial Power"/>
    <x v="8"/>
    <n v="99042.34"/>
  </r>
  <r>
    <x v="24"/>
    <x v="43"/>
    <s v="Combined Heat and Power, Industrial Power"/>
    <x v="6"/>
    <n v="854361.12"/>
  </r>
  <r>
    <x v="24"/>
    <x v="43"/>
    <s v="Combined Heat and Power, Commercial Power"/>
    <x v="0"/>
    <n v="734243.28"/>
  </r>
  <r>
    <x v="24"/>
    <x v="43"/>
    <s v="Combined Heat and Power, Commercial Power"/>
    <x v="3"/>
    <n v="674643.64"/>
  </r>
  <r>
    <x v="24"/>
    <x v="43"/>
    <s v="Combined Heat and Power, Commercial Power"/>
    <x v="4"/>
    <n v="719.75"/>
  </r>
  <r>
    <x v="24"/>
    <x v="43"/>
    <s v="Combined Heat and Power, Commercial Power"/>
    <x v="13"/>
    <n v="2264.13"/>
  </r>
  <r>
    <x v="24"/>
    <x v="43"/>
    <s v="Combined Heat and Power, Commercial Power"/>
    <x v="8"/>
    <n v="33089.410000000003"/>
  </r>
  <r>
    <x v="24"/>
    <x v="43"/>
    <s v="Combined Heat and Power, Commercial Power"/>
    <x v="5"/>
    <n v="23526.36"/>
  </r>
  <r>
    <x v="24"/>
    <x v="43"/>
    <s v="Combined Heat and Power, Electric Power"/>
    <x v="0"/>
    <n v="44168107.439999998"/>
  </r>
  <r>
    <x v="24"/>
    <x v="43"/>
    <s v="Combined Heat and Power, Electric Power"/>
    <x v="3"/>
    <n v="43012408.130000003"/>
  </r>
  <r>
    <x v="24"/>
    <x v="43"/>
    <s v="Combined Heat and Power, Electric Power"/>
    <x v="9"/>
    <n v="1143511.32"/>
  </r>
  <r>
    <x v="24"/>
    <x v="43"/>
    <s v="Combined Heat and Power, Electric Power"/>
    <x v="12"/>
    <n v="12188"/>
  </r>
  <r>
    <x v="24"/>
    <x v="43"/>
    <s v="Combined Heat and Power, Electric Power"/>
    <x v="4"/>
    <n v="0"/>
  </r>
  <r>
    <x v="24"/>
    <x v="43"/>
    <s v="Electric Generators, Independent Power Producers"/>
    <x v="0"/>
    <n v="258077041.47999999"/>
  </r>
  <r>
    <x v="24"/>
    <x v="43"/>
    <s v="Electric Generators, Independent Power Producers"/>
    <x v="1"/>
    <n v="90390213.549999997"/>
  </r>
  <r>
    <x v="24"/>
    <x v="43"/>
    <s v="Electric Generators, Independent Power Producers"/>
    <x v="2"/>
    <n v="33385"/>
  </r>
  <r>
    <x v="24"/>
    <x v="43"/>
    <s v="Electric Generators, Independent Power Producers"/>
    <x v="3"/>
    <n v="87543687.920000002"/>
  </r>
  <r>
    <x v="24"/>
    <x v="43"/>
    <s v="Electric Generators, Independent Power Producers"/>
    <x v="7"/>
    <n v="39287443"/>
  </r>
  <r>
    <x v="24"/>
    <x v="43"/>
    <s v="Electric Generators, Independent Power Producers"/>
    <x v="12"/>
    <n v="0"/>
  </r>
  <r>
    <x v="24"/>
    <x v="43"/>
    <s v="Electric Generators, Independent Power Producers"/>
    <x v="4"/>
    <n v="52607.7"/>
  </r>
  <r>
    <x v="24"/>
    <x v="43"/>
    <s v="Electric Generators, Independent Power Producers"/>
    <x v="13"/>
    <n v="280087.17"/>
  </r>
  <r>
    <x v="24"/>
    <x v="43"/>
    <s v="Electric Generators, Independent Power Producers"/>
    <x v="8"/>
    <n v="601322"/>
  </r>
  <r>
    <x v="24"/>
    <x v="43"/>
    <s v="Electric Generators, Independent Power Producers"/>
    <x v="5"/>
    <n v="39686268.140000001"/>
  </r>
  <r>
    <x v="24"/>
    <x v="43"/>
    <s v="Electric Generators, Independent Power Producers"/>
    <x v="6"/>
    <n v="202027"/>
  </r>
  <r>
    <x v="24"/>
    <x v="43"/>
    <s v="Electric Generators, Electric Utilities"/>
    <x v="0"/>
    <n v="94974953.25"/>
  </r>
  <r>
    <x v="24"/>
    <x v="43"/>
    <s v="Electric Generators, Electric Utilities"/>
    <x v="1"/>
    <n v="57783512.850000001"/>
  </r>
  <r>
    <x v="24"/>
    <x v="43"/>
    <s v="Electric Generators, Electric Utilities"/>
    <x v="2"/>
    <n v="352513.25"/>
  </r>
  <r>
    <x v="24"/>
    <x v="43"/>
    <s v="Electric Generators, Electric Utilities"/>
    <x v="3"/>
    <n v="36477763.18"/>
  </r>
  <r>
    <x v="24"/>
    <x v="43"/>
    <s v="Electric Generators, Electric Utilities"/>
    <x v="4"/>
    <n v="47437.97"/>
  </r>
  <r>
    <x v="24"/>
    <x v="43"/>
    <s v="Electric Generators, Electric Utilities"/>
    <x v="5"/>
    <n v="295329"/>
  </r>
  <r>
    <x v="24"/>
    <x v="43"/>
    <s v="Electric Generators, Electric Utilities"/>
    <x v="6"/>
    <n v="18397"/>
  </r>
  <r>
    <x v="24"/>
    <x v="44"/>
    <s v="Total Electric Power Industry"/>
    <x v="0"/>
    <n v="4093606004.8099999"/>
  </r>
  <r>
    <x v="24"/>
    <x v="44"/>
    <s v="Total Electric Power Industry"/>
    <x v="1"/>
    <n v="1581710349.74"/>
  </r>
  <r>
    <x v="24"/>
    <x v="44"/>
    <s v="Total Electric Power Industry"/>
    <x v="11"/>
    <n v="15876941"/>
  </r>
  <r>
    <x v="24"/>
    <x v="44"/>
    <s v="Total Electric Power Industry"/>
    <x v="10"/>
    <n v="-6173548"/>
  </r>
  <r>
    <x v="24"/>
    <x v="44"/>
    <s v="Total Electric Power Industry"/>
    <x v="2"/>
    <n v="259366621.86000001"/>
  </r>
  <r>
    <x v="24"/>
    <x v="44"/>
    <s v="Total Electric Power Industry"/>
    <x v="3"/>
    <n v="1126608958.3099999"/>
  </r>
  <r>
    <x v="24"/>
    <x v="44"/>
    <s v="Total Electric Power Industry"/>
    <x v="7"/>
    <n v="797165982"/>
  </r>
  <r>
    <x v="24"/>
    <x v="44"/>
    <s v="Total Electric Power Industry"/>
    <x v="9"/>
    <n v="12021786.039999999"/>
  </r>
  <r>
    <x v="24"/>
    <x v="44"/>
    <s v="Total Electric Power Industry"/>
    <x v="12"/>
    <n v="13461295.35"/>
  </r>
  <r>
    <x v="24"/>
    <x v="44"/>
    <s v="Total Electric Power Industry"/>
    <x v="4"/>
    <n v="30231861.530000001"/>
  </r>
  <r>
    <x v="24"/>
    <x v="44"/>
    <s v="Total Electric Power Industry"/>
    <x v="13"/>
    <n v="17691031.190000001"/>
  </r>
  <r>
    <x v="24"/>
    <x v="44"/>
    <s v="Total Electric Power Industry"/>
    <x v="8"/>
    <n v="21649718.77"/>
  </r>
  <r>
    <x v="24"/>
    <x v="44"/>
    <s v="Total Electric Power Industry"/>
    <x v="5"/>
    <n v="181655281.80000001"/>
  </r>
  <r>
    <x v="24"/>
    <x v="44"/>
    <s v="Total Electric Power Industry"/>
    <x v="6"/>
    <n v="42339725.219999999"/>
  </r>
  <r>
    <x v="24"/>
    <x v="44"/>
    <s v="Combined Heat and Power, Industrial Power"/>
    <x v="0"/>
    <n v="144083154.63999999"/>
  </r>
  <r>
    <x v="24"/>
    <x v="44"/>
    <s v="Combined Heat and Power, Industrial Power"/>
    <x v="1"/>
    <n v="12340713.470000001"/>
  </r>
  <r>
    <x v="24"/>
    <x v="44"/>
    <s v="Combined Heat and Power, Industrial Power"/>
    <x v="2"/>
    <n v="1282025.49"/>
  </r>
  <r>
    <x v="24"/>
    <x v="44"/>
    <s v="Combined Heat and Power, Industrial Power"/>
    <x v="3"/>
    <n v="86209464.079999998"/>
  </r>
  <r>
    <x v="24"/>
    <x v="44"/>
    <s v="Combined Heat and Power, Industrial Power"/>
    <x v="9"/>
    <n v="8663685.3300000001"/>
  </r>
  <r>
    <x v="24"/>
    <x v="44"/>
    <s v="Combined Heat and Power, Industrial Power"/>
    <x v="12"/>
    <n v="4978357.93"/>
  </r>
  <r>
    <x v="24"/>
    <x v="44"/>
    <s v="Combined Heat and Power, Industrial Power"/>
    <x v="4"/>
    <n v="1933638.74"/>
  </r>
  <r>
    <x v="24"/>
    <x v="44"/>
    <s v="Combined Heat and Power, Industrial Power"/>
    <x v="13"/>
    <n v="16370"/>
  </r>
  <r>
    <x v="24"/>
    <x v="44"/>
    <s v="Combined Heat and Power, Industrial Power"/>
    <x v="8"/>
    <n v="1366778.67"/>
  </r>
  <r>
    <x v="24"/>
    <x v="44"/>
    <s v="Combined Heat and Power, Industrial Power"/>
    <x v="5"/>
    <n v="52865.15"/>
  </r>
  <r>
    <x v="24"/>
    <x v="44"/>
    <s v="Combined Heat and Power, Industrial Power"/>
    <x v="6"/>
    <n v="27239255.77"/>
  </r>
  <r>
    <x v="24"/>
    <x v="44"/>
    <s v="Combined Heat and Power, Commercial Power"/>
    <x v="0"/>
    <n v="12519578.42"/>
  </r>
  <r>
    <x v="24"/>
    <x v="44"/>
    <s v="Combined Heat and Power, Commercial Power"/>
    <x v="1"/>
    <n v="595277.41"/>
  </r>
  <r>
    <x v="24"/>
    <x v="44"/>
    <s v="Combined Heat and Power, Commercial Power"/>
    <x v="10"/>
    <n v="0"/>
  </r>
  <r>
    <x v="24"/>
    <x v="44"/>
    <s v="Combined Heat and Power, Commercial Power"/>
    <x v="2"/>
    <n v="38386.69"/>
  </r>
  <r>
    <x v="24"/>
    <x v="44"/>
    <s v="Combined Heat and Power, Commercial Power"/>
    <x v="3"/>
    <n v="7227168.8399999999"/>
  </r>
  <r>
    <x v="24"/>
    <x v="44"/>
    <s v="Combined Heat and Power, Commercial Power"/>
    <x v="12"/>
    <n v="1171231.6399999999"/>
  </r>
  <r>
    <x v="24"/>
    <x v="44"/>
    <s v="Combined Heat and Power, Commercial Power"/>
    <x v="4"/>
    <n v="255333.76000000001"/>
  </r>
  <r>
    <x v="24"/>
    <x v="44"/>
    <s v="Combined Heat and Power, Commercial Power"/>
    <x v="13"/>
    <n v="370524.47"/>
  </r>
  <r>
    <x v="24"/>
    <x v="44"/>
    <s v="Combined Heat and Power, Commercial Power"/>
    <x v="8"/>
    <n v="2681349.9300000002"/>
  </r>
  <r>
    <x v="24"/>
    <x v="44"/>
    <s v="Combined Heat and Power, Commercial Power"/>
    <x v="5"/>
    <n v="106513.18"/>
  </r>
  <r>
    <x v="24"/>
    <x v="44"/>
    <s v="Combined Heat and Power, Commercial Power"/>
    <x v="6"/>
    <n v="73792.490000000005"/>
  </r>
  <r>
    <x v="24"/>
    <x v="44"/>
    <s v="Combined Heat and Power, Electric Power"/>
    <x v="0"/>
    <n v="150205399.91999999"/>
  </r>
  <r>
    <x v="24"/>
    <x v="44"/>
    <s v="Combined Heat and Power, Electric Power"/>
    <x v="1"/>
    <n v="19352692.239999998"/>
  </r>
  <r>
    <x v="24"/>
    <x v="44"/>
    <s v="Combined Heat and Power, Electric Power"/>
    <x v="11"/>
    <n v="163804"/>
  </r>
  <r>
    <x v="24"/>
    <x v="44"/>
    <s v="Combined Heat and Power, Electric Power"/>
    <x v="3"/>
    <n v="121295622.55"/>
  </r>
  <r>
    <x v="24"/>
    <x v="44"/>
    <s v="Combined Heat and Power, Electric Power"/>
    <x v="9"/>
    <n v="2863649.25"/>
  </r>
  <r>
    <x v="24"/>
    <x v="44"/>
    <s v="Combined Heat and Power, Electric Power"/>
    <x v="12"/>
    <n v="908491.15"/>
  </r>
  <r>
    <x v="24"/>
    <x v="44"/>
    <s v="Combined Heat and Power, Electric Power"/>
    <x v="4"/>
    <n v="2135261.5499999998"/>
  </r>
  <r>
    <x v="24"/>
    <x v="44"/>
    <s v="Combined Heat and Power, Electric Power"/>
    <x v="8"/>
    <n v="1076471.3500000001"/>
  </r>
  <r>
    <x v="24"/>
    <x v="44"/>
    <s v="Combined Heat and Power, Electric Power"/>
    <x v="6"/>
    <n v="2409407.84"/>
  </r>
  <r>
    <x v="24"/>
    <x v="44"/>
    <s v="Electric Generators, Independent Power Producers"/>
    <x v="0"/>
    <n v="1404324376.53"/>
  </r>
  <r>
    <x v="24"/>
    <x v="44"/>
    <s v="Electric Generators, Independent Power Producers"/>
    <x v="1"/>
    <n v="376348712.62"/>
  </r>
  <r>
    <x v="24"/>
    <x v="44"/>
    <s v="Electric Generators, Independent Power Producers"/>
    <x v="11"/>
    <n v="14597535"/>
  </r>
  <r>
    <x v="24"/>
    <x v="44"/>
    <s v="Electric Generators, Independent Power Producers"/>
    <x v="10"/>
    <n v="-1030029"/>
  </r>
  <r>
    <x v="24"/>
    <x v="44"/>
    <s v="Electric Generators, Independent Power Producers"/>
    <x v="2"/>
    <n v="19860808.350000001"/>
  </r>
  <r>
    <x v="24"/>
    <x v="44"/>
    <s v="Electric Generators, Independent Power Producers"/>
    <x v="3"/>
    <n v="410462367.60000002"/>
  </r>
  <r>
    <x v="24"/>
    <x v="44"/>
    <s v="Electric Generators, Independent Power Producers"/>
    <x v="7"/>
    <n v="377294631"/>
  </r>
  <r>
    <x v="24"/>
    <x v="44"/>
    <s v="Electric Generators, Independent Power Producers"/>
    <x v="9"/>
    <n v="382827.96"/>
  </r>
  <r>
    <x v="24"/>
    <x v="44"/>
    <s v="Electric Generators, Independent Power Producers"/>
    <x v="12"/>
    <n v="5781047.46"/>
  </r>
  <r>
    <x v="24"/>
    <x v="44"/>
    <s v="Electric Generators, Independent Power Producers"/>
    <x v="4"/>
    <n v="6064338.7699999996"/>
  </r>
  <r>
    <x v="24"/>
    <x v="44"/>
    <s v="Electric Generators, Independent Power Producers"/>
    <x v="13"/>
    <n v="16086140.859999999"/>
  </r>
  <r>
    <x v="24"/>
    <x v="44"/>
    <s v="Electric Generators, Independent Power Producers"/>
    <x v="8"/>
    <n v="15084103.279999999"/>
  </r>
  <r>
    <x v="24"/>
    <x v="44"/>
    <s v="Electric Generators, Independent Power Producers"/>
    <x v="5"/>
    <n v="153824557.52000001"/>
  </r>
  <r>
    <x v="24"/>
    <x v="44"/>
    <s v="Electric Generators, Independent Power Producers"/>
    <x v="6"/>
    <n v="9567335.0999999996"/>
  </r>
  <r>
    <x v="24"/>
    <x v="44"/>
    <s v="Electric Generators, Electric Utilities"/>
    <x v="0"/>
    <n v="2382473495.3000002"/>
  </r>
  <r>
    <x v="24"/>
    <x v="44"/>
    <s v="Electric Generators, Electric Utilities"/>
    <x v="1"/>
    <n v="1173072954"/>
  </r>
  <r>
    <x v="24"/>
    <x v="44"/>
    <s v="Electric Generators, Electric Utilities"/>
    <x v="11"/>
    <n v="1115602"/>
  </r>
  <r>
    <x v="24"/>
    <x v="44"/>
    <s v="Electric Generators, Electric Utilities"/>
    <x v="10"/>
    <n v="-5143519"/>
  </r>
  <r>
    <x v="24"/>
    <x v="44"/>
    <s v="Electric Generators, Electric Utilities"/>
    <x v="2"/>
    <n v="238185401.33000001"/>
  </r>
  <r>
    <x v="24"/>
    <x v="44"/>
    <s v="Electric Generators, Electric Utilities"/>
    <x v="3"/>
    <n v="501414335.23000002"/>
  </r>
  <r>
    <x v="24"/>
    <x v="44"/>
    <s v="Electric Generators, Electric Utilities"/>
    <x v="7"/>
    <n v="419871351"/>
  </r>
  <r>
    <x v="24"/>
    <x v="44"/>
    <s v="Electric Generators, Electric Utilities"/>
    <x v="9"/>
    <n v="111623.49"/>
  </r>
  <r>
    <x v="24"/>
    <x v="44"/>
    <s v="Electric Generators, Electric Utilities"/>
    <x v="12"/>
    <n v="622167.17000000004"/>
  </r>
  <r>
    <x v="24"/>
    <x v="44"/>
    <s v="Electric Generators, Electric Utilities"/>
    <x v="4"/>
    <n v="19843288.699999999"/>
  </r>
  <r>
    <x v="24"/>
    <x v="44"/>
    <s v="Electric Generators, Electric Utilities"/>
    <x v="13"/>
    <n v="1217995.8500000001"/>
  </r>
  <r>
    <x v="24"/>
    <x v="44"/>
    <s v="Electric Generators, Electric Utilities"/>
    <x v="8"/>
    <n v="1441015.55"/>
  </r>
  <r>
    <x v="24"/>
    <x v="44"/>
    <s v="Electric Generators, Electric Utilities"/>
    <x v="5"/>
    <n v="27671345.949999999"/>
  </r>
  <r>
    <x v="24"/>
    <x v="44"/>
    <s v="Electric Generators, Electric Utilities"/>
    <x v="6"/>
    <n v="3049934.02"/>
  </r>
  <r>
    <x v="24"/>
    <x v="45"/>
    <s v="Total Electric Power Industry"/>
    <x v="0"/>
    <n v="43784525.880000003"/>
  </r>
  <r>
    <x v="24"/>
    <x v="45"/>
    <s v="Total Electric Power Industry"/>
    <x v="1"/>
    <n v="33376687.68"/>
  </r>
  <r>
    <x v="24"/>
    <x v="45"/>
    <s v="Total Electric Power Industry"/>
    <x v="11"/>
    <n v="521582"/>
  </r>
  <r>
    <x v="24"/>
    <x v="45"/>
    <s v="Total Electric Power Industry"/>
    <x v="2"/>
    <n v="632823"/>
  </r>
  <r>
    <x v="24"/>
    <x v="45"/>
    <s v="Total Electric Power Industry"/>
    <x v="3"/>
    <n v="8376420.04"/>
  </r>
  <r>
    <x v="24"/>
    <x v="45"/>
    <s v="Total Electric Power Industry"/>
    <x v="9"/>
    <n v="0"/>
  </r>
  <r>
    <x v="24"/>
    <x v="45"/>
    <s v="Total Electric Power Industry"/>
    <x v="12"/>
    <n v="117979.39"/>
  </r>
  <r>
    <x v="24"/>
    <x v="45"/>
    <s v="Total Electric Power Industry"/>
    <x v="4"/>
    <n v="24317.599999999999"/>
  </r>
  <r>
    <x v="24"/>
    <x v="45"/>
    <s v="Total Electric Power Industry"/>
    <x v="13"/>
    <n v="2235"/>
  </r>
  <r>
    <x v="24"/>
    <x v="45"/>
    <s v="Total Electric Power Industry"/>
    <x v="8"/>
    <n v="72530.17"/>
  </r>
  <r>
    <x v="24"/>
    <x v="45"/>
    <s v="Total Electric Power Industry"/>
    <x v="5"/>
    <n v="659951"/>
  </r>
  <r>
    <x v="24"/>
    <x v="45"/>
    <s v="Combined Heat and Power, Industrial Power"/>
    <x v="0"/>
    <n v="1022556.88"/>
  </r>
  <r>
    <x v="24"/>
    <x v="45"/>
    <s v="Combined Heat and Power, Industrial Power"/>
    <x v="1"/>
    <n v="447170.49"/>
  </r>
  <r>
    <x v="24"/>
    <x v="45"/>
    <s v="Combined Heat and Power, Industrial Power"/>
    <x v="3"/>
    <n v="460485.52"/>
  </r>
  <r>
    <x v="24"/>
    <x v="45"/>
    <s v="Combined Heat and Power, Industrial Power"/>
    <x v="9"/>
    <n v="0"/>
  </r>
  <r>
    <x v="24"/>
    <x v="45"/>
    <s v="Combined Heat and Power, Industrial Power"/>
    <x v="12"/>
    <n v="114404"/>
  </r>
  <r>
    <x v="24"/>
    <x v="45"/>
    <s v="Combined Heat and Power, Industrial Power"/>
    <x v="4"/>
    <n v="496.87"/>
  </r>
  <r>
    <x v="24"/>
    <x v="45"/>
    <s v="Combined Heat and Power, Commercial Power"/>
    <x v="0"/>
    <n v="83348"/>
  </r>
  <r>
    <x v="24"/>
    <x v="45"/>
    <s v="Combined Heat and Power, Commercial Power"/>
    <x v="3"/>
    <n v="83348"/>
  </r>
  <r>
    <x v="24"/>
    <x v="45"/>
    <s v="Combined Heat and Power, Commercial Power"/>
    <x v="4"/>
    <n v="0"/>
  </r>
  <r>
    <x v="24"/>
    <x v="45"/>
    <s v="Combined Heat and Power, Electric Power"/>
    <x v="0"/>
    <n v="7304"/>
  </r>
  <r>
    <x v="24"/>
    <x v="45"/>
    <s v="Combined Heat and Power, Electric Power"/>
    <x v="3"/>
    <n v="7.44"/>
  </r>
  <r>
    <x v="24"/>
    <x v="45"/>
    <s v="Combined Heat and Power, Electric Power"/>
    <x v="12"/>
    <n v="3575.39"/>
  </r>
  <r>
    <x v="24"/>
    <x v="45"/>
    <s v="Combined Heat and Power, Electric Power"/>
    <x v="4"/>
    <n v="0"/>
  </r>
  <r>
    <x v="24"/>
    <x v="45"/>
    <s v="Combined Heat and Power, Electric Power"/>
    <x v="8"/>
    <n v="3721.17"/>
  </r>
  <r>
    <x v="24"/>
    <x v="45"/>
    <s v="Electric Generators, Independent Power Producers"/>
    <x v="0"/>
    <n v="1929892"/>
  </r>
  <r>
    <x v="24"/>
    <x v="45"/>
    <s v="Electric Generators, Independent Power Producers"/>
    <x v="1"/>
    <n v="419066.93"/>
  </r>
  <r>
    <x v="24"/>
    <x v="45"/>
    <s v="Electric Generators, Independent Power Producers"/>
    <x v="11"/>
    <n v="246586"/>
  </r>
  <r>
    <x v="24"/>
    <x v="45"/>
    <s v="Electric Generators, Independent Power Producers"/>
    <x v="2"/>
    <n v="7144"/>
  </r>
  <r>
    <x v="24"/>
    <x v="45"/>
    <s v="Electric Generators, Independent Power Producers"/>
    <x v="3"/>
    <n v="525596"/>
  </r>
  <r>
    <x v="24"/>
    <x v="45"/>
    <s v="Electric Generators, Independent Power Producers"/>
    <x v="4"/>
    <n v="504.07"/>
  </r>
  <r>
    <x v="24"/>
    <x v="45"/>
    <s v="Electric Generators, Independent Power Producers"/>
    <x v="13"/>
    <n v="2235"/>
  </r>
  <r>
    <x v="24"/>
    <x v="45"/>
    <s v="Electric Generators, Independent Power Producers"/>
    <x v="8"/>
    <n v="68809"/>
  </r>
  <r>
    <x v="24"/>
    <x v="45"/>
    <s v="Electric Generators, Independent Power Producers"/>
    <x v="5"/>
    <n v="659951"/>
  </r>
  <r>
    <x v="24"/>
    <x v="45"/>
    <s v="Electric Generators, Electric Utilities"/>
    <x v="0"/>
    <n v="40741425"/>
  </r>
  <r>
    <x v="24"/>
    <x v="45"/>
    <s v="Electric Generators, Electric Utilities"/>
    <x v="1"/>
    <n v="32510450.27"/>
  </r>
  <r>
    <x v="24"/>
    <x v="45"/>
    <s v="Electric Generators, Electric Utilities"/>
    <x v="11"/>
    <n v="274996"/>
  </r>
  <r>
    <x v="24"/>
    <x v="45"/>
    <s v="Electric Generators, Electric Utilities"/>
    <x v="2"/>
    <n v="625679"/>
  </r>
  <r>
    <x v="24"/>
    <x v="45"/>
    <s v="Electric Generators, Electric Utilities"/>
    <x v="3"/>
    <n v="7306983.0700000003"/>
  </r>
  <r>
    <x v="24"/>
    <x v="45"/>
    <s v="Electric Generators, Electric Utilities"/>
    <x v="4"/>
    <n v="23316.66"/>
  </r>
  <r>
    <x v="24"/>
    <x v="46"/>
    <s v="Total Electric Power Industry"/>
    <x v="0"/>
    <n v="77137438.409999996"/>
  </r>
  <r>
    <x v="24"/>
    <x v="46"/>
    <s v="Total Electric Power Industry"/>
    <x v="1"/>
    <n v="20818584.32"/>
  </r>
  <r>
    <x v="24"/>
    <x v="46"/>
    <s v="Total Electric Power Industry"/>
    <x v="10"/>
    <n v="-1295354"/>
  </r>
  <r>
    <x v="24"/>
    <x v="46"/>
    <s v="Total Electric Power Industry"/>
    <x v="2"/>
    <n v="955187.92"/>
  </r>
  <r>
    <x v="24"/>
    <x v="46"/>
    <s v="Total Electric Power Industry"/>
    <x v="3"/>
    <n v="20881565.620000001"/>
  </r>
  <r>
    <x v="24"/>
    <x v="46"/>
    <s v="Total Electric Power Industry"/>
    <x v="7"/>
    <n v="30220977"/>
  </r>
  <r>
    <x v="24"/>
    <x v="46"/>
    <s v="Total Electric Power Industry"/>
    <x v="12"/>
    <n v="499767.36"/>
  </r>
  <r>
    <x v="24"/>
    <x v="46"/>
    <s v="Total Electric Power Industry"/>
    <x v="4"/>
    <n v="1204906.96"/>
  </r>
  <r>
    <x v="24"/>
    <x v="46"/>
    <s v="Total Electric Power Industry"/>
    <x v="8"/>
    <n v="1097010.68"/>
  </r>
  <r>
    <x v="24"/>
    <x v="46"/>
    <s v="Total Electric Power Industry"/>
    <x v="6"/>
    <n v="2754792.57"/>
  </r>
  <r>
    <x v="24"/>
    <x v="46"/>
    <s v="Combined Heat and Power, Industrial Power"/>
    <x v="0"/>
    <n v="2206326.2400000002"/>
  </r>
  <r>
    <x v="24"/>
    <x v="46"/>
    <s v="Combined Heat and Power, Industrial Power"/>
    <x v="1"/>
    <n v="456055.48"/>
  </r>
  <r>
    <x v="24"/>
    <x v="46"/>
    <s v="Combined Heat and Power, Industrial Power"/>
    <x v="2"/>
    <n v="10451"/>
  </r>
  <r>
    <x v="24"/>
    <x v="46"/>
    <s v="Combined Heat and Power, Industrial Power"/>
    <x v="3"/>
    <n v="299458.56"/>
  </r>
  <r>
    <x v="24"/>
    <x v="46"/>
    <s v="Combined Heat and Power, Industrial Power"/>
    <x v="4"/>
    <n v="9842.41"/>
  </r>
  <r>
    <x v="24"/>
    <x v="46"/>
    <s v="Combined Heat and Power, Industrial Power"/>
    <x v="8"/>
    <n v="6977.94"/>
  </r>
  <r>
    <x v="24"/>
    <x v="46"/>
    <s v="Combined Heat and Power, Industrial Power"/>
    <x v="6"/>
    <n v="1423540.85"/>
  </r>
  <r>
    <x v="24"/>
    <x v="46"/>
    <s v="Combined Heat and Power, Commercial Power"/>
    <x v="0"/>
    <n v="476141.89"/>
  </r>
  <r>
    <x v="24"/>
    <x v="46"/>
    <s v="Combined Heat and Power, Commercial Power"/>
    <x v="1"/>
    <n v="22415.05"/>
  </r>
  <r>
    <x v="24"/>
    <x v="46"/>
    <s v="Combined Heat and Power, Commercial Power"/>
    <x v="3"/>
    <n v="5027.6099999999997"/>
  </r>
  <r>
    <x v="24"/>
    <x v="46"/>
    <s v="Combined Heat and Power, Commercial Power"/>
    <x v="12"/>
    <n v="213034.33"/>
  </r>
  <r>
    <x v="24"/>
    <x v="46"/>
    <s v="Combined Heat and Power, Commercial Power"/>
    <x v="4"/>
    <n v="1358.65"/>
  </r>
  <r>
    <x v="24"/>
    <x v="46"/>
    <s v="Combined Heat and Power, Commercial Power"/>
    <x v="8"/>
    <n v="234306.26"/>
  </r>
  <r>
    <x v="24"/>
    <x v="46"/>
    <s v="Combined Heat and Power, Commercial Power"/>
    <x v="6"/>
    <n v="0"/>
  </r>
  <r>
    <x v="24"/>
    <x v="46"/>
    <s v="Combined Heat and Power, Electric Power"/>
    <x v="0"/>
    <n v="1363562"/>
  </r>
  <r>
    <x v="24"/>
    <x v="46"/>
    <s v="Combined Heat and Power, Electric Power"/>
    <x v="1"/>
    <n v="346389"/>
  </r>
  <r>
    <x v="24"/>
    <x v="46"/>
    <s v="Combined Heat and Power, Electric Power"/>
    <x v="3"/>
    <n v="964171.67"/>
  </r>
  <r>
    <x v="24"/>
    <x v="46"/>
    <s v="Combined Heat and Power, Electric Power"/>
    <x v="12"/>
    <n v="0"/>
  </r>
  <r>
    <x v="24"/>
    <x v="46"/>
    <s v="Combined Heat and Power, Electric Power"/>
    <x v="4"/>
    <n v="53001.33"/>
  </r>
  <r>
    <x v="24"/>
    <x v="46"/>
    <s v="Electric Generators, Independent Power Producers"/>
    <x v="0"/>
    <n v="10124494.130000001"/>
  </r>
  <r>
    <x v="24"/>
    <x v="46"/>
    <s v="Electric Generators, Independent Power Producers"/>
    <x v="1"/>
    <n v="950228.54"/>
  </r>
  <r>
    <x v="24"/>
    <x v="46"/>
    <s v="Electric Generators, Independent Power Producers"/>
    <x v="2"/>
    <n v="63129.120000000003"/>
  </r>
  <r>
    <x v="24"/>
    <x v="46"/>
    <s v="Electric Generators, Independent Power Producers"/>
    <x v="3"/>
    <n v="7565660.0199999996"/>
  </r>
  <r>
    <x v="24"/>
    <x v="46"/>
    <s v="Electric Generators, Independent Power Producers"/>
    <x v="12"/>
    <n v="286733.03000000003"/>
  </r>
  <r>
    <x v="24"/>
    <x v="46"/>
    <s v="Electric Generators, Independent Power Producers"/>
    <x v="4"/>
    <n v="205217.93"/>
  </r>
  <r>
    <x v="24"/>
    <x v="46"/>
    <s v="Electric Generators, Independent Power Producers"/>
    <x v="8"/>
    <n v="850900.5"/>
  </r>
  <r>
    <x v="24"/>
    <x v="46"/>
    <s v="Electric Generators, Independent Power Producers"/>
    <x v="6"/>
    <n v="202625"/>
  </r>
  <r>
    <x v="24"/>
    <x v="46"/>
    <s v="Electric Generators, Electric Utilities"/>
    <x v="0"/>
    <n v="62966914.159999996"/>
  </r>
  <r>
    <x v="24"/>
    <x v="46"/>
    <s v="Electric Generators, Electric Utilities"/>
    <x v="1"/>
    <n v="19043496.25"/>
  </r>
  <r>
    <x v="24"/>
    <x v="46"/>
    <s v="Electric Generators, Electric Utilities"/>
    <x v="10"/>
    <n v="-1295354"/>
  </r>
  <r>
    <x v="24"/>
    <x v="46"/>
    <s v="Electric Generators, Electric Utilities"/>
    <x v="2"/>
    <n v="881607.8"/>
  </r>
  <r>
    <x v="24"/>
    <x v="46"/>
    <s v="Electric Generators, Electric Utilities"/>
    <x v="3"/>
    <n v="12047247.76"/>
  </r>
  <r>
    <x v="24"/>
    <x v="46"/>
    <s v="Electric Generators, Electric Utilities"/>
    <x v="7"/>
    <n v="30220977"/>
  </r>
  <r>
    <x v="24"/>
    <x v="46"/>
    <s v="Electric Generators, Electric Utilities"/>
    <x v="12"/>
    <n v="0"/>
  </r>
  <r>
    <x v="24"/>
    <x v="46"/>
    <s v="Electric Generators, Electric Utilities"/>
    <x v="4"/>
    <n v="935486.65"/>
  </r>
  <r>
    <x v="24"/>
    <x v="46"/>
    <s v="Electric Generators, Electric Utilities"/>
    <x v="8"/>
    <n v="4825.9799999999996"/>
  </r>
  <r>
    <x v="24"/>
    <x v="46"/>
    <s v="Electric Generators, Electric Utilities"/>
    <x v="6"/>
    <n v="1128626.72"/>
  </r>
  <r>
    <x v="24"/>
    <x v="47"/>
    <s v="Total Electric Power Industry"/>
    <x v="0"/>
    <n v="7031393.9699999997"/>
  </r>
  <r>
    <x v="24"/>
    <x v="47"/>
    <s v="Total Electric Power Industry"/>
    <x v="2"/>
    <n v="1175321"/>
  </r>
  <r>
    <x v="24"/>
    <x v="47"/>
    <s v="Total Electric Power Industry"/>
    <x v="3"/>
    <n v="2464.52"/>
  </r>
  <r>
    <x v="24"/>
    <x v="47"/>
    <s v="Total Electric Power Industry"/>
    <x v="7"/>
    <n v="5060582"/>
  </r>
  <r>
    <x v="24"/>
    <x v="47"/>
    <s v="Total Electric Power Industry"/>
    <x v="4"/>
    <n v="5473.06"/>
  </r>
  <r>
    <x v="24"/>
    <x v="47"/>
    <s v="Total Electric Power Industry"/>
    <x v="13"/>
    <n v="23535.97"/>
  </r>
  <r>
    <x v="24"/>
    <x v="47"/>
    <s v="Total Electric Power Industry"/>
    <x v="8"/>
    <n v="23489"/>
  </r>
  <r>
    <x v="24"/>
    <x v="47"/>
    <s v="Total Electric Power Industry"/>
    <x v="5"/>
    <n v="311310"/>
  </r>
  <r>
    <x v="24"/>
    <x v="47"/>
    <s v="Total Electric Power Industry"/>
    <x v="6"/>
    <n v="429218.42"/>
  </r>
  <r>
    <x v="24"/>
    <x v="47"/>
    <s v="Combined Heat and Power, Commercial Power"/>
    <x v="0"/>
    <n v="3680"/>
  </r>
  <r>
    <x v="24"/>
    <x v="47"/>
    <s v="Combined Heat and Power, Commercial Power"/>
    <x v="4"/>
    <n v="1035.06"/>
  </r>
  <r>
    <x v="24"/>
    <x v="47"/>
    <s v="Combined Heat and Power, Commercial Power"/>
    <x v="6"/>
    <n v="2644.94"/>
  </r>
  <r>
    <x v="24"/>
    <x v="47"/>
    <s v="Electric Generators, Independent Power Producers"/>
    <x v="0"/>
    <n v="6159634.9699999997"/>
  </r>
  <r>
    <x v="24"/>
    <x v="47"/>
    <s v="Electric Generators, Independent Power Producers"/>
    <x v="2"/>
    <n v="788832"/>
  </r>
  <r>
    <x v="24"/>
    <x v="47"/>
    <s v="Electric Generators, Independent Power Producers"/>
    <x v="7"/>
    <n v="5060582"/>
  </r>
  <r>
    <x v="24"/>
    <x v="47"/>
    <s v="Electric Generators, Independent Power Producers"/>
    <x v="13"/>
    <n v="23535.97"/>
  </r>
  <r>
    <x v="24"/>
    <x v="47"/>
    <s v="Electric Generators, Independent Power Producers"/>
    <x v="8"/>
    <n v="23489"/>
  </r>
  <r>
    <x v="24"/>
    <x v="47"/>
    <s v="Electric Generators, Independent Power Producers"/>
    <x v="5"/>
    <n v="121344"/>
  </r>
  <r>
    <x v="24"/>
    <x v="47"/>
    <s v="Electric Generators, Independent Power Producers"/>
    <x v="6"/>
    <n v="141852"/>
  </r>
  <r>
    <x v="24"/>
    <x v="47"/>
    <s v="Electric Generators, Electric Utilities"/>
    <x v="0"/>
    <n v="868079"/>
  </r>
  <r>
    <x v="24"/>
    <x v="47"/>
    <s v="Electric Generators, Electric Utilities"/>
    <x v="2"/>
    <n v="386489"/>
  </r>
  <r>
    <x v="24"/>
    <x v="47"/>
    <s v="Electric Generators, Electric Utilities"/>
    <x v="3"/>
    <n v="2464.52"/>
  </r>
  <r>
    <x v="24"/>
    <x v="47"/>
    <s v="Electric Generators, Electric Utilities"/>
    <x v="4"/>
    <n v="4438"/>
  </r>
  <r>
    <x v="24"/>
    <x v="47"/>
    <s v="Electric Generators, Electric Utilities"/>
    <x v="5"/>
    <n v="189966"/>
  </r>
  <r>
    <x v="24"/>
    <x v="47"/>
    <s v="Electric Generators, Electric Utilities"/>
    <x v="6"/>
    <n v="284721.48"/>
  </r>
  <r>
    <x v="24"/>
    <x v="48"/>
    <s v="Total Electric Power Industry"/>
    <x v="0"/>
    <n v="116334362.51000001"/>
  </r>
  <r>
    <x v="24"/>
    <x v="48"/>
    <s v="Total Electric Power Industry"/>
    <x v="1"/>
    <n v="6719928.25"/>
  </r>
  <r>
    <x v="24"/>
    <x v="48"/>
    <s v="Total Electric Power Industry"/>
    <x v="10"/>
    <n v="-4753"/>
  </r>
  <r>
    <x v="24"/>
    <x v="48"/>
    <s v="Total Electric Power Industry"/>
    <x v="2"/>
    <n v="79463144.329999998"/>
  </r>
  <r>
    <x v="24"/>
    <x v="48"/>
    <s v="Total Electric Power Industry"/>
    <x v="3"/>
    <n v="11058815.33"/>
  </r>
  <r>
    <x v="24"/>
    <x v="48"/>
    <s v="Total Electric Power Industry"/>
    <x v="7"/>
    <n v="9497321"/>
  </r>
  <r>
    <x v="24"/>
    <x v="48"/>
    <s v="Total Electric Power Industry"/>
    <x v="9"/>
    <n v="336931.8"/>
  </r>
  <r>
    <x v="24"/>
    <x v="48"/>
    <s v="Total Electric Power Industry"/>
    <x v="12"/>
    <n v="131267.19"/>
  </r>
  <r>
    <x v="24"/>
    <x v="48"/>
    <s v="Total Electric Power Industry"/>
    <x v="4"/>
    <n v="23540.73"/>
  </r>
  <r>
    <x v="24"/>
    <x v="48"/>
    <s v="Total Electric Power Industry"/>
    <x v="13"/>
    <n v="729"/>
  </r>
  <r>
    <x v="24"/>
    <x v="48"/>
    <s v="Total Electric Power Industry"/>
    <x v="8"/>
    <n v="313079.67"/>
  </r>
  <r>
    <x v="24"/>
    <x v="48"/>
    <s v="Total Electric Power Industry"/>
    <x v="5"/>
    <n v="7267793.8399999999"/>
  </r>
  <r>
    <x v="24"/>
    <x v="48"/>
    <s v="Total Electric Power Industry"/>
    <x v="6"/>
    <n v="1526564.38"/>
  </r>
  <r>
    <x v="24"/>
    <x v="48"/>
    <s v="Combined Heat and Power, Industrial Power"/>
    <x v="0"/>
    <n v="1453946"/>
  </r>
  <r>
    <x v="24"/>
    <x v="48"/>
    <s v="Combined Heat and Power, Industrial Power"/>
    <x v="1"/>
    <n v="44161.85"/>
  </r>
  <r>
    <x v="24"/>
    <x v="48"/>
    <s v="Combined Heat and Power, Industrial Power"/>
    <x v="2"/>
    <n v="0"/>
  </r>
  <r>
    <x v="24"/>
    <x v="48"/>
    <s v="Combined Heat and Power, Industrial Power"/>
    <x v="3"/>
    <n v="49677.09"/>
  </r>
  <r>
    <x v="24"/>
    <x v="48"/>
    <s v="Combined Heat and Power, Industrial Power"/>
    <x v="12"/>
    <n v="66234"/>
  </r>
  <r>
    <x v="24"/>
    <x v="48"/>
    <s v="Combined Heat and Power, Industrial Power"/>
    <x v="4"/>
    <n v="8964.39"/>
  </r>
  <r>
    <x v="24"/>
    <x v="48"/>
    <s v="Combined Heat and Power, Industrial Power"/>
    <x v="8"/>
    <n v="17492.939999999999"/>
  </r>
  <r>
    <x v="24"/>
    <x v="48"/>
    <s v="Combined Heat and Power, Industrial Power"/>
    <x v="6"/>
    <n v="1267415.73"/>
  </r>
  <r>
    <x v="24"/>
    <x v="48"/>
    <s v="Combined Heat and Power, Commercial Power"/>
    <x v="0"/>
    <n v="29642.46"/>
  </r>
  <r>
    <x v="24"/>
    <x v="48"/>
    <s v="Combined Heat and Power, Commercial Power"/>
    <x v="3"/>
    <n v="12388.45"/>
  </r>
  <r>
    <x v="24"/>
    <x v="48"/>
    <s v="Combined Heat and Power, Commercial Power"/>
    <x v="4"/>
    <n v="373.01"/>
  </r>
  <r>
    <x v="24"/>
    <x v="48"/>
    <s v="Combined Heat and Power, Commercial Power"/>
    <x v="8"/>
    <n v="16881"/>
  </r>
  <r>
    <x v="24"/>
    <x v="48"/>
    <s v="Combined Heat and Power, Electric Power"/>
    <x v="0"/>
    <n v="1003102.88"/>
  </r>
  <r>
    <x v="24"/>
    <x v="48"/>
    <s v="Combined Heat and Power, Electric Power"/>
    <x v="3"/>
    <n v="666171.07999999996"/>
  </r>
  <r>
    <x v="24"/>
    <x v="48"/>
    <s v="Combined Heat and Power, Electric Power"/>
    <x v="9"/>
    <n v="336931.8"/>
  </r>
  <r>
    <x v="24"/>
    <x v="48"/>
    <s v="Combined Heat and Power, Electric Power"/>
    <x v="4"/>
    <n v="0"/>
  </r>
  <r>
    <x v="24"/>
    <x v="48"/>
    <s v="Electric Generators, Independent Power Producers"/>
    <x v="0"/>
    <n v="11553415.640000001"/>
  </r>
  <r>
    <x v="24"/>
    <x v="48"/>
    <s v="Electric Generators, Independent Power Producers"/>
    <x v="1"/>
    <n v="6675766.4000000004"/>
  </r>
  <r>
    <x v="24"/>
    <x v="48"/>
    <s v="Electric Generators, Independent Power Producers"/>
    <x v="2"/>
    <n v="288504.64"/>
  </r>
  <r>
    <x v="24"/>
    <x v="48"/>
    <s v="Electric Generators, Independent Power Producers"/>
    <x v="3"/>
    <n v="698093"/>
  </r>
  <r>
    <x v="24"/>
    <x v="48"/>
    <s v="Electric Generators, Independent Power Producers"/>
    <x v="12"/>
    <n v="65033.19"/>
  </r>
  <r>
    <x v="24"/>
    <x v="48"/>
    <s v="Electric Generators, Independent Power Producers"/>
    <x v="4"/>
    <n v="9688.69"/>
  </r>
  <r>
    <x v="24"/>
    <x v="48"/>
    <s v="Electric Generators, Independent Power Producers"/>
    <x v="8"/>
    <n v="127046.73"/>
  </r>
  <r>
    <x v="24"/>
    <x v="48"/>
    <s v="Electric Generators, Independent Power Producers"/>
    <x v="5"/>
    <n v="3689283"/>
  </r>
  <r>
    <x v="24"/>
    <x v="48"/>
    <s v="Electric Generators, Electric Utilities"/>
    <x v="0"/>
    <n v="102294255.53"/>
  </r>
  <r>
    <x v="24"/>
    <x v="48"/>
    <s v="Electric Generators, Electric Utilities"/>
    <x v="10"/>
    <n v="-4753"/>
  </r>
  <r>
    <x v="24"/>
    <x v="48"/>
    <s v="Electric Generators, Electric Utilities"/>
    <x v="2"/>
    <n v="79174639.689999998"/>
  </r>
  <r>
    <x v="24"/>
    <x v="48"/>
    <s v="Electric Generators, Electric Utilities"/>
    <x v="3"/>
    <n v="9632485.7200000007"/>
  </r>
  <r>
    <x v="24"/>
    <x v="48"/>
    <s v="Electric Generators, Electric Utilities"/>
    <x v="7"/>
    <n v="9497321"/>
  </r>
  <r>
    <x v="24"/>
    <x v="48"/>
    <s v="Electric Generators, Electric Utilities"/>
    <x v="12"/>
    <n v="0"/>
  </r>
  <r>
    <x v="24"/>
    <x v="48"/>
    <s v="Electric Generators, Electric Utilities"/>
    <x v="4"/>
    <n v="4514.6400000000003"/>
  </r>
  <r>
    <x v="24"/>
    <x v="48"/>
    <s v="Electric Generators, Electric Utilities"/>
    <x v="13"/>
    <n v="729"/>
  </r>
  <r>
    <x v="24"/>
    <x v="48"/>
    <s v="Electric Generators, Electric Utilities"/>
    <x v="8"/>
    <n v="151659"/>
  </r>
  <r>
    <x v="24"/>
    <x v="48"/>
    <s v="Electric Generators, Electric Utilities"/>
    <x v="5"/>
    <n v="3578510.84"/>
  </r>
  <r>
    <x v="24"/>
    <x v="48"/>
    <s v="Electric Generators, Electric Utilities"/>
    <x v="6"/>
    <n v="259148.64"/>
  </r>
  <r>
    <x v="24"/>
    <x v="49"/>
    <s v="Total Electric Power Industry"/>
    <x v="0"/>
    <n v="61064795.68"/>
  </r>
  <r>
    <x v="24"/>
    <x v="49"/>
    <s v="Total Electric Power Industry"/>
    <x v="1"/>
    <n v="37449264.350000001"/>
  </r>
  <r>
    <x v="24"/>
    <x v="49"/>
    <s v="Total Electric Power Industry"/>
    <x v="2"/>
    <n v="2471773.02"/>
  </r>
  <r>
    <x v="24"/>
    <x v="49"/>
    <s v="Total Electric Power Industry"/>
    <x v="3"/>
    <n v="8053502.5999999996"/>
  </r>
  <r>
    <x v="24"/>
    <x v="49"/>
    <s v="Total Electric Power Industry"/>
    <x v="7"/>
    <n v="9447096"/>
  </r>
  <r>
    <x v="24"/>
    <x v="49"/>
    <s v="Total Electric Power Industry"/>
    <x v="12"/>
    <n v="61736.98"/>
  </r>
  <r>
    <x v="24"/>
    <x v="49"/>
    <s v="Total Electric Power Industry"/>
    <x v="4"/>
    <n v="319031.63"/>
  </r>
  <r>
    <x v="24"/>
    <x v="49"/>
    <s v="Total Electric Power Industry"/>
    <x v="13"/>
    <n v="1194"/>
  </r>
  <r>
    <x v="24"/>
    <x v="49"/>
    <s v="Total Electric Power Industry"/>
    <x v="8"/>
    <n v="542314.94999999995"/>
  </r>
  <r>
    <x v="24"/>
    <x v="49"/>
    <s v="Total Electric Power Industry"/>
    <x v="5"/>
    <n v="1618001"/>
  </r>
  <r>
    <x v="24"/>
    <x v="49"/>
    <s v="Total Electric Power Industry"/>
    <x v="6"/>
    <n v="1100881.1599999999"/>
  </r>
  <r>
    <x v="24"/>
    <x v="49"/>
    <s v="Combined Heat and Power, Industrial Power"/>
    <x v="0"/>
    <n v="1958890.69"/>
  </r>
  <r>
    <x v="24"/>
    <x v="49"/>
    <s v="Combined Heat and Power, Industrial Power"/>
    <x v="1"/>
    <n v="851211.64"/>
  </r>
  <r>
    <x v="24"/>
    <x v="49"/>
    <s v="Combined Heat and Power, Industrial Power"/>
    <x v="2"/>
    <n v="157837.01999999999"/>
  </r>
  <r>
    <x v="24"/>
    <x v="49"/>
    <s v="Combined Heat and Power, Industrial Power"/>
    <x v="3"/>
    <n v="127066.79"/>
  </r>
  <r>
    <x v="24"/>
    <x v="49"/>
    <s v="Combined Heat and Power, Industrial Power"/>
    <x v="12"/>
    <n v="35073.96"/>
  </r>
  <r>
    <x v="24"/>
    <x v="49"/>
    <s v="Combined Heat and Power, Industrial Power"/>
    <x v="4"/>
    <n v="182118.67"/>
  </r>
  <r>
    <x v="24"/>
    <x v="49"/>
    <s v="Combined Heat and Power, Industrial Power"/>
    <x v="8"/>
    <n v="25518.11"/>
  </r>
  <r>
    <x v="24"/>
    <x v="49"/>
    <s v="Combined Heat and Power, Industrial Power"/>
    <x v="5"/>
    <n v="7165"/>
  </r>
  <r>
    <x v="24"/>
    <x v="49"/>
    <s v="Combined Heat and Power, Industrial Power"/>
    <x v="6"/>
    <n v="572899.5"/>
  </r>
  <r>
    <x v="24"/>
    <x v="49"/>
    <s v="Combined Heat and Power, Commercial Power"/>
    <x v="0"/>
    <n v="176218.78"/>
  </r>
  <r>
    <x v="24"/>
    <x v="49"/>
    <s v="Combined Heat and Power, Commercial Power"/>
    <x v="1"/>
    <n v="915.42"/>
  </r>
  <r>
    <x v="24"/>
    <x v="49"/>
    <s v="Combined Heat and Power, Commercial Power"/>
    <x v="3"/>
    <n v="132332.57999999999"/>
  </r>
  <r>
    <x v="24"/>
    <x v="49"/>
    <s v="Combined Heat and Power, Commercial Power"/>
    <x v="12"/>
    <n v="0"/>
  </r>
  <r>
    <x v="24"/>
    <x v="49"/>
    <s v="Combined Heat and Power, Commercial Power"/>
    <x v="4"/>
    <n v="1914.78"/>
  </r>
  <r>
    <x v="24"/>
    <x v="49"/>
    <s v="Combined Heat and Power, Commercial Power"/>
    <x v="8"/>
    <n v="41043.42"/>
  </r>
  <r>
    <x v="24"/>
    <x v="49"/>
    <s v="Combined Heat and Power, Commercial Power"/>
    <x v="6"/>
    <n v="12.58"/>
  </r>
  <r>
    <x v="24"/>
    <x v="49"/>
    <s v="Combined Heat and Power, Electric Power"/>
    <x v="0"/>
    <n v="792390.84"/>
  </r>
  <r>
    <x v="24"/>
    <x v="49"/>
    <s v="Combined Heat and Power, Electric Power"/>
    <x v="1"/>
    <n v="0"/>
  </r>
  <r>
    <x v="24"/>
    <x v="49"/>
    <s v="Combined Heat and Power, Electric Power"/>
    <x v="3"/>
    <n v="703009.87"/>
  </r>
  <r>
    <x v="24"/>
    <x v="49"/>
    <s v="Combined Heat and Power, Electric Power"/>
    <x v="4"/>
    <n v="2635.42"/>
  </r>
  <r>
    <x v="24"/>
    <x v="49"/>
    <s v="Combined Heat and Power, Electric Power"/>
    <x v="8"/>
    <n v="86745.55"/>
  </r>
  <r>
    <x v="24"/>
    <x v="49"/>
    <s v="Electric Generators, Independent Power Producers"/>
    <x v="0"/>
    <n v="10835513.619999999"/>
  </r>
  <r>
    <x v="24"/>
    <x v="49"/>
    <s v="Electric Generators, Independent Power Producers"/>
    <x v="1"/>
    <n v="0"/>
  </r>
  <r>
    <x v="24"/>
    <x v="49"/>
    <s v="Electric Generators, Independent Power Producers"/>
    <x v="2"/>
    <n v="99922"/>
  </r>
  <r>
    <x v="24"/>
    <x v="49"/>
    <s v="Electric Generators, Independent Power Producers"/>
    <x v="3"/>
    <n v="65620"/>
  </r>
  <r>
    <x v="24"/>
    <x v="49"/>
    <s v="Electric Generators, Independent Power Producers"/>
    <x v="7"/>
    <n v="9447096"/>
  </r>
  <r>
    <x v="24"/>
    <x v="49"/>
    <s v="Electric Generators, Independent Power Producers"/>
    <x v="4"/>
    <n v="493.94"/>
  </r>
  <r>
    <x v="24"/>
    <x v="49"/>
    <s v="Electric Generators, Independent Power Producers"/>
    <x v="13"/>
    <n v="1194"/>
  </r>
  <r>
    <x v="24"/>
    <x v="49"/>
    <s v="Electric Generators, Independent Power Producers"/>
    <x v="8"/>
    <n v="372866.62"/>
  </r>
  <r>
    <x v="24"/>
    <x v="49"/>
    <s v="Electric Generators, Independent Power Producers"/>
    <x v="5"/>
    <n v="584872"/>
  </r>
  <r>
    <x v="24"/>
    <x v="49"/>
    <s v="Electric Generators, Independent Power Producers"/>
    <x v="6"/>
    <n v="263449.06"/>
  </r>
  <r>
    <x v="24"/>
    <x v="49"/>
    <s v="Electric Generators, Electric Utilities"/>
    <x v="0"/>
    <n v="47301781.75"/>
  </r>
  <r>
    <x v="24"/>
    <x v="49"/>
    <s v="Electric Generators, Electric Utilities"/>
    <x v="1"/>
    <n v="36597137.280000001"/>
  </r>
  <r>
    <x v="24"/>
    <x v="49"/>
    <s v="Electric Generators, Electric Utilities"/>
    <x v="2"/>
    <n v="2214014"/>
  </r>
  <r>
    <x v="24"/>
    <x v="49"/>
    <s v="Electric Generators, Electric Utilities"/>
    <x v="3"/>
    <n v="7025473.3499999996"/>
  </r>
  <r>
    <x v="24"/>
    <x v="49"/>
    <s v="Electric Generators, Electric Utilities"/>
    <x v="12"/>
    <n v="26663.02"/>
  </r>
  <r>
    <x v="24"/>
    <x v="49"/>
    <s v="Electric Generators, Electric Utilities"/>
    <x v="4"/>
    <n v="131868.82"/>
  </r>
  <r>
    <x v="24"/>
    <x v="49"/>
    <s v="Electric Generators, Electric Utilities"/>
    <x v="8"/>
    <n v="16141.26"/>
  </r>
  <r>
    <x v="24"/>
    <x v="49"/>
    <s v="Electric Generators, Electric Utilities"/>
    <x v="5"/>
    <n v="1025964"/>
  </r>
  <r>
    <x v="24"/>
    <x v="49"/>
    <s v="Electric Generators, Electric Utilities"/>
    <x v="6"/>
    <n v="264520.02"/>
  </r>
  <r>
    <x v="24"/>
    <x v="50"/>
    <s v="Total Electric Power Industry"/>
    <x v="0"/>
    <n v="81059576.670000002"/>
  </r>
  <r>
    <x v="24"/>
    <x v="50"/>
    <s v="Total Electric Power Industry"/>
    <x v="1"/>
    <n v="77514645.120000005"/>
  </r>
  <r>
    <x v="24"/>
    <x v="50"/>
    <s v="Total Electric Power Industry"/>
    <x v="2"/>
    <n v="1241974"/>
  </r>
  <r>
    <x v="24"/>
    <x v="50"/>
    <s v="Total Electric Power Industry"/>
    <x v="3"/>
    <n v="653301.68999999994"/>
  </r>
  <r>
    <x v="24"/>
    <x v="50"/>
    <s v="Total Electric Power Industry"/>
    <x v="9"/>
    <n v="30877.9"/>
  </r>
  <r>
    <x v="24"/>
    <x v="50"/>
    <s v="Total Electric Power Industry"/>
    <x v="12"/>
    <n v="0"/>
  </r>
  <r>
    <x v="24"/>
    <x v="50"/>
    <s v="Total Electric Power Industry"/>
    <x v="4"/>
    <n v="162779.92000000001"/>
  </r>
  <r>
    <x v="24"/>
    <x v="50"/>
    <s v="Total Electric Power Industry"/>
    <x v="8"/>
    <n v="4615.04"/>
  </r>
  <r>
    <x v="24"/>
    <x v="50"/>
    <s v="Total Electric Power Industry"/>
    <x v="5"/>
    <n v="1451383"/>
  </r>
  <r>
    <x v="24"/>
    <x v="50"/>
    <s v="Combined Heat and Power, Industrial Power"/>
    <x v="0"/>
    <n v="1133354.78"/>
  </r>
  <r>
    <x v="24"/>
    <x v="50"/>
    <s v="Combined Heat and Power, Industrial Power"/>
    <x v="1"/>
    <n v="573646.29"/>
  </r>
  <r>
    <x v="24"/>
    <x v="50"/>
    <s v="Combined Heat and Power, Industrial Power"/>
    <x v="2"/>
    <n v="528820"/>
  </r>
  <r>
    <x v="24"/>
    <x v="50"/>
    <s v="Combined Heat and Power, Industrial Power"/>
    <x v="3"/>
    <n v="10.59"/>
  </r>
  <r>
    <x v="24"/>
    <x v="50"/>
    <s v="Combined Heat and Power, Industrial Power"/>
    <x v="9"/>
    <n v="30877.9"/>
  </r>
  <r>
    <x v="24"/>
    <x v="50"/>
    <s v="Combined Heat and Power, Electric Power"/>
    <x v="0"/>
    <n v="413607"/>
  </r>
  <r>
    <x v="24"/>
    <x v="50"/>
    <s v="Combined Heat and Power, Electric Power"/>
    <x v="1"/>
    <n v="413110.24"/>
  </r>
  <r>
    <x v="24"/>
    <x v="50"/>
    <s v="Combined Heat and Power, Electric Power"/>
    <x v="3"/>
    <n v="496.77"/>
  </r>
  <r>
    <x v="24"/>
    <x v="50"/>
    <s v="Electric Generators, Independent Power Producers"/>
    <x v="0"/>
    <n v="16180781.43"/>
  </r>
  <r>
    <x v="24"/>
    <x v="50"/>
    <s v="Electric Generators, Independent Power Producers"/>
    <x v="1"/>
    <n v="13909595.779999999"/>
  </r>
  <r>
    <x v="24"/>
    <x v="50"/>
    <s v="Electric Generators, Independent Power Producers"/>
    <x v="2"/>
    <n v="316996"/>
  </r>
  <r>
    <x v="24"/>
    <x v="50"/>
    <s v="Electric Generators, Independent Power Producers"/>
    <x v="3"/>
    <n v="471297.29"/>
  </r>
  <r>
    <x v="24"/>
    <x v="50"/>
    <s v="Electric Generators, Independent Power Producers"/>
    <x v="12"/>
    <n v="0"/>
  </r>
  <r>
    <x v="24"/>
    <x v="50"/>
    <s v="Electric Generators, Independent Power Producers"/>
    <x v="4"/>
    <n v="26894.31"/>
  </r>
  <r>
    <x v="24"/>
    <x v="50"/>
    <s v="Electric Generators, Independent Power Producers"/>
    <x v="8"/>
    <n v="4615.04"/>
  </r>
  <r>
    <x v="24"/>
    <x v="50"/>
    <s v="Electric Generators, Independent Power Producers"/>
    <x v="5"/>
    <n v="1451383"/>
  </r>
  <r>
    <x v="24"/>
    <x v="50"/>
    <s v="Electric Generators, Electric Utilities"/>
    <x v="0"/>
    <n v="63331833.469999999"/>
  </r>
  <r>
    <x v="24"/>
    <x v="50"/>
    <s v="Electric Generators, Electric Utilities"/>
    <x v="1"/>
    <n v="62618292.82"/>
  </r>
  <r>
    <x v="24"/>
    <x v="50"/>
    <s v="Electric Generators, Electric Utilities"/>
    <x v="2"/>
    <n v="396158"/>
  </r>
  <r>
    <x v="24"/>
    <x v="50"/>
    <s v="Electric Generators, Electric Utilities"/>
    <x v="3"/>
    <n v="181497.05"/>
  </r>
  <r>
    <x v="24"/>
    <x v="50"/>
    <s v="Electric Generators, Electric Utilities"/>
    <x v="12"/>
    <n v="0"/>
  </r>
  <r>
    <x v="24"/>
    <x v="50"/>
    <s v="Electric Generators, Electric Utilities"/>
    <x v="4"/>
    <n v="135885.6"/>
  </r>
  <r>
    <x v="24"/>
    <x v="51"/>
    <s v="Total Electric Power Industry"/>
    <x v="0"/>
    <n v="49696183.359999999"/>
  </r>
  <r>
    <x v="24"/>
    <x v="51"/>
    <s v="Total Electric Power Industry"/>
    <x v="1"/>
    <n v="43408651.030000001"/>
  </r>
  <r>
    <x v="24"/>
    <x v="51"/>
    <s v="Total Electric Power Industry"/>
    <x v="2"/>
    <n v="868710.15"/>
  </r>
  <r>
    <x v="24"/>
    <x v="51"/>
    <s v="Total Electric Power Industry"/>
    <x v="3"/>
    <n v="557121.39"/>
  </r>
  <r>
    <x v="24"/>
    <x v="51"/>
    <s v="Total Electric Power Industry"/>
    <x v="9"/>
    <n v="336767.64"/>
  </r>
  <r>
    <x v="24"/>
    <x v="51"/>
    <s v="Total Electric Power Industry"/>
    <x v="12"/>
    <n v="74052.91"/>
  </r>
  <r>
    <x v="24"/>
    <x v="51"/>
    <s v="Total Electric Power Industry"/>
    <x v="4"/>
    <n v="45123.24"/>
  </r>
  <r>
    <x v="24"/>
    <x v="51"/>
    <s v="Total Electric Power Industry"/>
    <x v="5"/>
    <n v="4405757"/>
  </r>
  <r>
    <x v="24"/>
    <x v="51"/>
    <s v="Combined Heat and Power, Industrial Power"/>
    <x v="0"/>
    <n v="1360897.21"/>
  </r>
  <r>
    <x v="24"/>
    <x v="51"/>
    <s v="Combined Heat and Power, Industrial Power"/>
    <x v="1"/>
    <n v="463755.23"/>
  </r>
  <r>
    <x v="24"/>
    <x v="51"/>
    <s v="Combined Heat and Power, Industrial Power"/>
    <x v="3"/>
    <n v="479260.01"/>
  </r>
  <r>
    <x v="24"/>
    <x v="51"/>
    <s v="Combined Heat and Power, Industrial Power"/>
    <x v="9"/>
    <n v="336767.64"/>
  </r>
  <r>
    <x v="24"/>
    <x v="51"/>
    <s v="Combined Heat and Power, Industrial Power"/>
    <x v="12"/>
    <n v="74052.91"/>
  </r>
  <r>
    <x v="24"/>
    <x v="51"/>
    <s v="Combined Heat and Power, Industrial Power"/>
    <x v="4"/>
    <n v="7061.43"/>
  </r>
  <r>
    <x v="24"/>
    <x v="51"/>
    <s v="Electric Generators, Independent Power Producers"/>
    <x v="0"/>
    <n v="3266304.15"/>
  </r>
  <r>
    <x v="24"/>
    <x v="51"/>
    <s v="Electric Generators, Independent Power Producers"/>
    <x v="1"/>
    <n v="703623.83"/>
  </r>
  <r>
    <x v="24"/>
    <x v="51"/>
    <s v="Electric Generators, Independent Power Producers"/>
    <x v="2"/>
    <n v="9192.15"/>
  </r>
  <r>
    <x v="24"/>
    <x v="51"/>
    <s v="Electric Generators, Independent Power Producers"/>
    <x v="3"/>
    <n v="55285.17"/>
  </r>
  <r>
    <x v="24"/>
    <x v="51"/>
    <s v="Electric Generators, Independent Power Producers"/>
    <x v="5"/>
    <n v="2498203"/>
  </r>
  <r>
    <x v="24"/>
    <x v="51"/>
    <s v="Electric Generators, Electric Utilities"/>
    <x v="0"/>
    <n v="45068982"/>
  </r>
  <r>
    <x v="24"/>
    <x v="51"/>
    <s v="Electric Generators, Electric Utilities"/>
    <x v="1"/>
    <n v="42241271.979999997"/>
  </r>
  <r>
    <x v="24"/>
    <x v="51"/>
    <s v="Electric Generators, Electric Utilities"/>
    <x v="2"/>
    <n v="859518"/>
  </r>
  <r>
    <x v="24"/>
    <x v="51"/>
    <s v="Electric Generators, Electric Utilities"/>
    <x v="3"/>
    <n v="22576.22"/>
  </r>
  <r>
    <x v="24"/>
    <x v="51"/>
    <s v="Electric Generators, Electric Utilities"/>
    <x v="4"/>
    <n v="38061.81"/>
  </r>
  <r>
    <x v="24"/>
    <x v="51"/>
    <s v="Electric Generators, Electric Utilities"/>
    <x v="5"/>
    <n v="1907554"/>
  </r>
  <r>
    <x v="25"/>
    <x v="0"/>
    <s v="Total Electric Power Industry"/>
    <x v="0"/>
    <n v="6284937"/>
  </r>
  <r>
    <x v="25"/>
    <x v="0"/>
    <s v="Total Electric Power Industry"/>
    <x v="1"/>
    <n v="667549"/>
  </r>
  <r>
    <x v="25"/>
    <x v="0"/>
    <s v="Total Electric Power Industry"/>
    <x v="2"/>
    <n v="1568929"/>
  </r>
  <r>
    <x v="25"/>
    <x v="0"/>
    <s v="Total Electric Power Industry"/>
    <x v="3"/>
    <n v="3089713"/>
  </r>
  <r>
    <x v="25"/>
    <x v="0"/>
    <s v="Total Electric Power Industry"/>
    <x v="12"/>
    <n v="-2407"/>
  </r>
  <r>
    <x v="25"/>
    <x v="0"/>
    <s v="Total Electric Power Industry"/>
    <x v="4"/>
    <n v="746567"/>
  </r>
  <r>
    <x v="25"/>
    <x v="0"/>
    <s v="Total Electric Power Industry"/>
    <x v="8"/>
    <n v="54892"/>
  </r>
  <r>
    <x v="25"/>
    <x v="0"/>
    <s v="Total Electric Power Industry"/>
    <x v="5"/>
    <n v="159694"/>
  </r>
  <r>
    <x v="25"/>
    <x v="0"/>
    <s v="Total Electric Power Industry"/>
    <x v="6"/>
    <n v="0"/>
  </r>
  <r>
    <x v="25"/>
    <x v="0"/>
    <s v="Combined Heat and Power, Industrial Power"/>
    <x v="0"/>
    <n v="120889"/>
  </r>
  <r>
    <x v="25"/>
    <x v="0"/>
    <s v="Combined Heat and Power, Industrial Power"/>
    <x v="3"/>
    <n v="70301"/>
  </r>
  <r>
    <x v="25"/>
    <x v="0"/>
    <s v="Combined Heat and Power, Industrial Power"/>
    <x v="4"/>
    <n v="45827"/>
  </r>
  <r>
    <x v="25"/>
    <x v="0"/>
    <s v="Combined Heat and Power, Industrial Power"/>
    <x v="8"/>
    <n v="4761"/>
  </r>
  <r>
    <x v="25"/>
    <x v="0"/>
    <s v="Combined Heat and Power, Commercial Power"/>
    <x v="0"/>
    <n v="164763"/>
  </r>
  <r>
    <x v="25"/>
    <x v="0"/>
    <s v="Combined Heat and Power, Commercial Power"/>
    <x v="1"/>
    <n v="108903"/>
  </r>
  <r>
    <x v="25"/>
    <x v="0"/>
    <s v="Combined Heat and Power, Commercial Power"/>
    <x v="3"/>
    <n v="1"/>
  </r>
  <r>
    <x v="25"/>
    <x v="0"/>
    <s v="Combined Heat and Power, Commercial Power"/>
    <x v="4"/>
    <n v="5728"/>
  </r>
  <r>
    <x v="25"/>
    <x v="0"/>
    <s v="Combined Heat and Power, Commercial Power"/>
    <x v="8"/>
    <n v="50131"/>
  </r>
  <r>
    <x v="25"/>
    <x v="0"/>
    <s v="Combined Heat and Power, Commercial Power"/>
    <x v="6"/>
    <n v="0"/>
  </r>
  <r>
    <x v="25"/>
    <x v="0"/>
    <s v="Combined Heat and Power, Electric Power"/>
    <x v="0"/>
    <n v="198296"/>
  </r>
  <r>
    <x v="25"/>
    <x v="0"/>
    <s v="Combined Heat and Power, Electric Power"/>
    <x v="1"/>
    <n v="198296"/>
  </r>
  <r>
    <x v="25"/>
    <x v="0"/>
    <s v="Combined Heat and Power, Electric Power"/>
    <x v="4"/>
    <n v="0"/>
  </r>
  <r>
    <x v="25"/>
    <x v="0"/>
    <s v="Combined Heat and Power, Electric Power"/>
    <x v="8"/>
    <n v="0"/>
  </r>
  <r>
    <x v="25"/>
    <x v="0"/>
    <s v="Combined Heat and Power, Electric Power"/>
    <x v="6"/>
    <n v="0"/>
  </r>
  <r>
    <x v="25"/>
    <x v="0"/>
    <s v="Electric Generators, Independent Power Producers"/>
    <x v="0"/>
    <n v="54562"/>
  </r>
  <r>
    <x v="25"/>
    <x v="0"/>
    <s v="Electric Generators, Independent Power Producers"/>
    <x v="5"/>
    <n v="54562"/>
  </r>
  <r>
    <x v="25"/>
    <x v="0"/>
    <s v="Electric Generators, Electric Utilities"/>
    <x v="0"/>
    <n v="5746428"/>
  </r>
  <r>
    <x v="25"/>
    <x v="0"/>
    <s v="Electric Generators, Electric Utilities"/>
    <x v="1"/>
    <n v="360351"/>
  </r>
  <r>
    <x v="25"/>
    <x v="0"/>
    <s v="Electric Generators, Electric Utilities"/>
    <x v="2"/>
    <n v="1568929"/>
  </r>
  <r>
    <x v="25"/>
    <x v="0"/>
    <s v="Electric Generators, Electric Utilities"/>
    <x v="3"/>
    <n v="3019411"/>
  </r>
  <r>
    <x v="25"/>
    <x v="0"/>
    <s v="Electric Generators, Electric Utilities"/>
    <x v="12"/>
    <n v="-2407"/>
  </r>
  <r>
    <x v="25"/>
    <x v="0"/>
    <s v="Electric Generators, Electric Utilities"/>
    <x v="4"/>
    <n v="695012"/>
  </r>
  <r>
    <x v="25"/>
    <x v="0"/>
    <s v="Electric Generators, Electric Utilities"/>
    <x v="5"/>
    <n v="105132"/>
  </r>
  <r>
    <x v="25"/>
    <x v="1"/>
    <s v="Total Electric Power Industry"/>
    <x v="0"/>
    <n v="152477427"/>
  </r>
  <r>
    <x v="25"/>
    <x v="1"/>
    <s v="Total Electric Power Industry"/>
    <x v="1"/>
    <n v="41410429"/>
  </r>
  <r>
    <x v="25"/>
    <x v="1"/>
    <s v="Total Electric Power Industry"/>
    <x v="2"/>
    <n v="9861804"/>
  </r>
  <r>
    <x v="25"/>
    <x v="1"/>
    <s v="Total Electric Power Industry"/>
    <x v="3"/>
    <n v="55844457"/>
  </r>
  <r>
    <x v="25"/>
    <x v="1"/>
    <s v="Total Electric Power Industry"/>
    <x v="7"/>
    <n v="41951382"/>
  </r>
  <r>
    <x v="25"/>
    <x v="1"/>
    <s v="Total Electric Power Industry"/>
    <x v="9"/>
    <n v="35862"/>
  </r>
  <r>
    <x v="25"/>
    <x v="1"/>
    <s v="Total Electric Power Industry"/>
    <x v="12"/>
    <n v="0"/>
  </r>
  <r>
    <x v="25"/>
    <x v="1"/>
    <s v="Total Electric Power Industry"/>
    <x v="4"/>
    <n v="84208"/>
  </r>
  <r>
    <x v="25"/>
    <x v="1"/>
    <s v="Total Electric Power Industry"/>
    <x v="8"/>
    <n v="43630"/>
  </r>
  <r>
    <x v="25"/>
    <x v="1"/>
    <s v="Total Electric Power Industry"/>
    <x v="6"/>
    <n v="3245654"/>
  </r>
  <r>
    <x v="25"/>
    <x v="1"/>
    <s v="Combined Heat and Power, Industrial Power"/>
    <x v="0"/>
    <n v="4216916"/>
  </r>
  <r>
    <x v="25"/>
    <x v="1"/>
    <s v="Combined Heat and Power, Industrial Power"/>
    <x v="1"/>
    <n v="99397"/>
  </r>
  <r>
    <x v="25"/>
    <x v="1"/>
    <s v="Combined Heat and Power, Industrial Power"/>
    <x v="3"/>
    <n v="1027170"/>
  </r>
  <r>
    <x v="25"/>
    <x v="1"/>
    <s v="Combined Heat and Power, Industrial Power"/>
    <x v="9"/>
    <n v="35862"/>
  </r>
  <r>
    <x v="25"/>
    <x v="1"/>
    <s v="Combined Heat and Power, Industrial Power"/>
    <x v="12"/>
    <n v="0"/>
  </r>
  <r>
    <x v="25"/>
    <x v="1"/>
    <s v="Combined Heat and Power, Industrial Power"/>
    <x v="4"/>
    <n v="20931"/>
  </r>
  <r>
    <x v="25"/>
    <x v="1"/>
    <s v="Combined Heat and Power, Industrial Power"/>
    <x v="8"/>
    <n v="0"/>
  </r>
  <r>
    <x v="25"/>
    <x v="1"/>
    <s v="Combined Heat and Power, Industrial Power"/>
    <x v="6"/>
    <n v="3033555"/>
  </r>
  <r>
    <x v="25"/>
    <x v="1"/>
    <s v="Combined Heat and Power, Electric Power"/>
    <x v="0"/>
    <n v="5332204"/>
  </r>
  <r>
    <x v="25"/>
    <x v="1"/>
    <s v="Combined Heat and Power, Electric Power"/>
    <x v="1"/>
    <n v="0"/>
  </r>
  <r>
    <x v="25"/>
    <x v="1"/>
    <s v="Combined Heat and Power, Electric Power"/>
    <x v="3"/>
    <n v="5120105"/>
  </r>
  <r>
    <x v="25"/>
    <x v="1"/>
    <s v="Combined Heat and Power, Electric Power"/>
    <x v="6"/>
    <n v="212099"/>
  </r>
  <r>
    <x v="25"/>
    <x v="1"/>
    <s v="Electric Generators, Independent Power Producers"/>
    <x v="0"/>
    <n v="35059831"/>
  </r>
  <r>
    <x v="25"/>
    <x v="1"/>
    <s v="Electric Generators, Independent Power Producers"/>
    <x v="3"/>
    <n v="35006295"/>
  </r>
  <r>
    <x v="25"/>
    <x v="1"/>
    <s v="Electric Generators, Independent Power Producers"/>
    <x v="4"/>
    <n v="9906"/>
  </r>
  <r>
    <x v="25"/>
    <x v="1"/>
    <s v="Electric Generators, Independent Power Producers"/>
    <x v="8"/>
    <n v="43630"/>
  </r>
  <r>
    <x v="25"/>
    <x v="1"/>
    <s v="Electric Generators, Electric Utilities"/>
    <x v="0"/>
    <n v="107868476"/>
  </r>
  <r>
    <x v="25"/>
    <x v="1"/>
    <s v="Electric Generators, Electric Utilities"/>
    <x v="1"/>
    <n v="41311033"/>
  </r>
  <r>
    <x v="25"/>
    <x v="1"/>
    <s v="Electric Generators, Electric Utilities"/>
    <x v="2"/>
    <n v="9861804"/>
  </r>
  <r>
    <x v="25"/>
    <x v="1"/>
    <s v="Electric Generators, Electric Utilities"/>
    <x v="3"/>
    <n v="14690886"/>
  </r>
  <r>
    <x v="25"/>
    <x v="1"/>
    <s v="Electric Generators, Electric Utilities"/>
    <x v="7"/>
    <n v="41951382"/>
  </r>
  <r>
    <x v="25"/>
    <x v="1"/>
    <s v="Electric Generators, Electric Utilities"/>
    <x v="4"/>
    <n v="53371"/>
  </r>
  <r>
    <x v="25"/>
    <x v="1"/>
    <s v="Electric Generators, Electric Utilities"/>
    <x v="6"/>
    <n v="0"/>
  </r>
  <r>
    <x v="25"/>
    <x v="2"/>
    <s v="Total Electric Power Industry"/>
    <x v="0"/>
    <n v="55559428"/>
  </r>
  <r>
    <x v="25"/>
    <x v="2"/>
    <s v="Total Electric Power Industry"/>
    <x v="1"/>
    <n v="21740033"/>
  </r>
  <r>
    <x v="25"/>
    <x v="2"/>
    <s v="Total Electric Power Industry"/>
    <x v="10"/>
    <n v="31667"/>
  </r>
  <r>
    <x v="25"/>
    <x v="2"/>
    <s v="Total Electric Power Industry"/>
    <x v="2"/>
    <n v="3569195"/>
  </r>
  <r>
    <x v="25"/>
    <x v="2"/>
    <s v="Total Electric Power Industry"/>
    <x v="3"/>
    <n v="14866286"/>
  </r>
  <r>
    <x v="25"/>
    <x v="2"/>
    <s v="Total Electric Power Industry"/>
    <x v="7"/>
    <n v="13837794"/>
  </r>
  <r>
    <x v="25"/>
    <x v="2"/>
    <s v="Total Electric Power Industry"/>
    <x v="12"/>
    <n v="12125"/>
  </r>
  <r>
    <x v="25"/>
    <x v="2"/>
    <s v="Total Electric Power Industry"/>
    <x v="4"/>
    <n v="60444"/>
  </r>
  <r>
    <x v="25"/>
    <x v="2"/>
    <s v="Total Electric Power Industry"/>
    <x v="13"/>
    <n v="927"/>
  </r>
  <r>
    <x v="25"/>
    <x v="2"/>
    <s v="Total Electric Power Industry"/>
    <x v="8"/>
    <n v="89290"/>
  </r>
  <r>
    <x v="25"/>
    <x v="2"/>
    <s v="Total Electric Power Industry"/>
    <x v="6"/>
    <n v="1351667"/>
  </r>
  <r>
    <x v="25"/>
    <x v="2"/>
    <s v="Combined Heat and Power, Industrial Power"/>
    <x v="0"/>
    <n v="1749893"/>
  </r>
  <r>
    <x v="25"/>
    <x v="2"/>
    <s v="Combined Heat and Power, Industrial Power"/>
    <x v="1"/>
    <n v="57479"/>
  </r>
  <r>
    <x v="25"/>
    <x v="2"/>
    <s v="Combined Heat and Power, Industrial Power"/>
    <x v="3"/>
    <n v="320298"/>
  </r>
  <r>
    <x v="25"/>
    <x v="2"/>
    <s v="Combined Heat and Power, Industrial Power"/>
    <x v="12"/>
    <n v="12125"/>
  </r>
  <r>
    <x v="25"/>
    <x v="2"/>
    <s v="Combined Heat and Power, Industrial Power"/>
    <x v="4"/>
    <n v="8325"/>
  </r>
  <r>
    <x v="25"/>
    <x v="2"/>
    <s v="Combined Heat and Power, Industrial Power"/>
    <x v="6"/>
    <n v="1351667"/>
  </r>
  <r>
    <x v="25"/>
    <x v="2"/>
    <s v="Combined Heat and Power, Commercial Power"/>
    <x v="0"/>
    <n v="6294"/>
  </r>
  <r>
    <x v="25"/>
    <x v="2"/>
    <s v="Combined Heat and Power, Commercial Power"/>
    <x v="3"/>
    <n v="2087"/>
  </r>
  <r>
    <x v="25"/>
    <x v="2"/>
    <s v="Combined Heat and Power, Commercial Power"/>
    <x v="8"/>
    <n v="4206"/>
  </r>
  <r>
    <x v="25"/>
    <x v="2"/>
    <s v="Combined Heat and Power, Electric Power"/>
    <x v="0"/>
    <n v="1320374"/>
  </r>
  <r>
    <x v="25"/>
    <x v="2"/>
    <s v="Combined Heat and Power, Electric Power"/>
    <x v="3"/>
    <n v="1304972"/>
  </r>
  <r>
    <x v="25"/>
    <x v="2"/>
    <s v="Combined Heat and Power, Electric Power"/>
    <x v="4"/>
    <n v="0"/>
  </r>
  <r>
    <x v="25"/>
    <x v="2"/>
    <s v="Combined Heat and Power, Electric Power"/>
    <x v="8"/>
    <n v="15402"/>
  </r>
  <r>
    <x v="25"/>
    <x v="2"/>
    <s v="Electric Generators, Independent Power Producers"/>
    <x v="0"/>
    <n v="12944730"/>
  </r>
  <r>
    <x v="25"/>
    <x v="2"/>
    <s v="Electric Generators, Independent Power Producers"/>
    <x v="1"/>
    <n v="4048782"/>
  </r>
  <r>
    <x v="25"/>
    <x v="2"/>
    <s v="Electric Generators, Independent Power Producers"/>
    <x v="2"/>
    <n v="48556"/>
  </r>
  <r>
    <x v="25"/>
    <x v="2"/>
    <s v="Electric Generators, Independent Power Producers"/>
    <x v="3"/>
    <n v="8763352"/>
  </r>
  <r>
    <x v="25"/>
    <x v="2"/>
    <s v="Electric Generators, Independent Power Producers"/>
    <x v="4"/>
    <n v="13431"/>
  </r>
  <r>
    <x v="25"/>
    <x v="2"/>
    <s v="Electric Generators, Independent Power Producers"/>
    <x v="13"/>
    <n v="927"/>
  </r>
  <r>
    <x v="25"/>
    <x v="2"/>
    <s v="Electric Generators, Independent Power Producers"/>
    <x v="8"/>
    <n v="69682"/>
  </r>
  <r>
    <x v="25"/>
    <x v="2"/>
    <s v="Electric Generators, Electric Utilities"/>
    <x v="0"/>
    <n v="39538137"/>
  </r>
  <r>
    <x v="25"/>
    <x v="2"/>
    <s v="Electric Generators, Electric Utilities"/>
    <x v="1"/>
    <n v="17633772"/>
  </r>
  <r>
    <x v="25"/>
    <x v="2"/>
    <s v="Electric Generators, Electric Utilities"/>
    <x v="10"/>
    <n v="31667"/>
  </r>
  <r>
    <x v="25"/>
    <x v="2"/>
    <s v="Electric Generators, Electric Utilities"/>
    <x v="2"/>
    <n v="3520639"/>
  </r>
  <r>
    <x v="25"/>
    <x v="2"/>
    <s v="Electric Generators, Electric Utilities"/>
    <x v="3"/>
    <n v="4475577"/>
  </r>
  <r>
    <x v="25"/>
    <x v="2"/>
    <s v="Electric Generators, Electric Utilities"/>
    <x v="7"/>
    <n v="13837794"/>
  </r>
  <r>
    <x v="25"/>
    <x v="2"/>
    <s v="Electric Generators, Electric Utilities"/>
    <x v="4"/>
    <n v="38688"/>
  </r>
  <r>
    <x v="25"/>
    <x v="3"/>
    <s v="Total Electric Power Industry"/>
    <x v="0"/>
    <n v="113142048"/>
  </r>
  <r>
    <x v="25"/>
    <x v="3"/>
    <s v="Total Electric Power Industry"/>
    <x v="1"/>
    <n v="36167169"/>
  </r>
  <r>
    <x v="25"/>
    <x v="3"/>
    <s v="Total Electric Power Industry"/>
    <x v="10"/>
    <n v="73070"/>
  </r>
  <r>
    <x v="25"/>
    <x v="3"/>
    <s v="Total Electric Power Industry"/>
    <x v="2"/>
    <n v="6535722"/>
  </r>
  <r>
    <x v="25"/>
    <x v="3"/>
    <s v="Total Electric Power Industry"/>
    <x v="3"/>
    <n v="33657102"/>
  </r>
  <r>
    <x v="25"/>
    <x v="3"/>
    <s v="Total Electric Power Industry"/>
    <x v="7"/>
    <n v="32525595"/>
  </r>
  <r>
    <x v="25"/>
    <x v="3"/>
    <s v="Total Electric Power Industry"/>
    <x v="4"/>
    <n v="48118"/>
  </r>
  <r>
    <x v="25"/>
    <x v="3"/>
    <s v="Total Electric Power Industry"/>
    <x v="13"/>
    <n v="3456608"/>
  </r>
  <r>
    <x v="25"/>
    <x v="3"/>
    <s v="Total Electric Power Industry"/>
    <x v="8"/>
    <n v="49644"/>
  </r>
  <r>
    <x v="25"/>
    <x v="3"/>
    <s v="Total Electric Power Industry"/>
    <x v="5"/>
    <n v="452035"/>
  </r>
  <r>
    <x v="25"/>
    <x v="3"/>
    <s v="Total Electric Power Industry"/>
    <x v="6"/>
    <n v="176984"/>
  </r>
  <r>
    <x v="25"/>
    <x v="3"/>
    <s v="Combined Heat and Power, Commercial Power"/>
    <x v="0"/>
    <n v="151447"/>
  </r>
  <r>
    <x v="25"/>
    <x v="3"/>
    <s v="Combined Heat and Power, Commercial Power"/>
    <x v="3"/>
    <n v="129756"/>
  </r>
  <r>
    <x v="25"/>
    <x v="3"/>
    <s v="Combined Heat and Power, Commercial Power"/>
    <x v="4"/>
    <n v="21"/>
  </r>
  <r>
    <x v="25"/>
    <x v="3"/>
    <s v="Combined Heat and Power, Commercial Power"/>
    <x v="13"/>
    <n v="21671"/>
  </r>
  <r>
    <x v="25"/>
    <x v="3"/>
    <s v="Combined Heat and Power, Electric Power"/>
    <x v="0"/>
    <n v="27171"/>
  </r>
  <r>
    <x v="25"/>
    <x v="3"/>
    <s v="Combined Heat and Power, Electric Power"/>
    <x v="3"/>
    <n v="27171"/>
  </r>
  <r>
    <x v="25"/>
    <x v="3"/>
    <s v="Combined Heat and Power, Electric Power"/>
    <x v="4"/>
    <n v="0"/>
  </r>
  <r>
    <x v="25"/>
    <x v="3"/>
    <s v="Electric Generators, Independent Power Producers"/>
    <x v="0"/>
    <n v="18584104"/>
  </r>
  <r>
    <x v="25"/>
    <x v="3"/>
    <s v="Electric Generators, Independent Power Producers"/>
    <x v="3"/>
    <n v="15002830"/>
  </r>
  <r>
    <x v="25"/>
    <x v="3"/>
    <s v="Electric Generators, Independent Power Producers"/>
    <x v="13"/>
    <n v="2909944"/>
  </r>
  <r>
    <x v="25"/>
    <x v="3"/>
    <s v="Electric Generators, Independent Power Producers"/>
    <x v="8"/>
    <n v="42311"/>
  </r>
  <r>
    <x v="25"/>
    <x v="3"/>
    <s v="Electric Generators, Independent Power Producers"/>
    <x v="5"/>
    <n v="452035"/>
  </r>
  <r>
    <x v="25"/>
    <x v="3"/>
    <s v="Electric Generators, Independent Power Producers"/>
    <x v="6"/>
    <n v="176984"/>
  </r>
  <r>
    <x v="25"/>
    <x v="3"/>
    <s v="Electric Generators, Electric Utilities"/>
    <x v="0"/>
    <n v="94379325"/>
  </r>
  <r>
    <x v="25"/>
    <x v="3"/>
    <s v="Electric Generators, Electric Utilities"/>
    <x v="1"/>
    <n v="36167169"/>
  </r>
  <r>
    <x v="25"/>
    <x v="3"/>
    <s v="Electric Generators, Electric Utilities"/>
    <x v="10"/>
    <n v="73070"/>
  </r>
  <r>
    <x v="25"/>
    <x v="3"/>
    <s v="Electric Generators, Electric Utilities"/>
    <x v="2"/>
    <n v="6535722"/>
  </r>
  <r>
    <x v="25"/>
    <x v="3"/>
    <s v="Electric Generators, Electric Utilities"/>
    <x v="3"/>
    <n v="18497346"/>
  </r>
  <r>
    <x v="25"/>
    <x v="3"/>
    <s v="Electric Generators, Electric Utilities"/>
    <x v="7"/>
    <n v="32525595"/>
  </r>
  <r>
    <x v="25"/>
    <x v="3"/>
    <s v="Electric Generators, Electric Utilities"/>
    <x v="4"/>
    <n v="48097"/>
  </r>
  <r>
    <x v="25"/>
    <x v="3"/>
    <s v="Electric Generators, Electric Utilities"/>
    <x v="13"/>
    <n v="524993"/>
  </r>
  <r>
    <x v="25"/>
    <x v="3"/>
    <s v="Electric Generators, Electric Utilities"/>
    <x v="8"/>
    <n v="7333"/>
  </r>
  <r>
    <x v="25"/>
    <x v="4"/>
    <s v="Total Electric Power Industry"/>
    <x v="0"/>
    <n v="196703858"/>
  </r>
  <r>
    <x v="25"/>
    <x v="4"/>
    <s v="Total Electric Power Industry"/>
    <x v="1"/>
    <n v="297874"/>
  </r>
  <r>
    <x v="25"/>
    <x v="4"/>
    <s v="Total Electric Power Industry"/>
    <x v="11"/>
    <n v="11883135"/>
  </r>
  <r>
    <x v="25"/>
    <x v="4"/>
    <s v="Total Electric Power Industry"/>
    <x v="10"/>
    <n v="112650"/>
  </r>
  <r>
    <x v="25"/>
    <x v="4"/>
    <s v="Total Electric Power Industry"/>
    <x v="2"/>
    <n v="13808498"/>
  </r>
  <r>
    <x v="25"/>
    <x v="4"/>
    <s v="Total Electric Power Industry"/>
    <x v="3"/>
    <n v="116139609"/>
  </r>
  <r>
    <x v="25"/>
    <x v="4"/>
    <s v="Total Electric Power Industry"/>
    <x v="7"/>
    <n v="18505385"/>
  </r>
  <r>
    <x v="25"/>
    <x v="4"/>
    <s v="Total Electric Power Industry"/>
    <x v="9"/>
    <n v="1548638"/>
  </r>
  <r>
    <x v="25"/>
    <x v="4"/>
    <s v="Total Electric Power Industry"/>
    <x v="12"/>
    <n v="811717"/>
  </r>
  <r>
    <x v="25"/>
    <x v="4"/>
    <s v="Total Electric Power Industry"/>
    <x v="4"/>
    <n v="84515"/>
  </r>
  <r>
    <x v="25"/>
    <x v="4"/>
    <s v="Total Electric Power Industry"/>
    <x v="13"/>
    <n v="14814384"/>
  </r>
  <r>
    <x v="25"/>
    <x v="4"/>
    <s v="Total Electric Power Industry"/>
    <x v="8"/>
    <n v="2883729"/>
  </r>
  <r>
    <x v="25"/>
    <x v="4"/>
    <s v="Total Electric Power Industry"/>
    <x v="5"/>
    <n v="12229559"/>
  </r>
  <r>
    <x v="25"/>
    <x v="4"/>
    <s v="Total Electric Power Industry"/>
    <x v="6"/>
    <n v="3584165"/>
  </r>
  <r>
    <x v="25"/>
    <x v="4"/>
    <s v="Combined Heat and Power, Industrial Power"/>
    <x v="0"/>
    <n v="14510816"/>
  </r>
  <r>
    <x v="25"/>
    <x v="4"/>
    <s v="Combined Heat and Power, Industrial Power"/>
    <x v="1"/>
    <n v="297874"/>
  </r>
  <r>
    <x v="25"/>
    <x v="4"/>
    <s v="Combined Heat and Power, Industrial Power"/>
    <x v="3"/>
    <n v="11516082"/>
  </r>
  <r>
    <x v="25"/>
    <x v="4"/>
    <s v="Combined Heat and Power, Industrial Power"/>
    <x v="9"/>
    <n v="1548638"/>
  </r>
  <r>
    <x v="25"/>
    <x v="4"/>
    <s v="Combined Heat and Power, Industrial Power"/>
    <x v="12"/>
    <n v="606134"/>
  </r>
  <r>
    <x v="25"/>
    <x v="4"/>
    <s v="Combined Heat and Power, Industrial Power"/>
    <x v="4"/>
    <n v="24747"/>
  </r>
  <r>
    <x v="25"/>
    <x v="4"/>
    <s v="Combined Heat and Power, Industrial Power"/>
    <x v="13"/>
    <n v="6612"/>
  </r>
  <r>
    <x v="25"/>
    <x v="4"/>
    <s v="Combined Heat and Power, Industrial Power"/>
    <x v="8"/>
    <n v="5504"/>
  </r>
  <r>
    <x v="25"/>
    <x v="4"/>
    <s v="Combined Heat and Power, Industrial Power"/>
    <x v="5"/>
    <n v="3984"/>
  </r>
  <r>
    <x v="25"/>
    <x v="4"/>
    <s v="Combined Heat and Power, Industrial Power"/>
    <x v="6"/>
    <n v="501240"/>
  </r>
  <r>
    <x v="25"/>
    <x v="4"/>
    <s v="Combined Heat and Power, Commercial Power"/>
    <x v="0"/>
    <n v="2888734"/>
  </r>
  <r>
    <x v="25"/>
    <x v="4"/>
    <s v="Combined Heat and Power, Commercial Power"/>
    <x v="10"/>
    <n v="0"/>
  </r>
  <r>
    <x v="25"/>
    <x v="4"/>
    <s v="Combined Heat and Power, Commercial Power"/>
    <x v="2"/>
    <n v="3454"/>
  </r>
  <r>
    <x v="25"/>
    <x v="4"/>
    <s v="Combined Heat and Power, Commercial Power"/>
    <x v="3"/>
    <n v="1853360"/>
  </r>
  <r>
    <x v="25"/>
    <x v="4"/>
    <s v="Combined Heat and Power, Commercial Power"/>
    <x v="12"/>
    <n v="0"/>
  </r>
  <r>
    <x v="25"/>
    <x v="4"/>
    <s v="Combined Heat and Power, Commercial Power"/>
    <x v="4"/>
    <n v="409"/>
  </r>
  <r>
    <x v="25"/>
    <x v="4"/>
    <s v="Combined Heat and Power, Commercial Power"/>
    <x v="13"/>
    <n v="96651"/>
  </r>
  <r>
    <x v="25"/>
    <x v="4"/>
    <s v="Combined Heat and Power, Commercial Power"/>
    <x v="8"/>
    <n v="929442"/>
  </r>
  <r>
    <x v="25"/>
    <x v="4"/>
    <s v="Combined Heat and Power, Commercial Power"/>
    <x v="5"/>
    <n v="5418"/>
  </r>
  <r>
    <x v="25"/>
    <x v="4"/>
    <s v="Combined Heat and Power, Electric Power"/>
    <x v="0"/>
    <n v="17246706"/>
  </r>
  <r>
    <x v="25"/>
    <x v="4"/>
    <s v="Combined Heat and Power, Electric Power"/>
    <x v="1"/>
    <n v="0"/>
  </r>
  <r>
    <x v="25"/>
    <x v="4"/>
    <s v="Combined Heat and Power, Electric Power"/>
    <x v="3"/>
    <n v="16159109"/>
  </r>
  <r>
    <x v="25"/>
    <x v="4"/>
    <s v="Combined Heat and Power, Electric Power"/>
    <x v="12"/>
    <n v="95806"/>
  </r>
  <r>
    <x v="25"/>
    <x v="4"/>
    <s v="Combined Heat and Power, Electric Power"/>
    <x v="4"/>
    <n v="0"/>
  </r>
  <r>
    <x v="25"/>
    <x v="4"/>
    <s v="Combined Heat and Power, Electric Power"/>
    <x v="8"/>
    <n v="200364"/>
  </r>
  <r>
    <x v="25"/>
    <x v="4"/>
    <s v="Combined Heat and Power, Electric Power"/>
    <x v="6"/>
    <n v="791426"/>
  </r>
  <r>
    <x v="25"/>
    <x v="4"/>
    <s v="Electric Generators, Independent Power Producers"/>
    <x v="0"/>
    <n v="90907434"/>
  </r>
  <r>
    <x v="25"/>
    <x v="4"/>
    <s v="Electric Generators, Independent Power Producers"/>
    <x v="11"/>
    <n v="11055938"/>
  </r>
  <r>
    <x v="25"/>
    <x v="4"/>
    <s v="Electric Generators, Independent Power Producers"/>
    <x v="2"/>
    <n v="560056"/>
  </r>
  <r>
    <x v="25"/>
    <x v="4"/>
    <s v="Electric Generators, Independent Power Producers"/>
    <x v="3"/>
    <n v="49535498"/>
  </r>
  <r>
    <x v="25"/>
    <x v="4"/>
    <s v="Electric Generators, Independent Power Producers"/>
    <x v="12"/>
    <n v="111101"/>
  </r>
  <r>
    <x v="25"/>
    <x v="4"/>
    <s v="Electric Generators, Independent Power Producers"/>
    <x v="4"/>
    <n v="24720"/>
  </r>
  <r>
    <x v="25"/>
    <x v="4"/>
    <s v="Electric Generators, Independent Power Producers"/>
    <x v="13"/>
    <n v="14236924"/>
  </r>
  <r>
    <x v="25"/>
    <x v="4"/>
    <s v="Electric Generators, Independent Power Producers"/>
    <x v="8"/>
    <n v="1564201"/>
  </r>
  <r>
    <x v="25"/>
    <x v="4"/>
    <s v="Electric Generators, Independent Power Producers"/>
    <x v="5"/>
    <n v="11527497"/>
  </r>
  <r>
    <x v="25"/>
    <x v="4"/>
    <s v="Electric Generators, Independent Power Producers"/>
    <x v="6"/>
    <n v="2291499"/>
  </r>
  <r>
    <x v="25"/>
    <x v="4"/>
    <s v="Electric Generators, Electric Utilities"/>
    <x v="0"/>
    <n v="71150169"/>
  </r>
  <r>
    <x v="25"/>
    <x v="4"/>
    <s v="Electric Generators, Electric Utilities"/>
    <x v="11"/>
    <n v="827197"/>
  </r>
  <r>
    <x v="25"/>
    <x v="4"/>
    <s v="Electric Generators, Electric Utilities"/>
    <x v="10"/>
    <n v="112650"/>
  </r>
  <r>
    <x v="25"/>
    <x v="4"/>
    <s v="Electric Generators, Electric Utilities"/>
    <x v="2"/>
    <n v="13244988"/>
  </r>
  <r>
    <x v="25"/>
    <x v="4"/>
    <s v="Electric Generators, Electric Utilities"/>
    <x v="3"/>
    <n v="37075560"/>
  </r>
  <r>
    <x v="25"/>
    <x v="4"/>
    <s v="Electric Generators, Electric Utilities"/>
    <x v="7"/>
    <n v="18505385"/>
  </r>
  <r>
    <x v="25"/>
    <x v="4"/>
    <s v="Electric Generators, Electric Utilities"/>
    <x v="12"/>
    <n v="-1325"/>
  </r>
  <r>
    <x v="25"/>
    <x v="4"/>
    <s v="Electric Generators, Electric Utilities"/>
    <x v="4"/>
    <n v="34639"/>
  </r>
  <r>
    <x v="25"/>
    <x v="4"/>
    <s v="Electric Generators, Electric Utilities"/>
    <x v="13"/>
    <n v="474197"/>
  </r>
  <r>
    <x v="25"/>
    <x v="4"/>
    <s v="Electric Generators, Electric Utilities"/>
    <x v="8"/>
    <n v="184218"/>
  </r>
  <r>
    <x v="25"/>
    <x v="4"/>
    <s v="Electric Generators, Electric Utilities"/>
    <x v="5"/>
    <n v="692660"/>
  </r>
  <r>
    <x v="25"/>
    <x v="5"/>
    <s v="Total Electric Power Industry"/>
    <x v="0"/>
    <n v="52393077"/>
  </r>
  <r>
    <x v="25"/>
    <x v="5"/>
    <s v="Total Electric Power Industry"/>
    <x v="1"/>
    <n v="31540895"/>
  </r>
  <r>
    <x v="25"/>
    <x v="5"/>
    <s v="Total Electric Power Industry"/>
    <x v="10"/>
    <n v="-278523"/>
  </r>
  <r>
    <x v="25"/>
    <x v="5"/>
    <s v="Total Electric Power Industry"/>
    <x v="2"/>
    <n v="1620161"/>
  </r>
  <r>
    <x v="25"/>
    <x v="5"/>
    <s v="Total Electric Power Industry"/>
    <x v="3"/>
    <n v="11643750"/>
  </r>
  <r>
    <x v="25"/>
    <x v="5"/>
    <s v="Total Electric Power Industry"/>
    <x v="12"/>
    <n v="52324"/>
  </r>
  <r>
    <x v="25"/>
    <x v="5"/>
    <s v="Total Electric Power Industry"/>
    <x v="4"/>
    <n v="7265"/>
  </r>
  <r>
    <x v="25"/>
    <x v="5"/>
    <s v="Total Electric Power Industry"/>
    <x v="13"/>
    <n v="251371"/>
  </r>
  <r>
    <x v="25"/>
    <x v="5"/>
    <s v="Total Electric Power Industry"/>
    <x v="8"/>
    <n v="79724"/>
  </r>
  <r>
    <x v="25"/>
    <x v="5"/>
    <s v="Total Electric Power Industry"/>
    <x v="5"/>
    <n v="7475279"/>
  </r>
  <r>
    <x v="25"/>
    <x v="5"/>
    <s v="Total Electric Power Industry"/>
    <x v="6"/>
    <n v="832"/>
  </r>
  <r>
    <x v="25"/>
    <x v="5"/>
    <s v="Combined Heat and Power, Industrial Power"/>
    <x v="0"/>
    <n v="69437"/>
  </r>
  <r>
    <x v="25"/>
    <x v="5"/>
    <s v="Combined Heat and Power, Industrial Power"/>
    <x v="1"/>
    <n v="8211"/>
  </r>
  <r>
    <x v="25"/>
    <x v="5"/>
    <s v="Combined Heat and Power, Industrial Power"/>
    <x v="3"/>
    <n v="18568"/>
  </r>
  <r>
    <x v="25"/>
    <x v="5"/>
    <s v="Combined Heat and Power, Industrial Power"/>
    <x v="12"/>
    <n v="39877"/>
  </r>
  <r>
    <x v="25"/>
    <x v="5"/>
    <s v="Combined Heat and Power, Industrial Power"/>
    <x v="4"/>
    <n v="30"/>
  </r>
  <r>
    <x v="25"/>
    <x v="5"/>
    <s v="Combined Heat and Power, Industrial Power"/>
    <x v="5"/>
    <n v="2751"/>
  </r>
  <r>
    <x v="25"/>
    <x v="5"/>
    <s v="Combined Heat and Power, Commercial Power"/>
    <x v="0"/>
    <n v="27872"/>
  </r>
  <r>
    <x v="25"/>
    <x v="5"/>
    <s v="Combined Heat and Power, Commercial Power"/>
    <x v="2"/>
    <n v="6481"/>
  </r>
  <r>
    <x v="25"/>
    <x v="5"/>
    <s v="Combined Heat and Power, Commercial Power"/>
    <x v="3"/>
    <n v="4363"/>
  </r>
  <r>
    <x v="25"/>
    <x v="5"/>
    <s v="Combined Heat and Power, Commercial Power"/>
    <x v="4"/>
    <n v="2"/>
  </r>
  <r>
    <x v="25"/>
    <x v="5"/>
    <s v="Combined Heat and Power, Commercial Power"/>
    <x v="13"/>
    <n v="13189"/>
  </r>
  <r>
    <x v="25"/>
    <x v="5"/>
    <s v="Combined Heat and Power, Commercial Power"/>
    <x v="5"/>
    <n v="3837"/>
  </r>
  <r>
    <x v="25"/>
    <x v="5"/>
    <s v="Combined Heat and Power, Electric Power"/>
    <x v="0"/>
    <n v="209167"/>
  </r>
  <r>
    <x v="25"/>
    <x v="5"/>
    <s v="Combined Heat and Power, Electric Power"/>
    <x v="1"/>
    <n v="61857"/>
  </r>
  <r>
    <x v="25"/>
    <x v="5"/>
    <s v="Combined Heat and Power, Electric Power"/>
    <x v="3"/>
    <n v="111964"/>
  </r>
  <r>
    <x v="25"/>
    <x v="5"/>
    <s v="Combined Heat and Power, Electric Power"/>
    <x v="4"/>
    <n v="0"/>
  </r>
  <r>
    <x v="25"/>
    <x v="5"/>
    <s v="Combined Heat and Power, Electric Power"/>
    <x v="8"/>
    <n v="35345"/>
  </r>
  <r>
    <x v="25"/>
    <x v="5"/>
    <s v="Electric Generators, Independent Power Producers"/>
    <x v="0"/>
    <n v="9931648"/>
  </r>
  <r>
    <x v="25"/>
    <x v="5"/>
    <s v="Electric Generators, Independent Power Producers"/>
    <x v="2"/>
    <n v="184134"/>
  </r>
  <r>
    <x v="25"/>
    <x v="5"/>
    <s v="Electric Generators, Independent Power Producers"/>
    <x v="3"/>
    <n v="2117604"/>
  </r>
  <r>
    <x v="25"/>
    <x v="5"/>
    <s v="Electric Generators, Independent Power Producers"/>
    <x v="12"/>
    <n v="12447"/>
  </r>
  <r>
    <x v="25"/>
    <x v="5"/>
    <s v="Electric Generators, Independent Power Producers"/>
    <x v="4"/>
    <n v="115"/>
  </r>
  <r>
    <x v="25"/>
    <x v="5"/>
    <s v="Electric Generators, Independent Power Producers"/>
    <x v="13"/>
    <n v="238182"/>
  </r>
  <r>
    <x v="25"/>
    <x v="5"/>
    <s v="Electric Generators, Independent Power Producers"/>
    <x v="8"/>
    <n v="44379"/>
  </r>
  <r>
    <x v="25"/>
    <x v="5"/>
    <s v="Electric Generators, Independent Power Producers"/>
    <x v="5"/>
    <n v="7333955"/>
  </r>
  <r>
    <x v="25"/>
    <x v="5"/>
    <s v="Electric Generators, Independent Power Producers"/>
    <x v="6"/>
    <n v="832"/>
  </r>
  <r>
    <x v="25"/>
    <x v="5"/>
    <s v="Electric Generators, Electric Utilities"/>
    <x v="0"/>
    <n v="42154954"/>
  </r>
  <r>
    <x v="25"/>
    <x v="5"/>
    <s v="Electric Generators, Electric Utilities"/>
    <x v="1"/>
    <n v="31470826"/>
  </r>
  <r>
    <x v="25"/>
    <x v="5"/>
    <s v="Electric Generators, Electric Utilities"/>
    <x v="10"/>
    <n v="-278523"/>
  </r>
  <r>
    <x v="25"/>
    <x v="5"/>
    <s v="Electric Generators, Electric Utilities"/>
    <x v="2"/>
    <n v="1429546"/>
  </r>
  <r>
    <x v="25"/>
    <x v="5"/>
    <s v="Electric Generators, Electric Utilities"/>
    <x v="3"/>
    <n v="9391250"/>
  </r>
  <r>
    <x v="25"/>
    <x v="5"/>
    <s v="Electric Generators, Electric Utilities"/>
    <x v="4"/>
    <n v="7118"/>
  </r>
  <r>
    <x v="25"/>
    <x v="5"/>
    <s v="Electric Generators, Electric Utilities"/>
    <x v="5"/>
    <n v="134736"/>
  </r>
  <r>
    <x v="25"/>
    <x v="5"/>
    <s v="Electric Generators, Electric Utilities"/>
    <x v="6"/>
    <n v="0"/>
  </r>
  <r>
    <x v="25"/>
    <x v="6"/>
    <s v="Total Electric Power Industry"/>
    <x v="0"/>
    <n v="37470622"/>
  </r>
  <r>
    <x v="25"/>
    <x v="6"/>
    <s v="Total Electric Power Industry"/>
    <x v="1"/>
    <n v="600469"/>
  </r>
  <r>
    <x v="25"/>
    <x v="6"/>
    <s v="Total Electric Power Industry"/>
    <x v="10"/>
    <n v="-3707"/>
  </r>
  <r>
    <x v="25"/>
    <x v="6"/>
    <s v="Total Electric Power Industry"/>
    <x v="2"/>
    <n v="302467"/>
  </r>
  <r>
    <x v="25"/>
    <x v="6"/>
    <s v="Total Electric Power Industry"/>
    <x v="3"/>
    <n v="17362309"/>
  </r>
  <r>
    <x v="25"/>
    <x v="6"/>
    <s v="Total Electric Power Industry"/>
    <x v="7"/>
    <n v="17410917"/>
  </r>
  <r>
    <x v="25"/>
    <x v="6"/>
    <s v="Total Electric Power Industry"/>
    <x v="12"/>
    <n v="556468"/>
  </r>
  <r>
    <x v="25"/>
    <x v="6"/>
    <s v="Total Electric Power Industry"/>
    <x v="4"/>
    <n v="436792"/>
  </r>
  <r>
    <x v="25"/>
    <x v="6"/>
    <s v="Total Electric Power Industry"/>
    <x v="13"/>
    <n v="17439"/>
  </r>
  <r>
    <x v="25"/>
    <x v="6"/>
    <s v="Total Electric Power Industry"/>
    <x v="8"/>
    <n v="597714"/>
  </r>
  <r>
    <x v="25"/>
    <x v="6"/>
    <s v="Total Electric Power Industry"/>
    <x v="6"/>
    <n v="189754"/>
  </r>
  <r>
    <x v="25"/>
    <x v="6"/>
    <s v="Combined Heat and Power, Industrial Power"/>
    <x v="0"/>
    <n v="485961"/>
  </r>
  <r>
    <x v="25"/>
    <x v="6"/>
    <s v="Combined Heat and Power, Industrial Power"/>
    <x v="3"/>
    <n v="477405"/>
  </r>
  <r>
    <x v="25"/>
    <x v="6"/>
    <s v="Combined Heat and Power, Industrial Power"/>
    <x v="4"/>
    <n v="8556"/>
  </r>
  <r>
    <x v="25"/>
    <x v="6"/>
    <s v="Combined Heat and Power, Commercial Power"/>
    <x v="0"/>
    <n v="401950"/>
  </r>
  <r>
    <x v="25"/>
    <x v="6"/>
    <s v="Combined Heat and Power, Commercial Power"/>
    <x v="3"/>
    <n v="385142"/>
  </r>
  <r>
    <x v="25"/>
    <x v="6"/>
    <s v="Combined Heat and Power, Commercial Power"/>
    <x v="12"/>
    <n v="3379"/>
  </r>
  <r>
    <x v="25"/>
    <x v="6"/>
    <s v="Combined Heat and Power, Commercial Power"/>
    <x v="4"/>
    <n v="9874"/>
  </r>
  <r>
    <x v="25"/>
    <x v="6"/>
    <s v="Combined Heat and Power, Commercial Power"/>
    <x v="8"/>
    <n v="3516"/>
  </r>
  <r>
    <x v="25"/>
    <x v="6"/>
    <s v="Combined Heat and Power, Commercial Power"/>
    <x v="6"/>
    <n v="39"/>
  </r>
  <r>
    <x v="25"/>
    <x v="6"/>
    <s v="Combined Heat and Power, Electric Power"/>
    <x v="0"/>
    <n v="196598"/>
  </r>
  <r>
    <x v="25"/>
    <x v="6"/>
    <s v="Combined Heat and Power, Electric Power"/>
    <x v="3"/>
    <n v="192421"/>
  </r>
  <r>
    <x v="25"/>
    <x v="6"/>
    <s v="Combined Heat and Power, Electric Power"/>
    <x v="4"/>
    <n v="4176"/>
  </r>
  <r>
    <x v="25"/>
    <x v="6"/>
    <s v="Electric Generators, Independent Power Producers"/>
    <x v="0"/>
    <n v="36341469"/>
  </r>
  <r>
    <x v="25"/>
    <x v="6"/>
    <s v="Electric Generators, Independent Power Producers"/>
    <x v="1"/>
    <n v="600469"/>
  </r>
  <r>
    <x v="25"/>
    <x v="6"/>
    <s v="Electric Generators, Independent Power Producers"/>
    <x v="10"/>
    <n v="-3707"/>
  </r>
  <r>
    <x v="25"/>
    <x v="6"/>
    <s v="Electric Generators, Independent Power Producers"/>
    <x v="2"/>
    <n v="278414"/>
  </r>
  <r>
    <x v="25"/>
    <x v="6"/>
    <s v="Electric Generators, Independent Power Producers"/>
    <x v="3"/>
    <n v="16294468"/>
  </r>
  <r>
    <x v="25"/>
    <x v="6"/>
    <s v="Electric Generators, Independent Power Producers"/>
    <x v="7"/>
    <n v="17410917"/>
  </r>
  <r>
    <x v="25"/>
    <x v="6"/>
    <s v="Electric Generators, Independent Power Producers"/>
    <x v="12"/>
    <n v="553090"/>
  </r>
  <r>
    <x v="25"/>
    <x v="6"/>
    <s v="Electric Generators, Independent Power Producers"/>
    <x v="4"/>
    <n v="406466"/>
  </r>
  <r>
    <x v="25"/>
    <x v="6"/>
    <s v="Electric Generators, Independent Power Producers"/>
    <x v="13"/>
    <n v="17439"/>
  </r>
  <r>
    <x v="25"/>
    <x v="6"/>
    <s v="Electric Generators, Independent Power Producers"/>
    <x v="8"/>
    <n v="594198"/>
  </r>
  <r>
    <x v="25"/>
    <x v="6"/>
    <s v="Electric Generators, Independent Power Producers"/>
    <x v="6"/>
    <n v="189715"/>
  </r>
  <r>
    <x v="25"/>
    <x v="6"/>
    <s v="Electric Generators, Electric Utilities"/>
    <x v="0"/>
    <n v="44645"/>
  </r>
  <r>
    <x v="25"/>
    <x v="6"/>
    <s v="Electric Generators, Electric Utilities"/>
    <x v="2"/>
    <n v="24053"/>
  </r>
  <r>
    <x v="25"/>
    <x v="6"/>
    <s v="Electric Generators, Electric Utilities"/>
    <x v="3"/>
    <n v="12873"/>
  </r>
  <r>
    <x v="25"/>
    <x v="6"/>
    <s v="Electric Generators, Electric Utilities"/>
    <x v="4"/>
    <n v="7719"/>
  </r>
  <r>
    <x v="25"/>
    <x v="6"/>
    <s v="Electric Generators, Electric Utilities"/>
    <x v="13"/>
    <n v="0"/>
  </r>
  <r>
    <x v="25"/>
    <x v="6"/>
    <s v="Electric Generators, Electric Utilities"/>
    <x v="8"/>
    <n v="0"/>
  </r>
  <r>
    <x v="25"/>
    <x v="7"/>
    <s v="Total Electric Power Industry"/>
    <x v="0"/>
    <n v="53750"/>
  </r>
  <r>
    <x v="25"/>
    <x v="7"/>
    <s v="Total Electric Power Industry"/>
    <x v="3"/>
    <n v="22653"/>
  </r>
  <r>
    <x v="25"/>
    <x v="7"/>
    <s v="Total Electric Power Industry"/>
    <x v="4"/>
    <n v="98"/>
  </r>
  <r>
    <x v="25"/>
    <x v="7"/>
    <s v="Total Electric Power Industry"/>
    <x v="8"/>
    <n v="30999"/>
  </r>
  <r>
    <x v="25"/>
    <x v="7"/>
    <s v="Combined Heat and Power, Commercial Power"/>
    <x v="0"/>
    <n v="22751"/>
  </r>
  <r>
    <x v="25"/>
    <x v="7"/>
    <s v="Combined Heat and Power, Commercial Power"/>
    <x v="3"/>
    <n v="22653"/>
  </r>
  <r>
    <x v="25"/>
    <x v="7"/>
    <s v="Combined Heat and Power, Commercial Power"/>
    <x v="4"/>
    <n v="98"/>
  </r>
  <r>
    <x v="25"/>
    <x v="7"/>
    <s v="Combined Heat and Power, Electric Power"/>
    <x v="0"/>
    <n v="30999"/>
  </r>
  <r>
    <x v="25"/>
    <x v="7"/>
    <s v="Combined Heat and Power, Electric Power"/>
    <x v="3"/>
    <n v="0"/>
  </r>
  <r>
    <x v="25"/>
    <x v="7"/>
    <s v="Combined Heat and Power, Electric Power"/>
    <x v="8"/>
    <n v="30999"/>
  </r>
  <r>
    <x v="25"/>
    <x v="8"/>
    <s v="Total Electric Power Industry"/>
    <x v="0"/>
    <n v="7810006"/>
  </r>
  <r>
    <x v="25"/>
    <x v="8"/>
    <s v="Total Electric Power Industry"/>
    <x v="1"/>
    <n v="598588"/>
  </r>
  <r>
    <x v="25"/>
    <x v="8"/>
    <s v="Total Electric Power Industry"/>
    <x v="3"/>
    <n v="6689267"/>
  </r>
  <r>
    <x v="25"/>
    <x v="8"/>
    <s v="Total Electric Power Industry"/>
    <x v="9"/>
    <n v="238081"/>
  </r>
  <r>
    <x v="25"/>
    <x v="8"/>
    <s v="Total Electric Power Industry"/>
    <x v="4"/>
    <n v="154134"/>
  </r>
  <r>
    <x v="25"/>
    <x v="8"/>
    <s v="Total Electric Power Industry"/>
    <x v="13"/>
    <n v="48512"/>
  </r>
  <r>
    <x v="25"/>
    <x v="8"/>
    <s v="Total Electric Power Industry"/>
    <x v="8"/>
    <n v="76298"/>
  </r>
  <r>
    <x v="25"/>
    <x v="8"/>
    <s v="Total Electric Power Industry"/>
    <x v="5"/>
    <n v="5126"/>
  </r>
  <r>
    <x v="25"/>
    <x v="8"/>
    <s v="Combined Heat and Power, Industrial Power"/>
    <x v="0"/>
    <n v="1220627"/>
  </r>
  <r>
    <x v="25"/>
    <x v="8"/>
    <s v="Combined Heat and Power, Industrial Power"/>
    <x v="3"/>
    <n v="966654"/>
  </r>
  <r>
    <x v="25"/>
    <x v="8"/>
    <s v="Combined Heat and Power, Industrial Power"/>
    <x v="9"/>
    <n v="238081"/>
  </r>
  <r>
    <x v="25"/>
    <x v="8"/>
    <s v="Combined Heat and Power, Industrial Power"/>
    <x v="4"/>
    <n v="0"/>
  </r>
  <r>
    <x v="25"/>
    <x v="8"/>
    <s v="Combined Heat and Power, Industrial Power"/>
    <x v="8"/>
    <n v="15892"/>
  </r>
  <r>
    <x v="25"/>
    <x v="8"/>
    <s v="Combined Heat and Power, Commercial Power"/>
    <x v="0"/>
    <n v="6198"/>
  </r>
  <r>
    <x v="25"/>
    <x v="8"/>
    <s v="Combined Heat and Power, Commercial Power"/>
    <x v="13"/>
    <n v="1072"/>
  </r>
  <r>
    <x v="25"/>
    <x v="8"/>
    <s v="Combined Heat and Power, Commercial Power"/>
    <x v="5"/>
    <n v="5126"/>
  </r>
  <r>
    <x v="25"/>
    <x v="8"/>
    <s v="Combined Heat and Power, Electric Power"/>
    <x v="0"/>
    <n v="259727"/>
  </r>
  <r>
    <x v="25"/>
    <x v="8"/>
    <s v="Combined Heat and Power, Electric Power"/>
    <x v="1"/>
    <n v="0"/>
  </r>
  <r>
    <x v="25"/>
    <x v="8"/>
    <s v="Combined Heat and Power, Electric Power"/>
    <x v="3"/>
    <n v="255892"/>
  </r>
  <r>
    <x v="25"/>
    <x v="8"/>
    <s v="Combined Heat and Power, Electric Power"/>
    <x v="4"/>
    <n v="3835"/>
  </r>
  <r>
    <x v="25"/>
    <x v="8"/>
    <s v="Electric Generators, Independent Power Producers"/>
    <x v="0"/>
    <n v="6273402"/>
  </r>
  <r>
    <x v="25"/>
    <x v="8"/>
    <s v="Electric Generators, Independent Power Producers"/>
    <x v="1"/>
    <n v="598588"/>
  </r>
  <r>
    <x v="25"/>
    <x v="8"/>
    <s v="Electric Generators, Independent Power Producers"/>
    <x v="3"/>
    <n v="5428174"/>
  </r>
  <r>
    <x v="25"/>
    <x v="8"/>
    <s v="Electric Generators, Independent Power Producers"/>
    <x v="4"/>
    <n v="145306"/>
  </r>
  <r>
    <x v="25"/>
    <x v="8"/>
    <s v="Electric Generators, Independent Power Producers"/>
    <x v="13"/>
    <n v="40928"/>
  </r>
  <r>
    <x v="25"/>
    <x v="8"/>
    <s v="Electric Generators, Independent Power Producers"/>
    <x v="8"/>
    <n v="60406"/>
  </r>
  <r>
    <x v="25"/>
    <x v="8"/>
    <s v="Electric Generators, Electric Utilities"/>
    <x v="0"/>
    <n v="50051"/>
  </r>
  <r>
    <x v="25"/>
    <x v="8"/>
    <s v="Electric Generators, Electric Utilities"/>
    <x v="3"/>
    <n v="38548"/>
  </r>
  <r>
    <x v="25"/>
    <x v="8"/>
    <s v="Electric Generators, Electric Utilities"/>
    <x v="4"/>
    <n v="4992"/>
  </r>
  <r>
    <x v="25"/>
    <x v="8"/>
    <s v="Electric Generators, Electric Utilities"/>
    <x v="13"/>
    <n v="6511"/>
  </r>
  <r>
    <x v="25"/>
    <x v="9"/>
    <s v="Total Electric Power Industry"/>
    <x v="0"/>
    <n v="237412633"/>
  </r>
  <r>
    <x v="25"/>
    <x v="9"/>
    <s v="Total Electric Power Industry"/>
    <x v="1"/>
    <n v="42904009"/>
  </r>
  <r>
    <x v="25"/>
    <x v="9"/>
    <s v="Total Electric Power Industry"/>
    <x v="2"/>
    <n v="244294"/>
  </r>
  <r>
    <x v="25"/>
    <x v="9"/>
    <s v="Total Electric Power Industry"/>
    <x v="3"/>
    <n v="155824152"/>
  </r>
  <r>
    <x v="25"/>
    <x v="9"/>
    <s v="Total Electric Power Industry"/>
    <x v="7"/>
    <n v="28121916"/>
  </r>
  <r>
    <x v="25"/>
    <x v="9"/>
    <s v="Total Electric Power Industry"/>
    <x v="9"/>
    <n v="4774"/>
  </r>
  <r>
    <x v="25"/>
    <x v="9"/>
    <s v="Total Electric Power Industry"/>
    <x v="12"/>
    <n v="3020545"/>
  </r>
  <r>
    <x v="25"/>
    <x v="9"/>
    <s v="Total Electric Power Industry"/>
    <x v="4"/>
    <n v="2149515"/>
  </r>
  <r>
    <x v="25"/>
    <x v="9"/>
    <s v="Total Electric Power Industry"/>
    <x v="13"/>
    <n v="223933"/>
  </r>
  <r>
    <x v="25"/>
    <x v="9"/>
    <s v="Total Electric Power Industry"/>
    <x v="8"/>
    <n v="2501859"/>
  </r>
  <r>
    <x v="25"/>
    <x v="9"/>
    <s v="Total Electric Power Industry"/>
    <x v="6"/>
    <n v="2417636"/>
  </r>
  <r>
    <x v="25"/>
    <x v="9"/>
    <s v="Combined Heat and Power, Industrial Power"/>
    <x v="0"/>
    <n v="5356123"/>
  </r>
  <r>
    <x v="25"/>
    <x v="9"/>
    <s v="Combined Heat and Power, Industrial Power"/>
    <x v="1"/>
    <n v="186886"/>
  </r>
  <r>
    <x v="25"/>
    <x v="9"/>
    <s v="Combined Heat and Power, Industrial Power"/>
    <x v="3"/>
    <n v="1391603"/>
  </r>
  <r>
    <x v="25"/>
    <x v="9"/>
    <s v="Combined Heat and Power, Industrial Power"/>
    <x v="9"/>
    <n v="4774"/>
  </r>
  <r>
    <x v="25"/>
    <x v="9"/>
    <s v="Combined Heat and Power, Industrial Power"/>
    <x v="12"/>
    <n v="1648758"/>
  </r>
  <r>
    <x v="25"/>
    <x v="9"/>
    <s v="Combined Heat and Power, Industrial Power"/>
    <x v="4"/>
    <n v="14226"/>
  </r>
  <r>
    <x v="25"/>
    <x v="9"/>
    <s v="Combined Heat and Power, Industrial Power"/>
    <x v="8"/>
    <n v="375674"/>
  </r>
  <r>
    <x v="25"/>
    <x v="9"/>
    <s v="Combined Heat and Power, Industrial Power"/>
    <x v="6"/>
    <n v="1734204"/>
  </r>
  <r>
    <x v="25"/>
    <x v="9"/>
    <s v="Combined Heat and Power, Commercial Power"/>
    <x v="0"/>
    <n v="79072"/>
  </r>
  <r>
    <x v="25"/>
    <x v="9"/>
    <s v="Combined Heat and Power, Commercial Power"/>
    <x v="3"/>
    <n v="32740"/>
  </r>
  <r>
    <x v="25"/>
    <x v="9"/>
    <s v="Combined Heat and Power, Commercial Power"/>
    <x v="4"/>
    <n v="0"/>
  </r>
  <r>
    <x v="25"/>
    <x v="9"/>
    <s v="Combined Heat and Power, Commercial Power"/>
    <x v="13"/>
    <n v="1651"/>
  </r>
  <r>
    <x v="25"/>
    <x v="9"/>
    <s v="Combined Heat and Power, Commercial Power"/>
    <x v="8"/>
    <n v="44680"/>
  </r>
  <r>
    <x v="25"/>
    <x v="9"/>
    <s v="Combined Heat and Power, Electric Power"/>
    <x v="0"/>
    <n v="4011388"/>
  </r>
  <r>
    <x v="25"/>
    <x v="9"/>
    <s v="Combined Heat and Power, Electric Power"/>
    <x v="1"/>
    <n v="1128648"/>
  </r>
  <r>
    <x v="25"/>
    <x v="9"/>
    <s v="Combined Heat and Power, Electric Power"/>
    <x v="3"/>
    <n v="2676878"/>
  </r>
  <r>
    <x v="25"/>
    <x v="9"/>
    <s v="Combined Heat and Power, Electric Power"/>
    <x v="12"/>
    <n v="0"/>
  </r>
  <r>
    <x v="25"/>
    <x v="9"/>
    <s v="Combined Heat and Power, Electric Power"/>
    <x v="4"/>
    <n v="1513"/>
  </r>
  <r>
    <x v="25"/>
    <x v="9"/>
    <s v="Combined Heat and Power, Electric Power"/>
    <x v="8"/>
    <n v="124083"/>
  </r>
  <r>
    <x v="25"/>
    <x v="9"/>
    <s v="Combined Heat and Power, Electric Power"/>
    <x v="6"/>
    <n v="80266"/>
  </r>
  <r>
    <x v="25"/>
    <x v="9"/>
    <s v="Electric Generators, Independent Power Producers"/>
    <x v="0"/>
    <n v="9718630"/>
  </r>
  <r>
    <x v="25"/>
    <x v="9"/>
    <s v="Electric Generators, Independent Power Producers"/>
    <x v="1"/>
    <n v="0"/>
  </r>
  <r>
    <x v="25"/>
    <x v="9"/>
    <s v="Electric Generators, Independent Power Producers"/>
    <x v="3"/>
    <n v="5836254"/>
  </r>
  <r>
    <x v="25"/>
    <x v="9"/>
    <s v="Electric Generators, Independent Power Producers"/>
    <x v="12"/>
    <n v="1371788"/>
  </r>
  <r>
    <x v="25"/>
    <x v="9"/>
    <s v="Electric Generators, Independent Power Producers"/>
    <x v="4"/>
    <n v="5865"/>
  </r>
  <r>
    <x v="25"/>
    <x v="9"/>
    <s v="Electric Generators, Independent Power Producers"/>
    <x v="13"/>
    <n v="48461"/>
  </r>
  <r>
    <x v="25"/>
    <x v="9"/>
    <s v="Electric Generators, Independent Power Producers"/>
    <x v="8"/>
    <n v="1853096"/>
  </r>
  <r>
    <x v="25"/>
    <x v="9"/>
    <s v="Electric Generators, Independent Power Producers"/>
    <x v="6"/>
    <n v="603167"/>
  </r>
  <r>
    <x v="25"/>
    <x v="9"/>
    <s v="Electric Generators, Electric Utilities"/>
    <x v="0"/>
    <n v="218247420"/>
  </r>
  <r>
    <x v="25"/>
    <x v="9"/>
    <s v="Electric Generators, Electric Utilities"/>
    <x v="1"/>
    <n v="41588475"/>
  </r>
  <r>
    <x v="25"/>
    <x v="9"/>
    <s v="Electric Generators, Electric Utilities"/>
    <x v="2"/>
    <n v="244294"/>
  </r>
  <r>
    <x v="25"/>
    <x v="9"/>
    <s v="Electric Generators, Electric Utilities"/>
    <x v="3"/>
    <n v="145886677"/>
  </r>
  <r>
    <x v="25"/>
    <x v="9"/>
    <s v="Electric Generators, Electric Utilities"/>
    <x v="7"/>
    <n v="28121916"/>
  </r>
  <r>
    <x v="25"/>
    <x v="9"/>
    <s v="Electric Generators, Electric Utilities"/>
    <x v="4"/>
    <n v="2127911"/>
  </r>
  <r>
    <x v="25"/>
    <x v="9"/>
    <s v="Electric Generators, Electric Utilities"/>
    <x v="13"/>
    <n v="173821"/>
  </r>
  <r>
    <x v="25"/>
    <x v="9"/>
    <s v="Electric Generators, Electric Utilities"/>
    <x v="8"/>
    <n v="104326"/>
  </r>
  <r>
    <x v="25"/>
    <x v="10"/>
    <s v="Total Electric Power Industry"/>
    <x v="0"/>
    <n v="128817898"/>
  </r>
  <r>
    <x v="25"/>
    <x v="10"/>
    <s v="Total Electric Power Industry"/>
    <x v="1"/>
    <n v="37130630"/>
  </r>
  <r>
    <x v="25"/>
    <x v="10"/>
    <s v="Total Electric Power Industry"/>
    <x v="10"/>
    <n v="-814532"/>
  </r>
  <r>
    <x v="25"/>
    <x v="10"/>
    <s v="Total Electric Power Industry"/>
    <x v="2"/>
    <n v="2983563"/>
  </r>
  <r>
    <x v="25"/>
    <x v="10"/>
    <s v="Total Electric Power Industry"/>
    <x v="3"/>
    <n v="50469266"/>
  </r>
  <r>
    <x v="25"/>
    <x v="10"/>
    <s v="Total Electric Power Industry"/>
    <x v="7"/>
    <n v="33838462"/>
  </r>
  <r>
    <x v="25"/>
    <x v="10"/>
    <s v="Total Electric Power Industry"/>
    <x v="12"/>
    <n v="87117"/>
  </r>
  <r>
    <x v="25"/>
    <x v="10"/>
    <s v="Total Electric Power Industry"/>
    <x v="4"/>
    <n v="260371"/>
  </r>
  <r>
    <x v="25"/>
    <x v="10"/>
    <s v="Total Electric Power Industry"/>
    <x v="13"/>
    <n v="129452"/>
  </r>
  <r>
    <x v="25"/>
    <x v="10"/>
    <s v="Total Electric Power Industry"/>
    <x v="8"/>
    <n v="340800"/>
  </r>
  <r>
    <x v="25"/>
    <x v="10"/>
    <s v="Total Electric Power Industry"/>
    <x v="6"/>
    <n v="4392768"/>
  </r>
  <r>
    <x v="25"/>
    <x v="10"/>
    <s v="Combined Heat and Power, Industrial Power"/>
    <x v="0"/>
    <n v="5115854"/>
  </r>
  <r>
    <x v="25"/>
    <x v="10"/>
    <s v="Combined Heat and Power, Industrial Power"/>
    <x v="1"/>
    <n v="215943"/>
  </r>
  <r>
    <x v="25"/>
    <x v="10"/>
    <s v="Combined Heat and Power, Industrial Power"/>
    <x v="2"/>
    <n v="21265"/>
  </r>
  <r>
    <x v="25"/>
    <x v="10"/>
    <s v="Combined Heat and Power, Industrial Power"/>
    <x v="3"/>
    <n v="589620"/>
  </r>
  <r>
    <x v="25"/>
    <x v="10"/>
    <s v="Combined Heat and Power, Industrial Power"/>
    <x v="12"/>
    <n v="87117"/>
  </r>
  <r>
    <x v="25"/>
    <x v="10"/>
    <s v="Combined Heat and Power, Industrial Power"/>
    <x v="4"/>
    <n v="155164"/>
  </r>
  <r>
    <x v="25"/>
    <x v="10"/>
    <s v="Combined Heat and Power, Industrial Power"/>
    <x v="8"/>
    <n v="156523"/>
  </r>
  <r>
    <x v="25"/>
    <x v="10"/>
    <s v="Combined Heat and Power, Industrial Power"/>
    <x v="6"/>
    <n v="3890222"/>
  </r>
  <r>
    <x v="25"/>
    <x v="10"/>
    <s v="Combined Heat and Power, Commercial Power"/>
    <x v="0"/>
    <n v="14056"/>
  </r>
  <r>
    <x v="25"/>
    <x v="10"/>
    <s v="Combined Heat and Power, Commercial Power"/>
    <x v="3"/>
    <n v="0"/>
  </r>
  <r>
    <x v="25"/>
    <x v="10"/>
    <s v="Combined Heat and Power, Commercial Power"/>
    <x v="4"/>
    <n v="3151"/>
  </r>
  <r>
    <x v="25"/>
    <x v="10"/>
    <s v="Combined Heat and Power, Commercial Power"/>
    <x v="13"/>
    <n v="3121"/>
  </r>
  <r>
    <x v="25"/>
    <x v="10"/>
    <s v="Combined Heat and Power, Commercial Power"/>
    <x v="8"/>
    <n v="7783"/>
  </r>
  <r>
    <x v="25"/>
    <x v="10"/>
    <s v="Combined Heat and Power, Electric Power"/>
    <x v="0"/>
    <n v="254593"/>
  </r>
  <r>
    <x v="25"/>
    <x v="10"/>
    <s v="Combined Heat and Power, Electric Power"/>
    <x v="3"/>
    <n v="226314"/>
  </r>
  <r>
    <x v="25"/>
    <x v="10"/>
    <s v="Combined Heat and Power, Electric Power"/>
    <x v="4"/>
    <n v="15458"/>
  </r>
  <r>
    <x v="25"/>
    <x v="10"/>
    <s v="Combined Heat and Power, Electric Power"/>
    <x v="8"/>
    <n v="12821"/>
  </r>
  <r>
    <x v="25"/>
    <x v="10"/>
    <s v="Electric Generators, Independent Power Producers"/>
    <x v="0"/>
    <n v="13220514"/>
  </r>
  <r>
    <x v="25"/>
    <x v="10"/>
    <s v="Electric Generators, Independent Power Producers"/>
    <x v="2"/>
    <n v="9909"/>
  </r>
  <r>
    <x v="25"/>
    <x v="10"/>
    <s v="Electric Generators, Independent Power Producers"/>
    <x v="3"/>
    <n v="12388953"/>
  </r>
  <r>
    <x v="25"/>
    <x v="10"/>
    <s v="Electric Generators, Independent Power Producers"/>
    <x v="4"/>
    <n v="32757"/>
  </r>
  <r>
    <x v="25"/>
    <x v="10"/>
    <s v="Electric Generators, Independent Power Producers"/>
    <x v="13"/>
    <n v="122676"/>
  </r>
  <r>
    <x v="25"/>
    <x v="10"/>
    <s v="Electric Generators, Independent Power Producers"/>
    <x v="8"/>
    <n v="163673"/>
  </r>
  <r>
    <x v="25"/>
    <x v="10"/>
    <s v="Electric Generators, Independent Power Producers"/>
    <x v="6"/>
    <n v="502546"/>
  </r>
  <r>
    <x v="25"/>
    <x v="10"/>
    <s v="Electric Generators, Electric Utilities"/>
    <x v="0"/>
    <n v="110212881"/>
  </r>
  <r>
    <x v="25"/>
    <x v="10"/>
    <s v="Electric Generators, Electric Utilities"/>
    <x v="1"/>
    <n v="36914687"/>
  </r>
  <r>
    <x v="25"/>
    <x v="10"/>
    <s v="Electric Generators, Electric Utilities"/>
    <x v="10"/>
    <n v="-814532"/>
  </r>
  <r>
    <x v="25"/>
    <x v="10"/>
    <s v="Electric Generators, Electric Utilities"/>
    <x v="2"/>
    <n v="2952389"/>
  </r>
  <r>
    <x v="25"/>
    <x v="10"/>
    <s v="Electric Generators, Electric Utilities"/>
    <x v="3"/>
    <n v="37264378"/>
  </r>
  <r>
    <x v="25"/>
    <x v="10"/>
    <s v="Electric Generators, Electric Utilities"/>
    <x v="7"/>
    <n v="33838462"/>
  </r>
  <r>
    <x v="25"/>
    <x v="10"/>
    <s v="Electric Generators, Electric Utilities"/>
    <x v="4"/>
    <n v="53842"/>
  </r>
  <r>
    <x v="25"/>
    <x v="10"/>
    <s v="Electric Generators, Electric Utilities"/>
    <x v="13"/>
    <n v="3655"/>
  </r>
  <r>
    <x v="25"/>
    <x v="11"/>
    <s v="Total Electric Power Industry"/>
    <x v="0"/>
    <n v="10119500"/>
  </r>
  <r>
    <x v="25"/>
    <x v="11"/>
    <s v="Total Electric Power Industry"/>
    <x v="1"/>
    <n v="1337412"/>
  </r>
  <r>
    <x v="25"/>
    <x v="11"/>
    <s v="Total Electric Power Industry"/>
    <x v="11"/>
    <n v="230340"/>
  </r>
  <r>
    <x v="25"/>
    <x v="11"/>
    <s v="Total Electric Power Industry"/>
    <x v="2"/>
    <n v="121170"/>
  </r>
  <r>
    <x v="25"/>
    <x v="11"/>
    <s v="Total Electric Power Industry"/>
    <x v="9"/>
    <n v="50155"/>
  </r>
  <r>
    <x v="25"/>
    <x v="11"/>
    <s v="Total Electric Power Industry"/>
    <x v="12"/>
    <n v="369163"/>
  </r>
  <r>
    <x v="25"/>
    <x v="11"/>
    <s v="Total Electric Power Industry"/>
    <x v="4"/>
    <n v="7023150"/>
  </r>
  <r>
    <x v="25"/>
    <x v="11"/>
    <s v="Total Electric Power Industry"/>
    <x v="13"/>
    <n v="54397"/>
  </r>
  <r>
    <x v="25"/>
    <x v="11"/>
    <s v="Total Electric Power Industry"/>
    <x v="8"/>
    <n v="320941"/>
  </r>
  <r>
    <x v="25"/>
    <x v="11"/>
    <s v="Total Electric Power Industry"/>
    <x v="5"/>
    <n v="612772"/>
  </r>
  <r>
    <x v="25"/>
    <x v="11"/>
    <s v="Combined Heat and Power, Industrial Power"/>
    <x v="0"/>
    <n v="426852"/>
  </r>
  <r>
    <x v="25"/>
    <x v="11"/>
    <s v="Combined Heat and Power, Industrial Power"/>
    <x v="1"/>
    <n v="34514"/>
  </r>
  <r>
    <x v="25"/>
    <x v="11"/>
    <s v="Combined Heat and Power, Industrial Power"/>
    <x v="2"/>
    <n v="58553"/>
  </r>
  <r>
    <x v="25"/>
    <x v="11"/>
    <s v="Combined Heat and Power, Industrial Power"/>
    <x v="9"/>
    <n v="50155"/>
  </r>
  <r>
    <x v="25"/>
    <x v="11"/>
    <s v="Combined Heat and Power, Industrial Power"/>
    <x v="4"/>
    <n v="204528"/>
  </r>
  <r>
    <x v="25"/>
    <x v="11"/>
    <s v="Combined Heat and Power, Industrial Power"/>
    <x v="8"/>
    <n v="79102"/>
  </r>
  <r>
    <x v="25"/>
    <x v="11"/>
    <s v="Combined Heat and Power, Commercial Power"/>
    <x v="0"/>
    <n v="374653"/>
  </r>
  <r>
    <x v="25"/>
    <x v="11"/>
    <s v="Combined Heat and Power, Commercial Power"/>
    <x v="12"/>
    <n v="181989"/>
  </r>
  <r>
    <x v="25"/>
    <x v="11"/>
    <s v="Combined Heat and Power, Commercial Power"/>
    <x v="4"/>
    <n v="3248"/>
  </r>
  <r>
    <x v="25"/>
    <x v="11"/>
    <s v="Combined Heat and Power, Commercial Power"/>
    <x v="8"/>
    <n v="189416"/>
  </r>
  <r>
    <x v="25"/>
    <x v="11"/>
    <s v="Combined Heat and Power, Electric Power"/>
    <x v="0"/>
    <n v="2688088"/>
  </r>
  <r>
    <x v="25"/>
    <x v="11"/>
    <s v="Combined Heat and Power, Electric Power"/>
    <x v="1"/>
    <n v="1302898"/>
  </r>
  <r>
    <x v="25"/>
    <x v="11"/>
    <s v="Combined Heat and Power, Electric Power"/>
    <x v="12"/>
    <n v="7587"/>
  </r>
  <r>
    <x v="25"/>
    <x v="11"/>
    <s v="Combined Heat and Power, Electric Power"/>
    <x v="4"/>
    <n v="1377602"/>
  </r>
  <r>
    <x v="25"/>
    <x v="11"/>
    <s v="Combined Heat and Power, Electric Power"/>
    <x v="8"/>
    <n v="0"/>
  </r>
  <r>
    <x v="25"/>
    <x v="11"/>
    <s v="Electric Generators, Independent Power Producers"/>
    <x v="0"/>
    <n v="1137735"/>
  </r>
  <r>
    <x v="25"/>
    <x v="11"/>
    <s v="Electric Generators, Independent Power Producers"/>
    <x v="11"/>
    <n v="230340"/>
  </r>
  <r>
    <x v="25"/>
    <x v="11"/>
    <s v="Electric Generators, Independent Power Producers"/>
    <x v="2"/>
    <n v="40881"/>
  </r>
  <r>
    <x v="25"/>
    <x v="11"/>
    <s v="Electric Generators, Independent Power Producers"/>
    <x v="12"/>
    <n v="0"/>
  </r>
  <r>
    <x v="25"/>
    <x v="11"/>
    <s v="Electric Generators, Independent Power Producers"/>
    <x v="4"/>
    <n v="224284"/>
  </r>
  <r>
    <x v="25"/>
    <x v="11"/>
    <s v="Electric Generators, Independent Power Producers"/>
    <x v="13"/>
    <n v="29458"/>
  </r>
  <r>
    <x v="25"/>
    <x v="11"/>
    <s v="Electric Generators, Independent Power Producers"/>
    <x v="5"/>
    <n v="612772"/>
  </r>
  <r>
    <x v="25"/>
    <x v="11"/>
    <s v="Electric Generators, Electric Utilities"/>
    <x v="0"/>
    <n v="5492172"/>
  </r>
  <r>
    <x v="25"/>
    <x v="11"/>
    <s v="Electric Generators, Electric Utilities"/>
    <x v="1"/>
    <n v="0"/>
  </r>
  <r>
    <x v="25"/>
    <x v="11"/>
    <s v="Electric Generators, Electric Utilities"/>
    <x v="2"/>
    <n v="21736"/>
  </r>
  <r>
    <x v="25"/>
    <x v="11"/>
    <s v="Electric Generators, Electric Utilities"/>
    <x v="12"/>
    <n v="179587"/>
  </r>
  <r>
    <x v="25"/>
    <x v="11"/>
    <s v="Electric Generators, Electric Utilities"/>
    <x v="4"/>
    <n v="5213487"/>
  </r>
  <r>
    <x v="25"/>
    <x v="11"/>
    <s v="Electric Generators, Electric Utilities"/>
    <x v="13"/>
    <n v="24939"/>
  </r>
  <r>
    <x v="25"/>
    <x v="11"/>
    <s v="Electric Generators, Electric Utilities"/>
    <x v="8"/>
    <n v="52424"/>
  </r>
  <r>
    <x v="25"/>
    <x v="12"/>
    <s v="Total Electric Power Industry"/>
    <x v="0"/>
    <n v="56658918"/>
  </r>
  <r>
    <x v="25"/>
    <x v="12"/>
    <s v="Total Electric Power Industry"/>
    <x v="1"/>
    <n v="29811075"/>
  </r>
  <r>
    <x v="25"/>
    <x v="12"/>
    <s v="Total Electric Power Industry"/>
    <x v="2"/>
    <n v="960145"/>
  </r>
  <r>
    <x v="25"/>
    <x v="12"/>
    <s v="Total Electric Power Industry"/>
    <x v="3"/>
    <n v="2398135"/>
  </r>
  <r>
    <x v="25"/>
    <x v="12"/>
    <s v="Total Electric Power Industry"/>
    <x v="7"/>
    <n v="5243446"/>
  </r>
  <r>
    <x v="25"/>
    <x v="12"/>
    <s v="Total Electric Power Industry"/>
    <x v="12"/>
    <n v="5051"/>
  </r>
  <r>
    <x v="25"/>
    <x v="12"/>
    <s v="Total Electric Power Industry"/>
    <x v="4"/>
    <n v="110292"/>
  </r>
  <r>
    <x v="25"/>
    <x v="12"/>
    <s v="Total Electric Power Industry"/>
    <x v="8"/>
    <n v="256148"/>
  </r>
  <r>
    <x v="25"/>
    <x v="12"/>
    <s v="Total Electric Power Industry"/>
    <x v="5"/>
    <n v="17872632"/>
  </r>
  <r>
    <x v="25"/>
    <x v="12"/>
    <s v="Total Electric Power Industry"/>
    <x v="6"/>
    <n v="1995"/>
  </r>
  <r>
    <x v="25"/>
    <x v="12"/>
    <s v="Combined Heat and Power, Industrial Power"/>
    <x v="0"/>
    <n v="2102887"/>
  </r>
  <r>
    <x v="25"/>
    <x v="12"/>
    <s v="Combined Heat and Power, Industrial Power"/>
    <x v="1"/>
    <n v="1803010"/>
  </r>
  <r>
    <x v="25"/>
    <x v="12"/>
    <s v="Combined Heat and Power, Industrial Power"/>
    <x v="3"/>
    <n v="189745"/>
  </r>
  <r>
    <x v="25"/>
    <x v="12"/>
    <s v="Combined Heat and Power, Industrial Power"/>
    <x v="12"/>
    <n v="5051"/>
  </r>
  <r>
    <x v="25"/>
    <x v="12"/>
    <s v="Combined Heat and Power, Industrial Power"/>
    <x v="4"/>
    <n v="37713"/>
  </r>
  <r>
    <x v="25"/>
    <x v="12"/>
    <s v="Combined Heat and Power, Industrial Power"/>
    <x v="8"/>
    <n v="67368"/>
  </r>
  <r>
    <x v="25"/>
    <x v="12"/>
    <s v="Combined Heat and Power, Industrial Power"/>
    <x v="6"/>
    <n v="0"/>
  </r>
  <r>
    <x v="25"/>
    <x v="12"/>
    <s v="Combined Heat and Power, Commercial Power"/>
    <x v="0"/>
    <n v="221316"/>
  </r>
  <r>
    <x v="25"/>
    <x v="12"/>
    <s v="Combined Heat and Power, Commercial Power"/>
    <x v="1"/>
    <n v="128289"/>
  </r>
  <r>
    <x v="25"/>
    <x v="12"/>
    <s v="Combined Heat and Power, Commercial Power"/>
    <x v="3"/>
    <n v="44685"/>
  </r>
  <r>
    <x v="25"/>
    <x v="12"/>
    <s v="Combined Heat and Power, Commercial Power"/>
    <x v="4"/>
    <n v="8426"/>
  </r>
  <r>
    <x v="25"/>
    <x v="12"/>
    <s v="Combined Heat and Power, Commercial Power"/>
    <x v="8"/>
    <n v="35362"/>
  </r>
  <r>
    <x v="25"/>
    <x v="12"/>
    <s v="Combined Heat and Power, Commercial Power"/>
    <x v="5"/>
    <n v="2558"/>
  </r>
  <r>
    <x v="25"/>
    <x v="12"/>
    <s v="Combined Heat and Power, Commercial Power"/>
    <x v="6"/>
    <n v="1995"/>
  </r>
  <r>
    <x v="25"/>
    <x v="12"/>
    <s v="Combined Heat and Power, Electric Power"/>
    <x v="0"/>
    <n v="3804"/>
  </r>
  <r>
    <x v="25"/>
    <x v="12"/>
    <s v="Combined Heat and Power, Electric Power"/>
    <x v="8"/>
    <n v="3804"/>
  </r>
  <r>
    <x v="25"/>
    <x v="12"/>
    <s v="Electric Generators, Independent Power Producers"/>
    <x v="0"/>
    <n v="12518250"/>
  </r>
  <r>
    <x v="25"/>
    <x v="12"/>
    <s v="Electric Generators, Independent Power Producers"/>
    <x v="2"/>
    <n v="6390"/>
  </r>
  <r>
    <x v="25"/>
    <x v="12"/>
    <s v="Electric Generators, Independent Power Producers"/>
    <x v="3"/>
    <n v="0"/>
  </r>
  <r>
    <x v="25"/>
    <x v="12"/>
    <s v="Electric Generators, Independent Power Producers"/>
    <x v="7"/>
    <n v="5243446"/>
  </r>
  <r>
    <x v="25"/>
    <x v="12"/>
    <s v="Electric Generators, Independent Power Producers"/>
    <x v="4"/>
    <n v="347"/>
  </r>
  <r>
    <x v="25"/>
    <x v="12"/>
    <s v="Electric Generators, Independent Power Producers"/>
    <x v="8"/>
    <n v="122118"/>
  </r>
  <r>
    <x v="25"/>
    <x v="12"/>
    <s v="Electric Generators, Independent Power Producers"/>
    <x v="5"/>
    <n v="7145949"/>
  </r>
  <r>
    <x v="25"/>
    <x v="12"/>
    <s v="Electric Generators, Electric Utilities"/>
    <x v="0"/>
    <n v="41812662"/>
  </r>
  <r>
    <x v="25"/>
    <x v="12"/>
    <s v="Electric Generators, Electric Utilities"/>
    <x v="1"/>
    <n v="27879776"/>
  </r>
  <r>
    <x v="25"/>
    <x v="12"/>
    <s v="Electric Generators, Electric Utilities"/>
    <x v="2"/>
    <n v="953755"/>
  </r>
  <r>
    <x v="25"/>
    <x v="12"/>
    <s v="Electric Generators, Electric Utilities"/>
    <x v="3"/>
    <n v="2163705"/>
  </r>
  <r>
    <x v="25"/>
    <x v="12"/>
    <s v="Electric Generators, Electric Utilities"/>
    <x v="4"/>
    <n v="63805"/>
  </r>
  <r>
    <x v="25"/>
    <x v="12"/>
    <s v="Electric Generators, Electric Utilities"/>
    <x v="8"/>
    <n v="27496"/>
  </r>
  <r>
    <x v="25"/>
    <x v="12"/>
    <s v="Electric Generators, Electric Utilities"/>
    <x v="5"/>
    <n v="10724125"/>
  </r>
  <r>
    <x v="25"/>
    <x v="12"/>
    <s v="Electric Generators, Electric Utilities"/>
    <x v="6"/>
    <n v="0"/>
  </r>
  <r>
    <x v="25"/>
    <x v="13"/>
    <s v="Total Electric Power Industry"/>
    <x v="0"/>
    <n v="15667095"/>
  </r>
  <r>
    <x v="25"/>
    <x v="13"/>
    <s v="Total Electric Power Industry"/>
    <x v="1"/>
    <n v="78993"/>
  </r>
  <r>
    <x v="25"/>
    <x v="13"/>
    <s v="Total Electric Power Industry"/>
    <x v="11"/>
    <n v="75600"/>
  </r>
  <r>
    <x v="25"/>
    <x v="13"/>
    <s v="Total Electric Power Industry"/>
    <x v="2"/>
    <n v="8756622"/>
  </r>
  <r>
    <x v="25"/>
    <x v="13"/>
    <s v="Total Electric Power Industry"/>
    <x v="3"/>
    <n v="3803588"/>
  </r>
  <r>
    <x v="25"/>
    <x v="13"/>
    <s v="Total Electric Power Industry"/>
    <x v="12"/>
    <n v="80768"/>
  </r>
  <r>
    <x v="25"/>
    <x v="13"/>
    <s v="Total Electric Power Industry"/>
    <x v="4"/>
    <n v="61"/>
  </r>
  <r>
    <x v="25"/>
    <x v="13"/>
    <s v="Total Electric Power Industry"/>
    <x v="8"/>
    <n v="175481"/>
  </r>
  <r>
    <x v="25"/>
    <x v="13"/>
    <s v="Total Electric Power Industry"/>
    <x v="5"/>
    <n v="2270186"/>
  </r>
  <r>
    <x v="25"/>
    <x v="13"/>
    <s v="Total Electric Power Industry"/>
    <x v="6"/>
    <n v="425796"/>
  </r>
  <r>
    <x v="25"/>
    <x v="13"/>
    <s v="Combined Heat and Power, Industrial Power"/>
    <x v="0"/>
    <n v="591991"/>
  </r>
  <r>
    <x v="25"/>
    <x v="13"/>
    <s v="Combined Heat and Power, Industrial Power"/>
    <x v="1"/>
    <n v="78993"/>
  </r>
  <r>
    <x v="25"/>
    <x v="13"/>
    <s v="Combined Heat and Power, Industrial Power"/>
    <x v="3"/>
    <n v="54950"/>
  </r>
  <r>
    <x v="25"/>
    <x v="13"/>
    <s v="Combined Heat and Power, Industrial Power"/>
    <x v="12"/>
    <n v="80768"/>
  </r>
  <r>
    <x v="25"/>
    <x v="13"/>
    <s v="Combined Heat and Power, Industrial Power"/>
    <x v="4"/>
    <n v="0"/>
  </r>
  <r>
    <x v="25"/>
    <x v="13"/>
    <s v="Combined Heat and Power, Industrial Power"/>
    <x v="8"/>
    <n v="10600"/>
  </r>
  <r>
    <x v="25"/>
    <x v="13"/>
    <s v="Combined Heat and Power, Industrial Power"/>
    <x v="6"/>
    <n v="366680"/>
  </r>
  <r>
    <x v="25"/>
    <x v="13"/>
    <s v="Combined Heat and Power, Commercial Power"/>
    <x v="0"/>
    <n v="23348"/>
  </r>
  <r>
    <x v="25"/>
    <x v="13"/>
    <s v="Combined Heat and Power, Commercial Power"/>
    <x v="3"/>
    <n v="14750"/>
  </r>
  <r>
    <x v="25"/>
    <x v="13"/>
    <s v="Combined Heat and Power, Commercial Power"/>
    <x v="4"/>
    <n v="0"/>
  </r>
  <r>
    <x v="25"/>
    <x v="13"/>
    <s v="Combined Heat and Power, Commercial Power"/>
    <x v="8"/>
    <n v="8598"/>
  </r>
  <r>
    <x v="25"/>
    <x v="13"/>
    <s v="Combined Heat and Power, Electric Power"/>
    <x v="0"/>
    <n v="174922"/>
  </r>
  <r>
    <x v="25"/>
    <x v="13"/>
    <s v="Combined Heat and Power, Electric Power"/>
    <x v="3"/>
    <n v="76677"/>
  </r>
  <r>
    <x v="25"/>
    <x v="13"/>
    <s v="Combined Heat and Power, Electric Power"/>
    <x v="8"/>
    <n v="39129"/>
  </r>
  <r>
    <x v="25"/>
    <x v="13"/>
    <s v="Combined Heat and Power, Electric Power"/>
    <x v="6"/>
    <n v="59116"/>
  </r>
  <r>
    <x v="25"/>
    <x v="13"/>
    <s v="Electric Generators, Independent Power Producers"/>
    <x v="0"/>
    <n v="4711210"/>
  </r>
  <r>
    <x v="25"/>
    <x v="13"/>
    <s v="Electric Generators, Independent Power Producers"/>
    <x v="11"/>
    <n v="75600"/>
  </r>
  <r>
    <x v="25"/>
    <x v="13"/>
    <s v="Electric Generators, Independent Power Producers"/>
    <x v="2"/>
    <n v="731772"/>
  </r>
  <r>
    <x v="25"/>
    <x v="13"/>
    <s v="Electric Generators, Independent Power Producers"/>
    <x v="3"/>
    <n v="1528983"/>
  </r>
  <r>
    <x v="25"/>
    <x v="13"/>
    <s v="Electric Generators, Independent Power Producers"/>
    <x v="8"/>
    <n v="104669"/>
  </r>
  <r>
    <x v="25"/>
    <x v="13"/>
    <s v="Electric Generators, Independent Power Producers"/>
    <x v="5"/>
    <n v="2270186"/>
  </r>
  <r>
    <x v="25"/>
    <x v="13"/>
    <s v="Electric Generators, Electric Utilities"/>
    <x v="0"/>
    <n v="10165624"/>
  </r>
  <r>
    <x v="25"/>
    <x v="13"/>
    <s v="Electric Generators, Electric Utilities"/>
    <x v="2"/>
    <n v="8024850"/>
  </r>
  <r>
    <x v="25"/>
    <x v="13"/>
    <s v="Electric Generators, Electric Utilities"/>
    <x v="3"/>
    <n v="2128228"/>
  </r>
  <r>
    <x v="25"/>
    <x v="13"/>
    <s v="Electric Generators, Electric Utilities"/>
    <x v="4"/>
    <n v="61"/>
  </r>
  <r>
    <x v="25"/>
    <x v="13"/>
    <s v="Electric Generators, Electric Utilities"/>
    <x v="8"/>
    <n v="12485"/>
  </r>
  <r>
    <x v="25"/>
    <x v="14"/>
    <s v="Total Electric Power Industry"/>
    <x v="0"/>
    <n v="193952040"/>
  </r>
  <r>
    <x v="25"/>
    <x v="14"/>
    <s v="Total Electric Power Industry"/>
    <x v="1"/>
    <n v="73773706"/>
  </r>
  <r>
    <x v="25"/>
    <x v="14"/>
    <s v="Total Electric Power Industry"/>
    <x v="2"/>
    <n v="124460"/>
  </r>
  <r>
    <x v="25"/>
    <x v="14"/>
    <s v="Total Electric Power Industry"/>
    <x v="3"/>
    <n v="10863883"/>
  </r>
  <r>
    <x v="25"/>
    <x v="14"/>
    <s v="Total Electric Power Industry"/>
    <x v="7"/>
    <n v="97282139"/>
  </r>
  <r>
    <x v="25"/>
    <x v="14"/>
    <s v="Total Electric Power Industry"/>
    <x v="9"/>
    <n v="280060"/>
  </r>
  <r>
    <x v="25"/>
    <x v="14"/>
    <s v="Total Electric Power Industry"/>
    <x v="12"/>
    <n v="248212"/>
  </r>
  <r>
    <x v="25"/>
    <x v="14"/>
    <s v="Total Electric Power Industry"/>
    <x v="4"/>
    <n v="56093"/>
  </r>
  <r>
    <x v="25"/>
    <x v="14"/>
    <s v="Total Electric Power Industry"/>
    <x v="13"/>
    <n v="49360"/>
  </r>
  <r>
    <x v="25"/>
    <x v="14"/>
    <s v="Total Electric Power Industry"/>
    <x v="8"/>
    <n v="526821"/>
  </r>
  <r>
    <x v="25"/>
    <x v="14"/>
    <s v="Total Electric Power Industry"/>
    <x v="5"/>
    <n v="10747270"/>
  </r>
  <r>
    <x v="25"/>
    <x v="14"/>
    <s v="Total Electric Power Industry"/>
    <x v="6"/>
    <n v="36"/>
  </r>
  <r>
    <x v="25"/>
    <x v="14"/>
    <s v="Combined Heat and Power, Industrial Power"/>
    <x v="0"/>
    <n v="2661717"/>
  </r>
  <r>
    <x v="25"/>
    <x v="14"/>
    <s v="Combined Heat and Power, Industrial Power"/>
    <x v="1"/>
    <n v="1617749"/>
  </r>
  <r>
    <x v="25"/>
    <x v="14"/>
    <s v="Combined Heat and Power, Industrial Power"/>
    <x v="3"/>
    <n v="512880"/>
  </r>
  <r>
    <x v="25"/>
    <x v="14"/>
    <s v="Combined Heat and Power, Industrial Power"/>
    <x v="9"/>
    <n v="278020"/>
  </r>
  <r>
    <x v="25"/>
    <x v="14"/>
    <s v="Combined Heat and Power, Industrial Power"/>
    <x v="12"/>
    <n v="253032"/>
  </r>
  <r>
    <x v="25"/>
    <x v="14"/>
    <s v="Combined Heat and Power, Industrial Power"/>
    <x v="4"/>
    <n v="0"/>
  </r>
  <r>
    <x v="25"/>
    <x v="14"/>
    <s v="Combined Heat and Power, Industrial Power"/>
    <x v="6"/>
    <n v="36"/>
  </r>
  <r>
    <x v="25"/>
    <x v="14"/>
    <s v="Combined Heat and Power, Commercial Power"/>
    <x v="0"/>
    <n v="489066"/>
  </r>
  <r>
    <x v="25"/>
    <x v="14"/>
    <s v="Combined Heat and Power, Commercial Power"/>
    <x v="1"/>
    <n v="36544"/>
  </r>
  <r>
    <x v="25"/>
    <x v="14"/>
    <s v="Combined Heat and Power, Commercial Power"/>
    <x v="2"/>
    <n v="1520"/>
  </r>
  <r>
    <x v="25"/>
    <x v="14"/>
    <s v="Combined Heat and Power, Commercial Power"/>
    <x v="3"/>
    <n v="445684"/>
  </r>
  <r>
    <x v="25"/>
    <x v="14"/>
    <s v="Combined Heat and Power, Commercial Power"/>
    <x v="4"/>
    <n v="137"/>
  </r>
  <r>
    <x v="25"/>
    <x v="14"/>
    <s v="Combined Heat and Power, Commercial Power"/>
    <x v="8"/>
    <n v="0"/>
  </r>
  <r>
    <x v="25"/>
    <x v="14"/>
    <s v="Combined Heat and Power, Commercial Power"/>
    <x v="5"/>
    <n v="5181"/>
  </r>
  <r>
    <x v="25"/>
    <x v="14"/>
    <s v="Combined Heat and Power, Electric Power"/>
    <x v="0"/>
    <n v="694033"/>
  </r>
  <r>
    <x v="25"/>
    <x v="14"/>
    <s v="Combined Heat and Power, Electric Power"/>
    <x v="3"/>
    <n v="686052"/>
  </r>
  <r>
    <x v="25"/>
    <x v="14"/>
    <s v="Combined Heat and Power, Electric Power"/>
    <x v="9"/>
    <n v="2040"/>
  </r>
  <r>
    <x v="25"/>
    <x v="14"/>
    <s v="Combined Heat and Power, Electric Power"/>
    <x v="4"/>
    <n v="298"/>
  </r>
  <r>
    <x v="25"/>
    <x v="14"/>
    <s v="Combined Heat and Power, Electric Power"/>
    <x v="8"/>
    <n v="5642"/>
  </r>
  <r>
    <x v="25"/>
    <x v="14"/>
    <s v="Electric Generators, Independent Power Producers"/>
    <x v="0"/>
    <n v="185678684"/>
  </r>
  <r>
    <x v="25"/>
    <x v="14"/>
    <s v="Electric Generators, Independent Power Producers"/>
    <x v="1"/>
    <n v="68404474"/>
  </r>
  <r>
    <x v="25"/>
    <x v="14"/>
    <s v="Electric Generators, Independent Power Producers"/>
    <x v="2"/>
    <n v="80590"/>
  </r>
  <r>
    <x v="25"/>
    <x v="14"/>
    <s v="Electric Generators, Independent Power Producers"/>
    <x v="3"/>
    <n v="8589819"/>
  </r>
  <r>
    <x v="25"/>
    <x v="14"/>
    <s v="Electric Generators, Independent Power Producers"/>
    <x v="7"/>
    <n v="97282139"/>
  </r>
  <r>
    <x v="25"/>
    <x v="14"/>
    <s v="Electric Generators, Independent Power Producers"/>
    <x v="12"/>
    <n v="-4820"/>
  </r>
  <r>
    <x v="25"/>
    <x v="14"/>
    <s v="Electric Generators, Independent Power Producers"/>
    <x v="4"/>
    <n v="47960"/>
  </r>
  <r>
    <x v="25"/>
    <x v="14"/>
    <s v="Electric Generators, Independent Power Producers"/>
    <x v="13"/>
    <n v="48407"/>
  </r>
  <r>
    <x v="25"/>
    <x v="14"/>
    <s v="Electric Generators, Independent Power Producers"/>
    <x v="8"/>
    <n v="501739"/>
  </r>
  <r>
    <x v="25"/>
    <x v="14"/>
    <s v="Electric Generators, Independent Power Producers"/>
    <x v="5"/>
    <n v="10728377"/>
  </r>
  <r>
    <x v="25"/>
    <x v="14"/>
    <s v="Electric Generators, Electric Utilities"/>
    <x v="0"/>
    <n v="4428539"/>
  </r>
  <r>
    <x v="25"/>
    <x v="14"/>
    <s v="Electric Generators, Electric Utilities"/>
    <x v="1"/>
    <n v="3714939"/>
  </r>
  <r>
    <x v="25"/>
    <x v="14"/>
    <s v="Electric Generators, Electric Utilities"/>
    <x v="2"/>
    <n v="42350"/>
  </r>
  <r>
    <x v="25"/>
    <x v="14"/>
    <s v="Electric Generators, Electric Utilities"/>
    <x v="3"/>
    <n v="629447"/>
  </r>
  <r>
    <x v="25"/>
    <x v="14"/>
    <s v="Electric Generators, Electric Utilities"/>
    <x v="4"/>
    <n v="7698"/>
  </r>
  <r>
    <x v="25"/>
    <x v="14"/>
    <s v="Electric Generators, Electric Utilities"/>
    <x v="13"/>
    <n v="953"/>
  </r>
  <r>
    <x v="25"/>
    <x v="14"/>
    <s v="Electric Generators, Electric Utilities"/>
    <x v="8"/>
    <n v="19440"/>
  </r>
  <r>
    <x v="25"/>
    <x v="14"/>
    <s v="Electric Generators, Electric Utilities"/>
    <x v="5"/>
    <n v="13712"/>
  </r>
  <r>
    <x v="25"/>
    <x v="15"/>
    <s v="Total Electric Power Industry"/>
    <x v="0"/>
    <n v="104019275"/>
  </r>
  <r>
    <x v="25"/>
    <x v="15"/>
    <s v="Total Electric Power Industry"/>
    <x v="1"/>
    <n v="78230688"/>
  </r>
  <r>
    <x v="25"/>
    <x v="15"/>
    <s v="Total Electric Power Industry"/>
    <x v="2"/>
    <n v="381236"/>
  </r>
  <r>
    <x v="25"/>
    <x v="15"/>
    <s v="Total Electric Power Industry"/>
    <x v="3"/>
    <n v="16262987"/>
  </r>
  <r>
    <x v="25"/>
    <x v="15"/>
    <s v="Total Electric Power Industry"/>
    <x v="9"/>
    <n v="2268638"/>
  </r>
  <r>
    <x v="25"/>
    <x v="15"/>
    <s v="Total Electric Power Industry"/>
    <x v="12"/>
    <n v="420071"/>
  </r>
  <r>
    <x v="25"/>
    <x v="15"/>
    <s v="Total Electric Power Industry"/>
    <x v="4"/>
    <n v="1338003"/>
  </r>
  <r>
    <x v="25"/>
    <x v="15"/>
    <s v="Total Electric Power Industry"/>
    <x v="13"/>
    <n v="156098"/>
  </r>
  <r>
    <x v="25"/>
    <x v="15"/>
    <s v="Total Electric Power Industry"/>
    <x v="8"/>
    <n v="446408"/>
  </r>
  <r>
    <x v="25"/>
    <x v="15"/>
    <s v="Total Electric Power Industry"/>
    <x v="5"/>
    <n v="4515147"/>
  </r>
  <r>
    <x v="25"/>
    <x v="15"/>
    <s v="Total Electric Power Industry"/>
    <x v="6"/>
    <n v="0"/>
  </r>
  <r>
    <x v="25"/>
    <x v="15"/>
    <s v="Combined Heat and Power, Industrial Power"/>
    <x v="0"/>
    <n v="3280157"/>
  </r>
  <r>
    <x v="25"/>
    <x v="15"/>
    <s v="Combined Heat and Power, Industrial Power"/>
    <x v="1"/>
    <n v="409"/>
  </r>
  <r>
    <x v="25"/>
    <x v="15"/>
    <s v="Combined Heat and Power, Industrial Power"/>
    <x v="3"/>
    <n v="542666"/>
  </r>
  <r>
    <x v="25"/>
    <x v="15"/>
    <s v="Combined Heat and Power, Industrial Power"/>
    <x v="9"/>
    <n v="2248250"/>
  </r>
  <r>
    <x v="25"/>
    <x v="15"/>
    <s v="Combined Heat and Power, Industrial Power"/>
    <x v="12"/>
    <n v="400169"/>
  </r>
  <r>
    <x v="25"/>
    <x v="15"/>
    <s v="Combined Heat and Power, Industrial Power"/>
    <x v="4"/>
    <n v="17547"/>
  </r>
  <r>
    <x v="25"/>
    <x v="15"/>
    <s v="Combined Heat and Power, Industrial Power"/>
    <x v="8"/>
    <n v="71116"/>
  </r>
  <r>
    <x v="25"/>
    <x v="15"/>
    <s v="Combined Heat and Power, Commercial Power"/>
    <x v="0"/>
    <n v="246243"/>
  </r>
  <r>
    <x v="25"/>
    <x v="15"/>
    <s v="Combined Heat and Power, Commercial Power"/>
    <x v="1"/>
    <n v="36895"/>
  </r>
  <r>
    <x v="25"/>
    <x v="15"/>
    <s v="Combined Heat and Power, Commercial Power"/>
    <x v="3"/>
    <n v="167381"/>
  </r>
  <r>
    <x v="25"/>
    <x v="15"/>
    <s v="Combined Heat and Power, Commercial Power"/>
    <x v="12"/>
    <n v="19902"/>
  </r>
  <r>
    <x v="25"/>
    <x v="15"/>
    <s v="Combined Heat and Power, Commercial Power"/>
    <x v="4"/>
    <n v="401"/>
  </r>
  <r>
    <x v="25"/>
    <x v="15"/>
    <s v="Combined Heat and Power, Commercial Power"/>
    <x v="8"/>
    <n v="20714"/>
  </r>
  <r>
    <x v="25"/>
    <x v="15"/>
    <s v="Combined Heat and Power, Commercial Power"/>
    <x v="5"/>
    <n v="949"/>
  </r>
  <r>
    <x v="25"/>
    <x v="15"/>
    <s v="Combined Heat and Power, Electric Power"/>
    <x v="0"/>
    <n v="7912031"/>
  </r>
  <r>
    <x v="25"/>
    <x v="15"/>
    <s v="Combined Heat and Power, Electric Power"/>
    <x v="1"/>
    <n v="5473684"/>
  </r>
  <r>
    <x v="25"/>
    <x v="15"/>
    <s v="Combined Heat and Power, Electric Power"/>
    <x v="3"/>
    <n v="2438347"/>
  </r>
  <r>
    <x v="25"/>
    <x v="15"/>
    <s v="Combined Heat and Power, Electric Power"/>
    <x v="4"/>
    <n v="0"/>
  </r>
  <r>
    <x v="25"/>
    <x v="15"/>
    <s v="Electric Generators, Independent Power Producers"/>
    <x v="0"/>
    <n v="4809750"/>
  </r>
  <r>
    <x v="25"/>
    <x v="15"/>
    <s v="Electric Generators, Independent Power Producers"/>
    <x v="1"/>
    <n v="0"/>
  </r>
  <r>
    <x v="25"/>
    <x v="15"/>
    <s v="Electric Generators, Independent Power Producers"/>
    <x v="3"/>
    <n v="93313"/>
  </r>
  <r>
    <x v="25"/>
    <x v="15"/>
    <s v="Electric Generators, Independent Power Producers"/>
    <x v="4"/>
    <n v="0"/>
  </r>
  <r>
    <x v="25"/>
    <x v="15"/>
    <s v="Electric Generators, Independent Power Producers"/>
    <x v="13"/>
    <n v="147620"/>
  </r>
  <r>
    <x v="25"/>
    <x v="15"/>
    <s v="Electric Generators, Independent Power Producers"/>
    <x v="8"/>
    <n v="54619"/>
  </r>
  <r>
    <x v="25"/>
    <x v="15"/>
    <s v="Electric Generators, Independent Power Producers"/>
    <x v="5"/>
    <n v="4514198"/>
  </r>
  <r>
    <x v="25"/>
    <x v="15"/>
    <s v="Electric Generators, Independent Power Producers"/>
    <x v="6"/>
    <n v="0"/>
  </r>
  <r>
    <x v="25"/>
    <x v="15"/>
    <s v="Electric Generators, Electric Utilities"/>
    <x v="0"/>
    <n v="87771094"/>
  </r>
  <r>
    <x v="25"/>
    <x v="15"/>
    <s v="Electric Generators, Electric Utilities"/>
    <x v="1"/>
    <n v="72719698"/>
  </r>
  <r>
    <x v="25"/>
    <x v="15"/>
    <s v="Electric Generators, Electric Utilities"/>
    <x v="2"/>
    <n v="381236"/>
  </r>
  <r>
    <x v="25"/>
    <x v="15"/>
    <s v="Electric Generators, Electric Utilities"/>
    <x v="3"/>
    <n v="13021280"/>
  </r>
  <r>
    <x v="25"/>
    <x v="15"/>
    <s v="Electric Generators, Electric Utilities"/>
    <x v="9"/>
    <n v="20388"/>
  </r>
  <r>
    <x v="25"/>
    <x v="15"/>
    <s v="Electric Generators, Electric Utilities"/>
    <x v="12"/>
    <n v="0"/>
  </r>
  <r>
    <x v="25"/>
    <x v="15"/>
    <s v="Electric Generators, Electric Utilities"/>
    <x v="4"/>
    <n v="1320055"/>
  </r>
  <r>
    <x v="25"/>
    <x v="15"/>
    <s v="Electric Generators, Electric Utilities"/>
    <x v="13"/>
    <n v="8478"/>
  </r>
  <r>
    <x v="25"/>
    <x v="15"/>
    <s v="Electric Generators, Electric Utilities"/>
    <x v="8"/>
    <n v="299958"/>
  </r>
  <r>
    <x v="25"/>
    <x v="15"/>
    <s v="Electric Generators, Electric Utilities"/>
    <x v="6"/>
    <n v="0"/>
  </r>
  <r>
    <x v="25"/>
    <x v="16"/>
    <s v="Total Electric Power Industry"/>
    <x v="0"/>
    <n v="45527124"/>
  </r>
  <r>
    <x v="25"/>
    <x v="16"/>
    <s v="Total Electric Power Industry"/>
    <x v="1"/>
    <n v="24593334"/>
  </r>
  <r>
    <x v="25"/>
    <x v="16"/>
    <s v="Total Electric Power Industry"/>
    <x v="2"/>
    <n v="18963"/>
  </r>
  <r>
    <x v="25"/>
    <x v="16"/>
    <s v="Total Electric Power Industry"/>
    <x v="3"/>
    <n v="1173902"/>
  </r>
  <r>
    <x v="25"/>
    <x v="16"/>
    <s v="Total Electric Power Industry"/>
    <x v="7"/>
    <n v="8630178"/>
  </r>
  <r>
    <x v="25"/>
    <x v="16"/>
    <s v="Total Electric Power Industry"/>
    <x v="12"/>
    <n v="0"/>
  </r>
  <r>
    <x v="25"/>
    <x v="16"/>
    <s v="Total Electric Power Industry"/>
    <x v="4"/>
    <n v="48502"/>
  </r>
  <r>
    <x v="25"/>
    <x v="16"/>
    <s v="Total Electric Power Industry"/>
    <x v="13"/>
    <n v="1806"/>
  </r>
  <r>
    <x v="25"/>
    <x v="16"/>
    <s v="Total Electric Power Industry"/>
    <x v="8"/>
    <n v="61937"/>
  </r>
  <r>
    <x v="25"/>
    <x v="16"/>
    <s v="Total Electric Power Industry"/>
    <x v="5"/>
    <n v="10998501"/>
  </r>
  <r>
    <x v="25"/>
    <x v="16"/>
    <s v="Combined Heat and Power, Industrial Power"/>
    <x v="0"/>
    <n v="35566"/>
  </r>
  <r>
    <x v="25"/>
    <x v="16"/>
    <s v="Combined Heat and Power, Industrial Power"/>
    <x v="3"/>
    <n v="35504"/>
  </r>
  <r>
    <x v="25"/>
    <x v="16"/>
    <s v="Combined Heat and Power, Industrial Power"/>
    <x v="12"/>
    <n v="0"/>
  </r>
  <r>
    <x v="25"/>
    <x v="16"/>
    <s v="Combined Heat and Power, Industrial Power"/>
    <x v="8"/>
    <n v="61"/>
  </r>
  <r>
    <x v="25"/>
    <x v="16"/>
    <s v="Electric Generators, Independent Power Producers"/>
    <x v="0"/>
    <n v="10197702"/>
  </r>
  <r>
    <x v="25"/>
    <x v="16"/>
    <s v="Electric Generators, Independent Power Producers"/>
    <x v="2"/>
    <n v="18963"/>
  </r>
  <r>
    <x v="25"/>
    <x v="16"/>
    <s v="Electric Generators, Independent Power Producers"/>
    <x v="13"/>
    <n v="1806"/>
  </r>
  <r>
    <x v="25"/>
    <x v="16"/>
    <s v="Electric Generators, Independent Power Producers"/>
    <x v="8"/>
    <n v="61876"/>
  </r>
  <r>
    <x v="25"/>
    <x v="16"/>
    <s v="Electric Generators, Independent Power Producers"/>
    <x v="5"/>
    <n v="10115057"/>
  </r>
  <r>
    <x v="25"/>
    <x v="16"/>
    <s v="Electric Generators, Electric Utilities"/>
    <x v="0"/>
    <n v="35293856"/>
  </r>
  <r>
    <x v="25"/>
    <x v="16"/>
    <s v="Electric Generators, Electric Utilities"/>
    <x v="1"/>
    <n v="24593334"/>
  </r>
  <r>
    <x v="25"/>
    <x v="16"/>
    <s v="Electric Generators, Electric Utilities"/>
    <x v="3"/>
    <n v="1138398"/>
  </r>
  <r>
    <x v="25"/>
    <x v="16"/>
    <s v="Electric Generators, Electric Utilities"/>
    <x v="7"/>
    <n v="8630178"/>
  </r>
  <r>
    <x v="25"/>
    <x v="16"/>
    <s v="Electric Generators, Electric Utilities"/>
    <x v="4"/>
    <n v="48502"/>
  </r>
  <r>
    <x v="25"/>
    <x v="16"/>
    <s v="Electric Generators, Electric Utilities"/>
    <x v="5"/>
    <n v="883444"/>
  </r>
  <r>
    <x v="25"/>
    <x v="17"/>
    <s v="Total Electric Power Industry"/>
    <x v="0"/>
    <n v="83543671"/>
  </r>
  <r>
    <x v="25"/>
    <x v="17"/>
    <s v="Total Electric Power Industry"/>
    <x v="1"/>
    <n v="72620429"/>
  </r>
  <r>
    <x v="25"/>
    <x v="17"/>
    <s v="Total Electric Power Industry"/>
    <x v="2"/>
    <n v="3403481"/>
  </r>
  <r>
    <x v="25"/>
    <x v="17"/>
    <s v="Total Electric Power Industry"/>
    <x v="3"/>
    <n v="5949727"/>
  </r>
  <r>
    <x v="25"/>
    <x v="17"/>
    <s v="Total Electric Power Industry"/>
    <x v="12"/>
    <n v="51696"/>
  </r>
  <r>
    <x v="25"/>
    <x v="17"/>
    <s v="Total Electric Power Industry"/>
    <x v="4"/>
    <n v="1077213"/>
  </r>
  <r>
    <x v="25"/>
    <x v="17"/>
    <s v="Total Electric Power Industry"/>
    <x v="8"/>
    <n v="92299"/>
  </r>
  <r>
    <x v="25"/>
    <x v="17"/>
    <s v="Total Electric Power Industry"/>
    <x v="6"/>
    <n v="348827"/>
  </r>
  <r>
    <x v="25"/>
    <x v="17"/>
    <s v="Combined Heat and Power, Industrial Power"/>
    <x v="0"/>
    <n v="589460"/>
  </r>
  <r>
    <x v="25"/>
    <x v="17"/>
    <s v="Combined Heat and Power, Industrial Power"/>
    <x v="3"/>
    <n v="240633"/>
  </r>
  <r>
    <x v="25"/>
    <x v="17"/>
    <s v="Combined Heat and Power, Industrial Power"/>
    <x v="8"/>
    <n v="0"/>
  </r>
  <r>
    <x v="25"/>
    <x v="17"/>
    <s v="Combined Heat and Power, Industrial Power"/>
    <x v="6"/>
    <n v="348827"/>
  </r>
  <r>
    <x v="25"/>
    <x v="17"/>
    <s v="Electric Generators, Independent Power Producers"/>
    <x v="0"/>
    <n v="589449"/>
  </r>
  <r>
    <x v="25"/>
    <x v="17"/>
    <s v="Electric Generators, Independent Power Producers"/>
    <x v="2"/>
    <n v="8535"/>
  </r>
  <r>
    <x v="25"/>
    <x v="17"/>
    <s v="Electric Generators, Independent Power Producers"/>
    <x v="3"/>
    <n v="573600"/>
  </r>
  <r>
    <x v="25"/>
    <x v="17"/>
    <s v="Electric Generators, Independent Power Producers"/>
    <x v="8"/>
    <n v="7314"/>
  </r>
  <r>
    <x v="25"/>
    <x v="17"/>
    <s v="Electric Generators, Electric Utilities"/>
    <x v="0"/>
    <n v="82364762"/>
  </r>
  <r>
    <x v="25"/>
    <x v="17"/>
    <s v="Electric Generators, Electric Utilities"/>
    <x v="1"/>
    <n v="72620429"/>
  </r>
  <r>
    <x v="25"/>
    <x v="17"/>
    <s v="Electric Generators, Electric Utilities"/>
    <x v="2"/>
    <n v="3394946"/>
  </r>
  <r>
    <x v="25"/>
    <x v="17"/>
    <s v="Electric Generators, Electric Utilities"/>
    <x v="3"/>
    <n v="5135493"/>
  </r>
  <r>
    <x v="25"/>
    <x v="17"/>
    <s v="Electric Generators, Electric Utilities"/>
    <x v="12"/>
    <n v="51696"/>
  </r>
  <r>
    <x v="25"/>
    <x v="17"/>
    <s v="Electric Generators, Electric Utilities"/>
    <x v="4"/>
    <n v="1077213"/>
  </r>
  <r>
    <x v="25"/>
    <x v="17"/>
    <s v="Electric Generators, Electric Utilities"/>
    <x v="8"/>
    <n v="84985"/>
  </r>
  <r>
    <x v="25"/>
    <x v="17"/>
    <s v="Electric Generators, Electric Utilities"/>
    <x v="6"/>
    <n v="0"/>
  </r>
  <r>
    <x v="25"/>
    <x v="18"/>
    <s v="Total Electric Power Industry"/>
    <x v="0"/>
    <n v="107812354"/>
  </r>
  <r>
    <x v="25"/>
    <x v="18"/>
    <s v="Total Electric Power Industry"/>
    <x v="1"/>
    <n v="15164958"/>
  </r>
  <r>
    <x v="25"/>
    <x v="18"/>
    <s v="Total Electric Power Industry"/>
    <x v="2"/>
    <n v="999036"/>
  </r>
  <r>
    <x v="25"/>
    <x v="18"/>
    <s v="Total Electric Power Industry"/>
    <x v="3"/>
    <n v="66210832"/>
  </r>
  <r>
    <x v="25"/>
    <x v="18"/>
    <s v="Total Electric Power Industry"/>
    <x v="7"/>
    <n v="15300736"/>
  </r>
  <r>
    <x v="25"/>
    <x v="18"/>
    <s v="Total Electric Power Industry"/>
    <x v="9"/>
    <n v="2400747"/>
  </r>
  <r>
    <x v="25"/>
    <x v="18"/>
    <s v="Total Electric Power Industry"/>
    <x v="12"/>
    <n v="788216"/>
  </r>
  <r>
    <x v="25"/>
    <x v="18"/>
    <s v="Total Electric Power Industry"/>
    <x v="4"/>
    <n v="4243085"/>
  </r>
  <r>
    <x v="25"/>
    <x v="18"/>
    <s v="Total Electric Power Industry"/>
    <x v="8"/>
    <n v="96275"/>
  </r>
  <r>
    <x v="25"/>
    <x v="18"/>
    <s v="Total Electric Power Industry"/>
    <x v="6"/>
    <n v="2608468"/>
  </r>
  <r>
    <x v="25"/>
    <x v="18"/>
    <s v="Combined Heat and Power, Industrial Power"/>
    <x v="0"/>
    <n v="30763662"/>
  </r>
  <r>
    <x v="25"/>
    <x v="18"/>
    <s v="Combined Heat and Power, Industrial Power"/>
    <x v="1"/>
    <n v="0"/>
  </r>
  <r>
    <x v="25"/>
    <x v="18"/>
    <s v="Combined Heat and Power, Industrial Power"/>
    <x v="3"/>
    <n v="24750504"/>
  </r>
  <r>
    <x v="25"/>
    <x v="18"/>
    <s v="Combined Heat and Power, Industrial Power"/>
    <x v="9"/>
    <n v="2400747"/>
  </r>
  <r>
    <x v="25"/>
    <x v="18"/>
    <s v="Combined Heat and Power, Industrial Power"/>
    <x v="12"/>
    <n v="788216"/>
  </r>
  <r>
    <x v="25"/>
    <x v="18"/>
    <s v="Combined Heat and Power, Industrial Power"/>
    <x v="4"/>
    <n v="208645"/>
  </r>
  <r>
    <x v="25"/>
    <x v="18"/>
    <s v="Combined Heat and Power, Industrial Power"/>
    <x v="8"/>
    <n v="7082"/>
  </r>
  <r>
    <x v="25"/>
    <x v="18"/>
    <s v="Combined Heat and Power, Industrial Power"/>
    <x v="6"/>
    <n v="2608468"/>
  </r>
  <r>
    <x v="25"/>
    <x v="18"/>
    <s v="Combined Heat and Power, Commercial Power"/>
    <x v="0"/>
    <n v="176168"/>
  </r>
  <r>
    <x v="25"/>
    <x v="18"/>
    <s v="Combined Heat and Power, Commercial Power"/>
    <x v="3"/>
    <n v="176168"/>
  </r>
  <r>
    <x v="25"/>
    <x v="18"/>
    <s v="Combined Heat and Power, Electric Power"/>
    <x v="0"/>
    <n v="2709824"/>
  </r>
  <r>
    <x v="25"/>
    <x v="18"/>
    <s v="Combined Heat and Power, Electric Power"/>
    <x v="3"/>
    <n v="2709824"/>
  </r>
  <r>
    <x v="25"/>
    <x v="18"/>
    <s v="Electric Generators, Independent Power Producers"/>
    <x v="0"/>
    <n v="8432811"/>
  </r>
  <r>
    <x v="25"/>
    <x v="18"/>
    <s v="Electric Generators, Independent Power Producers"/>
    <x v="1"/>
    <n v="6040176"/>
  </r>
  <r>
    <x v="25"/>
    <x v="18"/>
    <s v="Electric Generators, Independent Power Producers"/>
    <x v="2"/>
    <n v="999036"/>
  </r>
  <r>
    <x v="25"/>
    <x v="18"/>
    <s v="Electric Generators, Independent Power Producers"/>
    <x v="3"/>
    <n v="1291269"/>
  </r>
  <r>
    <x v="25"/>
    <x v="18"/>
    <s v="Electric Generators, Independent Power Producers"/>
    <x v="4"/>
    <n v="13137"/>
  </r>
  <r>
    <x v="25"/>
    <x v="18"/>
    <s v="Electric Generators, Independent Power Producers"/>
    <x v="8"/>
    <n v="89193"/>
  </r>
  <r>
    <x v="25"/>
    <x v="18"/>
    <s v="Electric Generators, Electric Utilities"/>
    <x v="0"/>
    <n v="65729889"/>
  </r>
  <r>
    <x v="25"/>
    <x v="18"/>
    <s v="Electric Generators, Electric Utilities"/>
    <x v="1"/>
    <n v="9124782"/>
  </r>
  <r>
    <x v="25"/>
    <x v="18"/>
    <s v="Electric Generators, Electric Utilities"/>
    <x v="3"/>
    <n v="37283067"/>
  </r>
  <r>
    <x v="25"/>
    <x v="18"/>
    <s v="Electric Generators, Electric Utilities"/>
    <x v="7"/>
    <n v="15300736"/>
  </r>
  <r>
    <x v="25"/>
    <x v="18"/>
    <s v="Electric Generators, Electric Utilities"/>
    <x v="4"/>
    <n v="4021304"/>
  </r>
  <r>
    <x v="25"/>
    <x v="19"/>
    <s v="Total Electric Power Industry"/>
    <x v="0"/>
    <n v="32085969"/>
  </r>
  <r>
    <x v="25"/>
    <x v="19"/>
    <s v="Total Electric Power Industry"/>
    <x v="1"/>
    <n v="2252664"/>
  </r>
  <r>
    <x v="25"/>
    <x v="19"/>
    <s v="Total Electric Power Industry"/>
    <x v="10"/>
    <n v="-473881"/>
  </r>
  <r>
    <x v="25"/>
    <x v="19"/>
    <s v="Total Electric Power Industry"/>
    <x v="2"/>
    <n v="827184"/>
  </r>
  <r>
    <x v="25"/>
    <x v="19"/>
    <s v="Total Electric Power Industry"/>
    <x v="3"/>
    <n v="21007411"/>
  </r>
  <r>
    <x v="25"/>
    <x v="19"/>
    <s v="Total Electric Power Industry"/>
    <x v="7"/>
    <n v="4994806"/>
  </r>
  <r>
    <x v="25"/>
    <x v="19"/>
    <s v="Total Electric Power Industry"/>
    <x v="12"/>
    <n v="867806"/>
  </r>
  <r>
    <x v="25"/>
    <x v="19"/>
    <s v="Total Electric Power Industry"/>
    <x v="4"/>
    <n v="777075"/>
  </r>
  <r>
    <x v="25"/>
    <x v="19"/>
    <s v="Total Electric Power Industry"/>
    <x v="13"/>
    <n v="451366"/>
  </r>
  <r>
    <x v="25"/>
    <x v="19"/>
    <s v="Total Electric Power Industry"/>
    <x v="8"/>
    <n v="1047103"/>
  </r>
  <r>
    <x v="25"/>
    <x v="19"/>
    <s v="Total Electric Power Industry"/>
    <x v="5"/>
    <n v="214666"/>
  </r>
  <r>
    <x v="25"/>
    <x v="19"/>
    <s v="Total Electric Power Industry"/>
    <x v="6"/>
    <n v="119769"/>
  </r>
  <r>
    <x v="25"/>
    <x v="19"/>
    <s v="Combined Heat and Power, Industrial Power"/>
    <x v="0"/>
    <n v="181406"/>
  </r>
  <r>
    <x v="25"/>
    <x v="19"/>
    <s v="Combined Heat and Power, Industrial Power"/>
    <x v="1"/>
    <n v="17048"/>
  </r>
  <r>
    <x v="25"/>
    <x v="19"/>
    <s v="Combined Heat and Power, Industrial Power"/>
    <x v="2"/>
    <n v="4691"/>
  </r>
  <r>
    <x v="25"/>
    <x v="19"/>
    <s v="Combined Heat and Power, Industrial Power"/>
    <x v="3"/>
    <n v="156701"/>
  </r>
  <r>
    <x v="25"/>
    <x v="19"/>
    <s v="Combined Heat and Power, Industrial Power"/>
    <x v="12"/>
    <n v="0"/>
  </r>
  <r>
    <x v="25"/>
    <x v="19"/>
    <s v="Combined Heat and Power, Industrial Power"/>
    <x v="4"/>
    <n v="167"/>
  </r>
  <r>
    <x v="25"/>
    <x v="19"/>
    <s v="Combined Heat and Power, Industrial Power"/>
    <x v="5"/>
    <n v="2799"/>
  </r>
  <r>
    <x v="25"/>
    <x v="19"/>
    <s v="Combined Heat and Power, Commercial Power"/>
    <x v="0"/>
    <n v="535128"/>
  </r>
  <r>
    <x v="25"/>
    <x v="19"/>
    <s v="Combined Heat and Power, Commercial Power"/>
    <x v="2"/>
    <n v="5596"/>
  </r>
  <r>
    <x v="25"/>
    <x v="19"/>
    <s v="Combined Heat and Power, Commercial Power"/>
    <x v="3"/>
    <n v="460996"/>
  </r>
  <r>
    <x v="25"/>
    <x v="19"/>
    <s v="Combined Heat and Power, Commercial Power"/>
    <x v="4"/>
    <n v="39074"/>
  </r>
  <r>
    <x v="25"/>
    <x v="19"/>
    <s v="Combined Heat and Power, Commercial Power"/>
    <x v="13"/>
    <n v="2954"/>
  </r>
  <r>
    <x v="25"/>
    <x v="19"/>
    <s v="Combined Heat and Power, Commercial Power"/>
    <x v="8"/>
    <n v="775"/>
  </r>
  <r>
    <x v="25"/>
    <x v="19"/>
    <s v="Combined Heat and Power, Commercial Power"/>
    <x v="5"/>
    <n v="25734"/>
  </r>
  <r>
    <x v="25"/>
    <x v="19"/>
    <s v="Combined Heat and Power, Electric Power"/>
    <x v="0"/>
    <n v="2808851"/>
  </r>
  <r>
    <x v="25"/>
    <x v="19"/>
    <s v="Combined Heat and Power, Electric Power"/>
    <x v="3"/>
    <n v="2766061"/>
  </r>
  <r>
    <x v="25"/>
    <x v="19"/>
    <s v="Combined Heat and Power, Electric Power"/>
    <x v="4"/>
    <n v="42789"/>
  </r>
  <r>
    <x v="25"/>
    <x v="19"/>
    <s v="Electric Generators, Independent Power Producers"/>
    <x v="0"/>
    <n v="27845467"/>
  </r>
  <r>
    <x v="25"/>
    <x v="19"/>
    <s v="Electric Generators, Independent Power Producers"/>
    <x v="1"/>
    <n v="2235616"/>
  </r>
  <r>
    <x v="25"/>
    <x v="19"/>
    <s v="Electric Generators, Independent Power Producers"/>
    <x v="10"/>
    <n v="-473881"/>
  </r>
  <r>
    <x v="25"/>
    <x v="19"/>
    <s v="Electric Generators, Independent Power Producers"/>
    <x v="2"/>
    <n v="615846"/>
  </r>
  <r>
    <x v="25"/>
    <x v="19"/>
    <s v="Electric Generators, Independent Power Producers"/>
    <x v="3"/>
    <n v="17245790"/>
  </r>
  <r>
    <x v="25"/>
    <x v="19"/>
    <s v="Electric Generators, Independent Power Producers"/>
    <x v="7"/>
    <n v="4994806"/>
  </r>
  <r>
    <x v="25"/>
    <x v="19"/>
    <s v="Electric Generators, Independent Power Producers"/>
    <x v="12"/>
    <n v="867806"/>
  </r>
  <r>
    <x v="25"/>
    <x v="19"/>
    <s v="Electric Generators, Independent Power Producers"/>
    <x v="4"/>
    <n v="634514"/>
  </r>
  <r>
    <x v="25"/>
    <x v="19"/>
    <s v="Electric Generators, Independent Power Producers"/>
    <x v="13"/>
    <n v="434874"/>
  </r>
  <r>
    <x v="25"/>
    <x v="19"/>
    <s v="Electric Generators, Independent Power Producers"/>
    <x v="8"/>
    <n v="1046328"/>
  </r>
  <r>
    <x v="25"/>
    <x v="19"/>
    <s v="Electric Generators, Independent Power Producers"/>
    <x v="5"/>
    <n v="124000"/>
  </r>
  <r>
    <x v="25"/>
    <x v="19"/>
    <s v="Electric Generators, Independent Power Producers"/>
    <x v="6"/>
    <n v="119769"/>
  </r>
  <r>
    <x v="25"/>
    <x v="19"/>
    <s v="Electric Generators, Electric Utilities"/>
    <x v="0"/>
    <n v="715117"/>
  </r>
  <r>
    <x v="25"/>
    <x v="19"/>
    <s v="Electric Generators, Electric Utilities"/>
    <x v="2"/>
    <n v="201051"/>
  </r>
  <r>
    <x v="25"/>
    <x v="19"/>
    <s v="Electric Generators, Electric Utilities"/>
    <x v="3"/>
    <n v="377863"/>
  </r>
  <r>
    <x v="25"/>
    <x v="19"/>
    <s v="Electric Generators, Electric Utilities"/>
    <x v="4"/>
    <n v="60532"/>
  </r>
  <r>
    <x v="25"/>
    <x v="19"/>
    <s v="Electric Generators, Electric Utilities"/>
    <x v="13"/>
    <n v="13538"/>
  </r>
  <r>
    <x v="25"/>
    <x v="19"/>
    <s v="Electric Generators, Electric Utilities"/>
    <x v="5"/>
    <n v="62133"/>
  </r>
  <r>
    <x v="25"/>
    <x v="20"/>
    <s v="Total Electric Power Industry"/>
    <x v="0"/>
    <n v="36365544"/>
  </r>
  <r>
    <x v="25"/>
    <x v="20"/>
    <s v="Total Electric Power Industry"/>
    <x v="1"/>
    <n v="13925604"/>
  </r>
  <r>
    <x v="25"/>
    <x v="20"/>
    <s v="Total Electric Power Industry"/>
    <x v="2"/>
    <n v="1623190"/>
  </r>
  <r>
    <x v="25"/>
    <x v="20"/>
    <s v="Total Electric Power Industry"/>
    <x v="3"/>
    <n v="4555345"/>
  </r>
  <r>
    <x v="25"/>
    <x v="20"/>
    <s v="Total Electric Power Industry"/>
    <x v="7"/>
    <n v="14643325"/>
  </r>
  <r>
    <x v="25"/>
    <x v="20"/>
    <s v="Total Electric Power Industry"/>
    <x v="12"/>
    <n v="317935"/>
  </r>
  <r>
    <x v="25"/>
    <x v="20"/>
    <s v="Total Electric Power Industry"/>
    <x v="4"/>
    <n v="232348"/>
  </r>
  <r>
    <x v="25"/>
    <x v="20"/>
    <s v="Total Electric Power Industry"/>
    <x v="13"/>
    <n v="118801"/>
  </r>
  <r>
    <x v="25"/>
    <x v="20"/>
    <s v="Total Electric Power Industry"/>
    <x v="8"/>
    <n v="403239"/>
  </r>
  <r>
    <x v="25"/>
    <x v="20"/>
    <s v="Total Electric Power Industry"/>
    <x v="5"/>
    <n v="434595"/>
  </r>
  <r>
    <x v="25"/>
    <x v="20"/>
    <s v="Total Electric Power Industry"/>
    <x v="6"/>
    <n v="111162"/>
  </r>
  <r>
    <x v="25"/>
    <x v="20"/>
    <s v="Combined Heat and Power, Industrial Power"/>
    <x v="0"/>
    <n v="275644"/>
  </r>
  <r>
    <x v="25"/>
    <x v="20"/>
    <s v="Combined Heat and Power, Industrial Power"/>
    <x v="1"/>
    <n v="115478"/>
  </r>
  <r>
    <x v="25"/>
    <x v="20"/>
    <s v="Combined Heat and Power, Industrial Power"/>
    <x v="3"/>
    <n v="58549"/>
  </r>
  <r>
    <x v="25"/>
    <x v="20"/>
    <s v="Combined Heat and Power, Industrial Power"/>
    <x v="4"/>
    <n v="1740"/>
  </r>
  <r>
    <x v="25"/>
    <x v="20"/>
    <s v="Combined Heat and Power, Industrial Power"/>
    <x v="6"/>
    <n v="99877"/>
  </r>
  <r>
    <x v="25"/>
    <x v="20"/>
    <s v="Combined Heat and Power, Commercial Power"/>
    <x v="0"/>
    <n v="503791"/>
  </r>
  <r>
    <x v="25"/>
    <x v="20"/>
    <s v="Combined Heat and Power, Commercial Power"/>
    <x v="1"/>
    <n v="189"/>
  </r>
  <r>
    <x v="25"/>
    <x v="20"/>
    <s v="Combined Heat and Power, Commercial Power"/>
    <x v="3"/>
    <n v="466142"/>
  </r>
  <r>
    <x v="25"/>
    <x v="20"/>
    <s v="Combined Heat and Power, Commercial Power"/>
    <x v="12"/>
    <n v="0"/>
  </r>
  <r>
    <x v="25"/>
    <x v="20"/>
    <s v="Combined Heat and Power, Commercial Power"/>
    <x v="4"/>
    <n v="16159"/>
  </r>
  <r>
    <x v="25"/>
    <x v="20"/>
    <s v="Combined Heat and Power, Commercial Power"/>
    <x v="13"/>
    <n v="6773"/>
  </r>
  <r>
    <x v="25"/>
    <x v="20"/>
    <s v="Combined Heat and Power, Commercial Power"/>
    <x v="8"/>
    <n v="3243"/>
  </r>
  <r>
    <x v="25"/>
    <x v="20"/>
    <s v="Combined Heat and Power, Commercial Power"/>
    <x v="6"/>
    <n v="11286"/>
  </r>
  <r>
    <x v="25"/>
    <x v="20"/>
    <s v="Combined Heat and Power, Electric Power"/>
    <x v="0"/>
    <n v="2936736"/>
  </r>
  <r>
    <x v="25"/>
    <x v="20"/>
    <s v="Combined Heat and Power, Electric Power"/>
    <x v="1"/>
    <n v="1164608"/>
  </r>
  <r>
    <x v="25"/>
    <x v="20"/>
    <s v="Combined Heat and Power, Electric Power"/>
    <x v="3"/>
    <n v="1442189"/>
  </r>
  <r>
    <x v="25"/>
    <x v="20"/>
    <s v="Combined Heat and Power, Electric Power"/>
    <x v="12"/>
    <n v="157730"/>
  </r>
  <r>
    <x v="25"/>
    <x v="20"/>
    <s v="Combined Heat and Power, Electric Power"/>
    <x v="4"/>
    <n v="8038"/>
  </r>
  <r>
    <x v="25"/>
    <x v="20"/>
    <s v="Combined Heat and Power, Electric Power"/>
    <x v="8"/>
    <n v="164171"/>
  </r>
  <r>
    <x v="25"/>
    <x v="20"/>
    <s v="Electric Generators, Independent Power Producers"/>
    <x v="0"/>
    <n v="32629965"/>
  </r>
  <r>
    <x v="25"/>
    <x v="20"/>
    <s v="Electric Generators, Independent Power Producers"/>
    <x v="1"/>
    <n v="12645330"/>
  </r>
  <r>
    <x v="25"/>
    <x v="20"/>
    <s v="Electric Generators, Independent Power Producers"/>
    <x v="2"/>
    <n v="1623190"/>
  </r>
  <r>
    <x v="25"/>
    <x v="20"/>
    <s v="Electric Generators, Independent Power Producers"/>
    <x v="3"/>
    <n v="2588465"/>
  </r>
  <r>
    <x v="25"/>
    <x v="20"/>
    <s v="Electric Generators, Independent Power Producers"/>
    <x v="7"/>
    <n v="14643325"/>
  </r>
  <r>
    <x v="25"/>
    <x v="20"/>
    <s v="Electric Generators, Independent Power Producers"/>
    <x v="12"/>
    <n v="160204"/>
  </r>
  <r>
    <x v="25"/>
    <x v="20"/>
    <s v="Electric Generators, Independent Power Producers"/>
    <x v="4"/>
    <n v="195469"/>
  </r>
  <r>
    <x v="25"/>
    <x v="20"/>
    <s v="Electric Generators, Independent Power Producers"/>
    <x v="13"/>
    <n v="103562"/>
  </r>
  <r>
    <x v="25"/>
    <x v="20"/>
    <s v="Electric Generators, Independent Power Producers"/>
    <x v="8"/>
    <n v="235825"/>
  </r>
  <r>
    <x v="25"/>
    <x v="20"/>
    <s v="Electric Generators, Independent Power Producers"/>
    <x v="5"/>
    <n v="434595"/>
  </r>
  <r>
    <x v="25"/>
    <x v="20"/>
    <s v="Electric Generators, Electric Utilities"/>
    <x v="0"/>
    <n v="19408"/>
  </r>
  <r>
    <x v="25"/>
    <x v="20"/>
    <s v="Electric Generators, Electric Utilities"/>
    <x v="3"/>
    <n v="0"/>
  </r>
  <r>
    <x v="25"/>
    <x v="20"/>
    <s v="Electric Generators, Electric Utilities"/>
    <x v="4"/>
    <n v="10941"/>
  </r>
  <r>
    <x v="25"/>
    <x v="20"/>
    <s v="Electric Generators, Electric Utilities"/>
    <x v="13"/>
    <n v="8467"/>
  </r>
  <r>
    <x v="25"/>
    <x v="21"/>
    <s v="Total Electric Power Industry"/>
    <x v="0"/>
    <n v="11741265"/>
  </r>
  <r>
    <x v="25"/>
    <x v="21"/>
    <s v="Total Electric Power Industry"/>
    <x v="1"/>
    <n v="91901"/>
  </r>
  <r>
    <x v="25"/>
    <x v="21"/>
    <s v="Total Electric Power Industry"/>
    <x v="2"/>
    <n v="3360527"/>
  </r>
  <r>
    <x v="25"/>
    <x v="21"/>
    <s v="Total Electric Power Industry"/>
    <x v="3"/>
    <n v="2951906"/>
  </r>
  <r>
    <x v="25"/>
    <x v="21"/>
    <s v="Total Electric Power Industry"/>
    <x v="12"/>
    <n v="340013"/>
  </r>
  <r>
    <x v="25"/>
    <x v="21"/>
    <s v="Total Electric Power Industry"/>
    <x v="4"/>
    <n v="548263"/>
  </r>
  <r>
    <x v="25"/>
    <x v="21"/>
    <s v="Total Electric Power Industry"/>
    <x v="8"/>
    <n v="182921"/>
  </r>
  <r>
    <x v="25"/>
    <x v="21"/>
    <s v="Total Electric Power Industry"/>
    <x v="5"/>
    <n v="1295708"/>
  </r>
  <r>
    <x v="25"/>
    <x v="21"/>
    <s v="Total Electric Power Industry"/>
    <x v="6"/>
    <n v="2970026"/>
  </r>
  <r>
    <x v="25"/>
    <x v="21"/>
    <s v="Combined Heat and Power, Industrial Power"/>
    <x v="0"/>
    <n v="2212412"/>
  </r>
  <r>
    <x v="25"/>
    <x v="21"/>
    <s v="Combined Heat and Power, Industrial Power"/>
    <x v="1"/>
    <n v="27029"/>
  </r>
  <r>
    <x v="25"/>
    <x v="21"/>
    <s v="Combined Heat and Power, Industrial Power"/>
    <x v="2"/>
    <n v="389786"/>
  </r>
  <r>
    <x v="25"/>
    <x v="21"/>
    <s v="Combined Heat and Power, Industrial Power"/>
    <x v="3"/>
    <n v="407803"/>
  </r>
  <r>
    <x v="25"/>
    <x v="21"/>
    <s v="Combined Heat and Power, Industrial Power"/>
    <x v="12"/>
    <n v="107945"/>
  </r>
  <r>
    <x v="25"/>
    <x v="21"/>
    <s v="Combined Heat and Power, Industrial Power"/>
    <x v="4"/>
    <n v="33668"/>
  </r>
  <r>
    <x v="25"/>
    <x v="21"/>
    <s v="Combined Heat and Power, Industrial Power"/>
    <x v="8"/>
    <n v="18046"/>
  </r>
  <r>
    <x v="25"/>
    <x v="21"/>
    <s v="Combined Heat and Power, Industrial Power"/>
    <x v="6"/>
    <n v="1228135"/>
  </r>
  <r>
    <x v="25"/>
    <x v="21"/>
    <s v="Combined Heat and Power, Commercial Power"/>
    <x v="0"/>
    <n v="206050"/>
  </r>
  <r>
    <x v="25"/>
    <x v="21"/>
    <s v="Combined Heat and Power, Commercial Power"/>
    <x v="3"/>
    <n v="27222"/>
  </r>
  <r>
    <x v="25"/>
    <x v="21"/>
    <s v="Combined Heat and Power, Commercial Power"/>
    <x v="12"/>
    <n v="85650"/>
  </r>
  <r>
    <x v="25"/>
    <x v="21"/>
    <s v="Combined Heat and Power, Commercial Power"/>
    <x v="4"/>
    <n v="2606"/>
  </r>
  <r>
    <x v="25"/>
    <x v="21"/>
    <s v="Combined Heat and Power, Commercial Power"/>
    <x v="8"/>
    <n v="89142"/>
  </r>
  <r>
    <x v="25"/>
    <x v="21"/>
    <s v="Combined Heat and Power, Commercial Power"/>
    <x v="6"/>
    <n v="1430"/>
  </r>
  <r>
    <x v="25"/>
    <x v="21"/>
    <s v="Combined Heat and Power, Electric Power"/>
    <x v="0"/>
    <n v="665508"/>
  </r>
  <r>
    <x v="25"/>
    <x v="21"/>
    <s v="Combined Heat and Power, Electric Power"/>
    <x v="1"/>
    <n v="64872"/>
  </r>
  <r>
    <x v="25"/>
    <x v="21"/>
    <s v="Combined Heat and Power, Electric Power"/>
    <x v="3"/>
    <n v="54578"/>
  </r>
  <r>
    <x v="25"/>
    <x v="21"/>
    <s v="Combined Heat and Power, Electric Power"/>
    <x v="12"/>
    <n v="108467"/>
  </r>
  <r>
    <x v="25"/>
    <x v="21"/>
    <s v="Combined Heat and Power, Electric Power"/>
    <x v="4"/>
    <n v="22887"/>
  </r>
  <r>
    <x v="25"/>
    <x v="21"/>
    <s v="Combined Heat and Power, Electric Power"/>
    <x v="8"/>
    <n v="3893"/>
  </r>
  <r>
    <x v="25"/>
    <x v="21"/>
    <s v="Combined Heat and Power, Electric Power"/>
    <x v="6"/>
    <n v="410810"/>
  </r>
  <r>
    <x v="25"/>
    <x v="21"/>
    <s v="Electric Generators, Independent Power Producers"/>
    <x v="0"/>
    <n v="8657211"/>
  </r>
  <r>
    <x v="25"/>
    <x v="21"/>
    <s v="Electric Generators, Independent Power Producers"/>
    <x v="2"/>
    <n v="2970741"/>
  </r>
  <r>
    <x v="25"/>
    <x v="21"/>
    <s v="Electric Generators, Independent Power Producers"/>
    <x v="3"/>
    <n v="2462303"/>
  </r>
  <r>
    <x v="25"/>
    <x v="21"/>
    <s v="Electric Generators, Independent Power Producers"/>
    <x v="12"/>
    <n v="37951"/>
  </r>
  <r>
    <x v="25"/>
    <x v="21"/>
    <s v="Electric Generators, Independent Power Producers"/>
    <x v="4"/>
    <n v="489018"/>
  </r>
  <r>
    <x v="25"/>
    <x v="21"/>
    <s v="Electric Generators, Independent Power Producers"/>
    <x v="8"/>
    <n v="71840"/>
  </r>
  <r>
    <x v="25"/>
    <x v="21"/>
    <s v="Electric Generators, Independent Power Producers"/>
    <x v="5"/>
    <n v="1295708"/>
  </r>
  <r>
    <x v="25"/>
    <x v="21"/>
    <s v="Electric Generators, Independent Power Producers"/>
    <x v="6"/>
    <n v="1329650"/>
  </r>
  <r>
    <x v="25"/>
    <x v="21"/>
    <s v="Electric Generators, Electric Utilities"/>
    <x v="0"/>
    <n v="84"/>
  </r>
  <r>
    <x v="25"/>
    <x v="21"/>
    <s v="Electric Generators, Electric Utilities"/>
    <x v="4"/>
    <n v="84"/>
  </r>
  <r>
    <x v="25"/>
    <x v="22"/>
    <s v="Total Electric Power Industry"/>
    <x v="0"/>
    <n v="113008050"/>
  </r>
  <r>
    <x v="25"/>
    <x v="22"/>
    <s v="Total Electric Power Industry"/>
    <x v="1"/>
    <n v="52884033"/>
  </r>
  <r>
    <x v="25"/>
    <x v="22"/>
    <s v="Total Electric Power Industry"/>
    <x v="10"/>
    <n v="-480821"/>
  </r>
  <r>
    <x v="25"/>
    <x v="22"/>
    <s v="Total Electric Power Industry"/>
    <x v="2"/>
    <n v="1499223"/>
  </r>
  <r>
    <x v="25"/>
    <x v="22"/>
    <s v="Total Electric Power Industry"/>
    <x v="3"/>
    <n v="20044798"/>
  </r>
  <r>
    <x v="25"/>
    <x v="22"/>
    <s v="Total Electric Power Industry"/>
    <x v="7"/>
    <n v="29333786"/>
  </r>
  <r>
    <x v="25"/>
    <x v="22"/>
    <s v="Total Electric Power Industry"/>
    <x v="9"/>
    <n v="1212778"/>
  </r>
  <r>
    <x v="25"/>
    <x v="22"/>
    <s v="Total Electric Power Industry"/>
    <x v="12"/>
    <n v="404802"/>
  </r>
  <r>
    <x v="25"/>
    <x v="22"/>
    <s v="Total Electric Power Industry"/>
    <x v="4"/>
    <n v="826492"/>
  </r>
  <r>
    <x v="25"/>
    <x v="22"/>
    <s v="Total Electric Power Industry"/>
    <x v="13"/>
    <n v="1190"/>
  </r>
  <r>
    <x v="25"/>
    <x v="22"/>
    <s v="Total Electric Power Industry"/>
    <x v="8"/>
    <n v="1038263"/>
  </r>
  <r>
    <x v="25"/>
    <x v="22"/>
    <s v="Total Electric Power Industry"/>
    <x v="5"/>
    <n v="4796898"/>
  </r>
  <r>
    <x v="25"/>
    <x v="22"/>
    <s v="Total Electric Power Industry"/>
    <x v="6"/>
    <n v="1446608"/>
  </r>
  <r>
    <x v="25"/>
    <x v="22"/>
    <s v="Combined Heat and Power, Industrial Power"/>
    <x v="0"/>
    <n v="1280344"/>
  </r>
  <r>
    <x v="25"/>
    <x v="22"/>
    <s v="Combined Heat and Power, Industrial Power"/>
    <x v="1"/>
    <n v="132175"/>
  </r>
  <r>
    <x v="25"/>
    <x v="22"/>
    <s v="Combined Heat and Power, Industrial Power"/>
    <x v="2"/>
    <n v="30037"/>
  </r>
  <r>
    <x v="25"/>
    <x v="22"/>
    <s v="Combined Heat and Power, Industrial Power"/>
    <x v="3"/>
    <n v="273011"/>
  </r>
  <r>
    <x v="25"/>
    <x v="22"/>
    <s v="Combined Heat and Power, Industrial Power"/>
    <x v="12"/>
    <n v="21218"/>
  </r>
  <r>
    <x v="25"/>
    <x v="22"/>
    <s v="Combined Heat and Power, Industrial Power"/>
    <x v="4"/>
    <n v="148955"/>
  </r>
  <r>
    <x v="25"/>
    <x v="22"/>
    <s v="Combined Heat and Power, Industrial Power"/>
    <x v="8"/>
    <n v="5383"/>
  </r>
  <r>
    <x v="25"/>
    <x v="22"/>
    <s v="Combined Heat and Power, Industrial Power"/>
    <x v="6"/>
    <n v="669564"/>
  </r>
  <r>
    <x v="25"/>
    <x v="22"/>
    <s v="Combined Heat and Power, Commercial Power"/>
    <x v="0"/>
    <n v="1012742"/>
  </r>
  <r>
    <x v="25"/>
    <x v="22"/>
    <s v="Combined Heat and Power, Commercial Power"/>
    <x v="1"/>
    <n v="62476"/>
  </r>
  <r>
    <x v="25"/>
    <x v="22"/>
    <s v="Combined Heat and Power, Commercial Power"/>
    <x v="3"/>
    <n v="555313"/>
  </r>
  <r>
    <x v="25"/>
    <x v="22"/>
    <s v="Combined Heat and Power, Commercial Power"/>
    <x v="12"/>
    <n v="191809"/>
  </r>
  <r>
    <x v="25"/>
    <x v="22"/>
    <s v="Combined Heat and Power, Commercial Power"/>
    <x v="4"/>
    <n v="2310"/>
  </r>
  <r>
    <x v="25"/>
    <x v="22"/>
    <s v="Combined Heat and Power, Commercial Power"/>
    <x v="8"/>
    <n v="199640"/>
  </r>
  <r>
    <x v="25"/>
    <x v="22"/>
    <s v="Combined Heat and Power, Commercial Power"/>
    <x v="6"/>
    <n v="1195"/>
  </r>
  <r>
    <x v="25"/>
    <x v="22"/>
    <s v="Combined Heat and Power, Electric Power"/>
    <x v="0"/>
    <n v="10925817"/>
  </r>
  <r>
    <x v="25"/>
    <x v="22"/>
    <s v="Combined Heat and Power, Electric Power"/>
    <x v="1"/>
    <n v="392824"/>
  </r>
  <r>
    <x v="25"/>
    <x v="22"/>
    <s v="Combined Heat and Power, Electric Power"/>
    <x v="3"/>
    <n v="9382141"/>
  </r>
  <r>
    <x v="25"/>
    <x v="22"/>
    <s v="Combined Heat and Power, Electric Power"/>
    <x v="9"/>
    <n v="1034452"/>
  </r>
  <r>
    <x v="25"/>
    <x v="22"/>
    <s v="Combined Heat and Power, Electric Power"/>
    <x v="12"/>
    <n v="60593"/>
  </r>
  <r>
    <x v="25"/>
    <x v="22"/>
    <s v="Combined Heat and Power, Electric Power"/>
    <x v="4"/>
    <n v="29415"/>
  </r>
  <r>
    <x v="25"/>
    <x v="22"/>
    <s v="Combined Heat and Power, Electric Power"/>
    <x v="8"/>
    <n v="4205"/>
  </r>
  <r>
    <x v="25"/>
    <x v="22"/>
    <s v="Combined Heat and Power, Electric Power"/>
    <x v="6"/>
    <n v="22187"/>
  </r>
  <r>
    <x v="25"/>
    <x v="22"/>
    <s v="Electric Generators, Independent Power Producers"/>
    <x v="0"/>
    <n v="14418920"/>
  </r>
  <r>
    <x v="25"/>
    <x v="22"/>
    <s v="Electric Generators, Independent Power Producers"/>
    <x v="1"/>
    <n v="0"/>
  </r>
  <r>
    <x v="25"/>
    <x v="22"/>
    <s v="Electric Generators, Independent Power Producers"/>
    <x v="2"/>
    <n v="82615"/>
  </r>
  <r>
    <x v="25"/>
    <x v="22"/>
    <s v="Electric Generators, Independent Power Producers"/>
    <x v="3"/>
    <n v="3513924"/>
  </r>
  <r>
    <x v="25"/>
    <x v="22"/>
    <s v="Electric Generators, Independent Power Producers"/>
    <x v="7"/>
    <n v="6318520"/>
  </r>
  <r>
    <x v="25"/>
    <x v="22"/>
    <s v="Electric Generators, Independent Power Producers"/>
    <x v="12"/>
    <n v="99262"/>
  </r>
  <r>
    <x v="25"/>
    <x v="22"/>
    <s v="Electric Generators, Independent Power Producers"/>
    <x v="4"/>
    <n v="0"/>
  </r>
  <r>
    <x v="25"/>
    <x v="22"/>
    <s v="Electric Generators, Independent Power Producers"/>
    <x v="8"/>
    <n v="829035"/>
  </r>
  <r>
    <x v="25"/>
    <x v="22"/>
    <s v="Electric Generators, Independent Power Producers"/>
    <x v="5"/>
    <n v="2821905"/>
  </r>
  <r>
    <x v="25"/>
    <x v="22"/>
    <s v="Electric Generators, Independent Power Producers"/>
    <x v="6"/>
    <n v="753658"/>
  </r>
  <r>
    <x v="25"/>
    <x v="22"/>
    <s v="Electric Generators, Electric Utilities"/>
    <x v="0"/>
    <n v="85370227"/>
  </r>
  <r>
    <x v="25"/>
    <x v="22"/>
    <s v="Electric Generators, Electric Utilities"/>
    <x v="1"/>
    <n v="52296558"/>
  </r>
  <r>
    <x v="25"/>
    <x v="22"/>
    <s v="Electric Generators, Electric Utilities"/>
    <x v="10"/>
    <n v="-480821"/>
  </r>
  <r>
    <x v="25"/>
    <x v="22"/>
    <s v="Electric Generators, Electric Utilities"/>
    <x v="2"/>
    <n v="1386571"/>
  </r>
  <r>
    <x v="25"/>
    <x v="22"/>
    <s v="Electric Generators, Electric Utilities"/>
    <x v="3"/>
    <n v="6320409"/>
  </r>
  <r>
    <x v="25"/>
    <x v="22"/>
    <s v="Electric Generators, Electric Utilities"/>
    <x v="7"/>
    <n v="23015266"/>
  </r>
  <r>
    <x v="25"/>
    <x v="22"/>
    <s v="Electric Generators, Electric Utilities"/>
    <x v="9"/>
    <n v="178326"/>
  </r>
  <r>
    <x v="25"/>
    <x v="22"/>
    <s v="Electric Generators, Electric Utilities"/>
    <x v="12"/>
    <n v="31920"/>
  </r>
  <r>
    <x v="25"/>
    <x v="22"/>
    <s v="Electric Generators, Electric Utilities"/>
    <x v="4"/>
    <n v="645811"/>
  </r>
  <r>
    <x v="25"/>
    <x v="22"/>
    <s v="Electric Generators, Electric Utilities"/>
    <x v="13"/>
    <n v="1190"/>
  </r>
  <r>
    <x v="25"/>
    <x v="22"/>
    <s v="Electric Generators, Electric Utilities"/>
    <x v="5"/>
    <n v="1974993"/>
  </r>
  <r>
    <x v="25"/>
    <x v="22"/>
    <s v="Electric Generators, Electric Utilities"/>
    <x v="6"/>
    <n v="4"/>
  </r>
  <r>
    <x v="25"/>
    <x v="23"/>
    <s v="Total Electric Power Industry"/>
    <x v="0"/>
    <n v="56979768"/>
  </r>
  <r>
    <x v="25"/>
    <x v="23"/>
    <s v="Total Electric Power Industry"/>
    <x v="1"/>
    <n v="24697098"/>
  </r>
  <r>
    <x v="25"/>
    <x v="23"/>
    <s v="Total Electric Power Industry"/>
    <x v="2"/>
    <n v="849054"/>
  </r>
  <r>
    <x v="25"/>
    <x v="23"/>
    <s v="Total Electric Power Industry"/>
    <x v="3"/>
    <n v="7389438"/>
  </r>
  <r>
    <x v="25"/>
    <x v="23"/>
    <s v="Total Electric Power Industry"/>
    <x v="7"/>
    <n v="12038606"/>
  </r>
  <r>
    <x v="25"/>
    <x v="23"/>
    <s v="Total Electric Power Industry"/>
    <x v="12"/>
    <n v="389976"/>
  </r>
  <r>
    <x v="25"/>
    <x v="23"/>
    <s v="Total Electric Power Industry"/>
    <x v="4"/>
    <n v="27939"/>
  </r>
  <r>
    <x v="25"/>
    <x v="23"/>
    <s v="Total Electric Power Industry"/>
    <x v="13"/>
    <n v="2789"/>
  </r>
  <r>
    <x v="25"/>
    <x v="23"/>
    <s v="Total Electric Power Industry"/>
    <x v="8"/>
    <n v="628826"/>
  </r>
  <r>
    <x v="25"/>
    <x v="23"/>
    <s v="Total Electric Power Industry"/>
    <x v="5"/>
    <n v="9778845"/>
  </r>
  <r>
    <x v="25"/>
    <x v="23"/>
    <s v="Total Electric Power Industry"/>
    <x v="6"/>
    <n v="1177196"/>
  </r>
  <r>
    <x v="25"/>
    <x v="23"/>
    <s v="Combined Heat and Power, Industrial Power"/>
    <x v="0"/>
    <n v="1452813"/>
  </r>
  <r>
    <x v="25"/>
    <x v="23"/>
    <s v="Combined Heat and Power, Industrial Power"/>
    <x v="1"/>
    <n v="585568"/>
  </r>
  <r>
    <x v="25"/>
    <x v="23"/>
    <s v="Combined Heat and Power, Industrial Power"/>
    <x v="2"/>
    <n v="115265"/>
  </r>
  <r>
    <x v="25"/>
    <x v="23"/>
    <s v="Combined Heat and Power, Industrial Power"/>
    <x v="3"/>
    <n v="121592"/>
  </r>
  <r>
    <x v="25"/>
    <x v="23"/>
    <s v="Combined Heat and Power, Industrial Power"/>
    <x v="12"/>
    <n v="51154"/>
  </r>
  <r>
    <x v="25"/>
    <x v="23"/>
    <s v="Combined Heat and Power, Industrial Power"/>
    <x v="4"/>
    <n v="712"/>
  </r>
  <r>
    <x v="25"/>
    <x v="23"/>
    <s v="Combined Heat and Power, Industrial Power"/>
    <x v="8"/>
    <n v="12083"/>
  </r>
  <r>
    <x v="25"/>
    <x v="23"/>
    <s v="Combined Heat and Power, Industrial Power"/>
    <x v="6"/>
    <n v="566440"/>
  </r>
  <r>
    <x v="25"/>
    <x v="23"/>
    <s v="Combined Heat and Power, Commercial Power"/>
    <x v="0"/>
    <n v="190619"/>
  </r>
  <r>
    <x v="25"/>
    <x v="23"/>
    <s v="Combined Heat and Power, Commercial Power"/>
    <x v="1"/>
    <n v="959"/>
  </r>
  <r>
    <x v="25"/>
    <x v="23"/>
    <s v="Combined Heat and Power, Commercial Power"/>
    <x v="3"/>
    <n v="105350"/>
  </r>
  <r>
    <x v="25"/>
    <x v="23"/>
    <s v="Combined Heat and Power, Commercial Power"/>
    <x v="12"/>
    <n v="33586"/>
  </r>
  <r>
    <x v="25"/>
    <x v="23"/>
    <s v="Combined Heat and Power, Commercial Power"/>
    <x v="4"/>
    <n v="1143"/>
  </r>
  <r>
    <x v="25"/>
    <x v="23"/>
    <s v="Combined Heat and Power, Commercial Power"/>
    <x v="8"/>
    <n v="19597"/>
  </r>
  <r>
    <x v="25"/>
    <x v="23"/>
    <s v="Combined Heat and Power, Commercial Power"/>
    <x v="5"/>
    <n v="29063"/>
  </r>
  <r>
    <x v="25"/>
    <x v="23"/>
    <s v="Combined Heat and Power, Commercial Power"/>
    <x v="6"/>
    <n v="921"/>
  </r>
  <r>
    <x v="25"/>
    <x v="23"/>
    <s v="Combined Heat and Power, Electric Power"/>
    <x v="0"/>
    <n v="515907"/>
  </r>
  <r>
    <x v="25"/>
    <x v="23"/>
    <s v="Combined Heat and Power, Electric Power"/>
    <x v="3"/>
    <n v="251317"/>
  </r>
  <r>
    <x v="25"/>
    <x v="23"/>
    <s v="Combined Heat and Power, Electric Power"/>
    <x v="4"/>
    <n v="0"/>
  </r>
  <r>
    <x v="25"/>
    <x v="23"/>
    <s v="Combined Heat and Power, Electric Power"/>
    <x v="8"/>
    <n v="83073"/>
  </r>
  <r>
    <x v="25"/>
    <x v="23"/>
    <s v="Combined Heat and Power, Electric Power"/>
    <x v="6"/>
    <n v="181517"/>
  </r>
  <r>
    <x v="25"/>
    <x v="23"/>
    <s v="Electric Generators, Independent Power Producers"/>
    <x v="0"/>
    <n v="9003450"/>
  </r>
  <r>
    <x v="25"/>
    <x v="23"/>
    <s v="Electric Generators, Independent Power Producers"/>
    <x v="2"/>
    <n v="183243"/>
  </r>
  <r>
    <x v="25"/>
    <x v="23"/>
    <s v="Electric Generators, Independent Power Producers"/>
    <x v="3"/>
    <n v="519448"/>
  </r>
  <r>
    <x v="25"/>
    <x v="23"/>
    <s v="Electric Generators, Independent Power Producers"/>
    <x v="12"/>
    <n v="132417"/>
  </r>
  <r>
    <x v="25"/>
    <x v="23"/>
    <s v="Electric Generators, Independent Power Producers"/>
    <x v="4"/>
    <n v="4551"/>
  </r>
  <r>
    <x v="25"/>
    <x v="23"/>
    <s v="Electric Generators, Independent Power Producers"/>
    <x v="13"/>
    <n v="2789"/>
  </r>
  <r>
    <x v="25"/>
    <x v="23"/>
    <s v="Electric Generators, Independent Power Producers"/>
    <x v="8"/>
    <n v="301751"/>
  </r>
  <r>
    <x v="25"/>
    <x v="23"/>
    <s v="Electric Generators, Independent Power Producers"/>
    <x v="5"/>
    <n v="7597549"/>
  </r>
  <r>
    <x v="25"/>
    <x v="23"/>
    <s v="Electric Generators, Independent Power Producers"/>
    <x v="6"/>
    <n v="261702"/>
  </r>
  <r>
    <x v="25"/>
    <x v="23"/>
    <s v="Electric Generators, Electric Utilities"/>
    <x v="0"/>
    <n v="45816979"/>
  </r>
  <r>
    <x v="25"/>
    <x v="23"/>
    <s v="Electric Generators, Electric Utilities"/>
    <x v="1"/>
    <n v="24110571"/>
  </r>
  <r>
    <x v="25"/>
    <x v="23"/>
    <s v="Electric Generators, Electric Utilities"/>
    <x v="2"/>
    <n v="550546"/>
  </r>
  <r>
    <x v="25"/>
    <x v="23"/>
    <s v="Electric Generators, Electric Utilities"/>
    <x v="3"/>
    <n v="6391731"/>
  </r>
  <r>
    <x v="25"/>
    <x v="23"/>
    <s v="Electric Generators, Electric Utilities"/>
    <x v="7"/>
    <n v="12038606"/>
  </r>
  <r>
    <x v="25"/>
    <x v="23"/>
    <s v="Electric Generators, Electric Utilities"/>
    <x v="12"/>
    <n v="172819"/>
  </r>
  <r>
    <x v="25"/>
    <x v="23"/>
    <s v="Electric Generators, Electric Utilities"/>
    <x v="4"/>
    <n v="21533"/>
  </r>
  <r>
    <x v="25"/>
    <x v="23"/>
    <s v="Electric Generators, Electric Utilities"/>
    <x v="8"/>
    <n v="212322"/>
  </r>
  <r>
    <x v="25"/>
    <x v="23"/>
    <s v="Electric Generators, Electric Utilities"/>
    <x v="5"/>
    <n v="2152233"/>
  </r>
  <r>
    <x v="25"/>
    <x v="23"/>
    <s v="Electric Generators, Electric Utilities"/>
    <x v="6"/>
    <n v="166617"/>
  </r>
  <r>
    <x v="25"/>
    <x v="24"/>
    <s v="Total Electric Power Industry"/>
    <x v="0"/>
    <n v="83640067"/>
  </r>
  <r>
    <x v="25"/>
    <x v="24"/>
    <s v="Total Electric Power Industry"/>
    <x v="1"/>
    <n v="65325521"/>
  </r>
  <r>
    <x v="25"/>
    <x v="24"/>
    <s v="Total Electric Power Industry"/>
    <x v="10"/>
    <n v="347749"/>
  </r>
  <r>
    <x v="25"/>
    <x v="24"/>
    <s v="Total Electric Power Industry"/>
    <x v="2"/>
    <n v="1595020"/>
  </r>
  <r>
    <x v="25"/>
    <x v="24"/>
    <s v="Total Electric Power Industry"/>
    <x v="3"/>
    <n v="4596413"/>
  </r>
  <r>
    <x v="25"/>
    <x v="24"/>
    <s v="Total Electric Power Industry"/>
    <x v="7"/>
    <n v="10440082"/>
  </r>
  <r>
    <x v="25"/>
    <x v="24"/>
    <s v="Total Electric Power Industry"/>
    <x v="12"/>
    <n v="57564"/>
  </r>
  <r>
    <x v="25"/>
    <x v="24"/>
    <s v="Total Electric Power Industry"/>
    <x v="4"/>
    <n v="98842"/>
  </r>
  <r>
    <x v="25"/>
    <x v="24"/>
    <s v="Total Electric Power Industry"/>
    <x v="13"/>
    <n v="16898"/>
  </r>
  <r>
    <x v="25"/>
    <x v="24"/>
    <s v="Total Electric Power Industry"/>
    <x v="8"/>
    <n v="99841"/>
  </r>
  <r>
    <x v="25"/>
    <x v="24"/>
    <s v="Total Electric Power Industry"/>
    <x v="5"/>
    <n v="1033076"/>
  </r>
  <r>
    <x v="25"/>
    <x v="24"/>
    <s v="Total Electric Power Industry"/>
    <x v="6"/>
    <n v="29061"/>
  </r>
  <r>
    <x v="25"/>
    <x v="24"/>
    <s v="Combined Heat and Power, Industrial Power"/>
    <x v="0"/>
    <n v="43202"/>
  </r>
  <r>
    <x v="25"/>
    <x v="24"/>
    <s v="Combined Heat and Power, Industrial Power"/>
    <x v="1"/>
    <n v="20709"/>
  </r>
  <r>
    <x v="25"/>
    <x v="24"/>
    <s v="Combined Heat and Power, Industrial Power"/>
    <x v="3"/>
    <n v="19866"/>
  </r>
  <r>
    <x v="25"/>
    <x v="24"/>
    <s v="Combined Heat and Power, Industrial Power"/>
    <x v="4"/>
    <n v="0"/>
  </r>
  <r>
    <x v="25"/>
    <x v="24"/>
    <s v="Combined Heat and Power, Industrial Power"/>
    <x v="8"/>
    <n v="2627"/>
  </r>
  <r>
    <x v="25"/>
    <x v="24"/>
    <s v="Combined Heat and Power, Industrial Power"/>
    <x v="6"/>
    <n v="0"/>
  </r>
  <r>
    <x v="25"/>
    <x v="24"/>
    <s v="Combined Heat and Power, Commercial Power"/>
    <x v="0"/>
    <n v="163979"/>
  </r>
  <r>
    <x v="25"/>
    <x v="24"/>
    <s v="Combined Heat and Power, Commercial Power"/>
    <x v="1"/>
    <n v="58069"/>
  </r>
  <r>
    <x v="25"/>
    <x v="24"/>
    <s v="Combined Heat and Power, Commercial Power"/>
    <x v="3"/>
    <n v="76348"/>
  </r>
  <r>
    <x v="25"/>
    <x v="24"/>
    <s v="Combined Heat and Power, Commercial Power"/>
    <x v="4"/>
    <n v="53"/>
  </r>
  <r>
    <x v="25"/>
    <x v="24"/>
    <s v="Combined Heat and Power, Commercial Power"/>
    <x v="13"/>
    <n v="448"/>
  </r>
  <r>
    <x v="25"/>
    <x v="24"/>
    <s v="Combined Heat and Power, Commercial Power"/>
    <x v="6"/>
    <n v="29061"/>
  </r>
  <r>
    <x v="25"/>
    <x v="24"/>
    <s v="Combined Heat and Power, Electric Power"/>
    <x v="0"/>
    <n v="39631"/>
  </r>
  <r>
    <x v="25"/>
    <x v="24"/>
    <s v="Combined Heat and Power, Electric Power"/>
    <x v="1"/>
    <n v="25533"/>
  </r>
  <r>
    <x v="25"/>
    <x v="24"/>
    <s v="Combined Heat and Power, Electric Power"/>
    <x v="3"/>
    <n v="14091"/>
  </r>
  <r>
    <x v="25"/>
    <x v="24"/>
    <s v="Combined Heat and Power, Electric Power"/>
    <x v="4"/>
    <n v="7"/>
  </r>
  <r>
    <x v="25"/>
    <x v="24"/>
    <s v="Electric Generators, Independent Power Producers"/>
    <x v="0"/>
    <n v="2514338"/>
  </r>
  <r>
    <x v="25"/>
    <x v="24"/>
    <s v="Electric Generators, Independent Power Producers"/>
    <x v="1"/>
    <n v="0"/>
  </r>
  <r>
    <x v="25"/>
    <x v="24"/>
    <s v="Electric Generators, Independent Power Producers"/>
    <x v="3"/>
    <n v="1409463"/>
  </r>
  <r>
    <x v="25"/>
    <x v="24"/>
    <s v="Electric Generators, Independent Power Producers"/>
    <x v="4"/>
    <n v="0"/>
  </r>
  <r>
    <x v="25"/>
    <x v="24"/>
    <s v="Electric Generators, Independent Power Producers"/>
    <x v="13"/>
    <n v="16450"/>
  </r>
  <r>
    <x v="25"/>
    <x v="24"/>
    <s v="Electric Generators, Independent Power Producers"/>
    <x v="8"/>
    <n v="55349"/>
  </r>
  <r>
    <x v="25"/>
    <x v="24"/>
    <s v="Electric Generators, Independent Power Producers"/>
    <x v="5"/>
    <n v="1033076"/>
  </r>
  <r>
    <x v="25"/>
    <x v="24"/>
    <s v="Electric Generators, Electric Utilities"/>
    <x v="0"/>
    <n v="80878917"/>
  </r>
  <r>
    <x v="25"/>
    <x v="24"/>
    <s v="Electric Generators, Electric Utilities"/>
    <x v="1"/>
    <n v="65221210"/>
  </r>
  <r>
    <x v="25"/>
    <x v="24"/>
    <s v="Electric Generators, Electric Utilities"/>
    <x v="10"/>
    <n v="347749"/>
  </r>
  <r>
    <x v="25"/>
    <x v="24"/>
    <s v="Electric Generators, Electric Utilities"/>
    <x v="2"/>
    <n v="1595020"/>
  </r>
  <r>
    <x v="25"/>
    <x v="24"/>
    <s v="Electric Generators, Electric Utilities"/>
    <x v="3"/>
    <n v="3076646"/>
  </r>
  <r>
    <x v="25"/>
    <x v="24"/>
    <s v="Electric Generators, Electric Utilities"/>
    <x v="7"/>
    <n v="10440082"/>
  </r>
  <r>
    <x v="25"/>
    <x v="24"/>
    <s v="Electric Generators, Electric Utilities"/>
    <x v="12"/>
    <n v="57564"/>
  </r>
  <r>
    <x v="25"/>
    <x v="24"/>
    <s v="Electric Generators, Electric Utilities"/>
    <x v="4"/>
    <n v="98782"/>
  </r>
  <r>
    <x v="25"/>
    <x v="24"/>
    <s v="Electric Generators, Electric Utilities"/>
    <x v="8"/>
    <n v="41865"/>
  </r>
  <r>
    <x v="25"/>
    <x v="24"/>
    <s v="Electric Generators, Electric Utilities"/>
    <x v="6"/>
    <n v="0"/>
  </r>
  <r>
    <x v="25"/>
    <x v="25"/>
    <s v="Total Electric Power Industry"/>
    <x v="0"/>
    <n v="64757864"/>
  </r>
  <r>
    <x v="25"/>
    <x v="25"/>
    <s v="Total Electric Power Industry"/>
    <x v="1"/>
    <n v="6399605"/>
  </r>
  <r>
    <x v="25"/>
    <x v="25"/>
    <s v="Total Electric Power Industry"/>
    <x v="3"/>
    <n v="45116943"/>
  </r>
  <r>
    <x v="25"/>
    <x v="25"/>
    <s v="Total Electric Power Industry"/>
    <x v="7"/>
    <n v="11714588"/>
  </r>
  <r>
    <x v="25"/>
    <x v="25"/>
    <s v="Total Electric Power Industry"/>
    <x v="12"/>
    <n v="6066"/>
  </r>
  <r>
    <x v="25"/>
    <x v="25"/>
    <s v="Total Electric Power Industry"/>
    <x v="4"/>
    <n v="14129"/>
  </r>
  <r>
    <x v="25"/>
    <x v="25"/>
    <s v="Total Electric Power Industry"/>
    <x v="8"/>
    <n v="13454"/>
  </r>
  <r>
    <x v="25"/>
    <x v="25"/>
    <s v="Total Electric Power Industry"/>
    <x v="6"/>
    <n v="1493078"/>
  </r>
  <r>
    <x v="25"/>
    <x v="25"/>
    <s v="Combined Heat and Power, Industrial Power"/>
    <x v="0"/>
    <n v="1912810"/>
  </r>
  <r>
    <x v="25"/>
    <x v="25"/>
    <s v="Combined Heat and Power, Industrial Power"/>
    <x v="1"/>
    <n v="0"/>
  </r>
  <r>
    <x v="25"/>
    <x v="25"/>
    <s v="Combined Heat and Power, Industrial Power"/>
    <x v="3"/>
    <n v="411465"/>
  </r>
  <r>
    <x v="25"/>
    <x v="25"/>
    <s v="Combined Heat and Power, Industrial Power"/>
    <x v="12"/>
    <n v="6066"/>
  </r>
  <r>
    <x v="25"/>
    <x v="25"/>
    <s v="Combined Heat and Power, Industrial Power"/>
    <x v="4"/>
    <n v="1726"/>
  </r>
  <r>
    <x v="25"/>
    <x v="25"/>
    <s v="Combined Heat and Power, Industrial Power"/>
    <x v="8"/>
    <n v="525"/>
  </r>
  <r>
    <x v="25"/>
    <x v="25"/>
    <s v="Combined Heat and Power, Industrial Power"/>
    <x v="6"/>
    <n v="1493027"/>
  </r>
  <r>
    <x v="25"/>
    <x v="25"/>
    <s v="Combined Heat and Power, Commercial Power"/>
    <x v="0"/>
    <n v="7117"/>
  </r>
  <r>
    <x v="25"/>
    <x v="25"/>
    <s v="Combined Heat and Power, Commercial Power"/>
    <x v="3"/>
    <n v="7117"/>
  </r>
  <r>
    <x v="25"/>
    <x v="25"/>
    <s v="Electric Generators, Independent Power Producers"/>
    <x v="0"/>
    <n v="6564984"/>
  </r>
  <r>
    <x v="25"/>
    <x v="25"/>
    <s v="Electric Generators, Independent Power Producers"/>
    <x v="1"/>
    <n v="3029029"/>
  </r>
  <r>
    <x v="25"/>
    <x v="25"/>
    <s v="Electric Generators, Independent Power Producers"/>
    <x v="3"/>
    <n v="3523026"/>
  </r>
  <r>
    <x v="25"/>
    <x v="25"/>
    <s v="Electric Generators, Independent Power Producers"/>
    <x v="8"/>
    <n v="12929"/>
  </r>
  <r>
    <x v="25"/>
    <x v="25"/>
    <s v="Electric Generators, Electric Utilities"/>
    <x v="0"/>
    <n v="56272953"/>
  </r>
  <r>
    <x v="25"/>
    <x v="25"/>
    <s v="Electric Generators, Electric Utilities"/>
    <x v="1"/>
    <n v="3370576"/>
  </r>
  <r>
    <x v="25"/>
    <x v="25"/>
    <s v="Electric Generators, Electric Utilities"/>
    <x v="3"/>
    <n v="41175335"/>
  </r>
  <r>
    <x v="25"/>
    <x v="25"/>
    <s v="Electric Generators, Electric Utilities"/>
    <x v="7"/>
    <n v="11714588"/>
  </r>
  <r>
    <x v="25"/>
    <x v="25"/>
    <s v="Electric Generators, Electric Utilities"/>
    <x v="4"/>
    <n v="12403"/>
  </r>
  <r>
    <x v="25"/>
    <x v="25"/>
    <s v="Electric Generators, Electric Utilities"/>
    <x v="6"/>
    <n v="51"/>
  </r>
  <r>
    <x v="25"/>
    <x v="26"/>
    <s v="Total Electric Power Industry"/>
    <x v="0"/>
    <n v="29302401"/>
  </r>
  <r>
    <x v="25"/>
    <x v="26"/>
    <s v="Total Electric Power Industry"/>
    <x v="1"/>
    <n v="16013206"/>
  </r>
  <r>
    <x v="25"/>
    <x v="26"/>
    <s v="Total Electric Power Industry"/>
    <x v="2"/>
    <n v="9887729"/>
  </r>
  <r>
    <x v="25"/>
    <x v="26"/>
    <s v="Total Electric Power Industry"/>
    <x v="3"/>
    <n v="599206"/>
  </r>
  <r>
    <x v="25"/>
    <x v="26"/>
    <s v="Total Electric Power Industry"/>
    <x v="9"/>
    <n v="17055"/>
  </r>
  <r>
    <x v="25"/>
    <x v="26"/>
    <s v="Total Electric Power Industry"/>
    <x v="12"/>
    <n v="302772"/>
  </r>
  <r>
    <x v="25"/>
    <x v="26"/>
    <s v="Total Electric Power Industry"/>
    <x v="4"/>
    <n v="496426"/>
  </r>
  <r>
    <x v="25"/>
    <x v="26"/>
    <s v="Total Electric Power Industry"/>
    <x v="5"/>
    <n v="1964726"/>
  </r>
  <r>
    <x v="25"/>
    <x v="26"/>
    <s v="Total Electric Power Industry"/>
    <x v="6"/>
    <n v="21281"/>
  </r>
  <r>
    <x v="25"/>
    <x v="26"/>
    <s v="Combined Heat and Power, Industrial Power"/>
    <x v="0"/>
    <n v="27781"/>
  </r>
  <r>
    <x v="25"/>
    <x v="26"/>
    <s v="Combined Heat and Power, Industrial Power"/>
    <x v="1"/>
    <n v="6500"/>
  </r>
  <r>
    <x v="25"/>
    <x v="26"/>
    <s v="Combined Heat and Power, Industrial Power"/>
    <x v="3"/>
    <n v="0"/>
  </r>
  <r>
    <x v="25"/>
    <x v="26"/>
    <s v="Combined Heat and Power, Industrial Power"/>
    <x v="9"/>
    <n v="0"/>
  </r>
  <r>
    <x v="25"/>
    <x v="26"/>
    <s v="Combined Heat and Power, Industrial Power"/>
    <x v="4"/>
    <n v="0"/>
  </r>
  <r>
    <x v="25"/>
    <x v="26"/>
    <s v="Combined Heat and Power, Industrial Power"/>
    <x v="6"/>
    <n v="21281"/>
  </r>
  <r>
    <x v="25"/>
    <x v="26"/>
    <s v="Combined Heat and Power, Electric Power"/>
    <x v="0"/>
    <n v="500087"/>
  </r>
  <r>
    <x v="25"/>
    <x v="26"/>
    <s v="Combined Heat and Power, Electric Power"/>
    <x v="9"/>
    <n v="17055"/>
  </r>
  <r>
    <x v="25"/>
    <x v="26"/>
    <s v="Combined Heat and Power, Electric Power"/>
    <x v="4"/>
    <n v="483032"/>
  </r>
  <r>
    <x v="25"/>
    <x v="26"/>
    <s v="Electric Generators, Independent Power Producers"/>
    <x v="0"/>
    <n v="18057431"/>
  </r>
  <r>
    <x v="25"/>
    <x v="26"/>
    <s v="Electric Generators, Independent Power Producers"/>
    <x v="1"/>
    <n v="15785532"/>
  </r>
  <r>
    <x v="25"/>
    <x v="26"/>
    <s v="Electric Generators, Independent Power Producers"/>
    <x v="2"/>
    <n v="143093"/>
  </r>
  <r>
    <x v="25"/>
    <x v="26"/>
    <s v="Electric Generators, Independent Power Producers"/>
    <x v="3"/>
    <n v="64927"/>
  </r>
  <r>
    <x v="25"/>
    <x v="26"/>
    <s v="Electric Generators, Independent Power Producers"/>
    <x v="12"/>
    <n v="302772"/>
  </r>
  <r>
    <x v="25"/>
    <x v="26"/>
    <s v="Electric Generators, Independent Power Producers"/>
    <x v="4"/>
    <n v="13150"/>
  </r>
  <r>
    <x v="25"/>
    <x v="26"/>
    <s v="Electric Generators, Independent Power Producers"/>
    <x v="5"/>
    <n v="1747956"/>
  </r>
  <r>
    <x v="25"/>
    <x v="26"/>
    <s v="Electric Generators, Electric Utilities"/>
    <x v="0"/>
    <n v="10717102"/>
  </r>
  <r>
    <x v="25"/>
    <x v="26"/>
    <s v="Electric Generators, Electric Utilities"/>
    <x v="1"/>
    <n v="221173"/>
  </r>
  <r>
    <x v="25"/>
    <x v="26"/>
    <s v="Electric Generators, Electric Utilities"/>
    <x v="2"/>
    <n v="9744636"/>
  </r>
  <r>
    <x v="25"/>
    <x v="26"/>
    <s v="Electric Generators, Electric Utilities"/>
    <x v="3"/>
    <n v="534279"/>
  </r>
  <r>
    <x v="25"/>
    <x v="26"/>
    <s v="Electric Generators, Electric Utilities"/>
    <x v="4"/>
    <n v="244"/>
  </r>
  <r>
    <x v="25"/>
    <x v="26"/>
    <s v="Electric Generators, Electric Utilities"/>
    <x v="5"/>
    <n v="216770"/>
  </r>
  <r>
    <x v="25"/>
    <x v="27"/>
    <s v="Total Electric Power Industry"/>
    <x v="0"/>
    <n v="128388445"/>
  </r>
  <r>
    <x v="25"/>
    <x v="27"/>
    <s v="Total Electric Power Industry"/>
    <x v="1"/>
    <n v="39922168"/>
  </r>
  <r>
    <x v="25"/>
    <x v="27"/>
    <s v="Total Electric Power Industry"/>
    <x v="10"/>
    <n v="94"/>
  </r>
  <r>
    <x v="25"/>
    <x v="27"/>
    <s v="Total Electric Power Industry"/>
    <x v="2"/>
    <n v="4742004"/>
  </r>
  <r>
    <x v="25"/>
    <x v="27"/>
    <s v="Total Electric Power Industry"/>
    <x v="3"/>
    <n v="36544596"/>
  </r>
  <r>
    <x v="25"/>
    <x v="27"/>
    <s v="Total Electric Power Industry"/>
    <x v="7"/>
    <n v="42096761"/>
  </r>
  <r>
    <x v="25"/>
    <x v="27"/>
    <s v="Total Electric Power Industry"/>
    <x v="12"/>
    <n v="685283"/>
  </r>
  <r>
    <x v="25"/>
    <x v="27"/>
    <s v="Total Electric Power Industry"/>
    <x v="4"/>
    <n v="434587"/>
  </r>
  <r>
    <x v="25"/>
    <x v="27"/>
    <s v="Total Electric Power Industry"/>
    <x v="13"/>
    <n v="1373579"/>
  </r>
  <r>
    <x v="25"/>
    <x v="27"/>
    <s v="Total Electric Power Industry"/>
    <x v="8"/>
    <n v="544024"/>
  </r>
  <r>
    <x v="25"/>
    <x v="27"/>
    <s v="Total Electric Power Industry"/>
    <x v="6"/>
    <n v="2045348"/>
  </r>
  <r>
    <x v="25"/>
    <x v="27"/>
    <s v="Combined Heat and Power, Industrial Power"/>
    <x v="0"/>
    <n v="1997538"/>
  </r>
  <r>
    <x v="25"/>
    <x v="27"/>
    <s v="Combined Heat and Power, Industrial Power"/>
    <x v="1"/>
    <n v="180868"/>
  </r>
  <r>
    <x v="25"/>
    <x v="27"/>
    <s v="Combined Heat and Power, Industrial Power"/>
    <x v="2"/>
    <n v="0"/>
  </r>
  <r>
    <x v="25"/>
    <x v="27"/>
    <s v="Combined Heat and Power, Industrial Power"/>
    <x v="3"/>
    <n v="175757"/>
  </r>
  <r>
    <x v="25"/>
    <x v="27"/>
    <s v="Combined Heat and Power, Industrial Power"/>
    <x v="12"/>
    <n v="298957"/>
  </r>
  <r>
    <x v="25"/>
    <x v="27"/>
    <s v="Combined Heat and Power, Industrial Power"/>
    <x v="4"/>
    <n v="13647"/>
  </r>
  <r>
    <x v="25"/>
    <x v="27"/>
    <s v="Combined Heat and Power, Industrial Power"/>
    <x v="8"/>
    <n v="1232"/>
  </r>
  <r>
    <x v="25"/>
    <x v="27"/>
    <s v="Combined Heat and Power, Industrial Power"/>
    <x v="6"/>
    <n v="1327078"/>
  </r>
  <r>
    <x v="25"/>
    <x v="27"/>
    <s v="Combined Heat and Power, Commercial Power"/>
    <x v="0"/>
    <n v="227797"/>
  </r>
  <r>
    <x v="25"/>
    <x v="27"/>
    <s v="Combined Heat and Power, Commercial Power"/>
    <x v="1"/>
    <n v="55614"/>
  </r>
  <r>
    <x v="25"/>
    <x v="27"/>
    <s v="Combined Heat and Power, Commercial Power"/>
    <x v="2"/>
    <n v="10951"/>
  </r>
  <r>
    <x v="25"/>
    <x v="27"/>
    <s v="Combined Heat and Power, Commercial Power"/>
    <x v="3"/>
    <n v="7977"/>
  </r>
  <r>
    <x v="25"/>
    <x v="27"/>
    <s v="Combined Heat and Power, Commercial Power"/>
    <x v="4"/>
    <n v="388"/>
  </r>
  <r>
    <x v="25"/>
    <x v="27"/>
    <s v="Combined Heat and Power, Commercial Power"/>
    <x v="13"/>
    <n v="77746"/>
  </r>
  <r>
    <x v="25"/>
    <x v="27"/>
    <s v="Combined Heat and Power, Commercial Power"/>
    <x v="8"/>
    <n v="75121"/>
  </r>
  <r>
    <x v="25"/>
    <x v="27"/>
    <s v="Combined Heat and Power, Electric Power"/>
    <x v="0"/>
    <n v="849983"/>
  </r>
  <r>
    <x v="25"/>
    <x v="27"/>
    <s v="Combined Heat and Power, Electric Power"/>
    <x v="1"/>
    <n v="305873"/>
  </r>
  <r>
    <x v="25"/>
    <x v="27"/>
    <s v="Combined Heat and Power, Electric Power"/>
    <x v="12"/>
    <n v="266207"/>
  </r>
  <r>
    <x v="25"/>
    <x v="27"/>
    <s v="Combined Heat and Power, Electric Power"/>
    <x v="4"/>
    <n v="7569"/>
  </r>
  <r>
    <x v="25"/>
    <x v="27"/>
    <s v="Combined Heat and Power, Electric Power"/>
    <x v="8"/>
    <n v="38042"/>
  </r>
  <r>
    <x v="25"/>
    <x v="27"/>
    <s v="Combined Heat and Power, Electric Power"/>
    <x v="6"/>
    <n v="232292"/>
  </r>
  <r>
    <x v="25"/>
    <x v="27"/>
    <s v="Electric Generators, Independent Power Producers"/>
    <x v="0"/>
    <n v="6239455"/>
  </r>
  <r>
    <x v="25"/>
    <x v="27"/>
    <s v="Electric Generators, Independent Power Producers"/>
    <x v="1"/>
    <n v="31057"/>
  </r>
  <r>
    <x v="25"/>
    <x v="27"/>
    <s v="Electric Generators, Independent Power Producers"/>
    <x v="2"/>
    <n v="43547"/>
  </r>
  <r>
    <x v="25"/>
    <x v="27"/>
    <s v="Electric Generators, Independent Power Producers"/>
    <x v="3"/>
    <n v="3794307"/>
  </r>
  <r>
    <x v="25"/>
    <x v="27"/>
    <s v="Electric Generators, Independent Power Producers"/>
    <x v="12"/>
    <n v="120119"/>
  </r>
  <r>
    <x v="25"/>
    <x v="27"/>
    <s v="Electric Generators, Independent Power Producers"/>
    <x v="4"/>
    <n v="50807"/>
  </r>
  <r>
    <x v="25"/>
    <x v="27"/>
    <s v="Electric Generators, Independent Power Producers"/>
    <x v="13"/>
    <n v="1284009"/>
  </r>
  <r>
    <x v="25"/>
    <x v="27"/>
    <s v="Electric Generators, Independent Power Producers"/>
    <x v="8"/>
    <n v="429630"/>
  </r>
  <r>
    <x v="25"/>
    <x v="27"/>
    <s v="Electric Generators, Independent Power Producers"/>
    <x v="6"/>
    <n v="485979"/>
  </r>
  <r>
    <x v="25"/>
    <x v="27"/>
    <s v="Electric Generators, Electric Utilities"/>
    <x v="0"/>
    <n v="119073672"/>
  </r>
  <r>
    <x v="25"/>
    <x v="27"/>
    <s v="Electric Generators, Electric Utilities"/>
    <x v="1"/>
    <n v="39348755"/>
  </r>
  <r>
    <x v="25"/>
    <x v="27"/>
    <s v="Electric Generators, Electric Utilities"/>
    <x v="10"/>
    <n v="94"/>
  </r>
  <r>
    <x v="25"/>
    <x v="27"/>
    <s v="Electric Generators, Electric Utilities"/>
    <x v="2"/>
    <n v="4687506"/>
  </r>
  <r>
    <x v="25"/>
    <x v="27"/>
    <s v="Electric Generators, Electric Utilities"/>
    <x v="3"/>
    <n v="32566555"/>
  </r>
  <r>
    <x v="25"/>
    <x v="27"/>
    <s v="Electric Generators, Electric Utilities"/>
    <x v="7"/>
    <n v="42096761"/>
  </r>
  <r>
    <x v="25"/>
    <x v="27"/>
    <s v="Electric Generators, Electric Utilities"/>
    <x v="4"/>
    <n v="362177"/>
  </r>
  <r>
    <x v="25"/>
    <x v="27"/>
    <s v="Electric Generators, Electric Utilities"/>
    <x v="13"/>
    <n v="11824"/>
  </r>
  <r>
    <x v="25"/>
    <x v="28"/>
    <s v="Total Electric Power Industry"/>
    <x v="0"/>
    <n v="37156612"/>
  </r>
  <r>
    <x v="25"/>
    <x v="28"/>
    <s v="Total Electric Power Industry"/>
    <x v="1"/>
    <n v="27734413"/>
  </r>
  <r>
    <x v="25"/>
    <x v="28"/>
    <s v="Total Electric Power Industry"/>
    <x v="2"/>
    <n v="2094168"/>
  </r>
  <r>
    <x v="25"/>
    <x v="28"/>
    <s v="Total Electric Power Industry"/>
    <x v="3"/>
    <n v="711044"/>
  </r>
  <r>
    <x v="25"/>
    <x v="28"/>
    <s v="Total Electric Power Industry"/>
    <x v="9"/>
    <n v="39063"/>
  </r>
  <r>
    <x v="25"/>
    <x v="28"/>
    <s v="Total Electric Power Industry"/>
    <x v="12"/>
    <n v="42168"/>
  </r>
  <r>
    <x v="25"/>
    <x v="28"/>
    <s v="Total Electric Power Industry"/>
    <x v="4"/>
    <n v="26459"/>
  </r>
  <r>
    <x v="25"/>
    <x v="28"/>
    <s v="Total Electric Power Industry"/>
    <x v="8"/>
    <n v="3594"/>
  </r>
  <r>
    <x v="25"/>
    <x v="28"/>
    <s v="Total Electric Power Industry"/>
    <x v="5"/>
    <n v="6505704"/>
  </r>
  <r>
    <x v="25"/>
    <x v="28"/>
    <s v="Combined Heat and Power, Industrial Power"/>
    <x v="0"/>
    <n v="167243"/>
  </r>
  <r>
    <x v="25"/>
    <x v="28"/>
    <s v="Combined Heat and Power, Industrial Power"/>
    <x v="1"/>
    <n v="102607"/>
  </r>
  <r>
    <x v="25"/>
    <x v="28"/>
    <s v="Combined Heat and Power, Industrial Power"/>
    <x v="3"/>
    <n v="21282"/>
  </r>
  <r>
    <x v="25"/>
    <x v="28"/>
    <s v="Combined Heat and Power, Industrial Power"/>
    <x v="9"/>
    <n v="39063"/>
  </r>
  <r>
    <x v="25"/>
    <x v="28"/>
    <s v="Combined Heat and Power, Industrial Power"/>
    <x v="4"/>
    <n v="697"/>
  </r>
  <r>
    <x v="25"/>
    <x v="28"/>
    <s v="Combined Heat and Power, Industrial Power"/>
    <x v="8"/>
    <n v="3594"/>
  </r>
  <r>
    <x v="25"/>
    <x v="28"/>
    <s v="Combined Heat and Power, Commercial Power"/>
    <x v="0"/>
    <n v="17"/>
  </r>
  <r>
    <x v="25"/>
    <x v="28"/>
    <s v="Combined Heat and Power, Commercial Power"/>
    <x v="4"/>
    <n v="17"/>
  </r>
  <r>
    <x v="25"/>
    <x v="28"/>
    <s v="Electric Generators, Independent Power Producers"/>
    <x v="0"/>
    <n v="3883450"/>
  </r>
  <r>
    <x v="25"/>
    <x v="28"/>
    <s v="Electric Generators, Independent Power Producers"/>
    <x v="5"/>
    <n v="3883450"/>
  </r>
  <r>
    <x v="25"/>
    <x v="28"/>
    <s v="Electric Generators, Electric Utilities"/>
    <x v="0"/>
    <n v="33105902"/>
  </r>
  <r>
    <x v="25"/>
    <x v="28"/>
    <s v="Electric Generators, Electric Utilities"/>
    <x v="1"/>
    <n v="27631806"/>
  </r>
  <r>
    <x v="25"/>
    <x v="28"/>
    <s v="Electric Generators, Electric Utilities"/>
    <x v="2"/>
    <n v="2094168"/>
  </r>
  <r>
    <x v="25"/>
    <x v="28"/>
    <s v="Electric Generators, Electric Utilities"/>
    <x v="3"/>
    <n v="689762"/>
  </r>
  <r>
    <x v="25"/>
    <x v="28"/>
    <s v="Electric Generators, Electric Utilities"/>
    <x v="12"/>
    <n v="42168"/>
  </r>
  <r>
    <x v="25"/>
    <x v="28"/>
    <s v="Electric Generators, Electric Utilities"/>
    <x v="4"/>
    <n v="25744"/>
  </r>
  <r>
    <x v="25"/>
    <x v="28"/>
    <s v="Electric Generators, Electric Utilities"/>
    <x v="5"/>
    <n v="2622254"/>
  </r>
  <r>
    <x v="25"/>
    <x v="29"/>
    <s v="Total Electric Power Industry"/>
    <x v="0"/>
    <n v="39883391"/>
  </r>
  <r>
    <x v="25"/>
    <x v="29"/>
    <s v="Total Electric Power Industry"/>
    <x v="1"/>
    <n v="24185421"/>
  </r>
  <r>
    <x v="25"/>
    <x v="29"/>
    <s v="Total Electric Power Industry"/>
    <x v="2"/>
    <n v="1684980"/>
  </r>
  <r>
    <x v="25"/>
    <x v="29"/>
    <s v="Total Electric Power Industry"/>
    <x v="3"/>
    <n v="430731"/>
  </r>
  <r>
    <x v="25"/>
    <x v="29"/>
    <s v="Total Electric Power Industry"/>
    <x v="7"/>
    <n v="10324728"/>
  </r>
  <r>
    <x v="25"/>
    <x v="29"/>
    <s v="Total Electric Power Industry"/>
    <x v="12"/>
    <n v="0"/>
  </r>
  <r>
    <x v="25"/>
    <x v="29"/>
    <s v="Total Electric Power Industry"/>
    <x v="4"/>
    <n v="6115"/>
  </r>
  <r>
    <x v="25"/>
    <x v="29"/>
    <s v="Total Electric Power Industry"/>
    <x v="8"/>
    <n v="70953"/>
  </r>
  <r>
    <x v="25"/>
    <x v="29"/>
    <s v="Total Electric Power Industry"/>
    <x v="5"/>
    <n v="3180463"/>
  </r>
  <r>
    <x v="25"/>
    <x v="29"/>
    <s v="Total Electric Power Industry"/>
    <x v="6"/>
    <n v="0"/>
  </r>
  <r>
    <x v="25"/>
    <x v="29"/>
    <s v="Combined Heat and Power, Industrial Power"/>
    <x v="0"/>
    <n v="381424"/>
  </r>
  <r>
    <x v="25"/>
    <x v="29"/>
    <s v="Combined Heat and Power, Industrial Power"/>
    <x v="1"/>
    <n v="380954"/>
  </r>
  <r>
    <x v="25"/>
    <x v="29"/>
    <s v="Combined Heat and Power, Industrial Power"/>
    <x v="3"/>
    <n v="470"/>
  </r>
  <r>
    <x v="25"/>
    <x v="29"/>
    <s v="Combined Heat and Power, Industrial Power"/>
    <x v="12"/>
    <n v="0"/>
  </r>
  <r>
    <x v="25"/>
    <x v="29"/>
    <s v="Combined Heat and Power, Industrial Power"/>
    <x v="8"/>
    <n v="0"/>
  </r>
  <r>
    <x v="25"/>
    <x v="29"/>
    <s v="Combined Heat and Power, Industrial Power"/>
    <x v="6"/>
    <n v="0"/>
  </r>
  <r>
    <x v="25"/>
    <x v="29"/>
    <s v="Combined Heat and Power, Commercial Power"/>
    <x v="0"/>
    <n v="16923"/>
  </r>
  <r>
    <x v="25"/>
    <x v="29"/>
    <s v="Combined Heat and Power, Commercial Power"/>
    <x v="3"/>
    <n v="704"/>
  </r>
  <r>
    <x v="25"/>
    <x v="29"/>
    <s v="Combined Heat and Power, Commercial Power"/>
    <x v="8"/>
    <n v="16219"/>
  </r>
  <r>
    <x v="25"/>
    <x v="29"/>
    <s v="Electric Generators, Independent Power Producers"/>
    <x v="0"/>
    <n v="2962802"/>
  </r>
  <r>
    <x v="25"/>
    <x v="29"/>
    <s v="Electric Generators, Independent Power Producers"/>
    <x v="5"/>
    <n v="2962802"/>
  </r>
  <r>
    <x v="25"/>
    <x v="29"/>
    <s v="Electric Generators, Electric Utilities"/>
    <x v="0"/>
    <n v="36522242"/>
  </r>
  <r>
    <x v="25"/>
    <x v="29"/>
    <s v="Electric Generators, Electric Utilities"/>
    <x v="1"/>
    <n v="23804467"/>
  </r>
  <r>
    <x v="25"/>
    <x v="29"/>
    <s v="Electric Generators, Electric Utilities"/>
    <x v="2"/>
    <n v="1684980"/>
  </r>
  <r>
    <x v="25"/>
    <x v="29"/>
    <s v="Electric Generators, Electric Utilities"/>
    <x v="3"/>
    <n v="429556"/>
  </r>
  <r>
    <x v="25"/>
    <x v="29"/>
    <s v="Electric Generators, Electric Utilities"/>
    <x v="7"/>
    <n v="10324728"/>
  </r>
  <r>
    <x v="25"/>
    <x v="29"/>
    <s v="Electric Generators, Electric Utilities"/>
    <x v="4"/>
    <n v="6115"/>
  </r>
  <r>
    <x v="25"/>
    <x v="29"/>
    <s v="Electric Generators, Electric Utilities"/>
    <x v="8"/>
    <n v="54734"/>
  </r>
  <r>
    <x v="25"/>
    <x v="29"/>
    <s v="Electric Generators, Electric Utilities"/>
    <x v="5"/>
    <n v="217661"/>
  </r>
  <r>
    <x v="25"/>
    <x v="30"/>
    <s v="Total Electric Power Industry"/>
    <x v="0"/>
    <n v="20015893"/>
  </r>
  <r>
    <x v="25"/>
    <x v="30"/>
    <s v="Total Electric Power Industry"/>
    <x v="1"/>
    <n v="936662"/>
  </r>
  <r>
    <x v="25"/>
    <x v="30"/>
    <s v="Total Electric Power Industry"/>
    <x v="2"/>
    <n v="1270222"/>
  </r>
  <r>
    <x v="25"/>
    <x v="30"/>
    <s v="Total Electric Power Industry"/>
    <x v="3"/>
    <n v="6051695"/>
  </r>
  <r>
    <x v="25"/>
    <x v="30"/>
    <s v="Total Electric Power Industry"/>
    <x v="7"/>
    <n v="9484204"/>
  </r>
  <r>
    <x v="25"/>
    <x v="30"/>
    <s v="Total Electric Power Industry"/>
    <x v="12"/>
    <n v="49720"/>
  </r>
  <r>
    <x v="25"/>
    <x v="30"/>
    <s v="Total Electric Power Industry"/>
    <x v="4"/>
    <n v="175564"/>
  </r>
  <r>
    <x v="25"/>
    <x v="30"/>
    <s v="Total Electric Power Industry"/>
    <x v="8"/>
    <n v="118650"/>
  </r>
  <r>
    <x v="25"/>
    <x v="30"/>
    <s v="Total Electric Power Industry"/>
    <x v="5"/>
    <n v="423496"/>
  </r>
  <r>
    <x v="25"/>
    <x v="30"/>
    <s v="Total Electric Power Industry"/>
    <x v="6"/>
    <n v="1505681"/>
  </r>
  <r>
    <x v="25"/>
    <x v="30"/>
    <s v="Combined Heat and Power, Industrial Power"/>
    <x v="0"/>
    <n v="31529"/>
  </r>
  <r>
    <x v="25"/>
    <x v="30"/>
    <s v="Combined Heat and Power, Industrial Power"/>
    <x v="3"/>
    <n v="31450"/>
  </r>
  <r>
    <x v="25"/>
    <x v="30"/>
    <s v="Combined Heat and Power, Industrial Power"/>
    <x v="4"/>
    <n v="79"/>
  </r>
  <r>
    <x v="25"/>
    <x v="30"/>
    <s v="Combined Heat and Power, Commercial Power"/>
    <x v="0"/>
    <n v="73165"/>
  </r>
  <r>
    <x v="25"/>
    <x v="30"/>
    <s v="Combined Heat and Power, Commercial Power"/>
    <x v="3"/>
    <n v="22210"/>
  </r>
  <r>
    <x v="25"/>
    <x v="30"/>
    <s v="Combined Heat and Power, Commercial Power"/>
    <x v="4"/>
    <n v="15528"/>
  </r>
  <r>
    <x v="25"/>
    <x v="30"/>
    <s v="Combined Heat and Power, Commercial Power"/>
    <x v="8"/>
    <n v="35428"/>
  </r>
  <r>
    <x v="25"/>
    <x v="30"/>
    <s v="Electric Generators, Independent Power Producers"/>
    <x v="0"/>
    <n v="18216665"/>
  </r>
  <r>
    <x v="25"/>
    <x v="30"/>
    <s v="Electric Generators, Independent Power Producers"/>
    <x v="2"/>
    <n v="961534"/>
  </r>
  <r>
    <x v="25"/>
    <x v="30"/>
    <s v="Electric Generators, Independent Power Producers"/>
    <x v="3"/>
    <n v="5975745"/>
  </r>
  <r>
    <x v="25"/>
    <x v="30"/>
    <s v="Electric Generators, Independent Power Producers"/>
    <x v="7"/>
    <n v="9484204"/>
  </r>
  <r>
    <x v="25"/>
    <x v="30"/>
    <s v="Electric Generators, Independent Power Producers"/>
    <x v="12"/>
    <n v="49720"/>
  </r>
  <r>
    <x v="25"/>
    <x v="30"/>
    <s v="Electric Generators, Independent Power Producers"/>
    <x v="4"/>
    <n v="54167"/>
  </r>
  <r>
    <x v="25"/>
    <x v="30"/>
    <s v="Electric Generators, Independent Power Producers"/>
    <x v="8"/>
    <n v="82268"/>
  </r>
  <r>
    <x v="25"/>
    <x v="30"/>
    <s v="Electric Generators, Independent Power Producers"/>
    <x v="5"/>
    <n v="423496"/>
  </r>
  <r>
    <x v="25"/>
    <x v="30"/>
    <s v="Electric Generators, Independent Power Producers"/>
    <x v="6"/>
    <n v="1185531"/>
  </r>
  <r>
    <x v="25"/>
    <x v="30"/>
    <s v="Electric Generators, Electric Utilities"/>
    <x v="0"/>
    <n v="1694535"/>
  </r>
  <r>
    <x v="25"/>
    <x v="30"/>
    <s v="Electric Generators, Electric Utilities"/>
    <x v="1"/>
    <n v="936662"/>
  </r>
  <r>
    <x v="25"/>
    <x v="30"/>
    <s v="Electric Generators, Electric Utilities"/>
    <x v="2"/>
    <n v="308688"/>
  </r>
  <r>
    <x v="25"/>
    <x v="30"/>
    <s v="Electric Generators, Electric Utilities"/>
    <x v="3"/>
    <n v="22290"/>
  </r>
  <r>
    <x v="25"/>
    <x v="30"/>
    <s v="Electric Generators, Electric Utilities"/>
    <x v="4"/>
    <n v="105790"/>
  </r>
  <r>
    <x v="25"/>
    <x v="30"/>
    <s v="Electric Generators, Electric Utilities"/>
    <x v="8"/>
    <n v="955"/>
  </r>
  <r>
    <x v="25"/>
    <x v="30"/>
    <s v="Electric Generators, Electric Utilities"/>
    <x v="6"/>
    <n v="320150"/>
  </r>
  <r>
    <x v="25"/>
    <x v="31"/>
    <s v="Total Electric Power Industry"/>
    <x v="0"/>
    <n v="74608860"/>
  </r>
  <r>
    <x v="25"/>
    <x v="31"/>
    <s v="Total Electric Power Industry"/>
    <x v="1"/>
    <n v="1759096"/>
  </r>
  <r>
    <x v="25"/>
    <x v="31"/>
    <s v="Total Electric Power Industry"/>
    <x v="10"/>
    <n v="-169577"/>
  </r>
  <r>
    <x v="25"/>
    <x v="31"/>
    <s v="Total Electric Power Industry"/>
    <x v="2"/>
    <n v="9541"/>
  </r>
  <r>
    <x v="25"/>
    <x v="31"/>
    <s v="Total Electric Power Industry"/>
    <x v="3"/>
    <n v="36974456"/>
  </r>
  <r>
    <x v="25"/>
    <x v="31"/>
    <s v="Total Electric Power Industry"/>
    <x v="7"/>
    <n v="33261760"/>
  </r>
  <r>
    <x v="25"/>
    <x v="31"/>
    <s v="Total Electric Power Industry"/>
    <x v="9"/>
    <n v="221033"/>
  </r>
  <r>
    <x v="25"/>
    <x v="31"/>
    <s v="Total Electric Power Industry"/>
    <x v="12"/>
    <n v="582493"/>
  </r>
  <r>
    <x v="25"/>
    <x v="31"/>
    <s v="Total Electric Power Industry"/>
    <x v="4"/>
    <n v="374936"/>
  </r>
  <r>
    <x v="25"/>
    <x v="31"/>
    <s v="Total Electric Power Industry"/>
    <x v="13"/>
    <n v="627890"/>
  </r>
  <r>
    <x v="25"/>
    <x v="31"/>
    <s v="Total Electric Power Industry"/>
    <x v="8"/>
    <n v="945693"/>
  </r>
  <r>
    <x v="25"/>
    <x v="31"/>
    <s v="Total Electric Power Industry"/>
    <x v="5"/>
    <n v="21539"/>
  </r>
  <r>
    <x v="25"/>
    <x v="31"/>
    <s v="Combined Heat and Power, Industrial Power"/>
    <x v="0"/>
    <n v="705544"/>
  </r>
  <r>
    <x v="25"/>
    <x v="31"/>
    <s v="Combined Heat and Power, Industrial Power"/>
    <x v="3"/>
    <n v="340050"/>
  </r>
  <r>
    <x v="25"/>
    <x v="31"/>
    <s v="Combined Heat and Power, Industrial Power"/>
    <x v="9"/>
    <n v="221033"/>
  </r>
  <r>
    <x v="25"/>
    <x v="31"/>
    <s v="Combined Heat and Power, Industrial Power"/>
    <x v="12"/>
    <n v="67132"/>
  </r>
  <r>
    <x v="25"/>
    <x v="31"/>
    <s v="Combined Heat and Power, Industrial Power"/>
    <x v="4"/>
    <n v="75985"/>
  </r>
  <r>
    <x v="25"/>
    <x v="31"/>
    <s v="Combined Heat and Power, Industrial Power"/>
    <x v="13"/>
    <n v="1345"/>
  </r>
  <r>
    <x v="25"/>
    <x v="31"/>
    <s v="Combined Heat and Power, Commercial Power"/>
    <x v="0"/>
    <n v="655729"/>
  </r>
  <r>
    <x v="25"/>
    <x v="31"/>
    <s v="Combined Heat and Power, Commercial Power"/>
    <x v="3"/>
    <n v="206170"/>
  </r>
  <r>
    <x v="25"/>
    <x v="31"/>
    <s v="Combined Heat and Power, Commercial Power"/>
    <x v="12"/>
    <n v="144536"/>
  </r>
  <r>
    <x v="25"/>
    <x v="31"/>
    <s v="Combined Heat and Power, Commercial Power"/>
    <x v="4"/>
    <n v="786"/>
  </r>
  <r>
    <x v="25"/>
    <x v="31"/>
    <s v="Combined Heat and Power, Commercial Power"/>
    <x v="13"/>
    <n v="132624"/>
  </r>
  <r>
    <x v="25"/>
    <x v="31"/>
    <s v="Combined Heat and Power, Commercial Power"/>
    <x v="8"/>
    <n v="171615"/>
  </r>
  <r>
    <x v="25"/>
    <x v="31"/>
    <s v="Combined Heat and Power, Electric Power"/>
    <x v="0"/>
    <n v="6507480"/>
  </r>
  <r>
    <x v="25"/>
    <x v="31"/>
    <s v="Combined Heat and Power, Electric Power"/>
    <x v="1"/>
    <n v="1282322"/>
  </r>
  <r>
    <x v="25"/>
    <x v="31"/>
    <s v="Combined Heat and Power, Electric Power"/>
    <x v="3"/>
    <n v="5066907"/>
  </r>
  <r>
    <x v="25"/>
    <x v="31"/>
    <s v="Combined Heat and Power, Electric Power"/>
    <x v="4"/>
    <n v="67107"/>
  </r>
  <r>
    <x v="25"/>
    <x v="31"/>
    <s v="Combined Heat and Power, Electric Power"/>
    <x v="8"/>
    <n v="91144"/>
  </r>
  <r>
    <x v="25"/>
    <x v="31"/>
    <s v="Electric Generators, Independent Power Producers"/>
    <x v="0"/>
    <n v="66764294"/>
  </r>
  <r>
    <x v="25"/>
    <x v="31"/>
    <s v="Electric Generators, Independent Power Producers"/>
    <x v="1"/>
    <n v="476774"/>
  </r>
  <r>
    <x v="25"/>
    <x v="31"/>
    <s v="Electric Generators, Independent Power Producers"/>
    <x v="2"/>
    <n v="9541"/>
  </r>
  <r>
    <x v="25"/>
    <x v="31"/>
    <s v="Electric Generators, Independent Power Producers"/>
    <x v="3"/>
    <n v="31282869"/>
  </r>
  <r>
    <x v="25"/>
    <x v="31"/>
    <s v="Electric Generators, Independent Power Producers"/>
    <x v="7"/>
    <n v="33261760"/>
  </r>
  <r>
    <x v="25"/>
    <x v="31"/>
    <s v="Electric Generators, Independent Power Producers"/>
    <x v="12"/>
    <n v="370825"/>
  </r>
  <r>
    <x v="25"/>
    <x v="31"/>
    <s v="Electric Generators, Independent Power Producers"/>
    <x v="4"/>
    <n v="227345"/>
  </r>
  <r>
    <x v="25"/>
    <x v="31"/>
    <s v="Electric Generators, Independent Power Producers"/>
    <x v="13"/>
    <n v="430706"/>
  </r>
  <r>
    <x v="25"/>
    <x v="31"/>
    <s v="Electric Generators, Independent Power Producers"/>
    <x v="8"/>
    <n v="682935"/>
  </r>
  <r>
    <x v="25"/>
    <x v="31"/>
    <s v="Electric Generators, Independent Power Producers"/>
    <x v="5"/>
    <n v="21539"/>
  </r>
  <r>
    <x v="25"/>
    <x v="31"/>
    <s v="Electric Generators, Electric Utilities"/>
    <x v="0"/>
    <n v="-24188"/>
  </r>
  <r>
    <x v="25"/>
    <x v="31"/>
    <s v="Electric Generators, Electric Utilities"/>
    <x v="1"/>
    <n v="0"/>
  </r>
  <r>
    <x v="25"/>
    <x v="31"/>
    <s v="Electric Generators, Electric Utilities"/>
    <x v="10"/>
    <n v="-169577"/>
  </r>
  <r>
    <x v="25"/>
    <x v="31"/>
    <s v="Electric Generators, Electric Utilities"/>
    <x v="3"/>
    <n v="78461"/>
  </r>
  <r>
    <x v="25"/>
    <x v="31"/>
    <s v="Electric Generators, Electric Utilities"/>
    <x v="4"/>
    <n v="3713"/>
  </r>
  <r>
    <x v="25"/>
    <x v="31"/>
    <s v="Electric Generators, Electric Utilities"/>
    <x v="13"/>
    <n v="63215"/>
  </r>
  <r>
    <x v="25"/>
    <x v="32"/>
    <s v="Total Electric Power Industry"/>
    <x v="0"/>
    <n v="32701398"/>
  </r>
  <r>
    <x v="25"/>
    <x v="32"/>
    <s v="Total Electric Power Industry"/>
    <x v="1"/>
    <n v="20439532"/>
  </r>
  <r>
    <x v="25"/>
    <x v="32"/>
    <s v="Total Electric Power Industry"/>
    <x v="11"/>
    <n v="9675"/>
  </r>
  <r>
    <x v="25"/>
    <x v="32"/>
    <s v="Total Electric Power Industry"/>
    <x v="2"/>
    <n v="99473"/>
  </r>
  <r>
    <x v="25"/>
    <x v="32"/>
    <s v="Total Electric Power Industry"/>
    <x v="3"/>
    <n v="9364624"/>
  </r>
  <r>
    <x v="25"/>
    <x v="32"/>
    <s v="Total Electric Power Industry"/>
    <x v="12"/>
    <n v="665"/>
  </r>
  <r>
    <x v="25"/>
    <x v="32"/>
    <s v="Total Electric Power Industry"/>
    <x v="4"/>
    <n v="62958"/>
  </r>
  <r>
    <x v="25"/>
    <x v="32"/>
    <s v="Total Electric Power Industry"/>
    <x v="13"/>
    <n v="614877"/>
  </r>
  <r>
    <x v="25"/>
    <x v="32"/>
    <s v="Total Electric Power Industry"/>
    <x v="8"/>
    <n v="19573"/>
  </r>
  <r>
    <x v="25"/>
    <x v="32"/>
    <s v="Total Electric Power Industry"/>
    <x v="5"/>
    <n v="2090021"/>
  </r>
  <r>
    <x v="25"/>
    <x v="32"/>
    <s v="Combined Heat and Power, Industrial Power"/>
    <x v="0"/>
    <n v="861"/>
  </r>
  <r>
    <x v="25"/>
    <x v="32"/>
    <s v="Combined Heat and Power, Industrial Power"/>
    <x v="3"/>
    <n v="856"/>
  </r>
  <r>
    <x v="25"/>
    <x v="32"/>
    <s v="Combined Heat and Power, Industrial Power"/>
    <x v="4"/>
    <n v="5"/>
  </r>
  <r>
    <x v="25"/>
    <x v="32"/>
    <s v="Combined Heat and Power, Commercial Power"/>
    <x v="0"/>
    <n v="124121"/>
  </r>
  <r>
    <x v="25"/>
    <x v="32"/>
    <s v="Combined Heat and Power, Commercial Power"/>
    <x v="3"/>
    <n v="121284"/>
  </r>
  <r>
    <x v="25"/>
    <x v="32"/>
    <s v="Combined Heat and Power, Commercial Power"/>
    <x v="5"/>
    <n v="2837"/>
  </r>
  <r>
    <x v="25"/>
    <x v="32"/>
    <s v="Combined Heat and Power, Electric Power"/>
    <x v="0"/>
    <n v="278517"/>
  </r>
  <r>
    <x v="25"/>
    <x v="32"/>
    <s v="Combined Heat and Power, Electric Power"/>
    <x v="3"/>
    <n v="258944"/>
  </r>
  <r>
    <x v="25"/>
    <x v="32"/>
    <s v="Combined Heat and Power, Electric Power"/>
    <x v="8"/>
    <n v="19573"/>
  </r>
  <r>
    <x v="25"/>
    <x v="32"/>
    <s v="Electric Generators, Independent Power Producers"/>
    <x v="0"/>
    <n v="6347128"/>
  </r>
  <r>
    <x v="25"/>
    <x v="32"/>
    <s v="Electric Generators, Independent Power Producers"/>
    <x v="11"/>
    <n v="9675"/>
  </r>
  <r>
    <x v="25"/>
    <x v="32"/>
    <s v="Electric Generators, Independent Power Producers"/>
    <x v="3"/>
    <n v="3793530"/>
  </r>
  <r>
    <x v="25"/>
    <x v="32"/>
    <s v="Electric Generators, Independent Power Producers"/>
    <x v="13"/>
    <n v="456739"/>
  </r>
  <r>
    <x v="25"/>
    <x v="32"/>
    <s v="Electric Generators, Independent Power Producers"/>
    <x v="5"/>
    <n v="2087184"/>
  </r>
  <r>
    <x v="25"/>
    <x v="32"/>
    <s v="Electric Generators, Electric Utilities"/>
    <x v="0"/>
    <n v="25950771"/>
  </r>
  <r>
    <x v="25"/>
    <x v="32"/>
    <s v="Electric Generators, Electric Utilities"/>
    <x v="1"/>
    <n v="20439532"/>
  </r>
  <r>
    <x v="25"/>
    <x v="32"/>
    <s v="Electric Generators, Electric Utilities"/>
    <x v="2"/>
    <n v="99473"/>
  </r>
  <r>
    <x v="25"/>
    <x v="32"/>
    <s v="Electric Generators, Electric Utilities"/>
    <x v="3"/>
    <n v="5190010"/>
  </r>
  <r>
    <x v="25"/>
    <x v="32"/>
    <s v="Electric Generators, Electric Utilities"/>
    <x v="12"/>
    <n v="665"/>
  </r>
  <r>
    <x v="25"/>
    <x v="32"/>
    <s v="Electric Generators, Electric Utilities"/>
    <x v="4"/>
    <n v="62953"/>
  </r>
  <r>
    <x v="25"/>
    <x v="32"/>
    <s v="Electric Generators, Electric Utilities"/>
    <x v="13"/>
    <n v="158138"/>
  </r>
  <r>
    <x v="25"/>
    <x v="33"/>
    <s v="Total Electric Power Industry"/>
    <x v="0"/>
    <n v="39046784"/>
  </r>
  <r>
    <x v="25"/>
    <x v="33"/>
    <s v="Total Electric Power Industry"/>
    <x v="1"/>
    <n v="2657289"/>
  </r>
  <r>
    <x v="25"/>
    <x v="33"/>
    <s v="Total Electric Power Industry"/>
    <x v="11"/>
    <n v="3110504"/>
  </r>
  <r>
    <x v="25"/>
    <x v="33"/>
    <s v="Total Electric Power Industry"/>
    <x v="2"/>
    <n v="2264136"/>
  </r>
  <r>
    <x v="25"/>
    <x v="33"/>
    <s v="Total Electric Power Industry"/>
    <x v="3"/>
    <n v="28999514"/>
  </r>
  <r>
    <x v="25"/>
    <x v="33"/>
    <s v="Total Electric Power Industry"/>
    <x v="9"/>
    <n v="5523"/>
  </r>
  <r>
    <x v="25"/>
    <x v="33"/>
    <s v="Total Electric Power Industry"/>
    <x v="12"/>
    <n v="1013"/>
  </r>
  <r>
    <x v="25"/>
    <x v="33"/>
    <s v="Total Electric Power Industry"/>
    <x v="4"/>
    <n v="15982"/>
  </r>
  <r>
    <x v="25"/>
    <x v="33"/>
    <s v="Total Electric Power Industry"/>
    <x v="13"/>
    <n v="1657405"/>
  </r>
  <r>
    <x v="25"/>
    <x v="33"/>
    <s v="Total Electric Power Industry"/>
    <x v="8"/>
    <n v="25695"/>
  </r>
  <r>
    <x v="25"/>
    <x v="33"/>
    <s v="Total Electric Power Industry"/>
    <x v="5"/>
    <n v="309724"/>
  </r>
  <r>
    <x v="25"/>
    <x v="33"/>
    <s v="Combined Heat and Power, Industrial Power"/>
    <x v="0"/>
    <n v="304750"/>
  </r>
  <r>
    <x v="25"/>
    <x v="33"/>
    <s v="Combined Heat and Power, Industrial Power"/>
    <x v="3"/>
    <n v="302249"/>
  </r>
  <r>
    <x v="25"/>
    <x v="33"/>
    <s v="Combined Heat and Power, Industrial Power"/>
    <x v="13"/>
    <n v="2501"/>
  </r>
  <r>
    <x v="25"/>
    <x v="33"/>
    <s v="Combined Heat and Power, Commercial Power"/>
    <x v="0"/>
    <n v="114061"/>
  </r>
  <r>
    <x v="25"/>
    <x v="33"/>
    <s v="Combined Heat and Power, Commercial Power"/>
    <x v="3"/>
    <n v="69233"/>
  </r>
  <r>
    <x v="25"/>
    <x v="33"/>
    <s v="Combined Heat and Power, Commercial Power"/>
    <x v="13"/>
    <n v="44828"/>
  </r>
  <r>
    <x v="25"/>
    <x v="33"/>
    <s v="Combined Heat and Power, Electric Power"/>
    <x v="0"/>
    <n v="2203014"/>
  </r>
  <r>
    <x v="25"/>
    <x v="33"/>
    <s v="Combined Heat and Power, Electric Power"/>
    <x v="3"/>
    <n v="2197475"/>
  </r>
  <r>
    <x v="25"/>
    <x v="33"/>
    <s v="Combined Heat and Power, Electric Power"/>
    <x v="9"/>
    <n v="5523"/>
  </r>
  <r>
    <x v="25"/>
    <x v="33"/>
    <s v="Combined Heat and Power, Electric Power"/>
    <x v="4"/>
    <n v="16"/>
  </r>
  <r>
    <x v="25"/>
    <x v="33"/>
    <s v="Electric Generators, Independent Power Producers"/>
    <x v="0"/>
    <n v="5928306"/>
  </r>
  <r>
    <x v="25"/>
    <x v="33"/>
    <s v="Electric Generators, Independent Power Producers"/>
    <x v="1"/>
    <n v="853306"/>
  </r>
  <r>
    <x v="25"/>
    <x v="33"/>
    <s v="Electric Generators, Independent Power Producers"/>
    <x v="11"/>
    <n v="3110504"/>
  </r>
  <r>
    <x v="25"/>
    <x v="33"/>
    <s v="Electric Generators, Independent Power Producers"/>
    <x v="2"/>
    <n v="15487"/>
  </r>
  <r>
    <x v="25"/>
    <x v="33"/>
    <s v="Electric Generators, Independent Power Producers"/>
    <x v="3"/>
    <n v="2140"/>
  </r>
  <r>
    <x v="25"/>
    <x v="33"/>
    <s v="Electric Generators, Independent Power Producers"/>
    <x v="4"/>
    <n v="3450"/>
  </r>
  <r>
    <x v="25"/>
    <x v="33"/>
    <s v="Electric Generators, Independent Power Producers"/>
    <x v="13"/>
    <n v="1608000"/>
  </r>
  <r>
    <x v="25"/>
    <x v="33"/>
    <s v="Electric Generators, Independent Power Producers"/>
    <x v="8"/>
    <n v="25695"/>
  </r>
  <r>
    <x v="25"/>
    <x v="33"/>
    <s v="Electric Generators, Independent Power Producers"/>
    <x v="5"/>
    <n v="309724"/>
  </r>
  <r>
    <x v="25"/>
    <x v="33"/>
    <s v="Electric Generators, Electric Utilities"/>
    <x v="0"/>
    <n v="30496653"/>
  </r>
  <r>
    <x v="25"/>
    <x v="33"/>
    <s v="Electric Generators, Electric Utilities"/>
    <x v="1"/>
    <n v="1803983"/>
  </r>
  <r>
    <x v="25"/>
    <x v="33"/>
    <s v="Electric Generators, Electric Utilities"/>
    <x v="2"/>
    <n v="2248649"/>
  </r>
  <r>
    <x v="25"/>
    <x v="33"/>
    <s v="Electric Generators, Electric Utilities"/>
    <x v="3"/>
    <n v="26428416"/>
  </r>
  <r>
    <x v="25"/>
    <x v="33"/>
    <s v="Electric Generators, Electric Utilities"/>
    <x v="12"/>
    <n v="1013"/>
  </r>
  <r>
    <x v="25"/>
    <x v="33"/>
    <s v="Electric Generators, Electric Utilities"/>
    <x v="4"/>
    <n v="12516"/>
  </r>
  <r>
    <x v="25"/>
    <x v="33"/>
    <s v="Electric Generators, Electric Utilities"/>
    <x v="13"/>
    <n v="2076"/>
  </r>
  <r>
    <x v="25"/>
    <x v="34"/>
    <s v="Total Electric Power Industry"/>
    <x v="0"/>
    <n v="138627721"/>
  </r>
  <r>
    <x v="25"/>
    <x v="34"/>
    <s v="Total Electric Power Industry"/>
    <x v="1"/>
    <n v="2380066"/>
  </r>
  <r>
    <x v="25"/>
    <x v="34"/>
    <s v="Total Electric Power Industry"/>
    <x v="10"/>
    <n v="-422812"/>
  </r>
  <r>
    <x v="25"/>
    <x v="34"/>
    <s v="Total Electric Power Industry"/>
    <x v="2"/>
    <n v="26014520"/>
  </r>
  <r>
    <x v="25"/>
    <x v="34"/>
    <s v="Total Electric Power Industry"/>
    <x v="3"/>
    <n v="56923415"/>
  </r>
  <r>
    <x v="25"/>
    <x v="34"/>
    <s v="Total Electric Power Industry"/>
    <x v="7"/>
    <n v="44602871"/>
  </r>
  <r>
    <x v="25"/>
    <x v="34"/>
    <s v="Total Electric Power Industry"/>
    <x v="9"/>
    <n v="0"/>
  </r>
  <r>
    <x v="25"/>
    <x v="34"/>
    <s v="Total Electric Power Industry"/>
    <x v="12"/>
    <n v="918817"/>
  </r>
  <r>
    <x v="25"/>
    <x v="34"/>
    <s v="Total Electric Power Industry"/>
    <x v="4"/>
    <n v="1892293"/>
  </r>
  <r>
    <x v="25"/>
    <x v="34"/>
    <s v="Total Electric Power Industry"/>
    <x v="13"/>
    <n v="100526"/>
  </r>
  <r>
    <x v="25"/>
    <x v="34"/>
    <s v="Total Electric Power Industry"/>
    <x v="8"/>
    <n v="1624771"/>
  </r>
  <r>
    <x v="25"/>
    <x v="34"/>
    <s v="Total Electric Power Industry"/>
    <x v="5"/>
    <n v="3976980"/>
  </r>
  <r>
    <x v="25"/>
    <x v="34"/>
    <s v="Total Electric Power Industry"/>
    <x v="6"/>
    <n v="616274"/>
  </r>
  <r>
    <x v="25"/>
    <x v="34"/>
    <s v="Combined Heat and Power, Industrial Power"/>
    <x v="0"/>
    <n v="931700"/>
  </r>
  <r>
    <x v="25"/>
    <x v="34"/>
    <s v="Combined Heat and Power, Industrial Power"/>
    <x v="1"/>
    <n v="304711"/>
  </r>
  <r>
    <x v="25"/>
    <x v="34"/>
    <s v="Combined Heat and Power, Industrial Power"/>
    <x v="2"/>
    <n v="61801"/>
  </r>
  <r>
    <x v="25"/>
    <x v="34"/>
    <s v="Combined Heat and Power, Industrial Power"/>
    <x v="3"/>
    <n v="289871"/>
  </r>
  <r>
    <x v="25"/>
    <x v="34"/>
    <s v="Combined Heat and Power, Industrial Power"/>
    <x v="9"/>
    <n v="0"/>
  </r>
  <r>
    <x v="25"/>
    <x v="34"/>
    <s v="Combined Heat and Power, Industrial Power"/>
    <x v="4"/>
    <n v="57547"/>
  </r>
  <r>
    <x v="25"/>
    <x v="34"/>
    <s v="Combined Heat and Power, Industrial Power"/>
    <x v="5"/>
    <n v="2489"/>
  </r>
  <r>
    <x v="25"/>
    <x v="34"/>
    <s v="Combined Heat and Power, Industrial Power"/>
    <x v="6"/>
    <n v="215281"/>
  </r>
  <r>
    <x v="25"/>
    <x v="34"/>
    <s v="Combined Heat and Power, Commercial Power"/>
    <x v="0"/>
    <n v="1236348"/>
  </r>
  <r>
    <x v="25"/>
    <x v="34"/>
    <s v="Combined Heat and Power, Commercial Power"/>
    <x v="1"/>
    <n v="0"/>
  </r>
  <r>
    <x v="25"/>
    <x v="34"/>
    <s v="Combined Heat and Power, Commercial Power"/>
    <x v="2"/>
    <n v="4536"/>
  </r>
  <r>
    <x v="25"/>
    <x v="34"/>
    <s v="Combined Heat and Power, Commercial Power"/>
    <x v="3"/>
    <n v="760417"/>
  </r>
  <r>
    <x v="25"/>
    <x v="34"/>
    <s v="Combined Heat and Power, Commercial Power"/>
    <x v="12"/>
    <n v="198114"/>
  </r>
  <r>
    <x v="25"/>
    <x v="34"/>
    <s v="Combined Heat and Power, Commercial Power"/>
    <x v="4"/>
    <n v="58728"/>
  </r>
  <r>
    <x v="25"/>
    <x v="34"/>
    <s v="Combined Heat and Power, Commercial Power"/>
    <x v="13"/>
    <n v="2527"/>
  </r>
  <r>
    <x v="25"/>
    <x v="34"/>
    <s v="Combined Heat and Power, Commercial Power"/>
    <x v="8"/>
    <n v="212026"/>
  </r>
  <r>
    <x v="25"/>
    <x v="34"/>
    <s v="Combined Heat and Power, Electric Power"/>
    <x v="0"/>
    <n v="16289685"/>
  </r>
  <r>
    <x v="25"/>
    <x v="34"/>
    <s v="Combined Heat and Power, Electric Power"/>
    <x v="3"/>
    <n v="15884354"/>
  </r>
  <r>
    <x v="25"/>
    <x v="34"/>
    <s v="Combined Heat and Power, Electric Power"/>
    <x v="12"/>
    <n v="76079"/>
  </r>
  <r>
    <x v="25"/>
    <x v="34"/>
    <s v="Combined Heat and Power, Electric Power"/>
    <x v="4"/>
    <n v="117744"/>
  </r>
  <r>
    <x v="25"/>
    <x v="34"/>
    <s v="Combined Heat and Power, Electric Power"/>
    <x v="8"/>
    <n v="79184"/>
  </r>
  <r>
    <x v="25"/>
    <x v="34"/>
    <s v="Combined Heat and Power, Electric Power"/>
    <x v="6"/>
    <n v="132323"/>
  </r>
  <r>
    <x v="25"/>
    <x v="34"/>
    <s v="Electric Generators, Independent Power Producers"/>
    <x v="0"/>
    <n v="85488028"/>
  </r>
  <r>
    <x v="25"/>
    <x v="34"/>
    <s v="Electric Generators, Independent Power Producers"/>
    <x v="1"/>
    <n v="2075354"/>
  </r>
  <r>
    <x v="25"/>
    <x v="34"/>
    <s v="Electric Generators, Independent Power Producers"/>
    <x v="2"/>
    <n v="3722727"/>
  </r>
  <r>
    <x v="25"/>
    <x v="34"/>
    <s v="Electric Generators, Independent Power Producers"/>
    <x v="3"/>
    <n v="27926413"/>
  </r>
  <r>
    <x v="25"/>
    <x v="34"/>
    <s v="Electric Generators, Independent Power Producers"/>
    <x v="7"/>
    <n v="44602871"/>
  </r>
  <r>
    <x v="25"/>
    <x v="34"/>
    <s v="Electric Generators, Independent Power Producers"/>
    <x v="12"/>
    <n v="644623"/>
  </r>
  <r>
    <x v="25"/>
    <x v="34"/>
    <s v="Electric Generators, Independent Power Producers"/>
    <x v="4"/>
    <n v="841318"/>
  </r>
  <r>
    <x v="25"/>
    <x v="34"/>
    <s v="Electric Generators, Independent Power Producers"/>
    <x v="13"/>
    <n v="97999"/>
  </r>
  <r>
    <x v="25"/>
    <x v="34"/>
    <s v="Electric Generators, Independent Power Producers"/>
    <x v="8"/>
    <n v="1333561"/>
  </r>
  <r>
    <x v="25"/>
    <x v="34"/>
    <s v="Electric Generators, Independent Power Producers"/>
    <x v="5"/>
    <n v="3974491"/>
  </r>
  <r>
    <x v="25"/>
    <x v="34"/>
    <s v="Electric Generators, Independent Power Producers"/>
    <x v="6"/>
    <n v="268670"/>
  </r>
  <r>
    <x v="25"/>
    <x v="34"/>
    <s v="Electric Generators, Electric Utilities"/>
    <x v="0"/>
    <n v="34681959"/>
  </r>
  <r>
    <x v="25"/>
    <x v="34"/>
    <s v="Electric Generators, Electric Utilities"/>
    <x v="1"/>
    <n v="0"/>
  </r>
  <r>
    <x v="25"/>
    <x v="34"/>
    <s v="Electric Generators, Electric Utilities"/>
    <x v="10"/>
    <n v="-422812"/>
  </r>
  <r>
    <x v="25"/>
    <x v="34"/>
    <s v="Electric Generators, Electric Utilities"/>
    <x v="2"/>
    <n v="22225456"/>
  </r>
  <r>
    <x v="25"/>
    <x v="34"/>
    <s v="Electric Generators, Electric Utilities"/>
    <x v="3"/>
    <n v="12062360"/>
  </r>
  <r>
    <x v="25"/>
    <x v="34"/>
    <s v="Electric Generators, Electric Utilities"/>
    <x v="4"/>
    <n v="816955"/>
  </r>
  <r>
    <x v="25"/>
    <x v="35"/>
    <s v="Total Electric Power Industry"/>
    <x v="0"/>
    <n v="121893401"/>
  </r>
  <r>
    <x v="25"/>
    <x v="35"/>
    <s v="Total Electric Power Industry"/>
    <x v="1"/>
    <n v="71709530"/>
  </r>
  <r>
    <x v="25"/>
    <x v="35"/>
    <s v="Total Electric Power Industry"/>
    <x v="2"/>
    <n v="456669"/>
  </r>
  <r>
    <x v="25"/>
    <x v="35"/>
    <s v="Total Electric Power Industry"/>
    <x v="3"/>
    <n v="28033716"/>
  </r>
  <r>
    <x v="25"/>
    <x v="35"/>
    <s v="Total Electric Power Industry"/>
    <x v="7"/>
    <n v="17376736"/>
  </r>
  <r>
    <x v="25"/>
    <x v="35"/>
    <s v="Total Electric Power Industry"/>
    <x v="9"/>
    <n v="945021"/>
  </r>
  <r>
    <x v="25"/>
    <x v="35"/>
    <s v="Total Electric Power Industry"/>
    <x v="12"/>
    <n v="-3135"/>
  </r>
  <r>
    <x v="25"/>
    <x v="35"/>
    <s v="Total Electric Power Industry"/>
    <x v="4"/>
    <n v="1317027"/>
  </r>
  <r>
    <x v="25"/>
    <x v="35"/>
    <s v="Total Electric Power Industry"/>
    <x v="13"/>
    <n v="56072"/>
  </r>
  <r>
    <x v="25"/>
    <x v="35"/>
    <s v="Total Electric Power Industry"/>
    <x v="8"/>
    <n v="472855"/>
  </r>
  <r>
    <x v="25"/>
    <x v="35"/>
    <s v="Total Electric Power Industry"/>
    <x v="5"/>
    <n v="1203008"/>
  </r>
  <r>
    <x v="25"/>
    <x v="35"/>
    <s v="Total Electric Power Industry"/>
    <x v="6"/>
    <n v="325902"/>
  </r>
  <r>
    <x v="25"/>
    <x v="35"/>
    <s v="Combined Heat and Power, Industrial Power"/>
    <x v="0"/>
    <n v="861964"/>
  </r>
  <r>
    <x v="25"/>
    <x v="35"/>
    <s v="Combined Heat and Power, Industrial Power"/>
    <x v="1"/>
    <n v="212120"/>
  </r>
  <r>
    <x v="25"/>
    <x v="35"/>
    <s v="Combined Heat and Power, Industrial Power"/>
    <x v="3"/>
    <n v="84351"/>
  </r>
  <r>
    <x v="25"/>
    <x v="35"/>
    <s v="Combined Heat and Power, Industrial Power"/>
    <x v="9"/>
    <n v="196773"/>
  </r>
  <r>
    <x v="25"/>
    <x v="35"/>
    <s v="Combined Heat and Power, Industrial Power"/>
    <x v="12"/>
    <n v="7634"/>
  </r>
  <r>
    <x v="25"/>
    <x v="35"/>
    <s v="Combined Heat and Power, Industrial Power"/>
    <x v="4"/>
    <n v="14154"/>
  </r>
  <r>
    <x v="25"/>
    <x v="35"/>
    <s v="Combined Heat and Power, Industrial Power"/>
    <x v="13"/>
    <n v="2291"/>
  </r>
  <r>
    <x v="25"/>
    <x v="35"/>
    <s v="Combined Heat and Power, Industrial Power"/>
    <x v="8"/>
    <n v="15200"/>
  </r>
  <r>
    <x v="25"/>
    <x v="35"/>
    <s v="Combined Heat and Power, Industrial Power"/>
    <x v="5"/>
    <n v="33875"/>
  </r>
  <r>
    <x v="25"/>
    <x v="35"/>
    <s v="Combined Heat and Power, Industrial Power"/>
    <x v="6"/>
    <n v="295566"/>
  </r>
  <r>
    <x v="25"/>
    <x v="35"/>
    <s v="Combined Heat and Power, Commercial Power"/>
    <x v="0"/>
    <n v="127981"/>
  </r>
  <r>
    <x v="25"/>
    <x v="35"/>
    <s v="Combined Heat and Power, Commercial Power"/>
    <x v="1"/>
    <n v="0"/>
  </r>
  <r>
    <x v="25"/>
    <x v="35"/>
    <s v="Combined Heat and Power, Commercial Power"/>
    <x v="3"/>
    <n v="116627"/>
  </r>
  <r>
    <x v="25"/>
    <x v="35"/>
    <s v="Combined Heat and Power, Commercial Power"/>
    <x v="4"/>
    <n v="483"/>
  </r>
  <r>
    <x v="25"/>
    <x v="35"/>
    <s v="Combined Heat and Power, Commercial Power"/>
    <x v="13"/>
    <n v="2974"/>
  </r>
  <r>
    <x v="25"/>
    <x v="35"/>
    <s v="Combined Heat and Power, Commercial Power"/>
    <x v="8"/>
    <n v="7896"/>
  </r>
  <r>
    <x v="25"/>
    <x v="35"/>
    <s v="Combined Heat and Power, Electric Power"/>
    <x v="0"/>
    <n v="925708"/>
  </r>
  <r>
    <x v="25"/>
    <x v="35"/>
    <s v="Combined Heat and Power, Electric Power"/>
    <x v="1"/>
    <n v="0"/>
  </r>
  <r>
    <x v="25"/>
    <x v="35"/>
    <s v="Combined Heat and Power, Electric Power"/>
    <x v="3"/>
    <n v="147124"/>
  </r>
  <r>
    <x v="25"/>
    <x v="35"/>
    <s v="Combined Heat and Power, Electric Power"/>
    <x v="9"/>
    <n v="748248"/>
  </r>
  <r>
    <x v="25"/>
    <x v="35"/>
    <s v="Combined Heat and Power, Electric Power"/>
    <x v="6"/>
    <n v="30336"/>
  </r>
  <r>
    <x v="25"/>
    <x v="35"/>
    <s v="Electric Generators, Independent Power Producers"/>
    <x v="0"/>
    <n v="95573567"/>
  </r>
  <r>
    <x v="25"/>
    <x v="35"/>
    <s v="Electric Generators, Independent Power Producers"/>
    <x v="1"/>
    <n v="54317708"/>
  </r>
  <r>
    <x v="25"/>
    <x v="35"/>
    <s v="Electric Generators, Independent Power Producers"/>
    <x v="2"/>
    <n v="211813"/>
  </r>
  <r>
    <x v="25"/>
    <x v="35"/>
    <s v="Electric Generators, Independent Power Producers"/>
    <x v="3"/>
    <n v="20801373"/>
  </r>
  <r>
    <x v="25"/>
    <x v="35"/>
    <s v="Electric Generators, Independent Power Producers"/>
    <x v="7"/>
    <n v="17376736"/>
  </r>
  <r>
    <x v="25"/>
    <x v="35"/>
    <s v="Electric Generators, Independent Power Producers"/>
    <x v="12"/>
    <n v="-7875"/>
  </r>
  <r>
    <x v="25"/>
    <x v="35"/>
    <s v="Electric Generators, Independent Power Producers"/>
    <x v="4"/>
    <n v="1230840"/>
  </r>
  <r>
    <x v="25"/>
    <x v="35"/>
    <s v="Electric Generators, Independent Power Producers"/>
    <x v="13"/>
    <n v="41930"/>
  </r>
  <r>
    <x v="25"/>
    <x v="35"/>
    <s v="Electric Generators, Independent Power Producers"/>
    <x v="8"/>
    <n v="444995"/>
  </r>
  <r>
    <x v="25"/>
    <x v="35"/>
    <s v="Electric Generators, Independent Power Producers"/>
    <x v="5"/>
    <n v="1156047"/>
  </r>
  <r>
    <x v="25"/>
    <x v="35"/>
    <s v="Electric Generators, Electric Utilities"/>
    <x v="0"/>
    <n v="24404182"/>
  </r>
  <r>
    <x v="25"/>
    <x v="35"/>
    <s v="Electric Generators, Electric Utilities"/>
    <x v="1"/>
    <n v="17179701"/>
  </r>
  <r>
    <x v="25"/>
    <x v="35"/>
    <s v="Electric Generators, Electric Utilities"/>
    <x v="2"/>
    <n v="244856"/>
  </r>
  <r>
    <x v="25"/>
    <x v="35"/>
    <s v="Electric Generators, Electric Utilities"/>
    <x v="3"/>
    <n v="6884240"/>
  </r>
  <r>
    <x v="25"/>
    <x v="35"/>
    <s v="Electric Generators, Electric Utilities"/>
    <x v="12"/>
    <n v="-2894"/>
  </r>
  <r>
    <x v="25"/>
    <x v="35"/>
    <s v="Electric Generators, Electric Utilities"/>
    <x v="4"/>
    <n v="71550"/>
  </r>
  <r>
    <x v="25"/>
    <x v="35"/>
    <s v="Electric Generators, Electric Utilities"/>
    <x v="13"/>
    <n v="8877"/>
  </r>
  <r>
    <x v="25"/>
    <x v="35"/>
    <s v="Electric Generators, Electric Utilities"/>
    <x v="8"/>
    <n v="4765"/>
  </r>
  <r>
    <x v="25"/>
    <x v="35"/>
    <s v="Electric Generators, Electric Utilities"/>
    <x v="5"/>
    <n v="13086"/>
  </r>
  <r>
    <x v="25"/>
    <x v="36"/>
    <s v="Total Electric Power Industry"/>
    <x v="0"/>
    <n v="76135596"/>
  </r>
  <r>
    <x v="25"/>
    <x v="36"/>
    <s v="Total Electric Power Industry"/>
    <x v="1"/>
    <n v="24867032"/>
  </r>
  <r>
    <x v="25"/>
    <x v="36"/>
    <s v="Total Electric Power Industry"/>
    <x v="10"/>
    <n v="-72496"/>
  </r>
  <r>
    <x v="25"/>
    <x v="36"/>
    <s v="Total Electric Power Industry"/>
    <x v="2"/>
    <n v="2663901"/>
  </r>
  <r>
    <x v="25"/>
    <x v="36"/>
    <s v="Total Electric Power Industry"/>
    <x v="3"/>
    <n v="34286327"/>
  </r>
  <r>
    <x v="25"/>
    <x v="36"/>
    <s v="Total Electric Power Industry"/>
    <x v="12"/>
    <n v="11400"/>
  </r>
  <r>
    <x v="25"/>
    <x v="36"/>
    <s v="Total Electric Power Industry"/>
    <x v="4"/>
    <n v="10812"/>
  </r>
  <r>
    <x v="25"/>
    <x v="36"/>
    <s v="Total Electric Power Industry"/>
    <x v="13"/>
    <n v="1556"/>
  </r>
  <r>
    <x v="25"/>
    <x v="36"/>
    <s v="Total Electric Power Industry"/>
    <x v="8"/>
    <n v="91201"/>
  </r>
  <r>
    <x v="25"/>
    <x v="36"/>
    <s v="Total Electric Power Industry"/>
    <x v="5"/>
    <n v="14030897"/>
  </r>
  <r>
    <x v="25"/>
    <x v="36"/>
    <s v="Total Electric Power Industry"/>
    <x v="6"/>
    <n v="244967"/>
  </r>
  <r>
    <x v="25"/>
    <x v="36"/>
    <s v="Combined Heat and Power, Industrial Power"/>
    <x v="0"/>
    <n v="889481"/>
  </r>
  <r>
    <x v="25"/>
    <x v="36"/>
    <s v="Combined Heat and Power, Industrial Power"/>
    <x v="1"/>
    <n v="372826"/>
  </r>
  <r>
    <x v="25"/>
    <x v="36"/>
    <s v="Combined Heat and Power, Industrial Power"/>
    <x v="3"/>
    <n v="179912"/>
  </r>
  <r>
    <x v="25"/>
    <x v="36"/>
    <s v="Combined Heat and Power, Industrial Power"/>
    <x v="12"/>
    <n v="11400"/>
  </r>
  <r>
    <x v="25"/>
    <x v="36"/>
    <s v="Combined Heat and Power, Industrial Power"/>
    <x v="4"/>
    <n v="1728"/>
  </r>
  <r>
    <x v="25"/>
    <x v="36"/>
    <s v="Combined Heat and Power, Industrial Power"/>
    <x v="8"/>
    <n v="78648"/>
  </r>
  <r>
    <x v="25"/>
    <x v="36"/>
    <s v="Combined Heat and Power, Industrial Power"/>
    <x v="6"/>
    <n v="244967"/>
  </r>
  <r>
    <x v="25"/>
    <x v="36"/>
    <s v="Combined Heat and Power, Commercial Power"/>
    <x v="0"/>
    <n v="21"/>
  </r>
  <r>
    <x v="25"/>
    <x v="36"/>
    <s v="Combined Heat and Power, Commercial Power"/>
    <x v="3"/>
    <n v="12"/>
  </r>
  <r>
    <x v="25"/>
    <x v="36"/>
    <s v="Combined Heat and Power, Commercial Power"/>
    <x v="4"/>
    <n v="9"/>
  </r>
  <r>
    <x v="25"/>
    <x v="36"/>
    <s v="Combined Heat and Power, Electric Power"/>
    <x v="0"/>
    <n v="1889445"/>
  </r>
  <r>
    <x v="25"/>
    <x v="36"/>
    <s v="Combined Heat and Power, Electric Power"/>
    <x v="1"/>
    <n v="1831142"/>
  </r>
  <r>
    <x v="25"/>
    <x v="36"/>
    <s v="Combined Heat and Power, Electric Power"/>
    <x v="3"/>
    <n v="58303"/>
  </r>
  <r>
    <x v="25"/>
    <x v="36"/>
    <s v="Combined Heat and Power, Electric Power"/>
    <x v="12"/>
    <n v="0"/>
  </r>
  <r>
    <x v="25"/>
    <x v="36"/>
    <s v="Electric Generators, Independent Power Producers"/>
    <x v="0"/>
    <n v="24578492"/>
  </r>
  <r>
    <x v="25"/>
    <x v="36"/>
    <s v="Electric Generators, Independent Power Producers"/>
    <x v="3"/>
    <n v="11960917"/>
  </r>
  <r>
    <x v="25"/>
    <x v="36"/>
    <s v="Electric Generators, Independent Power Producers"/>
    <x v="8"/>
    <n v="12553"/>
  </r>
  <r>
    <x v="25"/>
    <x v="36"/>
    <s v="Electric Generators, Independent Power Producers"/>
    <x v="5"/>
    <n v="12605022"/>
  </r>
  <r>
    <x v="25"/>
    <x v="36"/>
    <s v="Electric Generators, Electric Utilities"/>
    <x v="0"/>
    <n v="48778157"/>
  </r>
  <r>
    <x v="25"/>
    <x v="36"/>
    <s v="Electric Generators, Electric Utilities"/>
    <x v="1"/>
    <n v="22663064"/>
  </r>
  <r>
    <x v="25"/>
    <x v="36"/>
    <s v="Electric Generators, Electric Utilities"/>
    <x v="10"/>
    <n v="-72496"/>
  </r>
  <r>
    <x v="25"/>
    <x v="36"/>
    <s v="Electric Generators, Electric Utilities"/>
    <x v="2"/>
    <n v="2663901"/>
  </r>
  <r>
    <x v="25"/>
    <x v="36"/>
    <s v="Electric Generators, Electric Utilities"/>
    <x v="3"/>
    <n v="22087182"/>
  </r>
  <r>
    <x v="25"/>
    <x v="36"/>
    <s v="Electric Generators, Electric Utilities"/>
    <x v="4"/>
    <n v="9075"/>
  </r>
  <r>
    <x v="25"/>
    <x v="36"/>
    <s v="Electric Generators, Electric Utilities"/>
    <x v="13"/>
    <n v="1556"/>
  </r>
  <r>
    <x v="25"/>
    <x v="36"/>
    <s v="Electric Generators, Electric Utilities"/>
    <x v="5"/>
    <n v="1425875"/>
  </r>
  <r>
    <x v="25"/>
    <x v="37"/>
    <s v="Total Electric Power Industry"/>
    <x v="0"/>
    <n v="57866535"/>
  </r>
  <r>
    <x v="25"/>
    <x v="37"/>
    <s v="Total Electric Power Industry"/>
    <x v="1"/>
    <n v="2377359"/>
  </r>
  <r>
    <x v="25"/>
    <x v="37"/>
    <s v="Total Electric Power Industry"/>
    <x v="11"/>
    <n v="178804"/>
  </r>
  <r>
    <x v="25"/>
    <x v="37"/>
    <s v="Total Electric Power Industry"/>
    <x v="2"/>
    <n v="31253851"/>
  </r>
  <r>
    <x v="25"/>
    <x v="37"/>
    <s v="Total Electric Power Industry"/>
    <x v="3"/>
    <n v="16237092"/>
  </r>
  <r>
    <x v="25"/>
    <x v="37"/>
    <s v="Total Electric Power Industry"/>
    <x v="12"/>
    <n v="41835"/>
  </r>
  <r>
    <x v="25"/>
    <x v="37"/>
    <s v="Total Electric Power Industry"/>
    <x v="4"/>
    <n v="6065"/>
  </r>
  <r>
    <x v="25"/>
    <x v="37"/>
    <s v="Total Electric Power Industry"/>
    <x v="13"/>
    <n v="24208"/>
  </r>
  <r>
    <x v="25"/>
    <x v="37"/>
    <s v="Total Electric Power Industry"/>
    <x v="8"/>
    <n v="368525"/>
  </r>
  <r>
    <x v="25"/>
    <x v="37"/>
    <s v="Total Electric Power Industry"/>
    <x v="5"/>
    <n v="6631555"/>
  </r>
  <r>
    <x v="25"/>
    <x v="37"/>
    <s v="Total Electric Power Industry"/>
    <x v="6"/>
    <n v="747239"/>
  </r>
  <r>
    <x v="25"/>
    <x v="37"/>
    <s v="Combined Heat and Power, Industrial Power"/>
    <x v="0"/>
    <n v="675371"/>
  </r>
  <r>
    <x v="25"/>
    <x v="37"/>
    <s v="Combined Heat and Power, Industrial Power"/>
    <x v="1"/>
    <n v="0"/>
  </r>
  <r>
    <x v="25"/>
    <x v="37"/>
    <s v="Combined Heat and Power, Industrial Power"/>
    <x v="3"/>
    <n v="54824"/>
  </r>
  <r>
    <x v="25"/>
    <x v="37"/>
    <s v="Combined Heat and Power, Industrial Power"/>
    <x v="4"/>
    <n v="0"/>
  </r>
  <r>
    <x v="25"/>
    <x v="37"/>
    <s v="Combined Heat and Power, Industrial Power"/>
    <x v="8"/>
    <n v="25922"/>
  </r>
  <r>
    <x v="25"/>
    <x v="37"/>
    <s v="Combined Heat and Power, Industrial Power"/>
    <x v="6"/>
    <n v="594625"/>
  </r>
  <r>
    <x v="25"/>
    <x v="37"/>
    <s v="Combined Heat and Power, Commercial Power"/>
    <x v="0"/>
    <n v="77670"/>
  </r>
  <r>
    <x v="25"/>
    <x v="37"/>
    <s v="Combined Heat and Power, Commercial Power"/>
    <x v="3"/>
    <n v="51931"/>
  </r>
  <r>
    <x v="25"/>
    <x v="37"/>
    <s v="Combined Heat and Power, Commercial Power"/>
    <x v="4"/>
    <n v="58"/>
  </r>
  <r>
    <x v="25"/>
    <x v="37"/>
    <s v="Combined Heat and Power, Commercial Power"/>
    <x v="8"/>
    <n v="25680"/>
  </r>
  <r>
    <x v="25"/>
    <x v="37"/>
    <s v="Combined Heat and Power, Electric Power"/>
    <x v="0"/>
    <n v="5124703"/>
  </r>
  <r>
    <x v="25"/>
    <x v="37"/>
    <s v="Combined Heat and Power, Electric Power"/>
    <x v="3"/>
    <n v="5084758"/>
  </r>
  <r>
    <x v="25"/>
    <x v="37"/>
    <s v="Combined Heat and Power, Electric Power"/>
    <x v="8"/>
    <n v="39945"/>
  </r>
  <r>
    <x v="25"/>
    <x v="37"/>
    <s v="Combined Heat and Power, Electric Power"/>
    <x v="6"/>
    <n v="0"/>
  </r>
  <r>
    <x v="25"/>
    <x v="37"/>
    <s v="Electric Generators, Independent Power Producers"/>
    <x v="0"/>
    <n v="10683030"/>
  </r>
  <r>
    <x v="25"/>
    <x v="37"/>
    <s v="Electric Generators, Independent Power Producers"/>
    <x v="11"/>
    <n v="177094"/>
  </r>
  <r>
    <x v="25"/>
    <x v="37"/>
    <s v="Electric Generators, Independent Power Producers"/>
    <x v="2"/>
    <n v="237832"/>
  </r>
  <r>
    <x v="25"/>
    <x v="37"/>
    <s v="Electric Generators, Independent Power Producers"/>
    <x v="3"/>
    <n v="4446753"/>
  </r>
  <r>
    <x v="25"/>
    <x v="37"/>
    <s v="Electric Generators, Independent Power Producers"/>
    <x v="12"/>
    <n v="42296"/>
  </r>
  <r>
    <x v="25"/>
    <x v="37"/>
    <s v="Electric Generators, Independent Power Producers"/>
    <x v="13"/>
    <n v="17760"/>
  </r>
  <r>
    <x v="25"/>
    <x v="37"/>
    <s v="Electric Generators, Independent Power Producers"/>
    <x v="8"/>
    <n v="210950"/>
  </r>
  <r>
    <x v="25"/>
    <x v="37"/>
    <s v="Electric Generators, Independent Power Producers"/>
    <x v="5"/>
    <n v="5397731"/>
  </r>
  <r>
    <x v="25"/>
    <x v="37"/>
    <s v="Electric Generators, Independent Power Producers"/>
    <x v="6"/>
    <n v="152614"/>
  </r>
  <r>
    <x v="25"/>
    <x v="37"/>
    <s v="Electric Generators, Electric Utilities"/>
    <x v="0"/>
    <n v="41305761"/>
  </r>
  <r>
    <x v="25"/>
    <x v="37"/>
    <s v="Electric Generators, Electric Utilities"/>
    <x v="1"/>
    <n v="2377359"/>
  </r>
  <r>
    <x v="25"/>
    <x v="37"/>
    <s v="Electric Generators, Electric Utilities"/>
    <x v="11"/>
    <n v="1710"/>
  </r>
  <r>
    <x v="25"/>
    <x v="37"/>
    <s v="Electric Generators, Electric Utilities"/>
    <x v="2"/>
    <n v="31016019"/>
  </r>
  <r>
    <x v="25"/>
    <x v="37"/>
    <s v="Electric Generators, Electric Utilities"/>
    <x v="3"/>
    <n v="6598826"/>
  </r>
  <r>
    <x v="25"/>
    <x v="37"/>
    <s v="Electric Generators, Electric Utilities"/>
    <x v="12"/>
    <n v="-461"/>
  </r>
  <r>
    <x v="25"/>
    <x v="37"/>
    <s v="Electric Generators, Electric Utilities"/>
    <x v="4"/>
    <n v="6007"/>
  </r>
  <r>
    <x v="25"/>
    <x v="37"/>
    <s v="Electric Generators, Electric Utilities"/>
    <x v="13"/>
    <n v="6448"/>
  </r>
  <r>
    <x v="25"/>
    <x v="37"/>
    <s v="Electric Generators, Electric Utilities"/>
    <x v="8"/>
    <n v="66029"/>
  </r>
  <r>
    <x v="25"/>
    <x v="37"/>
    <s v="Electric Generators, Electric Utilities"/>
    <x v="5"/>
    <n v="1233824"/>
  </r>
  <r>
    <x v="25"/>
    <x v="38"/>
    <s v="Total Electric Power Industry"/>
    <x v="0"/>
    <n v="214572291"/>
  </r>
  <r>
    <x v="25"/>
    <x v="38"/>
    <s v="Total Electric Power Industry"/>
    <x v="1"/>
    <n v="64637233"/>
  </r>
  <r>
    <x v="25"/>
    <x v="38"/>
    <s v="Total Electric Power Industry"/>
    <x v="10"/>
    <n v="-508927"/>
  </r>
  <r>
    <x v="25"/>
    <x v="38"/>
    <s v="Total Electric Power Industry"/>
    <x v="2"/>
    <n v="2603704"/>
  </r>
  <r>
    <x v="25"/>
    <x v="38"/>
    <s v="Total Electric Power Industry"/>
    <x v="3"/>
    <n v="59454655"/>
  </r>
  <r>
    <x v="25"/>
    <x v="38"/>
    <s v="Total Electric Power Industry"/>
    <x v="7"/>
    <n v="80516752"/>
  </r>
  <r>
    <x v="25"/>
    <x v="38"/>
    <s v="Total Electric Power Industry"/>
    <x v="9"/>
    <n v="420237"/>
  </r>
  <r>
    <x v="25"/>
    <x v="38"/>
    <s v="Total Electric Power Industry"/>
    <x v="12"/>
    <n v="898625"/>
  </r>
  <r>
    <x v="25"/>
    <x v="38"/>
    <s v="Total Electric Power Industry"/>
    <x v="4"/>
    <n v="729487"/>
  </r>
  <r>
    <x v="25"/>
    <x v="38"/>
    <s v="Total Electric Power Industry"/>
    <x v="13"/>
    <n v="63894"/>
  </r>
  <r>
    <x v="25"/>
    <x v="38"/>
    <s v="Total Electric Power Industry"/>
    <x v="8"/>
    <n v="1934118"/>
  </r>
  <r>
    <x v="25"/>
    <x v="38"/>
    <s v="Total Electric Power Industry"/>
    <x v="5"/>
    <n v="3352672"/>
  </r>
  <r>
    <x v="25"/>
    <x v="38"/>
    <s v="Total Electric Power Industry"/>
    <x v="6"/>
    <n v="469842"/>
  </r>
  <r>
    <x v="25"/>
    <x v="38"/>
    <s v="Combined Heat and Power, Industrial Power"/>
    <x v="0"/>
    <n v="2816828"/>
  </r>
  <r>
    <x v="25"/>
    <x v="38"/>
    <s v="Combined Heat and Power, Industrial Power"/>
    <x v="1"/>
    <n v="479217"/>
  </r>
  <r>
    <x v="25"/>
    <x v="38"/>
    <s v="Combined Heat and Power, Industrial Power"/>
    <x v="3"/>
    <n v="1200610"/>
  </r>
  <r>
    <x v="25"/>
    <x v="38"/>
    <s v="Combined Heat and Power, Industrial Power"/>
    <x v="9"/>
    <n v="420237"/>
  </r>
  <r>
    <x v="25"/>
    <x v="38"/>
    <s v="Combined Heat and Power, Industrial Power"/>
    <x v="4"/>
    <n v="172325"/>
  </r>
  <r>
    <x v="25"/>
    <x v="38"/>
    <s v="Combined Heat and Power, Industrial Power"/>
    <x v="13"/>
    <n v="8276"/>
  </r>
  <r>
    <x v="25"/>
    <x v="38"/>
    <s v="Combined Heat and Power, Industrial Power"/>
    <x v="8"/>
    <n v="69451"/>
  </r>
  <r>
    <x v="25"/>
    <x v="38"/>
    <s v="Combined Heat and Power, Industrial Power"/>
    <x v="6"/>
    <n v="466713"/>
  </r>
  <r>
    <x v="25"/>
    <x v="38"/>
    <s v="Combined Heat and Power, Commercial Power"/>
    <x v="0"/>
    <n v="392125"/>
  </r>
  <r>
    <x v="25"/>
    <x v="38"/>
    <s v="Combined Heat and Power, Commercial Power"/>
    <x v="1"/>
    <n v="2257"/>
  </r>
  <r>
    <x v="25"/>
    <x v="38"/>
    <s v="Combined Heat and Power, Commercial Power"/>
    <x v="3"/>
    <n v="123247"/>
  </r>
  <r>
    <x v="25"/>
    <x v="38"/>
    <s v="Combined Heat and Power, Commercial Power"/>
    <x v="12"/>
    <n v="102309"/>
  </r>
  <r>
    <x v="25"/>
    <x v="38"/>
    <s v="Combined Heat and Power, Commercial Power"/>
    <x v="4"/>
    <n v="2346"/>
  </r>
  <r>
    <x v="25"/>
    <x v="38"/>
    <s v="Combined Heat and Power, Commercial Power"/>
    <x v="13"/>
    <n v="3353"/>
  </r>
  <r>
    <x v="25"/>
    <x v="38"/>
    <s v="Combined Heat and Power, Commercial Power"/>
    <x v="8"/>
    <n v="158614"/>
  </r>
  <r>
    <x v="25"/>
    <x v="38"/>
    <s v="Combined Heat and Power, Electric Power"/>
    <x v="0"/>
    <n v="9001364"/>
  </r>
  <r>
    <x v="25"/>
    <x v="38"/>
    <s v="Combined Heat and Power, Electric Power"/>
    <x v="1"/>
    <n v="3182597"/>
  </r>
  <r>
    <x v="25"/>
    <x v="38"/>
    <s v="Combined Heat and Power, Electric Power"/>
    <x v="3"/>
    <n v="5587922"/>
  </r>
  <r>
    <x v="25"/>
    <x v="38"/>
    <s v="Combined Heat and Power, Electric Power"/>
    <x v="9"/>
    <n v="0"/>
  </r>
  <r>
    <x v="25"/>
    <x v="38"/>
    <s v="Combined Heat and Power, Electric Power"/>
    <x v="12"/>
    <n v="131468"/>
  </r>
  <r>
    <x v="25"/>
    <x v="38"/>
    <s v="Combined Heat and Power, Electric Power"/>
    <x v="4"/>
    <n v="24635"/>
  </r>
  <r>
    <x v="25"/>
    <x v="38"/>
    <s v="Combined Heat and Power, Electric Power"/>
    <x v="8"/>
    <n v="71613"/>
  </r>
  <r>
    <x v="25"/>
    <x v="38"/>
    <s v="Combined Heat and Power, Electric Power"/>
    <x v="6"/>
    <n v="3129"/>
  </r>
  <r>
    <x v="25"/>
    <x v="38"/>
    <s v="Electric Generators, Independent Power Producers"/>
    <x v="0"/>
    <n v="202294858"/>
  </r>
  <r>
    <x v="25"/>
    <x v="38"/>
    <s v="Electric Generators, Independent Power Producers"/>
    <x v="1"/>
    <n v="60973162"/>
  </r>
  <r>
    <x v="25"/>
    <x v="38"/>
    <s v="Electric Generators, Independent Power Producers"/>
    <x v="10"/>
    <n v="-508927"/>
  </r>
  <r>
    <x v="25"/>
    <x v="38"/>
    <s v="Electric Generators, Independent Power Producers"/>
    <x v="2"/>
    <n v="2540881"/>
  </r>
  <r>
    <x v="25"/>
    <x v="38"/>
    <s v="Electric Generators, Independent Power Producers"/>
    <x v="3"/>
    <n v="52539029"/>
  </r>
  <r>
    <x v="25"/>
    <x v="38"/>
    <s v="Electric Generators, Independent Power Producers"/>
    <x v="7"/>
    <n v="80516752"/>
  </r>
  <r>
    <x v="25"/>
    <x v="38"/>
    <s v="Electric Generators, Independent Power Producers"/>
    <x v="9"/>
    <n v="0"/>
  </r>
  <r>
    <x v="25"/>
    <x v="38"/>
    <s v="Electric Generators, Independent Power Producers"/>
    <x v="12"/>
    <n v="664847"/>
  </r>
  <r>
    <x v="25"/>
    <x v="38"/>
    <s v="Electric Generators, Independent Power Producers"/>
    <x v="4"/>
    <n v="529736"/>
  </r>
  <r>
    <x v="25"/>
    <x v="38"/>
    <s v="Electric Generators, Independent Power Producers"/>
    <x v="13"/>
    <n v="52265"/>
  </r>
  <r>
    <x v="25"/>
    <x v="38"/>
    <s v="Electric Generators, Independent Power Producers"/>
    <x v="8"/>
    <n v="1634440"/>
  </r>
  <r>
    <x v="25"/>
    <x v="38"/>
    <s v="Electric Generators, Independent Power Producers"/>
    <x v="5"/>
    <n v="3352672"/>
  </r>
  <r>
    <x v="25"/>
    <x v="38"/>
    <s v="Electric Generators, Electric Utilities"/>
    <x v="0"/>
    <n v="67115"/>
  </r>
  <r>
    <x v="25"/>
    <x v="38"/>
    <s v="Electric Generators, Electric Utilities"/>
    <x v="1"/>
    <n v="0"/>
  </r>
  <r>
    <x v="25"/>
    <x v="38"/>
    <s v="Electric Generators, Electric Utilities"/>
    <x v="2"/>
    <n v="62823"/>
  </r>
  <r>
    <x v="25"/>
    <x v="38"/>
    <s v="Electric Generators, Electric Utilities"/>
    <x v="3"/>
    <n v="3847"/>
  </r>
  <r>
    <x v="25"/>
    <x v="38"/>
    <s v="Electric Generators, Electric Utilities"/>
    <x v="4"/>
    <n v="446"/>
  </r>
  <r>
    <x v="25"/>
    <x v="39"/>
    <s v="Total Electric Power Industry"/>
    <x v="0"/>
    <n v="6939019"/>
  </r>
  <r>
    <x v="25"/>
    <x v="39"/>
    <s v="Total Electric Power Industry"/>
    <x v="1"/>
    <n v="0"/>
  </r>
  <r>
    <x v="25"/>
    <x v="39"/>
    <s v="Total Electric Power Industry"/>
    <x v="2"/>
    <n v="3148"/>
  </r>
  <r>
    <x v="25"/>
    <x v="39"/>
    <s v="Total Electric Power Industry"/>
    <x v="3"/>
    <n v="6585943"/>
  </r>
  <r>
    <x v="25"/>
    <x v="39"/>
    <s v="Total Electric Power Industry"/>
    <x v="4"/>
    <n v="114273"/>
  </r>
  <r>
    <x v="25"/>
    <x v="39"/>
    <s v="Total Electric Power Industry"/>
    <x v="13"/>
    <n v="14351"/>
  </r>
  <r>
    <x v="25"/>
    <x v="39"/>
    <s v="Total Electric Power Industry"/>
    <x v="8"/>
    <n v="211238"/>
  </r>
  <r>
    <x v="25"/>
    <x v="39"/>
    <s v="Total Electric Power Industry"/>
    <x v="5"/>
    <n v="10067"/>
  </r>
  <r>
    <x v="25"/>
    <x v="39"/>
    <s v="Combined Heat and Power, Commercial Power"/>
    <x v="0"/>
    <n v="73339"/>
  </r>
  <r>
    <x v="25"/>
    <x v="39"/>
    <s v="Combined Heat and Power, Commercial Power"/>
    <x v="3"/>
    <n v="49846"/>
  </r>
  <r>
    <x v="25"/>
    <x v="39"/>
    <s v="Combined Heat and Power, Commercial Power"/>
    <x v="4"/>
    <n v="16494"/>
  </r>
  <r>
    <x v="25"/>
    <x v="39"/>
    <s v="Combined Heat and Power, Commercial Power"/>
    <x v="5"/>
    <n v="6999"/>
  </r>
  <r>
    <x v="25"/>
    <x v="39"/>
    <s v="Electric Generators, Independent Power Producers"/>
    <x v="0"/>
    <n v="6854141"/>
  </r>
  <r>
    <x v="25"/>
    <x v="39"/>
    <s v="Electric Generators, Independent Power Producers"/>
    <x v="1"/>
    <n v="0"/>
  </r>
  <r>
    <x v="25"/>
    <x v="39"/>
    <s v="Electric Generators, Independent Power Producers"/>
    <x v="2"/>
    <n v="3148"/>
  </r>
  <r>
    <x v="25"/>
    <x v="39"/>
    <s v="Electric Generators, Independent Power Producers"/>
    <x v="3"/>
    <n v="6536097"/>
  </r>
  <r>
    <x v="25"/>
    <x v="39"/>
    <s v="Electric Generators, Independent Power Producers"/>
    <x v="4"/>
    <n v="86240"/>
  </r>
  <r>
    <x v="25"/>
    <x v="39"/>
    <s v="Electric Generators, Independent Power Producers"/>
    <x v="13"/>
    <n v="14351"/>
  </r>
  <r>
    <x v="25"/>
    <x v="39"/>
    <s v="Electric Generators, Independent Power Producers"/>
    <x v="8"/>
    <n v="211238"/>
  </r>
  <r>
    <x v="25"/>
    <x v="39"/>
    <s v="Electric Generators, Independent Power Producers"/>
    <x v="5"/>
    <n v="3068"/>
  </r>
  <r>
    <x v="25"/>
    <x v="39"/>
    <s v="Electric Generators, Electric Utilities"/>
    <x v="0"/>
    <n v="11539"/>
  </r>
  <r>
    <x v="25"/>
    <x v="39"/>
    <s v="Electric Generators, Electric Utilities"/>
    <x v="4"/>
    <n v="11539"/>
  </r>
  <r>
    <x v="25"/>
    <x v="40"/>
    <s v="Total Electric Power Industry"/>
    <x v="0"/>
    <n v="96532213"/>
  </r>
  <r>
    <x v="25"/>
    <x v="40"/>
    <s v="Total Electric Power Industry"/>
    <x v="1"/>
    <n v="22631173"/>
  </r>
  <r>
    <x v="25"/>
    <x v="40"/>
    <s v="Total Electric Power Industry"/>
    <x v="10"/>
    <n v="-904379"/>
  </r>
  <r>
    <x v="25"/>
    <x v="40"/>
    <s v="Total Electric Power Industry"/>
    <x v="2"/>
    <n v="2564360"/>
  </r>
  <r>
    <x v="25"/>
    <x v="40"/>
    <s v="Total Electric Power Industry"/>
    <x v="3"/>
    <n v="16549306"/>
  </r>
  <r>
    <x v="25"/>
    <x v="40"/>
    <s v="Total Electric Power Industry"/>
    <x v="7"/>
    <n v="53156320"/>
  </r>
  <r>
    <x v="25"/>
    <x v="40"/>
    <s v="Total Electric Power Industry"/>
    <x v="12"/>
    <n v="48638"/>
  </r>
  <r>
    <x v="25"/>
    <x v="40"/>
    <s v="Total Electric Power Industry"/>
    <x v="4"/>
    <n v="193195"/>
  </r>
  <r>
    <x v="25"/>
    <x v="40"/>
    <s v="Total Electric Power Industry"/>
    <x v="13"/>
    <n v="4220"/>
  </r>
  <r>
    <x v="25"/>
    <x v="40"/>
    <s v="Total Electric Power Industry"/>
    <x v="8"/>
    <n v="186386"/>
  </r>
  <r>
    <x v="25"/>
    <x v="40"/>
    <s v="Total Electric Power Industry"/>
    <x v="6"/>
    <n v="2102993"/>
  </r>
  <r>
    <x v="25"/>
    <x v="40"/>
    <s v="Combined Heat and Power, Industrial Power"/>
    <x v="0"/>
    <n v="1686305"/>
  </r>
  <r>
    <x v="25"/>
    <x v="40"/>
    <s v="Combined Heat and Power, Industrial Power"/>
    <x v="1"/>
    <n v="143389"/>
  </r>
  <r>
    <x v="25"/>
    <x v="40"/>
    <s v="Combined Heat and Power, Industrial Power"/>
    <x v="3"/>
    <n v="37809"/>
  </r>
  <r>
    <x v="25"/>
    <x v="40"/>
    <s v="Combined Heat and Power, Industrial Power"/>
    <x v="12"/>
    <n v="44236"/>
  </r>
  <r>
    <x v="25"/>
    <x v="40"/>
    <s v="Combined Heat and Power, Industrial Power"/>
    <x v="4"/>
    <n v="14732"/>
  </r>
  <r>
    <x v="25"/>
    <x v="40"/>
    <s v="Combined Heat and Power, Industrial Power"/>
    <x v="8"/>
    <n v="48762"/>
  </r>
  <r>
    <x v="25"/>
    <x v="40"/>
    <s v="Combined Heat and Power, Industrial Power"/>
    <x v="6"/>
    <n v="1397378"/>
  </r>
  <r>
    <x v="25"/>
    <x v="40"/>
    <s v="Combined Heat and Power, Commercial Power"/>
    <x v="0"/>
    <n v="4059"/>
  </r>
  <r>
    <x v="25"/>
    <x v="40"/>
    <s v="Combined Heat and Power, Commercial Power"/>
    <x v="2"/>
    <n v="2352"/>
  </r>
  <r>
    <x v="25"/>
    <x v="40"/>
    <s v="Combined Heat and Power, Commercial Power"/>
    <x v="3"/>
    <n v="1574"/>
  </r>
  <r>
    <x v="25"/>
    <x v="40"/>
    <s v="Combined Heat and Power, Commercial Power"/>
    <x v="4"/>
    <n v="133"/>
  </r>
  <r>
    <x v="25"/>
    <x v="40"/>
    <s v="Combined Heat and Power, Electric Power"/>
    <x v="0"/>
    <n v="1337699"/>
  </r>
  <r>
    <x v="25"/>
    <x v="40"/>
    <s v="Combined Heat and Power, Electric Power"/>
    <x v="3"/>
    <n v="1251590"/>
  </r>
  <r>
    <x v="25"/>
    <x v="40"/>
    <s v="Combined Heat and Power, Electric Power"/>
    <x v="12"/>
    <n v="4403"/>
  </r>
  <r>
    <x v="25"/>
    <x v="40"/>
    <s v="Combined Heat and Power, Electric Power"/>
    <x v="4"/>
    <n v="10071"/>
  </r>
  <r>
    <x v="25"/>
    <x v="40"/>
    <s v="Combined Heat and Power, Electric Power"/>
    <x v="6"/>
    <n v="71636"/>
  </r>
  <r>
    <x v="25"/>
    <x v="40"/>
    <s v="Electric Generators, Independent Power Producers"/>
    <x v="0"/>
    <n v="1092297"/>
  </r>
  <r>
    <x v="25"/>
    <x v="40"/>
    <s v="Electric Generators, Independent Power Producers"/>
    <x v="2"/>
    <n v="65295"/>
  </r>
  <r>
    <x v="25"/>
    <x v="40"/>
    <s v="Electric Generators, Independent Power Producers"/>
    <x v="3"/>
    <n v="687654"/>
  </r>
  <r>
    <x v="25"/>
    <x v="40"/>
    <s v="Electric Generators, Independent Power Producers"/>
    <x v="4"/>
    <n v="1017"/>
  </r>
  <r>
    <x v="25"/>
    <x v="40"/>
    <s v="Electric Generators, Independent Power Producers"/>
    <x v="13"/>
    <n v="4220"/>
  </r>
  <r>
    <x v="25"/>
    <x v="40"/>
    <s v="Electric Generators, Independent Power Producers"/>
    <x v="8"/>
    <n v="15481"/>
  </r>
  <r>
    <x v="25"/>
    <x v="40"/>
    <s v="Electric Generators, Independent Power Producers"/>
    <x v="6"/>
    <n v="318630"/>
  </r>
  <r>
    <x v="25"/>
    <x v="40"/>
    <s v="Electric Generators, Electric Utilities"/>
    <x v="0"/>
    <n v="92411853"/>
  </r>
  <r>
    <x v="25"/>
    <x v="40"/>
    <s v="Electric Generators, Electric Utilities"/>
    <x v="1"/>
    <n v="22487784"/>
  </r>
  <r>
    <x v="25"/>
    <x v="40"/>
    <s v="Electric Generators, Electric Utilities"/>
    <x v="10"/>
    <n v="-904379"/>
  </r>
  <r>
    <x v="25"/>
    <x v="40"/>
    <s v="Electric Generators, Electric Utilities"/>
    <x v="2"/>
    <n v="2496713"/>
  </r>
  <r>
    <x v="25"/>
    <x v="40"/>
    <s v="Electric Generators, Electric Utilities"/>
    <x v="3"/>
    <n v="14570680"/>
  </r>
  <r>
    <x v="25"/>
    <x v="40"/>
    <s v="Electric Generators, Electric Utilities"/>
    <x v="7"/>
    <n v="53156320"/>
  </r>
  <r>
    <x v="25"/>
    <x v="40"/>
    <s v="Electric Generators, Electric Utilities"/>
    <x v="4"/>
    <n v="167242"/>
  </r>
  <r>
    <x v="25"/>
    <x v="40"/>
    <s v="Electric Generators, Electric Utilities"/>
    <x v="8"/>
    <n v="122143"/>
  </r>
  <r>
    <x v="25"/>
    <x v="40"/>
    <s v="Electric Generators, Electric Utilities"/>
    <x v="6"/>
    <n v="315350"/>
  </r>
  <r>
    <x v="25"/>
    <x v="41"/>
    <s v="Total Electric Power Industry"/>
    <x v="0"/>
    <n v="9633033"/>
  </r>
  <r>
    <x v="25"/>
    <x v="41"/>
    <s v="Total Electric Power Industry"/>
    <x v="1"/>
    <n v="1495079"/>
  </r>
  <r>
    <x v="25"/>
    <x v="41"/>
    <s v="Total Electric Power Industry"/>
    <x v="2"/>
    <n v="4850485"/>
  </r>
  <r>
    <x v="25"/>
    <x v="41"/>
    <s v="Total Electric Power Industry"/>
    <x v="3"/>
    <n v="772753"/>
  </r>
  <r>
    <x v="25"/>
    <x v="41"/>
    <s v="Total Electric Power Industry"/>
    <x v="12"/>
    <n v="0"/>
  </r>
  <r>
    <x v="25"/>
    <x v="41"/>
    <s v="Total Electric Power Industry"/>
    <x v="4"/>
    <n v="17203"/>
  </r>
  <r>
    <x v="25"/>
    <x v="41"/>
    <s v="Total Electric Power Industry"/>
    <x v="8"/>
    <n v="0"/>
  </r>
  <r>
    <x v="25"/>
    <x v="41"/>
    <s v="Total Electric Power Industry"/>
    <x v="5"/>
    <n v="2497513"/>
  </r>
  <r>
    <x v="25"/>
    <x v="41"/>
    <s v="Combined Heat and Power, Commercial Power"/>
    <x v="0"/>
    <n v="24"/>
  </r>
  <r>
    <x v="25"/>
    <x v="41"/>
    <s v="Combined Heat and Power, Commercial Power"/>
    <x v="4"/>
    <n v="24"/>
  </r>
  <r>
    <x v="25"/>
    <x v="41"/>
    <s v="Electric Generators, Independent Power Producers"/>
    <x v="0"/>
    <n v="1666851"/>
  </r>
  <r>
    <x v="25"/>
    <x v="41"/>
    <s v="Electric Generators, Independent Power Producers"/>
    <x v="4"/>
    <n v="39"/>
  </r>
  <r>
    <x v="25"/>
    <x v="41"/>
    <s v="Electric Generators, Independent Power Producers"/>
    <x v="5"/>
    <n v="1666812"/>
  </r>
  <r>
    <x v="25"/>
    <x v="41"/>
    <s v="Electric Generators, Electric Utilities"/>
    <x v="0"/>
    <n v="7966158"/>
  </r>
  <r>
    <x v="25"/>
    <x v="41"/>
    <s v="Electric Generators, Electric Utilities"/>
    <x v="1"/>
    <n v="1495079"/>
  </r>
  <r>
    <x v="25"/>
    <x v="41"/>
    <s v="Electric Generators, Electric Utilities"/>
    <x v="2"/>
    <n v="4850485"/>
  </r>
  <r>
    <x v="25"/>
    <x v="41"/>
    <s v="Electric Generators, Electric Utilities"/>
    <x v="3"/>
    <n v="772753"/>
  </r>
  <r>
    <x v="25"/>
    <x v="41"/>
    <s v="Electric Generators, Electric Utilities"/>
    <x v="12"/>
    <n v="0"/>
  </r>
  <r>
    <x v="25"/>
    <x v="41"/>
    <s v="Electric Generators, Electric Utilities"/>
    <x v="4"/>
    <n v="17140"/>
  </r>
  <r>
    <x v="25"/>
    <x v="41"/>
    <s v="Electric Generators, Electric Utilities"/>
    <x v="8"/>
    <n v="0"/>
  </r>
  <r>
    <x v="25"/>
    <x v="41"/>
    <s v="Electric Generators, Electric Utilities"/>
    <x v="5"/>
    <n v="830701"/>
  </r>
  <r>
    <x v="25"/>
    <x v="42"/>
    <s v="Total Electric Power Industry"/>
    <x v="0"/>
    <n v="75214636"/>
  </r>
  <r>
    <x v="25"/>
    <x v="42"/>
    <s v="Total Electric Power Industry"/>
    <x v="1"/>
    <n v="30586331"/>
  </r>
  <r>
    <x v="25"/>
    <x v="42"/>
    <s v="Total Electric Power Industry"/>
    <x v="10"/>
    <n v="-530702"/>
  </r>
  <r>
    <x v="25"/>
    <x v="42"/>
    <s v="Total Electric Power Industry"/>
    <x v="2"/>
    <n v="9581240"/>
  </r>
  <r>
    <x v="25"/>
    <x v="42"/>
    <s v="Total Electric Power Industry"/>
    <x v="3"/>
    <n v="9323730"/>
  </r>
  <r>
    <x v="25"/>
    <x v="42"/>
    <s v="Total Electric Power Industry"/>
    <x v="7"/>
    <n v="24960472"/>
  </r>
  <r>
    <x v="25"/>
    <x v="42"/>
    <s v="Total Electric Power Industry"/>
    <x v="9"/>
    <n v="11960"/>
  </r>
  <r>
    <x v="25"/>
    <x v="42"/>
    <s v="Total Electric Power Industry"/>
    <x v="12"/>
    <n v="20659"/>
  </r>
  <r>
    <x v="25"/>
    <x v="42"/>
    <s v="Total Electric Power Industry"/>
    <x v="4"/>
    <n v="135133"/>
  </r>
  <r>
    <x v="25"/>
    <x v="42"/>
    <s v="Total Electric Power Industry"/>
    <x v="13"/>
    <n v="76147"/>
  </r>
  <r>
    <x v="25"/>
    <x v="42"/>
    <s v="Total Electric Power Industry"/>
    <x v="8"/>
    <n v="81768"/>
  </r>
  <r>
    <x v="25"/>
    <x v="42"/>
    <s v="Total Electric Power Industry"/>
    <x v="5"/>
    <n v="45841"/>
  </r>
  <r>
    <x v="25"/>
    <x v="42"/>
    <s v="Total Electric Power Industry"/>
    <x v="6"/>
    <n v="922055"/>
  </r>
  <r>
    <x v="25"/>
    <x v="42"/>
    <s v="Combined Heat and Power, Industrial Power"/>
    <x v="0"/>
    <n v="2197167"/>
  </r>
  <r>
    <x v="25"/>
    <x v="42"/>
    <s v="Combined Heat and Power, Industrial Power"/>
    <x v="1"/>
    <n v="1001968"/>
  </r>
  <r>
    <x v="25"/>
    <x v="42"/>
    <s v="Combined Heat and Power, Industrial Power"/>
    <x v="3"/>
    <n v="233325"/>
  </r>
  <r>
    <x v="25"/>
    <x v="42"/>
    <s v="Combined Heat and Power, Industrial Power"/>
    <x v="9"/>
    <n v="11960"/>
  </r>
  <r>
    <x v="25"/>
    <x v="42"/>
    <s v="Combined Heat and Power, Industrial Power"/>
    <x v="12"/>
    <n v="20659"/>
  </r>
  <r>
    <x v="25"/>
    <x v="42"/>
    <s v="Combined Heat and Power, Industrial Power"/>
    <x v="4"/>
    <n v="1618"/>
  </r>
  <r>
    <x v="25"/>
    <x v="42"/>
    <s v="Combined Heat and Power, Industrial Power"/>
    <x v="8"/>
    <n v="5581"/>
  </r>
  <r>
    <x v="25"/>
    <x v="42"/>
    <s v="Combined Heat and Power, Industrial Power"/>
    <x v="6"/>
    <n v="922055"/>
  </r>
  <r>
    <x v="25"/>
    <x v="42"/>
    <s v="Combined Heat and Power, Commercial Power"/>
    <x v="0"/>
    <n v="146238"/>
  </r>
  <r>
    <x v="25"/>
    <x v="42"/>
    <s v="Combined Heat and Power, Commercial Power"/>
    <x v="1"/>
    <n v="0"/>
  </r>
  <r>
    <x v="25"/>
    <x v="42"/>
    <s v="Combined Heat and Power, Commercial Power"/>
    <x v="3"/>
    <n v="143473"/>
  </r>
  <r>
    <x v="25"/>
    <x v="42"/>
    <s v="Combined Heat and Power, Commercial Power"/>
    <x v="4"/>
    <n v="21"/>
  </r>
  <r>
    <x v="25"/>
    <x v="42"/>
    <s v="Combined Heat and Power, Commercial Power"/>
    <x v="13"/>
    <n v="2744"/>
  </r>
  <r>
    <x v="25"/>
    <x v="42"/>
    <s v="Electric Generators, Independent Power Producers"/>
    <x v="0"/>
    <n v="195454"/>
  </r>
  <r>
    <x v="25"/>
    <x v="42"/>
    <s v="Electric Generators, Independent Power Producers"/>
    <x v="3"/>
    <n v="0"/>
  </r>
  <r>
    <x v="25"/>
    <x v="42"/>
    <s v="Electric Generators, Independent Power Producers"/>
    <x v="4"/>
    <n v="23"/>
  </r>
  <r>
    <x v="25"/>
    <x v="42"/>
    <s v="Electric Generators, Independent Power Producers"/>
    <x v="13"/>
    <n v="73403"/>
  </r>
  <r>
    <x v="25"/>
    <x v="42"/>
    <s v="Electric Generators, Independent Power Producers"/>
    <x v="8"/>
    <n v="76187"/>
  </r>
  <r>
    <x v="25"/>
    <x v="42"/>
    <s v="Electric Generators, Independent Power Producers"/>
    <x v="5"/>
    <n v="45841"/>
  </r>
  <r>
    <x v="25"/>
    <x v="42"/>
    <s v="Electric Generators, Electric Utilities"/>
    <x v="0"/>
    <n v="72675778"/>
  </r>
  <r>
    <x v="25"/>
    <x v="42"/>
    <s v="Electric Generators, Electric Utilities"/>
    <x v="1"/>
    <n v="29584364"/>
  </r>
  <r>
    <x v="25"/>
    <x v="42"/>
    <s v="Electric Generators, Electric Utilities"/>
    <x v="10"/>
    <n v="-530702"/>
  </r>
  <r>
    <x v="25"/>
    <x v="42"/>
    <s v="Electric Generators, Electric Utilities"/>
    <x v="2"/>
    <n v="9581240"/>
  </r>
  <r>
    <x v="25"/>
    <x v="42"/>
    <s v="Electric Generators, Electric Utilities"/>
    <x v="3"/>
    <n v="8946932"/>
  </r>
  <r>
    <x v="25"/>
    <x v="42"/>
    <s v="Electric Generators, Electric Utilities"/>
    <x v="7"/>
    <n v="24960472"/>
  </r>
  <r>
    <x v="25"/>
    <x v="42"/>
    <s v="Electric Generators, Electric Utilities"/>
    <x v="4"/>
    <n v="133472"/>
  </r>
  <r>
    <x v="25"/>
    <x v="42"/>
    <s v="Electric Generators, Electric Utilities"/>
    <x v="8"/>
    <n v="0"/>
  </r>
  <r>
    <x v="25"/>
    <x v="42"/>
    <s v="Electric Generators, Electric Utilities"/>
    <x v="5"/>
    <n v="0"/>
  </r>
  <r>
    <x v="25"/>
    <x v="43"/>
    <s v="Total Electric Power Industry"/>
    <x v="0"/>
    <n v="449826336"/>
  </r>
  <r>
    <x v="25"/>
    <x v="43"/>
    <s v="Total Electric Power Industry"/>
    <x v="1"/>
    <n v="121554284"/>
  </r>
  <r>
    <x v="25"/>
    <x v="43"/>
    <s v="Total Electric Power Industry"/>
    <x v="2"/>
    <n v="956410"/>
  </r>
  <r>
    <x v="25"/>
    <x v="43"/>
    <s v="Total Electric Power Industry"/>
    <x v="3"/>
    <n v="237731427"/>
  </r>
  <r>
    <x v="25"/>
    <x v="43"/>
    <s v="Total Electric Power Industry"/>
    <x v="7"/>
    <n v="39354677"/>
  </r>
  <r>
    <x v="25"/>
    <x v="43"/>
    <s v="Total Electric Power Industry"/>
    <x v="9"/>
    <n v="2579301"/>
  </r>
  <r>
    <x v="25"/>
    <x v="43"/>
    <s v="Total Electric Power Industry"/>
    <x v="12"/>
    <n v="734324"/>
  </r>
  <r>
    <x v="25"/>
    <x v="43"/>
    <s v="Total Electric Power Industry"/>
    <x v="4"/>
    <n v="241564"/>
  </r>
  <r>
    <x v="25"/>
    <x v="43"/>
    <s v="Total Electric Power Industry"/>
    <x v="13"/>
    <n v="400759"/>
  </r>
  <r>
    <x v="25"/>
    <x v="43"/>
    <s v="Total Electric Power Industry"/>
    <x v="8"/>
    <n v="783645"/>
  </r>
  <r>
    <x v="25"/>
    <x v="43"/>
    <s v="Total Electric Power Industry"/>
    <x v="5"/>
    <n v="44833365"/>
  </r>
  <r>
    <x v="25"/>
    <x v="43"/>
    <s v="Total Electric Power Industry"/>
    <x v="6"/>
    <n v="656580"/>
  </r>
  <r>
    <x v="25"/>
    <x v="43"/>
    <s v="Combined Heat and Power, Industrial Power"/>
    <x v="0"/>
    <n v="42004492"/>
  </r>
  <r>
    <x v="25"/>
    <x v="43"/>
    <s v="Combined Heat and Power, Industrial Power"/>
    <x v="1"/>
    <n v="0"/>
  </r>
  <r>
    <x v="25"/>
    <x v="43"/>
    <s v="Combined Heat and Power, Industrial Power"/>
    <x v="3"/>
    <n v="39417221"/>
  </r>
  <r>
    <x v="25"/>
    <x v="43"/>
    <s v="Combined Heat and Power, Industrial Power"/>
    <x v="9"/>
    <n v="1264905"/>
  </r>
  <r>
    <x v="25"/>
    <x v="43"/>
    <s v="Combined Heat and Power, Industrial Power"/>
    <x v="12"/>
    <n v="643634"/>
  </r>
  <r>
    <x v="25"/>
    <x v="43"/>
    <s v="Combined Heat and Power, Industrial Power"/>
    <x v="4"/>
    <n v="135465"/>
  </r>
  <r>
    <x v="25"/>
    <x v="43"/>
    <s v="Combined Heat and Power, Industrial Power"/>
    <x v="8"/>
    <n v="110716"/>
  </r>
  <r>
    <x v="25"/>
    <x v="43"/>
    <s v="Combined Heat and Power, Industrial Power"/>
    <x v="6"/>
    <n v="432550"/>
  </r>
  <r>
    <x v="25"/>
    <x v="43"/>
    <s v="Combined Heat and Power, Commercial Power"/>
    <x v="0"/>
    <n v="712065"/>
  </r>
  <r>
    <x v="25"/>
    <x v="43"/>
    <s v="Combined Heat and Power, Commercial Power"/>
    <x v="3"/>
    <n v="645223"/>
  </r>
  <r>
    <x v="25"/>
    <x v="43"/>
    <s v="Combined Heat and Power, Commercial Power"/>
    <x v="4"/>
    <n v="757"/>
  </r>
  <r>
    <x v="25"/>
    <x v="43"/>
    <s v="Combined Heat and Power, Commercial Power"/>
    <x v="13"/>
    <n v="2012"/>
  </r>
  <r>
    <x v="25"/>
    <x v="43"/>
    <s v="Combined Heat and Power, Commercial Power"/>
    <x v="8"/>
    <n v="33366"/>
  </r>
  <r>
    <x v="25"/>
    <x v="43"/>
    <s v="Combined Heat and Power, Commercial Power"/>
    <x v="5"/>
    <n v="30707"/>
  </r>
  <r>
    <x v="25"/>
    <x v="43"/>
    <s v="Combined Heat and Power, Electric Power"/>
    <x v="0"/>
    <n v="45194121"/>
  </r>
  <r>
    <x v="25"/>
    <x v="43"/>
    <s v="Combined Heat and Power, Electric Power"/>
    <x v="3"/>
    <n v="43789035"/>
  </r>
  <r>
    <x v="25"/>
    <x v="43"/>
    <s v="Combined Heat and Power, Electric Power"/>
    <x v="9"/>
    <n v="1314396"/>
  </r>
  <r>
    <x v="25"/>
    <x v="43"/>
    <s v="Combined Heat and Power, Electric Power"/>
    <x v="12"/>
    <n v="90690"/>
  </r>
  <r>
    <x v="25"/>
    <x v="43"/>
    <s v="Electric Generators, Independent Power Producers"/>
    <x v="0"/>
    <n v="273703690"/>
  </r>
  <r>
    <x v="25"/>
    <x v="43"/>
    <s v="Electric Generators, Independent Power Producers"/>
    <x v="1"/>
    <n v="75825583"/>
  </r>
  <r>
    <x v="25"/>
    <x v="43"/>
    <s v="Electric Generators, Independent Power Producers"/>
    <x v="2"/>
    <n v="38121"/>
  </r>
  <r>
    <x v="25"/>
    <x v="43"/>
    <s v="Electric Generators, Independent Power Producers"/>
    <x v="3"/>
    <n v="112763076"/>
  </r>
  <r>
    <x v="25"/>
    <x v="43"/>
    <s v="Electric Generators, Independent Power Producers"/>
    <x v="7"/>
    <n v="39354677"/>
  </r>
  <r>
    <x v="25"/>
    <x v="43"/>
    <s v="Electric Generators, Independent Power Producers"/>
    <x v="12"/>
    <n v="0"/>
  </r>
  <r>
    <x v="25"/>
    <x v="43"/>
    <s v="Electric Generators, Independent Power Producers"/>
    <x v="4"/>
    <n v="63119"/>
  </r>
  <r>
    <x v="25"/>
    <x v="43"/>
    <s v="Electric Generators, Independent Power Producers"/>
    <x v="13"/>
    <n v="398747"/>
  </r>
  <r>
    <x v="25"/>
    <x v="43"/>
    <s v="Electric Generators, Independent Power Producers"/>
    <x v="8"/>
    <n v="639563"/>
  </r>
  <r>
    <x v="25"/>
    <x v="43"/>
    <s v="Electric Generators, Independent Power Producers"/>
    <x v="5"/>
    <n v="44521435"/>
  </r>
  <r>
    <x v="25"/>
    <x v="43"/>
    <s v="Electric Generators, Independent Power Producers"/>
    <x v="6"/>
    <n v="99368"/>
  </r>
  <r>
    <x v="25"/>
    <x v="43"/>
    <s v="Electric Generators, Electric Utilities"/>
    <x v="0"/>
    <n v="88211969"/>
  </r>
  <r>
    <x v="25"/>
    <x v="43"/>
    <s v="Electric Generators, Electric Utilities"/>
    <x v="1"/>
    <n v="45728700"/>
  </r>
  <r>
    <x v="25"/>
    <x v="43"/>
    <s v="Electric Generators, Electric Utilities"/>
    <x v="2"/>
    <n v="918289"/>
  </r>
  <r>
    <x v="25"/>
    <x v="43"/>
    <s v="Electric Generators, Electric Utilities"/>
    <x v="3"/>
    <n v="41116872"/>
  </r>
  <r>
    <x v="25"/>
    <x v="43"/>
    <s v="Electric Generators, Electric Utilities"/>
    <x v="4"/>
    <n v="42223"/>
  </r>
  <r>
    <x v="25"/>
    <x v="43"/>
    <s v="Electric Generators, Electric Utilities"/>
    <x v="5"/>
    <n v="281223"/>
  </r>
  <r>
    <x v="25"/>
    <x v="43"/>
    <s v="Electric Generators, Electric Utilities"/>
    <x v="6"/>
    <n v="124662"/>
  </r>
  <r>
    <x v="25"/>
    <x v="44"/>
    <s v="Total Electric Power Industry"/>
    <x v="0"/>
    <n v="4077600939"/>
  </r>
  <r>
    <x v="25"/>
    <x v="44"/>
    <s v="Total Electric Power Industry"/>
    <x v="1"/>
    <n v="1352398197"/>
  </r>
  <r>
    <x v="25"/>
    <x v="44"/>
    <s v="Total Electric Power Industry"/>
    <x v="11"/>
    <n v="15917575"/>
  </r>
  <r>
    <x v="25"/>
    <x v="44"/>
    <s v="Total Electric Power Industry"/>
    <x v="10"/>
    <n v="-5091488"/>
  </r>
  <r>
    <x v="25"/>
    <x v="44"/>
    <s v="Total Electric Power Industry"/>
    <x v="2"/>
    <n v="249080085"/>
  </r>
  <r>
    <x v="25"/>
    <x v="44"/>
    <s v="Total Electric Power Industry"/>
    <x v="3"/>
    <n v="1333482110"/>
  </r>
  <r>
    <x v="25"/>
    <x v="44"/>
    <s v="Total Electric Power Industry"/>
    <x v="7"/>
    <n v="797177877"/>
  </r>
  <r>
    <x v="25"/>
    <x v="44"/>
    <s v="Total Electric Power Industry"/>
    <x v="9"/>
    <n v="13116698"/>
  </r>
  <r>
    <x v="25"/>
    <x v="44"/>
    <s v="Total Electric Power Industry"/>
    <x v="12"/>
    <n v="14027807"/>
  </r>
  <r>
    <x v="25"/>
    <x v="44"/>
    <s v="Total Electric Power Industry"/>
    <x v="4"/>
    <n v="28248749"/>
  </r>
  <r>
    <x v="25"/>
    <x v="44"/>
    <s v="Total Electric Power Industry"/>
    <x v="13"/>
    <n v="24892904"/>
  </r>
  <r>
    <x v="25"/>
    <x v="44"/>
    <s v="Total Electric Power Industry"/>
    <x v="8"/>
    <n v="21703372"/>
  </r>
  <r>
    <x v="25"/>
    <x v="44"/>
    <s v="Total Electric Power Industry"/>
    <x v="5"/>
    <n v="190718548"/>
  </r>
  <r>
    <x v="25"/>
    <x v="44"/>
    <s v="Total Electric Power Industry"/>
    <x v="6"/>
    <n v="41928506"/>
  </r>
  <r>
    <x v="25"/>
    <x v="44"/>
    <s v="Combined Heat and Power, Industrial Power"/>
    <x v="0"/>
    <n v="145712028"/>
  </r>
  <r>
    <x v="25"/>
    <x v="44"/>
    <s v="Combined Heat and Power, Industrial Power"/>
    <x v="1"/>
    <n v="10896104"/>
  </r>
  <r>
    <x v="25"/>
    <x v="44"/>
    <s v="Combined Heat and Power, Industrial Power"/>
    <x v="2"/>
    <n v="1409502"/>
  </r>
  <r>
    <x v="25"/>
    <x v="44"/>
    <s v="Combined Heat and Power, Industrial Power"/>
    <x v="3"/>
    <n v="88355054"/>
  </r>
  <r>
    <x v="25"/>
    <x v="44"/>
    <s v="Combined Heat and Power, Industrial Power"/>
    <x v="9"/>
    <n v="9401265"/>
  </r>
  <r>
    <x v="25"/>
    <x v="44"/>
    <s v="Combined Heat and Power, Industrial Power"/>
    <x v="12"/>
    <n v="5462236"/>
  </r>
  <r>
    <x v="25"/>
    <x v="44"/>
    <s v="Combined Heat and Power, Industrial Power"/>
    <x v="4"/>
    <n v="1552439"/>
  </r>
  <r>
    <x v="25"/>
    <x v="44"/>
    <s v="Combined Heat and Power, Industrial Power"/>
    <x v="13"/>
    <n v="21025"/>
  </r>
  <r>
    <x v="25"/>
    <x v="44"/>
    <s v="Combined Heat and Power, Industrial Power"/>
    <x v="8"/>
    <n v="1243257"/>
  </r>
  <r>
    <x v="25"/>
    <x v="44"/>
    <s v="Combined Heat and Power, Industrial Power"/>
    <x v="5"/>
    <n v="53354"/>
  </r>
  <r>
    <x v="25"/>
    <x v="44"/>
    <s v="Combined Heat and Power, Industrial Power"/>
    <x v="6"/>
    <n v="27317792"/>
  </r>
  <r>
    <x v="25"/>
    <x v="44"/>
    <s v="Combined Heat and Power, Commercial Power"/>
    <x v="0"/>
    <n v="12595196"/>
  </r>
  <r>
    <x v="25"/>
    <x v="44"/>
    <s v="Combined Heat and Power, Commercial Power"/>
    <x v="1"/>
    <n v="508793"/>
  </r>
  <r>
    <x v="25"/>
    <x v="44"/>
    <s v="Combined Heat and Power, Commercial Power"/>
    <x v="10"/>
    <n v="0"/>
  </r>
  <r>
    <x v="25"/>
    <x v="44"/>
    <s v="Combined Heat and Power, Commercial Power"/>
    <x v="2"/>
    <n v="34891"/>
  </r>
  <r>
    <x v="25"/>
    <x v="44"/>
    <s v="Combined Heat and Power, Commercial Power"/>
    <x v="3"/>
    <n v="7470849"/>
  </r>
  <r>
    <x v="25"/>
    <x v="44"/>
    <s v="Combined Heat and Power, Commercial Power"/>
    <x v="12"/>
    <n v="1169670"/>
  </r>
  <r>
    <x v="25"/>
    <x v="44"/>
    <s v="Combined Heat and Power, Commercial Power"/>
    <x v="4"/>
    <n v="191159"/>
  </r>
  <r>
    <x v="25"/>
    <x v="44"/>
    <s v="Combined Heat and Power, Commercial Power"/>
    <x v="13"/>
    <n v="416337"/>
  </r>
  <r>
    <x v="25"/>
    <x v="44"/>
    <s v="Combined Heat and Power, Commercial Power"/>
    <x v="8"/>
    <n v="2637183"/>
  </r>
  <r>
    <x v="25"/>
    <x v="44"/>
    <s v="Combined Heat and Power, Commercial Power"/>
    <x v="5"/>
    <n v="118409"/>
  </r>
  <r>
    <x v="25"/>
    <x v="44"/>
    <s v="Combined Heat and Power, Commercial Power"/>
    <x v="6"/>
    <n v="47904"/>
  </r>
  <r>
    <x v="25"/>
    <x v="44"/>
    <s v="Combined Heat and Power, Electric Power"/>
    <x v="0"/>
    <n v="155172552"/>
  </r>
  <r>
    <x v="25"/>
    <x v="44"/>
    <s v="Combined Heat and Power, Electric Power"/>
    <x v="1"/>
    <n v="17079284"/>
  </r>
  <r>
    <x v="25"/>
    <x v="44"/>
    <s v="Combined Heat and Power, Electric Power"/>
    <x v="3"/>
    <n v="127892051"/>
  </r>
  <r>
    <x v="25"/>
    <x v="44"/>
    <s v="Combined Heat and Power, Electric Power"/>
    <x v="9"/>
    <n v="3516719"/>
  </r>
  <r>
    <x v="25"/>
    <x v="44"/>
    <s v="Combined Heat and Power, Electric Power"/>
    <x v="12"/>
    <n v="1002625"/>
  </r>
  <r>
    <x v="25"/>
    <x v="44"/>
    <s v="Combined Heat and Power, Electric Power"/>
    <x v="4"/>
    <n v="2280011"/>
  </r>
  <r>
    <x v="25"/>
    <x v="44"/>
    <s v="Combined Heat and Power, Electric Power"/>
    <x v="8"/>
    <n v="1174726"/>
  </r>
  <r>
    <x v="25"/>
    <x v="44"/>
    <s v="Combined Heat and Power, Electric Power"/>
    <x v="6"/>
    <n v="2227136"/>
  </r>
  <r>
    <x v="25"/>
    <x v="44"/>
    <s v="Electric Generators, Independent Power Producers"/>
    <x v="0"/>
    <n v="1448798569"/>
  </r>
  <r>
    <x v="25"/>
    <x v="44"/>
    <s v="Electric Generators, Independent Power Producers"/>
    <x v="1"/>
    <n v="325528915"/>
  </r>
  <r>
    <x v="25"/>
    <x v="44"/>
    <s v="Electric Generators, Independent Power Producers"/>
    <x v="11"/>
    <n v="14828965"/>
  </r>
  <r>
    <x v="25"/>
    <x v="44"/>
    <s v="Electric Generators, Independent Power Producers"/>
    <x v="10"/>
    <n v="-986515"/>
  </r>
  <r>
    <x v="25"/>
    <x v="44"/>
    <s v="Electric Generators, Independent Power Producers"/>
    <x v="2"/>
    <n v="17995772"/>
  </r>
  <r>
    <x v="25"/>
    <x v="44"/>
    <s v="Electric Generators, Independent Power Producers"/>
    <x v="3"/>
    <n v="491947253"/>
  </r>
  <r>
    <x v="25"/>
    <x v="44"/>
    <s v="Electric Generators, Independent Power Producers"/>
    <x v="7"/>
    <n v="380498336"/>
  </r>
  <r>
    <x v="25"/>
    <x v="44"/>
    <s v="Electric Generators, Independent Power Producers"/>
    <x v="9"/>
    <n v="0"/>
  </r>
  <r>
    <x v="25"/>
    <x v="44"/>
    <s v="Electric Generators, Independent Power Producers"/>
    <x v="12"/>
    <n v="5835690"/>
  </r>
  <r>
    <x v="25"/>
    <x v="44"/>
    <s v="Electric Generators, Independent Power Producers"/>
    <x v="4"/>
    <n v="5560833"/>
  </r>
  <r>
    <x v="25"/>
    <x v="44"/>
    <s v="Electric Generators, Independent Power Producers"/>
    <x v="13"/>
    <n v="22961875"/>
  </r>
  <r>
    <x v="25"/>
    <x v="44"/>
    <s v="Electric Generators, Independent Power Producers"/>
    <x v="8"/>
    <n v="15174781"/>
  </r>
  <r>
    <x v="25"/>
    <x v="44"/>
    <s v="Electric Generators, Independent Power Producers"/>
    <x v="5"/>
    <n v="160135043"/>
  </r>
  <r>
    <x v="25"/>
    <x v="44"/>
    <s v="Electric Generators, Independent Power Producers"/>
    <x v="6"/>
    <n v="9317620"/>
  </r>
  <r>
    <x v="25"/>
    <x v="44"/>
    <s v="Electric Generators, Electric Utilities"/>
    <x v="0"/>
    <n v="2315322594"/>
  </r>
  <r>
    <x v="25"/>
    <x v="44"/>
    <s v="Electric Generators, Electric Utilities"/>
    <x v="1"/>
    <n v="998385101"/>
  </r>
  <r>
    <x v="25"/>
    <x v="44"/>
    <s v="Electric Generators, Electric Utilities"/>
    <x v="11"/>
    <n v="1088610"/>
  </r>
  <r>
    <x v="25"/>
    <x v="44"/>
    <s v="Electric Generators, Electric Utilities"/>
    <x v="10"/>
    <n v="-4104973"/>
  </r>
  <r>
    <x v="25"/>
    <x v="44"/>
    <s v="Electric Generators, Electric Utilities"/>
    <x v="2"/>
    <n v="229639920"/>
  </r>
  <r>
    <x v="25"/>
    <x v="44"/>
    <s v="Electric Generators, Electric Utilities"/>
    <x v="3"/>
    <n v="617816903"/>
  </r>
  <r>
    <x v="25"/>
    <x v="44"/>
    <s v="Electric Generators, Electric Utilities"/>
    <x v="7"/>
    <n v="416679541"/>
  </r>
  <r>
    <x v="25"/>
    <x v="44"/>
    <s v="Electric Generators, Electric Utilities"/>
    <x v="9"/>
    <n v="198714"/>
  </r>
  <r>
    <x v="25"/>
    <x v="44"/>
    <s v="Electric Generators, Electric Utilities"/>
    <x v="12"/>
    <n v="557586"/>
  </r>
  <r>
    <x v="25"/>
    <x v="44"/>
    <s v="Electric Generators, Electric Utilities"/>
    <x v="4"/>
    <n v="18664308"/>
  </r>
  <r>
    <x v="25"/>
    <x v="44"/>
    <s v="Electric Generators, Electric Utilities"/>
    <x v="13"/>
    <n v="1493666"/>
  </r>
  <r>
    <x v="25"/>
    <x v="44"/>
    <s v="Electric Generators, Electric Utilities"/>
    <x v="8"/>
    <n v="1473424"/>
  </r>
  <r>
    <x v="25"/>
    <x v="44"/>
    <s v="Electric Generators, Electric Utilities"/>
    <x v="5"/>
    <n v="30411742"/>
  </r>
  <r>
    <x v="25"/>
    <x v="44"/>
    <s v="Electric Generators, Electric Utilities"/>
    <x v="6"/>
    <n v="3018053"/>
  </r>
  <r>
    <x v="25"/>
    <x v="45"/>
    <s v="Total Electric Power Industry"/>
    <x v="0"/>
    <n v="41949120"/>
  </r>
  <r>
    <x v="25"/>
    <x v="45"/>
    <s v="Total Electric Power Industry"/>
    <x v="1"/>
    <n v="31656489"/>
  </r>
  <r>
    <x v="25"/>
    <x v="45"/>
    <s v="Total Electric Power Industry"/>
    <x v="11"/>
    <n v="429517"/>
  </r>
  <r>
    <x v="25"/>
    <x v="45"/>
    <s v="Total Electric Power Industry"/>
    <x v="2"/>
    <n v="768773"/>
  </r>
  <r>
    <x v="25"/>
    <x v="45"/>
    <s v="Total Electric Power Industry"/>
    <x v="3"/>
    <n v="8217665"/>
  </r>
  <r>
    <x v="25"/>
    <x v="45"/>
    <s v="Total Electric Power Industry"/>
    <x v="9"/>
    <n v="8304"/>
  </r>
  <r>
    <x v="25"/>
    <x v="45"/>
    <s v="Total Electric Power Industry"/>
    <x v="12"/>
    <n v="105732"/>
  </r>
  <r>
    <x v="25"/>
    <x v="45"/>
    <s v="Total Electric Power Industry"/>
    <x v="4"/>
    <n v="19732"/>
  </r>
  <r>
    <x v="25"/>
    <x v="45"/>
    <s v="Total Electric Power Industry"/>
    <x v="13"/>
    <n v="31859"/>
  </r>
  <r>
    <x v="25"/>
    <x v="45"/>
    <s v="Total Electric Power Industry"/>
    <x v="8"/>
    <n v="85131"/>
  </r>
  <r>
    <x v="25"/>
    <x v="45"/>
    <s v="Total Electric Power Industry"/>
    <x v="5"/>
    <n v="625917"/>
  </r>
  <r>
    <x v="25"/>
    <x v="45"/>
    <s v="Combined Heat and Power, Industrial Power"/>
    <x v="0"/>
    <n v="970059"/>
  </r>
  <r>
    <x v="25"/>
    <x v="45"/>
    <s v="Combined Heat and Power, Industrial Power"/>
    <x v="1"/>
    <n v="423694"/>
  </r>
  <r>
    <x v="25"/>
    <x v="45"/>
    <s v="Combined Heat and Power, Industrial Power"/>
    <x v="3"/>
    <n v="435525"/>
  </r>
  <r>
    <x v="25"/>
    <x v="45"/>
    <s v="Combined Heat and Power, Industrial Power"/>
    <x v="9"/>
    <n v="8304"/>
  </r>
  <r>
    <x v="25"/>
    <x v="45"/>
    <s v="Combined Heat and Power, Industrial Power"/>
    <x v="12"/>
    <n v="102138"/>
  </r>
  <r>
    <x v="25"/>
    <x v="45"/>
    <s v="Combined Heat and Power, Industrial Power"/>
    <x v="4"/>
    <n v="398"/>
  </r>
  <r>
    <x v="25"/>
    <x v="45"/>
    <s v="Combined Heat and Power, Commercial Power"/>
    <x v="0"/>
    <n v="92926"/>
  </r>
  <r>
    <x v="25"/>
    <x v="45"/>
    <s v="Combined Heat and Power, Commercial Power"/>
    <x v="3"/>
    <n v="78353"/>
  </r>
  <r>
    <x v="25"/>
    <x v="45"/>
    <s v="Combined Heat and Power, Commercial Power"/>
    <x v="4"/>
    <n v="0"/>
  </r>
  <r>
    <x v="25"/>
    <x v="45"/>
    <s v="Combined Heat and Power, Commercial Power"/>
    <x v="8"/>
    <n v="14573"/>
  </r>
  <r>
    <x v="25"/>
    <x v="45"/>
    <s v="Combined Heat and Power, Electric Power"/>
    <x v="0"/>
    <n v="7475"/>
  </r>
  <r>
    <x v="25"/>
    <x v="45"/>
    <s v="Combined Heat and Power, Electric Power"/>
    <x v="3"/>
    <n v="141"/>
  </r>
  <r>
    <x v="25"/>
    <x v="45"/>
    <s v="Combined Heat and Power, Electric Power"/>
    <x v="12"/>
    <n v="3594"/>
  </r>
  <r>
    <x v="25"/>
    <x v="45"/>
    <s v="Combined Heat and Power, Electric Power"/>
    <x v="4"/>
    <n v="0"/>
  </r>
  <r>
    <x v="25"/>
    <x v="45"/>
    <s v="Combined Heat and Power, Electric Power"/>
    <x v="8"/>
    <n v="3740"/>
  </r>
  <r>
    <x v="25"/>
    <x v="45"/>
    <s v="Electric Generators, Independent Power Producers"/>
    <x v="0"/>
    <n v="1497580"/>
  </r>
  <r>
    <x v="25"/>
    <x v="45"/>
    <s v="Electric Generators, Independent Power Producers"/>
    <x v="1"/>
    <n v="417625"/>
  </r>
  <r>
    <x v="25"/>
    <x v="45"/>
    <s v="Electric Generators, Independent Power Producers"/>
    <x v="11"/>
    <n v="169814"/>
  </r>
  <r>
    <x v="25"/>
    <x v="45"/>
    <s v="Electric Generators, Independent Power Producers"/>
    <x v="2"/>
    <n v="8806"/>
  </r>
  <r>
    <x v="25"/>
    <x v="45"/>
    <s v="Electric Generators, Independent Power Producers"/>
    <x v="3"/>
    <n v="176168"/>
  </r>
  <r>
    <x v="25"/>
    <x v="45"/>
    <s v="Electric Generators, Independent Power Producers"/>
    <x v="4"/>
    <n v="573"/>
  </r>
  <r>
    <x v="25"/>
    <x v="45"/>
    <s v="Electric Generators, Independent Power Producers"/>
    <x v="13"/>
    <n v="31859"/>
  </r>
  <r>
    <x v="25"/>
    <x v="45"/>
    <s v="Electric Generators, Independent Power Producers"/>
    <x v="8"/>
    <n v="66818"/>
  </r>
  <r>
    <x v="25"/>
    <x v="45"/>
    <s v="Electric Generators, Independent Power Producers"/>
    <x v="5"/>
    <n v="625917"/>
  </r>
  <r>
    <x v="25"/>
    <x v="45"/>
    <s v="Electric Generators, Electric Utilities"/>
    <x v="0"/>
    <n v="39381081"/>
  </r>
  <r>
    <x v="25"/>
    <x v="45"/>
    <s v="Electric Generators, Electric Utilities"/>
    <x v="1"/>
    <n v="30815170"/>
  </r>
  <r>
    <x v="25"/>
    <x v="45"/>
    <s v="Electric Generators, Electric Utilities"/>
    <x v="11"/>
    <n v="259703"/>
  </r>
  <r>
    <x v="25"/>
    <x v="45"/>
    <s v="Electric Generators, Electric Utilities"/>
    <x v="2"/>
    <n v="759967"/>
  </r>
  <r>
    <x v="25"/>
    <x v="45"/>
    <s v="Electric Generators, Electric Utilities"/>
    <x v="3"/>
    <n v="7527479"/>
  </r>
  <r>
    <x v="25"/>
    <x v="45"/>
    <s v="Electric Generators, Electric Utilities"/>
    <x v="4"/>
    <n v="18762"/>
  </r>
  <r>
    <x v="25"/>
    <x v="46"/>
    <s v="Total Electric Power Industry"/>
    <x v="0"/>
    <n v="84411592"/>
  </r>
  <r>
    <x v="25"/>
    <x v="46"/>
    <s v="Total Electric Power Industry"/>
    <x v="1"/>
    <n v="17231426"/>
  </r>
  <r>
    <x v="25"/>
    <x v="46"/>
    <s v="Total Electric Power Industry"/>
    <x v="10"/>
    <n v="-1036382"/>
  </r>
  <r>
    <x v="25"/>
    <x v="46"/>
    <s v="Total Electric Power Industry"/>
    <x v="2"/>
    <n v="1158428"/>
  </r>
  <r>
    <x v="25"/>
    <x v="46"/>
    <s v="Total Electric Power Industry"/>
    <x v="3"/>
    <n v="33284216"/>
  </r>
  <r>
    <x v="25"/>
    <x v="46"/>
    <s v="Total Electric Power Industry"/>
    <x v="7"/>
    <n v="28060358"/>
  </r>
  <r>
    <x v="25"/>
    <x v="46"/>
    <s v="Total Electric Power Industry"/>
    <x v="12"/>
    <n v="461553"/>
  </r>
  <r>
    <x v="25"/>
    <x v="46"/>
    <s v="Total Electric Power Industry"/>
    <x v="4"/>
    <n v="1107835"/>
  </r>
  <r>
    <x v="25"/>
    <x v="46"/>
    <s v="Total Electric Power Industry"/>
    <x v="8"/>
    <n v="1103032"/>
  </r>
  <r>
    <x v="25"/>
    <x v="46"/>
    <s v="Total Electric Power Industry"/>
    <x v="6"/>
    <n v="3041126"/>
  </r>
  <r>
    <x v="25"/>
    <x v="46"/>
    <s v="Combined Heat and Power, Industrial Power"/>
    <x v="0"/>
    <n v="2458938"/>
  </r>
  <r>
    <x v="25"/>
    <x v="46"/>
    <s v="Combined Heat and Power, Industrial Power"/>
    <x v="1"/>
    <n v="311532"/>
  </r>
  <r>
    <x v="25"/>
    <x v="46"/>
    <s v="Combined Heat and Power, Industrial Power"/>
    <x v="2"/>
    <n v="12375"/>
  </r>
  <r>
    <x v="25"/>
    <x v="46"/>
    <s v="Combined Heat and Power, Industrial Power"/>
    <x v="3"/>
    <n v="530849"/>
  </r>
  <r>
    <x v="25"/>
    <x v="46"/>
    <s v="Combined Heat and Power, Industrial Power"/>
    <x v="4"/>
    <n v="6934"/>
  </r>
  <r>
    <x v="25"/>
    <x v="46"/>
    <s v="Combined Heat and Power, Industrial Power"/>
    <x v="8"/>
    <n v="9985"/>
  </r>
  <r>
    <x v="25"/>
    <x v="46"/>
    <s v="Combined Heat and Power, Industrial Power"/>
    <x v="6"/>
    <n v="1587262"/>
  </r>
  <r>
    <x v="25"/>
    <x v="46"/>
    <s v="Combined Heat and Power, Commercial Power"/>
    <x v="0"/>
    <n v="463144"/>
  </r>
  <r>
    <x v="25"/>
    <x v="46"/>
    <s v="Combined Heat and Power, Commercial Power"/>
    <x v="1"/>
    <n v="18598"/>
  </r>
  <r>
    <x v="25"/>
    <x v="46"/>
    <s v="Combined Heat and Power, Commercial Power"/>
    <x v="3"/>
    <n v="6128"/>
  </r>
  <r>
    <x v="25"/>
    <x v="46"/>
    <s v="Combined Heat and Power, Commercial Power"/>
    <x v="12"/>
    <n v="208396"/>
  </r>
  <r>
    <x v="25"/>
    <x v="46"/>
    <s v="Combined Heat and Power, Commercial Power"/>
    <x v="4"/>
    <n v="1356"/>
  </r>
  <r>
    <x v="25"/>
    <x v="46"/>
    <s v="Combined Heat and Power, Commercial Power"/>
    <x v="8"/>
    <n v="228665"/>
  </r>
  <r>
    <x v="25"/>
    <x v="46"/>
    <s v="Combined Heat and Power, Commercial Power"/>
    <x v="6"/>
    <n v="0"/>
  </r>
  <r>
    <x v="25"/>
    <x v="46"/>
    <s v="Combined Heat and Power, Electric Power"/>
    <x v="0"/>
    <n v="1765112"/>
  </r>
  <r>
    <x v="25"/>
    <x v="46"/>
    <s v="Combined Heat and Power, Electric Power"/>
    <x v="1"/>
    <n v="258580"/>
  </r>
  <r>
    <x v="25"/>
    <x v="46"/>
    <s v="Combined Heat and Power, Electric Power"/>
    <x v="3"/>
    <n v="1445996"/>
  </r>
  <r>
    <x v="25"/>
    <x v="46"/>
    <s v="Combined Heat and Power, Electric Power"/>
    <x v="4"/>
    <n v="60536"/>
  </r>
  <r>
    <x v="25"/>
    <x v="46"/>
    <s v="Electric Generators, Independent Power Producers"/>
    <x v="0"/>
    <n v="12151327"/>
  </r>
  <r>
    <x v="25"/>
    <x v="46"/>
    <s v="Electric Generators, Independent Power Producers"/>
    <x v="1"/>
    <n v="619616"/>
  </r>
  <r>
    <x v="25"/>
    <x v="46"/>
    <s v="Electric Generators, Independent Power Producers"/>
    <x v="2"/>
    <n v="74349"/>
  </r>
  <r>
    <x v="25"/>
    <x v="46"/>
    <s v="Electric Generators, Independent Power Producers"/>
    <x v="3"/>
    <n v="9900124"/>
  </r>
  <r>
    <x v="25"/>
    <x v="46"/>
    <s v="Electric Generators, Independent Power Producers"/>
    <x v="12"/>
    <n v="253157"/>
  </r>
  <r>
    <x v="25"/>
    <x v="46"/>
    <s v="Electric Generators, Independent Power Producers"/>
    <x v="4"/>
    <n v="188084"/>
  </r>
  <r>
    <x v="25"/>
    <x v="46"/>
    <s v="Electric Generators, Independent Power Producers"/>
    <x v="8"/>
    <n v="860739"/>
  </r>
  <r>
    <x v="25"/>
    <x v="46"/>
    <s v="Electric Generators, Independent Power Producers"/>
    <x v="6"/>
    <n v="255258"/>
  </r>
  <r>
    <x v="25"/>
    <x v="46"/>
    <s v="Electric Generators, Electric Utilities"/>
    <x v="0"/>
    <n v="67573071"/>
  </r>
  <r>
    <x v="25"/>
    <x v="46"/>
    <s v="Electric Generators, Electric Utilities"/>
    <x v="1"/>
    <n v="16023099"/>
  </r>
  <r>
    <x v="25"/>
    <x v="46"/>
    <s v="Electric Generators, Electric Utilities"/>
    <x v="10"/>
    <n v="-1036382"/>
  </r>
  <r>
    <x v="25"/>
    <x v="46"/>
    <s v="Electric Generators, Electric Utilities"/>
    <x v="2"/>
    <n v="1071704"/>
  </r>
  <r>
    <x v="25"/>
    <x v="46"/>
    <s v="Electric Generators, Electric Utilities"/>
    <x v="3"/>
    <n v="21401118"/>
  </r>
  <r>
    <x v="25"/>
    <x v="46"/>
    <s v="Electric Generators, Electric Utilities"/>
    <x v="7"/>
    <n v="28060358"/>
  </r>
  <r>
    <x v="25"/>
    <x v="46"/>
    <s v="Electric Generators, Electric Utilities"/>
    <x v="12"/>
    <n v="0"/>
  </r>
  <r>
    <x v="25"/>
    <x v="46"/>
    <s v="Electric Generators, Electric Utilities"/>
    <x v="4"/>
    <n v="850925"/>
  </r>
  <r>
    <x v="25"/>
    <x v="46"/>
    <s v="Electric Generators, Electric Utilities"/>
    <x v="8"/>
    <n v="3642"/>
  </r>
  <r>
    <x v="25"/>
    <x v="46"/>
    <s v="Electric Generators, Electric Utilities"/>
    <x v="6"/>
    <n v="1198607"/>
  </r>
  <r>
    <x v="25"/>
    <x v="47"/>
    <s v="Total Electric Power Industry"/>
    <x v="0"/>
    <n v="1982047"/>
  </r>
  <r>
    <x v="25"/>
    <x v="47"/>
    <s v="Total Electric Power Industry"/>
    <x v="2"/>
    <n v="1139498"/>
  </r>
  <r>
    <x v="25"/>
    <x v="47"/>
    <s v="Total Electric Power Industry"/>
    <x v="3"/>
    <n v="1493"/>
  </r>
  <r>
    <x v="25"/>
    <x v="47"/>
    <s v="Total Electric Power Industry"/>
    <x v="4"/>
    <n v="3056"/>
  </r>
  <r>
    <x v="25"/>
    <x v="47"/>
    <s v="Total Electric Power Industry"/>
    <x v="13"/>
    <n v="48022"/>
  </r>
  <r>
    <x v="25"/>
    <x v="47"/>
    <s v="Total Electric Power Industry"/>
    <x v="8"/>
    <n v="18993"/>
  </r>
  <r>
    <x v="25"/>
    <x v="47"/>
    <s v="Total Electric Power Industry"/>
    <x v="5"/>
    <n v="325365"/>
  </r>
  <r>
    <x v="25"/>
    <x v="47"/>
    <s v="Total Electric Power Industry"/>
    <x v="6"/>
    <n v="445620"/>
  </r>
  <r>
    <x v="25"/>
    <x v="47"/>
    <s v="Combined Heat and Power, Commercial Power"/>
    <x v="0"/>
    <n v="2959"/>
  </r>
  <r>
    <x v="25"/>
    <x v="47"/>
    <s v="Combined Heat and Power, Commercial Power"/>
    <x v="3"/>
    <n v="133"/>
  </r>
  <r>
    <x v="25"/>
    <x v="47"/>
    <s v="Combined Heat and Power, Commercial Power"/>
    <x v="4"/>
    <n v="850"/>
  </r>
  <r>
    <x v="25"/>
    <x v="47"/>
    <s v="Combined Heat and Power, Commercial Power"/>
    <x v="6"/>
    <n v="1977"/>
  </r>
  <r>
    <x v="25"/>
    <x v="47"/>
    <s v="Electric Generators, Independent Power Producers"/>
    <x v="0"/>
    <n v="1081125"/>
  </r>
  <r>
    <x v="25"/>
    <x v="47"/>
    <s v="Electric Generators, Independent Power Producers"/>
    <x v="2"/>
    <n v="738812"/>
  </r>
  <r>
    <x v="25"/>
    <x v="47"/>
    <s v="Electric Generators, Independent Power Producers"/>
    <x v="13"/>
    <n v="48022"/>
  </r>
  <r>
    <x v="25"/>
    <x v="47"/>
    <s v="Electric Generators, Independent Power Producers"/>
    <x v="8"/>
    <n v="18993"/>
  </r>
  <r>
    <x v="25"/>
    <x v="47"/>
    <s v="Electric Generators, Independent Power Producers"/>
    <x v="5"/>
    <n v="120664"/>
  </r>
  <r>
    <x v="25"/>
    <x v="47"/>
    <s v="Electric Generators, Independent Power Producers"/>
    <x v="6"/>
    <n v="154634"/>
  </r>
  <r>
    <x v="25"/>
    <x v="47"/>
    <s v="Electric Generators, Electric Utilities"/>
    <x v="0"/>
    <n v="897963"/>
  </r>
  <r>
    <x v="25"/>
    <x v="47"/>
    <s v="Electric Generators, Electric Utilities"/>
    <x v="2"/>
    <n v="400686"/>
  </r>
  <r>
    <x v="25"/>
    <x v="47"/>
    <s v="Electric Generators, Electric Utilities"/>
    <x v="3"/>
    <n v="1361"/>
  </r>
  <r>
    <x v="25"/>
    <x v="47"/>
    <s v="Electric Generators, Electric Utilities"/>
    <x v="4"/>
    <n v="2206"/>
  </r>
  <r>
    <x v="25"/>
    <x v="47"/>
    <s v="Electric Generators, Electric Utilities"/>
    <x v="5"/>
    <n v="204701"/>
  </r>
  <r>
    <x v="25"/>
    <x v="47"/>
    <s v="Electric Generators, Electric Utilities"/>
    <x v="6"/>
    <n v="289009"/>
  </r>
  <r>
    <x v="25"/>
    <x v="48"/>
    <s v="Total Electric Power Industry"/>
    <x v="0"/>
    <n v="109287458"/>
  </r>
  <r>
    <x v="25"/>
    <x v="48"/>
    <s v="Total Electric Power Industry"/>
    <x v="1"/>
    <n v="5051915"/>
  </r>
  <r>
    <x v="25"/>
    <x v="48"/>
    <s v="Total Electric Power Industry"/>
    <x v="10"/>
    <n v="40021"/>
  </r>
  <r>
    <x v="25"/>
    <x v="48"/>
    <s v="Total Electric Power Industry"/>
    <x v="2"/>
    <n v="73404916"/>
  </r>
  <r>
    <x v="25"/>
    <x v="48"/>
    <s v="Total Electric Power Industry"/>
    <x v="3"/>
    <n v="13045927"/>
  </r>
  <r>
    <x v="25"/>
    <x v="48"/>
    <s v="Total Electric Power Industry"/>
    <x v="7"/>
    <n v="8160912"/>
  </r>
  <r>
    <x v="25"/>
    <x v="48"/>
    <s v="Total Electric Power Industry"/>
    <x v="9"/>
    <n v="395004"/>
  </r>
  <r>
    <x v="25"/>
    <x v="48"/>
    <s v="Total Electric Power Industry"/>
    <x v="12"/>
    <n v="99715"/>
  </r>
  <r>
    <x v="25"/>
    <x v="48"/>
    <s v="Total Electric Power Industry"/>
    <x v="4"/>
    <n v="21671"/>
  </r>
  <r>
    <x v="25"/>
    <x v="48"/>
    <s v="Total Electric Power Industry"/>
    <x v="13"/>
    <n v="790"/>
  </r>
  <r>
    <x v="25"/>
    <x v="48"/>
    <s v="Total Electric Power Industry"/>
    <x v="8"/>
    <n v="298948"/>
  </r>
  <r>
    <x v="25"/>
    <x v="48"/>
    <s v="Total Electric Power Industry"/>
    <x v="5"/>
    <n v="7075385"/>
  </r>
  <r>
    <x v="25"/>
    <x v="48"/>
    <s v="Total Electric Power Industry"/>
    <x v="6"/>
    <n v="1692254"/>
  </r>
  <r>
    <x v="25"/>
    <x v="48"/>
    <s v="Combined Heat and Power, Industrial Power"/>
    <x v="0"/>
    <n v="1537284"/>
  </r>
  <r>
    <x v="25"/>
    <x v="48"/>
    <s v="Combined Heat and Power, Industrial Power"/>
    <x v="1"/>
    <n v="35967"/>
  </r>
  <r>
    <x v="25"/>
    <x v="48"/>
    <s v="Combined Heat and Power, Industrial Power"/>
    <x v="3"/>
    <n v="58808"/>
  </r>
  <r>
    <x v="25"/>
    <x v="48"/>
    <s v="Combined Heat and Power, Industrial Power"/>
    <x v="12"/>
    <n v="45774"/>
  </r>
  <r>
    <x v="25"/>
    <x v="48"/>
    <s v="Combined Heat and Power, Industrial Power"/>
    <x v="4"/>
    <n v="10277"/>
  </r>
  <r>
    <x v="25"/>
    <x v="48"/>
    <s v="Combined Heat and Power, Industrial Power"/>
    <x v="8"/>
    <n v="14454"/>
  </r>
  <r>
    <x v="25"/>
    <x v="48"/>
    <s v="Combined Heat and Power, Industrial Power"/>
    <x v="6"/>
    <n v="1372004"/>
  </r>
  <r>
    <x v="25"/>
    <x v="48"/>
    <s v="Combined Heat and Power, Commercial Power"/>
    <x v="0"/>
    <n v="34789"/>
  </r>
  <r>
    <x v="25"/>
    <x v="48"/>
    <s v="Combined Heat and Power, Commercial Power"/>
    <x v="3"/>
    <n v="18608"/>
  </r>
  <r>
    <x v="25"/>
    <x v="48"/>
    <s v="Combined Heat and Power, Commercial Power"/>
    <x v="4"/>
    <n v="316"/>
  </r>
  <r>
    <x v="25"/>
    <x v="48"/>
    <s v="Combined Heat and Power, Commercial Power"/>
    <x v="8"/>
    <n v="15865"/>
  </r>
  <r>
    <x v="25"/>
    <x v="48"/>
    <s v="Combined Heat and Power, Electric Power"/>
    <x v="0"/>
    <n v="998946"/>
  </r>
  <r>
    <x v="25"/>
    <x v="48"/>
    <s v="Combined Heat and Power, Electric Power"/>
    <x v="3"/>
    <n v="603942"/>
  </r>
  <r>
    <x v="25"/>
    <x v="48"/>
    <s v="Combined Heat and Power, Electric Power"/>
    <x v="9"/>
    <n v="395004"/>
  </r>
  <r>
    <x v="25"/>
    <x v="48"/>
    <s v="Combined Heat and Power, Electric Power"/>
    <x v="4"/>
    <n v="0"/>
  </r>
  <r>
    <x v="25"/>
    <x v="48"/>
    <s v="Electric Generators, Independent Power Producers"/>
    <x v="0"/>
    <n v="13040863"/>
  </r>
  <r>
    <x v="25"/>
    <x v="48"/>
    <s v="Electric Generators, Independent Power Producers"/>
    <x v="1"/>
    <n v="5015948"/>
  </r>
  <r>
    <x v="25"/>
    <x v="48"/>
    <s v="Electric Generators, Independent Power Producers"/>
    <x v="2"/>
    <n v="279756"/>
  </r>
  <r>
    <x v="25"/>
    <x v="48"/>
    <s v="Electric Generators, Independent Power Producers"/>
    <x v="3"/>
    <n v="4255324"/>
  </r>
  <r>
    <x v="25"/>
    <x v="48"/>
    <s v="Electric Generators, Independent Power Producers"/>
    <x v="12"/>
    <n v="53959"/>
  </r>
  <r>
    <x v="25"/>
    <x v="48"/>
    <s v="Electric Generators, Independent Power Producers"/>
    <x v="4"/>
    <n v="9345"/>
  </r>
  <r>
    <x v="25"/>
    <x v="48"/>
    <s v="Electric Generators, Independent Power Producers"/>
    <x v="8"/>
    <n v="114371"/>
  </r>
  <r>
    <x v="25"/>
    <x v="48"/>
    <s v="Electric Generators, Independent Power Producers"/>
    <x v="5"/>
    <n v="3312161"/>
  </r>
  <r>
    <x v="25"/>
    <x v="48"/>
    <s v="Electric Generators, Electric Utilities"/>
    <x v="0"/>
    <n v="93675576"/>
  </r>
  <r>
    <x v="25"/>
    <x v="48"/>
    <s v="Electric Generators, Electric Utilities"/>
    <x v="10"/>
    <n v="40021"/>
  </r>
  <r>
    <x v="25"/>
    <x v="48"/>
    <s v="Electric Generators, Electric Utilities"/>
    <x v="2"/>
    <n v="73125160"/>
  </r>
  <r>
    <x v="25"/>
    <x v="48"/>
    <s v="Electric Generators, Electric Utilities"/>
    <x v="3"/>
    <n v="8109246"/>
  </r>
  <r>
    <x v="25"/>
    <x v="48"/>
    <s v="Electric Generators, Electric Utilities"/>
    <x v="7"/>
    <n v="8160912"/>
  </r>
  <r>
    <x v="25"/>
    <x v="48"/>
    <s v="Electric Generators, Electric Utilities"/>
    <x v="12"/>
    <n v="-18"/>
  </r>
  <r>
    <x v="25"/>
    <x v="48"/>
    <s v="Electric Generators, Electric Utilities"/>
    <x v="4"/>
    <n v="1733"/>
  </r>
  <r>
    <x v="25"/>
    <x v="48"/>
    <s v="Electric Generators, Electric Utilities"/>
    <x v="13"/>
    <n v="790"/>
  </r>
  <r>
    <x v="25"/>
    <x v="48"/>
    <s v="Electric Generators, Electric Utilities"/>
    <x v="8"/>
    <n v="154259"/>
  </r>
  <r>
    <x v="25"/>
    <x v="48"/>
    <s v="Electric Generators, Electric Utilities"/>
    <x v="5"/>
    <n v="3763224"/>
  </r>
  <r>
    <x v="25"/>
    <x v="48"/>
    <s v="Electric Generators, Electric Utilities"/>
    <x v="6"/>
    <n v="320249"/>
  </r>
  <r>
    <x v="25"/>
    <x v="49"/>
    <s v="Total Electric Power Industry"/>
    <x v="0"/>
    <n v="66360183"/>
  </r>
  <r>
    <x v="25"/>
    <x v="49"/>
    <s v="Total Electric Power Industry"/>
    <x v="1"/>
    <n v="37180547"/>
  </r>
  <r>
    <x v="25"/>
    <x v="49"/>
    <s v="Total Electric Power Industry"/>
    <x v="2"/>
    <n v="2340681"/>
  </r>
  <r>
    <x v="25"/>
    <x v="49"/>
    <s v="Total Electric Power Industry"/>
    <x v="3"/>
    <n v="13398775"/>
  </r>
  <r>
    <x v="25"/>
    <x v="49"/>
    <s v="Total Electric Power Industry"/>
    <x v="7"/>
    <n v="10008183"/>
  </r>
  <r>
    <x v="25"/>
    <x v="49"/>
    <s v="Total Electric Power Industry"/>
    <x v="12"/>
    <n v="62529"/>
  </r>
  <r>
    <x v="25"/>
    <x v="49"/>
    <s v="Total Electric Power Industry"/>
    <x v="4"/>
    <n v="207750"/>
  </r>
  <r>
    <x v="25"/>
    <x v="49"/>
    <s v="Total Electric Power Industry"/>
    <x v="13"/>
    <n v="1417"/>
  </r>
  <r>
    <x v="25"/>
    <x v="49"/>
    <s v="Total Electric Power Industry"/>
    <x v="8"/>
    <n v="571059"/>
  </r>
  <r>
    <x v="25"/>
    <x v="49"/>
    <s v="Total Electric Power Industry"/>
    <x v="5"/>
    <n v="1589381"/>
  </r>
  <r>
    <x v="25"/>
    <x v="49"/>
    <s v="Total Electric Power Industry"/>
    <x v="6"/>
    <n v="999861"/>
  </r>
  <r>
    <x v="25"/>
    <x v="49"/>
    <s v="Combined Heat and Power, Industrial Power"/>
    <x v="0"/>
    <n v="1801319"/>
  </r>
  <r>
    <x v="25"/>
    <x v="49"/>
    <s v="Combined Heat and Power, Industrial Power"/>
    <x v="1"/>
    <n v="681767"/>
  </r>
  <r>
    <x v="25"/>
    <x v="49"/>
    <s v="Combined Heat and Power, Industrial Power"/>
    <x v="2"/>
    <n v="163026"/>
  </r>
  <r>
    <x v="25"/>
    <x v="49"/>
    <s v="Combined Heat and Power, Industrial Power"/>
    <x v="3"/>
    <n v="224067"/>
  </r>
  <r>
    <x v="25"/>
    <x v="49"/>
    <s v="Combined Heat and Power, Industrial Power"/>
    <x v="12"/>
    <n v="35269"/>
  </r>
  <r>
    <x v="25"/>
    <x v="49"/>
    <s v="Combined Heat and Power, Industrial Power"/>
    <x v="4"/>
    <n v="113278"/>
  </r>
  <r>
    <x v="25"/>
    <x v="49"/>
    <s v="Combined Heat and Power, Industrial Power"/>
    <x v="8"/>
    <n v="27366"/>
  </r>
  <r>
    <x v="25"/>
    <x v="49"/>
    <s v="Combined Heat and Power, Industrial Power"/>
    <x v="5"/>
    <n v="7456"/>
  </r>
  <r>
    <x v="25"/>
    <x v="49"/>
    <s v="Combined Heat and Power, Industrial Power"/>
    <x v="6"/>
    <n v="549091"/>
  </r>
  <r>
    <x v="25"/>
    <x v="49"/>
    <s v="Combined Heat and Power, Commercial Power"/>
    <x v="0"/>
    <n v="106339"/>
  </r>
  <r>
    <x v="25"/>
    <x v="49"/>
    <s v="Combined Heat and Power, Commercial Power"/>
    <x v="1"/>
    <n v="0"/>
  </r>
  <r>
    <x v="25"/>
    <x v="49"/>
    <s v="Combined Heat and Power, Commercial Power"/>
    <x v="3"/>
    <n v="70444"/>
  </r>
  <r>
    <x v="25"/>
    <x v="49"/>
    <s v="Combined Heat and Power, Commercial Power"/>
    <x v="4"/>
    <n v="26"/>
  </r>
  <r>
    <x v="25"/>
    <x v="49"/>
    <s v="Combined Heat and Power, Commercial Power"/>
    <x v="8"/>
    <n v="35870"/>
  </r>
  <r>
    <x v="25"/>
    <x v="49"/>
    <s v="Combined Heat and Power, Commercial Power"/>
    <x v="6"/>
    <n v="0"/>
  </r>
  <r>
    <x v="25"/>
    <x v="49"/>
    <s v="Combined Heat and Power, Electric Power"/>
    <x v="0"/>
    <n v="730927"/>
  </r>
  <r>
    <x v="25"/>
    <x v="49"/>
    <s v="Combined Heat and Power, Electric Power"/>
    <x v="3"/>
    <n v="619093"/>
  </r>
  <r>
    <x v="25"/>
    <x v="49"/>
    <s v="Combined Heat and Power, Electric Power"/>
    <x v="4"/>
    <n v="3281"/>
  </r>
  <r>
    <x v="25"/>
    <x v="49"/>
    <s v="Combined Heat and Power, Electric Power"/>
    <x v="8"/>
    <n v="108553"/>
  </r>
  <r>
    <x v="25"/>
    <x v="49"/>
    <s v="Electric Generators, Independent Power Producers"/>
    <x v="0"/>
    <n v="11332971"/>
  </r>
  <r>
    <x v="25"/>
    <x v="49"/>
    <s v="Electric Generators, Independent Power Producers"/>
    <x v="1"/>
    <n v="0"/>
  </r>
  <r>
    <x v="25"/>
    <x v="49"/>
    <s v="Electric Generators, Independent Power Producers"/>
    <x v="2"/>
    <n v="103287"/>
  </r>
  <r>
    <x v="25"/>
    <x v="49"/>
    <s v="Electric Generators, Independent Power Producers"/>
    <x v="3"/>
    <n v="142682"/>
  </r>
  <r>
    <x v="25"/>
    <x v="49"/>
    <s v="Electric Generators, Independent Power Producers"/>
    <x v="7"/>
    <n v="10008183"/>
  </r>
  <r>
    <x v="25"/>
    <x v="49"/>
    <s v="Electric Generators, Independent Power Producers"/>
    <x v="4"/>
    <n v="53"/>
  </r>
  <r>
    <x v="25"/>
    <x v="49"/>
    <s v="Electric Generators, Independent Power Producers"/>
    <x v="13"/>
    <n v="1417"/>
  </r>
  <r>
    <x v="25"/>
    <x v="49"/>
    <s v="Electric Generators, Independent Power Producers"/>
    <x v="8"/>
    <n v="379225"/>
  </r>
  <r>
    <x v="25"/>
    <x v="49"/>
    <s v="Electric Generators, Independent Power Producers"/>
    <x v="5"/>
    <n v="530708"/>
  </r>
  <r>
    <x v="25"/>
    <x v="49"/>
    <s v="Electric Generators, Independent Power Producers"/>
    <x v="6"/>
    <n v="167416"/>
  </r>
  <r>
    <x v="25"/>
    <x v="49"/>
    <s v="Electric Generators, Electric Utilities"/>
    <x v="0"/>
    <n v="52388626"/>
  </r>
  <r>
    <x v="25"/>
    <x v="49"/>
    <s v="Electric Generators, Electric Utilities"/>
    <x v="1"/>
    <n v="36498780"/>
  </r>
  <r>
    <x v="25"/>
    <x v="49"/>
    <s v="Electric Generators, Electric Utilities"/>
    <x v="2"/>
    <n v="2074368"/>
  </r>
  <r>
    <x v="25"/>
    <x v="49"/>
    <s v="Electric Generators, Electric Utilities"/>
    <x v="3"/>
    <n v="12342490"/>
  </r>
  <r>
    <x v="25"/>
    <x v="49"/>
    <s v="Electric Generators, Electric Utilities"/>
    <x v="12"/>
    <n v="27260"/>
  </r>
  <r>
    <x v="25"/>
    <x v="49"/>
    <s v="Electric Generators, Electric Utilities"/>
    <x v="4"/>
    <n v="91112"/>
  </r>
  <r>
    <x v="25"/>
    <x v="49"/>
    <s v="Electric Generators, Electric Utilities"/>
    <x v="8"/>
    <n v="20045"/>
  </r>
  <r>
    <x v="25"/>
    <x v="49"/>
    <s v="Electric Generators, Electric Utilities"/>
    <x v="5"/>
    <n v="1051217"/>
  </r>
  <r>
    <x v="25"/>
    <x v="49"/>
    <s v="Electric Generators, Electric Utilities"/>
    <x v="6"/>
    <n v="283354"/>
  </r>
  <r>
    <x v="25"/>
    <x v="50"/>
    <s v="Total Electric Power Industry"/>
    <x v="0"/>
    <n v="72295269"/>
  </r>
  <r>
    <x v="25"/>
    <x v="50"/>
    <s v="Total Electric Power Industry"/>
    <x v="1"/>
    <n v="68056093"/>
  </r>
  <r>
    <x v="25"/>
    <x v="50"/>
    <s v="Total Electric Power Industry"/>
    <x v="2"/>
    <n v="1385043"/>
  </r>
  <r>
    <x v="25"/>
    <x v="50"/>
    <s v="Total Electric Power Industry"/>
    <x v="3"/>
    <n v="1303630"/>
  </r>
  <r>
    <x v="25"/>
    <x v="50"/>
    <s v="Total Electric Power Industry"/>
    <x v="9"/>
    <n v="29077"/>
  </r>
  <r>
    <x v="25"/>
    <x v="50"/>
    <s v="Total Electric Power Industry"/>
    <x v="12"/>
    <n v="0"/>
  </r>
  <r>
    <x v="25"/>
    <x v="50"/>
    <s v="Total Electric Power Industry"/>
    <x v="4"/>
    <n v="140214"/>
  </r>
  <r>
    <x v="25"/>
    <x v="50"/>
    <s v="Total Electric Power Industry"/>
    <x v="8"/>
    <n v="4980"/>
  </r>
  <r>
    <x v="25"/>
    <x v="50"/>
    <s v="Total Electric Power Industry"/>
    <x v="5"/>
    <n v="1376232"/>
  </r>
  <r>
    <x v="25"/>
    <x v="50"/>
    <s v="Combined Heat and Power, Industrial Power"/>
    <x v="0"/>
    <n v="1121474"/>
  </r>
  <r>
    <x v="25"/>
    <x v="50"/>
    <s v="Combined Heat and Power, Industrial Power"/>
    <x v="1"/>
    <n v="539688"/>
  </r>
  <r>
    <x v="25"/>
    <x v="50"/>
    <s v="Combined Heat and Power, Industrial Power"/>
    <x v="2"/>
    <n v="552703"/>
  </r>
  <r>
    <x v="25"/>
    <x v="50"/>
    <s v="Combined Heat and Power, Industrial Power"/>
    <x v="3"/>
    <n v="6"/>
  </r>
  <r>
    <x v="25"/>
    <x v="50"/>
    <s v="Combined Heat and Power, Industrial Power"/>
    <x v="9"/>
    <n v="29077"/>
  </r>
  <r>
    <x v="25"/>
    <x v="50"/>
    <s v="Combined Heat and Power, Electric Power"/>
    <x v="0"/>
    <n v="405911"/>
  </r>
  <r>
    <x v="25"/>
    <x v="50"/>
    <s v="Combined Heat and Power, Electric Power"/>
    <x v="1"/>
    <n v="405548"/>
  </r>
  <r>
    <x v="25"/>
    <x v="50"/>
    <s v="Combined Heat and Power, Electric Power"/>
    <x v="3"/>
    <n v="363"/>
  </r>
  <r>
    <x v="25"/>
    <x v="50"/>
    <s v="Electric Generators, Independent Power Producers"/>
    <x v="0"/>
    <n v="13725382"/>
  </r>
  <r>
    <x v="25"/>
    <x v="50"/>
    <s v="Electric Generators, Independent Power Producers"/>
    <x v="1"/>
    <n v="10800870"/>
  </r>
  <r>
    <x v="25"/>
    <x v="50"/>
    <s v="Electric Generators, Independent Power Producers"/>
    <x v="2"/>
    <n v="344965"/>
  </r>
  <r>
    <x v="25"/>
    <x v="50"/>
    <s v="Electric Generators, Independent Power Producers"/>
    <x v="3"/>
    <n v="1184654"/>
  </r>
  <r>
    <x v="25"/>
    <x v="50"/>
    <s v="Electric Generators, Independent Power Producers"/>
    <x v="12"/>
    <n v="0"/>
  </r>
  <r>
    <x v="25"/>
    <x v="50"/>
    <s v="Electric Generators, Independent Power Producers"/>
    <x v="4"/>
    <n v="13681"/>
  </r>
  <r>
    <x v="25"/>
    <x v="50"/>
    <s v="Electric Generators, Independent Power Producers"/>
    <x v="8"/>
    <n v="4980"/>
  </r>
  <r>
    <x v="25"/>
    <x v="50"/>
    <s v="Electric Generators, Independent Power Producers"/>
    <x v="5"/>
    <n v="1376232"/>
  </r>
  <r>
    <x v="25"/>
    <x v="50"/>
    <s v="Electric Generators, Electric Utilities"/>
    <x v="0"/>
    <n v="57042502"/>
  </r>
  <r>
    <x v="25"/>
    <x v="50"/>
    <s v="Electric Generators, Electric Utilities"/>
    <x v="1"/>
    <n v="56309986"/>
  </r>
  <r>
    <x v="25"/>
    <x v="50"/>
    <s v="Electric Generators, Electric Utilities"/>
    <x v="2"/>
    <n v="487375"/>
  </r>
  <r>
    <x v="25"/>
    <x v="50"/>
    <s v="Electric Generators, Electric Utilities"/>
    <x v="3"/>
    <n v="118608"/>
  </r>
  <r>
    <x v="25"/>
    <x v="50"/>
    <s v="Electric Generators, Electric Utilities"/>
    <x v="12"/>
    <n v="0"/>
  </r>
  <r>
    <x v="25"/>
    <x v="50"/>
    <s v="Electric Generators, Electric Utilities"/>
    <x v="4"/>
    <n v="126533"/>
  </r>
  <r>
    <x v="25"/>
    <x v="51"/>
    <s v="Total Electric Power Industry"/>
    <x v="0"/>
    <n v="48966519"/>
  </r>
  <r>
    <x v="25"/>
    <x v="51"/>
    <s v="Total Electric Power Industry"/>
    <x v="1"/>
    <n v="43091189"/>
  </r>
  <r>
    <x v="25"/>
    <x v="51"/>
    <s v="Total Electric Power Industry"/>
    <x v="2"/>
    <n v="868261"/>
  </r>
  <r>
    <x v="25"/>
    <x v="51"/>
    <s v="Total Electric Power Industry"/>
    <x v="3"/>
    <n v="722304"/>
  </r>
  <r>
    <x v="25"/>
    <x v="51"/>
    <s v="Total Electric Power Industry"/>
    <x v="9"/>
    <n v="405386"/>
  </r>
  <r>
    <x v="25"/>
    <x v="51"/>
    <s v="Total Electric Power Industry"/>
    <x v="12"/>
    <n v="77772"/>
  </r>
  <r>
    <x v="25"/>
    <x v="51"/>
    <s v="Total Electric Power Industry"/>
    <x v="4"/>
    <n v="44898"/>
  </r>
  <r>
    <x v="25"/>
    <x v="51"/>
    <s v="Total Electric Power Industry"/>
    <x v="5"/>
    <n v="3756708"/>
  </r>
  <r>
    <x v="25"/>
    <x v="51"/>
    <s v="Combined Heat and Power, Industrial Power"/>
    <x v="0"/>
    <n v="1485541"/>
  </r>
  <r>
    <x v="25"/>
    <x v="51"/>
    <s v="Combined Heat and Power, Industrial Power"/>
    <x v="1"/>
    <n v="419827"/>
  </r>
  <r>
    <x v="25"/>
    <x v="51"/>
    <s v="Combined Heat and Power, Industrial Power"/>
    <x v="3"/>
    <n v="582192"/>
  </r>
  <r>
    <x v="25"/>
    <x v="51"/>
    <s v="Combined Heat and Power, Industrial Power"/>
    <x v="9"/>
    <n v="405386"/>
  </r>
  <r>
    <x v="25"/>
    <x v="51"/>
    <s v="Combined Heat and Power, Industrial Power"/>
    <x v="12"/>
    <n v="77772"/>
  </r>
  <r>
    <x v="25"/>
    <x v="51"/>
    <s v="Combined Heat and Power, Industrial Power"/>
    <x v="4"/>
    <n v="364"/>
  </r>
  <r>
    <x v="25"/>
    <x v="51"/>
    <s v="Electric Generators, Independent Power Producers"/>
    <x v="0"/>
    <n v="2693131"/>
  </r>
  <r>
    <x v="25"/>
    <x v="51"/>
    <s v="Electric Generators, Independent Power Producers"/>
    <x v="1"/>
    <n v="733913"/>
  </r>
  <r>
    <x v="25"/>
    <x v="51"/>
    <s v="Electric Generators, Independent Power Producers"/>
    <x v="2"/>
    <n v="9908"/>
  </r>
  <r>
    <x v="25"/>
    <x v="51"/>
    <s v="Electric Generators, Independent Power Producers"/>
    <x v="3"/>
    <n v="640"/>
  </r>
  <r>
    <x v="25"/>
    <x v="51"/>
    <s v="Electric Generators, Independent Power Producers"/>
    <x v="5"/>
    <n v="1948670"/>
  </r>
  <r>
    <x v="25"/>
    <x v="51"/>
    <s v="Electric Generators, Electric Utilities"/>
    <x v="0"/>
    <n v="44787847"/>
  </r>
  <r>
    <x v="25"/>
    <x v="51"/>
    <s v="Electric Generators, Electric Utilities"/>
    <x v="1"/>
    <n v="41937449"/>
  </r>
  <r>
    <x v="25"/>
    <x v="51"/>
    <s v="Electric Generators, Electric Utilities"/>
    <x v="2"/>
    <n v="858353"/>
  </r>
  <r>
    <x v="25"/>
    <x v="51"/>
    <s v="Electric Generators, Electric Utilities"/>
    <x v="3"/>
    <n v="139473"/>
  </r>
  <r>
    <x v="25"/>
    <x v="51"/>
    <s v="Electric Generators, Electric Utilities"/>
    <x v="4"/>
    <n v="44535"/>
  </r>
  <r>
    <x v="25"/>
    <x v="51"/>
    <s v="Electric Generators, Electric Utilities"/>
    <x v="5"/>
    <n v="1808038"/>
  </r>
  <r>
    <x v="26"/>
    <x v="0"/>
    <s v="Total Electric Power Industry"/>
    <x v="0"/>
    <n v="6335034"/>
  </r>
  <r>
    <x v="26"/>
    <x v="0"/>
    <s v="Total Electric Power Industry"/>
    <x v="1"/>
    <n v="594139"/>
  </r>
  <r>
    <x v="26"/>
    <x v="0"/>
    <s v="Total Electric Power Industry"/>
    <x v="2"/>
    <n v="1659152"/>
  </r>
  <r>
    <x v="26"/>
    <x v="0"/>
    <s v="Total Electric Power Industry"/>
    <x v="3"/>
    <n v="3040487"/>
  </r>
  <r>
    <x v="26"/>
    <x v="0"/>
    <s v="Total Electric Power Industry"/>
    <x v="12"/>
    <n v="-2392"/>
  </r>
  <r>
    <x v="26"/>
    <x v="0"/>
    <s v="Total Electric Power Industry"/>
    <x v="4"/>
    <n v="831330"/>
  </r>
  <r>
    <x v="26"/>
    <x v="0"/>
    <s v="Total Electric Power Industry"/>
    <x v="8"/>
    <n v="43017"/>
  </r>
  <r>
    <x v="26"/>
    <x v="0"/>
    <s v="Total Electric Power Industry"/>
    <x v="5"/>
    <n v="169301"/>
  </r>
  <r>
    <x v="26"/>
    <x v="0"/>
    <s v="Total Electric Power Industry"/>
    <x v="6"/>
    <n v="0"/>
  </r>
  <r>
    <x v="26"/>
    <x v="0"/>
    <s v="Combined Heat and Power, Industrial Power"/>
    <x v="0"/>
    <n v="111473"/>
  </r>
  <r>
    <x v="26"/>
    <x v="0"/>
    <s v="Combined Heat and Power, Industrial Power"/>
    <x v="3"/>
    <n v="62679"/>
  </r>
  <r>
    <x v="26"/>
    <x v="0"/>
    <s v="Combined Heat and Power, Industrial Power"/>
    <x v="4"/>
    <n v="48292"/>
  </r>
  <r>
    <x v="26"/>
    <x v="0"/>
    <s v="Combined Heat and Power, Industrial Power"/>
    <x v="8"/>
    <n v="502"/>
  </r>
  <r>
    <x v="26"/>
    <x v="0"/>
    <s v="Combined Heat and Power, Commercial Power"/>
    <x v="0"/>
    <n v="321729"/>
  </r>
  <r>
    <x v="26"/>
    <x v="0"/>
    <s v="Combined Heat and Power, Commercial Power"/>
    <x v="1"/>
    <n v="107009"/>
  </r>
  <r>
    <x v="26"/>
    <x v="0"/>
    <s v="Combined Heat and Power, Commercial Power"/>
    <x v="2"/>
    <n v="168147"/>
  </r>
  <r>
    <x v="26"/>
    <x v="0"/>
    <s v="Combined Heat and Power, Commercial Power"/>
    <x v="3"/>
    <n v="1131"/>
  </r>
  <r>
    <x v="26"/>
    <x v="0"/>
    <s v="Combined Heat and Power, Commercial Power"/>
    <x v="4"/>
    <n v="2927"/>
  </r>
  <r>
    <x v="26"/>
    <x v="0"/>
    <s v="Combined Heat and Power, Commercial Power"/>
    <x v="8"/>
    <n v="42515"/>
  </r>
  <r>
    <x v="26"/>
    <x v="0"/>
    <s v="Combined Heat and Power, Commercial Power"/>
    <x v="6"/>
    <n v="0"/>
  </r>
  <r>
    <x v="26"/>
    <x v="0"/>
    <s v="Combined Heat and Power, Electric Power"/>
    <x v="0"/>
    <n v="191982"/>
  </r>
  <r>
    <x v="26"/>
    <x v="0"/>
    <s v="Combined Heat and Power, Electric Power"/>
    <x v="1"/>
    <n v="191982"/>
  </r>
  <r>
    <x v="26"/>
    <x v="0"/>
    <s v="Combined Heat and Power, Electric Power"/>
    <x v="4"/>
    <n v="0"/>
  </r>
  <r>
    <x v="26"/>
    <x v="0"/>
    <s v="Combined Heat and Power, Electric Power"/>
    <x v="8"/>
    <n v="0"/>
  </r>
  <r>
    <x v="26"/>
    <x v="0"/>
    <s v="Combined Heat and Power, Electric Power"/>
    <x v="6"/>
    <n v="0"/>
  </r>
  <r>
    <x v="26"/>
    <x v="0"/>
    <s v="Electric Generators, Independent Power Producers"/>
    <x v="0"/>
    <n v="60468"/>
  </r>
  <r>
    <x v="26"/>
    <x v="0"/>
    <s v="Electric Generators, Independent Power Producers"/>
    <x v="5"/>
    <n v="60468"/>
  </r>
  <r>
    <x v="26"/>
    <x v="0"/>
    <s v="Electric Generators, Electric Utilities"/>
    <x v="0"/>
    <n v="5649381"/>
  </r>
  <r>
    <x v="26"/>
    <x v="0"/>
    <s v="Electric Generators, Electric Utilities"/>
    <x v="1"/>
    <n v="295148"/>
  </r>
  <r>
    <x v="26"/>
    <x v="0"/>
    <s v="Electric Generators, Electric Utilities"/>
    <x v="2"/>
    <n v="1491005"/>
  </r>
  <r>
    <x v="26"/>
    <x v="0"/>
    <s v="Electric Generators, Electric Utilities"/>
    <x v="3"/>
    <n v="2976677"/>
  </r>
  <r>
    <x v="26"/>
    <x v="0"/>
    <s v="Electric Generators, Electric Utilities"/>
    <x v="12"/>
    <n v="-2392"/>
  </r>
  <r>
    <x v="26"/>
    <x v="0"/>
    <s v="Electric Generators, Electric Utilities"/>
    <x v="4"/>
    <n v="780110"/>
  </r>
  <r>
    <x v="26"/>
    <x v="0"/>
    <s v="Electric Generators, Electric Utilities"/>
    <x v="5"/>
    <n v="108833"/>
  </r>
  <r>
    <x v="26"/>
    <x v="1"/>
    <s v="Total Electric Power Industry"/>
    <x v="0"/>
    <n v="142385098"/>
  </r>
  <r>
    <x v="26"/>
    <x v="1"/>
    <s v="Total Electric Power Industry"/>
    <x v="1"/>
    <n v="34258406"/>
  </r>
  <r>
    <x v="26"/>
    <x v="1"/>
    <s v="Total Electric Power Industry"/>
    <x v="2"/>
    <n v="6984803"/>
  </r>
  <r>
    <x v="26"/>
    <x v="1"/>
    <s v="Total Electric Power Industry"/>
    <x v="3"/>
    <n v="57803618"/>
  </r>
  <r>
    <x v="26"/>
    <x v="1"/>
    <s v="Total Electric Power Industry"/>
    <x v="7"/>
    <n v="39901879"/>
  </r>
  <r>
    <x v="26"/>
    <x v="1"/>
    <s v="Total Electric Power Industry"/>
    <x v="9"/>
    <n v="24053"/>
  </r>
  <r>
    <x v="26"/>
    <x v="1"/>
    <s v="Total Electric Power Industry"/>
    <x v="12"/>
    <n v="0"/>
  </r>
  <r>
    <x v="26"/>
    <x v="1"/>
    <s v="Total Electric Power Industry"/>
    <x v="4"/>
    <n v="45832"/>
  </r>
  <r>
    <x v="26"/>
    <x v="1"/>
    <s v="Total Electric Power Industry"/>
    <x v="13"/>
    <n v="31261"/>
  </r>
  <r>
    <x v="26"/>
    <x v="1"/>
    <s v="Total Electric Power Industry"/>
    <x v="8"/>
    <n v="38110"/>
  </r>
  <r>
    <x v="26"/>
    <x v="1"/>
    <s v="Total Electric Power Industry"/>
    <x v="6"/>
    <n v="3297136"/>
  </r>
  <r>
    <x v="26"/>
    <x v="1"/>
    <s v="Combined Heat and Power, Industrial Power"/>
    <x v="0"/>
    <n v="4255021"/>
  </r>
  <r>
    <x v="26"/>
    <x v="1"/>
    <s v="Combined Heat and Power, Industrial Power"/>
    <x v="1"/>
    <n v="72290"/>
  </r>
  <r>
    <x v="26"/>
    <x v="1"/>
    <s v="Combined Heat and Power, Industrial Power"/>
    <x v="3"/>
    <n v="1073389"/>
  </r>
  <r>
    <x v="26"/>
    <x v="1"/>
    <s v="Combined Heat and Power, Industrial Power"/>
    <x v="9"/>
    <n v="24053"/>
  </r>
  <r>
    <x v="26"/>
    <x v="1"/>
    <s v="Combined Heat and Power, Industrial Power"/>
    <x v="12"/>
    <n v="0"/>
  </r>
  <r>
    <x v="26"/>
    <x v="1"/>
    <s v="Combined Heat and Power, Industrial Power"/>
    <x v="4"/>
    <n v="14683"/>
  </r>
  <r>
    <x v="26"/>
    <x v="1"/>
    <s v="Combined Heat and Power, Industrial Power"/>
    <x v="8"/>
    <n v="0"/>
  </r>
  <r>
    <x v="26"/>
    <x v="1"/>
    <s v="Combined Heat and Power, Industrial Power"/>
    <x v="6"/>
    <n v="3070606"/>
  </r>
  <r>
    <x v="26"/>
    <x v="1"/>
    <s v="Combined Heat and Power, Electric Power"/>
    <x v="0"/>
    <n v="4506703"/>
  </r>
  <r>
    <x v="26"/>
    <x v="1"/>
    <s v="Combined Heat and Power, Electric Power"/>
    <x v="1"/>
    <n v="0"/>
  </r>
  <r>
    <x v="26"/>
    <x v="1"/>
    <s v="Combined Heat and Power, Electric Power"/>
    <x v="3"/>
    <n v="4280173"/>
  </r>
  <r>
    <x v="26"/>
    <x v="1"/>
    <s v="Combined Heat and Power, Electric Power"/>
    <x v="6"/>
    <n v="226530"/>
  </r>
  <r>
    <x v="26"/>
    <x v="1"/>
    <s v="Electric Generators, Independent Power Producers"/>
    <x v="0"/>
    <n v="35632171"/>
  </r>
  <r>
    <x v="26"/>
    <x v="1"/>
    <s v="Electric Generators, Independent Power Producers"/>
    <x v="3"/>
    <n v="35557410"/>
  </r>
  <r>
    <x v="26"/>
    <x v="1"/>
    <s v="Electric Generators, Independent Power Producers"/>
    <x v="4"/>
    <n v="5390"/>
  </r>
  <r>
    <x v="26"/>
    <x v="1"/>
    <s v="Electric Generators, Independent Power Producers"/>
    <x v="13"/>
    <n v="31261"/>
  </r>
  <r>
    <x v="26"/>
    <x v="1"/>
    <s v="Electric Generators, Independent Power Producers"/>
    <x v="8"/>
    <n v="38110"/>
  </r>
  <r>
    <x v="26"/>
    <x v="1"/>
    <s v="Electric Generators, Electric Utilities"/>
    <x v="0"/>
    <n v="97991203"/>
  </r>
  <r>
    <x v="26"/>
    <x v="1"/>
    <s v="Electric Generators, Electric Utilities"/>
    <x v="1"/>
    <n v="34186115"/>
  </r>
  <r>
    <x v="26"/>
    <x v="1"/>
    <s v="Electric Generators, Electric Utilities"/>
    <x v="2"/>
    <n v="6984803"/>
  </r>
  <r>
    <x v="26"/>
    <x v="1"/>
    <s v="Electric Generators, Electric Utilities"/>
    <x v="3"/>
    <n v="16892646"/>
  </r>
  <r>
    <x v="26"/>
    <x v="1"/>
    <s v="Electric Generators, Electric Utilities"/>
    <x v="7"/>
    <n v="39901879"/>
  </r>
  <r>
    <x v="26"/>
    <x v="1"/>
    <s v="Electric Generators, Electric Utilities"/>
    <x v="4"/>
    <n v="25760"/>
  </r>
  <r>
    <x v="26"/>
    <x v="1"/>
    <s v="Electric Generators, Electric Utilities"/>
    <x v="6"/>
    <n v="0"/>
  </r>
  <r>
    <x v="26"/>
    <x v="2"/>
    <s v="Total Electric Power Industry"/>
    <x v="0"/>
    <n v="60445059"/>
  </r>
  <r>
    <x v="26"/>
    <x v="2"/>
    <s v="Total Electric Power Industry"/>
    <x v="1"/>
    <n v="23800070"/>
  </r>
  <r>
    <x v="26"/>
    <x v="2"/>
    <s v="Total Electric Power Industry"/>
    <x v="10"/>
    <n v="38824"/>
  </r>
  <r>
    <x v="26"/>
    <x v="2"/>
    <s v="Total Electric Power Industry"/>
    <x v="2"/>
    <n v="3569986"/>
  </r>
  <r>
    <x v="26"/>
    <x v="2"/>
    <s v="Total Electric Power Industry"/>
    <x v="3"/>
    <n v="18171187"/>
  </r>
  <r>
    <x v="26"/>
    <x v="2"/>
    <s v="Total Electric Power Industry"/>
    <x v="7"/>
    <n v="13421022"/>
  </r>
  <r>
    <x v="26"/>
    <x v="2"/>
    <s v="Total Electric Power Industry"/>
    <x v="12"/>
    <n v="5637"/>
  </r>
  <r>
    <x v="26"/>
    <x v="2"/>
    <s v="Total Electric Power Industry"/>
    <x v="4"/>
    <n v="42363"/>
  </r>
  <r>
    <x v="26"/>
    <x v="2"/>
    <s v="Total Electric Power Industry"/>
    <x v="13"/>
    <n v="26142"/>
  </r>
  <r>
    <x v="26"/>
    <x v="2"/>
    <s v="Total Electric Power Industry"/>
    <x v="8"/>
    <n v="112707"/>
  </r>
  <r>
    <x v="26"/>
    <x v="2"/>
    <s v="Total Electric Power Industry"/>
    <x v="6"/>
    <n v="1257121"/>
  </r>
  <r>
    <x v="26"/>
    <x v="2"/>
    <s v="Combined Heat and Power, Industrial Power"/>
    <x v="0"/>
    <n v="1594982"/>
  </r>
  <r>
    <x v="26"/>
    <x v="2"/>
    <s v="Combined Heat and Power, Industrial Power"/>
    <x v="1"/>
    <n v="49895"/>
  </r>
  <r>
    <x v="26"/>
    <x v="2"/>
    <s v="Combined Heat and Power, Industrial Power"/>
    <x v="3"/>
    <n v="278974"/>
  </r>
  <r>
    <x v="26"/>
    <x v="2"/>
    <s v="Combined Heat and Power, Industrial Power"/>
    <x v="12"/>
    <n v="5637"/>
  </r>
  <r>
    <x v="26"/>
    <x v="2"/>
    <s v="Combined Heat and Power, Industrial Power"/>
    <x v="4"/>
    <n v="3355"/>
  </r>
  <r>
    <x v="26"/>
    <x v="2"/>
    <s v="Combined Heat and Power, Industrial Power"/>
    <x v="6"/>
    <n v="1257121"/>
  </r>
  <r>
    <x v="26"/>
    <x v="2"/>
    <s v="Combined Heat and Power, Commercial Power"/>
    <x v="0"/>
    <n v="43313"/>
  </r>
  <r>
    <x v="26"/>
    <x v="2"/>
    <s v="Combined Heat and Power, Commercial Power"/>
    <x v="3"/>
    <n v="38682"/>
  </r>
  <r>
    <x v="26"/>
    <x v="2"/>
    <s v="Combined Heat and Power, Commercial Power"/>
    <x v="8"/>
    <n v="4631"/>
  </r>
  <r>
    <x v="26"/>
    <x v="2"/>
    <s v="Combined Heat and Power, Electric Power"/>
    <x v="0"/>
    <n v="1256411"/>
  </r>
  <r>
    <x v="26"/>
    <x v="2"/>
    <s v="Combined Heat and Power, Electric Power"/>
    <x v="3"/>
    <n v="1212971"/>
  </r>
  <r>
    <x v="26"/>
    <x v="2"/>
    <s v="Combined Heat and Power, Electric Power"/>
    <x v="4"/>
    <n v="0"/>
  </r>
  <r>
    <x v="26"/>
    <x v="2"/>
    <s v="Combined Heat and Power, Electric Power"/>
    <x v="8"/>
    <n v="43440"/>
  </r>
  <r>
    <x v="26"/>
    <x v="2"/>
    <s v="Electric Generators, Independent Power Producers"/>
    <x v="0"/>
    <n v="14198248"/>
  </r>
  <r>
    <x v="26"/>
    <x v="2"/>
    <s v="Electric Generators, Independent Power Producers"/>
    <x v="1"/>
    <n v="4596002"/>
  </r>
  <r>
    <x v="26"/>
    <x v="2"/>
    <s v="Electric Generators, Independent Power Producers"/>
    <x v="2"/>
    <n v="44305"/>
  </r>
  <r>
    <x v="26"/>
    <x v="2"/>
    <s v="Electric Generators, Independent Power Producers"/>
    <x v="3"/>
    <n v="9459445"/>
  </r>
  <r>
    <x v="26"/>
    <x v="2"/>
    <s v="Electric Generators, Independent Power Producers"/>
    <x v="4"/>
    <n v="9318"/>
  </r>
  <r>
    <x v="26"/>
    <x v="2"/>
    <s v="Electric Generators, Independent Power Producers"/>
    <x v="13"/>
    <n v="24542"/>
  </r>
  <r>
    <x v="26"/>
    <x v="2"/>
    <s v="Electric Generators, Independent Power Producers"/>
    <x v="8"/>
    <n v="64636"/>
  </r>
  <r>
    <x v="26"/>
    <x v="2"/>
    <s v="Electric Generators, Electric Utilities"/>
    <x v="0"/>
    <n v="43352105"/>
  </r>
  <r>
    <x v="26"/>
    <x v="2"/>
    <s v="Electric Generators, Electric Utilities"/>
    <x v="1"/>
    <n v="19154174"/>
  </r>
  <r>
    <x v="26"/>
    <x v="2"/>
    <s v="Electric Generators, Electric Utilities"/>
    <x v="10"/>
    <n v="38824"/>
  </r>
  <r>
    <x v="26"/>
    <x v="2"/>
    <s v="Electric Generators, Electric Utilities"/>
    <x v="2"/>
    <n v="3525681"/>
  </r>
  <r>
    <x v="26"/>
    <x v="2"/>
    <s v="Electric Generators, Electric Utilities"/>
    <x v="3"/>
    <n v="7181115"/>
  </r>
  <r>
    <x v="26"/>
    <x v="2"/>
    <s v="Electric Generators, Electric Utilities"/>
    <x v="7"/>
    <n v="13421022"/>
  </r>
  <r>
    <x v="26"/>
    <x v="2"/>
    <s v="Electric Generators, Electric Utilities"/>
    <x v="4"/>
    <n v="29689"/>
  </r>
  <r>
    <x v="26"/>
    <x v="2"/>
    <s v="Electric Generators, Electric Utilities"/>
    <x v="13"/>
    <n v="1600"/>
  </r>
  <r>
    <x v="26"/>
    <x v="3"/>
    <s v="Total Electric Power Industry"/>
    <x v="0"/>
    <n v="108763449"/>
  </r>
  <r>
    <x v="26"/>
    <x v="3"/>
    <s v="Total Electric Power Industry"/>
    <x v="1"/>
    <n v="30403392"/>
  </r>
  <r>
    <x v="26"/>
    <x v="3"/>
    <s v="Total Electric Power Industry"/>
    <x v="10"/>
    <n v="58630"/>
  </r>
  <r>
    <x v="26"/>
    <x v="3"/>
    <s v="Total Electric Power Industry"/>
    <x v="2"/>
    <n v="7167763"/>
  </r>
  <r>
    <x v="26"/>
    <x v="3"/>
    <s v="Total Electric Power Industry"/>
    <x v="3"/>
    <n v="34182808"/>
  </r>
  <r>
    <x v="26"/>
    <x v="3"/>
    <s v="Total Electric Power Industry"/>
    <x v="7"/>
    <n v="32377477"/>
  </r>
  <r>
    <x v="26"/>
    <x v="3"/>
    <s v="Total Electric Power Industry"/>
    <x v="4"/>
    <n v="51595"/>
  </r>
  <r>
    <x v="26"/>
    <x v="3"/>
    <s v="Total Electric Power Industry"/>
    <x v="13"/>
    <n v="3765825"/>
  </r>
  <r>
    <x v="26"/>
    <x v="3"/>
    <s v="Total Electric Power Industry"/>
    <x v="8"/>
    <n v="38242"/>
  </r>
  <r>
    <x v="26"/>
    <x v="3"/>
    <s v="Total Electric Power Industry"/>
    <x v="5"/>
    <n v="541582"/>
  </r>
  <r>
    <x v="26"/>
    <x v="3"/>
    <s v="Total Electric Power Industry"/>
    <x v="6"/>
    <n v="176136"/>
  </r>
  <r>
    <x v="26"/>
    <x v="3"/>
    <s v="Combined Heat and Power, Commercial Power"/>
    <x v="0"/>
    <n v="165193"/>
  </r>
  <r>
    <x v="26"/>
    <x v="3"/>
    <s v="Combined Heat and Power, Commercial Power"/>
    <x v="3"/>
    <n v="141364"/>
  </r>
  <r>
    <x v="26"/>
    <x v="3"/>
    <s v="Combined Heat and Power, Commercial Power"/>
    <x v="4"/>
    <n v="27"/>
  </r>
  <r>
    <x v="26"/>
    <x v="3"/>
    <s v="Combined Heat and Power, Commercial Power"/>
    <x v="13"/>
    <n v="23802"/>
  </r>
  <r>
    <x v="26"/>
    <x v="3"/>
    <s v="Combined Heat and Power, Electric Power"/>
    <x v="0"/>
    <n v="11206"/>
  </r>
  <r>
    <x v="26"/>
    <x v="3"/>
    <s v="Combined Heat and Power, Electric Power"/>
    <x v="3"/>
    <n v="11206"/>
  </r>
  <r>
    <x v="26"/>
    <x v="3"/>
    <s v="Combined Heat and Power, Electric Power"/>
    <x v="4"/>
    <n v="0"/>
  </r>
  <r>
    <x v="26"/>
    <x v="3"/>
    <s v="Electric Generators, Independent Power Producers"/>
    <x v="0"/>
    <n v="18765113"/>
  </r>
  <r>
    <x v="26"/>
    <x v="3"/>
    <s v="Electric Generators, Independent Power Producers"/>
    <x v="3"/>
    <n v="14764618"/>
  </r>
  <r>
    <x v="26"/>
    <x v="3"/>
    <s v="Electric Generators, Independent Power Producers"/>
    <x v="13"/>
    <n v="3244535"/>
  </r>
  <r>
    <x v="26"/>
    <x v="3"/>
    <s v="Electric Generators, Independent Power Producers"/>
    <x v="8"/>
    <n v="38242"/>
  </r>
  <r>
    <x v="26"/>
    <x v="3"/>
    <s v="Electric Generators, Independent Power Producers"/>
    <x v="5"/>
    <n v="541582"/>
  </r>
  <r>
    <x v="26"/>
    <x v="3"/>
    <s v="Electric Generators, Independent Power Producers"/>
    <x v="6"/>
    <n v="176136"/>
  </r>
  <r>
    <x v="26"/>
    <x v="3"/>
    <s v="Electric Generators, Electric Utilities"/>
    <x v="0"/>
    <n v="89821938"/>
  </r>
  <r>
    <x v="26"/>
    <x v="3"/>
    <s v="Electric Generators, Electric Utilities"/>
    <x v="1"/>
    <n v="30403392"/>
  </r>
  <r>
    <x v="26"/>
    <x v="3"/>
    <s v="Electric Generators, Electric Utilities"/>
    <x v="10"/>
    <n v="58630"/>
  </r>
  <r>
    <x v="26"/>
    <x v="3"/>
    <s v="Electric Generators, Electric Utilities"/>
    <x v="2"/>
    <n v="7167763"/>
  </r>
  <r>
    <x v="26"/>
    <x v="3"/>
    <s v="Electric Generators, Electric Utilities"/>
    <x v="3"/>
    <n v="19265620"/>
  </r>
  <r>
    <x v="26"/>
    <x v="3"/>
    <s v="Electric Generators, Electric Utilities"/>
    <x v="7"/>
    <n v="32377477"/>
  </r>
  <r>
    <x v="26"/>
    <x v="3"/>
    <s v="Electric Generators, Electric Utilities"/>
    <x v="4"/>
    <n v="51568"/>
  </r>
  <r>
    <x v="26"/>
    <x v="3"/>
    <s v="Electric Generators, Electric Utilities"/>
    <x v="13"/>
    <n v="497488"/>
  </r>
  <r>
    <x v="26"/>
    <x v="3"/>
    <s v="Electric Generators, Electric Utilities"/>
    <x v="8"/>
    <n v="0"/>
  </r>
  <r>
    <x v="26"/>
    <x v="4"/>
    <s v="Total Electric Power Industry"/>
    <x v="0"/>
    <n v="196963215"/>
  </r>
  <r>
    <x v="26"/>
    <x v="4"/>
    <s v="Total Electric Power Industry"/>
    <x v="1"/>
    <n v="318876"/>
  </r>
  <r>
    <x v="26"/>
    <x v="4"/>
    <s v="Total Electric Power Industry"/>
    <x v="11"/>
    <n v="11457299"/>
  </r>
  <r>
    <x v="26"/>
    <x v="4"/>
    <s v="Total Electric Power Industry"/>
    <x v="10"/>
    <n v="-259349"/>
  </r>
  <r>
    <x v="26"/>
    <x v="4"/>
    <s v="Total Electric Power Industry"/>
    <x v="2"/>
    <n v="28942121"/>
  </r>
  <r>
    <x v="26"/>
    <x v="4"/>
    <s v="Total Electric Power Industry"/>
    <x v="3"/>
    <n v="97073664"/>
  </r>
  <r>
    <x v="26"/>
    <x v="4"/>
    <s v="Total Electric Power Industry"/>
    <x v="7"/>
    <n v="18907578"/>
  </r>
  <r>
    <x v="26"/>
    <x v="4"/>
    <s v="Total Electric Power Industry"/>
    <x v="9"/>
    <n v="1426816"/>
  </r>
  <r>
    <x v="26"/>
    <x v="4"/>
    <s v="Total Electric Power Industry"/>
    <x v="12"/>
    <n v="665664"/>
  </r>
  <r>
    <x v="26"/>
    <x v="4"/>
    <s v="Total Electric Power Industry"/>
    <x v="4"/>
    <n v="175581"/>
  </r>
  <r>
    <x v="26"/>
    <x v="4"/>
    <s v="Total Electric Power Industry"/>
    <x v="13"/>
    <n v="18806711"/>
  </r>
  <r>
    <x v="26"/>
    <x v="4"/>
    <s v="Total Electric Power Industry"/>
    <x v="8"/>
    <n v="2909930"/>
  </r>
  <r>
    <x v="26"/>
    <x v="4"/>
    <s v="Total Electric Power Industry"/>
    <x v="5"/>
    <n v="13509039"/>
  </r>
  <r>
    <x v="26"/>
    <x v="4"/>
    <s v="Total Electric Power Industry"/>
    <x v="6"/>
    <n v="3029285"/>
  </r>
  <r>
    <x v="26"/>
    <x v="4"/>
    <s v="Combined Heat and Power, Industrial Power"/>
    <x v="0"/>
    <n v="13701715"/>
  </r>
  <r>
    <x v="26"/>
    <x v="4"/>
    <s v="Combined Heat and Power, Industrial Power"/>
    <x v="1"/>
    <n v="318876"/>
  </r>
  <r>
    <x v="26"/>
    <x v="4"/>
    <s v="Combined Heat and Power, Industrial Power"/>
    <x v="3"/>
    <n v="10731340"/>
  </r>
  <r>
    <x v="26"/>
    <x v="4"/>
    <s v="Combined Heat and Power, Industrial Power"/>
    <x v="9"/>
    <n v="1426816"/>
  </r>
  <r>
    <x v="26"/>
    <x v="4"/>
    <s v="Combined Heat and Power, Industrial Power"/>
    <x v="12"/>
    <n v="487136"/>
  </r>
  <r>
    <x v="26"/>
    <x v="4"/>
    <s v="Combined Heat and Power, Industrial Power"/>
    <x v="4"/>
    <n v="135086"/>
  </r>
  <r>
    <x v="26"/>
    <x v="4"/>
    <s v="Combined Heat and Power, Industrial Power"/>
    <x v="13"/>
    <n v="8338"/>
  </r>
  <r>
    <x v="26"/>
    <x v="4"/>
    <s v="Combined Heat and Power, Industrial Power"/>
    <x v="8"/>
    <n v="3767"/>
  </r>
  <r>
    <x v="26"/>
    <x v="4"/>
    <s v="Combined Heat and Power, Industrial Power"/>
    <x v="5"/>
    <n v="5361"/>
  </r>
  <r>
    <x v="26"/>
    <x v="4"/>
    <s v="Combined Heat and Power, Industrial Power"/>
    <x v="6"/>
    <n v="584995"/>
  </r>
  <r>
    <x v="26"/>
    <x v="4"/>
    <s v="Combined Heat and Power, Commercial Power"/>
    <x v="0"/>
    <n v="2858960"/>
  </r>
  <r>
    <x v="26"/>
    <x v="4"/>
    <s v="Combined Heat and Power, Commercial Power"/>
    <x v="10"/>
    <n v="0"/>
  </r>
  <r>
    <x v="26"/>
    <x v="4"/>
    <s v="Combined Heat and Power, Commercial Power"/>
    <x v="2"/>
    <n v="12256"/>
  </r>
  <r>
    <x v="26"/>
    <x v="4"/>
    <s v="Combined Heat and Power, Commercial Power"/>
    <x v="3"/>
    <n v="1865916"/>
  </r>
  <r>
    <x v="26"/>
    <x v="4"/>
    <s v="Combined Heat and Power, Commercial Power"/>
    <x v="12"/>
    <n v="-156"/>
  </r>
  <r>
    <x v="26"/>
    <x v="4"/>
    <s v="Combined Heat and Power, Commercial Power"/>
    <x v="4"/>
    <n v="408"/>
  </r>
  <r>
    <x v="26"/>
    <x v="4"/>
    <s v="Combined Heat and Power, Commercial Power"/>
    <x v="13"/>
    <n v="121358"/>
  </r>
  <r>
    <x v="26"/>
    <x v="4"/>
    <s v="Combined Heat and Power, Commercial Power"/>
    <x v="8"/>
    <n v="853055"/>
  </r>
  <r>
    <x v="26"/>
    <x v="4"/>
    <s v="Combined Heat and Power, Commercial Power"/>
    <x v="5"/>
    <n v="6123"/>
  </r>
  <r>
    <x v="26"/>
    <x v="4"/>
    <s v="Combined Heat and Power, Electric Power"/>
    <x v="0"/>
    <n v="16664260"/>
  </r>
  <r>
    <x v="26"/>
    <x v="4"/>
    <s v="Combined Heat and Power, Electric Power"/>
    <x v="1"/>
    <n v="0"/>
  </r>
  <r>
    <x v="26"/>
    <x v="4"/>
    <s v="Combined Heat and Power, Electric Power"/>
    <x v="3"/>
    <n v="15616091"/>
  </r>
  <r>
    <x v="26"/>
    <x v="4"/>
    <s v="Combined Heat and Power, Electric Power"/>
    <x v="12"/>
    <n v="73367"/>
  </r>
  <r>
    <x v="26"/>
    <x v="4"/>
    <s v="Combined Heat and Power, Electric Power"/>
    <x v="4"/>
    <n v="0"/>
  </r>
  <r>
    <x v="26"/>
    <x v="4"/>
    <s v="Combined Heat and Power, Electric Power"/>
    <x v="13"/>
    <n v="2320"/>
  </r>
  <r>
    <x v="26"/>
    <x v="4"/>
    <s v="Combined Heat and Power, Electric Power"/>
    <x v="8"/>
    <n v="173501"/>
  </r>
  <r>
    <x v="26"/>
    <x v="4"/>
    <s v="Combined Heat and Power, Electric Power"/>
    <x v="6"/>
    <n v="798981"/>
  </r>
  <r>
    <x v="26"/>
    <x v="4"/>
    <s v="Electric Generators, Independent Power Producers"/>
    <x v="0"/>
    <n v="82582662"/>
  </r>
  <r>
    <x v="26"/>
    <x v="4"/>
    <s v="Electric Generators, Independent Power Producers"/>
    <x v="11"/>
    <n v="10638281"/>
  </r>
  <r>
    <x v="26"/>
    <x v="4"/>
    <s v="Electric Generators, Independent Power Producers"/>
    <x v="2"/>
    <n v="1627061"/>
  </r>
  <r>
    <x v="26"/>
    <x v="4"/>
    <s v="Electric Generators, Independent Power Producers"/>
    <x v="3"/>
    <n v="35905155"/>
  </r>
  <r>
    <x v="26"/>
    <x v="4"/>
    <s v="Electric Generators, Independent Power Producers"/>
    <x v="12"/>
    <n v="109465"/>
  </r>
  <r>
    <x v="26"/>
    <x v="4"/>
    <s v="Electric Generators, Independent Power Producers"/>
    <x v="4"/>
    <n v="7108"/>
  </r>
  <r>
    <x v="26"/>
    <x v="4"/>
    <s v="Electric Generators, Independent Power Producers"/>
    <x v="13"/>
    <n v="18206698"/>
  </r>
  <r>
    <x v="26"/>
    <x v="4"/>
    <s v="Electric Generators, Independent Power Producers"/>
    <x v="8"/>
    <n v="1649992"/>
  </r>
  <r>
    <x v="26"/>
    <x v="4"/>
    <s v="Electric Generators, Independent Power Producers"/>
    <x v="5"/>
    <n v="12793594"/>
  </r>
  <r>
    <x v="26"/>
    <x v="4"/>
    <s v="Electric Generators, Independent Power Producers"/>
    <x v="6"/>
    <n v="1645309"/>
  </r>
  <r>
    <x v="26"/>
    <x v="4"/>
    <s v="Electric Generators, Electric Utilities"/>
    <x v="0"/>
    <n v="81155619"/>
  </r>
  <r>
    <x v="26"/>
    <x v="4"/>
    <s v="Electric Generators, Electric Utilities"/>
    <x v="11"/>
    <n v="819018"/>
  </r>
  <r>
    <x v="26"/>
    <x v="4"/>
    <s v="Electric Generators, Electric Utilities"/>
    <x v="10"/>
    <n v="-259349"/>
  </r>
  <r>
    <x v="26"/>
    <x v="4"/>
    <s v="Electric Generators, Electric Utilities"/>
    <x v="2"/>
    <n v="27302804"/>
  </r>
  <r>
    <x v="26"/>
    <x v="4"/>
    <s v="Electric Generators, Electric Utilities"/>
    <x v="3"/>
    <n v="32955162"/>
  </r>
  <r>
    <x v="26"/>
    <x v="4"/>
    <s v="Electric Generators, Electric Utilities"/>
    <x v="7"/>
    <n v="18907578"/>
  </r>
  <r>
    <x v="26"/>
    <x v="4"/>
    <s v="Electric Generators, Electric Utilities"/>
    <x v="9"/>
    <n v="0"/>
  </r>
  <r>
    <x v="26"/>
    <x v="4"/>
    <s v="Electric Generators, Electric Utilities"/>
    <x v="12"/>
    <n v="-4147"/>
  </r>
  <r>
    <x v="26"/>
    <x v="4"/>
    <s v="Electric Generators, Electric Utilities"/>
    <x v="4"/>
    <n v="32979"/>
  </r>
  <r>
    <x v="26"/>
    <x v="4"/>
    <s v="Electric Generators, Electric Utilities"/>
    <x v="13"/>
    <n v="467998"/>
  </r>
  <r>
    <x v="26"/>
    <x v="4"/>
    <s v="Electric Generators, Electric Utilities"/>
    <x v="8"/>
    <n v="229615"/>
  </r>
  <r>
    <x v="26"/>
    <x v="4"/>
    <s v="Electric Generators, Electric Utilities"/>
    <x v="5"/>
    <n v="703961"/>
  </r>
  <r>
    <x v="26"/>
    <x v="5"/>
    <s v="Total Electric Power Industry"/>
    <x v="0"/>
    <n v="54418480"/>
  </r>
  <r>
    <x v="26"/>
    <x v="5"/>
    <s v="Total Electric Power Industry"/>
    <x v="1"/>
    <n v="29948675"/>
  </r>
  <r>
    <x v="26"/>
    <x v="5"/>
    <s v="Total Electric Power Industry"/>
    <x v="10"/>
    <n v="-294186"/>
  </r>
  <r>
    <x v="26"/>
    <x v="5"/>
    <s v="Total Electric Power Industry"/>
    <x v="2"/>
    <n v="1902571"/>
  </r>
  <r>
    <x v="26"/>
    <x v="5"/>
    <s v="Total Electric Power Industry"/>
    <x v="3"/>
    <n v="12679439"/>
  </r>
  <r>
    <x v="26"/>
    <x v="5"/>
    <s v="Total Electric Power Industry"/>
    <x v="12"/>
    <n v="53388"/>
  </r>
  <r>
    <x v="26"/>
    <x v="5"/>
    <s v="Total Electric Power Industry"/>
    <x v="4"/>
    <n v="6975"/>
  </r>
  <r>
    <x v="26"/>
    <x v="5"/>
    <s v="Total Electric Power Industry"/>
    <x v="13"/>
    <n v="538109"/>
  </r>
  <r>
    <x v="26"/>
    <x v="5"/>
    <s v="Total Electric Power Industry"/>
    <x v="8"/>
    <n v="76483"/>
  </r>
  <r>
    <x v="26"/>
    <x v="5"/>
    <s v="Total Electric Power Industry"/>
    <x v="5"/>
    <n v="9421204"/>
  </r>
  <r>
    <x v="26"/>
    <x v="5"/>
    <s v="Total Electric Power Industry"/>
    <x v="6"/>
    <n v="85822"/>
  </r>
  <r>
    <x v="26"/>
    <x v="5"/>
    <s v="Combined Heat and Power, Industrial Power"/>
    <x v="0"/>
    <n v="72632"/>
  </r>
  <r>
    <x v="26"/>
    <x v="5"/>
    <s v="Combined Heat and Power, Industrial Power"/>
    <x v="1"/>
    <n v="7758"/>
  </r>
  <r>
    <x v="26"/>
    <x v="5"/>
    <s v="Combined Heat and Power, Industrial Power"/>
    <x v="3"/>
    <n v="19520"/>
  </r>
  <r>
    <x v="26"/>
    <x v="5"/>
    <s v="Combined Heat and Power, Industrial Power"/>
    <x v="12"/>
    <n v="41961"/>
  </r>
  <r>
    <x v="26"/>
    <x v="5"/>
    <s v="Combined Heat and Power, Industrial Power"/>
    <x v="4"/>
    <n v="15"/>
  </r>
  <r>
    <x v="26"/>
    <x v="5"/>
    <s v="Combined Heat and Power, Industrial Power"/>
    <x v="5"/>
    <n v="3378"/>
  </r>
  <r>
    <x v="26"/>
    <x v="5"/>
    <s v="Combined Heat and Power, Commercial Power"/>
    <x v="0"/>
    <n v="31044"/>
  </r>
  <r>
    <x v="26"/>
    <x v="5"/>
    <s v="Combined Heat and Power, Commercial Power"/>
    <x v="2"/>
    <n v="11824"/>
  </r>
  <r>
    <x v="26"/>
    <x v="5"/>
    <s v="Combined Heat and Power, Commercial Power"/>
    <x v="3"/>
    <n v="2067"/>
  </r>
  <r>
    <x v="26"/>
    <x v="5"/>
    <s v="Combined Heat and Power, Commercial Power"/>
    <x v="4"/>
    <n v="0"/>
  </r>
  <r>
    <x v="26"/>
    <x v="5"/>
    <s v="Combined Heat and Power, Commercial Power"/>
    <x v="13"/>
    <n v="15976"/>
  </r>
  <r>
    <x v="26"/>
    <x v="5"/>
    <s v="Combined Heat and Power, Commercial Power"/>
    <x v="5"/>
    <n v="1177"/>
  </r>
  <r>
    <x v="26"/>
    <x v="5"/>
    <s v="Combined Heat and Power, Electric Power"/>
    <x v="0"/>
    <n v="203833"/>
  </r>
  <r>
    <x v="26"/>
    <x v="5"/>
    <s v="Combined Heat and Power, Electric Power"/>
    <x v="1"/>
    <n v="21393"/>
  </r>
  <r>
    <x v="26"/>
    <x v="5"/>
    <s v="Combined Heat and Power, Electric Power"/>
    <x v="3"/>
    <n v="152019"/>
  </r>
  <r>
    <x v="26"/>
    <x v="5"/>
    <s v="Combined Heat and Power, Electric Power"/>
    <x v="4"/>
    <n v="0"/>
  </r>
  <r>
    <x v="26"/>
    <x v="5"/>
    <s v="Combined Heat and Power, Electric Power"/>
    <x v="8"/>
    <n v="30421"/>
  </r>
  <r>
    <x v="26"/>
    <x v="5"/>
    <s v="Electric Generators, Independent Power Producers"/>
    <x v="0"/>
    <n v="11919633"/>
  </r>
  <r>
    <x v="26"/>
    <x v="5"/>
    <s v="Electric Generators, Independent Power Producers"/>
    <x v="2"/>
    <n v="202683"/>
  </r>
  <r>
    <x v="26"/>
    <x v="5"/>
    <s v="Electric Generators, Independent Power Producers"/>
    <x v="3"/>
    <n v="1773507"/>
  </r>
  <r>
    <x v="26"/>
    <x v="5"/>
    <s v="Electric Generators, Independent Power Producers"/>
    <x v="12"/>
    <n v="11427"/>
  </r>
  <r>
    <x v="26"/>
    <x v="5"/>
    <s v="Electric Generators, Independent Power Producers"/>
    <x v="4"/>
    <n v="0"/>
  </r>
  <r>
    <x v="26"/>
    <x v="5"/>
    <s v="Electric Generators, Independent Power Producers"/>
    <x v="13"/>
    <n v="522133"/>
  </r>
  <r>
    <x v="26"/>
    <x v="5"/>
    <s v="Electric Generators, Independent Power Producers"/>
    <x v="8"/>
    <n v="46062"/>
  </r>
  <r>
    <x v="26"/>
    <x v="5"/>
    <s v="Electric Generators, Independent Power Producers"/>
    <x v="5"/>
    <n v="9277999"/>
  </r>
  <r>
    <x v="26"/>
    <x v="5"/>
    <s v="Electric Generators, Independent Power Producers"/>
    <x v="6"/>
    <n v="85822"/>
  </r>
  <r>
    <x v="26"/>
    <x v="5"/>
    <s v="Electric Generators, Electric Utilities"/>
    <x v="0"/>
    <n v="42191338"/>
  </r>
  <r>
    <x v="26"/>
    <x v="5"/>
    <s v="Electric Generators, Electric Utilities"/>
    <x v="1"/>
    <n v="29919524"/>
  </r>
  <r>
    <x v="26"/>
    <x v="5"/>
    <s v="Electric Generators, Electric Utilities"/>
    <x v="10"/>
    <n v="-294186"/>
  </r>
  <r>
    <x v="26"/>
    <x v="5"/>
    <s v="Electric Generators, Electric Utilities"/>
    <x v="2"/>
    <n v="1688064"/>
  </r>
  <r>
    <x v="26"/>
    <x v="5"/>
    <s v="Electric Generators, Electric Utilities"/>
    <x v="3"/>
    <n v="10732326"/>
  </r>
  <r>
    <x v="26"/>
    <x v="5"/>
    <s v="Electric Generators, Electric Utilities"/>
    <x v="4"/>
    <n v="6960"/>
  </r>
  <r>
    <x v="26"/>
    <x v="5"/>
    <s v="Electric Generators, Electric Utilities"/>
    <x v="5"/>
    <n v="138650"/>
  </r>
  <r>
    <x v="26"/>
    <x v="5"/>
    <s v="Electric Generators, Electric Utilities"/>
    <x v="6"/>
    <n v="0"/>
  </r>
  <r>
    <x v="26"/>
    <x v="6"/>
    <s v="Total Electric Power Industry"/>
    <x v="0"/>
    <n v="36496560"/>
  </r>
  <r>
    <x v="26"/>
    <x v="6"/>
    <s v="Total Electric Power Industry"/>
    <x v="1"/>
    <n v="177370"/>
  </r>
  <r>
    <x v="26"/>
    <x v="6"/>
    <s v="Total Electric Power Industry"/>
    <x v="10"/>
    <n v="5587"/>
  </r>
  <r>
    <x v="26"/>
    <x v="6"/>
    <s v="Total Electric Power Industry"/>
    <x v="2"/>
    <n v="224145"/>
  </r>
  <r>
    <x v="26"/>
    <x v="6"/>
    <s v="Total Electric Power Industry"/>
    <x v="3"/>
    <n v="17951503"/>
  </r>
  <r>
    <x v="26"/>
    <x v="6"/>
    <s v="Total Electric Power Industry"/>
    <x v="7"/>
    <n v="16575492"/>
  </r>
  <r>
    <x v="26"/>
    <x v="6"/>
    <s v="Total Electric Power Industry"/>
    <x v="12"/>
    <n v="577398"/>
  </r>
  <r>
    <x v="26"/>
    <x v="6"/>
    <s v="Total Electric Power Industry"/>
    <x v="4"/>
    <n v="91735"/>
  </r>
  <r>
    <x v="26"/>
    <x v="6"/>
    <s v="Total Electric Power Industry"/>
    <x v="13"/>
    <n v="24518"/>
  </r>
  <r>
    <x v="26"/>
    <x v="6"/>
    <s v="Total Electric Power Industry"/>
    <x v="8"/>
    <n v="618838"/>
  </r>
  <r>
    <x v="26"/>
    <x v="6"/>
    <s v="Total Electric Power Industry"/>
    <x v="5"/>
    <n v="12742"/>
  </r>
  <r>
    <x v="26"/>
    <x v="6"/>
    <s v="Total Electric Power Industry"/>
    <x v="6"/>
    <n v="237232"/>
  </r>
  <r>
    <x v="26"/>
    <x v="6"/>
    <s v="Combined Heat and Power, Industrial Power"/>
    <x v="0"/>
    <n v="501698"/>
  </r>
  <r>
    <x v="26"/>
    <x v="6"/>
    <s v="Combined Heat and Power, Industrial Power"/>
    <x v="3"/>
    <n v="499709"/>
  </r>
  <r>
    <x v="26"/>
    <x v="6"/>
    <s v="Combined Heat and Power, Industrial Power"/>
    <x v="4"/>
    <n v="1990"/>
  </r>
  <r>
    <x v="26"/>
    <x v="6"/>
    <s v="Combined Heat and Power, Commercial Power"/>
    <x v="0"/>
    <n v="409492"/>
  </r>
  <r>
    <x v="26"/>
    <x v="6"/>
    <s v="Combined Heat and Power, Commercial Power"/>
    <x v="3"/>
    <n v="406906"/>
  </r>
  <r>
    <x v="26"/>
    <x v="6"/>
    <s v="Combined Heat and Power, Commercial Power"/>
    <x v="4"/>
    <n v="2586"/>
  </r>
  <r>
    <x v="26"/>
    <x v="6"/>
    <s v="Combined Heat and Power, Electric Power"/>
    <x v="0"/>
    <n v="254862"/>
  </r>
  <r>
    <x v="26"/>
    <x v="6"/>
    <s v="Combined Heat and Power, Electric Power"/>
    <x v="3"/>
    <n v="253669"/>
  </r>
  <r>
    <x v="26"/>
    <x v="6"/>
    <s v="Combined Heat and Power, Electric Power"/>
    <x v="4"/>
    <n v="1193"/>
  </r>
  <r>
    <x v="26"/>
    <x v="6"/>
    <s v="Electric Generators, Independent Power Producers"/>
    <x v="0"/>
    <n v="35256433"/>
  </r>
  <r>
    <x v="26"/>
    <x v="6"/>
    <s v="Electric Generators, Independent Power Producers"/>
    <x v="1"/>
    <n v="177370"/>
  </r>
  <r>
    <x v="26"/>
    <x v="6"/>
    <s v="Electric Generators, Independent Power Producers"/>
    <x v="10"/>
    <n v="5587"/>
  </r>
  <r>
    <x v="26"/>
    <x v="6"/>
    <s v="Electric Generators, Independent Power Producers"/>
    <x v="2"/>
    <n v="207353"/>
  </r>
  <r>
    <x v="26"/>
    <x v="6"/>
    <s v="Electric Generators, Independent Power Producers"/>
    <x v="3"/>
    <n v="16742791"/>
  </r>
  <r>
    <x v="26"/>
    <x v="6"/>
    <s v="Electric Generators, Independent Power Producers"/>
    <x v="7"/>
    <n v="16575492"/>
  </r>
  <r>
    <x v="26"/>
    <x v="6"/>
    <s v="Electric Generators, Independent Power Producers"/>
    <x v="12"/>
    <n v="577398"/>
  </r>
  <r>
    <x v="26"/>
    <x v="6"/>
    <s v="Electric Generators, Independent Power Producers"/>
    <x v="4"/>
    <n v="79681"/>
  </r>
  <r>
    <x v="26"/>
    <x v="6"/>
    <s v="Electric Generators, Independent Power Producers"/>
    <x v="13"/>
    <n v="21949"/>
  </r>
  <r>
    <x v="26"/>
    <x v="6"/>
    <s v="Electric Generators, Independent Power Producers"/>
    <x v="8"/>
    <n v="618838"/>
  </r>
  <r>
    <x v="26"/>
    <x v="6"/>
    <s v="Electric Generators, Independent Power Producers"/>
    <x v="5"/>
    <n v="12742"/>
  </r>
  <r>
    <x v="26"/>
    <x v="6"/>
    <s v="Electric Generators, Independent Power Producers"/>
    <x v="6"/>
    <n v="237232"/>
  </r>
  <r>
    <x v="26"/>
    <x v="6"/>
    <s v="Electric Generators, Electric Utilities"/>
    <x v="0"/>
    <n v="74075"/>
  </r>
  <r>
    <x v="26"/>
    <x v="6"/>
    <s v="Electric Generators, Electric Utilities"/>
    <x v="2"/>
    <n v="16792"/>
  </r>
  <r>
    <x v="26"/>
    <x v="6"/>
    <s v="Electric Generators, Electric Utilities"/>
    <x v="3"/>
    <n v="48429"/>
  </r>
  <r>
    <x v="26"/>
    <x v="6"/>
    <s v="Electric Generators, Electric Utilities"/>
    <x v="4"/>
    <n v="6285"/>
  </r>
  <r>
    <x v="26"/>
    <x v="6"/>
    <s v="Electric Generators, Electric Utilities"/>
    <x v="13"/>
    <n v="2569"/>
  </r>
  <r>
    <x v="26"/>
    <x v="6"/>
    <s v="Electric Generators, Electric Utilities"/>
    <x v="8"/>
    <n v="0"/>
  </r>
  <r>
    <x v="26"/>
    <x v="7"/>
    <s v="Total Electric Power Industry"/>
    <x v="0"/>
    <n v="76474"/>
  </r>
  <r>
    <x v="26"/>
    <x v="7"/>
    <s v="Total Electric Power Industry"/>
    <x v="3"/>
    <n v="22702"/>
  </r>
  <r>
    <x v="26"/>
    <x v="7"/>
    <s v="Total Electric Power Industry"/>
    <x v="4"/>
    <n v="1001"/>
  </r>
  <r>
    <x v="26"/>
    <x v="7"/>
    <s v="Total Electric Power Industry"/>
    <x v="8"/>
    <n v="52771"/>
  </r>
  <r>
    <x v="26"/>
    <x v="7"/>
    <s v="Combined Heat and Power, Commercial Power"/>
    <x v="0"/>
    <n v="23673"/>
  </r>
  <r>
    <x v="26"/>
    <x v="7"/>
    <s v="Combined Heat and Power, Commercial Power"/>
    <x v="3"/>
    <n v="22672"/>
  </r>
  <r>
    <x v="26"/>
    <x v="7"/>
    <s v="Combined Heat and Power, Commercial Power"/>
    <x v="4"/>
    <n v="1001"/>
  </r>
  <r>
    <x v="26"/>
    <x v="7"/>
    <s v="Combined Heat and Power, Electric Power"/>
    <x v="0"/>
    <n v="52801"/>
  </r>
  <r>
    <x v="26"/>
    <x v="7"/>
    <s v="Combined Heat and Power, Electric Power"/>
    <x v="3"/>
    <n v="30"/>
  </r>
  <r>
    <x v="26"/>
    <x v="7"/>
    <s v="Combined Heat and Power, Electric Power"/>
    <x v="8"/>
    <n v="52771"/>
  </r>
  <r>
    <x v="26"/>
    <x v="8"/>
    <s v="Total Electric Power Industry"/>
    <x v="0"/>
    <n v="8731261"/>
  </r>
  <r>
    <x v="26"/>
    <x v="8"/>
    <s v="Total Electric Power Industry"/>
    <x v="1"/>
    <n v="479350"/>
  </r>
  <r>
    <x v="26"/>
    <x v="8"/>
    <s v="Total Electric Power Industry"/>
    <x v="3"/>
    <n v="7787469"/>
  </r>
  <r>
    <x v="26"/>
    <x v="8"/>
    <s v="Total Electric Power Industry"/>
    <x v="9"/>
    <n v="277477"/>
  </r>
  <r>
    <x v="26"/>
    <x v="8"/>
    <s v="Total Electric Power Industry"/>
    <x v="4"/>
    <n v="62571"/>
  </r>
  <r>
    <x v="26"/>
    <x v="8"/>
    <s v="Total Electric Power Industry"/>
    <x v="13"/>
    <n v="51086"/>
  </r>
  <r>
    <x v="26"/>
    <x v="8"/>
    <s v="Total Electric Power Industry"/>
    <x v="8"/>
    <n v="67987"/>
  </r>
  <r>
    <x v="26"/>
    <x v="8"/>
    <s v="Total Electric Power Industry"/>
    <x v="5"/>
    <n v="5321"/>
  </r>
  <r>
    <x v="26"/>
    <x v="8"/>
    <s v="Combined Heat and Power, Industrial Power"/>
    <x v="0"/>
    <n v="1288800"/>
  </r>
  <r>
    <x v="26"/>
    <x v="8"/>
    <s v="Combined Heat and Power, Industrial Power"/>
    <x v="3"/>
    <n v="995092"/>
  </r>
  <r>
    <x v="26"/>
    <x v="8"/>
    <s v="Combined Heat and Power, Industrial Power"/>
    <x v="9"/>
    <n v="277477"/>
  </r>
  <r>
    <x v="26"/>
    <x v="8"/>
    <s v="Combined Heat and Power, Industrial Power"/>
    <x v="4"/>
    <n v="0"/>
  </r>
  <r>
    <x v="26"/>
    <x v="8"/>
    <s v="Combined Heat and Power, Industrial Power"/>
    <x v="8"/>
    <n v="16231"/>
  </r>
  <r>
    <x v="26"/>
    <x v="8"/>
    <s v="Combined Heat and Power, Commercial Power"/>
    <x v="0"/>
    <n v="6653"/>
  </r>
  <r>
    <x v="26"/>
    <x v="8"/>
    <s v="Combined Heat and Power, Commercial Power"/>
    <x v="13"/>
    <n v="1332"/>
  </r>
  <r>
    <x v="26"/>
    <x v="8"/>
    <s v="Combined Heat and Power, Commercial Power"/>
    <x v="5"/>
    <n v="5321"/>
  </r>
  <r>
    <x v="26"/>
    <x v="8"/>
    <s v="Combined Heat and Power, Electric Power"/>
    <x v="0"/>
    <n v="235334"/>
  </r>
  <r>
    <x v="26"/>
    <x v="8"/>
    <s v="Combined Heat and Power, Electric Power"/>
    <x v="1"/>
    <n v="0"/>
  </r>
  <r>
    <x v="26"/>
    <x v="8"/>
    <s v="Combined Heat and Power, Electric Power"/>
    <x v="3"/>
    <n v="230283"/>
  </r>
  <r>
    <x v="26"/>
    <x v="8"/>
    <s v="Combined Heat and Power, Electric Power"/>
    <x v="4"/>
    <n v="5051"/>
  </r>
  <r>
    <x v="26"/>
    <x v="8"/>
    <s v="Electric Generators, Independent Power Producers"/>
    <x v="0"/>
    <n v="7120386"/>
  </r>
  <r>
    <x v="26"/>
    <x v="8"/>
    <s v="Electric Generators, Independent Power Producers"/>
    <x v="1"/>
    <n v="479350"/>
  </r>
  <r>
    <x v="26"/>
    <x v="8"/>
    <s v="Electric Generators, Independent Power Producers"/>
    <x v="3"/>
    <n v="6497830"/>
  </r>
  <r>
    <x v="26"/>
    <x v="8"/>
    <s v="Electric Generators, Independent Power Producers"/>
    <x v="4"/>
    <n v="48876"/>
  </r>
  <r>
    <x v="26"/>
    <x v="8"/>
    <s v="Electric Generators, Independent Power Producers"/>
    <x v="13"/>
    <n v="42574"/>
  </r>
  <r>
    <x v="26"/>
    <x v="8"/>
    <s v="Electric Generators, Independent Power Producers"/>
    <x v="8"/>
    <n v="51756"/>
  </r>
  <r>
    <x v="26"/>
    <x v="8"/>
    <s v="Electric Generators, Electric Utilities"/>
    <x v="0"/>
    <n v="80088"/>
  </r>
  <r>
    <x v="26"/>
    <x v="8"/>
    <s v="Electric Generators, Electric Utilities"/>
    <x v="3"/>
    <n v="64264"/>
  </r>
  <r>
    <x v="26"/>
    <x v="8"/>
    <s v="Electric Generators, Electric Utilities"/>
    <x v="4"/>
    <n v="8644"/>
  </r>
  <r>
    <x v="26"/>
    <x v="8"/>
    <s v="Electric Generators, Electric Utilities"/>
    <x v="13"/>
    <n v="7180"/>
  </r>
  <r>
    <x v="26"/>
    <x v="9"/>
    <s v="Total Electric Power Industry"/>
    <x v="0"/>
    <n v="238262150"/>
  </r>
  <r>
    <x v="26"/>
    <x v="9"/>
    <s v="Total Electric Power Industry"/>
    <x v="1"/>
    <n v="39429468"/>
  </r>
  <r>
    <x v="26"/>
    <x v="9"/>
    <s v="Total Electric Power Industry"/>
    <x v="2"/>
    <n v="174551"/>
  </r>
  <r>
    <x v="26"/>
    <x v="9"/>
    <s v="Total Electric Power Industry"/>
    <x v="3"/>
    <n v="158495445"/>
  </r>
  <r>
    <x v="26"/>
    <x v="9"/>
    <s v="Total Electric Power Industry"/>
    <x v="7"/>
    <n v="29320022"/>
  </r>
  <r>
    <x v="26"/>
    <x v="9"/>
    <s v="Total Electric Power Industry"/>
    <x v="9"/>
    <n v="4716"/>
  </r>
  <r>
    <x v="26"/>
    <x v="9"/>
    <s v="Total Electric Power Industry"/>
    <x v="12"/>
    <n v="3150525"/>
  </r>
  <r>
    <x v="26"/>
    <x v="9"/>
    <s v="Total Electric Power Industry"/>
    <x v="4"/>
    <n v="2820303"/>
  </r>
  <r>
    <x v="26"/>
    <x v="9"/>
    <s v="Total Electric Power Industry"/>
    <x v="13"/>
    <n v="223983"/>
  </r>
  <r>
    <x v="26"/>
    <x v="9"/>
    <s v="Total Electric Power Industry"/>
    <x v="8"/>
    <n v="2671282"/>
  </r>
  <r>
    <x v="26"/>
    <x v="9"/>
    <s v="Total Electric Power Industry"/>
    <x v="6"/>
    <n v="1971856"/>
  </r>
  <r>
    <x v="26"/>
    <x v="9"/>
    <s v="Combined Heat and Power, Industrial Power"/>
    <x v="0"/>
    <n v="5358371"/>
  </r>
  <r>
    <x v="26"/>
    <x v="9"/>
    <s v="Combined Heat and Power, Industrial Power"/>
    <x v="1"/>
    <n v="174842"/>
  </r>
  <r>
    <x v="26"/>
    <x v="9"/>
    <s v="Combined Heat and Power, Industrial Power"/>
    <x v="3"/>
    <n v="1450005"/>
  </r>
  <r>
    <x v="26"/>
    <x v="9"/>
    <s v="Combined Heat and Power, Industrial Power"/>
    <x v="9"/>
    <n v="4716"/>
  </r>
  <r>
    <x v="26"/>
    <x v="9"/>
    <s v="Combined Heat and Power, Industrial Power"/>
    <x v="12"/>
    <n v="1677835"/>
  </r>
  <r>
    <x v="26"/>
    <x v="9"/>
    <s v="Combined Heat and Power, Industrial Power"/>
    <x v="4"/>
    <n v="25536"/>
  </r>
  <r>
    <x v="26"/>
    <x v="9"/>
    <s v="Combined Heat and Power, Industrial Power"/>
    <x v="8"/>
    <n v="358606"/>
  </r>
  <r>
    <x v="26"/>
    <x v="9"/>
    <s v="Combined Heat and Power, Industrial Power"/>
    <x v="6"/>
    <n v="1666832"/>
  </r>
  <r>
    <x v="26"/>
    <x v="9"/>
    <s v="Combined Heat and Power, Commercial Power"/>
    <x v="0"/>
    <n v="84478"/>
  </r>
  <r>
    <x v="26"/>
    <x v="9"/>
    <s v="Combined Heat and Power, Commercial Power"/>
    <x v="3"/>
    <n v="33444"/>
  </r>
  <r>
    <x v="26"/>
    <x v="9"/>
    <s v="Combined Heat and Power, Commercial Power"/>
    <x v="4"/>
    <n v="0"/>
  </r>
  <r>
    <x v="26"/>
    <x v="9"/>
    <s v="Combined Heat and Power, Commercial Power"/>
    <x v="13"/>
    <n v="3315"/>
  </r>
  <r>
    <x v="26"/>
    <x v="9"/>
    <s v="Combined Heat and Power, Commercial Power"/>
    <x v="8"/>
    <n v="47719"/>
  </r>
  <r>
    <x v="26"/>
    <x v="9"/>
    <s v="Combined Heat and Power, Electric Power"/>
    <x v="0"/>
    <n v="4452653"/>
  </r>
  <r>
    <x v="26"/>
    <x v="9"/>
    <s v="Combined Heat and Power, Electric Power"/>
    <x v="1"/>
    <n v="732653"/>
  </r>
  <r>
    <x v="26"/>
    <x v="9"/>
    <s v="Combined Heat and Power, Electric Power"/>
    <x v="3"/>
    <n v="3593508"/>
  </r>
  <r>
    <x v="26"/>
    <x v="9"/>
    <s v="Combined Heat and Power, Electric Power"/>
    <x v="4"/>
    <n v="2936"/>
  </r>
  <r>
    <x v="26"/>
    <x v="9"/>
    <s v="Combined Heat and Power, Electric Power"/>
    <x v="8"/>
    <n v="111644"/>
  </r>
  <r>
    <x v="26"/>
    <x v="9"/>
    <s v="Combined Heat and Power, Electric Power"/>
    <x v="6"/>
    <n v="11911"/>
  </r>
  <r>
    <x v="26"/>
    <x v="9"/>
    <s v="Electric Generators, Independent Power Producers"/>
    <x v="0"/>
    <n v="12123015"/>
  </r>
  <r>
    <x v="26"/>
    <x v="9"/>
    <s v="Electric Generators, Independent Power Producers"/>
    <x v="1"/>
    <n v="0"/>
  </r>
  <r>
    <x v="26"/>
    <x v="9"/>
    <s v="Electric Generators, Independent Power Producers"/>
    <x v="3"/>
    <n v="8226306"/>
  </r>
  <r>
    <x v="26"/>
    <x v="9"/>
    <s v="Electric Generators, Independent Power Producers"/>
    <x v="12"/>
    <n v="1472690"/>
  </r>
  <r>
    <x v="26"/>
    <x v="9"/>
    <s v="Electric Generators, Independent Power Producers"/>
    <x v="4"/>
    <n v="3973"/>
  </r>
  <r>
    <x v="26"/>
    <x v="9"/>
    <s v="Electric Generators, Independent Power Producers"/>
    <x v="13"/>
    <n v="61207"/>
  </r>
  <r>
    <x v="26"/>
    <x v="9"/>
    <s v="Electric Generators, Independent Power Producers"/>
    <x v="8"/>
    <n v="2065726"/>
  </r>
  <r>
    <x v="26"/>
    <x v="9"/>
    <s v="Electric Generators, Independent Power Producers"/>
    <x v="6"/>
    <n v="293113"/>
  </r>
  <r>
    <x v="26"/>
    <x v="9"/>
    <s v="Electric Generators, Electric Utilities"/>
    <x v="0"/>
    <n v="216243634"/>
  </r>
  <r>
    <x v="26"/>
    <x v="9"/>
    <s v="Electric Generators, Electric Utilities"/>
    <x v="1"/>
    <n v="38521973"/>
  </r>
  <r>
    <x v="26"/>
    <x v="9"/>
    <s v="Electric Generators, Electric Utilities"/>
    <x v="2"/>
    <n v="174551"/>
  </r>
  <r>
    <x v="26"/>
    <x v="9"/>
    <s v="Electric Generators, Electric Utilities"/>
    <x v="3"/>
    <n v="145192182"/>
  </r>
  <r>
    <x v="26"/>
    <x v="9"/>
    <s v="Electric Generators, Electric Utilities"/>
    <x v="7"/>
    <n v="29320022"/>
  </r>
  <r>
    <x v="26"/>
    <x v="9"/>
    <s v="Electric Generators, Electric Utilities"/>
    <x v="4"/>
    <n v="2787858"/>
  </r>
  <r>
    <x v="26"/>
    <x v="9"/>
    <s v="Electric Generators, Electric Utilities"/>
    <x v="13"/>
    <n v="159461"/>
  </r>
  <r>
    <x v="26"/>
    <x v="9"/>
    <s v="Electric Generators, Electric Utilities"/>
    <x v="8"/>
    <n v="87587"/>
  </r>
  <r>
    <x v="26"/>
    <x v="10"/>
    <s v="Total Electric Power Industry"/>
    <x v="0"/>
    <n v="133380416"/>
  </r>
  <r>
    <x v="26"/>
    <x v="10"/>
    <s v="Total Electric Power Industry"/>
    <x v="1"/>
    <n v="37890474"/>
  </r>
  <r>
    <x v="26"/>
    <x v="10"/>
    <s v="Total Electric Power Industry"/>
    <x v="10"/>
    <n v="-993024"/>
  </r>
  <r>
    <x v="26"/>
    <x v="10"/>
    <s v="Total Electric Power Industry"/>
    <x v="2"/>
    <n v="3372677"/>
  </r>
  <r>
    <x v="26"/>
    <x v="10"/>
    <s v="Total Electric Power Industry"/>
    <x v="3"/>
    <n v="52862464"/>
  </r>
  <r>
    <x v="26"/>
    <x v="10"/>
    <s v="Total Electric Power Industry"/>
    <x v="7"/>
    <n v="34480662"/>
  </r>
  <r>
    <x v="26"/>
    <x v="10"/>
    <s v="Total Electric Power Industry"/>
    <x v="12"/>
    <n v="100978"/>
  </r>
  <r>
    <x v="26"/>
    <x v="10"/>
    <s v="Total Electric Power Industry"/>
    <x v="4"/>
    <n v="211845"/>
  </r>
  <r>
    <x v="26"/>
    <x v="10"/>
    <s v="Total Electric Power Industry"/>
    <x v="13"/>
    <n v="880923"/>
  </r>
  <r>
    <x v="26"/>
    <x v="10"/>
    <s v="Total Electric Power Industry"/>
    <x v="8"/>
    <n v="270887"/>
  </r>
  <r>
    <x v="26"/>
    <x v="10"/>
    <s v="Total Electric Power Industry"/>
    <x v="6"/>
    <n v="4302529"/>
  </r>
  <r>
    <x v="26"/>
    <x v="10"/>
    <s v="Combined Heat and Power, Industrial Power"/>
    <x v="0"/>
    <n v="4753735"/>
  </r>
  <r>
    <x v="26"/>
    <x v="10"/>
    <s v="Combined Heat and Power, Industrial Power"/>
    <x v="1"/>
    <n v="216068"/>
  </r>
  <r>
    <x v="26"/>
    <x v="10"/>
    <s v="Combined Heat and Power, Industrial Power"/>
    <x v="2"/>
    <n v="15551"/>
  </r>
  <r>
    <x v="26"/>
    <x v="10"/>
    <s v="Combined Heat and Power, Industrial Power"/>
    <x v="3"/>
    <n v="442521"/>
  </r>
  <r>
    <x v="26"/>
    <x v="10"/>
    <s v="Combined Heat and Power, Industrial Power"/>
    <x v="12"/>
    <n v="101054"/>
  </r>
  <r>
    <x v="26"/>
    <x v="10"/>
    <s v="Combined Heat and Power, Industrial Power"/>
    <x v="4"/>
    <n v="126884"/>
  </r>
  <r>
    <x v="26"/>
    <x v="10"/>
    <s v="Combined Heat and Power, Industrial Power"/>
    <x v="8"/>
    <n v="74816"/>
  </r>
  <r>
    <x v="26"/>
    <x v="10"/>
    <s v="Combined Heat and Power, Industrial Power"/>
    <x v="6"/>
    <n v="3776841"/>
  </r>
  <r>
    <x v="26"/>
    <x v="10"/>
    <s v="Combined Heat and Power, Commercial Power"/>
    <x v="0"/>
    <n v="7823"/>
  </r>
  <r>
    <x v="26"/>
    <x v="10"/>
    <s v="Combined Heat and Power, Commercial Power"/>
    <x v="3"/>
    <n v="0"/>
  </r>
  <r>
    <x v="26"/>
    <x v="10"/>
    <s v="Combined Heat and Power, Commercial Power"/>
    <x v="4"/>
    <n v="1687"/>
  </r>
  <r>
    <x v="26"/>
    <x v="10"/>
    <s v="Combined Heat and Power, Commercial Power"/>
    <x v="13"/>
    <n v="2918"/>
  </r>
  <r>
    <x v="26"/>
    <x v="10"/>
    <s v="Combined Heat and Power, Commercial Power"/>
    <x v="8"/>
    <n v="3218"/>
  </r>
  <r>
    <x v="26"/>
    <x v="10"/>
    <s v="Combined Heat and Power, Electric Power"/>
    <x v="0"/>
    <n v="493966"/>
  </r>
  <r>
    <x v="26"/>
    <x v="10"/>
    <s v="Combined Heat and Power, Electric Power"/>
    <x v="3"/>
    <n v="478516"/>
  </r>
  <r>
    <x v="26"/>
    <x v="10"/>
    <s v="Combined Heat and Power, Electric Power"/>
    <x v="4"/>
    <n v="4862"/>
  </r>
  <r>
    <x v="26"/>
    <x v="10"/>
    <s v="Combined Heat and Power, Electric Power"/>
    <x v="8"/>
    <n v="10589"/>
  </r>
  <r>
    <x v="26"/>
    <x v="10"/>
    <s v="Electric Generators, Independent Power Producers"/>
    <x v="0"/>
    <n v="12169799"/>
  </r>
  <r>
    <x v="26"/>
    <x v="10"/>
    <s v="Electric Generators, Independent Power Producers"/>
    <x v="2"/>
    <n v="7352"/>
  </r>
  <r>
    <x v="26"/>
    <x v="10"/>
    <s v="Electric Generators, Independent Power Producers"/>
    <x v="3"/>
    <n v="10664891"/>
  </r>
  <r>
    <x v="26"/>
    <x v="10"/>
    <s v="Electric Generators, Independent Power Producers"/>
    <x v="4"/>
    <n v="18759"/>
  </r>
  <r>
    <x v="26"/>
    <x v="10"/>
    <s v="Electric Generators, Independent Power Producers"/>
    <x v="13"/>
    <n v="770845"/>
  </r>
  <r>
    <x v="26"/>
    <x v="10"/>
    <s v="Electric Generators, Independent Power Producers"/>
    <x v="8"/>
    <n v="182264"/>
  </r>
  <r>
    <x v="26"/>
    <x v="10"/>
    <s v="Electric Generators, Independent Power Producers"/>
    <x v="6"/>
    <n v="525688"/>
  </r>
  <r>
    <x v="26"/>
    <x v="10"/>
    <s v="Electric Generators, Electric Utilities"/>
    <x v="0"/>
    <n v="115955092"/>
  </r>
  <r>
    <x v="26"/>
    <x v="10"/>
    <s v="Electric Generators, Electric Utilities"/>
    <x v="1"/>
    <n v="37674406"/>
  </r>
  <r>
    <x v="26"/>
    <x v="10"/>
    <s v="Electric Generators, Electric Utilities"/>
    <x v="10"/>
    <n v="-993024"/>
  </r>
  <r>
    <x v="26"/>
    <x v="10"/>
    <s v="Electric Generators, Electric Utilities"/>
    <x v="2"/>
    <n v="3349774"/>
  </r>
  <r>
    <x v="26"/>
    <x v="10"/>
    <s v="Electric Generators, Electric Utilities"/>
    <x v="3"/>
    <n v="41276536"/>
  </r>
  <r>
    <x v="26"/>
    <x v="10"/>
    <s v="Electric Generators, Electric Utilities"/>
    <x v="7"/>
    <n v="34480662"/>
  </r>
  <r>
    <x v="26"/>
    <x v="10"/>
    <s v="Electric Generators, Electric Utilities"/>
    <x v="12"/>
    <n v="-76"/>
  </r>
  <r>
    <x v="26"/>
    <x v="10"/>
    <s v="Electric Generators, Electric Utilities"/>
    <x v="4"/>
    <n v="59654"/>
  </r>
  <r>
    <x v="26"/>
    <x v="10"/>
    <s v="Electric Generators, Electric Utilities"/>
    <x v="13"/>
    <n v="107160"/>
  </r>
  <r>
    <x v="26"/>
    <x v="11"/>
    <s v="Total Electric Power Industry"/>
    <x v="0"/>
    <n v="9948845"/>
  </r>
  <r>
    <x v="26"/>
    <x v="11"/>
    <s v="Total Electric Power Industry"/>
    <x v="1"/>
    <n v="1497380"/>
  </r>
  <r>
    <x v="26"/>
    <x v="11"/>
    <s v="Total Electric Power Industry"/>
    <x v="11"/>
    <n v="260102"/>
  </r>
  <r>
    <x v="26"/>
    <x v="11"/>
    <s v="Total Electric Power Industry"/>
    <x v="2"/>
    <n v="90849"/>
  </r>
  <r>
    <x v="26"/>
    <x v="11"/>
    <s v="Total Electric Power Industry"/>
    <x v="9"/>
    <n v="51006"/>
  </r>
  <r>
    <x v="26"/>
    <x v="11"/>
    <s v="Total Electric Power Industry"/>
    <x v="12"/>
    <n v="322089"/>
  </r>
  <r>
    <x v="26"/>
    <x v="11"/>
    <s v="Total Electric Power Industry"/>
    <x v="4"/>
    <n v="6640316"/>
  </r>
  <r>
    <x v="26"/>
    <x v="11"/>
    <s v="Total Electric Power Industry"/>
    <x v="13"/>
    <n v="88511"/>
  </r>
  <r>
    <x v="26"/>
    <x v="11"/>
    <s v="Total Electric Power Industry"/>
    <x v="8"/>
    <n v="359466"/>
  </r>
  <r>
    <x v="26"/>
    <x v="11"/>
    <s v="Total Electric Power Industry"/>
    <x v="5"/>
    <n v="639127"/>
  </r>
  <r>
    <x v="26"/>
    <x v="11"/>
    <s v="Combined Heat and Power, Industrial Power"/>
    <x v="0"/>
    <n v="354539"/>
  </r>
  <r>
    <x v="26"/>
    <x v="11"/>
    <s v="Combined Heat and Power, Industrial Power"/>
    <x v="1"/>
    <n v="5526"/>
  </r>
  <r>
    <x v="26"/>
    <x v="11"/>
    <s v="Combined Heat and Power, Industrial Power"/>
    <x v="2"/>
    <n v="37720"/>
  </r>
  <r>
    <x v="26"/>
    <x v="11"/>
    <s v="Combined Heat and Power, Industrial Power"/>
    <x v="9"/>
    <n v="51006"/>
  </r>
  <r>
    <x v="26"/>
    <x v="11"/>
    <s v="Combined Heat and Power, Industrial Power"/>
    <x v="4"/>
    <n v="194504"/>
  </r>
  <r>
    <x v="26"/>
    <x v="11"/>
    <s v="Combined Heat and Power, Industrial Power"/>
    <x v="8"/>
    <n v="65784"/>
  </r>
  <r>
    <x v="26"/>
    <x v="11"/>
    <s v="Combined Heat and Power, Commercial Power"/>
    <x v="0"/>
    <n v="405150"/>
  </r>
  <r>
    <x v="26"/>
    <x v="11"/>
    <s v="Combined Heat and Power, Commercial Power"/>
    <x v="12"/>
    <n v="196863"/>
  </r>
  <r>
    <x v="26"/>
    <x v="11"/>
    <s v="Combined Heat and Power, Commercial Power"/>
    <x v="4"/>
    <n v="3391"/>
  </r>
  <r>
    <x v="26"/>
    <x v="11"/>
    <s v="Combined Heat and Power, Commercial Power"/>
    <x v="8"/>
    <n v="204896"/>
  </r>
  <r>
    <x v="26"/>
    <x v="11"/>
    <s v="Combined Heat and Power, Electric Power"/>
    <x v="0"/>
    <n v="2808236"/>
  </r>
  <r>
    <x v="26"/>
    <x v="11"/>
    <s v="Combined Heat and Power, Electric Power"/>
    <x v="1"/>
    <n v="1491854"/>
  </r>
  <r>
    <x v="26"/>
    <x v="11"/>
    <s v="Combined Heat and Power, Electric Power"/>
    <x v="12"/>
    <n v="12374"/>
  </r>
  <r>
    <x v="26"/>
    <x v="11"/>
    <s v="Combined Heat and Power, Electric Power"/>
    <x v="4"/>
    <n v="1304008"/>
  </r>
  <r>
    <x v="26"/>
    <x v="11"/>
    <s v="Combined Heat and Power, Electric Power"/>
    <x v="8"/>
    <n v="0"/>
  </r>
  <r>
    <x v="26"/>
    <x v="11"/>
    <s v="Electric Generators, Independent Power Producers"/>
    <x v="0"/>
    <n v="1162788"/>
  </r>
  <r>
    <x v="26"/>
    <x v="11"/>
    <s v="Electric Generators, Independent Power Producers"/>
    <x v="11"/>
    <n v="260102"/>
  </r>
  <r>
    <x v="26"/>
    <x v="11"/>
    <s v="Electric Generators, Independent Power Producers"/>
    <x v="2"/>
    <n v="36288"/>
  </r>
  <r>
    <x v="26"/>
    <x v="11"/>
    <s v="Electric Generators, Independent Power Producers"/>
    <x v="12"/>
    <n v="-40"/>
  </r>
  <r>
    <x v="26"/>
    <x v="11"/>
    <s v="Electric Generators, Independent Power Producers"/>
    <x v="4"/>
    <n v="131172"/>
  </r>
  <r>
    <x v="26"/>
    <x v="11"/>
    <s v="Electric Generators, Independent Power Producers"/>
    <x v="13"/>
    <n v="44843"/>
  </r>
  <r>
    <x v="26"/>
    <x v="11"/>
    <s v="Electric Generators, Independent Power Producers"/>
    <x v="8"/>
    <n v="51296"/>
  </r>
  <r>
    <x v="26"/>
    <x v="11"/>
    <s v="Electric Generators, Independent Power Producers"/>
    <x v="5"/>
    <n v="639127"/>
  </r>
  <r>
    <x v="26"/>
    <x v="11"/>
    <s v="Electric Generators, Electric Utilities"/>
    <x v="0"/>
    <n v="5218132"/>
  </r>
  <r>
    <x v="26"/>
    <x v="11"/>
    <s v="Electric Generators, Electric Utilities"/>
    <x v="2"/>
    <n v="16841"/>
  </r>
  <r>
    <x v="26"/>
    <x v="11"/>
    <s v="Electric Generators, Electric Utilities"/>
    <x v="12"/>
    <n v="112892"/>
  </r>
  <r>
    <x v="26"/>
    <x v="11"/>
    <s v="Electric Generators, Electric Utilities"/>
    <x v="4"/>
    <n v="5007241"/>
  </r>
  <r>
    <x v="26"/>
    <x v="11"/>
    <s v="Electric Generators, Electric Utilities"/>
    <x v="13"/>
    <n v="43668"/>
  </r>
  <r>
    <x v="26"/>
    <x v="11"/>
    <s v="Electric Generators, Electric Utilities"/>
    <x v="8"/>
    <n v="37490"/>
  </r>
  <r>
    <x v="26"/>
    <x v="12"/>
    <s v="Total Electric Power Industry"/>
    <x v="0"/>
    <n v="54392507"/>
  </r>
  <r>
    <x v="26"/>
    <x v="12"/>
    <s v="Total Electric Power Industry"/>
    <x v="1"/>
    <n v="25198347"/>
  </r>
  <r>
    <x v="26"/>
    <x v="12"/>
    <s v="Total Electric Power Industry"/>
    <x v="2"/>
    <n v="916789"/>
  </r>
  <r>
    <x v="26"/>
    <x v="12"/>
    <s v="Total Electric Power Industry"/>
    <x v="3"/>
    <n v="2960947"/>
  </r>
  <r>
    <x v="26"/>
    <x v="12"/>
    <s v="Total Electric Power Industry"/>
    <x v="7"/>
    <n v="4702665"/>
  </r>
  <r>
    <x v="26"/>
    <x v="12"/>
    <s v="Total Electric Power Industry"/>
    <x v="12"/>
    <n v="12121"/>
  </r>
  <r>
    <x v="26"/>
    <x v="12"/>
    <s v="Total Electric Power Industry"/>
    <x v="4"/>
    <n v="277773"/>
  </r>
  <r>
    <x v="26"/>
    <x v="12"/>
    <s v="Total Electric Power Industry"/>
    <x v="13"/>
    <n v="151"/>
  </r>
  <r>
    <x v="26"/>
    <x v="12"/>
    <s v="Total Electric Power Industry"/>
    <x v="8"/>
    <n v="250670"/>
  </r>
  <r>
    <x v="26"/>
    <x v="12"/>
    <s v="Total Electric Power Industry"/>
    <x v="5"/>
    <n v="20071999"/>
  </r>
  <r>
    <x v="26"/>
    <x v="12"/>
    <s v="Total Electric Power Industry"/>
    <x v="6"/>
    <n v="1045"/>
  </r>
  <r>
    <x v="26"/>
    <x v="12"/>
    <s v="Combined Heat and Power, Industrial Power"/>
    <x v="0"/>
    <n v="1944475"/>
  </r>
  <r>
    <x v="26"/>
    <x v="12"/>
    <s v="Combined Heat and Power, Industrial Power"/>
    <x v="1"/>
    <n v="1630768"/>
  </r>
  <r>
    <x v="26"/>
    <x v="12"/>
    <s v="Combined Heat and Power, Industrial Power"/>
    <x v="3"/>
    <n v="212861"/>
  </r>
  <r>
    <x v="26"/>
    <x v="12"/>
    <s v="Combined Heat and Power, Industrial Power"/>
    <x v="12"/>
    <n v="12121"/>
  </r>
  <r>
    <x v="26"/>
    <x v="12"/>
    <s v="Combined Heat and Power, Industrial Power"/>
    <x v="4"/>
    <n v="33405"/>
  </r>
  <r>
    <x v="26"/>
    <x v="12"/>
    <s v="Combined Heat and Power, Industrial Power"/>
    <x v="8"/>
    <n v="55320"/>
  </r>
  <r>
    <x v="26"/>
    <x v="12"/>
    <s v="Combined Heat and Power, Industrial Power"/>
    <x v="6"/>
    <n v="0"/>
  </r>
  <r>
    <x v="26"/>
    <x v="12"/>
    <s v="Combined Heat and Power, Commercial Power"/>
    <x v="0"/>
    <n v="231966"/>
  </r>
  <r>
    <x v="26"/>
    <x v="12"/>
    <s v="Combined Heat and Power, Commercial Power"/>
    <x v="1"/>
    <n v="87550"/>
  </r>
  <r>
    <x v="26"/>
    <x v="12"/>
    <s v="Combined Heat and Power, Commercial Power"/>
    <x v="3"/>
    <n v="87416"/>
  </r>
  <r>
    <x v="26"/>
    <x v="12"/>
    <s v="Combined Heat and Power, Commercial Power"/>
    <x v="4"/>
    <n v="5882"/>
  </r>
  <r>
    <x v="26"/>
    <x v="12"/>
    <s v="Combined Heat and Power, Commercial Power"/>
    <x v="8"/>
    <n v="45979"/>
  </r>
  <r>
    <x v="26"/>
    <x v="12"/>
    <s v="Combined Heat and Power, Commercial Power"/>
    <x v="5"/>
    <n v="4094"/>
  </r>
  <r>
    <x v="26"/>
    <x v="12"/>
    <s v="Combined Heat and Power, Commercial Power"/>
    <x v="6"/>
    <n v="1045"/>
  </r>
  <r>
    <x v="26"/>
    <x v="12"/>
    <s v="Combined Heat and Power, Electric Power"/>
    <x v="0"/>
    <n v="4058"/>
  </r>
  <r>
    <x v="26"/>
    <x v="12"/>
    <s v="Combined Heat and Power, Electric Power"/>
    <x v="8"/>
    <n v="4058"/>
  </r>
  <r>
    <x v="26"/>
    <x v="12"/>
    <s v="Electric Generators, Independent Power Producers"/>
    <x v="0"/>
    <n v="12131586"/>
  </r>
  <r>
    <x v="26"/>
    <x v="12"/>
    <s v="Electric Generators, Independent Power Producers"/>
    <x v="2"/>
    <n v="8002"/>
  </r>
  <r>
    <x v="26"/>
    <x v="12"/>
    <s v="Electric Generators, Independent Power Producers"/>
    <x v="3"/>
    <n v="21"/>
  </r>
  <r>
    <x v="26"/>
    <x v="12"/>
    <s v="Electric Generators, Independent Power Producers"/>
    <x v="7"/>
    <n v="4702665"/>
  </r>
  <r>
    <x v="26"/>
    <x v="12"/>
    <s v="Electric Generators, Independent Power Producers"/>
    <x v="4"/>
    <n v="655"/>
  </r>
  <r>
    <x v="26"/>
    <x v="12"/>
    <s v="Electric Generators, Independent Power Producers"/>
    <x v="8"/>
    <n v="122648"/>
  </r>
  <r>
    <x v="26"/>
    <x v="12"/>
    <s v="Electric Generators, Independent Power Producers"/>
    <x v="5"/>
    <n v="7297596"/>
  </r>
  <r>
    <x v="26"/>
    <x v="12"/>
    <s v="Electric Generators, Electric Utilities"/>
    <x v="0"/>
    <n v="40080421"/>
  </r>
  <r>
    <x v="26"/>
    <x v="12"/>
    <s v="Electric Generators, Electric Utilities"/>
    <x v="1"/>
    <n v="23480029"/>
  </r>
  <r>
    <x v="26"/>
    <x v="12"/>
    <s v="Electric Generators, Electric Utilities"/>
    <x v="2"/>
    <n v="908787"/>
  </r>
  <r>
    <x v="26"/>
    <x v="12"/>
    <s v="Electric Generators, Electric Utilities"/>
    <x v="3"/>
    <n v="2660650"/>
  </r>
  <r>
    <x v="26"/>
    <x v="12"/>
    <s v="Electric Generators, Electric Utilities"/>
    <x v="4"/>
    <n v="237831"/>
  </r>
  <r>
    <x v="26"/>
    <x v="12"/>
    <s v="Electric Generators, Electric Utilities"/>
    <x v="13"/>
    <n v="151"/>
  </r>
  <r>
    <x v="26"/>
    <x v="12"/>
    <s v="Electric Generators, Electric Utilities"/>
    <x v="8"/>
    <n v="22664"/>
  </r>
  <r>
    <x v="26"/>
    <x v="12"/>
    <s v="Electric Generators, Electric Utilities"/>
    <x v="5"/>
    <n v="12770309"/>
  </r>
  <r>
    <x v="26"/>
    <x v="12"/>
    <s v="Electric Generators, Electric Utilities"/>
    <x v="6"/>
    <n v="0"/>
  </r>
  <r>
    <x v="26"/>
    <x v="13"/>
    <s v="Total Electric Power Industry"/>
    <x v="0"/>
    <n v="15660938"/>
  </r>
  <r>
    <x v="26"/>
    <x v="13"/>
    <s v="Total Electric Power Industry"/>
    <x v="1"/>
    <n v="29188"/>
  </r>
  <r>
    <x v="26"/>
    <x v="13"/>
    <s v="Total Electric Power Industry"/>
    <x v="11"/>
    <n v="71995"/>
  </r>
  <r>
    <x v="26"/>
    <x v="13"/>
    <s v="Total Electric Power Industry"/>
    <x v="2"/>
    <n v="9033272"/>
  </r>
  <r>
    <x v="26"/>
    <x v="13"/>
    <s v="Total Electric Power Industry"/>
    <x v="3"/>
    <n v="3321462"/>
  </r>
  <r>
    <x v="26"/>
    <x v="13"/>
    <s v="Total Electric Power Industry"/>
    <x v="12"/>
    <n v="65048"/>
  </r>
  <r>
    <x v="26"/>
    <x v="13"/>
    <s v="Total Electric Power Industry"/>
    <x v="4"/>
    <n v="183"/>
  </r>
  <r>
    <x v="26"/>
    <x v="13"/>
    <s v="Total Electric Power Industry"/>
    <x v="13"/>
    <n v="29801"/>
  </r>
  <r>
    <x v="26"/>
    <x v="13"/>
    <s v="Total Electric Power Industry"/>
    <x v="8"/>
    <n v="118428"/>
  </r>
  <r>
    <x v="26"/>
    <x v="13"/>
    <s v="Total Electric Power Industry"/>
    <x v="5"/>
    <n v="2578415"/>
  </r>
  <r>
    <x v="26"/>
    <x v="13"/>
    <s v="Total Electric Power Industry"/>
    <x v="6"/>
    <n v="413145"/>
  </r>
  <r>
    <x v="26"/>
    <x v="13"/>
    <s v="Combined Heat and Power, Industrial Power"/>
    <x v="0"/>
    <n v="598607"/>
  </r>
  <r>
    <x v="26"/>
    <x v="13"/>
    <s v="Combined Heat and Power, Industrial Power"/>
    <x v="1"/>
    <n v="29188"/>
  </r>
  <r>
    <x v="26"/>
    <x v="13"/>
    <s v="Combined Heat and Power, Industrial Power"/>
    <x v="3"/>
    <n v="139847"/>
  </r>
  <r>
    <x v="26"/>
    <x v="13"/>
    <s v="Combined Heat and Power, Industrial Power"/>
    <x v="12"/>
    <n v="65048"/>
  </r>
  <r>
    <x v="26"/>
    <x v="13"/>
    <s v="Combined Heat and Power, Industrial Power"/>
    <x v="4"/>
    <n v="0"/>
  </r>
  <r>
    <x v="26"/>
    <x v="13"/>
    <s v="Combined Heat and Power, Industrial Power"/>
    <x v="8"/>
    <n v="10884"/>
  </r>
  <r>
    <x v="26"/>
    <x v="13"/>
    <s v="Combined Heat and Power, Industrial Power"/>
    <x v="6"/>
    <n v="353640"/>
  </r>
  <r>
    <x v="26"/>
    <x v="13"/>
    <s v="Combined Heat and Power, Commercial Power"/>
    <x v="0"/>
    <n v="50583"/>
  </r>
  <r>
    <x v="26"/>
    <x v="13"/>
    <s v="Combined Heat and Power, Commercial Power"/>
    <x v="3"/>
    <n v="39536"/>
  </r>
  <r>
    <x v="26"/>
    <x v="13"/>
    <s v="Combined Heat and Power, Commercial Power"/>
    <x v="4"/>
    <n v="163"/>
  </r>
  <r>
    <x v="26"/>
    <x v="13"/>
    <s v="Combined Heat and Power, Commercial Power"/>
    <x v="8"/>
    <n v="10884"/>
  </r>
  <r>
    <x v="26"/>
    <x v="13"/>
    <s v="Combined Heat and Power, Electric Power"/>
    <x v="0"/>
    <n v="166375"/>
  </r>
  <r>
    <x v="26"/>
    <x v="13"/>
    <s v="Combined Heat and Power, Electric Power"/>
    <x v="3"/>
    <n v="65841"/>
  </r>
  <r>
    <x v="26"/>
    <x v="13"/>
    <s v="Combined Heat and Power, Electric Power"/>
    <x v="8"/>
    <n v="41029"/>
  </r>
  <r>
    <x v="26"/>
    <x v="13"/>
    <s v="Combined Heat and Power, Electric Power"/>
    <x v="6"/>
    <n v="59505"/>
  </r>
  <r>
    <x v="26"/>
    <x v="13"/>
    <s v="Electric Generators, Independent Power Producers"/>
    <x v="0"/>
    <n v="4850359"/>
  </r>
  <r>
    <x v="26"/>
    <x v="13"/>
    <s v="Electric Generators, Independent Power Producers"/>
    <x v="11"/>
    <n v="71995"/>
  </r>
  <r>
    <x v="26"/>
    <x v="13"/>
    <s v="Electric Generators, Independent Power Producers"/>
    <x v="2"/>
    <n v="811866"/>
  </r>
  <r>
    <x v="26"/>
    <x v="13"/>
    <s v="Electric Generators, Independent Power Producers"/>
    <x v="3"/>
    <n v="1314104"/>
  </r>
  <r>
    <x v="26"/>
    <x v="13"/>
    <s v="Electric Generators, Independent Power Producers"/>
    <x v="13"/>
    <n v="29801"/>
  </r>
  <r>
    <x v="26"/>
    <x v="13"/>
    <s v="Electric Generators, Independent Power Producers"/>
    <x v="8"/>
    <n v="44178"/>
  </r>
  <r>
    <x v="26"/>
    <x v="13"/>
    <s v="Electric Generators, Independent Power Producers"/>
    <x v="5"/>
    <n v="2578415"/>
  </r>
  <r>
    <x v="26"/>
    <x v="13"/>
    <s v="Electric Generators, Electric Utilities"/>
    <x v="0"/>
    <n v="9995014"/>
  </r>
  <r>
    <x v="26"/>
    <x v="13"/>
    <s v="Electric Generators, Electric Utilities"/>
    <x v="2"/>
    <n v="8221406"/>
  </r>
  <r>
    <x v="26"/>
    <x v="13"/>
    <s v="Electric Generators, Electric Utilities"/>
    <x v="3"/>
    <n v="1762135"/>
  </r>
  <r>
    <x v="26"/>
    <x v="13"/>
    <s v="Electric Generators, Electric Utilities"/>
    <x v="4"/>
    <n v="20"/>
  </r>
  <r>
    <x v="26"/>
    <x v="13"/>
    <s v="Electric Generators, Electric Utilities"/>
    <x v="8"/>
    <n v="11453"/>
  </r>
  <r>
    <x v="26"/>
    <x v="14"/>
    <s v="Total Electric Power Industry"/>
    <x v="0"/>
    <n v="187289131"/>
  </r>
  <r>
    <x v="26"/>
    <x v="14"/>
    <s v="Total Electric Power Industry"/>
    <x v="1"/>
    <n v="59337802"/>
  </r>
  <r>
    <x v="26"/>
    <x v="14"/>
    <s v="Total Electric Power Industry"/>
    <x v="2"/>
    <n v="132834"/>
  </r>
  <r>
    <x v="26"/>
    <x v="14"/>
    <s v="Total Electric Power Industry"/>
    <x v="3"/>
    <n v="17484691"/>
  </r>
  <r>
    <x v="26"/>
    <x v="14"/>
    <s v="Total Electric Power Industry"/>
    <x v="7"/>
    <n v="98607038"/>
  </r>
  <r>
    <x v="26"/>
    <x v="14"/>
    <s v="Total Electric Power Industry"/>
    <x v="9"/>
    <n v="204153"/>
  </r>
  <r>
    <x v="26"/>
    <x v="14"/>
    <s v="Total Electric Power Industry"/>
    <x v="12"/>
    <n v="273854"/>
  </r>
  <r>
    <x v="26"/>
    <x v="14"/>
    <s v="Total Electric Power Industry"/>
    <x v="4"/>
    <n v="69503"/>
  </r>
  <r>
    <x v="26"/>
    <x v="14"/>
    <s v="Total Electric Power Industry"/>
    <x v="13"/>
    <n v="48810"/>
  </r>
  <r>
    <x v="26"/>
    <x v="14"/>
    <s v="Total Electric Power Industry"/>
    <x v="8"/>
    <n v="467012"/>
  </r>
  <r>
    <x v="26"/>
    <x v="14"/>
    <s v="Total Electric Power Industry"/>
    <x v="5"/>
    <n v="10663434"/>
  </r>
  <r>
    <x v="26"/>
    <x v="14"/>
    <s v="Total Electric Power Industry"/>
    <x v="6"/>
    <n v="0"/>
  </r>
  <r>
    <x v="26"/>
    <x v="14"/>
    <s v="Combined Heat and Power, Industrial Power"/>
    <x v="0"/>
    <n v="2675322"/>
  </r>
  <r>
    <x v="26"/>
    <x v="14"/>
    <s v="Combined Heat and Power, Industrial Power"/>
    <x v="1"/>
    <n v="1501343"/>
  </r>
  <r>
    <x v="26"/>
    <x v="14"/>
    <s v="Combined Heat and Power, Industrial Power"/>
    <x v="3"/>
    <n v="685763"/>
  </r>
  <r>
    <x v="26"/>
    <x v="14"/>
    <s v="Combined Heat and Power, Industrial Power"/>
    <x v="9"/>
    <n v="198461"/>
  </r>
  <r>
    <x v="26"/>
    <x v="14"/>
    <s v="Combined Heat and Power, Industrial Power"/>
    <x v="12"/>
    <n v="289748"/>
  </r>
  <r>
    <x v="26"/>
    <x v="14"/>
    <s v="Combined Heat and Power, Industrial Power"/>
    <x v="4"/>
    <n v="6"/>
  </r>
  <r>
    <x v="26"/>
    <x v="14"/>
    <s v="Combined Heat and Power, Industrial Power"/>
    <x v="6"/>
    <n v="0"/>
  </r>
  <r>
    <x v="26"/>
    <x v="14"/>
    <s v="Combined Heat and Power, Commercial Power"/>
    <x v="0"/>
    <n v="353985"/>
  </r>
  <r>
    <x v="26"/>
    <x v="14"/>
    <s v="Combined Heat and Power, Commercial Power"/>
    <x v="1"/>
    <n v="20380"/>
  </r>
  <r>
    <x v="26"/>
    <x v="14"/>
    <s v="Combined Heat and Power, Commercial Power"/>
    <x v="2"/>
    <n v="1443"/>
  </r>
  <r>
    <x v="26"/>
    <x v="14"/>
    <s v="Combined Heat and Power, Commercial Power"/>
    <x v="3"/>
    <n v="326269"/>
  </r>
  <r>
    <x v="26"/>
    <x v="14"/>
    <s v="Combined Heat and Power, Commercial Power"/>
    <x v="4"/>
    <n v="1153"/>
  </r>
  <r>
    <x v="26"/>
    <x v="14"/>
    <s v="Combined Heat and Power, Commercial Power"/>
    <x v="8"/>
    <n v="0"/>
  </r>
  <r>
    <x v="26"/>
    <x v="14"/>
    <s v="Combined Heat and Power, Commercial Power"/>
    <x v="5"/>
    <n v="4741"/>
  </r>
  <r>
    <x v="26"/>
    <x v="14"/>
    <s v="Combined Heat and Power, Electric Power"/>
    <x v="0"/>
    <n v="622802"/>
  </r>
  <r>
    <x v="26"/>
    <x v="14"/>
    <s v="Combined Heat and Power, Electric Power"/>
    <x v="3"/>
    <n v="610273"/>
  </r>
  <r>
    <x v="26"/>
    <x v="14"/>
    <s v="Combined Heat and Power, Electric Power"/>
    <x v="9"/>
    <n v="5692"/>
  </r>
  <r>
    <x v="26"/>
    <x v="14"/>
    <s v="Combined Heat and Power, Electric Power"/>
    <x v="8"/>
    <n v="6837"/>
  </r>
  <r>
    <x v="26"/>
    <x v="14"/>
    <s v="Electric Generators, Independent Power Producers"/>
    <x v="0"/>
    <n v="178446052"/>
  </r>
  <r>
    <x v="26"/>
    <x v="14"/>
    <s v="Electric Generators, Independent Power Producers"/>
    <x v="1"/>
    <n v="54397070"/>
  </r>
  <r>
    <x v="26"/>
    <x v="14"/>
    <s v="Electric Generators, Independent Power Producers"/>
    <x v="2"/>
    <n v="80056"/>
  </r>
  <r>
    <x v="26"/>
    <x v="14"/>
    <s v="Electric Generators, Independent Power Producers"/>
    <x v="3"/>
    <n v="14188074"/>
  </r>
  <r>
    <x v="26"/>
    <x v="14"/>
    <s v="Electric Generators, Independent Power Producers"/>
    <x v="7"/>
    <n v="98607038"/>
  </r>
  <r>
    <x v="26"/>
    <x v="14"/>
    <s v="Electric Generators, Independent Power Producers"/>
    <x v="12"/>
    <n v="-15894"/>
  </r>
  <r>
    <x v="26"/>
    <x v="14"/>
    <s v="Electric Generators, Independent Power Producers"/>
    <x v="4"/>
    <n v="58858"/>
  </r>
  <r>
    <x v="26"/>
    <x v="14"/>
    <s v="Electric Generators, Independent Power Producers"/>
    <x v="13"/>
    <n v="46751"/>
  </r>
  <r>
    <x v="26"/>
    <x v="14"/>
    <s v="Electric Generators, Independent Power Producers"/>
    <x v="8"/>
    <n v="438178"/>
  </r>
  <r>
    <x v="26"/>
    <x v="14"/>
    <s v="Electric Generators, Independent Power Producers"/>
    <x v="5"/>
    <n v="10645920"/>
  </r>
  <r>
    <x v="26"/>
    <x v="14"/>
    <s v="Electric Generators, Electric Utilities"/>
    <x v="0"/>
    <n v="5190971"/>
  </r>
  <r>
    <x v="26"/>
    <x v="14"/>
    <s v="Electric Generators, Electric Utilities"/>
    <x v="1"/>
    <n v="3419009"/>
  </r>
  <r>
    <x v="26"/>
    <x v="14"/>
    <s v="Electric Generators, Electric Utilities"/>
    <x v="2"/>
    <n v="51335"/>
  </r>
  <r>
    <x v="26"/>
    <x v="14"/>
    <s v="Electric Generators, Electric Utilities"/>
    <x v="3"/>
    <n v="1674312"/>
  </r>
  <r>
    <x v="26"/>
    <x v="14"/>
    <s v="Electric Generators, Electric Utilities"/>
    <x v="4"/>
    <n v="9486"/>
  </r>
  <r>
    <x v="26"/>
    <x v="14"/>
    <s v="Electric Generators, Electric Utilities"/>
    <x v="13"/>
    <n v="2059"/>
  </r>
  <r>
    <x v="26"/>
    <x v="14"/>
    <s v="Electric Generators, Electric Utilities"/>
    <x v="8"/>
    <n v="21997"/>
  </r>
  <r>
    <x v="26"/>
    <x v="14"/>
    <s v="Electric Generators, Electric Utilities"/>
    <x v="5"/>
    <n v="12773"/>
  </r>
  <r>
    <x v="26"/>
    <x v="15"/>
    <s v="Total Electric Power Industry"/>
    <x v="0"/>
    <n v="101759059"/>
  </r>
  <r>
    <x v="26"/>
    <x v="15"/>
    <s v="Total Electric Power Industry"/>
    <x v="1"/>
    <n v="72533080"/>
  </r>
  <r>
    <x v="26"/>
    <x v="15"/>
    <s v="Total Electric Power Industry"/>
    <x v="2"/>
    <n v="426265"/>
  </r>
  <r>
    <x v="26"/>
    <x v="15"/>
    <s v="Total Electric Power Industry"/>
    <x v="3"/>
    <n v="19995659"/>
  </r>
  <r>
    <x v="26"/>
    <x v="15"/>
    <s v="Total Electric Power Industry"/>
    <x v="9"/>
    <n v="2272492"/>
  </r>
  <r>
    <x v="26"/>
    <x v="15"/>
    <s v="Total Electric Power Industry"/>
    <x v="12"/>
    <n v="363050"/>
  </r>
  <r>
    <x v="26"/>
    <x v="15"/>
    <s v="Total Electric Power Industry"/>
    <x v="4"/>
    <n v="610407"/>
  </r>
  <r>
    <x v="26"/>
    <x v="15"/>
    <s v="Total Electric Power Industry"/>
    <x v="13"/>
    <n v="225841"/>
  </r>
  <r>
    <x v="26"/>
    <x v="15"/>
    <s v="Total Electric Power Industry"/>
    <x v="8"/>
    <n v="432790"/>
  </r>
  <r>
    <x v="26"/>
    <x v="15"/>
    <s v="Total Electric Power Industry"/>
    <x v="5"/>
    <n v="4899474"/>
  </r>
  <r>
    <x v="26"/>
    <x v="15"/>
    <s v="Total Electric Power Industry"/>
    <x v="6"/>
    <n v="0"/>
  </r>
  <r>
    <x v="26"/>
    <x v="15"/>
    <s v="Combined Heat and Power, Industrial Power"/>
    <x v="0"/>
    <n v="3183090"/>
  </r>
  <r>
    <x v="26"/>
    <x v="15"/>
    <s v="Combined Heat and Power, Industrial Power"/>
    <x v="1"/>
    <n v="6538"/>
  </r>
  <r>
    <x v="26"/>
    <x v="15"/>
    <s v="Combined Heat and Power, Industrial Power"/>
    <x v="3"/>
    <n v="482833"/>
  </r>
  <r>
    <x v="26"/>
    <x v="15"/>
    <s v="Combined Heat and Power, Industrial Power"/>
    <x v="9"/>
    <n v="2263039"/>
  </r>
  <r>
    <x v="26"/>
    <x v="15"/>
    <s v="Combined Heat and Power, Industrial Power"/>
    <x v="12"/>
    <n v="343628"/>
  </r>
  <r>
    <x v="26"/>
    <x v="15"/>
    <s v="Combined Heat and Power, Industrial Power"/>
    <x v="4"/>
    <n v="12008"/>
  </r>
  <r>
    <x v="26"/>
    <x v="15"/>
    <s v="Combined Heat and Power, Industrial Power"/>
    <x v="8"/>
    <n v="75044"/>
  </r>
  <r>
    <x v="26"/>
    <x v="15"/>
    <s v="Combined Heat and Power, Commercial Power"/>
    <x v="0"/>
    <n v="279798"/>
  </r>
  <r>
    <x v="26"/>
    <x v="15"/>
    <s v="Combined Heat and Power, Commercial Power"/>
    <x v="1"/>
    <n v="45961"/>
  </r>
  <r>
    <x v="26"/>
    <x v="15"/>
    <s v="Combined Heat and Power, Commercial Power"/>
    <x v="3"/>
    <n v="192772"/>
  </r>
  <r>
    <x v="26"/>
    <x v="15"/>
    <s v="Combined Heat and Power, Commercial Power"/>
    <x v="12"/>
    <n v="19422"/>
  </r>
  <r>
    <x v="26"/>
    <x v="15"/>
    <s v="Combined Heat and Power, Commercial Power"/>
    <x v="4"/>
    <n v="682"/>
  </r>
  <r>
    <x v="26"/>
    <x v="15"/>
    <s v="Combined Heat and Power, Commercial Power"/>
    <x v="8"/>
    <n v="20215"/>
  </r>
  <r>
    <x v="26"/>
    <x v="15"/>
    <s v="Combined Heat and Power, Commercial Power"/>
    <x v="5"/>
    <n v="745"/>
  </r>
  <r>
    <x v="26"/>
    <x v="15"/>
    <s v="Combined Heat and Power, Electric Power"/>
    <x v="0"/>
    <n v="6542385"/>
  </r>
  <r>
    <x v="26"/>
    <x v="15"/>
    <s v="Combined Heat and Power, Electric Power"/>
    <x v="1"/>
    <n v="3420670"/>
  </r>
  <r>
    <x v="26"/>
    <x v="15"/>
    <s v="Combined Heat and Power, Electric Power"/>
    <x v="3"/>
    <n v="3121714"/>
  </r>
  <r>
    <x v="26"/>
    <x v="15"/>
    <s v="Combined Heat and Power, Electric Power"/>
    <x v="4"/>
    <n v="0"/>
  </r>
  <r>
    <x v="26"/>
    <x v="15"/>
    <s v="Electric Generators, Independent Power Producers"/>
    <x v="0"/>
    <n v="5331077"/>
  </r>
  <r>
    <x v="26"/>
    <x v="15"/>
    <s v="Electric Generators, Independent Power Producers"/>
    <x v="1"/>
    <n v="0"/>
  </r>
  <r>
    <x v="26"/>
    <x v="15"/>
    <s v="Electric Generators, Independent Power Producers"/>
    <x v="3"/>
    <n v="188440"/>
  </r>
  <r>
    <x v="26"/>
    <x v="15"/>
    <s v="Electric Generators, Independent Power Producers"/>
    <x v="4"/>
    <n v="0"/>
  </r>
  <r>
    <x v="26"/>
    <x v="15"/>
    <s v="Electric Generators, Independent Power Producers"/>
    <x v="13"/>
    <n v="192901"/>
  </r>
  <r>
    <x v="26"/>
    <x v="15"/>
    <s v="Electric Generators, Independent Power Producers"/>
    <x v="8"/>
    <n v="51007"/>
  </r>
  <r>
    <x v="26"/>
    <x v="15"/>
    <s v="Electric Generators, Independent Power Producers"/>
    <x v="5"/>
    <n v="4898729"/>
  </r>
  <r>
    <x v="26"/>
    <x v="15"/>
    <s v="Electric Generators, Independent Power Producers"/>
    <x v="6"/>
    <n v="0"/>
  </r>
  <r>
    <x v="26"/>
    <x v="15"/>
    <s v="Electric Generators, Electric Utilities"/>
    <x v="0"/>
    <n v="86422710"/>
  </r>
  <r>
    <x v="26"/>
    <x v="15"/>
    <s v="Electric Generators, Electric Utilities"/>
    <x v="1"/>
    <n v="69059912"/>
  </r>
  <r>
    <x v="26"/>
    <x v="15"/>
    <s v="Electric Generators, Electric Utilities"/>
    <x v="2"/>
    <n v="426265"/>
  </r>
  <r>
    <x v="26"/>
    <x v="15"/>
    <s v="Electric Generators, Electric Utilities"/>
    <x v="3"/>
    <n v="16009900"/>
  </r>
  <r>
    <x v="26"/>
    <x v="15"/>
    <s v="Electric Generators, Electric Utilities"/>
    <x v="9"/>
    <n v="9453"/>
  </r>
  <r>
    <x v="26"/>
    <x v="15"/>
    <s v="Electric Generators, Electric Utilities"/>
    <x v="12"/>
    <n v="0"/>
  </r>
  <r>
    <x v="26"/>
    <x v="15"/>
    <s v="Electric Generators, Electric Utilities"/>
    <x v="4"/>
    <n v="597717"/>
  </r>
  <r>
    <x v="26"/>
    <x v="15"/>
    <s v="Electric Generators, Electric Utilities"/>
    <x v="13"/>
    <n v="32940"/>
  </r>
  <r>
    <x v="26"/>
    <x v="15"/>
    <s v="Electric Generators, Electric Utilities"/>
    <x v="8"/>
    <n v="286523"/>
  </r>
  <r>
    <x v="26"/>
    <x v="15"/>
    <s v="Electric Generators, Electric Utilities"/>
    <x v="6"/>
    <n v="0"/>
  </r>
  <r>
    <x v="26"/>
    <x v="16"/>
    <s v="Total Electric Power Industry"/>
    <x v="0"/>
    <n v="47599991"/>
  </r>
  <r>
    <x v="26"/>
    <x v="16"/>
    <s v="Total Electric Power Industry"/>
    <x v="1"/>
    <n v="23096064"/>
  </r>
  <r>
    <x v="26"/>
    <x v="16"/>
    <s v="Total Electric Power Industry"/>
    <x v="2"/>
    <n v="30538"/>
  </r>
  <r>
    <x v="26"/>
    <x v="16"/>
    <s v="Total Electric Power Industry"/>
    <x v="3"/>
    <n v="2027207"/>
  </r>
  <r>
    <x v="26"/>
    <x v="16"/>
    <s v="Total Electric Power Industry"/>
    <x v="7"/>
    <n v="8246042"/>
  </r>
  <r>
    <x v="26"/>
    <x v="16"/>
    <s v="Total Electric Power Industry"/>
    <x v="12"/>
    <n v="1"/>
  </r>
  <r>
    <x v="26"/>
    <x v="16"/>
    <s v="Total Electric Power Industry"/>
    <x v="4"/>
    <n v="28324"/>
  </r>
  <r>
    <x v="26"/>
    <x v="16"/>
    <s v="Total Electric Power Industry"/>
    <x v="13"/>
    <n v="2102"/>
  </r>
  <r>
    <x v="26"/>
    <x v="16"/>
    <s v="Total Electric Power Industry"/>
    <x v="8"/>
    <n v="58832"/>
  </r>
  <r>
    <x v="26"/>
    <x v="16"/>
    <s v="Total Electric Power Industry"/>
    <x v="5"/>
    <n v="14110881"/>
  </r>
  <r>
    <x v="26"/>
    <x v="16"/>
    <s v="Combined Heat and Power, Industrial Power"/>
    <x v="0"/>
    <n v="51775"/>
  </r>
  <r>
    <x v="26"/>
    <x v="16"/>
    <s v="Combined Heat and Power, Industrial Power"/>
    <x v="3"/>
    <n v="51774"/>
  </r>
  <r>
    <x v="26"/>
    <x v="16"/>
    <s v="Combined Heat and Power, Industrial Power"/>
    <x v="12"/>
    <n v="1"/>
  </r>
  <r>
    <x v="26"/>
    <x v="16"/>
    <s v="Combined Heat and Power, Industrial Power"/>
    <x v="8"/>
    <n v="0"/>
  </r>
  <r>
    <x v="26"/>
    <x v="16"/>
    <s v="Electric Generators, Independent Power Producers"/>
    <x v="0"/>
    <n v="13372086"/>
  </r>
  <r>
    <x v="26"/>
    <x v="16"/>
    <s v="Electric Generators, Independent Power Producers"/>
    <x v="2"/>
    <n v="30538"/>
  </r>
  <r>
    <x v="26"/>
    <x v="16"/>
    <s v="Electric Generators, Independent Power Producers"/>
    <x v="13"/>
    <n v="2102"/>
  </r>
  <r>
    <x v="26"/>
    <x v="16"/>
    <s v="Electric Generators, Independent Power Producers"/>
    <x v="8"/>
    <n v="58832"/>
  </r>
  <r>
    <x v="26"/>
    <x v="16"/>
    <s v="Electric Generators, Independent Power Producers"/>
    <x v="5"/>
    <n v="13280614"/>
  </r>
  <r>
    <x v="26"/>
    <x v="16"/>
    <s v="Electric Generators, Electric Utilities"/>
    <x v="0"/>
    <n v="34176130"/>
  </r>
  <r>
    <x v="26"/>
    <x v="16"/>
    <s v="Electric Generators, Electric Utilities"/>
    <x v="1"/>
    <n v="23096064"/>
  </r>
  <r>
    <x v="26"/>
    <x v="16"/>
    <s v="Electric Generators, Electric Utilities"/>
    <x v="3"/>
    <n v="1975433"/>
  </r>
  <r>
    <x v="26"/>
    <x v="16"/>
    <s v="Electric Generators, Electric Utilities"/>
    <x v="7"/>
    <n v="8246042"/>
  </r>
  <r>
    <x v="26"/>
    <x v="16"/>
    <s v="Electric Generators, Electric Utilities"/>
    <x v="4"/>
    <n v="28324"/>
  </r>
  <r>
    <x v="26"/>
    <x v="16"/>
    <s v="Electric Generators, Electric Utilities"/>
    <x v="5"/>
    <n v="830267"/>
  </r>
  <r>
    <x v="26"/>
    <x v="17"/>
    <s v="Total Electric Power Industry"/>
    <x v="0"/>
    <n v="80273501"/>
  </r>
  <r>
    <x v="26"/>
    <x v="17"/>
    <s v="Total Electric Power Industry"/>
    <x v="1"/>
    <n v="66822058"/>
  </r>
  <r>
    <x v="26"/>
    <x v="17"/>
    <s v="Total Electric Power Industry"/>
    <x v="2"/>
    <n v="3477930"/>
  </r>
  <r>
    <x v="26"/>
    <x v="17"/>
    <s v="Total Electric Power Industry"/>
    <x v="3"/>
    <n v="8228334"/>
  </r>
  <r>
    <x v="26"/>
    <x v="17"/>
    <s v="Total Electric Power Industry"/>
    <x v="12"/>
    <n v="49951"/>
  </r>
  <r>
    <x v="26"/>
    <x v="17"/>
    <s v="Total Electric Power Industry"/>
    <x v="4"/>
    <n v="1218601"/>
  </r>
  <r>
    <x v="26"/>
    <x v="17"/>
    <s v="Total Electric Power Industry"/>
    <x v="13"/>
    <n v="11732"/>
  </r>
  <r>
    <x v="26"/>
    <x v="17"/>
    <s v="Total Electric Power Industry"/>
    <x v="8"/>
    <n v="104776"/>
  </r>
  <r>
    <x v="26"/>
    <x v="17"/>
    <s v="Total Electric Power Industry"/>
    <x v="6"/>
    <n v="360119"/>
  </r>
  <r>
    <x v="26"/>
    <x v="17"/>
    <s v="Combined Heat and Power, Industrial Power"/>
    <x v="0"/>
    <n v="613232"/>
  </r>
  <r>
    <x v="26"/>
    <x v="17"/>
    <s v="Combined Heat and Power, Industrial Power"/>
    <x v="3"/>
    <n v="253113"/>
  </r>
  <r>
    <x v="26"/>
    <x v="17"/>
    <s v="Combined Heat and Power, Industrial Power"/>
    <x v="8"/>
    <n v="0"/>
  </r>
  <r>
    <x v="26"/>
    <x v="17"/>
    <s v="Combined Heat and Power, Industrial Power"/>
    <x v="6"/>
    <n v="360119"/>
  </r>
  <r>
    <x v="26"/>
    <x v="17"/>
    <s v="Electric Generators, Independent Power Producers"/>
    <x v="0"/>
    <n v="546799"/>
  </r>
  <r>
    <x v="26"/>
    <x v="17"/>
    <s v="Electric Generators, Independent Power Producers"/>
    <x v="2"/>
    <n v="9712"/>
  </r>
  <r>
    <x v="26"/>
    <x v="17"/>
    <s v="Electric Generators, Independent Power Producers"/>
    <x v="3"/>
    <n v="523302"/>
  </r>
  <r>
    <x v="26"/>
    <x v="17"/>
    <s v="Electric Generators, Independent Power Producers"/>
    <x v="8"/>
    <n v="13785"/>
  </r>
  <r>
    <x v="26"/>
    <x v="17"/>
    <s v="Electric Generators, Electric Utilities"/>
    <x v="0"/>
    <n v="79113471"/>
  </r>
  <r>
    <x v="26"/>
    <x v="17"/>
    <s v="Electric Generators, Electric Utilities"/>
    <x v="1"/>
    <n v="66822058"/>
  </r>
  <r>
    <x v="26"/>
    <x v="17"/>
    <s v="Electric Generators, Electric Utilities"/>
    <x v="2"/>
    <n v="3468218"/>
  </r>
  <r>
    <x v="26"/>
    <x v="17"/>
    <s v="Electric Generators, Electric Utilities"/>
    <x v="3"/>
    <n v="7451919"/>
  </r>
  <r>
    <x v="26"/>
    <x v="17"/>
    <s v="Electric Generators, Electric Utilities"/>
    <x v="12"/>
    <n v="49951"/>
  </r>
  <r>
    <x v="26"/>
    <x v="17"/>
    <s v="Electric Generators, Electric Utilities"/>
    <x v="4"/>
    <n v="1218601"/>
  </r>
  <r>
    <x v="26"/>
    <x v="17"/>
    <s v="Electric Generators, Electric Utilities"/>
    <x v="13"/>
    <n v="11732"/>
  </r>
  <r>
    <x v="26"/>
    <x v="17"/>
    <s v="Electric Generators, Electric Utilities"/>
    <x v="8"/>
    <n v="90991"/>
  </r>
  <r>
    <x v="26"/>
    <x v="17"/>
    <s v="Electric Generators, Electric Utilities"/>
    <x v="6"/>
    <n v="0"/>
  </r>
  <r>
    <x v="26"/>
    <x v="18"/>
    <s v="Total Electric Power Industry"/>
    <x v="0"/>
    <n v="107268804"/>
  </r>
  <r>
    <x v="26"/>
    <x v="18"/>
    <s v="Total Electric Power Industry"/>
    <x v="1"/>
    <n v="12013649"/>
  </r>
  <r>
    <x v="26"/>
    <x v="18"/>
    <s v="Total Electric Power Industry"/>
    <x v="2"/>
    <n v="1103023"/>
  </r>
  <r>
    <x v="26"/>
    <x v="18"/>
    <s v="Total Electric Power Industry"/>
    <x v="3"/>
    <n v="66479142"/>
  </r>
  <r>
    <x v="26"/>
    <x v="18"/>
    <s v="Total Electric Power Industry"/>
    <x v="7"/>
    <n v="17151826"/>
  </r>
  <r>
    <x v="26"/>
    <x v="18"/>
    <s v="Total Electric Power Industry"/>
    <x v="9"/>
    <n v="2099070"/>
  </r>
  <r>
    <x v="26"/>
    <x v="18"/>
    <s v="Total Electric Power Industry"/>
    <x v="12"/>
    <n v="726596"/>
  </r>
  <r>
    <x v="26"/>
    <x v="18"/>
    <s v="Total Electric Power Industry"/>
    <x v="4"/>
    <n v="4819225"/>
  </r>
  <r>
    <x v="26"/>
    <x v="18"/>
    <s v="Total Electric Power Industry"/>
    <x v="8"/>
    <n v="87334"/>
  </r>
  <r>
    <x v="26"/>
    <x v="18"/>
    <s v="Total Electric Power Industry"/>
    <x v="6"/>
    <n v="2788939"/>
  </r>
  <r>
    <x v="26"/>
    <x v="18"/>
    <s v="Combined Heat and Power, Industrial Power"/>
    <x v="0"/>
    <n v="32331728"/>
  </r>
  <r>
    <x v="26"/>
    <x v="18"/>
    <s v="Combined Heat and Power, Industrial Power"/>
    <x v="1"/>
    <n v="0"/>
  </r>
  <r>
    <x v="26"/>
    <x v="18"/>
    <s v="Combined Heat and Power, Industrial Power"/>
    <x v="3"/>
    <n v="26474578"/>
  </r>
  <r>
    <x v="26"/>
    <x v="18"/>
    <s v="Combined Heat and Power, Industrial Power"/>
    <x v="9"/>
    <n v="2099070"/>
  </r>
  <r>
    <x v="26"/>
    <x v="18"/>
    <s v="Combined Heat and Power, Industrial Power"/>
    <x v="12"/>
    <n v="726596"/>
  </r>
  <r>
    <x v="26"/>
    <x v="18"/>
    <s v="Combined Heat and Power, Industrial Power"/>
    <x v="4"/>
    <n v="235481"/>
  </r>
  <r>
    <x v="26"/>
    <x v="18"/>
    <s v="Combined Heat and Power, Industrial Power"/>
    <x v="8"/>
    <n v="7064"/>
  </r>
  <r>
    <x v="26"/>
    <x v="18"/>
    <s v="Combined Heat and Power, Industrial Power"/>
    <x v="6"/>
    <n v="2788939"/>
  </r>
  <r>
    <x v="26"/>
    <x v="18"/>
    <s v="Combined Heat and Power, Commercial Power"/>
    <x v="0"/>
    <n v="169558"/>
  </r>
  <r>
    <x v="26"/>
    <x v="18"/>
    <s v="Combined Heat and Power, Commercial Power"/>
    <x v="3"/>
    <n v="169558"/>
  </r>
  <r>
    <x v="26"/>
    <x v="18"/>
    <s v="Combined Heat and Power, Electric Power"/>
    <x v="0"/>
    <n v="2495579"/>
  </r>
  <r>
    <x v="26"/>
    <x v="18"/>
    <s v="Combined Heat and Power, Electric Power"/>
    <x v="3"/>
    <n v="2495579"/>
  </r>
  <r>
    <x v="26"/>
    <x v="18"/>
    <s v="Electric Generators, Independent Power Producers"/>
    <x v="0"/>
    <n v="7786193"/>
  </r>
  <r>
    <x v="26"/>
    <x v="18"/>
    <s v="Electric Generators, Independent Power Producers"/>
    <x v="1"/>
    <n v="3951853"/>
  </r>
  <r>
    <x v="26"/>
    <x v="18"/>
    <s v="Electric Generators, Independent Power Producers"/>
    <x v="2"/>
    <n v="1103023"/>
  </r>
  <r>
    <x v="26"/>
    <x v="18"/>
    <s v="Electric Generators, Independent Power Producers"/>
    <x v="3"/>
    <n v="2649275"/>
  </r>
  <r>
    <x v="26"/>
    <x v="18"/>
    <s v="Electric Generators, Independent Power Producers"/>
    <x v="4"/>
    <n v="1773"/>
  </r>
  <r>
    <x v="26"/>
    <x v="18"/>
    <s v="Electric Generators, Independent Power Producers"/>
    <x v="8"/>
    <n v="80270"/>
  </r>
  <r>
    <x v="26"/>
    <x v="18"/>
    <s v="Electric Generators, Electric Utilities"/>
    <x v="0"/>
    <n v="64485745"/>
  </r>
  <r>
    <x v="26"/>
    <x v="18"/>
    <s v="Electric Generators, Electric Utilities"/>
    <x v="1"/>
    <n v="8061796"/>
  </r>
  <r>
    <x v="26"/>
    <x v="18"/>
    <s v="Electric Generators, Electric Utilities"/>
    <x v="3"/>
    <n v="34690153"/>
  </r>
  <r>
    <x v="26"/>
    <x v="18"/>
    <s v="Electric Generators, Electric Utilities"/>
    <x v="7"/>
    <n v="17151826"/>
  </r>
  <r>
    <x v="26"/>
    <x v="18"/>
    <s v="Electric Generators, Electric Utilities"/>
    <x v="4"/>
    <n v="4581970"/>
  </r>
  <r>
    <x v="26"/>
    <x v="19"/>
    <s v="Total Electric Power Industry"/>
    <x v="0"/>
    <n v="31955022"/>
  </r>
  <r>
    <x v="26"/>
    <x v="19"/>
    <s v="Total Electric Power Industry"/>
    <x v="1"/>
    <n v="1874932"/>
  </r>
  <r>
    <x v="26"/>
    <x v="19"/>
    <s v="Total Electric Power Industry"/>
    <x v="10"/>
    <n v="-500450"/>
  </r>
  <r>
    <x v="26"/>
    <x v="19"/>
    <s v="Total Electric Power Industry"/>
    <x v="2"/>
    <n v="712516"/>
  </r>
  <r>
    <x v="26"/>
    <x v="19"/>
    <s v="Total Electric Power Industry"/>
    <x v="3"/>
    <n v="21143936"/>
  </r>
  <r>
    <x v="26"/>
    <x v="19"/>
    <s v="Total Electric Power Industry"/>
    <x v="7"/>
    <n v="5414318"/>
  </r>
  <r>
    <x v="26"/>
    <x v="19"/>
    <s v="Total Electric Power Industry"/>
    <x v="12"/>
    <n v="857932"/>
  </r>
  <r>
    <x v="26"/>
    <x v="19"/>
    <s v="Total Electric Power Industry"/>
    <x v="4"/>
    <n v="422281"/>
  </r>
  <r>
    <x v="26"/>
    <x v="19"/>
    <s v="Total Electric Power Industry"/>
    <x v="13"/>
    <n v="609281"/>
  </r>
  <r>
    <x v="26"/>
    <x v="19"/>
    <s v="Total Electric Power Industry"/>
    <x v="8"/>
    <n v="1075330"/>
  </r>
  <r>
    <x v="26"/>
    <x v="19"/>
    <s v="Total Electric Power Industry"/>
    <x v="5"/>
    <n v="216123"/>
  </r>
  <r>
    <x v="26"/>
    <x v="19"/>
    <s v="Total Electric Power Industry"/>
    <x v="6"/>
    <n v="128822"/>
  </r>
  <r>
    <x v="26"/>
    <x v="19"/>
    <s v="Combined Heat and Power, Industrial Power"/>
    <x v="0"/>
    <n v="226298"/>
  </r>
  <r>
    <x v="26"/>
    <x v="19"/>
    <s v="Combined Heat and Power, Industrial Power"/>
    <x v="1"/>
    <n v="0"/>
  </r>
  <r>
    <x v="26"/>
    <x v="19"/>
    <s v="Combined Heat and Power, Industrial Power"/>
    <x v="2"/>
    <n v="838"/>
  </r>
  <r>
    <x v="26"/>
    <x v="19"/>
    <s v="Combined Heat and Power, Industrial Power"/>
    <x v="3"/>
    <n v="223386"/>
  </r>
  <r>
    <x v="26"/>
    <x v="19"/>
    <s v="Combined Heat and Power, Industrial Power"/>
    <x v="12"/>
    <n v="0"/>
  </r>
  <r>
    <x v="26"/>
    <x v="19"/>
    <s v="Combined Heat and Power, Industrial Power"/>
    <x v="4"/>
    <n v="646"/>
  </r>
  <r>
    <x v="26"/>
    <x v="19"/>
    <s v="Combined Heat and Power, Industrial Power"/>
    <x v="5"/>
    <n v="1429"/>
  </r>
  <r>
    <x v="26"/>
    <x v="19"/>
    <s v="Combined Heat and Power, Commercial Power"/>
    <x v="0"/>
    <n v="531615"/>
  </r>
  <r>
    <x v="26"/>
    <x v="19"/>
    <s v="Combined Heat and Power, Commercial Power"/>
    <x v="2"/>
    <n v="3463"/>
  </r>
  <r>
    <x v="26"/>
    <x v="19"/>
    <s v="Combined Heat and Power, Commercial Power"/>
    <x v="3"/>
    <n v="456179"/>
  </r>
  <r>
    <x v="26"/>
    <x v="19"/>
    <s v="Combined Heat and Power, Commercial Power"/>
    <x v="4"/>
    <n v="18759"/>
  </r>
  <r>
    <x v="26"/>
    <x v="19"/>
    <s v="Combined Heat and Power, Commercial Power"/>
    <x v="13"/>
    <n v="5846"/>
  </r>
  <r>
    <x v="26"/>
    <x v="19"/>
    <s v="Combined Heat and Power, Commercial Power"/>
    <x v="8"/>
    <n v="27112"/>
  </r>
  <r>
    <x v="26"/>
    <x v="19"/>
    <s v="Combined Heat and Power, Commercial Power"/>
    <x v="5"/>
    <n v="20255"/>
  </r>
  <r>
    <x v="26"/>
    <x v="19"/>
    <s v="Combined Heat and Power, Electric Power"/>
    <x v="0"/>
    <n v="1763024"/>
  </r>
  <r>
    <x v="26"/>
    <x v="19"/>
    <s v="Combined Heat and Power, Electric Power"/>
    <x v="3"/>
    <n v="1759336"/>
  </r>
  <r>
    <x v="26"/>
    <x v="19"/>
    <s v="Combined Heat and Power, Electric Power"/>
    <x v="4"/>
    <n v="3688"/>
  </r>
  <r>
    <x v="26"/>
    <x v="19"/>
    <s v="Electric Generators, Independent Power Producers"/>
    <x v="0"/>
    <n v="28965856"/>
  </r>
  <r>
    <x v="26"/>
    <x v="19"/>
    <s v="Electric Generators, Independent Power Producers"/>
    <x v="1"/>
    <n v="1874932"/>
  </r>
  <r>
    <x v="26"/>
    <x v="19"/>
    <s v="Electric Generators, Independent Power Producers"/>
    <x v="10"/>
    <n v="-500450"/>
  </r>
  <r>
    <x v="26"/>
    <x v="19"/>
    <s v="Electric Generators, Independent Power Producers"/>
    <x v="2"/>
    <n v="567045"/>
  </r>
  <r>
    <x v="26"/>
    <x v="19"/>
    <s v="Electric Generators, Independent Power Producers"/>
    <x v="3"/>
    <n v="18466888"/>
  </r>
  <r>
    <x v="26"/>
    <x v="19"/>
    <s v="Electric Generators, Independent Power Producers"/>
    <x v="7"/>
    <n v="5414318"/>
  </r>
  <r>
    <x v="26"/>
    <x v="19"/>
    <s v="Electric Generators, Independent Power Producers"/>
    <x v="12"/>
    <n v="857935"/>
  </r>
  <r>
    <x v="26"/>
    <x v="19"/>
    <s v="Electric Generators, Independent Power Producers"/>
    <x v="4"/>
    <n v="384247"/>
  </r>
  <r>
    <x v="26"/>
    <x v="19"/>
    <s v="Electric Generators, Independent Power Producers"/>
    <x v="13"/>
    <n v="588557"/>
  </r>
  <r>
    <x v="26"/>
    <x v="19"/>
    <s v="Electric Generators, Independent Power Producers"/>
    <x v="8"/>
    <n v="1048219"/>
  </r>
  <r>
    <x v="26"/>
    <x v="19"/>
    <s v="Electric Generators, Independent Power Producers"/>
    <x v="5"/>
    <n v="135343"/>
  </r>
  <r>
    <x v="26"/>
    <x v="19"/>
    <s v="Electric Generators, Independent Power Producers"/>
    <x v="6"/>
    <n v="128822"/>
  </r>
  <r>
    <x v="26"/>
    <x v="19"/>
    <s v="Electric Generators, Electric Utilities"/>
    <x v="0"/>
    <n v="468228"/>
  </r>
  <r>
    <x v="26"/>
    <x v="19"/>
    <s v="Electric Generators, Electric Utilities"/>
    <x v="2"/>
    <n v="141170"/>
  </r>
  <r>
    <x v="26"/>
    <x v="19"/>
    <s v="Electric Generators, Electric Utilities"/>
    <x v="3"/>
    <n v="238147"/>
  </r>
  <r>
    <x v="26"/>
    <x v="19"/>
    <s v="Electric Generators, Electric Utilities"/>
    <x v="12"/>
    <n v="-3"/>
  </r>
  <r>
    <x v="26"/>
    <x v="19"/>
    <s v="Electric Generators, Electric Utilities"/>
    <x v="4"/>
    <n v="14942"/>
  </r>
  <r>
    <x v="26"/>
    <x v="19"/>
    <s v="Electric Generators, Electric Utilities"/>
    <x v="13"/>
    <n v="14877"/>
  </r>
  <r>
    <x v="26"/>
    <x v="19"/>
    <s v="Electric Generators, Electric Utilities"/>
    <x v="5"/>
    <n v="59096"/>
  </r>
  <r>
    <x v="26"/>
    <x v="20"/>
    <s v="Total Electric Power Industry"/>
    <x v="0"/>
    <n v="37166687"/>
  </r>
  <r>
    <x v="26"/>
    <x v="20"/>
    <s v="Total Electric Power Industry"/>
    <x v="1"/>
    <n v="13826213"/>
  </r>
  <r>
    <x v="26"/>
    <x v="20"/>
    <s v="Total Electric Power Industry"/>
    <x v="2"/>
    <n v="1392187"/>
  </r>
  <r>
    <x v="26"/>
    <x v="20"/>
    <s v="Total Electric Power Industry"/>
    <x v="3"/>
    <n v="5423046"/>
  </r>
  <r>
    <x v="26"/>
    <x v="20"/>
    <s v="Total Electric Power Industry"/>
    <x v="7"/>
    <n v="14760177"/>
  </r>
  <r>
    <x v="26"/>
    <x v="20"/>
    <s v="Total Electric Power Industry"/>
    <x v="12"/>
    <n v="323060"/>
  </r>
  <r>
    <x v="26"/>
    <x v="20"/>
    <s v="Total Electric Power Industry"/>
    <x v="4"/>
    <n v="160550"/>
  </r>
  <r>
    <x v="26"/>
    <x v="20"/>
    <s v="Total Electric Power Industry"/>
    <x v="13"/>
    <n v="208657"/>
  </r>
  <r>
    <x v="26"/>
    <x v="20"/>
    <s v="Total Electric Power Industry"/>
    <x v="8"/>
    <n v="422029"/>
  </r>
  <r>
    <x v="26"/>
    <x v="20"/>
    <s v="Total Electric Power Industry"/>
    <x v="5"/>
    <n v="527114"/>
  </r>
  <r>
    <x v="26"/>
    <x v="20"/>
    <s v="Total Electric Power Industry"/>
    <x v="6"/>
    <n v="123653"/>
  </r>
  <r>
    <x v="26"/>
    <x v="20"/>
    <s v="Combined Heat and Power, Industrial Power"/>
    <x v="0"/>
    <n v="268318"/>
  </r>
  <r>
    <x v="26"/>
    <x v="20"/>
    <s v="Combined Heat and Power, Industrial Power"/>
    <x v="1"/>
    <n v="74779"/>
  </r>
  <r>
    <x v="26"/>
    <x v="20"/>
    <s v="Combined Heat and Power, Industrial Power"/>
    <x v="3"/>
    <n v="79183"/>
  </r>
  <r>
    <x v="26"/>
    <x v="20"/>
    <s v="Combined Heat and Power, Industrial Power"/>
    <x v="4"/>
    <n v="2077"/>
  </r>
  <r>
    <x v="26"/>
    <x v="20"/>
    <s v="Combined Heat and Power, Industrial Power"/>
    <x v="6"/>
    <n v="112278"/>
  </r>
  <r>
    <x v="26"/>
    <x v="20"/>
    <s v="Combined Heat and Power, Commercial Power"/>
    <x v="0"/>
    <n v="449117"/>
  </r>
  <r>
    <x v="26"/>
    <x v="20"/>
    <s v="Combined Heat and Power, Commercial Power"/>
    <x v="1"/>
    <n v="0"/>
  </r>
  <r>
    <x v="26"/>
    <x v="20"/>
    <s v="Combined Heat and Power, Commercial Power"/>
    <x v="3"/>
    <n v="425206"/>
  </r>
  <r>
    <x v="26"/>
    <x v="20"/>
    <s v="Combined Heat and Power, Commercial Power"/>
    <x v="12"/>
    <n v="0"/>
  </r>
  <r>
    <x v="26"/>
    <x v="20"/>
    <s v="Combined Heat and Power, Commercial Power"/>
    <x v="4"/>
    <n v="1052"/>
  </r>
  <r>
    <x v="26"/>
    <x v="20"/>
    <s v="Combined Heat and Power, Commercial Power"/>
    <x v="13"/>
    <n v="6946"/>
  </r>
  <r>
    <x v="26"/>
    <x v="20"/>
    <s v="Combined Heat and Power, Commercial Power"/>
    <x v="8"/>
    <n v="4538"/>
  </r>
  <r>
    <x v="26"/>
    <x v="20"/>
    <s v="Combined Heat and Power, Commercial Power"/>
    <x v="6"/>
    <n v="11375"/>
  </r>
  <r>
    <x v="26"/>
    <x v="20"/>
    <s v="Combined Heat and Power, Electric Power"/>
    <x v="0"/>
    <n v="2857542"/>
  </r>
  <r>
    <x v="26"/>
    <x v="20"/>
    <s v="Combined Heat and Power, Electric Power"/>
    <x v="1"/>
    <n v="982915"/>
  </r>
  <r>
    <x v="26"/>
    <x v="20"/>
    <s v="Combined Heat and Power, Electric Power"/>
    <x v="3"/>
    <n v="1501981"/>
  </r>
  <r>
    <x v="26"/>
    <x v="20"/>
    <s v="Combined Heat and Power, Electric Power"/>
    <x v="12"/>
    <n v="178185"/>
  </r>
  <r>
    <x v="26"/>
    <x v="20"/>
    <s v="Combined Heat and Power, Electric Power"/>
    <x v="4"/>
    <n v="9003"/>
  </r>
  <r>
    <x v="26"/>
    <x v="20"/>
    <s v="Combined Heat and Power, Electric Power"/>
    <x v="8"/>
    <n v="185457"/>
  </r>
  <r>
    <x v="26"/>
    <x v="20"/>
    <s v="Electric Generators, Independent Power Producers"/>
    <x v="0"/>
    <n v="33584415"/>
  </r>
  <r>
    <x v="26"/>
    <x v="20"/>
    <s v="Electric Generators, Independent Power Producers"/>
    <x v="1"/>
    <n v="12768519"/>
  </r>
  <r>
    <x v="26"/>
    <x v="20"/>
    <s v="Electric Generators, Independent Power Producers"/>
    <x v="2"/>
    <n v="1392187"/>
  </r>
  <r>
    <x v="26"/>
    <x v="20"/>
    <s v="Electric Generators, Independent Power Producers"/>
    <x v="3"/>
    <n v="3416676"/>
  </r>
  <r>
    <x v="26"/>
    <x v="20"/>
    <s v="Electric Generators, Independent Power Producers"/>
    <x v="7"/>
    <n v="14760177"/>
  </r>
  <r>
    <x v="26"/>
    <x v="20"/>
    <s v="Electric Generators, Independent Power Producers"/>
    <x v="12"/>
    <n v="144876"/>
  </r>
  <r>
    <x v="26"/>
    <x v="20"/>
    <s v="Electric Generators, Independent Power Producers"/>
    <x v="4"/>
    <n v="150011"/>
  </r>
  <r>
    <x v="26"/>
    <x v="20"/>
    <s v="Electric Generators, Independent Power Producers"/>
    <x v="13"/>
    <n v="192821"/>
  </r>
  <r>
    <x v="26"/>
    <x v="20"/>
    <s v="Electric Generators, Independent Power Producers"/>
    <x v="8"/>
    <n v="232034"/>
  </r>
  <r>
    <x v="26"/>
    <x v="20"/>
    <s v="Electric Generators, Independent Power Producers"/>
    <x v="5"/>
    <n v="527114"/>
  </r>
  <r>
    <x v="26"/>
    <x v="20"/>
    <s v="Electric Generators, Electric Utilities"/>
    <x v="0"/>
    <n v="7296"/>
  </r>
  <r>
    <x v="26"/>
    <x v="20"/>
    <s v="Electric Generators, Electric Utilities"/>
    <x v="3"/>
    <n v="0"/>
  </r>
  <r>
    <x v="26"/>
    <x v="20"/>
    <s v="Electric Generators, Electric Utilities"/>
    <x v="4"/>
    <n v="-1594"/>
  </r>
  <r>
    <x v="26"/>
    <x v="20"/>
    <s v="Electric Generators, Electric Utilities"/>
    <x v="13"/>
    <n v="8890"/>
  </r>
  <r>
    <x v="26"/>
    <x v="21"/>
    <s v="Total Electric Power Industry"/>
    <x v="0"/>
    <n v="11514427"/>
  </r>
  <r>
    <x v="26"/>
    <x v="21"/>
    <s v="Total Electric Power Industry"/>
    <x v="1"/>
    <n v="69823"/>
  </r>
  <r>
    <x v="26"/>
    <x v="21"/>
    <s v="Total Electric Power Industry"/>
    <x v="2"/>
    <n v="2999688"/>
  </r>
  <r>
    <x v="26"/>
    <x v="21"/>
    <s v="Total Electric Power Industry"/>
    <x v="3"/>
    <n v="3498340"/>
  </r>
  <r>
    <x v="26"/>
    <x v="21"/>
    <s v="Total Electric Power Industry"/>
    <x v="12"/>
    <n v="381378"/>
  </r>
  <r>
    <x v="26"/>
    <x v="21"/>
    <s v="Total Electric Power Industry"/>
    <x v="4"/>
    <n v="109924"/>
  </r>
  <r>
    <x v="26"/>
    <x v="21"/>
    <s v="Total Electric Power Industry"/>
    <x v="8"/>
    <n v="184926"/>
  </r>
  <r>
    <x v="26"/>
    <x v="21"/>
    <s v="Total Electric Power Industry"/>
    <x v="5"/>
    <n v="1667103"/>
  </r>
  <r>
    <x v="26"/>
    <x v="21"/>
    <s v="Total Electric Power Industry"/>
    <x v="6"/>
    <n v="2603245"/>
  </r>
  <r>
    <x v="26"/>
    <x v="21"/>
    <s v="Combined Heat and Power, Industrial Power"/>
    <x v="0"/>
    <n v="1851359"/>
  </r>
  <r>
    <x v="26"/>
    <x v="21"/>
    <s v="Combined Heat and Power, Industrial Power"/>
    <x v="1"/>
    <n v="9511"/>
  </r>
  <r>
    <x v="26"/>
    <x v="21"/>
    <s v="Combined Heat and Power, Industrial Power"/>
    <x v="2"/>
    <n v="321876"/>
  </r>
  <r>
    <x v="26"/>
    <x v="21"/>
    <s v="Combined Heat and Power, Industrial Power"/>
    <x v="3"/>
    <n v="314037"/>
  </r>
  <r>
    <x v="26"/>
    <x v="21"/>
    <s v="Combined Heat and Power, Industrial Power"/>
    <x v="12"/>
    <n v="121806"/>
  </r>
  <r>
    <x v="26"/>
    <x v="21"/>
    <s v="Combined Heat and Power, Industrial Power"/>
    <x v="4"/>
    <n v="8836"/>
  </r>
  <r>
    <x v="26"/>
    <x v="21"/>
    <s v="Combined Heat and Power, Industrial Power"/>
    <x v="8"/>
    <n v="14609"/>
  </r>
  <r>
    <x v="26"/>
    <x v="21"/>
    <s v="Combined Heat and Power, Industrial Power"/>
    <x v="6"/>
    <n v="1060685"/>
  </r>
  <r>
    <x v="26"/>
    <x v="21"/>
    <s v="Combined Heat and Power, Commercial Power"/>
    <x v="0"/>
    <n v="205460"/>
  </r>
  <r>
    <x v="26"/>
    <x v="21"/>
    <s v="Combined Heat and Power, Commercial Power"/>
    <x v="3"/>
    <n v="27715"/>
  </r>
  <r>
    <x v="26"/>
    <x v="21"/>
    <s v="Combined Heat and Power, Commercial Power"/>
    <x v="12"/>
    <n v="85607"/>
  </r>
  <r>
    <x v="26"/>
    <x v="21"/>
    <s v="Combined Heat and Power, Commercial Power"/>
    <x v="4"/>
    <n v="2476"/>
  </r>
  <r>
    <x v="26"/>
    <x v="21"/>
    <s v="Combined Heat and Power, Commercial Power"/>
    <x v="8"/>
    <n v="89101"/>
  </r>
  <r>
    <x v="26"/>
    <x v="21"/>
    <s v="Combined Heat and Power, Commercial Power"/>
    <x v="6"/>
    <n v="562"/>
  </r>
  <r>
    <x v="26"/>
    <x v="21"/>
    <s v="Combined Heat and Power, Electric Power"/>
    <x v="0"/>
    <n v="549926"/>
  </r>
  <r>
    <x v="26"/>
    <x v="21"/>
    <s v="Combined Heat and Power, Electric Power"/>
    <x v="1"/>
    <n v="60312"/>
  </r>
  <r>
    <x v="26"/>
    <x v="21"/>
    <s v="Combined Heat and Power, Electric Power"/>
    <x v="3"/>
    <n v="8562"/>
  </r>
  <r>
    <x v="26"/>
    <x v="21"/>
    <s v="Combined Heat and Power, Electric Power"/>
    <x v="12"/>
    <n v="129327"/>
  </r>
  <r>
    <x v="26"/>
    <x v="21"/>
    <s v="Combined Heat and Power, Electric Power"/>
    <x v="4"/>
    <n v="5463"/>
  </r>
  <r>
    <x v="26"/>
    <x v="21"/>
    <s v="Combined Heat and Power, Electric Power"/>
    <x v="8"/>
    <n v="6192"/>
  </r>
  <r>
    <x v="26"/>
    <x v="21"/>
    <s v="Combined Heat and Power, Electric Power"/>
    <x v="6"/>
    <n v="340070"/>
  </r>
  <r>
    <x v="26"/>
    <x v="21"/>
    <s v="Electric Generators, Independent Power Producers"/>
    <x v="0"/>
    <n v="8907650"/>
  </r>
  <r>
    <x v="26"/>
    <x v="21"/>
    <s v="Electric Generators, Independent Power Producers"/>
    <x v="2"/>
    <n v="2677812"/>
  </r>
  <r>
    <x v="26"/>
    <x v="21"/>
    <s v="Electric Generators, Independent Power Producers"/>
    <x v="3"/>
    <n v="3148026"/>
  </r>
  <r>
    <x v="26"/>
    <x v="21"/>
    <s v="Electric Generators, Independent Power Producers"/>
    <x v="12"/>
    <n v="44639"/>
  </r>
  <r>
    <x v="26"/>
    <x v="21"/>
    <s v="Electric Generators, Independent Power Producers"/>
    <x v="4"/>
    <n v="93117"/>
  </r>
  <r>
    <x v="26"/>
    <x v="21"/>
    <s v="Electric Generators, Independent Power Producers"/>
    <x v="8"/>
    <n v="75025"/>
  </r>
  <r>
    <x v="26"/>
    <x v="21"/>
    <s v="Electric Generators, Independent Power Producers"/>
    <x v="5"/>
    <n v="1667103"/>
  </r>
  <r>
    <x v="26"/>
    <x v="21"/>
    <s v="Electric Generators, Independent Power Producers"/>
    <x v="6"/>
    <n v="1201929"/>
  </r>
  <r>
    <x v="26"/>
    <x v="21"/>
    <s v="Electric Generators, Electric Utilities"/>
    <x v="0"/>
    <n v="32"/>
  </r>
  <r>
    <x v="26"/>
    <x v="21"/>
    <s v="Electric Generators, Electric Utilities"/>
    <x v="4"/>
    <n v="32"/>
  </r>
  <r>
    <x v="26"/>
    <x v="22"/>
    <s v="Total Electric Power Industry"/>
    <x v="0"/>
    <n v="112121790"/>
  </r>
  <r>
    <x v="26"/>
    <x v="22"/>
    <s v="Total Electric Power Industry"/>
    <x v="1"/>
    <n v="40526872"/>
  </r>
  <r>
    <x v="26"/>
    <x v="22"/>
    <s v="Total Electric Power Industry"/>
    <x v="10"/>
    <n v="-751650"/>
  </r>
  <r>
    <x v="26"/>
    <x v="22"/>
    <s v="Total Electric Power Industry"/>
    <x v="2"/>
    <n v="1564355"/>
  </r>
  <r>
    <x v="26"/>
    <x v="22"/>
    <s v="Total Electric Power Industry"/>
    <x v="3"/>
    <n v="29295154"/>
  </r>
  <r>
    <x v="26"/>
    <x v="22"/>
    <s v="Total Electric Power Industry"/>
    <x v="7"/>
    <n v="31551710"/>
  </r>
  <r>
    <x v="26"/>
    <x v="22"/>
    <s v="Total Electric Power Industry"/>
    <x v="9"/>
    <n v="1614622"/>
  </r>
  <r>
    <x v="26"/>
    <x v="22"/>
    <s v="Total Electric Power Industry"/>
    <x v="12"/>
    <n v="301645"/>
  </r>
  <r>
    <x v="26"/>
    <x v="22"/>
    <s v="Total Electric Power Industry"/>
    <x v="4"/>
    <n v="818979"/>
  </r>
  <r>
    <x v="26"/>
    <x v="22"/>
    <s v="Total Electric Power Industry"/>
    <x v="13"/>
    <n v="9235"/>
  </r>
  <r>
    <x v="26"/>
    <x v="22"/>
    <s v="Total Electric Power Industry"/>
    <x v="8"/>
    <n v="972596"/>
  </r>
  <r>
    <x v="26"/>
    <x v="22"/>
    <s v="Total Electric Power Industry"/>
    <x v="5"/>
    <n v="4695783"/>
  </r>
  <r>
    <x v="26"/>
    <x v="22"/>
    <s v="Total Electric Power Industry"/>
    <x v="6"/>
    <n v="1522489"/>
  </r>
  <r>
    <x v="26"/>
    <x v="22"/>
    <s v="Combined Heat and Power, Industrial Power"/>
    <x v="0"/>
    <n v="1287397"/>
  </r>
  <r>
    <x v="26"/>
    <x v="22"/>
    <s v="Combined Heat and Power, Industrial Power"/>
    <x v="1"/>
    <n v="78402"/>
  </r>
  <r>
    <x v="26"/>
    <x v="22"/>
    <s v="Combined Heat and Power, Industrial Power"/>
    <x v="2"/>
    <n v="25555"/>
  </r>
  <r>
    <x v="26"/>
    <x v="22"/>
    <s v="Combined Heat and Power, Industrial Power"/>
    <x v="3"/>
    <n v="315232"/>
  </r>
  <r>
    <x v="26"/>
    <x v="22"/>
    <s v="Combined Heat and Power, Industrial Power"/>
    <x v="12"/>
    <n v="19497"/>
  </r>
  <r>
    <x v="26"/>
    <x v="22"/>
    <s v="Combined Heat and Power, Industrial Power"/>
    <x v="4"/>
    <n v="145220"/>
  </r>
  <r>
    <x v="26"/>
    <x v="22"/>
    <s v="Combined Heat and Power, Industrial Power"/>
    <x v="8"/>
    <n v="2466"/>
  </r>
  <r>
    <x v="26"/>
    <x v="22"/>
    <s v="Combined Heat and Power, Industrial Power"/>
    <x v="6"/>
    <n v="701026"/>
  </r>
  <r>
    <x v="26"/>
    <x v="22"/>
    <s v="Combined Heat and Power, Commercial Power"/>
    <x v="0"/>
    <n v="881083"/>
  </r>
  <r>
    <x v="26"/>
    <x v="22"/>
    <s v="Combined Heat and Power, Commercial Power"/>
    <x v="1"/>
    <n v="15394"/>
  </r>
  <r>
    <x v="26"/>
    <x v="22"/>
    <s v="Combined Heat and Power, Commercial Power"/>
    <x v="3"/>
    <n v="577957"/>
  </r>
  <r>
    <x v="26"/>
    <x v="22"/>
    <s v="Combined Heat and Power, Commercial Power"/>
    <x v="12"/>
    <n v="139863"/>
  </r>
  <r>
    <x v="26"/>
    <x v="22"/>
    <s v="Combined Heat and Power, Commercial Power"/>
    <x v="4"/>
    <n v="2160"/>
  </r>
  <r>
    <x v="26"/>
    <x v="22"/>
    <s v="Combined Heat and Power, Commercial Power"/>
    <x v="8"/>
    <n v="145573"/>
  </r>
  <r>
    <x v="26"/>
    <x v="22"/>
    <s v="Combined Heat and Power, Commercial Power"/>
    <x v="6"/>
    <n v="136"/>
  </r>
  <r>
    <x v="26"/>
    <x v="22"/>
    <s v="Combined Heat and Power, Electric Power"/>
    <x v="0"/>
    <n v="14326924"/>
  </r>
  <r>
    <x v="26"/>
    <x v="22"/>
    <s v="Combined Heat and Power, Electric Power"/>
    <x v="1"/>
    <n v="444632"/>
  </r>
  <r>
    <x v="26"/>
    <x v="22"/>
    <s v="Combined Heat and Power, Electric Power"/>
    <x v="3"/>
    <n v="12347322"/>
  </r>
  <r>
    <x v="26"/>
    <x v="22"/>
    <s v="Combined Heat and Power, Electric Power"/>
    <x v="9"/>
    <n v="1469995"/>
  </r>
  <r>
    <x v="26"/>
    <x v="22"/>
    <s v="Combined Heat and Power, Electric Power"/>
    <x v="12"/>
    <n v="39584"/>
  </r>
  <r>
    <x v="26"/>
    <x v="22"/>
    <s v="Combined Heat and Power, Electric Power"/>
    <x v="4"/>
    <n v="2786"/>
  </r>
  <r>
    <x v="26"/>
    <x v="22"/>
    <s v="Combined Heat and Power, Electric Power"/>
    <x v="8"/>
    <n v="3281"/>
  </r>
  <r>
    <x v="26"/>
    <x v="22"/>
    <s v="Combined Heat and Power, Electric Power"/>
    <x v="6"/>
    <n v="19324"/>
  </r>
  <r>
    <x v="26"/>
    <x v="22"/>
    <s v="Electric Generators, Independent Power Producers"/>
    <x v="0"/>
    <n v="17619977"/>
  </r>
  <r>
    <x v="26"/>
    <x v="22"/>
    <s v="Electric Generators, Independent Power Producers"/>
    <x v="1"/>
    <n v="0"/>
  </r>
  <r>
    <x v="26"/>
    <x v="22"/>
    <s v="Electric Generators, Independent Power Producers"/>
    <x v="2"/>
    <n v="106038"/>
  </r>
  <r>
    <x v="26"/>
    <x v="22"/>
    <s v="Electric Generators, Independent Power Producers"/>
    <x v="3"/>
    <n v="6004941"/>
  </r>
  <r>
    <x v="26"/>
    <x v="22"/>
    <s v="Electric Generators, Independent Power Producers"/>
    <x v="7"/>
    <n v="7045181"/>
  </r>
  <r>
    <x v="26"/>
    <x v="22"/>
    <s v="Electric Generators, Independent Power Producers"/>
    <x v="12"/>
    <n v="91651"/>
  </r>
  <r>
    <x v="26"/>
    <x v="22"/>
    <s v="Electric Generators, Independent Power Producers"/>
    <x v="4"/>
    <n v="0"/>
  </r>
  <r>
    <x v="26"/>
    <x v="22"/>
    <s v="Electric Generators, Independent Power Producers"/>
    <x v="8"/>
    <n v="821276"/>
  </r>
  <r>
    <x v="26"/>
    <x v="22"/>
    <s v="Electric Generators, Independent Power Producers"/>
    <x v="5"/>
    <n v="2748888"/>
  </r>
  <r>
    <x v="26"/>
    <x v="22"/>
    <s v="Electric Generators, Independent Power Producers"/>
    <x v="6"/>
    <n v="802002"/>
  </r>
  <r>
    <x v="26"/>
    <x v="22"/>
    <s v="Electric Generators, Electric Utilities"/>
    <x v="0"/>
    <n v="78006408"/>
  </r>
  <r>
    <x v="26"/>
    <x v="22"/>
    <s v="Electric Generators, Electric Utilities"/>
    <x v="1"/>
    <n v="39988445"/>
  </r>
  <r>
    <x v="26"/>
    <x v="22"/>
    <s v="Electric Generators, Electric Utilities"/>
    <x v="10"/>
    <n v="-751650"/>
  </r>
  <r>
    <x v="26"/>
    <x v="22"/>
    <s v="Electric Generators, Electric Utilities"/>
    <x v="2"/>
    <n v="1432762"/>
  </r>
  <r>
    <x v="26"/>
    <x v="22"/>
    <s v="Electric Generators, Electric Utilities"/>
    <x v="3"/>
    <n v="10049701"/>
  </r>
  <r>
    <x v="26"/>
    <x v="22"/>
    <s v="Electric Generators, Electric Utilities"/>
    <x v="7"/>
    <n v="24506529"/>
  </r>
  <r>
    <x v="26"/>
    <x v="22"/>
    <s v="Electric Generators, Electric Utilities"/>
    <x v="9"/>
    <n v="144627"/>
  </r>
  <r>
    <x v="26"/>
    <x v="22"/>
    <s v="Electric Generators, Electric Utilities"/>
    <x v="12"/>
    <n v="11051"/>
  </r>
  <r>
    <x v="26"/>
    <x v="22"/>
    <s v="Electric Generators, Electric Utilities"/>
    <x v="4"/>
    <n v="668813"/>
  </r>
  <r>
    <x v="26"/>
    <x v="22"/>
    <s v="Electric Generators, Electric Utilities"/>
    <x v="13"/>
    <n v="9235"/>
  </r>
  <r>
    <x v="26"/>
    <x v="22"/>
    <s v="Electric Generators, Electric Utilities"/>
    <x v="5"/>
    <n v="1946895"/>
  </r>
  <r>
    <x v="26"/>
    <x v="22"/>
    <s v="Electric Generators, Electric Utilities"/>
    <x v="6"/>
    <n v="0"/>
  </r>
  <r>
    <x v="26"/>
    <x v="23"/>
    <s v="Total Electric Power Industry"/>
    <x v="0"/>
    <n v="59478753"/>
  </r>
  <r>
    <x v="26"/>
    <x v="23"/>
    <s v="Total Electric Power Industry"/>
    <x v="1"/>
    <n v="23206289"/>
  </r>
  <r>
    <x v="26"/>
    <x v="23"/>
    <s v="Total Electric Power Industry"/>
    <x v="2"/>
    <n v="1208502"/>
  </r>
  <r>
    <x v="26"/>
    <x v="23"/>
    <s v="Total Electric Power Industry"/>
    <x v="3"/>
    <n v="8928076"/>
  </r>
  <r>
    <x v="26"/>
    <x v="23"/>
    <s v="Total Electric Power Industry"/>
    <x v="7"/>
    <n v="13860816"/>
  </r>
  <r>
    <x v="26"/>
    <x v="23"/>
    <s v="Total Electric Power Industry"/>
    <x v="12"/>
    <n v="407430"/>
  </r>
  <r>
    <x v="26"/>
    <x v="23"/>
    <s v="Total Electric Power Industry"/>
    <x v="4"/>
    <n v="32027"/>
  </r>
  <r>
    <x v="26"/>
    <x v="23"/>
    <s v="Total Electric Power Industry"/>
    <x v="13"/>
    <n v="10107"/>
  </r>
  <r>
    <x v="26"/>
    <x v="23"/>
    <s v="Total Electric Power Industry"/>
    <x v="8"/>
    <n v="674321"/>
  </r>
  <r>
    <x v="26"/>
    <x v="23"/>
    <s v="Total Electric Power Industry"/>
    <x v="5"/>
    <n v="9933487"/>
  </r>
  <r>
    <x v="26"/>
    <x v="23"/>
    <s v="Total Electric Power Industry"/>
    <x v="6"/>
    <n v="1217697"/>
  </r>
  <r>
    <x v="26"/>
    <x v="23"/>
    <s v="Combined Heat and Power, Industrial Power"/>
    <x v="0"/>
    <n v="1403344"/>
  </r>
  <r>
    <x v="26"/>
    <x v="23"/>
    <s v="Combined Heat and Power, Industrial Power"/>
    <x v="1"/>
    <n v="398492"/>
  </r>
  <r>
    <x v="26"/>
    <x v="23"/>
    <s v="Combined Heat and Power, Industrial Power"/>
    <x v="2"/>
    <n v="130407"/>
  </r>
  <r>
    <x v="26"/>
    <x v="23"/>
    <s v="Combined Heat and Power, Industrial Power"/>
    <x v="3"/>
    <n v="189038"/>
  </r>
  <r>
    <x v="26"/>
    <x v="23"/>
    <s v="Combined Heat and Power, Industrial Power"/>
    <x v="12"/>
    <n v="53159"/>
  </r>
  <r>
    <x v="26"/>
    <x v="23"/>
    <s v="Combined Heat and Power, Industrial Power"/>
    <x v="4"/>
    <n v="1595"/>
  </r>
  <r>
    <x v="26"/>
    <x v="23"/>
    <s v="Combined Heat and Power, Industrial Power"/>
    <x v="8"/>
    <n v="7963"/>
  </r>
  <r>
    <x v="26"/>
    <x v="23"/>
    <s v="Combined Heat and Power, Industrial Power"/>
    <x v="6"/>
    <n v="622691"/>
  </r>
  <r>
    <x v="26"/>
    <x v="23"/>
    <s v="Combined Heat and Power, Commercial Power"/>
    <x v="0"/>
    <n v="204417"/>
  </r>
  <r>
    <x v="26"/>
    <x v="23"/>
    <s v="Combined Heat and Power, Commercial Power"/>
    <x v="1"/>
    <n v="2235"/>
  </r>
  <r>
    <x v="26"/>
    <x v="23"/>
    <s v="Combined Heat and Power, Commercial Power"/>
    <x v="3"/>
    <n v="111746"/>
  </r>
  <r>
    <x v="26"/>
    <x v="23"/>
    <s v="Combined Heat and Power, Commercial Power"/>
    <x v="12"/>
    <n v="33362"/>
  </r>
  <r>
    <x v="26"/>
    <x v="23"/>
    <s v="Combined Heat and Power, Commercial Power"/>
    <x v="4"/>
    <n v="1416"/>
  </r>
  <r>
    <x v="26"/>
    <x v="23"/>
    <s v="Combined Heat and Power, Commercial Power"/>
    <x v="8"/>
    <n v="20084"/>
  </r>
  <r>
    <x v="26"/>
    <x v="23"/>
    <s v="Combined Heat and Power, Commercial Power"/>
    <x v="5"/>
    <n v="28797"/>
  </r>
  <r>
    <x v="26"/>
    <x v="23"/>
    <s v="Combined Heat and Power, Commercial Power"/>
    <x v="6"/>
    <n v="6778"/>
  </r>
  <r>
    <x v="26"/>
    <x v="23"/>
    <s v="Combined Heat and Power, Electric Power"/>
    <x v="0"/>
    <n v="679202"/>
  </r>
  <r>
    <x v="26"/>
    <x v="23"/>
    <s v="Combined Heat and Power, Electric Power"/>
    <x v="3"/>
    <n v="399191"/>
  </r>
  <r>
    <x v="26"/>
    <x v="23"/>
    <s v="Combined Heat and Power, Electric Power"/>
    <x v="4"/>
    <n v="3209"/>
  </r>
  <r>
    <x v="26"/>
    <x v="23"/>
    <s v="Combined Heat and Power, Electric Power"/>
    <x v="8"/>
    <n v="90323"/>
  </r>
  <r>
    <x v="26"/>
    <x v="23"/>
    <s v="Combined Heat and Power, Electric Power"/>
    <x v="6"/>
    <n v="186479"/>
  </r>
  <r>
    <x v="26"/>
    <x v="23"/>
    <s v="Electric Generators, Independent Power Producers"/>
    <x v="0"/>
    <n v="9206952"/>
  </r>
  <r>
    <x v="26"/>
    <x v="23"/>
    <s v="Electric Generators, Independent Power Producers"/>
    <x v="2"/>
    <n v="216627"/>
  </r>
  <r>
    <x v="26"/>
    <x v="23"/>
    <s v="Electric Generators, Independent Power Producers"/>
    <x v="3"/>
    <n v="1037581"/>
  </r>
  <r>
    <x v="26"/>
    <x v="23"/>
    <s v="Electric Generators, Independent Power Producers"/>
    <x v="12"/>
    <n v="141262"/>
  </r>
  <r>
    <x v="26"/>
    <x v="23"/>
    <s v="Electric Generators, Independent Power Producers"/>
    <x v="4"/>
    <n v="2295"/>
  </r>
  <r>
    <x v="26"/>
    <x v="23"/>
    <s v="Electric Generators, Independent Power Producers"/>
    <x v="13"/>
    <n v="9439"/>
  </r>
  <r>
    <x v="26"/>
    <x v="23"/>
    <s v="Electric Generators, Independent Power Producers"/>
    <x v="8"/>
    <n v="335953"/>
  </r>
  <r>
    <x v="26"/>
    <x v="23"/>
    <s v="Electric Generators, Independent Power Producers"/>
    <x v="5"/>
    <n v="7258768"/>
  </r>
  <r>
    <x v="26"/>
    <x v="23"/>
    <s v="Electric Generators, Independent Power Producers"/>
    <x v="6"/>
    <n v="205027"/>
  </r>
  <r>
    <x v="26"/>
    <x v="23"/>
    <s v="Electric Generators, Electric Utilities"/>
    <x v="0"/>
    <n v="47984837"/>
  </r>
  <r>
    <x v="26"/>
    <x v="23"/>
    <s v="Electric Generators, Electric Utilities"/>
    <x v="1"/>
    <n v="22805562"/>
  </r>
  <r>
    <x v="26"/>
    <x v="23"/>
    <s v="Electric Generators, Electric Utilities"/>
    <x v="2"/>
    <n v="861468"/>
  </r>
  <r>
    <x v="26"/>
    <x v="23"/>
    <s v="Electric Generators, Electric Utilities"/>
    <x v="3"/>
    <n v="7190520"/>
  </r>
  <r>
    <x v="26"/>
    <x v="23"/>
    <s v="Electric Generators, Electric Utilities"/>
    <x v="7"/>
    <n v="13860816"/>
  </r>
  <r>
    <x v="26"/>
    <x v="23"/>
    <s v="Electric Generators, Electric Utilities"/>
    <x v="12"/>
    <n v="179647"/>
  </r>
  <r>
    <x v="26"/>
    <x v="23"/>
    <s v="Electric Generators, Electric Utilities"/>
    <x v="4"/>
    <n v="23512"/>
  </r>
  <r>
    <x v="26"/>
    <x v="23"/>
    <s v="Electric Generators, Electric Utilities"/>
    <x v="13"/>
    <n v="668"/>
  </r>
  <r>
    <x v="26"/>
    <x v="23"/>
    <s v="Electric Generators, Electric Utilities"/>
    <x v="8"/>
    <n v="220000"/>
  </r>
  <r>
    <x v="26"/>
    <x v="23"/>
    <s v="Electric Generators, Electric Utilities"/>
    <x v="5"/>
    <n v="2645922"/>
  </r>
  <r>
    <x v="26"/>
    <x v="23"/>
    <s v="Electric Generators, Electric Utilities"/>
    <x v="6"/>
    <n v="196722"/>
  </r>
  <r>
    <x v="26"/>
    <x v="24"/>
    <s v="Total Electric Power Industry"/>
    <x v="0"/>
    <n v="78611513"/>
  </r>
  <r>
    <x v="26"/>
    <x v="24"/>
    <s v="Total Electric Power Industry"/>
    <x v="1"/>
    <n v="60321890"/>
  </r>
  <r>
    <x v="26"/>
    <x v="24"/>
    <s v="Total Electric Power Industry"/>
    <x v="10"/>
    <n v="179201"/>
  </r>
  <r>
    <x v="26"/>
    <x v="24"/>
    <s v="Total Electric Power Industry"/>
    <x v="2"/>
    <n v="1268473"/>
  </r>
  <r>
    <x v="26"/>
    <x v="24"/>
    <s v="Total Electric Power Industry"/>
    <x v="3"/>
    <n v="6031568"/>
  </r>
  <r>
    <x v="26"/>
    <x v="24"/>
    <s v="Total Electric Power Industry"/>
    <x v="7"/>
    <n v="9430179"/>
  </r>
  <r>
    <x v="26"/>
    <x v="24"/>
    <s v="Total Electric Power Industry"/>
    <x v="12"/>
    <n v="8979"/>
  </r>
  <r>
    <x v="26"/>
    <x v="24"/>
    <s v="Total Electric Power Industry"/>
    <x v="4"/>
    <n v="78016"/>
  </r>
  <r>
    <x v="26"/>
    <x v="24"/>
    <s v="Total Electric Power Industry"/>
    <x v="13"/>
    <n v="32684"/>
  </r>
  <r>
    <x v="26"/>
    <x v="24"/>
    <s v="Total Electric Power Industry"/>
    <x v="8"/>
    <n v="91476"/>
  </r>
  <r>
    <x v="26"/>
    <x v="24"/>
    <s v="Total Electric Power Industry"/>
    <x v="5"/>
    <n v="1121883"/>
  </r>
  <r>
    <x v="26"/>
    <x v="24"/>
    <s v="Total Electric Power Industry"/>
    <x v="6"/>
    <n v="47163"/>
  </r>
  <r>
    <x v="26"/>
    <x v="24"/>
    <s v="Combined Heat and Power, Industrial Power"/>
    <x v="0"/>
    <n v="47243"/>
  </r>
  <r>
    <x v="26"/>
    <x v="24"/>
    <s v="Combined Heat and Power, Industrial Power"/>
    <x v="1"/>
    <n v="0"/>
  </r>
  <r>
    <x v="26"/>
    <x v="24"/>
    <s v="Combined Heat and Power, Industrial Power"/>
    <x v="3"/>
    <n v="44029"/>
  </r>
  <r>
    <x v="26"/>
    <x v="24"/>
    <s v="Combined Heat and Power, Industrial Power"/>
    <x v="4"/>
    <n v="0"/>
  </r>
  <r>
    <x v="26"/>
    <x v="24"/>
    <s v="Combined Heat and Power, Industrial Power"/>
    <x v="8"/>
    <n v="3214"/>
  </r>
  <r>
    <x v="26"/>
    <x v="24"/>
    <s v="Combined Heat and Power, Industrial Power"/>
    <x v="6"/>
    <n v="0"/>
  </r>
  <r>
    <x v="26"/>
    <x v="24"/>
    <s v="Combined Heat and Power, Commercial Power"/>
    <x v="0"/>
    <n v="198724"/>
  </r>
  <r>
    <x v="26"/>
    <x v="24"/>
    <s v="Combined Heat and Power, Commercial Power"/>
    <x v="1"/>
    <n v="52506"/>
  </r>
  <r>
    <x v="26"/>
    <x v="24"/>
    <s v="Combined Heat and Power, Commercial Power"/>
    <x v="3"/>
    <n v="97358"/>
  </r>
  <r>
    <x v="26"/>
    <x v="24"/>
    <s v="Combined Heat and Power, Commercial Power"/>
    <x v="4"/>
    <n v="20"/>
  </r>
  <r>
    <x v="26"/>
    <x v="24"/>
    <s v="Combined Heat and Power, Commercial Power"/>
    <x v="13"/>
    <n v="1677"/>
  </r>
  <r>
    <x v="26"/>
    <x v="24"/>
    <s v="Combined Heat and Power, Commercial Power"/>
    <x v="6"/>
    <n v="47163"/>
  </r>
  <r>
    <x v="26"/>
    <x v="24"/>
    <s v="Combined Heat and Power, Electric Power"/>
    <x v="0"/>
    <n v="56361"/>
  </r>
  <r>
    <x v="26"/>
    <x v="24"/>
    <s v="Combined Heat and Power, Electric Power"/>
    <x v="1"/>
    <n v="115"/>
  </r>
  <r>
    <x v="26"/>
    <x v="24"/>
    <s v="Combined Heat and Power, Electric Power"/>
    <x v="3"/>
    <n v="56246"/>
  </r>
  <r>
    <x v="26"/>
    <x v="24"/>
    <s v="Combined Heat and Power, Electric Power"/>
    <x v="4"/>
    <n v="0"/>
  </r>
  <r>
    <x v="26"/>
    <x v="24"/>
    <s v="Electric Generators, Independent Power Producers"/>
    <x v="0"/>
    <n v="2859905"/>
  </r>
  <r>
    <x v="26"/>
    <x v="24"/>
    <s v="Electric Generators, Independent Power Producers"/>
    <x v="1"/>
    <n v="0"/>
  </r>
  <r>
    <x v="26"/>
    <x v="24"/>
    <s v="Electric Generators, Independent Power Producers"/>
    <x v="3"/>
    <n v="1660825"/>
  </r>
  <r>
    <x v="26"/>
    <x v="24"/>
    <s v="Electric Generators, Independent Power Producers"/>
    <x v="4"/>
    <n v="0"/>
  </r>
  <r>
    <x v="26"/>
    <x v="24"/>
    <s v="Electric Generators, Independent Power Producers"/>
    <x v="13"/>
    <n v="28041"/>
  </r>
  <r>
    <x v="26"/>
    <x v="24"/>
    <s v="Electric Generators, Independent Power Producers"/>
    <x v="8"/>
    <n v="49156"/>
  </r>
  <r>
    <x v="26"/>
    <x v="24"/>
    <s v="Electric Generators, Independent Power Producers"/>
    <x v="5"/>
    <n v="1121883"/>
  </r>
  <r>
    <x v="26"/>
    <x v="24"/>
    <s v="Electric Generators, Electric Utilities"/>
    <x v="0"/>
    <n v="75449280"/>
  </r>
  <r>
    <x v="26"/>
    <x v="24"/>
    <s v="Electric Generators, Electric Utilities"/>
    <x v="1"/>
    <n v="60269268"/>
  </r>
  <r>
    <x v="26"/>
    <x v="24"/>
    <s v="Electric Generators, Electric Utilities"/>
    <x v="10"/>
    <n v="179201"/>
  </r>
  <r>
    <x v="26"/>
    <x v="24"/>
    <s v="Electric Generators, Electric Utilities"/>
    <x v="2"/>
    <n v="1268473"/>
  </r>
  <r>
    <x v="26"/>
    <x v="24"/>
    <s v="Electric Generators, Electric Utilities"/>
    <x v="3"/>
    <n v="4173111"/>
  </r>
  <r>
    <x v="26"/>
    <x v="24"/>
    <s v="Electric Generators, Electric Utilities"/>
    <x v="7"/>
    <n v="9430179"/>
  </r>
  <r>
    <x v="26"/>
    <x v="24"/>
    <s v="Electric Generators, Electric Utilities"/>
    <x v="12"/>
    <n v="8979"/>
  </r>
  <r>
    <x v="26"/>
    <x v="24"/>
    <s v="Electric Generators, Electric Utilities"/>
    <x v="4"/>
    <n v="77996"/>
  </r>
  <r>
    <x v="26"/>
    <x v="24"/>
    <s v="Electric Generators, Electric Utilities"/>
    <x v="13"/>
    <n v="2966"/>
  </r>
  <r>
    <x v="26"/>
    <x v="24"/>
    <s v="Electric Generators, Electric Utilities"/>
    <x v="8"/>
    <n v="39106"/>
  </r>
  <r>
    <x v="26"/>
    <x v="24"/>
    <s v="Electric Generators, Electric Utilities"/>
    <x v="6"/>
    <n v="0"/>
  </r>
  <r>
    <x v="26"/>
    <x v="25"/>
    <s v="Total Electric Power Industry"/>
    <x v="0"/>
    <n v="62881295"/>
  </r>
  <r>
    <x v="26"/>
    <x v="25"/>
    <s v="Total Electric Power Industry"/>
    <x v="1"/>
    <n v="5342026"/>
  </r>
  <r>
    <x v="26"/>
    <x v="25"/>
    <s v="Total Electric Power Industry"/>
    <x v="3"/>
    <n v="50094739"/>
  </r>
  <r>
    <x v="26"/>
    <x v="25"/>
    <s v="Total Electric Power Industry"/>
    <x v="7"/>
    <n v="5897272"/>
  </r>
  <r>
    <x v="26"/>
    <x v="25"/>
    <s v="Total Electric Power Industry"/>
    <x v="12"/>
    <n v="5272"/>
  </r>
  <r>
    <x v="26"/>
    <x v="25"/>
    <s v="Total Electric Power Industry"/>
    <x v="4"/>
    <n v="17785"/>
  </r>
  <r>
    <x v="26"/>
    <x v="25"/>
    <s v="Total Electric Power Industry"/>
    <x v="13"/>
    <n v="0"/>
  </r>
  <r>
    <x v="26"/>
    <x v="25"/>
    <s v="Total Electric Power Industry"/>
    <x v="8"/>
    <n v="11419"/>
  </r>
  <r>
    <x v="26"/>
    <x v="25"/>
    <s v="Total Electric Power Industry"/>
    <x v="6"/>
    <n v="1512781"/>
  </r>
  <r>
    <x v="26"/>
    <x v="25"/>
    <s v="Combined Heat and Power, Industrial Power"/>
    <x v="0"/>
    <n v="1936825"/>
  </r>
  <r>
    <x v="26"/>
    <x v="25"/>
    <s v="Combined Heat and Power, Industrial Power"/>
    <x v="1"/>
    <n v="0"/>
  </r>
  <r>
    <x v="26"/>
    <x v="25"/>
    <s v="Combined Heat and Power, Industrial Power"/>
    <x v="3"/>
    <n v="414922"/>
  </r>
  <r>
    <x v="26"/>
    <x v="25"/>
    <s v="Combined Heat and Power, Industrial Power"/>
    <x v="12"/>
    <n v="5272"/>
  </r>
  <r>
    <x v="26"/>
    <x v="25"/>
    <s v="Combined Heat and Power, Industrial Power"/>
    <x v="4"/>
    <n v="2658"/>
  </r>
  <r>
    <x v="26"/>
    <x v="25"/>
    <s v="Combined Heat and Power, Industrial Power"/>
    <x v="8"/>
    <n v="1191"/>
  </r>
  <r>
    <x v="26"/>
    <x v="25"/>
    <s v="Combined Heat and Power, Industrial Power"/>
    <x v="6"/>
    <n v="1512781"/>
  </r>
  <r>
    <x v="26"/>
    <x v="25"/>
    <s v="Combined Heat and Power, Commercial Power"/>
    <x v="0"/>
    <n v="0"/>
  </r>
  <r>
    <x v="26"/>
    <x v="25"/>
    <s v="Combined Heat and Power, Commercial Power"/>
    <x v="3"/>
    <n v="0"/>
  </r>
  <r>
    <x v="26"/>
    <x v="25"/>
    <s v="Electric Generators, Independent Power Producers"/>
    <x v="0"/>
    <n v="6184892"/>
  </r>
  <r>
    <x v="26"/>
    <x v="25"/>
    <s v="Electric Generators, Independent Power Producers"/>
    <x v="1"/>
    <n v="2895115"/>
  </r>
  <r>
    <x v="26"/>
    <x v="25"/>
    <s v="Electric Generators, Independent Power Producers"/>
    <x v="3"/>
    <n v="3279549"/>
  </r>
  <r>
    <x v="26"/>
    <x v="25"/>
    <s v="Electric Generators, Independent Power Producers"/>
    <x v="13"/>
    <n v="0"/>
  </r>
  <r>
    <x v="26"/>
    <x v="25"/>
    <s v="Electric Generators, Independent Power Producers"/>
    <x v="8"/>
    <n v="10228"/>
  </r>
  <r>
    <x v="26"/>
    <x v="25"/>
    <s v="Electric Generators, Electric Utilities"/>
    <x v="0"/>
    <n v="54759578"/>
  </r>
  <r>
    <x v="26"/>
    <x v="25"/>
    <s v="Electric Generators, Electric Utilities"/>
    <x v="1"/>
    <n v="2446911"/>
  </r>
  <r>
    <x v="26"/>
    <x v="25"/>
    <s v="Electric Generators, Electric Utilities"/>
    <x v="3"/>
    <n v="46400268"/>
  </r>
  <r>
    <x v="26"/>
    <x v="25"/>
    <s v="Electric Generators, Electric Utilities"/>
    <x v="7"/>
    <n v="5897272"/>
  </r>
  <r>
    <x v="26"/>
    <x v="25"/>
    <s v="Electric Generators, Electric Utilities"/>
    <x v="4"/>
    <n v="15127"/>
  </r>
  <r>
    <x v="26"/>
    <x v="25"/>
    <s v="Electric Generators, Electric Utilities"/>
    <x v="8"/>
    <n v="0"/>
  </r>
  <r>
    <x v="26"/>
    <x v="25"/>
    <s v="Electric Generators, Electric Utilities"/>
    <x v="6"/>
    <n v="0"/>
  </r>
  <r>
    <x v="26"/>
    <x v="26"/>
    <s v="Total Electric Power Industry"/>
    <x v="0"/>
    <n v="27783529"/>
  </r>
  <r>
    <x v="26"/>
    <x v="26"/>
    <s v="Total Electric Power Industry"/>
    <x v="1"/>
    <n v="14269222"/>
  </r>
  <r>
    <x v="26"/>
    <x v="26"/>
    <s v="Total Electric Power Industry"/>
    <x v="2"/>
    <n v="10082529"/>
  </r>
  <r>
    <x v="26"/>
    <x v="26"/>
    <s v="Total Electric Power Industry"/>
    <x v="3"/>
    <n v="476061"/>
  </r>
  <r>
    <x v="26"/>
    <x v="26"/>
    <s v="Total Electric Power Industry"/>
    <x v="9"/>
    <n v="8586"/>
  </r>
  <r>
    <x v="26"/>
    <x v="26"/>
    <s v="Total Electric Power Industry"/>
    <x v="12"/>
    <n v="326868"/>
  </r>
  <r>
    <x v="26"/>
    <x v="26"/>
    <s v="Total Electric Power Industry"/>
    <x v="4"/>
    <n v="459923"/>
  </r>
  <r>
    <x v="26"/>
    <x v="26"/>
    <s v="Total Electric Power Industry"/>
    <x v="5"/>
    <n v="2140191"/>
  </r>
  <r>
    <x v="26"/>
    <x v="26"/>
    <s v="Total Electric Power Industry"/>
    <x v="6"/>
    <n v="20150"/>
  </r>
  <r>
    <x v="26"/>
    <x v="26"/>
    <s v="Combined Heat and Power, Industrial Power"/>
    <x v="0"/>
    <n v="30033"/>
  </r>
  <r>
    <x v="26"/>
    <x v="26"/>
    <s v="Combined Heat and Power, Industrial Power"/>
    <x v="1"/>
    <n v="5790"/>
  </r>
  <r>
    <x v="26"/>
    <x v="26"/>
    <s v="Combined Heat and Power, Industrial Power"/>
    <x v="3"/>
    <n v="4093"/>
  </r>
  <r>
    <x v="26"/>
    <x v="26"/>
    <s v="Combined Heat and Power, Industrial Power"/>
    <x v="9"/>
    <n v="0"/>
  </r>
  <r>
    <x v="26"/>
    <x v="26"/>
    <s v="Combined Heat and Power, Industrial Power"/>
    <x v="4"/>
    <n v="0"/>
  </r>
  <r>
    <x v="26"/>
    <x v="26"/>
    <s v="Combined Heat and Power, Industrial Power"/>
    <x v="6"/>
    <n v="20150"/>
  </r>
  <r>
    <x v="26"/>
    <x v="26"/>
    <s v="Combined Heat and Power, Electric Power"/>
    <x v="0"/>
    <n v="452014"/>
  </r>
  <r>
    <x v="26"/>
    <x v="26"/>
    <s v="Combined Heat and Power, Electric Power"/>
    <x v="9"/>
    <n v="8586"/>
  </r>
  <r>
    <x v="26"/>
    <x v="26"/>
    <s v="Combined Heat and Power, Electric Power"/>
    <x v="4"/>
    <n v="443428"/>
  </r>
  <r>
    <x v="26"/>
    <x v="26"/>
    <s v="Electric Generators, Independent Power Producers"/>
    <x v="0"/>
    <n v="16490981"/>
  </r>
  <r>
    <x v="26"/>
    <x v="26"/>
    <s v="Electric Generators, Independent Power Producers"/>
    <x v="1"/>
    <n v="14003160"/>
  </r>
  <r>
    <x v="26"/>
    <x v="26"/>
    <s v="Electric Generators, Independent Power Producers"/>
    <x v="2"/>
    <n v="141682"/>
  </r>
  <r>
    <x v="26"/>
    <x v="26"/>
    <s v="Electric Generators, Independent Power Producers"/>
    <x v="3"/>
    <n v="93784"/>
  </r>
  <r>
    <x v="26"/>
    <x v="26"/>
    <s v="Electric Generators, Independent Power Producers"/>
    <x v="12"/>
    <n v="326868"/>
  </r>
  <r>
    <x v="26"/>
    <x v="26"/>
    <s v="Electric Generators, Independent Power Producers"/>
    <x v="4"/>
    <n v="16076"/>
  </r>
  <r>
    <x v="26"/>
    <x v="26"/>
    <s v="Electric Generators, Independent Power Producers"/>
    <x v="5"/>
    <n v="1909411"/>
  </r>
  <r>
    <x v="26"/>
    <x v="26"/>
    <s v="Electric Generators, Electric Utilities"/>
    <x v="0"/>
    <n v="10810501"/>
  </r>
  <r>
    <x v="26"/>
    <x v="26"/>
    <s v="Electric Generators, Electric Utilities"/>
    <x v="1"/>
    <n v="260272"/>
  </r>
  <r>
    <x v="26"/>
    <x v="26"/>
    <s v="Electric Generators, Electric Utilities"/>
    <x v="2"/>
    <n v="9940847"/>
  </r>
  <r>
    <x v="26"/>
    <x v="26"/>
    <s v="Electric Generators, Electric Utilities"/>
    <x v="3"/>
    <n v="378184"/>
  </r>
  <r>
    <x v="26"/>
    <x v="26"/>
    <s v="Electric Generators, Electric Utilities"/>
    <x v="4"/>
    <n v="419"/>
  </r>
  <r>
    <x v="26"/>
    <x v="26"/>
    <s v="Electric Generators, Electric Utilities"/>
    <x v="5"/>
    <n v="230780"/>
  </r>
  <r>
    <x v="26"/>
    <x v="27"/>
    <s v="Total Electric Power Industry"/>
    <x v="0"/>
    <n v="130779157"/>
  </r>
  <r>
    <x v="26"/>
    <x v="27"/>
    <s v="Total Electric Power Industry"/>
    <x v="1"/>
    <n v="37435780"/>
  </r>
  <r>
    <x v="26"/>
    <x v="27"/>
    <s v="Total Electric Power Industry"/>
    <x v="10"/>
    <n v="0"/>
  </r>
  <r>
    <x v="26"/>
    <x v="27"/>
    <s v="Total Electric Power Industry"/>
    <x v="2"/>
    <n v="4417186"/>
  </r>
  <r>
    <x v="26"/>
    <x v="27"/>
    <s v="Total Electric Power Industry"/>
    <x v="3"/>
    <n v="39251102"/>
  </r>
  <r>
    <x v="26"/>
    <x v="27"/>
    <s v="Total Electric Power Industry"/>
    <x v="7"/>
    <n v="42786087"/>
  </r>
  <r>
    <x v="26"/>
    <x v="27"/>
    <s v="Total Electric Power Industry"/>
    <x v="12"/>
    <n v="654538"/>
  </r>
  <r>
    <x v="26"/>
    <x v="27"/>
    <s v="Total Electric Power Industry"/>
    <x v="4"/>
    <n v="251193"/>
  </r>
  <r>
    <x v="26"/>
    <x v="27"/>
    <s v="Total Electric Power Industry"/>
    <x v="13"/>
    <n v="3421128"/>
  </r>
  <r>
    <x v="26"/>
    <x v="27"/>
    <s v="Total Electric Power Industry"/>
    <x v="8"/>
    <n v="595865"/>
  </r>
  <r>
    <x v="26"/>
    <x v="27"/>
    <s v="Total Electric Power Industry"/>
    <x v="5"/>
    <n v="6233"/>
  </r>
  <r>
    <x v="26"/>
    <x v="27"/>
    <s v="Total Electric Power Industry"/>
    <x v="6"/>
    <n v="1960045"/>
  </r>
  <r>
    <x v="26"/>
    <x v="27"/>
    <s v="Combined Heat and Power, Industrial Power"/>
    <x v="0"/>
    <n v="1875285"/>
  </r>
  <r>
    <x v="26"/>
    <x v="27"/>
    <s v="Combined Heat and Power, Industrial Power"/>
    <x v="1"/>
    <n v="205570"/>
  </r>
  <r>
    <x v="26"/>
    <x v="27"/>
    <s v="Combined Heat and Power, Industrial Power"/>
    <x v="2"/>
    <n v="0"/>
  </r>
  <r>
    <x v="26"/>
    <x v="27"/>
    <s v="Combined Heat and Power, Industrial Power"/>
    <x v="3"/>
    <n v="105418"/>
  </r>
  <r>
    <x v="26"/>
    <x v="27"/>
    <s v="Combined Heat and Power, Industrial Power"/>
    <x v="12"/>
    <n v="291599"/>
  </r>
  <r>
    <x v="26"/>
    <x v="27"/>
    <s v="Combined Heat and Power, Industrial Power"/>
    <x v="4"/>
    <n v="7566"/>
  </r>
  <r>
    <x v="26"/>
    <x v="27"/>
    <s v="Combined Heat and Power, Industrial Power"/>
    <x v="8"/>
    <n v="1029"/>
  </r>
  <r>
    <x v="26"/>
    <x v="27"/>
    <s v="Combined Heat and Power, Industrial Power"/>
    <x v="6"/>
    <n v="1264103"/>
  </r>
  <r>
    <x v="26"/>
    <x v="27"/>
    <s v="Combined Heat and Power, Commercial Power"/>
    <x v="0"/>
    <n v="269840"/>
  </r>
  <r>
    <x v="26"/>
    <x v="27"/>
    <s v="Combined Heat and Power, Commercial Power"/>
    <x v="1"/>
    <n v="44874"/>
  </r>
  <r>
    <x v="26"/>
    <x v="27"/>
    <s v="Combined Heat and Power, Commercial Power"/>
    <x v="2"/>
    <n v="13806"/>
  </r>
  <r>
    <x v="26"/>
    <x v="27"/>
    <s v="Combined Heat and Power, Commercial Power"/>
    <x v="3"/>
    <n v="11592"/>
  </r>
  <r>
    <x v="26"/>
    <x v="27"/>
    <s v="Combined Heat and Power, Commercial Power"/>
    <x v="4"/>
    <n v="347"/>
  </r>
  <r>
    <x v="26"/>
    <x v="27"/>
    <s v="Combined Heat and Power, Commercial Power"/>
    <x v="13"/>
    <n v="125051"/>
  </r>
  <r>
    <x v="26"/>
    <x v="27"/>
    <s v="Combined Heat and Power, Commercial Power"/>
    <x v="8"/>
    <n v="74170"/>
  </r>
  <r>
    <x v="26"/>
    <x v="27"/>
    <s v="Combined Heat and Power, Electric Power"/>
    <x v="0"/>
    <n v="674688"/>
  </r>
  <r>
    <x v="26"/>
    <x v="27"/>
    <s v="Combined Heat and Power, Electric Power"/>
    <x v="1"/>
    <n v="127724"/>
  </r>
  <r>
    <x v="26"/>
    <x v="27"/>
    <s v="Combined Heat and Power, Electric Power"/>
    <x v="12"/>
    <n v="230663"/>
  </r>
  <r>
    <x v="26"/>
    <x v="27"/>
    <s v="Combined Heat and Power, Electric Power"/>
    <x v="4"/>
    <n v="3481"/>
  </r>
  <r>
    <x v="26"/>
    <x v="27"/>
    <s v="Combined Heat and Power, Electric Power"/>
    <x v="8"/>
    <n v="48782"/>
  </r>
  <r>
    <x v="26"/>
    <x v="27"/>
    <s v="Combined Heat and Power, Electric Power"/>
    <x v="6"/>
    <n v="264038"/>
  </r>
  <r>
    <x v="26"/>
    <x v="27"/>
    <s v="Electric Generators, Independent Power Producers"/>
    <x v="0"/>
    <n v="9302665"/>
  </r>
  <r>
    <x v="26"/>
    <x v="27"/>
    <s v="Electric Generators, Independent Power Producers"/>
    <x v="1"/>
    <n v="38052"/>
  </r>
  <r>
    <x v="26"/>
    <x v="27"/>
    <s v="Electric Generators, Independent Power Producers"/>
    <x v="2"/>
    <n v="44009"/>
  </r>
  <r>
    <x v="26"/>
    <x v="27"/>
    <s v="Electric Generators, Independent Power Producers"/>
    <x v="3"/>
    <n v="5064068"/>
  </r>
  <r>
    <x v="26"/>
    <x v="27"/>
    <s v="Electric Generators, Independent Power Producers"/>
    <x v="12"/>
    <n v="132276"/>
  </r>
  <r>
    <x v="26"/>
    <x v="27"/>
    <s v="Electric Generators, Independent Power Producers"/>
    <x v="4"/>
    <n v="29626"/>
  </r>
  <r>
    <x v="26"/>
    <x v="27"/>
    <s v="Electric Generators, Independent Power Producers"/>
    <x v="13"/>
    <n v="3084613"/>
  </r>
  <r>
    <x v="26"/>
    <x v="27"/>
    <s v="Electric Generators, Independent Power Producers"/>
    <x v="8"/>
    <n v="471883"/>
  </r>
  <r>
    <x v="26"/>
    <x v="27"/>
    <s v="Electric Generators, Independent Power Producers"/>
    <x v="5"/>
    <n v="6233"/>
  </r>
  <r>
    <x v="26"/>
    <x v="27"/>
    <s v="Electric Generators, Independent Power Producers"/>
    <x v="6"/>
    <n v="431904"/>
  </r>
  <r>
    <x v="26"/>
    <x v="27"/>
    <s v="Electric Generators, Electric Utilities"/>
    <x v="0"/>
    <n v="118656679"/>
  </r>
  <r>
    <x v="26"/>
    <x v="27"/>
    <s v="Electric Generators, Electric Utilities"/>
    <x v="1"/>
    <n v="37019560"/>
  </r>
  <r>
    <x v="26"/>
    <x v="27"/>
    <s v="Electric Generators, Electric Utilities"/>
    <x v="10"/>
    <n v="0"/>
  </r>
  <r>
    <x v="26"/>
    <x v="27"/>
    <s v="Electric Generators, Electric Utilities"/>
    <x v="2"/>
    <n v="4359371"/>
  </r>
  <r>
    <x v="26"/>
    <x v="27"/>
    <s v="Electric Generators, Electric Utilities"/>
    <x v="3"/>
    <n v="34070024"/>
  </r>
  <r>
    <x v="26"/>
    <x v="27"/>
    <s v="Electric Generators, Electric Utilities"/>
    <x v="7"/>
    <n v="42786087"/>
  </r>
  <r>
    <x v="26"/>
    <x v="27"/>
    <s v="Electric Generators, Electric Utilities"/>
    <x v="4"/>
    <n v="210174"/>
  </r>
  <r>
    <x v="26"/>
    <x v="27"/>
    <s v="Electric Generators, Electric Utilities"/>
    <x v="13"/>
    <n v="211464"/>
  </r>
  <r>
    <x v="26"/>
    <x v="28"/>
    <s v="Total Electric Power Industry"/>
    <x v="0"/>
    <n v="37856452"/>
  </r>
  <r>
    <x v="26"/>
    <x v="28"/>
    <s v="Total Electric Power Industry"/>
    <x v="1"/>
    <n v="26580350"/>
  </r>
  <r>
    <x v="26"/>
    <x v="28"/>
    <s v="Total Electric Power Industry"/>
    <x v="2"/>
    <n v="1912005"/>
  </r>
  <r>
    <x v="26"/>
    <x v="28"/>
    <s v="Total Electric Power Industry"/>
    <x v="3"/>
    <n v="1071107"/>
  </r>
  <r>
    <x v="26"/>
    <x v="28"/>
    <s v="Total Electric Power Industry"/>
    <x v="9"/>
    <n v="40246"/>
  </r>
  <r>
    <x v="26"/>
    <x v="28"/>
    <s v="Total Electric Power Industry"/>
    <x v="12"/>
    <n v="45107"/>
  </r>
  <r>
    <x v="26"/>
    <x v="28"/>
    <s v="Total Electric Power Industry"/>
    <x v="4"/>
    <n v="30109"/>
  </r>
  <r>
    <x v="26"/>
    <x v="28"/>
    <s v="Total Electric Power Industry"/>
    <x v="8"/>
    <n v="5606"/>
  </r>
  <r>
    <x v="26"/>
    <x v="28"/>
    <s v="Total Electric Power Industry"/>
    <x v="5"/>
    <n v="8171922"/>
  </r>
  <r>
    <x v="26"/>
    <x v="28"/>
    <s v="Combined Heat and Power, Industrial Power"/>
    <x v="0"/>
    <n v="174551"/>
  </r>
  <r>
    <x v="26"/>
    <x v="28"/>
    <s v="Combined Heat and Power, Industrial Power"/>
    <x v="1"/>
    <n v="108651"/>
  </r>
  <r>
    <x v="26"/>
    <x v="28"/>
    <s v="Combined Heat and Power, Industrial Power"/>
    <x v="3"/>
    <n v="19727"/>
  </r>
  <r>
    <x v="26"/>
    <x v="28"/>
    <s v="Combined Heat and Power, Industrial Power"/>
    <x v="9"/>
    <n v="40246"/>
  </r>
  <r>
    <x v="26"/>
    <x v="28"/>
    <s v="Combined Heat and Power, Industrial Power"/>
    <x v="4"/>
    <n v="320"/>
  </r>
  <r>
    <x v="26"/>
    <x v="28"/>
    <s v="Combined Heat and Power, Industrial Power"/>
    <x v="8"/>
    <n v="5606"/>
  </r>
  <r>
    <x v="26"/>
    <x v="28"/>
    <s v="Combined Heat and Power, Commercial Power"/>
    <x v="0"/>
    <n v="13"/>
  </r>
  <r>
    <x v="26"/>
    <x v="28"/>
    <s v="Combined Heat and Power, Commercial Power"/>
    <x v="4"/>
    <n v="13"/>
  </r>
  <r>
    <x v="26"/>
    <x v="28"/>
    <s v="Electric Generators, Independent Power Producers"/>
    <x v="0"/>
    <n v="4266812"/>
  </r>
  <r>
    <x v="26"/>
    <x v="28"/>
    <s v="Electric Generators, Independent Power Producers"/>
    <x v="5"/>
    <n v="4266812"/>
  </r>
  <r>
    <x v="26"/>
    <x v="28"/>
    <s v="Electric Generators, Electric Utilities"/>
    <x v="0"/>
    <n v="33415076"/>
  </r>
  <r>
    <x v="26"/>
    <x v="28"/>
    <s v="Electric Generators, Electric Utilities"/>
    <x v="1"/>
    <n v="26471699"/>
  </r>
  <r>
    <x v="26"/>
    <x v="28"/>
    <s v="Electric Generators, Electric Utilities"/>
    <x v="2"/>
    <n v="1912005"/>
  </r>
  <r>
    <x v="26"/>
    <x v="28"/>
    <s v="Electric Generators, Electric Utilities"/>
    <x v="3"/>
    <n v="1051380"/>
  </r>
  <r>
    <x v="26"/>
    <x v="28"/>
    <s v="Electric Generators, Electric Utilities"/>
    <x v="12"/>
    <n v="45107"/>
  </r>
  <r>
    <x v="26"/>
    <x v="28"/>
    <s v="Electric Generators, Electric Utilities"/>
    <x v="4"/>
    <n v="29775"/>
  </r>
  <r>
    <x v="26"/>
    <x v="28"/>
    <s v="Electric Generators, Electric Utilities"/>
    <x v="5"/>
    <n v="3905110"/>
  </r>
  <r>
    <x v="26"/>
    <x v="29"/>
    <s v="Total Electric Power Industry"/>
    <x v="0"/>
    <n v="36524869"/>
  </r>
  <r>
    <x v="26"/>
    <x v="29"/>
    <s v="Total Electric Power Industry"/>
    <x v="1"/>
    <n v="21897715"/>
  </r>
  <r>
    <x v="26"/>
    <x v="29"/>
    <s v="Total Electric Power Industry"/>
    <x v="2"/>
    <n v="856408"/>
  </r>
  <r>
    <x v="26"/>
    <x v="29"/>
    <s v="Total Electric Power Industry"/>
    <x v="3"/>
    <n v="537910"/>
  </r>
  <r>
    <x v="26"/>
    <x v="29"/>
    <s v="Total Electric Power Industry"/>
    <x v="7"/>
    <n v="9350591"/>
  </r>
  <r>
    <x v="26"/>
    <x v="29"/>
    <s v="Total Electric Power Industry"/>
    <x v="12"/>
    <n v="0"/>
  </r>
  <r>
    <x v="26"/>
    <x v="29"/>
    <s v="Total Electric Power Industry"/>
    <x v="4"/>
    <n v="-17940"/>
  </r>
  <r>
    <x v="26"/>
    <x v="29"/>
    <s v="Total Electric Power Industry"/>
    <x v="13"/>
    <n v="3981"/>
  </r>
  <r>
    <x v="26"/>
    <x v="29"/>
    <s v="Total Electric Power Industry"/>
    <x v="8"/>
    <n v="97817"/>
  </r>
  <r>
    <x v="26"/>
    <x v="29"/>
    <s v="Total Electric Power Industry"/>
    <x v="5"/>
    <n v="3798387"/>
  </r>
  <r>
    <x v="26"/>
    <x v="29"/>
    <s v="Total Electric Power Industry"/>
    <x v="6"/>
    <n v="0"/>
  </r>
  <r>
    <x v="26"/>
    <x v="29"/>
    <s v="Combined Heat and Power, Industrial Power"/>
    <x v="0"/>
    <n v="347425"/>
  </r>
  <r>
    <x v="26"/>
    <x v="29"/>
    <s v="Combined Heat and Power, Industrial Power"/>
    <x v="1"/>
    <n v="346843"/>
  </r>
  <r>
    <x v="26"/>
    <x v="29"/>
    <s v="Combined Heat and Power, Industrial Power"/>
    <x v="3"/>
    <n v="582"/>
  </r>
  <r>
    <x v="26"/>
    <x v="29"/>
    <s v="Combined Heat and Power, Industrial Power"/>
    <x v="12"/>
    <n v="0"/>
  </r>
  <r>
    <x v="26"/>
    <x v="29"/>
    <s v="Combined Heat and Power, Industrial Power"/>
    <x v="8"/>
    <n v="0"/>
  </r>
  <r>
    <x v="26"/>
    <x v="29"/>
    <s v="Combined Heat and Power, Industrial Power"/>
    <x v="6"/>
    <n v="0"/>
  </r>
  <r>
    <x v="26"/>
    <x v="29"/>
    <s v="Combined Heat and Power, Commercial Power"/>
    <x v="0"/>
    <n v="19230"/>
  </r>
  <r>
    <x v="26"/>
    <x v="29"/>
    <s v="Combined Heat and Power, Commercial Power"/>
    <x v="3"/>
    <n v="1360"/>
  </r>
  <r>
    <x v="26"/>
    <x v="29"/>
    <s v="Combined Heat and Power, Commercial Power"/>
    <x v="8"/>
    <n v="17870"/>
  </r>
  <r>
    <x v="26"/>
    <x v="29"/>
    <s v="Electric Generators, Independent Power Producers"/>
    <x v="0"/>
    <n v="3610474"/>
  </r>
  <r>
    <x v="26"/>
    <x v="29"/>
    <s v="Electric Generators, Independent Power Producers"/>
    <x v="13"/>
    <n v="3981"/>
  </r>
  <r>
    <x v="26"/>
    <x v="29"/>
    <s v="Electric Generators, Independent Power Producers"/>
    <x v="5"/>
    <n v="3606493"/>
  </r>
  <r>
    <x v="26"/>
    <x v="29"/>
    <s v="Electric Generators, Electric Utilities"/>
    <x v="0"/>
    <n v="32547740"/>
  </r>
  <r>
    <x v="26"/>
    <x v="29"/>
    <s v="Electric Generators, Electric Utilities"/>
    <x v="1"/>
    <n v="21550872"/>
  </r>
  <r>
    <x v="26"/>
    <x v="29"/>
    <s v="Electric Generators, Electric Utilities"/>
    <x v="2"/>
    <n v="856408"/>
  </r>
  <r>
    <x v="26"/>
    <x v="29"/>
    <s v="Electric Generators, Electric Utilities"/>
    <x v="3"/>
    <n v="535968"/>
  </r>
  <r>
    <x v="26"/>
    <x v="29"/>
    <s v="Electric Generators, Electric Utilities"/>
    <x v="7"/>
    <n v="9350591"/>
  </r>
  <r>
    <x v="26"/>
    <x v="29"/>
    <s v="Electric Generators, Electric Utilities"/>
    <x v="4"/>
    <n v="-17940"/>
  </r>
  <r>
    <x v="26"/>
    <x v="29"/>
    <s v="Electric Generators, Electric Utilities"/>
    <x v="8"/>
    <n v="79948"/>
  </r>
  <r>
    <x v="26"/>
    <x v="29"/>
    <s v="Electric Generators, Electric Utilities"/>
    <x v="5"/>
    <n v="191894"/>
  </r>
  <r>
    <x v="26"/>
    <x v="30"/>
    <s v="Total Electric Power Industry"/>
    <x v="0"/>
    <n v="19282493"/>
  </r>
  <r>
    <x v="26"/>
    <x v="30"/>
    <s v="Total Electric Power Industry"/>
    <x v="1"/>
    <n v="422017"/>
  </r>
  <r>
    <x v="26"/>
    <x v="30"/>
    <s v="Total Electric Power Industry"/>
    <x v="2"/>
    <n v="1145386"/>
  </r>
  <r>
    <x v="26"/>
    <x v="30"/>
    <s v="Total Electric Power Industry"/>
    <x v="3"/>
    <n v="4744436"/>
  </r>
  <r>
    <x v="26"/>
    <x v="30"/>
    <s v="Total Electric Power Industry"/>
    <x v="7"/>
    <n v="10761163"/>
  </r>
  <r>
    <x v="26"/>
    <x v="30"/>
    <s v="Total Electric Power Industry"/>
    <x v="12"/>
    <n v="49001"/>
  </r>
  <r>
    <x v="26"/>
    <x v="30"/>
    <s v="Total Electric Power Industry"/>
    <x v="4"/>
    <n v="38798"/>
  </r>
  <r>
    <x v="26"/>
    <x v="30"/>
    <s v="Total Electric Power Industry"/>
    <x v="8"/>
    <n v="124940"/>
  </r>
  <r>
    <x v="26"/>
    <x v="30"/>
    <s v="Total Electric Power Industry"/>
    <x v="5"/>
    <n v="432324"/>
  </r>
  <r>
    <x v="26"/>
    <x v="30"/>
    <s v="Total Electric Power Industry"/>
    <x v="6"/>
    <n v="1564428"/>
  </r>
  <r>
    <x v="26"/>
    <x v="30"/>
    <s v="Combined Heat and Power, Industrial Power"/>
    <x v="0"/>
    <n v="32726"/>
  </r>
  <r>
    <x v="26"/>
    <x v="30"/>
    <s v="Combined Heat and Power, Industrial Power"/>
    <x v="3"/>
    <n v="32700"/>
  </r>
  <r>
    <x v="26"/>
    <x v="30"/>
    <s v="Combined Heat and Power, Industrial Power"/>
    <x v="4"/>
    <n v="26"/>
  </r>
  <r>
    <x v="26"/>
    <x v="30"/>
    <s v="Combined Heat and Power, Commercial Power"/>
    <x v="0"/>
    <n v="74419"/>
  </r>
  <r>
    <x v="26"/>
    <x v="30"/>
    <s v="Combined Heat and Power, Commercial Power"/>
    <x v="3"/>
    <n v="22409"/>
  </r>
  <r>
    <x v="26"/>
    <x v="30"/>
    <s v="Combined Heat and Power, Commercial Power"/>
    <x v="4"/>
    <n v="16491"/>
  </r>
  <r>
    <x v="26"/>
    <x v="30"/>
    <s v="Combined Heat and Power, Commercial Power"/>
    <x v="8"/>
    <n v="35519"/>
  </r>
  <r>
    <x v="26"/>
    <x v="30"/>
    <s v="Electric Generators, Independent Power Producers"/>
    <x v="0"/>
    <n v="18113417"/>
  </r>
  <r>
    <x v="26"/>
    <x v="30"/>
    <s v="Electric Generators, Independent Power Producers"/>
    <x v="2"/>
    <n v="870554"/>
  </r>
  <r>
    <x v="26"/>
    <x v="30"/>
    <s v="Electric Generators, Independent Power Producers"/>
    <x v="3"/>
    <n v="4652443"/>
  </r>
  <r>
    <x v="26"/>
    <x v="30"/>
    <s v="Electric Generators, Independent Power Producers"/>
    <x v="7"/>
    <n v="10761163"/>
  </r>
  <r>
    <x v="26"/>
    <x v="30"/>
    <s v="Electric Generators, Independent Power Producers"/>
    <x v="12"/>
    <n v="49001"/>
  </r>
  <r>
    <x v="26"/>
    <x v="30"/>
    <s v="Electric Generators, Independent Power Producers"/>
    <x v="4"/>
    <n v="2211"/>
  </r>
  <r>
    <x v="26"/>
    <x v="30"/>
    <s v="Electric Generators, Independent Power Producers"/>
    <x v="8"/>
    <n v="88312"/>
  </r>
  <r>
    <x v="26"/>
    <x v="30"/>
    <s v="Electric Generators, Independent Power Producers"/>
    <x v="5"/>
    <n v="432324"/>
  </r>
  <r>
    <x v="26"/>
    <x v="30"/>
    <s v="Electric Generators, Independent Power Producers"/>
    <x v="6"/>
    <n v="1257409"/>
  </r>
  <r>
    <x v="26"/>
    <x v="30"/>
    <s v="Electric Generators, Electric Utilities"/>
    <x v="0"/>
    <n v="1061931"/>
  </r>
  <r>
    <x v="26"/>
    <x v="30"/>
    <s v="Electric Generators, Electric Utilities"/>
    <x v="1"/>
    <n v="422017"/>
  </r>
  <r>
    <x v="26"/>
    <x v="30"/>
    <s v="Electric Generators, Electric Utilities"/>
    <x v="2"/>
    <n v="274832"/>
  </r>
  <r>
    <x v="26"/>
    <x v="30"/>
    <s v="Electric Generators, Electric Utilities"/>
    <x v="3"/>
    <n v="36884"/>
  </r>
  <r>
    <x v="26"/>
    <x v="30"/>
    <s v="Electric Generators, Electric Utilities"/>
    <x v="4"/>
    <n v="20070"/>
  </r>
  <r>
    <x v="26"/>
    <x v="30"/>
    <s v="Electric Generators, Electric Utilities"/>
    <x v="8"/>
    <n v="1109"/>
  </r>
  <r>
    <x v="26"/>
    <x v="30"/>
    <s v="Electric Generators, Electric Utilities"/>
    <x v="6"/>
    <n v="307019"/>
  </r>
  <r>
    <x v="26"/>
    <x v="31"/>
    <s v="Total Electric Power Industry"/>
    <x v="0"/>
    <n v="77611403"/>
  </r>
  <r>
    <x v="26"/>
    <x v="31"/>
    <s v="Total Electric Power Industry"/>
    <x v="1"/>
    <n v="1314541"/>
  </r>
  <r>
    <x v="26"/>
    <x v="31"/>
    <s v="Total Electric Power Industry"/>
    <x v="10"/>
    <n v="-204013"/>
  </r>
  <r>
    <x v="26"/>
    <x v="31"/>
    <s v="Total Electric Power Industry"/>
    <x v="2"/>
    <n v="9478"/>
  </r>
  <r>
    <x v="26"/>
    <x v="31"/>
    <s v="Total Electric Power Industry"/>
    <x v="3"/>
    <n v="43807453"/>
  </r>
  <r>
    <x v="26"/>
    <x v="31"/>
    <s v="Total Electric Power Industry"/>
    <x v="7"/>
    <n v="29885187"/>
  </r>
  <r>
    <x v="26"/>
    <x v="31"/>
    <s v="Total Electric Power Industry"/>
    <x v="9"/>
    <n v="207168"/>
  </r>
  <r>
    <x v="26"/>
    <x v="31"/>
    <s v="Total Electric Power Industry"/>
    <x v="12"/>
    <n v="606966"/>
  </r>
  <r>
    <x v="26"/>
    <x v="31"/>
    <s v="Total Electric Power Industry"/>
    <x v="4"/>
    <n v="146126"/>
  </r>
  <r>
    <x v="26"/>
    <x v="31"/>
    <s v="Total Electric Power Industry"/>
    <x v="13"/>
    <n v="834879"/>
  </r>
  <r>
    <x v="26"/>
    <x v="31"/>
    <s v="Total Electric Power Industry"/>
    <x v="8"/>
    <n v="982778"/>
  </r>
  <r>
    <x v="26"/>
    <x v="31"/>
    <s v="Total Electric Power Industry"/>
    <x v="5"/>
    <n v="20841"/>
  </r>
  <r>
    <x v="26"/>
    <x v="31"/>
    <s v="Combined Heat and Power, Industrial Power"/>
    <x v="0"/>
    <n v="689494"/>
  </r>
  <r>
    <x v="26"/>
    <x v="31"/>
    <s v="Combined Heat and Power, Industrial Power"/>
    <x v="3"/>
    <n v="343613"/>
  </r>
  <r>
    <x v="26"/>
    <x v="31"/>
    <s v="Combined Heat and Power, Industrial Power"/>
    <x v="9"/>
    <n v="207168"/>
  </r>
  <r>
    <x v="26"/>
    <x v="31"/>
    <s v="Combined Heat and Power, Industrial Power"/>
    <x v="12"/>
    <n v="67682"/>
  </r>
  <r>
    <x v="26"/>
    <x v="31"/>
    <s v="Combined Heat and Power, Industrial Power"/>
    <x v="4"/>
    <n v="65450"/>
  </r>
  <r>
    <x v="26"/>
    <x v="31"/>
    <s v="Combined Heat and Power, Industrial Power"/>
    <x v="13"/>
    <n v="5581"/>
  </r>
  <r>
    <x v="26"/>
    <x v="31"/>
    <s v="Combined Heat and Power, Commercial Power"/>
    <x v="0"/>
    <n v="642275"/>
  </r>
  <r>
    <x v="26"/>
    <x v="31"/>
    <s v="Combined Heat and Power, Commercial Power"/>
    <x v="3"/>
    <n v="187203"/>
  </r>
  <r>
    <x v="26"/>
    <x v="31"/>
    <s v="Combined Heat and Power, Commercial Power"/>
    <x v="12"/>
    <n v="142527"/>
  </r>
  <r>
    <x v="26"/>
    <x v="31"/>
    <s v="Combined Heat and Power, Commercial Power"/>
    <x v="4"/>
    <n v="926"/>
  </r>
  <r>
    <x v="26"/>
    <x v="31"/>
    <s v="Combined Heat and Power, Commercial Power"/>
    <x v="13"/>
    <n v="144201"/>
  </r>
  <r>
    <x v="26"/>
    <x v="31"/>
    <s v="Combined Heat and Power, Commercial Power"/>
    <x v="8"/>
    <n v="167417"/>
  </r>
  <r>
    <x v="26"/>
    <x v="31"/>
    <s v="Combined Heat and Power, Electric Power"/>
    <x v="0"/>
    <n v="6754728"/>
  </r>
  <r>
    <x v="26"/>
    <x v="31"/>
    <s v="Combined Heat and Power, Electric Power"/>
    <x v="1"/>
    <n v="1223261"/>
  </r>
  <r>
    <x v="26"/>
    <x v="31"/>
    <s v="Combined Heat and Power, Electric Power"/>
    <x v="3"/>
    <n v="5377989"/>
  </r>
  <r>
    <x v="26"/>
    <x v="31"/>
    <s v="Combined Heat and Power, Electric Power"/>
    <x v="4"/>
    <n v="39431"/>
  </r>
  <r>
    <x v="26"/>
    <x v="31"/>
    <s v="Combined Heat and Power, Electric Power"/>
    <x v="8"/>
    <n v="114047"/>
  </r>
  <r>
    <x v="26"/>
    <x v="31"/>
    <s v="Electric Generators, Independent Power Producers"/>
    <x v="0"/>
    <n v="69373850"/>
  </r>
  <r>
    <x v="26"/>
    <x v="31"/>
    <s v="Electric Generators, Independent Power Producers"/>
    <x v="1"/>
    <n v="91280"/>
  </r>
  <r>
    <x v="26"/>
    <x v="31"/>
    <s v="Electric Generators, Independent Power Producers"/>
    <x v="2"/>
    <n v="9478"/>
  </r>
  <r>
    <x v="26"/>
    <x v="31"/>
    <s v="Electric Generators, Independent Power Producers"/>
    <x v="3"/>
    <n v="37626762"/>
  </r>
  <r>
    <x v="26"/>
    <x v="31"/>
    <s v="Electric Generators, Independent Power Producers"/>
    <x v="7"/>
    <n v="29885187"/>
  </r>
  <r>
    <x v="26"/>
    <x v="31"/>
    <s v="Electric Generators, Independent Power Producers"/>
    <x v="12"/>
    <n v="396756"/>
  </r>
  <r>
    <x v="26"/>
    <x v="31"/>
    <s v="Electric Generators, Independent Power Producers"/>
    <x v="4"/>
    <n v="39512"/>
  </r>
  <r>
    <x v="26"/>
    <x v="31"/>
    <s v="Electric Generators, Independent Power Producers"/>
    <x v="13"/>
    <n v="602721"/>
  </r>
  <r>
    <x v="26"/>
    <x v="31"/>
    <s v="Electric Generators, Independent Power Producers"/>
    <x v="8"/>
    <n v="701314"/>
  </r>
  <r>
    <x v="26"/>
    <x v="31"/>
    <s v="Electric Generators, Independent Power Producers"/>
    <x v="5"/>
    <n v="20841"/>
  </r>
  <r>
    <x v="26"/>
    <x v="31"/>
    <s v="Electric Generators, Electric Utilities"/>
    <x v="0"/>
    <n v="151056"/>
  </r>
  <r>
    <x v="26"/>
    <x v="31"/>
    <s v="Electric Generators, Electric Utilities"/>
    <x v="1"/>
    <n v="0"/>
  </r>
  <r>
    <x v="26"/>
    <x v="31"/>
    <s v="Electric Generators, Electric Utilities"/>
    <x v="10"/>
    <n v="-204013"/>
  </r>
  <r>
    <x v="26"/>
    <x v="31"/>
    <s v="Electric Generators, Electric Utilities"/>
    <x v="3"/>
    <n v="271887"/>
  </r>
  <r>
    <x v="26"/>
    <x v="31"/>
    <s v="Electric Generators, Electric Utilities"/>
    <x v="4"/>
    <n v="807"/>
  </r>
  <r>
    <x v="26"/>
    <x v="31"/>
    <s v="Electric Generators, Electric Utilities"/>
    <x v="13"/>
    <n v="82375"/>
  </r>
  <r>
    <x v="26"/>
    <x v="32"/>
    <s v="Total Electric Power Industry"/>
    <x v="0"/>
    <n v="32912045"/>
  </r>
  <r>
    <x v="26"/>
    <x v="32"/>
    <s v="Total Electric Power Industry"/>
    <x v="1"/>
    <n v="18365270"/>
  </r>
  <r>
    <x v="26"/>
    <x v="32"/>
    <s v="Total Electric Power Industry"/>
    <x v="11"/>
    <n v="14218"/>
  </r>
  <r>
    <x v="26"/>
    <x v="32"/>
    <s v="Total Electric Power Industry"/>
    <x v="2"/>
    <n v="147972"/>
  </r>
  <r>
    <x v="26"/>
    <x v="32"/>
    <s v="Total Electric Power Industry"/>
    <x v="3"/>
    <n v="9957553"/>
  </r>
  <r>
    <x v="26"/>
    <x v="32"/>
    <s v="Total Electric Power Industry"/>
    <x v="12"/>
    <n v="279"/>
  </r>
  <r>
    <x v="26"/>
    <x v="32"/>
    <s v="Total Electric Power Industry"/>
    <x v="4"/>
    <n v="51683"/>
  </r>
  <r>
    <x v="26"/>
    <x v="32"/>
    <s v="Total Electric Power Industry"/>
    <x v="13"/>
    <n v="751836"/>
  </r>
  <r>
    <x v="26"/>
    <x v="32"/>
    <s v="Total Electric Power Industry"/>
    <x v="8"/>
    <n v="17813"/>
  </r>
  <r>
    <x v="26"/>
    <x v="32"/>
    <s v="Total Electric Power Industry"/>
    <x v="5"/>
    <n v="3605421"/>
  </r>
  <r>
    <x v="26"/>
    <x v="32"/>
    <s v="Combined Heat and Power, Industrial Power"/>
    <x v="0"/>
    <n v="1131"/>
  </r>
  <r>
    <x v="26"/>
    <x v="32"/>
    <s v="Combined Heat and Power, Industrial Power"/>
    <x v="3"/>
    <n v="1120"/>
  </r>
  <r>
    <x v="26"/>
    <x v="32"/>
    <s v="Combined Heat and Power, Industrial Power"/>
    <x v="4"/>
    <n v="11"/>
  </r>
  <r>
    <x v="26"/>
    <x v="32"/>
    <s v="Combined Heat and Power, Commercial Power"/>
    <x v="0"/>
    <n v="119230"/>
  </r>
  <r>
    <x v="26"/>
    <x v="32"/>
    <s v="Combined Heat and Power, Commercial Power"/>
    <x v="3"/>
    <n v="116458"/>
  </r>
  <r>
    <x v="26"/>
    <x v="32"/>
    <s v="Combined Heat and Power, Commercial Power"/>
    <x v="5"/>
    <n v="2772"/>
  </r>
  <r>
    <x v="26"/>
    <x v="32"/>
    <s v="Combined Heat and Power, Electric Power"/>
    <x v="0"/>
    <n v="97533"/>
  </r>
  <r>
    <x v="26"/>
    <x v="32"/>
    <s v="Combined Heat and Power, Electric Power"/>
    <x v="3"/>
    <n v="80574"/>
  </r>
  <r>
    <x v="26"/>
    <x v="32"/>
    <s v="Combined Heat and Power, Electric Power"/>
    <x v="8"/>
    <n v="16958"/>
  </r>
  <r>
    <x v="26"/>
    <x v="32"/>
    <s v="Electric Generators, Independent Power Producers"/>
    <x v="0"/>
    <n v="7679665"/>
  </r>
  <r>
    <x v="26"/>
    <x v="32"/>
    <s v="Electric Generators, Independent Power Producers"/>
    <x v="11"/>
    <n v="14218"/>
  </r>
  <r>
    <x v="26"/>
    <x v="32"/>
    <s v="Electric Generators, Independent Power Producers"/>
    <x v="3"/>
    <n v="3560322"/>
  </r>
  <r>
    <x v="26"/>
    <x v="32"/>
    <s v="Electric Generators, Independent Power Producers"/>
    <x v="13"/>
    <n v="501621"/>
  </r>
  <r>
    <x v="26"/>
    <x v="32"/>
    <s v="Electric Generators, Independent Power Producers"/>
    <x v="8"/>
    <n v="855"/>
  </r>
  <r>
    <x v="26"/>
    <x v="32"/>
    <s v="Electric Generators, Independent Power Producers"/>
    <x v="5"/>
    <n v="3602649"/>
  </r>
  <r>
    <x v="26"/>
    <x v="32"/>
    <s v="Electric Generators, Electric Utilities"/>
    <x v="0"/>
    <n v="25014486"/>
  </r>
  <r>
    <x v="26"/>
    <x v="32"/>
    <s v="Electric Generators, Electric Utilities"/>
    <x v="1"/>
    <n v="18365270"/>
  </r>
  <r>
    <x v="26"/>
    <x v="32"/>
    <s v="Electric Generators, Electric Utilities"/>
    <x v="2"/>
    <n v="147972"/>
  </r>
  <r>
    <x v="26"/>
    <x v="32"/>
    <s v="Electric Generators, Electric Utilities"/>
    <x v="3"/>
    <n v="6199078"/>
  </r>
  <r>
    <x v="26"/>
    <x v="32"/>
    <s v="Electric Generators, Electric Utilities"/>
    <x v="12"/>
    <n v="279"/>
  </r>
  <r>
    <x v="26"/>
    <x v="32"/>
    <s v="Electric Generators, Electric Utilities"/>
    <x v="4"/>
    <n v="51672"/>
  </r>
  <r>
    <x v="26"/>
    <x v="32"/>
    <s v="Electric Generators, Electric Utilities"/>
    <x v="13"/>
    <n v="250215"/>
  </r>
  <r>
    <x v="26"/>
    <x v="33"/>
    <s v="Total Electric Power Industry"/>
    <x v="0"/>
    <n v="39787005"/>
  </r>
  <r>
    <x v="26"/>
    <x v="33"/>
    <s v="Total Electric Power Industry"/>
    <x v="1"/>
    <n v="2166831"/>
  </r>
  <r>
    <x v="26"/>
    <x v="33"/>
    <s v="Total Electric Power Industry"/>
    <x v="11"/>
    <n v="3353399"/>
  </r>
  <r>
    <x v="26"/>
    <x v="33"/>
    <s v="Total Electric Power Industry"/>
    <x v="2"/>
    <n v="1789219"/>
  </r>
  <r>
    <x v="26"/>
    <x v="33"/>
    <s v="Total Electric Power Industry"/>
    <x v="3"/>
    <n v="28921612"/>
  </r>
  <r>
    <x v="26"/>
    <x v="33"/>
    <s v="Total Electric Power Industry"/>
    <x v="9"/>
    <n v="742"/>
  </r>
  <r>
    <x v="26"/>
    <x v="33"/>
    <s v="Total Electric Power Industry"/>
    <x v="12"/>
    <n v="21028"/>
  </r>
  <r>
    <x v="26"/>
    <x v="33"/>
    <s v="Total Electric Power Industry"/>
    <x v="4"/>
    <n v="10985"/>
  </r>
  <r>
    <x v="26"/>
    <x v="33"/>
    <s v="Total Electric Power Industry"/>
    <x v="13"/>
    <n v="3124060"/>
  </r>
  <r>
    <x v="26"/>
    <x v="33"/>
    <s v="Total Electric Power Industry"/>
    <x v="8"/>
    <n v="55264"/>
  </r>
  <r>
    <x v="26"/>
    <x v="33"/>
    <s v="Total Electric Power Industry"/>
    <x v="5"/>
    <n v="343865"/>
  </r>
  <r>
    <x v="26"/>
    <x v="33"/>
    <s v="Combined Heat and Power, Industrial Power"/>
    <x v="0"/>
    <n v="280397"/>
  </r>
  <r>
    <x v="26"/>
    <x v="33"/>
    <s v="Combined Heat and Power, Industrial Power"/>
    <x v="3"/>
    <n v="277851"/>
  </r>
  <r>
    <x v="26"/>
    <x v="33"/>
    <s v="Combined Heat and Power, Industrial Power"/>
    <x v="13"/>
    <n v="2546"/>
  </r>
  <r>
    <x v="26"/>
    <x v="33"/>
    <s v="Combined Heat and Power, Commercial Power"/>
    <x v="0"/>
    <n v="126141"/>
  </r>
  <r>
    <x v="26"/>
    <x v="33"/>
    <s v="Combined Heat and Power, Commercial Power"/>
    <x v="3"/>
    <n v="65397"/>
  </r>
  <r>
    <x v="26"/>
    <x v="33"/>
    <s v="Combined Heat and Power, Commercial Power"/>
    <x v="13"/>
    <n v="60744"/>
  </r>
  <r>
    <x v="26"/>
    <x v="33"/>
    <s v="Combined Heat and Power, Electric Power"/>
    <x v="0"/>
    <n v="2207798"/>
  </r>
  <r>
    <x v="26"/>
    <x v="33"/>
    <s v="Combined Heat and Power, Electric Power"/>
    <x v="3"/>
    <n v="2207035"/>
  </r>
  <r>
    <x v="26"/>
    <x v="33"/>
    <s v="Combined Heat and Power, Electric Power"/>
    <x v="9"/>
    <n v="742"/>
  </r>
  <r>
    <x v="26"/>
    <x v="33"/>
    <s v="Combined Heat and Power, Electric Power"/>
    <x v="4"/>
    <n v="20"/>
  </r>
  <r>
    <x v="26"/>
    <x v="33"/>
    <s v="Electric Generators, Independent Power Producers"/>
    <x v="0"/>
    <n v="7696288"/>
  </r>
  <r>
    <x v="26"/>
    <x v="33"/>
    <s v="Electric Generators, Independent Power Producers"/>
    <x v="1"/>
    <n v="887760"/>
  </r>
  <r>
    <x v="26"/>
    <x v="33"/>
    <s v="Electric Generators, Independent Power Producers"/>
    <x v="11"/>
    <n v="3353399"/>
  </r>
  <r>
    <x v="26"/>
    <x v="33"/>
    <s v="Electric Generators, Independent Power Producers"/>
    <x v="2"/>
    <n v="41097"/>
  </r>
  <r>
    <x v="26"/>
    <x v="33"/>
    <s v="Electric Generators, Independent Power Producers"/>
    <x v="3"/>
    <n v="2244"/>
  </r>
  <r>
    <x v="26"/>
    <x v="33"/>
    <s v="Electric Generators, Independent Power Producers"/>
    <x v="4"/>
    <n v="2962"/>
  </r>
  <r>
    <x v="26"/>
    <x v="33"/>
    <s v="Electric Generators, Independent Power Producers"/>
    <x v="13"/>
    <n v="3009697"/>
  </r>
  <r>
    <x v="26"/>
    <x v="33"/>
    <s v="Electric Generators, Independent Power Producers"/>
    <x v="8"/>
    <n v="55264"/>
  </r>
  <r>
    <x v="26"/>
    <x v="33"/>
    <s v="Electric Generators, Independent Power Producers"/>
    <x v="5"/>
    <n v="343865"/>
  </r>
  <r>
    <x v="26"/>
    <x v="33"/>
    <s v="Electric Generators, Electric Utilities"/>
    <x v="0"/>
    <n v="29476381"/>
  </r>
  <r>
    <x v="26"/>
    <x v="33"/>
    <s v="Electric Generators, Electric Utilities"/>
    <x v="1"/>
    <n v="1279071"/>
  </r>
  <r>
    <x v="26"/>
    <x v="33"/>
    <s v="Electric Generators, Electric Utilities"/>
    <x v="2"/>
    <n v="1748122"/>
  </r>
  <r>
    <x v="26"/>
    <x v="33"/>
    <s v="Electric Generators, Electric Utilities"/>
    <x v="3"/>
    <n v="26369084"/>
  </r>
  <r>
    <x v="26"/>
    <x v="33"/>
    <s v="Electric Generators, Electric Utilities"/>
    <x v="12"/>
    <n v="21028"/>
  </r>
  <r>
    <x v="26"/>
    <x v="33"/>
    <s v="Electric Generators, Electric Utilities"/>
    <x v="4"/>
    <n v="8003"/>
  </r>
  <r>
    <x v="26"/>
    <x v="33"/>
    <s v="Electric Generators, Electric Utilities"/>
    <x v="13"/>
    <n v="51073"/>
  </r>
  <r>
    <x v="26"/>
    <x v="34"/>
    <s v="Total Electric Power Industry"/>
    <x v="0"/>
    <n v="134417107"/>
  </r>
  <r>
    <x v="26"/>
    <x v="34"/>
    <s v="Total Electric Power Industry"/>
    <x v="1"/>
    <n v="1770238"/>
  </r>
  <r>
    <x v="26"/>
    <x v="34"/>
    <s v="Total Electric Power Industry"/>
    <x v="10"/>
    <n v="-470932"/>
  </r>
  <r>
    <x v="26"/>
    <x v="34"/>
    <s v="Total Electric Power Industry"/>
    <x v="2"/>
    <n v="26888234"/>
  </r>
  <r>
    <x v="26"/>
    <x v="34"/>
    <s v="Total Electric Power Industry"/>
    <x v="3"/>
    <n v="56793336"/>
  </r>
  <r>
    <x v="26"/>
    <x v="34"/>
    <s v="Total Electric Power Industry"/>
    <x v="7"/>
    <n v="41570990"/>
  </r>
  <r>
    <x v="26"/>
    <x v="34"/>
    <s v="Total Electric Power Industry"/>
    <x v="9"/>
    <n v="0"/>
  </r>
  <r>
    <x v="26"/>
    <x v="34"/>
    <s v="Total Electric Power Industry"/>
    <x v="12"/>
    <n v="898989"/>
  </r>
  <r>
    <x v="26"/>
    <x v="34"/>
    <s v="Total Electric Power Industry"/>
    <x v="4"/>
    <n v="642952"/>
  </r>
  <r>
    <x v="26"/>
    <x v="34"/>
    <s v="Total Electric Power Industry"/>
    <x v="13"/>
    <n v="139611"/>
  </r>
  <r>
    <x v="26"/>
    <x v="34"/>
    <s v="Total Electric Power Industry"/>
    <x v="8"/>
    <n v="1604650"/>
  </r>
  <r>
    <x v="26"/>
    <x v="34"/>
    <s v="Total Electric Power Industry"/>
    <x v="5"/>
    <n v="3940180"/>
  </r>
  <r>
    <x v="26"/>
    <x v="34"/>
    <s v="Total Electric Power Industry"/>
    <x v="6"/>
    <n v="638859"/>
  </r>
  <r>
    <x v="26"/>
    <x v="34"/>
    <s v="Combined Heat and Power, Industrial Power"/>
    <x v="0"/>
    <n v="962452"/>
  </r>
  <r>
    <x v="26"/>
    <x v="34"/>
    <s v="Combined Heat and Power, Industrial Power"/>
    <x v="1"/>
    <n v="333021"/>
  </r>
  <r>
    <x v="26"/>
    <x v="34"/>
    <s v="Combined Heat and Power, Industrial Power"/>
    <x v="2"/>
    <n v="56960"/>
  </r>
  <r>
    <x v="26"/>
    <x v="34"/>
    <s v="Combined Heat and Power, Industrial Power"/>
    <x v="3"/>
    <n v="334518"/>
  </r>
  <r>
    <x v="26"/>
    <x v="34"/>
    <s v="Combined Heat and Power, Industrial Power"/>
    <x v="9"/>
    <n v="0"/>
  </r>
  <r>
    <x v="26"/>
    <x v="34"/>
    <s v="Combined Heat and Power, Industrial Power"/>
    <x v="4"/>
    <n v="37599"/>
  </r>
  <r>
    <x v="26"/>
    <x v="34"/>
    <s v="Combined Heat and Power, Industrial Power"/>
    <x v="5"/>
    <n v="1670"/>
  </r>
  <r>
    <x v="26"/>
    <x v="34"/>
    <s v="Combined Heat and Power, Industrial Power"/>
    <x v="6"/>
    <n v="198684"/>
  </r>
  <r>
    <x v="26"/>
    <x v="34"/>
    <s v="Combined Heat and Power, Commercial Power"/>
    <x v="0"/>
    <n v="1221560"/>
  </r>
  <r>
    <x v="26"/>
    <x v="34"/>
    <s v="Combined Heat and Power, Commercial Power"/>
    <x v="1"/>
    <n v="0"/>
  </r>
  <r>
    <x v="26"/>
    <x v="34"/>
    <s v="Combined Heat and Power, Commercial Power"/>
    <x v="2"/>
    <n v="4292"/>
  </r>
  <r>
    <x v="26"/>
    <x v="34"/>
    <s v="Combined Heat and Power, Commercial Power"/>
    <x v="3"/>
    <n v="781785"/>
  </r>
  <r>
    <x v="26"/>
    <x v="34"/>
    <s v="Combined Heat and Power, Commercial Power"/>
    <x v="12"/>
    <n v="204901"/>
  </r>
  <r>
    <x v="26"/>
    <x v="34"/>
    <s v="Combined Heat and Power, Commercial Power"/>
    <x v="4"/>
    <n v="10504"/>
  </r>
  <r>
    <x v="26"/>
    <x v="34"/>
    <s v="Combined Heat and Power, Commercial Power"/>
    <x v="13"/>
    <n v="3092"/>
  </r>
  <r>
    <x v="26"/>
    <x v="34"/>
    <s v="Combined Heat and Power, Commercial Power"/>
    <x v="8"/>
    <n v="216987"/>
  </r>
  <r>
    <x v="26"/>
    <x v="34"/>
    <s v="Combined Heat and Power, Electric Power"/>
    <x v="0"/>
    <n v="14528049"/>
  </r>
  <r>
    <x v="26"/>
    <x v="34"/>
    <s v="Combined Heat and Power, Electric Power"/>
    <x v="3"/>
    <n v="14233080"/>
  </r>
  <r>
    <x v="26"/>
    <x v="34"/>
    <s v="Combined Heat and Power, Electric Power"/>
    <x v="12"/>
    <n v="64288"/>
  </r>
  <r>
    <x v="26"/>
    <x v="34"/>
    <s v="Combined Heat and Power, Electric Power"/>
    <x v="4"/>
    <n v="33621"/>
  </r>
  <r>
    <x v="26"/>
    <x v="34"/>
    <s v="Combined Heat and Power, Electric Power"/>
    <x v="8"/>
    <n v="66912"/>
  </r>
  <r>
    <x v="26"/>
    <x v="34"/>
    <s v="Combined Heat and Power, Electric Power"/>
    <x v="6"/>
    <n v="130148"/>
  </r>
  <r>
    <x v="26"/>
    <x v="34"/>
    <s v="Electric Generators, Independent Power Producers"/>
    <x v="0"/>
    <n v="82611011"/>
  </r>
  <r>
    <x v="26"/>
    <x v="34"/>
    <s v="Electric Generators, Independent Power Producers"/>
    <x v="1"/>
    <n v="1437217"/>
  </r>
  <r>
    <x v="26"/>
    <x v="34"/>
    <s v="Electric Generators, Independent Power Producers"/>
    <x v="2"/>
    <n v="3733477"/>
  </r>
  <r>
    <x v="26"/>
    <x v="34"/>
    <s v="Electric Generators, Independent Power Producers"/>
    <x v="3"/>
    <n v="29298110"/>
  </r>
  <r>
    <x v="26"/>
    <x v="34"/>
    <s v="Electric Generators, Independent Power Producers"/>
    <x v="7"/>
    <n v="41570990"/>
  </r>
  <r>
    <x v="26"/>
    <x v="34"/>
    <s v="Electric Generators, Independent Power Producers"/>
    <x v="12"/>
    <n v="629800"/>
  </r>
  <r>
    <x v="26"/>
    <x v="34"/>
    <s v="Electric Generators, Independent Power Producers"/>
    <x v="4"/>
    <n v="235610"/>
  </r>
  <r>
    <x v="26"/>
    <x v="34"/>
    <s v="Electric Generators, Independent Power Producers"/>
    <x v="13"/>
    <n v="136519"/>
  </r>
  <r>
    <x v="26"/>
    <x v="34"/>
    <s v="Electric Generators, Independent Power Producers"/>
    <x v="8"/>
    <n v="1320751"/>
  </r>
  <r>
    <x v="26"/>
    <x v="34"/>
    <s v="Electric Generators, Independent Power Producers"/>
    <x v="5"/>
    <n v="3938510"/>
  </r>
  <r>
    <x v="26"/>
    <x v="34"/>
    <s v="Electric Generators, Independent Power Producers"/>
    <x v="6"/>
    <n v="310027"/>
  </r>
  <r>
    <x v="26"/>
    <x v="34"/>
    <s v="Electric Generators, Electric Utilities"/>
    <x v="0"/>
    <n v="35094035"/>
  </r>
  <r>
    <x v="26"/>
    <x v="34"/>
    <s v="Electric Generators, Electric Utilities"/>
    <x v="1"/>
    <n v="0"/>
  </r>
  <r>
    <x v="26"/>
    <x v="34"/>
    <s v="Electric Generators, Electric Utilities"/>
    <x v="10"/>
    <n v="-470932"/>
  </r>
  <r>
    <x v="26"/>
    <x v="34"/>
    <s v="Electric Generators, Electric Utilities"/>
    <x v="2"/>
    <n v="23093505"/>
  </r>
  <r>
    <x v="26"/>
    <x v="34"/>
    <s v="Electric Generators, Electric Utilities"/>
    <x v="3"/>
    <n v="12145843"/>
  </r>
  <r>
    <x v="26"/>
    <x v="34"/>
    <s v="Electric Generators, Electric Utilities"/>
    <x v="4"/>
    <n v="325619"/>
  </r>
  <r>
    <x v="26"/>
    <x v="35"/>
    <s v="Total Electric Power Industry"/>
    <x v="0"/>
    <n v="118922078"/>
  </r>
  <r>
    <x v="26"/>
    <x v="35"/>
    <s v="Total Electric Power Industry"/>
    <x v="1"/>
    <n v="68775164"/>
  </r>
  <r>
    <x v="26"/>
    <x v="35"/>
    <s v="Total Electric Power Industry"/>
    <x v="2"/>
    <n v="500320"/>
  </r>
  <r>
    <x v="26"/>
    <x v="35"/>
    <s v="Total Electric Power Industry"/>
    <x v="3"/>
    <n v="28942397"/>
  </r>
  <r>
    <x v="26"/>
    <x v="35"/>
    <s v="Total Electric Power Industry"/>
    <x v="7"/>
    <n v="16817386"/>
  </r>
  <r>
    <x v="26"/>
    <x v="35"/>
    <s v="Total Electric Power Industry"/>
    <x v="9"/>
    <n v="720996"/>
  </r>
  <r>
    <x v="26"/>
    <x v="35"/>
    <s v="Total Electric Power Industry"/>
    <x v="12"/>
    <n v="-48433"/>
  </r>
  <r>
    <x v="26"/>
    <x v="35"/>
    <s v="Total Electric Power Industry"/>
    <x v="4"/>
    <n v="1181253"/>
  </r>
  <r>
    <x v="26"/>
    <x v="35"/>
    <s v="Total Electric Power Industry"/>
    <x v="13"/>
    <n v="65558"/>
  </r>
  <r>
    <x v="26"/>
    <x v="35"/>
    <s v="Total Electric Power Industry"/>
    <x v="8"/>
    <n v="450016"/>
  </r>
  <r>
    <x v="26"/>
    <x v="35"/>
    <s v="Total Electric Power Industry"/>
    <x v="5"/>
    <n v="1245337"/>
  </r>
  <r>
    <x v="26"/>
    <x v="35"/>
    <s v="Total Electric Power Industry"/>
    <x v="6"/>
    <n v="272084"/>
  </r>
  <r>
    <x v="26"/>
    <x v="35"/>
    <s v="Combined Heat and Power, Industrial Power"/>
    <x v="0"/>
    <n v="714515"/>
  </r>
  <r>
    <x v="26"/>
    <x v="35"/>
    <s v="Combined Heat and Power, Industrial Power"/>
    <x v="1"/>
    <n v="112790"/>
  </r>
  <r>
    <x v="26"/>
    <x v="35"/>
    <s v="Combined Heat and Power, Industrial Power"/>
    <x v="3"/>
    <n v="102751"/>
  </r>
  <r>
    <x v="26"/>
    <x v="35"/>
    <s v="Combined Heat and Power, Industrial Power"/>
    <x v="9"/>
    <n v="168224"/>
  </r>
  <r>
    <x v="26"/>
    <x v="35"/>
    <s v="Combined Heat and Power, Industrial Power"/>
    <x v="12"/>
    <n v="11624"/>
  </r>
  <r>
    <x v="26"/>
    <x v="35"/>
    <s v="Combined Heat and Power, Industrial Power"/>
    <x v="4"/>
    <n v="13281"/>
  </r>
  <r>
    <x v="26"/>
    <x v="35"/>
    <s v="Combined Heat and Power, Industrial Power"/>
    <x v="13"/>
    <n v="2601"/>
  </r>
  <r>
    <x v="26"/>
    <x v="35"/>
    <s v="Combined Heat and Power, Industrial Power"/>
    <x v="8"/>
    <n v="10231"/>
  </r>
  <r>
    <x v="26"/>
    <x v="35"/>
    <s v="Combined Heat and Power, Industrial Power"/>
    <x v="5"/>
    <n v="51674"/>
  </r>
  <r>
    <x v="26"/>
    <x v="35"/>
    <s v="Combined Heat and Power, Industrial Power"/>
    <x v="6"/>
    <n v="241339"/>
  </r>
  <r>
    <x v="26"/>
    <x v="35"/>
    <s v="Combined Heat and Power, Commercial Power"/>
    <x v="0"/>
    <n v="226533"/>
  </r>
  <r>
    <x v="26"/>
    <x v="35"/>
    <s v="Combined Heat and Power, Commercial Power"/>
    <x v="1"/>
    <n v="0"/>
  </r>
  <r>
    <x v="26"/>
    <x v="35"/>
    <s v="Combined Heat and Power, Commercial Power"/>
    <x v="3"/>
    <n v="212603"/>
  </r>
  <r>
    <x v="26"/>
    <x v="35"/>
    <s v="Combined Heat and Power, Commercial Power"/>
    <x v="4"/>
    <n v="815"/>
  </r>
  <r>
    <x v="26"/>
    <x v="35"/>
    <s v="Combined Heat and Power, Commercial Power"/>
    <x v="13"/>
    <n v="2284"/>
  </r>
  <r>
    <x v="26"/>
    <x v="35"/>
    <s v="Combined Heat and Power, Commercial Power"/>
    <x v="8"/>
    <n v="8220"/>
  </r>
  <r>
    <x v="26"/>
    <x v="35"/>
    <s v="Combined Heat and Power, Commercial Power"/>
    <x v="5"/>
    <n v="2611"/>
  </r>
  <r>
    <x v="26"/>
    <x v="35"/>
    <s v="Combined Heat and Power, Electric Power"/>
    <x v="0"/>
    <n v="783450"/>
  </r>
  <r>
    <x v="26"/>
    <x v="35"/>
    <s v="Combined Heat and Power, Electric Power"/>
    <x v="1"/>
    <n v="0"/>
  </r>
  <r>
    <x v="26"/>
    <x v="35"/>
    <s v="Combined Heat and Power, Electric Power"/>
    <x v="3"/>
    <n v="199933"/>
  </r>
  <r>
    <x v="26"/>
    <x v="35"/>
    <s v="Combined Heat and Power, Electric Power"/>
    <x v="9"/>
    <n v="552771"/>
  </r>
  <r>
    <x v="26"/>
    <x v="35"/>
    <s v="Combined Heat and Power, Electric Power"/>
    <x v="6"/>
    <n v="30746"/>
  </r>
  <r>
    <x v="26"/>
    <x v="35"/>
    <s v="Electric Generators, Independent Power Producers"/>
    <x v="0"/>
    <n v="90573980"/>
  </r>
  <r>
    <x v="26"/>
    <x v="35"/>
    <s v="Electric Generators, Independent Power Producers"/>
    <x v="1"/>
    <n v="48946379"/>
  </r>
  <r>
    <x v="26"/>
    <x v="35"/>
    <s v="Electric Generators, Independent Power Producers"/>
    <x v="2"/>
    <n v="180180"/>
  </r>
  <r>
    <x v="26"/>
    <x v="35"/>
    <s v="Electric Generators, Independent Power Producers"/>
    <x v="3"/>
    <n v="21878877"/>
  </r>
  <r>
    <x v="26"/>
    <x v="35"/>
    <s v="Electric Generators, Independent Power Producers"/>
    <x v="7"/>
    <n v="16817386"/>
  </r>
  <r>
    <x v="26"/>
    <x v="35"/>
    <s v="Electric Generators, Independent Power Producers"/>
    <x v="12"/>
    <n v="-6065"/>
  </r>
  <r>
    <x v="26"/>
    <x v="35"/>
    <s v="Electric Generators, Independent Power Producers"/>
    <x v="4"/>
    <n v="1097093"/>
  </r>
  <r>
    <x v="26"/>
    <x v="35"/>
    <s v="Electric Generators, Independent Power Producers"/>
    <x v="13"/>
    <n v="52024"/>
  </r>
  <r>
    <x v="26"/>
    <x v="35"/>
    <s v="Electric Generators, Independent Power Producers"/>
    <x v="8"/>
    <n v="427946"/>
  </r>
  <r>
    <x v="26"/>
    <x v="35"/>
    <s v="Electric Generators, Independent Power Producers"/>
    <x v="5"/>
    <n v="1180160"/>
  </r>
  <r>
    <x v="26"/>
    <x v="35"/>
    <s v="Electric Generators, Electric Utilities"/>
    <x v="0"/>
    <n v="26623600"/>
  </r>
  <r>
    <x v="26"/>
    <x v="35"/>
    <s v="Electric Generators, Electric Utilities"/>
    <x v="1"/>
    <n v="19715994"/>
  </r>
  <r>
    <x v="26"/>
    <x v="35"/>
    <s v="Electric Generators, Electric Utilities"/>
    <x v="2"/>
    <n v="320140"/>
  </r>
  <r>
    <x v="26"/>
    <x v="35"/>
    <s v="Electric Generators, Electric Utilities"/>
    <x v="3"/>
    <n v="6548233"/>
  </r>
  <r>
    <x v="26"/>
    <x v="35"/>
    <s v="Electric Generators, Electric Utilities"/>
    <x v="12"/>
    <n v="-53992"/>
  </r>
  <r>
    <x v="26"/>
    <x v="35"/>
    <s v="Electric Generators, Electric Utilities"/>
    <x v="4"/>
    <n v="70065"/>
  </r>
  <r>
    <x v="26"/>
    <x v="35"/>
    <s v="Electric Generators, Electric Utilities"/>
    <x v="13"/>
    <n v="8649"/>
  </r>
  <r>
    <x v="26"/>
    <x v="35"/>
    <s v="Electric Generators, Electric Utilities"/>
    <x v="8"/>
    <n v="3619"/>
  </r>
  <r>
    <x v="26"/>
    <x v="35"/>
    <s v="Electric Generators, Electric Utilities"/>
    <x v="5"/>
    <n v="10892"/>
  </r>
  <r>
    <x v="26"/>
    <x v="36"/>
    <s v="Total Electric Power Industry"/>
    <x v="0"/>
    <n v="78655007"/>
  </r>
  <r>
    <x v="26"/>
    <x v="36"/>
    <s v="Total Electric Power Industry"/>
    <x v="1"/>
    <n v="19158044"/>
  </r>
  <r>
    <x v="26"/>
    <x v="36"/>
    <s v="Total Electric Power Industry"/>
    <x v="10"/>
    <n v="-87429"/>
  </r>
  <r>
    <x v="26"/>
    <x v="36"/>
    <s v="Total Electric Power Industry"/>
    <x v="2"/>
    <n v="2573424"/>
  </r>
  <r>
    <x v="26"/>
    <x v="36"/>
    <s v="Total Electric Power Industry"/>
    <x v="3"/>
    <n v="36529086"/>
  </r>
  <r>
    <x v="26"/>
    <x v="36"/>
    <s v="Total Electric Power Industry"/>
    <x v="12"/>
    <n v="27690"/>
  </r>
  <r>
    <x v="26"/>
    <x v="36"/>
    <s v="Total Electric Power Industry"/>
    <x v="4"/>
    <n v="17261"/>
  </r>
  <r>
    <x v="26"/>
    <x v="36"/>
    <s v="Total Electric Power Industry"/>
    <x v="13"/>
    <n v="5436"/>
  </r>
  <r>
    <x v="26"/>
    <x v="36"/>
    <s v="Total Electric Power Industry"/>
    <x v="8"/>
    <n v="119090"/>
  </r>
  <r>
    <x v="26"/>
    <x v="36"/>
    <s v="Total Electric Power Industry"/>
    <x v="5"/>
    <n v="20069089"/>
  </r>
  <r>
    <x v="26"/>
    <x v="36"/>
    <s v="Total Electric Power Industry"/>
    <x v="6"/>
    <n v="243316"/>
  </r>
  <r>
    <x v="26"/>
    <x v="36"/>
    <s v="Combined Heat and Power, Industrial Power"/>
    <x v="0"/>
    <n v="890655"/>
  </r>
  <r>
    <x v="26"/>
    <x v="36"/>
    <s v="Combined Heat and Power, Industrial Power"/>
    <x v="1"/>
    <n v="367271"/>
  </r>
  <r>
    <x v="26"/>
    <x v="36"/>
    <s v="Combined Heat and Power, Industrial Power"/>
    <x v="3"/>
    <n v="169476"/>
  </r>
  <r>
    <x v="26"/>
    <x v="36"/>
    <s v="Combined Heat and Power, Industrial Power"/>
    <x v="12"/>
    <n v="5415"/>
  </r>
  <r>
    <x v="26"/>
    <x v="36"/>
    <s v="Combined Heat and Power, Industrial Power"/>
    <x v="4"/>
    <n v="661"/>
  </r>
  <r>
    <x v="26"/>
    <x v="36"/>
    <s v="Combined Heat and Power, Industrial Power"/>
    <x v="8"/>
    <n v="104517"/>
  </r>
  <r>
    <x v="26"/>
    <x v="36"/>
    <s v="Combined Heat and Power, Industrial Power"/>
    <x v="6"/>
    <n v="243316"/>
  </r>
  <r>
    <x v="26"/>
    <x v="36"/>
    <s v="Combined Heat and Power, Commercial Power"/>
    <x v="0"/>
    <n v="3"/>
  </r>
  <r>
    <x v="26"/>
    <x v="36"/>
    <s v="Combined Heat and Power, Commercial Power"/>
    <x v="3"/>
    <n v="3"/>
  </r>
  <r>
    <x v="26"/>
    <x v="36"/>
    <s v="Combined Heat and Power, Commercial Power"/>
    <x v="4"/>
    <n v="0"/>
  </r>
  <r>
    <x v="26"/>
    <x v="36"/>
    <s v="Combined Heat and Power, Electric Power"/>
    <x v="0"/>
    <n v="2082858"/>
  </r>
  <r>
    <x v="26"/>
    <x v="36"/>
    <s v="Combined Heat and Power, Electric Power"/>
    <x v="1"/>
    <n v="1888155"/>
  </r>
  <r>
    <x v="26"/>
    <x v="36"/>
    <s v="Combined Heat and Power, Electric Power"/>
    <x v="3"/>
    <n v="172428"/>
  </r>
  <r>
    <x v="26"/>
    <x v="36"/>
    <s v="Combined Heat and Power, Electric Power"/>
    <x v="12"/>
    <n v="22275"/>
  </r>
  <r>
    <x v="26"/>
    <x v="36"/>
    <s v="Electric Generators, Independent Power Producers"/>
    <x v="0"/>
    <n v="30426275"/>
  </r>
  <r>
    <x v="26"/>
    <x v="36"/>
    <s v="Electric Generators, Independent Power Producers"/>
    <x v="3"/>
    <n v="11772929"/>
  </r>
  <r>
    <x v="26"/>
    <x v="36"/>
    <s v="Electric Generators, Independent Power Producers"/>
    <x v="8"/>
    <n v="14573"/>
  </r>
  <r>
    <x v="26"/>
    <x v="36"/>
    <s v="Electric Generators, Independent Power Producers"/>
    <x v="5"/>
    <n v="18638773"/>
  </r>
  <r>
    <x v="26"/>
    <x v="36"/>
    <s v="Electric Generators, Electric Utilities"/>
    <x v="0"/>
    <n v="45255216"/>
  </r>
  <r>
    <x v="26"/>
    <x v="36"/>
    <s v="Electric Generators, Electric Utilities"/>
    <x v="1"/>
    <n v="16902619"/>
  </r>
  <r>
    <x v="26"/>
    <x v="36"/>
    <s v="Electric Generators, Electric Utilities"/>
    <x v="10"/>
    <n v="-87429"/>
  </r>
  <r>
    <x v="26"/>
    <x v="36"/>
    <s v="Electric Generators, Electric Utilities"/>
    <x v="2"/>
    <n v="2573424"/>
  </r>
  <r>
    <x v="26"/>
    <x v="36"/>
    <s v="Electric Generators, Electric Utilities"/>
    <x v="3"/>
    <n v="24414250"/>
  </r>
  <r>
    <x v="26"/>
    <x v="36"/>
    <s v="Electric Generators, Electric Utilities"/>
    <x v="4"/>
    <n v="16601"/>
  </r>
  <r>
    <x v="26"/>
    <x v="36"/>
    <s v="Electric Generators, Electric Utilities"/>
    <x v="13"/>
    <n v="5436"/>
  </r>
  <r>
    <x v="26"/>
    <x v="36"/>
    <s v="Electric Generators, Electric Utilities"/>
    <x v="5"/>
    <n v="1430316"/>
  </r>
  <r>
    <x v="26"/>
    <x v="37"/>
    <s v="Total Electric Power Industry"/>
    <x v="0"/>
    <n v="60182013"/>
  </r>
  <r>
    <x v="26"/>
    <x v="37"/>
    <s v="Total Electric Power Industry"/>
    <x v="1"/>
    <n v="1898202"/>
  </r>
  <r>
    <x v="26"/>
    <x v="37"/>
    <s v="Total Electric Power Industry"/>
    <x v="11"/>
    <n v="183700"/>
  </r>
  <r>
    <x v="26"/>
    <x v="37"/>
    <s v="Total Electric Power Industry"/>
    <x v="2"/>
    <n v="34549366"/>
  </r>
  <r>
    <x v="26"/>
    <x v="37"/>
    <s v="Total Electric Power Industry"/>
    <x v="3"/>
    <n v="15306661"/>
  </r>
  <r>
    <x v="26"/>
    <x v="37"/>
    <s v="Total Electric Power Industry"/>
    <x v="12"/>
    <n v="40617"/>
  </r>
  <r>
    <x v="26"/>
    <x v="37"/>
    <s v="Total Electric Power Industry"/>
    <x v="4"/>
    <n v="4850"/>
  </r>
  <r>
    <x v="26"/>
    <x v="37"/>
    <s v="Total Electric Power Industry"/>
    <x v="13"/>
    <n v="40936"/>
  </r>
  <r>
    <x v="26"/>
    <x v="37"/>
    <s v="Total Electric Power Industry"/>
    <x v="8"/>
    <n v="359105"/>
  </r>
  <r>
    <x v="26"/>
    <x v="37"/>
    <s v="Total Electric Power Industry"/>
    <x v="5"/>
    <n v="7157128"/>
  </r>
  <r>
    <x v="26"/>
    <x v="37"/>
    <s v="Total Electric Power Industry"/>
    <x v="6"/>
    <n v="641447"/>
  </r>
  <r>
    <x v="26"/>
    <x v="37"/>
    <s v="Combined Heat and Power, Industrial Power"/>
    <x v="0"/>
    <n v="578855"/>
  </r>
  <r>
    <x v="26"/>
    <x v="37"/>
    <s v="Combined Heat and Power, Industrial Power"/>
    <x v="3"/>
    <n v="69071"/>
  </r>
  <r>
    <x v="26"/>
    <x v="37"/>
    <s v="Combined Heat and Power, Industrial Power"/>
    <x v="4"/>
    <n v="0"/>
  </r>
  <r>
    <x v="26"/>
    <x v="37"/>
    <s v="Combined Heat and Power, Industrial Power"/>
    <x v="8"/>
    <n v="23692"/>
  </r>
  <r>
    <x v="26"/>
    <x v="37"/>
    <s v="Combined Heat and Power, Industrial Power"/>
    <x v="6"/>
    <n v="486092"/>
  </r>
  <r>
    <x v="26"/>
    <x v="37"/>
    <s v="Combined Heat and Power, Commercial Power"/>
    <x v="0"/>
    <n v="70436"/>
  </r>
  <r>
    <x v="26"/>
    <x v="37"/>
    <s v="Combined Heat and Power, Commercial Power"/>
    <x v="3"/>
    <n v="38151"/>
  </r>
  <r>
    <x v="26"/>
    <x v="37"/>
    <s v="Combined Heat and Power, Commercial Power"/>
    <x v="4"/>
    <n v="0"/>
  </r>
  <r>
    <x v="26"/>
    <x v="37"/>
    <s v="Combined Heat and Power, Commercial Power"/>
    <x v="8"/>
    <n v="32285"/>
  </r>
  <r>
    <x v="26"/>
    <x v="37"/>
    <s v="Combined Heat and Power, Electric Power"/>
    <x v="0"/>
    <n v="4406200"/>
  </r>
  <r>
    <x v="26"/>
    <x v="37"/>
    <s v="Combined Heat and Power, Electric Power"/>
    <x v="3"/>
    <n v="4383880"/>
  </r>
  <r>
    <x v="26"/>
    <x v="37"/>
    <s v="Combined Heat and Power, Electric Power"/>
    <x v="8"/>
    <n v="22320"/>
  </r>
  <r>
    <x v="26"/>
    <x v="37"/>
    <s v="Combined Heat and Power, Electric Power"/>
    <x v="6"/>
    <n v="0"/>
  </r>
  <r>
    <x v="26"/>
    <x v="37"/>
    <s v="Electric Generators, Independent Power Producers"/>
    <x v="0"/>
    <n v="10030352"/>
  </r>
  <r>
    <x v="26"/>
    <x v="37"/>
    <s v="Electric Generators, Independent Power Producers"/>
    <x v="11"/>
    <n v="179571"/>
  </r>
  <r>
    <x v="26"/>
    <x v="37"/>
    <s v="Electric Generators, Independent Power Producers"/>
    <x v="2"/>
    <n v="276682"/>
  </r>
  <r>
    <x v="26"/>
    <x v="37"/>
    <s v="Electric Generators, Independent Power Producers"/>
    <x v="3"/>
    <n v="3228338"/>
  </r>
  <r>
    <x v="26"/>
    <x v="37"/>
    <s v="Electric Generators, Independent Power Producers"/>
    <x v="12"/>
    <n v="41089"/>
  </r>
  <r>
    <x v="26"/>
    <x v="37"/>
    <s v="Electric Generators, Independent Power Producers"/>
    <x v="13"/>
    <n v="35011"/>
  </r>
  <r>
    <x v="26"/>
    <x v="37"/>
    <s v="Electric Generators, Independent Power Producers"/>
    <x v="8"/>
    <n v="217924"/>
  </r>
  <r>
    <x v="26"/>
    <x v="37"/>
    <s v="Electric Generators, Independent Power Producers"/>
    <x v="5"/>
    <n v="5896382"/>
  </r>
  <r>
    <x v="26"/>
    <x v="37"/>
    <s v="Electric Generators, Independent Power Producers"/>
    <x v="6"/>
    <n v="155355"/>
  </r>
  <r>
    <x v="26"/>
    <x v="37"/>
    <s v="Electric Generators, Electric Utilities"/>
    <x v="0"/>
    <n v="45096169"/>
  </r>
  <r>
    <x v="26"/>
    <x v="37"/>
    <s v="Electric Generators, Electric Utilities"/>
    <x v="1"/>
    <n v="1898202"/>
  </r>
  <r>
    <x v="26"/>
    <x v="37"/>
    <s v="Electric Generators, Electric Utilities"/>
    <x v="11"/>
    <n v="4129"/>
  </r>
  <r>
    <x v="26"/>
    <x v="37"/>
    <s v="Electric Generators, Electric Utilities"/>
    <x v="2"/>
    <n v="34272684"/>
  </r>
  <r>
    <x v="26"/>
    <x v="37"/>
    <s v="Electric Generators, Electric Utilities"/>
    <x v="3"/>
    <n v="7587221"/>
  </r>
  <r>
    <x v="26"/>
    <x v="37"/>
    <s v="Electric Generators, Electric Utilities"/>
    <x v="12"/>
    <n v="-472"/>
  </r>
  <r>
    <x v="26"/>
    <x v="37"/>
    <s v="Electric Generators, Electric Utilities"/>
    <x v="4"/>
    <n v="4850"/>
  </r>
  <r>
    <x v="26"/>
    <x v="37"/>
    <s v="Electric Generators, Electric Utilities"/>
    <x v="13"/>
    <n v="5925"/>
  </r>
  <r>
    <x v="26"/>
    <x v="37"/>
    <s v="Electric Generators, Electric Utilities"/>
    <x v="8"/>
    <n v="62884"/>
  </r>
  <r>
    <x v="26"/>
    <x v="37"/>
    <s v="Electric Generators, Electric Utilities"/>
    <x v="5"/>
    <n v="1260746"/>
  </r>
  <r>
    <x v="26"/>
    <x v="38"/>
    <s v="Total Electric Power Industry"/>
    <x v="0"/>
    <n v="215066509"/>
  </r>
  <r>
    <x v="26"/>
    <x v="38"/>
    <s v="Total Electric Power Industry"/>
    <x v="1"/>
    <n v="54672030"/>
  </r>
  <r>
    <x v="26"/>
    <x v="38"/>
    <s v="Total Electric Power Industry"/>
    <x v="10"/>
    <n v="-561836"/>
  </r>
  <r>
    <x v="26"/>
    <x v="38"/>
    <s v="Total Electric Power Industry"/>
    <x v="2"/>
    <n v="2374519"/>
  </r>
  <r>
    <x v="26"/>
    <x v="38"/>
    <s v="Total Electric Power Industry"/>
    <x v="3"/>
    <n v="68048646"/>
  </r>
  <r>
    <x v="26"/>
    <x v="38"/>
    <s v="Total Electric Power Industry"/>
    <x v="7"/>
    <n v="82924011"/>
  </r>
  <r>
    <x v="26"/>
    <x v="38"/>
    <s v="Total Electric Power Industry"/>
    <x v="9"/>
    <n v="487625"/>
  </r>
  <r>
    <x v="26"/>
    <x v="38"/>
    <s v="Total Electric Power Industry"/>
    <x v="12"/>
    <n v="815807"/>
  </r>
  <r>
    <x v="26"/>
    <x v="38"/>
    <s v="Total Electric Power Industry"/>
    <x v="4"/>
    <n v="363224"/>
  </r>
  <r>
    <x v="26"/>
    <x v="38"/>
    <s v="Total Electric Power Industry"/>
    <x v="13"/>
    <n v="74805"/>
  </r>
  <r>
    <x v="26"/>
    <x v="38"/>
    <s v="Total Electric Power Industry"/>
    <x v="8"/>
    <n v="1883317"/>
  </r>
  <r>
    <x v="26"/>
    <x v="38"/>
    <s v="Total Electric Power Industry"/>
    <x v="5"/>
    <n v="3476246"/>
  </r>
  <r>
    <x v="26"/>
    <x v="38"/>
    <s v="Total Electric Power Industry"/>
    <x v="6"/>
    <n v="508115"/>
  </r>
  <r>
    <x v="26"/>
    <x v="38"/>
    <s v="Combined Heat and Power, Industrial Power"/>
    <x v="0"/>
    <n v="2860899"/>
  </r>
  <r>
    <x v="26"/>
    <x v="38"/>
    <s v="Combined Heat and Power, Industrial Power"/>
    <x v="1"/>
    <n v="378277"/>
  </r>
  <r>
    <x v="26"/>
    <x v="38"/>
    <s v="Combined Heat and Power, Industrial Power"/>
    <x v="3"/>
    <n v="1318696"/>
  </r>
  <r>
    <x v="26"/>
    <x v="38"/>
    <s v="Combined Heat and Power, Industrial Power"/>
    <x v="9"/>
    <n v="486669"/>
  </r>
  <r>
    <x v="26"/>
    <x v="38"/>
    <s v="Combined Heat and Power, Industrial Power"/>
    <x v="4"/>
    <n v="96542"/>
  </r>
  <r>
    <x v="26"/>
    <x v="38"/>
    <s v="Combined Heat and Power, Industrial Power"/>
    <x v="13"/>
    <n v="8343"/>
  </r>
  <r>
    <x v="26"/>
    <x v="38"/>
    <s v="Combined Heat and Power, Industrial Power"/>
    <x v="8"/>
    <n v="65726"/>
  </r>
  <r>
    <x v="26"/>
    <x v="38"/>
    <s v="Combined Heat and Power, Industrial Power"/>
    <x v="6"/>
    <n v="506646"/>
  </r>
  <r>
    <x v="26"/>
    <x v="38"/>
    <s v="Combined Heat and Power, Commercial Power"/>
    <x v="0"/>
    <n v="262881"/>
  </r>
  <r>
    <x v="26"/>
    <x v="38"/>
    <s v="Combined Heat and Power, Commercial Power"/>
    <x v="1"/>
    <n v="0"/>
  </r>
  <r>
    <x v="26"/>
    <x v="38"/>
    <s v="Combined Heat and Power, Commercial Power"/>
    <x v="3"/>
    <n v="119385"/>
  </r>
  <r>
    <x v="26"/>
    <x v="38"/>
    <s v="Combined Heat and Power, Commercial Power"/>
    <x v="12"/>
    <n v="40590"/>
  </r>
  <r>
    <x v="26"/>
    <x v="38"/>
    <s v="Combined Heat and Power, Commercial Power"/>
    <x v="4"/>
    <n v="1589"/>
  </r>
  <r>
    <x v="26"/>
    <x v="38"/>
    <s v="Combined Heat and Power, Commercial Power"/>
    <x v="13"/>
    <n v="5661"/>
  </r>
  <r>
    <x v="26"/>
    <x v="38"/>
    <s v="Combined Heat and Power, Commercial Power"/>
    <x v="8"/>
    <n v="95656"/>
  </r>
  <r>
    <x v="26"/>
    <x v="38"/>
    <s v="Combined Heat and Power, Electric Power"/>
    <x v="0"/>
    <n v="9362626"/>
  </r>
  <r>
    <x v="26"/>
    <x v="38"/>
    <s v="Combined Heat and Power, Electric Power"/>
    <x v="1"/>
    <n v="3118460"/>
  </r>
  <r>
    <x v="26"/>
    <x v="38"/>
    <s v="Combined Heat and Power, Electric Power"/>
    <x v="3"/>
    <n v="6024351"/>
  </r>
  <r>
    <x v="26"/>
    <x v="38"/>
    <s v="Combined Heat and Power, Electric Power"/>
    <x v="9"/>
    <n v="956"/>
  </r>
  <r>
    <x v="26"/>
    <x v="38"/>
    <s v="Combined Heat and Power, Electric Power"/>
    <x v="12"/>
    <n v="107391"/>
  </r>
  <r>
    <x v="26"/>
    <x v="38"/>
    <s v="Combined Heat and Power, Electric Power"/>
    <x v="4"/>
    <n v="36529"/>
  </r>
  <r>
    <x v="26"/>
    <x v="38"/>
    <s v="Combined Heat and Power, Electric Power"/>
    <x v="8"/>
    <n v="73470"/>
  </r>
  <r>
    <x v="26"/>
    <x v="38"/>
    <s v="Combined Heat and Power, Electric Power"/>
    <x v="6"/>
    <n v="1468"/>
  </r>
  <r>
    <x v="26"/>
    <x v="38"/>
    <s v="Electric Generators, Independent Power Producers"/>
    <x v="0"/>
    <n v="202500105"/>
  </r>
  <r>
    <x v="26"/>
    <x v="38"/>
    <s v="Electric Generators, Independent Power Producers"/>
    <x v="1"/>
    <n v="51175293"/>
  </r>
  <r>
    <x v="26"/>
    <x v="38"/>
    <s v="Electric Generators, Independent Power Producers"/>
    <x v="10"/>
    <n v="-561836"/>
  </r>
  <r>
    <x v="26"/>
    <x v="38"/>
    <s v="Electric Generators, Independent Power Producers"/>
    <x v="2"/>
    <n v="2307411"/>
  </r>
  <r>
    <x v="26"/>
    <x v="38"/>
    <s v="Electric Generators, Independent Power Producers"/>
    <x v="3"/>
    <n v="60574443"/>
  </r>
  <r>
    <x v="26"/>
    <x v="38"/>
    <s v="Electric Generators, Independent Power Producers"/>
    <x v="7"/>
    <n v="82924011"/>
  </r>
  <r>
    <x v="26"/>
    <x v="38"/>
    <s v="Electric Generators, Independent Power Producers"/>
    <x v="9"/>
    <n v="0"/>
  </r>
  <r>
    <x v="26"/>
    <x v="38"/>
    <s v="Electric Generators, Independent Power Producers"/>
    <x v="12"/>
    <n v="667825"/>
  </r>
  <r>
    <x v="26"/>
    <x v="38"/>
    <s v="Electric Generators, Independent Power Producers"/>
    <x v="4"/>
    <n v="227445"/>
  </r>
  <r>
    <x v="26"/>
    <x v="38"/>
    <s v="Electric Generators, Independent Power Producers"/>
    <x v="13"/>
    <n v="60801"/>
  </r>
  <r>
    <x v="26"/>
    <x v="38"/>
    <s v="Electric Generators, Independent Power Producers"/>
    <x v="8"/>
    <n v="1648466"/>
  </r>
  <r>
    <x v="26"/>
    <x v="38"/>
    <s v="Electric Generators, Independent Power Producers"/>
    <x v="5"/>
    <n v="3476246"/>
  </r>
  <r>
    <x v="26"/>
    <x v="38"/>
    <s v="Electric Generators, Electric Utilities"/>
    <x v="0"/>
    <n v="79998"/>
  </r>
  <r>
    <x v="26"/>
    <x v="38"/>
    <s v="Electric Generators, Electric Utilities"/>
    <x v="1"/>
    <n v="0"/>
  </r>
  <r>
    <x v="26"/>
    <x v="38"/>
    <s v="Electric Generators, Electric Utilities"/>
    <x v="2"/>
    <n v="67108"/>
  </r>
  <r>
    <x v="26"/>
    <x v="38"/>
    <s v="Electric Generators, Electric Utilities"/>
    <x v="3"/>
    <n v="11771"/>
  </r>
  <r>
    <x v="26"/>
    <x v="38"/>
    <s v="Electric Generators, Electric Utilities"/>
    <x v="4"/>
    <n v="1119"/>
  </r>
  <r>
    <x v="26"/>
    <x v="39"/>
    <s v="Total Electric Power Industry"/>
    <x v="0"/>
    <n v="6564885"/>
  </r>
  <r>
    <x v="26"/>
    <x v="39"/>
    <s v="Total Electric Power Industry"/>
    <x v="1"/>
    <n v="0"/>
  </r>
  <r>
    <x v="26"/>
    <x v="39"/>
    <s v="Total Electric Power Industry"/>
    <x v="2"/>
    <n v="2128"/>
  </r>
  <r>
    <x v="26"/>
    <x v="39"/>
    <s v="Total Electric Power Industry"/>
    <x v="3"/>
    <n v="6290503"/>
  </r>
  <r>
    <x v="26"/>
    <x v="39"/>
    <s v="Total Electric Power Industry"/>
    <x v="4"/>
    <n v="26283"/>
  </r>
  <r>
    <x v="26"/>
    <x v="39"/>
    <s v="Total Electric Power Industry"/>
    <x v="13"/>
    <n v="14663"/>
  </r>
  <r>
    <x v="26"/>
    <x v="39"/>
    <s v="Total Electric Power Industry"/>
    <x v="8"/>
    <n v="204776"/>
  </r>
  <r>
    <x v="26"/>
    <x v="39"/>
    <s v="Total Electric Power Industry"/>
    <x v="5"/>
    <n v="26532"/>
  </r>
  <r>
    <x v="26"/>
    <x v="39"/>
    <s v="Combined Heat and Power, Commercial Power"/>
    <x v="0"/>
    <n v="57918"/>
  </r>
  <r>
    <x v="26"/>
    <x v="39"/>
    <s v="Combined Heat and Power, Commercial Power"/>
    <x v="3"/>
    <n v="49027"/>
  </r>
  <r>
    <x v="26"/>
    <x v="39"/>
    <s v="Combined Heat and Power, Commercial Power"/>
    <x v="4"/>
    <n v="2120"/>
  </r>
  <r>
    <x v="26"/>
    <x v="39"/>
    <s v="Combined Heat and Power, Commercial Power"/>
    <x v="5"/>
    <n v="6771"/>
  </r>
  <r>
    <x v="26"/>
    <x v="39"/>
    <s v="Electric Generators, Independent Power Producers"/>
    <x v="0"/>
    <n v="6494407"/>
  </r>
  <r>
    <x v="26"/>
    <x v="39"/>
    <s v="Electric Generators, Independent Power Producers"/>
    <x v="1"/>
    <n v="0"/>
  </r>
  <r>
    <x v="26"/>
    <x v="39"/>
    <s v="Electric Generators, Independent Power Producers"/>
    <x v="2"/>
    <n v="2128"/>
  </r>
  <r>
    <x v="26"/>
    <x v="39"/>
    <s v="Electric Generators, Independent Power Producers"/>
    <x v="3"/>
    <n v="6241476"/>
  </r>
  <r>
    <x v="26"/>
    <x v="39"/>
    <s v="Electric Generators, Independent Power Producers"/>
    <x v="4"/>
    <n v="11603"/>
  </r>
  <r>
    <x v="26"/>
    <x v="39"/>
    <s v="Electric Generators, Independent Power Producers"/>
    <x v="13"/>
    <n v="14663"/>
  </r>
  <r>
    <x v="26"/>
    <x v="39"/>
    <s v="Electric Generators, Independent Power Producers"/>
    <x v="8"/>
    <n v="204776"/>
  </r>
  <r>
    <x v="26"/>
    <x v="39"/>
    <s v="Electric Generators, Independent Power Producers"/>
    <x v="5"/>
    <n v="19761"/>
  </r>
  <r>
    <x v="26"/>
    <x v="39"/>
    <s v="Electric Generators, Electric Utilities"/>
    <x v="0"/>
    <n v="12560"/>
  </r>
  <r>
    <x v="26"/>
    <x v="39"/>
    <s v="Electric Generators, Electric Utilities"/>
    <x v="4"/>
    <n v="12560"/>
  </r>
  <r>
    <x v="26"/>
    <x v="40"/>
    <s v="Total Electric Power Industry"/>
    <x v="0"/>
    <n v="96985764"/>
  </r>
  <r>
    <x v="26"/>
    <x v="40"/>
    <s v="Total Electric Power Industry"/>
    <x v="1"/>
    <n v="21002914"/>
  </r>
  <r>
    <x v="26"/>
    <x v="40"/>
    <s v="Total Electric Power Industry"/>
    <x v="10"/>
    <n v="-976600"/>
  </r>
  <r>
    <x v="26"/>
    <x v="40"/>
    <s v="Total Electric Power Industry"/>
    <x v="2"/>
    <n v="2226074"/>
  </r>
  <r>
    <x v="26"/>
    <x v="40"/>
    <s v="Total Electric Power Industry"/>
    <x v="3"/>
    <n v="16366854"/>
  </r>
  <r>
    <x v="26"/>
    <x v="40"/>
    <s v="Total Electric Power Industry"/>
    <x v="7"/>
    <n v="55825916"/>
  </r>
  <r>
    <x v="26"/>
    <x v="40"/>
    <s v="Total Electric Power Industry"/>
    <x v="12"/>
    <n v="45420"/>
  </r>
  <r>
    <x v="26"/>
    <x v="40"/>
    <s v="Total Electric Power Industry"/>
    <x v="4"/>
    <n v="113862"/>
  </r>
  <r>
    <x v="26"/>
    <x v="40"/>
    <s v="Total Electric Power Industry"/>
    <x v="13"/>
    <n v="4971"/>
  </r>
  <r>
    <x v="26"/>
    <x v="40"/>
    <s v="Total Electric Power Industry"/>
    <x v="8"/>
    <n v="179761"/>
  </r>
  <r>
    <x v="26"/>
    <x v="40"/>
    <s v="Total Electric Power Industry"/>
    <x v="6"/>
    <n v="2196593"/>
  </r>
  <r>
    <x v="26"/>
    <x v="40"/>
    <s v="Combined Heat and Power, Industrial Power"/>
    <x v="0"/>
    <n v="1770053"/>
  </r>
  <r>
    <x v="26"/>
    <x v="40"/>
    <s v="Combined Heat and Power, Industrial Power"/>
    <x v="1"/>
    <n v="102718"/>
  </r>
  <r>
    <x v="26"/>
    <x v="40"/>
    <s v="Combined Heat and Power, Industrial Power"/>
    <x v="3"/>
    <n v="62442"/>
  </r>
  <r>
    <x v="26"/>
    <x v="40"/>
    <s v="Combined Heat and Power, Industrial Power"/>
    <x v="12"/>
    <n v="40836"/>
  </r>
  <r>
    <x v="26"/>
    <x v="40"/>
    <s v="Combined Heat and Power, Industrial Power"/>
    <x v="4"/>
    <n v="16823"/>
  </r>
  <r>
    <x v="26"/>
    <x v="40"/>
    <s v="Combined Heat and Power, Industrial Power"/>
    <x v="8"/>
    <n v="50093"/>
  </r>
  <r>
    <x v="26"/>
    <x v="40"/>
    <s v="Combined Heat and Power, Industrial Power"/>
    <x v="6"/>
    <n v="1497141"/>
  </r>
  <r>
    <x v="26"/>
    <x v="40"/>
    <s v="Combined Heat and Power, Commercial Power"/>
    <x v="0"/>
    <n v="2490"/>
  </r>
  <r>
    <x v="26"/>
    <x v="40"/>
    <s v="Combined Heat and Power, Commercial Power"/>
    <x v="2"/>
    <n v="1798"/>
  </r>
  <r>
    <x v="26"/>
    <x v="40"/>
    <s v="Combined Heat and Power, Commercial Power"/>
    <x v="3"/>
    <n v="539"/>
  </r>
  <r>
    <x v="26"/>
    <x v="40"/>
    <s v="Combined Heat and Power, Commercial Power"/>
    <x v="4"/>
    <n v="153"/>
  </r>
  <r>
    <x v="26"/>
    <x v="40"/>
    <s v="Combined Heat and Power, Electric Power"/>
    <x v="0"/>
    <n v="1972599"/>
  </r>
  <r>
    <x v="26"/>
    <x v="40"/>
    <s v="Combined Heat and Power, Electric Power"/>
    <x v="3"/>
    <n v="1893361"/>
  </r>
  <r>
    <x v="26"/>
    <x v="40"/>
    <s v="Combined Heat and Power, Electric Power"/>
    <x v="12"/>
    <n v="4584"/>
  </r>
  <r>
    <x v="26"/>
    <x v="40"/>
    <s v="Combined Heat and Power, Electric Power"/>
    <x v="4"/>
    <n v="1301"/>
  </r>
  <r>
    <x v="26"/>
    <x v="40"/>
    <s v="Combined Heat and Power, Electric Power"/>
    <x v="6"/>
    <n v="73353"/>
  </r>
  <r>
    <x v="26"/>
    <x v="40"/>
    <s v="Electric Generators, Independent Power Producers"/>
    <x v="0"/>
    <n v="1649642"/>
  </r>
  <r>
    <x v="26"/>
    <x v="40"/>
    <s v="Electric Generators, Independent Power Producers"/>
    <x v="2"/>
    <n v="51963"/>
  </r>
  <r>
    <x v="26"/>
    <x v="40"/>
    <s v="Electric Generators, Independent Power Producers"/>
    <x v="3"/>
    <n v="1256278"/>
  </r>
  <r>
    <x v="26"/>
    <x v="40"/>
    <s v="Electric Generators, Independent Power Producers"/>
    <x v="4"/>
    <n v="704"/>
  </r>
  <r>
    <x v="26"/>
    <x v="40"/>
    <s v="Electric Generators, Independent Power Producers"/>
    <x v="13"/>
    <n v="4971"/>
  </r>
  <r>
    <x v="26"/>
    <x v="40"/>
    <s v="Electric Generators, Independent Power Producers"/>
    <x v="8"/>
    <n v="14366"/>
  </r>
  <r>
    <x v="26"/>
    <x v="40"/>
    <s v="Electric Generators, Independent Power Producers"/>
    <x v="6"/>
    <n v="321360"/>
  </r>
  <r>
    <x v="26"/>
    <x v="40"/>
    <s v="Electric Generators, Electric Utilities"/>
    <x v="0"/>
    <n v="91590980"/>
  </r>
  <r>
    <x v="26"/>
    <x v="40"/>
    <s v="Electric Generators, Electric Utilities"/>
    <x v="1"/>
    <n v="20900195"/>
  </r>
  <r>
    <x v="26"/>
    <x v="40"/>
    <s v="Electric Generators, Electric Utilities"/>
    <x v="10"/>
    <n v="-976600"/>
  </r>
  <r>
    <x v="26"/>
    <x v="40"/>
    <s v="Electric Generators, Electric Utilities"/>
    <x v="2"/>
    <n v="2172313"/>
  </r>
  <r>
    <x v="26"/>
    <x v="40"/>
    <s v="Electric Generators, Electric Utilities"/>
    <x v="3"/>
    <n v="13154234"/>
  </r>
  <r>
    <x v="26"/>
    <x v="40"/>
    <s v="Electric Generators, Electric Utilities"/>
    <x v="7"/>
    <n v="55825916"/>
  </r>
  <r>
    <x v="26"/>
    <x v="40"/>
    <s v="Electric Generators, Electric Utilities"/>
    <x v="4"/>
    <n v="94881"/>
  </r>
  <r>
    <x v="26"/>
    <x v="40"/>
    <s v="Electric Generators, Electric Utilities"/>
    <x v="8"/>
    <n v="115302"/>
  </r>
  <r>
    <x v="26"/>
    <x v="40"/>
    <s v="Electric Generators, Electric Utilities"/>
    <x v="6"/>
    <n v="304738"/>
  </r>
  <r>
    <x v="26"/>
    <x v="41"/>
    <s v="Total Electric Power Industry"/>
    <x v="0"/>
    <n v="11524184"/>
  </r>
  <r>
    <x v="26"/>
    <x v="41"/>
    <s v="Total Electric Power Industry"/>
    <x v="1"/>
    <n v="2082680"/>
  </r>
  <r>
    <x v="26"/>
    <x v="41"/>
    <s v="Total Electric Power Industry"/>
    <x v="2"/>
    <n v="4805526"/>
  </r>
  <r>
    <x v="26"/>
    <x v="41"/>
    <s v="Total Electric Power Industry"/>
    <x v="3"/>
    <n v="918561"/>
  </r>
  <r>
    <x v="26"/>
    <x v="41"/>
    <s v="Total Electric Power Industry"/>
    <x v="12"/>
    <n v="0"/>
  </r>
  <r>
    <x v="26"/>
    <x v="41"/>
    <s v="Total Electric Power Industry"/>
    <x v="4"/>
    <n v="2793"/>
  </r>
  <r>
    <x v="26"/>
    <x v="41"/>
    <s v="Total Electric Power Industry"/>
    <x v="13"/>
    <n v="364"/>
  </r>
  <r>
    <x v="26"/>
    <x v="41"/>
    <s v="Total Electric Power Industry"/>
    <x v="8"/>
    <n v="0"/>
  </r>
  <r>
    <x v="26"/>
    <x v="41"/>
    <s v="Total Electric Power Industry"/>
    <x v="5"/>
    <n v="3714259"/>
  </r>
  <r>
    <x v="26"/>
    <x v="41"/>
    <s v="Combined Heat and Power, Commercial Power"/>
    <x v="0"/>
    <n v="14"/>
  </r>
  <r>
    <x v="26"/>
    <x v="41"/>
    <s v="Combined Heat and Power, Commercial Power"/>
    <x v="4"/>
    <n v="14"/>
  </r>
  <r>
    <x v="26"/>
    <x v="41"/>
    <s v="Electric Generators, Independent Power Producers"/>
    <x v="0"/>
    <n v="2723871"/>
  </r>
  <r>
    <x v="26"/>
    <x v="41"/>
    <s v="Electric Generators, Independent Power Producers"/>
    <x v="4"/>
    <n v="51"/>
  </r>
  <r>
    <x v="26"/>
    <x v="41"/>
    <s v="Electric Generators, Independent Power Producers"/>
    <x v="13"/>
    <n v="364"/>
  </r>
  <r>
    <x v="26"/>
    <x v="41"/>
    <s v="Electric Generators, Independent Power Producers"/>
    <x v="5"/>
    <n v="2723456"/>
  </r>
  <r>
    <x v="26"/>
    <x v="41"/>
    <s v="Electric Generators, Electric Utilities"/>
    <x v="0"/>
    <n v="8800299"/>
  </r>
  <r>
    <x v="26"/>
    <x v="41"/>
    <s v="Electric Generators, Electric Utilities"/>
    <x v="1"/>
    <n v="2082680"/>
  </r>
  <r>
    <x v="26"/>
    <x v="41"/>
    <s v="Electric Generators, Electric Utilities"/>
    <x v="2"/>
    <n v="4805526"/>
  </r>
  <r>
    <x v="26"/>
    <x v="41"/>
    <s v="Electric Generators, Electric Utilities"/>
    <x v="3"/>
    <n v="918561"/>
  </r>
  <r>
    <x v="26"/>
    <x v="41"/>
    <s v="Electric Generators, Electric Utilities"/>
    <x v="12"/>
    <n v="0"/>
  </r>
  <r>
    <x v="26"/>
    <x v="41"/>
    <s v="Electric Generators, Electric Utilities"/>
    <x v="4"/>
    <n v="2728"/>
  </r>
  <r>
    <x v="26"/>
    <x v="41"/>
    <s v="Electric Generators, Electric Utilities"/>
    <x v="8"/>
    <n v="0"/>
  </r>
  <r>
    <x v="26"/>
    <x v="41"/>
    <s v="Electric Generators, Electric Utilities"/>
    <x v="5"/>
    <n v="990803"/>
  </r>
  <r>
    <x v="26"/>
    <x v="42"/>
    <s v="Total Electric Power Industry"/>
    <x v="0"/>
    <n v="79340633"/>
  </r>
  <r>
    <x v="26"/>
    <x v="42"/>
    <s v="Total Electric Power Industry"/>
    <x v="1"/>
    <n v="31167634"/>
  </r>
  <r>
    <x v="26"/>
    <x v="42"/>
    <s v="Total Electric Power Industry"/>
    <x v="10"/>
    <n v="-703946"/>
  </r>
  <r>
    <x v="26"/>
    <x v="42"/>
    <s v="Total Electric Power Industry"/>
    <x v="2"/>
    <n v="6774061"/>
  </r>
  <r>
    <x v="26"/>
    <x v="42"/>
    <s v="Total Electric Power Industry"/>
    <x v="3"/>
    <n v="11318515"/>
  </r>
  <r>
    <x v="26"/>
    <x v="42"/>
    <s v="Total Electric Power Industry"/>
    <x v="7"/>
    <n v="29578086"/>
  </r>
  <r>
    <x v="26"/>
    <x v="42"/>
    <s v="Total Electric Power Industry"/>
    <x v="9"/>
    <n v="15388"/>
  </r>
  <r>
    <x v="26"/>
    <x v="42"/>
    <s v="Total Electric Power Industry"/>
    <x v="12"/>
    <n v="19583"/>
  </r>
  <r>
    <x v="26"/>
    <x v="42"/>
    <s v="Total Electric Power Industry"/>
    <x v="4"/>
    <n v="121581"/>
  </r>
  <r>
    <x v="26"/>
    <x v="42"/>
    <s v="Total Electric Power Industry"/>
    <x v="13"/>
    <n v="78617"/>
  </r>
  <r>
    <x v="26"/>
    <x v="42"/>
    <s v="Total Electric Power Industry"/>
    <x v="8"/>
    <n v="90737"/>
  </r>
  <r>
    <x v="26"/>
    <x v="42"/>
    <s v="Total Electric Power Industry"/>
    <x v="5"/>
    <n v="37747"/>
  </r>
  <r>
    <x v="26"/>
    <x v="42"/>
    <s v="Total Electric Power Industry"/>
    <x v="6"/>
    <n v="842630"/>
  </r>
  <r>
    <x v="26"/>
    <x v="42"/>
    <s v="Combined Heat and Power, Industrial Power"/>
    <x v="0"/>
    <n v="2117613"/>
  </r>
  <r>
    <x v="26"/>
    <x v="42"/>
    <s v="Combined Heat and Power, Industrial Power"/>
    <x v="1"/>
    <n v="874850"/>
  </r>
  <r>
    <x v="26"/>
    <x v="42"/>
    <s v="Combined Heat and Power, Industrial Power"/>
    <x v="3"/>
    <n v="356438"/>
  </r>
  <r>
    <x v="26"/>
    <x v="42"/>
    <s v="Combined Heat and Power, Industrial Power"/>
    <x v="9"/>
    <n v="15388"/>
  </r>
  <r>
    <x v="26"/>
    <x v="42"/>
    <s v="Combined Heat and Power, Industrial Power"/>
    <x v="12"/>
    <n v="19583"/>
  </r>
  <r>
    <x v="26"/>
    <x v="42"/>
    <s v="Combined Heat and Power, Industrial Power"/>
    <x v="4"/>
    <n v="2279"/>
  </r>
  <r>
    <x v="26"/>
    <x v="42"/>
    <s v="Combined Heat and Power, Industrial Power"/>
    <x v="8"/>
    <n v="6445"/>
  </r>
  <r>
    <x v="26"/>
    <x v="42"/>
    <s v="Combined Heat and Power, Industrial Power"/>
    <x v="6"/>
    <n v="842630"/>
  </r>
  <r>
    <x v="26"/>
    <x v="42"/>
    <s v="Combined Heat and Power, Commercial Power"/>
    <x v="0"/>
    <n v="186581"/>
  </r>
  <r>
    <x v="26"/>
    <x v="42"/>
    <s v="Combined Heat and Power, Commercial Power"/>
    <x v="1"/>
    <n v="0"/>
  </r>
  <r>
    <x v="26"/>
    <x v="42"/>
    <s v="Combined Heat and Power, Commercial Power"/>
    <x v="3"/>
    <n v="183431"/>
  </r>
  <r>
    <x v="26"/>
    <x v="42"/>
    <s v="Combined Heat and Power, Commercial Power"/>
    <x v="4"/>
    <n v="17"/>
  </r>
  <r>
    <x v="26"/>
    <x v="42"/>
    <s v="Combined Heat and Power, Commercial Power"/>
    <x v="13"/>
    <n v="3133"/>
  </r>
  <r>
    <x v="26"/>
    <x v="42"/>
    <s v="Electric Generators, Independent Power Producers"/>
    <x v="0"/>
    <n v="199746"/>
  </r>
  <r>
    <x v="26"/>
    <x v="42"/>
    <s v="Electric Generators, Independent Power Producers"/>
    <x v="3"/>
    <n v="2067"/>
  </r>
  <r>
    <x v="26"/>
    <x v="42"/>
    <s v="Electric Generators, Independent Power Producers"/>
    <x v="4"/>
    <n v="156"/>
  </r>
  <r>
    <x v="26"/>
    <x v="42"/>
    <s v="Electric Generators, Independent Power Producers"/>
    <x v="13"/>
    <n v="75484"/>
  </r>
  <r>
    <x v="26"/>
    <x v="42"/>
    <s v="Electric Generators, Independent Power Producers"/>
    <x v="8"/>
    <n v="84292"/>
  </r>
  <r>
    <x v="26"/>
    <x v="42"/>
    <s v="Electric Generators, Independent Power Producers"/>
    <x v="5"/>
    <n v="37747"/>
  </r>
  <r>
    <x v="26"/>
    <x v="42"/>
    <s v="Electric Generators, Electric Utilities"/>
    <x v="0"/>
    <n v="76836693"/>
  </r>
  <r>
    <x v="26"/>
    <x v="42"/>
    <s v="Electric Generators, Electric Utilities"/>
    <x v="1"/>
    <n v="30292784"/>
  </r>
  <r>
    <x v="26"/>
    <x v="42"/>
    <s v="Electric Generators, Electric Utilities"/>
    <x v="10"/>
    <n v="-703946"/>
  </r>
  <r>
    <x v="26"/>
    <x v="42"/>
    <s v="Electric Generators, Electric Utilities"/>
    <x v="2"/>
    <n v="6774061"/>
  </r>
  <r>
    <x v="26"/>
    <x v="42"/>
    <s v="Electric Generators, Electric Utilities"/>
    <x v="3"/>
    <n v="10776579"/>
  </r>
  <r>
    <x v="26"/>
    <x v="42"/>
    <s v="Electric Generators, Electric Utilities"/>
    <x v="7"/>
    <n v="29578086"/>
  </r>
  <r>
    <x v="26"/>
    <x v="42"/>
    <s v="Electric Generators, Electric Utilities"/>
    <x v="4"/>
    <n v="119129"/>
  </r>
  <r>
    <x v="26"/>
    <x v="42"/>
    <s v="Electric Generators, Electric Utilities"/>
    <x v="8"/>
    <n v="0"/>
  </r>
  <r>
    <x v="26"/>
    <x v="42"/>
    <s v="Electric Generators, Electric Utilities"/>
    <x v="5"/>
    <n v="0"/>
  </r>
  <r>
    <x v="26"/>
    <x v="43"/>
    <s v="Total Electric Power Industry"/>
    <x v="0"/>
    <n v="454047591"/>
  </r>
  <r>
    <x v="26"/>
    <x v="43"/>
    <s v="Total Electric Power Industry"/>
    <x v="1"/>
    <n v="121230932"/>
  </r>
  <r>
    <x v="26"/>
    <x v="43"/>
    <s v="Total Electric Power Industry"/>
    <x v="2"/>
    <n v="1342005"/>
  </r>
  <r>
    <x v="26"/>
    <x v="43"/>
    <s v="Total Electric Power Industry"/>
    <x v="3"/>
    <n v="225976260"/>
  </r>
  <r>
    <x v="26"/>
    <x v="43"/>
    <s v="Total Electric Power Industry"/>
    <x v="7"/>
    <n v="42079445"/>
  </r>
  <r>
    <x v="26"/>
    <x v="43"/>
    <s v="Total Electric Power Industry"/>
    <x v="9"/>
    <n v="2513744"/>
  </r>
  <r>
    <x v="26"/>
    <x v="43"/>
    <s v="Total Electric Power Industry"/>
    <x v="12"/>
    <n v="764493"/>
  </r>
  <r>
    <x v="26"/>
    <x v="43"/>
    <s v="Total Electric Power Industry"/>
    <x v="4"/>
    <n v="196422"/>
  </r>
  <r>
    <x v="26"/>
    <x v="43"/>
    <s v="Total Electric Power Industry"/>
    <x v="13"/>
    <n v="730810"/>
  </r>
  <r>
    <x v="26"/>
    <x v="43"/>
    <s v="Total Electric Power Industry"/>
    <x v="8"/>
    <n v="735042"/>
  </r>
  <r>
    <x v="26"/>
    <x v="43"/>
    <s v="Total Electric Power Industry"/>
    <x v="5"/>
    <n v="57530784"/>
  </r>
  <r>
    <x v="26"/>
    <x v="43"/>
    <s v="Total Electric Power Industry"/>
    <x v="6"/>
    <n v="947653"/>
  </r>
  <r>
    <x v="26"/>
    <x v="43"/>
    <s v="Combined Heat and Power, Industrial Power"/>
    <x v="0"/>
    <n v="43194567"/>
  </r>
  <r>
    <x v="26"/>
    <x v="43"/>
    <s v="Combined Heat and Power, Industrial Power"/>
    <x v="3"/>
    <n v="40270817"/>
  </r>
  <r>
    <x v="26"/>
    <x v="43"/>
    <s v="Combined Heat and Power, Industrial Power"/>
    <x v="9"/>
    <n v="1195777"/>
  </r>
  <r>
    <x v="26"/>
    <x v="43"/>
    <s v="Combined Heat and Power, Industrial Power"/>
    <x v="12"/>
    <n v="667379"/>
  </r>
  <r>
    <x v="26"/>
    <x v="43"/>
    <s v="Combined Heat and Power, Industrial Power"/>
    <x v="4"/>
    <n v="116647"/>
  </r>
  <r>
    <x v="26"/>
    <x v="43"/>
    <s v="Combined Heat and Power, Industrial Power"/>
    <x v="8"/>
    <n v="113697"/>
  </r>
  <r>
    <x v="26"/>
    <x v="43"/>
    <s v="Combined Heat and Power, Industrial Power"/>
    <x v="6"/>
    <n v="830250"/>
  </r>
  <r>
    <x v="26"/>
    <x v="43"/>
    <s v="Combined Heat and Power, Commercial Power"/>
    <x v="0"/>
    <n v="777368"/>
  </r>
  <r>
    <x v="26"/>
    <x v="43"/>
    <s v="Combined Heat and Power, Commercial Power"/>
    <x v="2"/>
    <n v="0"/>
  </r>
  <r>
    <x v="26"/>
    <x v="43"/>
    <s v="Combined Heat and Power, Commercial Power"/>
    <x v="3"/>
    <n v="691235"/>
  </r>
  <r>
    <x v="26"/>
    <x v="43"/>
    <s v="Combined Heat and Power, Commercial Power"/>
    <x v="4"/>
    <n v="1117"/>
  </r>
  <r>
    <x v="26"/>
    <x v="43"/>
    <s v="Combined Heat and Power, Commercial Power"/>
    <x v="13"/>
    <n v="1996"/>
  </r>
  <r>
    <x v="26"/>
    <x v="43"/>
    <s v="Combined Heat and Power, Commercial Power"/>
    <x v="8"/>
    <n v="34930"/>
  </r>
  <r>
    <x v="26"/>
    <x v="43"/>
    <s v="Combined Heat and Power, Commercial Power"/>
    <x v="5"/>
    <n v="48090"/>
  </r>
  <r>
    <x v="26"/>
    <x v="43"/>
    <s v="Combined Heat and Power, Electric Power"/>
    <x v="0"/>
    <n v="45199465"/>
  </r>
  <r>
    <x v="26"/>
    <x v="43"/>
    <s v="Combined Heat and Power, Electric Power"/>
    <x v="3"/>
    <n v="43783766"/>
  </r>
  <r>
    <x v="26"/>
    <x v="43"/>
    <s v="Combined Heat and Power, Electric Power"/>
    <x v="9"/>
    <n v="1317966"/>
  </r>
  <r>
    <x v="26"/>
    <x v="43"/>
    <s v="Combined Heat and Power, Electric Power"/>
    <x v="12"/>
    <n v="97733"/>
  </r>
  <r>
    <x v="26"/>
    <x v="43"/>
    <s v="Electric Generators, Independent Power Producers"/>
    <x v="0"/>
    <n v="276828070"/>
  </r>
  <r>
    <x v="26"/>
    <x v="43"/>
    <s v="Electric Generators, Independent Power Producers"/>
    <x v="1"/>
    <n v="76529408"/>
  </r>
  <r>
    <x v="26"/>
    <x v="43"/>
    <s v="Electric Generators, Independent Power Producers"/>
    <x v="2"/>
    <n v="31866"/>
  </r>
  <r>
    <x v="26"/>
    <x v="43"/>
    <s v="Electric Generators, Independent Power Producers"/>
    <x v="3"/>
    <n v="99510704"/>
  </r>
  <r>
    <x v="26"/>
    <x v="43"/>
    <s v="Electric Generators, Independent Power Producers"/>
    <x v="7"/>
    <n v="42079445"/>
  </r>
  <r>
    <x v="26"/>
    <x v="43"/>
    <s v="Electric Generators, Independent Power Producers"/>
    <x v="12"/>
    <n v="-619"/>
  </r>
  <r>
    <x v="26"/>
    <x v="43"/>
    <s v="Electric Generators, Independent Power Producers"/>
    <x v="4"/>
    <n v="36216"/>
  </r>
  <r>
    <x v="26"/>
    <x v="43"/>
    <s v="Electric Generators, Independent Power Producers"/>
    <x v="13"/>
    <n v="728814"/>
  </r>
  <r>
    <x v="26"/>
    <x v="43"/>
    <s v="Electric Generators, Independent Power Producers"/>
    <x v="8"/>
    <n v="586416"/>
  </r>
  <r>
    <x v="26"/>
    <x v="43"/>
    <s v="Electric Generators, Independent Power Producers"/>
    <x v="5"/>
    <n v="57227169"/>
  </r>
  <r>
    <x v="26"/>
    <x v="43"/>
    <s v="Electric Generators, Independent Power Producers"/>
    <x v="6"/>
    <n v="98651"/>
  </r>
  <r>
    <x v="26"/>
    <x v="43"/>
    <s v="Electric Generators, Electric Utilities"/>
    <x v="0"/>
    <n v="88048121"/>
  </r>
  <r>
    <x v="26"/>
    <x v="43"/>
    <s v="Electric Generators, Electric Utilities"/>
    <x v="1"/>
    <n v="44701524"/>
  </r>
  <r>
    <x v="26"/>
    <x v="43"/>
    <s v="Electric Generators, Electric Utilities"/>
    <x v="2"/>
    <n v="1310139"/>
  </r>
  <r>
    <x v="26"/>
    <x v="43"/>
    <s v="Electric Generators, Electric Utilities"/>
    <x v="3"/>
    <n v="41719739"/>
  </r>
  <r>
    <x v="26"/>
    <x v="43"/>
    <s v="Electric Generators, Electric Utilities"/>
    <x v="4"/>
    <n v="42442"/>
  </r>
  <r>
    <x v="26"/>
    <x v="43"/>
    <s v="Electric Generators, Electric Utilities"/>
    <x v="5"/>
    <n v="255525"/>
  </r>
  <r>
    <x v="26"/>
    <x v="43"/>
    <s v="Electric Generators, Electric Utilities"/>
    <x v="6"/>
    <n v="18752"/>
  </r>
  <r>
    <x v="26"/>
    <x v="44"/>
    <s v="Total Electric Power Industry"/>
    <x v="0"/>
    <n v="4076674984"/>
  </r>
  <r>
    <x v="26"/>
    <x v="44"/>
    <s v="Total Electric Power Industry"/>
    <x v="1"/>
    <n v="1239148654"/>
  </r>
  <r>
    <x v="26"/>
    <x v="44"/>
    <s v="Total Electric Power Industry"/>
    <x v="11"/>
    <n v="15825807"/>
  </r>
  <r>
    <x v="26"/>
    <x v="44"/>
    <s v="Total Electric Power Industry"/>
    <x v="10"/>
    <n v="-6686127"/>
  </r>
  <r>
    <x v="26"/>
    <x v="44"/>
    <s v="Total Electric Power Industry"/>
    <x v="2"/>
    <n v="267812153"/>
  </r>
  <r>
    <x v="26"/>
    <x v="44"/>
    <s v="Total Electric Power Industry"/>
    <x v="3"/>
    <n v="1378306934"/>
  </r>
  <r>
    <x v="26"/>
    <x v="44"/>
    <s v="Total Electric Power Industry"/>
    <x v="7"/>
    <n v="805693948"/>
  </r>
  <r>
    <x v="26"/>
    <x v="44"/>
    <s v="Total Electric Power Industry"/>
    <x v="9"/>
    <n v="12807432"/>
  </r>
  <r>
    <x v="26"/>
    <x v="44"/>
    <s v="Total Electric Power Industry"/>
    <x v="12"/>
    <n v="13754235"/>
  </r>
  <r>
    <x v="26"/>
    <x v="44"/>
    <s v="Total Electric Power Industry"/>
    <x v="4"/>
    <n v="24204806"/>
  </r>
  <r>
    <x v="26"/>
    <x v="44"/>
    <s v="Total Electric Power Industry"/>
    <x v="13"/>
    <n v="36054121"/>
  </r>
  <r>
    <x v="26"/>
    <x v="44"/>
    <s v="Total Electric Power Industry"/>
    <x v="8"/>
    <n v="21813231"/>
  </r>
  <r>
    <x v="26"/>
    <x v="44"/>
    <s v="Total Electric Power Industry"/>
    <x v="5"/>
    <n v="226992562"/>
  </r>
  <r>
    <x v="26"/>
    <x v="44"/>
    <s v="Total Electric Power Industry"/>
    <x v="6"/>
    <n v="40947227"/>
  </r>
  <r>
    <x v="26"/>
    <x v="44"/>
    <s v="Combined Heat and Power, Industrial Power"/>
    <x v="0"/>
    <n v="145890233"/>
  </r>
  <r>
    <x v="26"/>
    <x v="44"/>
    <s v="Combined Heat and Power, Industrial Power"/>
    <x v="1"/>
    <n v="9102521"/>
  </r>
  <r>
    <x v="26"/>
    <x v="44"/>
    <s v="Combined Heat and Power, Industrial Power"/>
    <x v="2"/>
    <n v="1269202"/>
  </r>
  <r>
    <x v="26"/>
    <x v="44"/>
    <s v="Combined Heat and Power, Industrial Power"/>
    <x v="3"/>
    <n v="91197331"/>
  </r>
  <r>
    <x v="26"/>
    <x v="44"/>
    <s v="Combined Heat and Power, Industrial Power"/>
    <x v="9"/>
    <n v="8895000"/>
  </r>
  <r>
    <x v="26"/>
    <x v="44"/>
    <s v="Combined Heat and Power, Industrial Power"/>
    <x v="12"/>
    <n v="5323545"/>
  </r>
  <r>
    <x v="26"/>
    <x v="44"/>
    <s v="Combined Heat and Power, Industrial Power"/>
    <x v="4"/>
    <n v="1412226"/>
  </r>
  <r>
    <x v="26"/>
    <x v="44"/>
    <s v="Combined Heat and Power, Industrial Power"/>
    <x v="13"/>
    <n v="27409"/>
  </r>
  <r>
    <x v="26"/>
    <x v="44"/>
    <s v="Combined Heat and Power, Industrial Power"/>
    <x v="8"/>
    <n v="1134162"/>
  </r>
  <r>
    <x v="26"/>
    <x v="44"/>
    <s v="Combined Heat and Power, Industrial Power"/>
    <x v="5"/>
    <n v="70772"/>
  </r>
  <r>
    <x v="26"/>
    <x v="44"/>
    <s v="Combined Heat and Power, Industrial Power"/>
    <x v="6"/>
    <n v="27458065"/>
  </r>
  <r>
    <x v="26"/>
    <x v="44"/>
    <s v="Combined Heat and Power, Commercial Power"/>
    <x v="0"/>
    <n v="12706351"/>
  </r>
  <r>
    <x v="26"/>
    <x v="44"/>
    <s v="Combined Heat and Power, Commercial Power"/>
    <x v="1"/>
    <n v="383433"/>
  </r>
  <r>
    <x v="26"/>
    <x v="44"/>
    <s v="Combined Heat and Power, Commercial Power"/>
    <x v="10"/>
    <n v="0"/>
  </r>
  <r>
    <x v="26"/>
    <x v="44"/>
    <s v="Combined Heat and Power, Commercial Power"/>
    <x v="2"/>
    <n v="217029"/>
  </r>
  <r>
    <x v="26"/>
    <x v="44"/>
    <s v="Combined Heat and Power, Commercial Power"/>
    <x v="3"/>
    <n v="7729772"/>
  </r>
  <r>
    <x v="26"/>
    <x v="44"/>
    <s v="Combined Heat and Power, Commercial Power"/>
    <x v="12"/>
    <n v="1067970"/>
  </r>
  <r>
    <x v="26"/>
    <x v="44"/>
    <s v="Combined Heat and Power, Commercial Power"/>
    <x v="4"/>
    <n v="82110"/>
  </r>
  <r>
    <x v="26"/>
    <x v="44"/>
    <s v="Combined Heat and Power, Commercial Power"/>
    <x v="13"/>
    <n v="529332"/>
  </r>
  <r>
    <x v="26"/>
    <x v="44"/>
    <s v="Combined Heat and Power, Commercial Power"/>
    <x v="8"/>
    <n v="2495940"/>
  </r>
  <r>
    <x v="26"/>
    <x v="44"/>
    <s v="Combined Heat and Power, Commercial Power"/>
    <x v="5"/>
    <n v="131497"/>
  </r>
  <r>
    <x v="26"/>
    <x v="44"/>
    <s v="Combined Heat and Power, Commercial Power"/>
    <x v="6"/>
    <n v="69268"/>
  </r>
  <r>
    <x v="26"/>
    <x v="44"/>
    <s v="Combined Heat and Power, Electric Power"/>
    <x v="0"/>
    <n v="153532135"/>
  </r>
  <r>
    <x v="26"/>
    <x v="44"/>
    <s v="Combined Heat and Power, Electric Power"/>
    <x v="1"/>
    <n v="14292641"/>
  </r>
  <r>
    <x v="26"/>
    <x v="44"/>
    <s v="Combined Heat and Power, Electric Power"/>
    <x v="3"/>
    <n v="129245331"/>
  </r>
  <r>
    <x v="26"/>
    <x v="44"/>
    <s v="Combined Heat and Power, Electric Power"/>
    <x v="9"/>
    <n v="3758352"/>
  </r>
  <r>
    <x v="26"/>
    <x v="44"/>
    <s v="Combined Heat and Power, Electric Power"/>
    <x v="12"/>
    <n v="964541"/>
  </r>
  <r>
    <x v="26"/>
    <x v="44"/>
    <s v="Combined Heat and Power, Electric Power"/>
    <x v="4"/>
    <n v="1904812"/>
  </r>
  <r>
    <x v="26"/>
    <x v="44"/>
    <s v="Combined Heat and Power, Electric Power"/>
    <x v="13"/>
    <n v="2320"/>
  </r>
  <r>
    <x v="26"/>
    <x v="44"/>
    <s v="Combined Heat and Power, Electric Power"/>
    <x v="8"/>
    <n v="1221585"/>
  </r>
  <r>
    <x v="26"/>
    <x v="44"/>
    <s v="Combined Heat and Power, Electric Power"/>
    <x v="6"/>
    <n v="2142553"/>
  </r>
  <r>
    <x v="26"/>
    <x v="44"/>
    <s v="Electric Generators, Independent Power Producers"/>
    <x v="0"/>
    <n v="1459623510"/>
  </r>
  <r>
    <x v="26"/>
    <x v="44"/>
    <s v="Electric Generators, Independent Power Producers"/>
    <x v="1"/>
    <n v="292970582"/>
  </r>
  <r>
    <x v="26"/>
    <x v="44"/>
    <s v="Electric Generators, Independent Power Producers"/>
    <x v="11"/>
    <n v="14745742"/>
  </r>
  <r>
    <x v="26"/>
    <x v="44"/>
    <s v="Electric Generators, Independent Power Producers"/>
    <x v="10"/>
    <n v="-1056699"/>
  </r>
  <r>
    <x v="26"/>
    <x v="44"/>
    <s v="Electric Generators, Independent Power Producers"/>
    <x v="2"/>
    <n v="18538670"/>
  </r>
  <r>
    <x v="26"/>
    <x v="44"/>
    <s v="Electric Generators, Independent Power Producers"/>
    <x v="3"/>
    <n v="495354442"/>
  </r>
  <r>
    <x v="26"/>
    <x v="44"/>
    <s v="Electric Generators, Independent Power Producers"/>
    <x v="7"/>
    <n v="381294447"/>
  </r>
  <r>
    <x v="26"/>
    <x v="44"/>
    <s v="Electric Generators, Independent Power Producers"/>
    <x v="9"/>
    <n v="0"/>
  </r>
  <r>
    <x v="26"/>
    <x v="44"/>
    <s v="Electric Generators, Independent Power Producers"/>
    <x v="12"/>
    <n v="5976913"/>
  </r>
  <r>
    <x v="26"/>
    <x v="44"/>
    <s v="Electric Generators, Independent Power Producers"/>
    <x v="4"/>
    <n v="2855903"/>
  </r>
  <r>
    <x v="26"/>
    <x v="44"/>
    <s v="Electric Generators, Independent Power Producers"/>
    <x v="13"/>
    <n v="33499893"/>
  </r>
  <r>
    <x v="26"/>
    <x v="44"/>
    <s v="Electric Generators, Independent Power Producers"/>
    <x v="8"/>
    <n v="15483991"/>
  </r>
  <r>
    <x v="26"/>
    <x v="44"/>
    <s v="Electric Generators, Independent Power Producers"/>
    <x v="5"/>
    <n v="191720328"/>
  </r>
  <r>
    <x v="26"/>
    <x v="44"/>
    <s v="Electric Generators, Independent Power Producers"/>
    <x v="6"/>
    <n v="8239298"/>
  </r>
  <r>
    <x v="26"/>
    <x v="44"/>
    <s v="Electric Generators, Electric Utilities"/>
    <x v="0"/>
    <n v="2304922755"/>
  </r>
  <r>
    <x v="26"/>
    <x v="44"/>
    <s v="Electric Generators, Electric Utilities"/>
    <x v="1"/>
    <n v="922399476"/>
  </r>
  <r>
    <x v="26"/>
    <x v="44"/>
    <s v="Electric Generators, Electric Utilities"/>
    <x v="11"/>
    <n v="1080065"/>
  </r>
  <r>
    <x v="26"/>
    <x v="44"/>
    <s v="Electric Generators, Electric Utilities"/>
    <x v="10"/>
    <n v="-5629428"/>
  </r>
  <r>
    <x v="26"/>
    <x v="44"/>
    <s v="Electric Generators, Electric Utilities"/>
    <x v="2"/>
    <n v="247787252"/>
  </r>
  <r>
    <x v="26"/>
    <x v="44"/>
    <s v="Electric Generators, Electric Utilities"/>
    <x v="3"/>
    <n v="654780059"/>
  </r>
  <r>
    <x v="26"/>
    <x v="44"/>
    <s v="Electric Generators, Electric Utilities"/>
    <x v="7"/>
    <n v="424399501"/>
  </r>
  <r>
    <x v="26"/>
    <x v="44"/>
    <s v="Electric Generators, Electric Utilities"/>
    <x v="9"/>
    <n v="154080"/>
  </r>
  <r>
    <x v="26"/>
    <x v="44"/>
    <s v="Electric Generators, Electric Utilities"/>
    <x v="12"/>
    <n v="421267"/>
  </r>
  <r>
    <x v="26"/>
    <x v="44"/>
    <s v="Electric Generators, Electric Utilities"/>
    <x v="4"/>
    <n v="17949755"/>
  </r>
  <r>
    <x v="26"/>
    <x v="44"/>
    <s v="Electric Generators, Electric Utilities"/>
    <x v="13"/>
    <n v="1995167"/>
  </r>
  <r>
    <x v="26"/>
    <x v="44"/>
    <s v="Electric Generators, Electric Utilities"/>
    <x v="8"/>
    <n v="1477553"/>
  </r>
  <r>
    <x v="26"/>
    <x v="44"/>
    <s v="Electric Generators, Electric Utilities"/>
    <x v="5"/>
    <n v="35069965"/>
  </r>
  <r>
    <x v="26"/>
    <x v="44"/>
    <s v="Electric Generators, Electric Utilities"/>
    <x v="6"/>
    <n v="3038044"/>
  </r>
  <r>
    <x v="26"/>
    <x v="45"/>
    <s v="Total Electric Power Industry"/>
    <x v="0"/>
    <n v="38133928"/>
  </r>
  <r>
    <x v="26"/>
    <x v="45"/>
    <s v="Total Electric Power Industry"/>
    <x v="1"/>
    <n v="25939443"/>
  </r>
  <r>
    <x v="26"/>
    <x v="45"/>
    <s v="Total Electric Power Industry"/>
    <x v="11"/>
    <n v="485094"/>
  </r>
  <r>
    <x v="26"/>
    <x v="45"/>
    <s v="Total Electric Power Industry"/>
    <x v="2"/>
    <n v="759542"/>
  </r>
  <r>
    <x v="26"/>
    <x v="45"/>
    <s v="Total Electric Power Industry"/>
    <x v="3"/>
    <n v="8691320"/>
  </r>
  <r>
    <x v="26"/>
    <x v="45"/>
    <s v="Total Electric Power Industry"/>
    <x v="9"/>
    <n v="54099"/>
  </r>
  <r>
    <x v="26"/>
    <x v="45"/>
    <s v="Total Electric Power Industry"/>
    <x v="12"/>
    <n v="212851"/>
  </r>
  <r>
    <x v="26"/>
    <x v="45"/>
    <s v="Total Electric Power Industry"/>
    <x v="4"/>
    <n v="31552"/>
  </r>
  <r>
    <x v="26"/>
    <x v="45"/>
    <s v="Total Electric Power Industry"/>
    <x v="13"/>
    <n v="1053661"/>
  </r>
  <r>
    <x v="26"/>
    <x v="45"/>
    <s v="Total Electric Power Industry"/>
    <x v="8"/>
    <n v="84084"/>
  </r>
  <r>
    <x v="26"/>
    <x v="45"/>
    <s v="Total Electric Power Industry"/>
    <x v="5"/>
    <n v="822282"/>
  </r>
  <r>
    <x v="26"/>
    <x v="45"/>
    <s v="Combined Heat and Power, Industrial Power"/>
    <x v="0"/>
    <n v="1071873"/>
  </r>
  <r>
    <x v="26"/>
    <x v="45"/>
    <s v="Combined Heat and Power, Industrial Power"/>
    <x v="1"/>
    <n v="437331"/>
  </r>
  <r>
    <x v="26"/>
    <x v="45"/>
    <s v="Combined Heat and Power, Industrial Power"/>
    <x v="3"/>
    <n v="408470"/>
  </r>
  <r>
    <x v="26"/>
    <x v="45"/>
    <s v="Combined Heat and Power, Industrial Power"/>
    <x v="9"/>
    <n v="54099"/>
  </r>
  <r>
    <x v="26"/>
    <x v="45"/>
    <s v="Combined Heat and Power, Industrial Power"/>
    <x v="12"/>
    <n v="171972"/>
  </r>
  <r>
    <x v="26"/>
    <x v="45"/>
    <s v="Combined Heat and Power, Industrial Power"/>
    <x v="4"/>
    <n v="0"/>
  </r>
  <r>
    <x v="26"/>
    <x v="45"/>
    <s v="Combined Heat and Power, Commercial Power"/>
    <x v="0"/>
    <n v="89924"/>
  </r>
  <r>
    <x v="26"/>
    <x v="45"/>
    <s v="Combined Heat and Power, Commercial Power"/>
    <x v="3"/>
    <n v="73579"/>
  </r>
  <r>
    <x v="26"/>
    <x v="45"/>
    <s v="Combined Heat and Power, Commercial Power"/>
    <x v="4"/>
    <n v="0"/>
  </r>
  <r>
    <x v="26"/>
    <x v="45"/>
    <s v="Combined Heat and Power, Commercial Power"/>
    <x v="8"/>
    <n v="16345"/>
  </r>
  <r>
    <x v="26"/>
    <x v="45"/>
    <s v="Combined Heat and Power, Electric Power"/>
    <x v="0"/>
    <n v="9789"/>
  </r>
  <r>
    <x v="26"/>
    <x v="45"/>
    <s v="Combined Heat and Power, Electric Power"/>
    <x v="3"/>
    <n v="52"/>
  </r>
  <r>
    <x v="26"/>
    <x v="45"/>
    <s v="Combined Heat and Power, Electric Power"/>
    <x v="12"/>
    <n v="4771"/>
  </r>
  <r>
    <x v="26"/>
    <x v="45"/>
    <s v="Combined Heat and Power, Electric Power"/>
    <x v="4"/>
    <n v="0"/>
  </r>
  <r>
    <x v="26"/>
    <x v="45"/>
    <s v="Combined Heat and Power, Electric Power"/>
    <x v="8"/>
    <n v="4966"/>
  </r>
  <r>
    <x v="26"/>
    <x v="45"/>
    <s v="Electric Generators, Independent Power Producers"/>
    <x v="0"/>
    <n v="2756708"/>
  </r>
  <r>
    <x v="26"/>
    <x v="45"/>
    <s v="Electric Generators, Independent Power Producers"/>
    <x v="1"/>
    <n v="399339"/>
  </r>
  <r>
    <x v="26"/>
    <x v="45"/>
    <s v="Electric Generators, Independent Power Producers"/>
    <x v="11"/>
    <n v="228176"/>
  </r>
  <r>
    <x v="26"/>
    <x v="45"/>
    <s v="Electric Generators, Independent Power Producers"/>
    <x v="2"/>
    <n v="10238"/>
  </r>
  <r>
    <x v="26"/>
    <x v="45"/>
    <s v="Electric Generators, Independent Power Producers"/>
    <x v="3"/>
    <n v="178602"/>
  </r>
  <r>
    <x v="26"/>
    <x v="45"/>
    <s v="Electric Generators, Independent Power Producers"/>
    <x v="4"/>
    <n v="1637"/>
  </r>
  <r>
    <x v="26"/>
    <x v="45"/>
    <s v="Electric Generators, Independent Power Producers"/>
    <x v="13"/>
    <n v="1053661"/>
  </r>
  <r>
    <x v="26"/>
    <x v="45"/>
    <s v="Electric Generators, Independent Power Producers"/>
    <x v="8"/>
    <n v="62773"/>
  </r>
  <r>
    <x v="26"/>
    <x v="45"/>
    <s v="Electric Generators, Independent Power Producers"/>
    <x v="5"/>
    <n v="822282"/>
  </r>
  <r>
    <x v="26"/>
    <x v="45"/>
    <s v="Electric Generators, Electric Utilities"/>
    <x v="0"/>
    <n v="34205634"/>
  </r>
  <r>
    <x v="26"/>
    <x v="45"/>
    <s v="Electric Generators, Electric Utilities"/>
    <x v="1"/>
    <n v="25102773"/>
  </r>
  <r>
    <x v="26"/>
    <x v="45"/>
    <s v="Electric Generators, Electric Utilities"/>
    <x v="11"/>
    <n v="256918"/>
  </r>
  <r>
    <x v="26"/>
    <x v="45"/>
    <s v="Electric Generators, Electric Utilities"/>
    <x v="2"/>
    <n v="749304"/>
  </r>
  <r>
    <x v="26"/>
    <x v="45"/>
    <s v="Electric Generators, Electric Utilities"/>
    <x v="3"/>
    <n v="8030616"/>
  </r>
  <r>
    <x v="26"/>
    <x v="45"/>
    <s v="Electric Generators, Electric Utilities"/>
    <x v="12"/>
    <n v="36108"/>
  </r>
  <r>
    <x v="26"/>
    <x v="45"/>
    <s v="Electric Generators, Electric Utilities"/>
    <x v="4"/>
    <n v="29915"/>
  </r>
  <r>
    <x v="26"/>
    <x v="46"/>
    <s v="Total Electric Power Industry"/>
    <x v="0"/>
    <n v="92554876"/>
  </r>
  <r>
    <x v="26"/>
    <x v="46"/>
    <s v="Total Electric Power Industry"/>
    <x v="1"/>
    <n v="16499412"/>
  </r>
  <r>
    <x v="26"/>
    <x v="46"/>
    <s v="Total Electric Power Industry"/>
    <x v="10"/>
    <n v="-1162636"/>
  </r>
  <r>
    <x v="26"/>
    <x v="46"/>
    <s v="Total Electric Power Industry"/>
    <x v="2"/>
    <n v="1471462"/>
  </r>
  <r>
    <x v="26"/>
    <x v="46"/>
    <s v="Total Electric Power Industry"/>
    <x v="3"/>
    <n v="40904843"/>
  </r>
  <r>
    <x v="26"/>
    <x v="46"/>
    <s v="Total Electric Power Industry"/>
    <x v="7"/>
    <n v="29731895"/>
  </r>
  <r>
    <x v="26"/>
    <x v="46"/>
    <s v="Total Electric Power Industry"/>
    <x v="12"/>
    <n v="461826"/>
  </r>
  <r>
    <x v="26"/>
    <x v="46"/>
    <s v="Total Electric Power Industry"/>
    <x v="4"/>
    <n v="535420"/>
  </r>
  <r>
    <x v="26"/>
    <x v="46"/>
    <s v="Total Electric Power Industry"/>
    <x v="13"/>
    <n v="20908"/>
  </r>
  <r>
    <x v="26"/>
    <x v="46"/>
    <s v="Total Electric Power Industry"/>
    <x v="8"/>
    <n v="1105805"/>
  </r>
  <r>
    <x v="26"/>
    <x v="46"/>
    <s v="Total Electric Power Industry"/>
    <x v="6"/>
    <n v="2985941"/>
  </r>
  <r>
    <x v="26"/>
    <x v="46"/>
    <s v="Combined Heat and Power, Industrial Power"/>
    <x v="0"/>
    <n v="2456466"/>
  </r>
  <r>
    <x v="26"/>
    <x v="46"/>
    <s v="Combined Heat and Power, Industrial Power"/>
    <x v="1"/>
    <n v="277267"/>
  </r>
  <r>
    <x v="26"/>
    <x v="46"/>
    <s v="Combined Heat and Power, Industrial Power"/>
    <x v="2"/>
    <n v="8795"/>
  </r>
  <r>
    <x v="26"/>
    <x v="46"/>
    <s v="Combined Heat and Power, Industrial Power"/>
    <x v="3"/>
    <n v="630593"/>
  </r>
  <r>
    <x v="26"/>
    <x v="46"/>
    <s v="Combined Heat and Power, Industrial Power"/>
    <x v="4"/>
    <n v="4721"/>
  </r>
  <r>
    <x v="26"/>
    <x v="46"/>
    <s v="Combined Heat and Power, Industrial Power"/>
    <x v="8"/>
    <n v="12645"/>
  </r>
  <r>
    <x v="26"/>
    <x v="46"/>
    <s v="Combined Heat and Power, Industrial Power"/>
    <x v="6"/>
    <n v="1522445"/>
  </r>
  <r>
    <x v="26"/>
    <x v="46"/>
    <s v="Combined Heat and Power, Commercial Power"/>
    <x v="0"/>
    <n v="448655"/>
  </r>
  <r>
    <x v="26"/>
    <x v="46"/>
    <s v="Combined Heat and Power, Commercial Power"/>
    <x v="1"/>
    <n v="7524"/>
  </r>
  <r>
    <x v="26"/>
    <x v="46"/>
    <s v="Combined Heat and Power, Commercial Power"/>
    <x v="3"/>
    <n v="8724"/>
  </r>
  <r>
    <x v="26"/>
    <x v="46"/>
    <s v="Combined Heat and Power, Commercial Power"/>
    <x v="12"/>
    <n v="204990"/>
  </r>
  <r>
    <x v="26"/>
    <x v="46"/>
    <s v="Combined Heat and Power, Commercial Power"/>
    <x v="4"/>
    <n v="1537"/>
  </r>
  <r>
    <x v="26"/>
    <x v="46"/>
    <s v="Combined Heat and Power, Commercial Power"/>
    <x v="8"/>
    <n v="225879"/>
  </r>
  <r>
    <x v="26"/>
    <x v="46"/>
    <s v="Combined Heat and Power, Commercial Power"/>
    <x v="6"/>
    <n v="0"/>
  </r>
  <r>
    <x v="26"/>
    <x v="46"/>
    <s v="Combined Heat and Power, Electric Power"/>
    <x v="0"/>
    <n v="1373406"/>
  </r>
  <r>
    <x v="26"/>
    <x v="46"/>
    <s v="Combined Heat and Power, Electric Power"/>
    <x v="1"/>
    <n v="173298"/>
  </r>
  <r>
    <x v="26"/>
    <x v="46"/>
    <s v="Combined Heat and Power, Electric Power"/>
    <x v="3"/>
    <n v="1197810"/>
  </r>
  <r>
    <x v="26"/>
    <x v="46"/>
    <s v="Combined Heat and Power, Electric Power"/>
    <x v="4"/>
    <n v="2298"/>
  </r>
  <r>
    <x v="26"/>
    <x v="46"/>
    <s v="Electric Generators, Independent Power Producers"/>
    <x v="0"/>
    <n v="12051970"/>
  </r>
  <r>
    <x v="26"/>
    <x v="46"/>
    <s v="Electric Generators, Independent Power Producers"/>
    <x v="1"/>
    <n v="435897"/>
  </r>
  <r>
    <x v="26"/>
    <x v="46"/>
    <s v="Electric Generators, Independent Power Producers"/>
    <x v="2"/>
    <n v="71701"/>
  </r>
  <r>
    <x v="26"/>
    <x v="46"/>
    <s v="Electric Generators, Independent Power Producers"/>
    <x v="3"/>
    <n v="10055017"/>
  </r>
  <r>
    <x v="26"/>
    <x v="46"/>
    <s v="Electric Generators, Independent Power Producers"/>
    <x v="12"/>
    <n v="256836"/>
  </r>
  <r>
    <x v="26"/>
    <x v="46"/>
    <s v="Electric Generators, Independent Power Producers"/>
    <x v="4"/>
    <n v="144552"/>
  </r>
  <r>
    <x v="26"/>
    <x v="46"/>
    <s v="Electric Generators, Independent Power Producers"/>
    <x v="13"/>
    <n v="15912"/>
  </r>
  <r>
    <x v="26"/>
    <x v="46"/>
    <s v="Electric Generators, Independent Power Producers"/>
    <x v="8"/>
    <n v="863325"/>
  </r>
  <r>
    <x v="26"/>
    <x v="46"/>
    <s v="Electric Generators, Independent Power Producers"/>
    <x v="6"/>
    <n v="208730"/>
  </r>
  <r>
    <x v="26"/>
    <x v="46"/>
    <s v="Electric Generators, Electric Utilities"/>
    <x v="0"/>
    <n v="76224379"/>
  </r>
  <r>
    <x v="26"/>
    <x v="46"/>
    <s v="Electric Generators, Electric Utilities"/>
    <x v="1"/>
    <n v="15605426"/>
  </r>
  <r>
    <x v="26"/>
    <x v="46"/>
    <s v="Electric Generators, Electric Utilities"/>
    <x v="10"/>
    <n v="-1162636"/>
  </r>
  <r>
    <x v="26"/>
    <x v="46"/>
    <s v="Electric Generators, Electric Utilities"/>
    <x v="2"/>
    <n v="1390966"/>
  </r>
  <r>
    <x v="26"/>
    <x v="46"/>
    <s v="Electric Generators, Electric Utilities"/>
    <x v="3"/>
    <n v="29012699"/>
  </r>
  <r>
    <x v="26"/>
    <x v="46"/>
    <s v="Electric Generators, Electric Utilities"/>
    <x v="7"/>
    <n v="29731895"/>
  </r>
  <r>
    <x v="26"/>
    <x v="46"/>
    <s v="Electric Generators, Electric Utilities"/>
    <x v="12"/>
    <n v="0"/>
  </r>
  <r>
    <x v="26"/>
    <x v="46"/>
    <s v="Electric Generators, Electric Utilities"/>
    <x v="4"/>
    <n v="382310"/>
  </r>
  <r>
    <x v="26"/>
    <x v="46"/>
    <s v="Electric Generators, Electric Utilities"/>
    <x v="13"/>
    <n v="4996"/>
  </r>
  <r>
    <x v="26"/>
    <x v="46"/>
    <s v="Electric Generators, Electric Utilities"/>
    <x v="8"/>
    <n v="3957"/>
  </r>
  <r>
    <x v="26"/>
    <x v="46"/>
    <s v="Electric Generators, Electric Utilities"/>
    <x v="6"/>
    <n v="1254766"/>
  </r>
  <r>
    <x v="26"/>
    <x v="47"/>
    <s v="Total Electric Power Industry"/>
    <x v="0"/>
    <n v="1911207"/>
  </r>
  <r>
    <x v="26"/>
    <x v="47"/>
    <s v="Total Electric Power Industry"/>
    <x v="2"/>
    <n v="1077517"/>
  </r>
  <r>
    <x v="26"/>
    <x v="47"/>
    <s v="Total Electric Power Industry"/>
    <x v="3"/>
    <n v="1965"/>
  </r>
  <r>
    <x v="26"/>
    <x v="47"/>
    <s v="Total Electric Power Industry"/>
    <x v="12"/>
    <n v="0"/>
  </r>
  <r>
    <x v="26"/>
    <x v="47"/>
    <s v="Total Electric Power Industry"/>
    <x v="4"/>
    <n v="4017"/>
  </r>
  <r>
    <x v="26"/>
    <x v="47"/>
    <s v="Total Electric Power Industry"/>
    <x v="13"/>
    <n v="59031"/>
  </r>
  <r>
    <x v="26"/>
    <x v="47"/>
    <s v="Total Electric Power Industry"/>
    <x v="8"/>
    <n v="15631"/>
  </r>
  <r>
    <x v="26"/>
    <x v="47"/>
    <s v="Total Electric Power Industry"/>
    <x v="5"/>
    <n v="291182"/>
  </r>
  <r>
    <x v="26"/>
    <x v="47"/>
    <s v="Total Electric Power Industry"/>
    <x v="6"/>
    <n v="461864"/>
  </r>
  <r>
    <x v="26"/>
    <x v="47"/>
    <s v="Combined Heat and Power, Commercial Power"/>
    <x v="0"/>
    <n v="3489"/>
  </r>
  <r>
    <x v="26"/>
    <x v="47"/>
    <s v="Combined Heat and Power, Commercial Power"/>
    <x v="3"/>
    <n v="935"/>
  </r>
  <r>
    <x v="26"/>
    <x v="47"/>
    <s v="Combined Heat and Power, Commercial Power"/>
    <x v="4"/>
    <n v="346"/>
  </r>
  <r>
    <x v="26"/>
    <x v="47"/>
    <s v="Combined Heat and Power, Commercial Power"/>
    <x v="6"/>
    <n v="2208"/>
  </r>
  <r>
    <x v="26"/>
    <x v="47"/>
    <s v="Electric Generators, Independent Power Producers"/>
    <x v="0"/>
    <n v="1042637"/>
  </r>
  <r>
    <x v="26"/>
    <x v="47"/>
    <s v="Electric Generators, Independent Power Producers"/>
    <x v="2"/>
    <n v="704475"/>
  </r>
  <r>
    <x v="26"/>
    <x v="47"/>
    <s v="Electric Generators, Independent Power Producers"/>
    <x v="13"/>
    <n v="55366"/>
  </r>
  <r>
    <x v="26"/>
    <x v="47"/>
    <s v="Electric Generators, Independent Power Producers"/>
    <x v="8"/>
    <n v="15631"/>
  </r>
  <r>
    <x v="26"/>
    <x v="47"/>
    <s v="Electric Generators, Independent Power Producers"/>
    <x v="5"/>
    <n v="112383"/>
  </r>
  <r>
    <x v="26"/>
    <x v="47"/>
    <s v="Electric Generators, Independent Power Producers"/>
    <x v="6"/>
    <n v="154782"/>
  </r>
  <r>
    <x v="26"/>
    <x v="47"/>
    <s v="Electric Generators, Electric Utilities"/>
    <x v="0"/>
    <n v="865081"/>
  </r>
  <r>
    <x v="26"/>
    <x v="47"/>
    <s v="Electric Generators, Electric Utilities"/>
    <x v="2"/>
    <n v="373042"/>
  </r>
  <r>
    <x v="26"/>
    <x v="47"/>
    <s v="Electric Generators, Electric Utilities"/>
    <x v="3"/>
    <n v="1031"/>
  </r>
  <r>
    <x v="26"/>
    <x v="47"/>
    <s v="Electric Generators, Electric Utilities"/>
    <x v="12"/>
    <n v="0"/>
  </r>
  <r>
    <x v="26"/>
    <x v="47"/>
    <s v="Electric Generators, Electric Utilities"/>
    <x v="4"/>
    <n v="3671"/>
  </r>
  <r>
    <x v="26"/>
    <x v="47"/>
    <s v="Electric Generators, Electric Utilities"/>
    <x v="13"/>
    <n v="3665"/>
  </r>
  <r>
    <x v="26"/>
    <x v="47"/>
    <s v="Electric Generators, Electric Utilities"/>
    <x v="5"/>
    <n v="178799"/>
  </r>
  <r>
    <x v="26"/>
    <x v="47"/>
    <s v="Electric Generators, Electric Utilities"/>
    <x v="6"/>
    <n v="304873"/>
  </r>
  <r>
    <x v="26"/>
    <x v="48"/>
    <s v="Total Electric Power Industry"/>
    <x v="0"/>
    <n v="114086582"/>
  </r>
  <r>
    <x v="26"/>
    <x v="48"/>
    <s v="Total Electric Power Industry"/>
    <x v="1"/>
    <n v="4601726"/>
  </r>
  <r>
    <x v="26"/>
    <x v="48"/>
    <s v="Total Electric Power Industry"/>
    <x v="10"/>
    <n v="-2318"/>
  </r>
  <r>
    <x v="26"/>
    <x v="48"/>
    <s v="Total Electric Power Industry"/>
    <x v="2"/>
    <n v="78345809"/>
  </r>
  <r>
    <x v="26"/>
    <x v="48"/>
    <s v="Total Electric Power Industry"/>
    <x v="3"/>
    <n v="10982195"/>
  </r>
  <r>
    <x v="26"/>
    <x v="48"/>
    <s v="Total Electric Power Industry"/>
    <x v="7"/>
    <n v="9625622"/>
  </r>
  <r>
    <x v="26"/>
    <x v="48"/>
    <s v="Total Electric Power Industry"/>
    <x v="9"/>
    <n v="401642"/>
  </r>
  <r>
    <x v="26"/>
    <x v="48"/>
    <s v="Total Electric Power Industry"/>
    <x v="12"/>
    <n v="59751"/>
  </r>
  <r>
    <x v="26"/>
    <x v="48"/>
    <s v="Total Electric Power Industry"/>
    <x v="4"/>
    <n v="22018"/>
  </r>
  <r>
    <x v="26"/>
    <x v="48"/>
    <s v="Total Electric Power Industry"/>
    <x v="13"/>
    <n v="727"/>
  </r>
  <r>
    <x v="26"/>
    <x v="48"/>
    <s v="Total Electric Power Industry"/>
    <x v="8"/>
    <n v="299322"/>
  </r>
  <r>
    <x v="26"/>
    <x v="48"/>
    <s v="Total Electric Power Industry"/>
    <x v="5"/>
    <n v="8041847"/>
  </r>
  <r>
    <x v="26"/>
    <x v="48"/>
    <s v="Total Electric Power Industry"/>
    <x v="6"/>
    <n v="1708240"/>
  </r>
  <r>
    <x v="26"/>
    <x v="48"/>
    <s v="Combined Heat and Power, Industrial Power"/>
    <x v="0"/>
    <n v="1511205"/>
  </r>
  <r>
    <x v="26"/>
    <x v="48"/>
    <s v="Combined Heat and Power, Industrial Power"/>
    <x v="1"/>
    <n v="32999"/>
  </r>
  <r>
    <x v="26"/>
    <x v="48"/>
    <s v="Combined Heat and Power, Industrial Power"/>
    <x v="3"/>
    <n v="89034"/>
  </r>
  <r>
    <x v="26"/>
    <x v="48"/>
    <s v="Combined Heat and Power, Industrial Power"/>
    <x v="4"/>
    <n v="8639"/>
  </r>
  <r>
    <x v="26"/>
    <x v="48"/>
    <s v="Combined Heat and Power, Industrial Power"/>
    <x v="8"/>
    <n v="13386"/>
  </r>
  <r>
    <x v="26"/>
    <x v="48"/>
    <s v="Combined Heat and Power, Industrial Power"/>
    <x v="6"/>
    <n v="1367147"/>
  </r>
  <r>
    <x v="26"/>
    <x v="48"/>
    <s v="Combined Heat and Power, Commercial Power"/>
    <x v="0"/>
    <n v="36089"/>
  </r>
  <r>
    <x v="26"/>
    <x v="48"/>
    <s v="Combined Heat and Power, Commercial Power"/>
    <x v="3"/>
    <n v="20067"/>
  </r>
  <r>
    <x v="26"/>
    <x v="48"/>
    <s v="Combined Heat and Power, Commercial Power"/>
    <x v="4"/>
    <n v="278"/>
  </r>
  <r>
    <x v="26"/>
    <x v="48"/>
    <s v="Combined Heat and Power, Commercial Power"/>
    <x v="8"/>
    <n v="15744"/>
  </r>
  <r>
    <x v="26"/>
    <x v="48"/>
    <s v="Combined Heat and Power, Electric Power"/>
    <x v="0"/>
    <n v="1026266"/>
  </r>
  <r>
    <x v="26"/>
    <x v="48"/>
    <s v="Combined Heat and Power, Electric Power"/>
    <x v="3"/>
    <n v="624624"/>
  </r>
  <r>
    <x v="26"/>
    <x v="48"/>
    <s v="Combined Heat and Power, Electric Power"/>
    <x v="9"/>
    <n v="401642"/>
  </r>
  <r>
    <x v="26"/>
    <x v="48"/>
    <s v="Combined Heat and Power, Electric Power"/>
    <x v="4"/>
    <n v="0"/>
  </r>
  <r>
    <x v="26"/>
    <x v="48"/>
    <s v="Electric Generators, Independent Power Producers"/>
    <x v="0"/>
    <n v="12564609"/>
  </r>
  <r>
    <x v="26"/>
    <x v="48"/>
    <s v="Electric Generators, Independent Power Producers"/>
    <x v="1"/>
    <n v="4568727"/>
  </r>
  <r>
    <x v="26"/>
    <x v="48"/>
    <s v="Electric Generators, Independent Power Producers"/>
    <x v="2"/>
    <n v="450340"/>
  </r>
  <r>
    <x v="26"/>
    <x v="48"/>
    <s v="Electric Generators, Independent Power Producers"/>
    <x v="3"/>
    <n v="3655854"/>
  </r>
  <r>
    <x v="26"/>
    <x v="48"/>
    <s v="Electric Generators, Independent Power Producers"/>
    <x v="12"/>
    <n v="60018"/>
  </r>
  <r>
    <x v="26"/>
    <x v="48"/>
    <s v="Electric Generators, Independent Power Producers"/>
    <x v="4"/>
    <n v="10685"/>
  </r>
  <r>
    <x v="26"/>
    <x v="48"/>
    <s v="Electric Generators, Independent Power Producers"/>
    <x v="8"/>
    <n v="123635"/>
  </r>
  <r>
    <x v="26"/>
    <x v="48"/>
    <s v="Electric Generators, Independent Power Producers"/>
    <x v="5"/>
    <n v="3695349"/>
  </r>
  <r>
    <x v="26"/>
    <x v="48"/>
    <s v="Electric Generators, Electric Utilities"/>
    <x v="0"/>
    <n v="98948414"/>
  </r>
  <r>
    <x v="26"/>
    <x v="48"/>
    <s v="Electric Generators, Electric Utilities"/>
    <x v="10"/>
    <n v="-2318"/>
  </r>
  <r>
    <x v="26"/>
    <x v="48"/>
    <s v="Electric Generators, Electric Utilities"/>
    <x v="2"/>
    <n v="77895469"/>
  </r>
  <r>
    <x v="26"/>
    <x v="48"/>
    <s v="Electric Generators, Electric Utilities"/>
    <x v="3"/>
    <n v="6592617"/>
  </r>
  <r>
    <x v="26"/>
    <x v="48"/>
    <s v="Electric Generators, Electric Utilities"/>
    <x v="7"/>
    <n v="9625622"/>
  </r>
  <r>
    <x v="26"/>
    <x v="48"/>
    <s v="Electric Generators, Electric Utilities"/>
    <x v="12"/>
    <n v="-267"/>
  </r>
  <r>
    <x v="26"/>
    <x v="48"/>
    <s v="Electric Generators, Electric Utilities"/>
    <x v="4"/>
    <n v="2416"/>
  </r>
  <r>
    <x v="26"/>
    <x v="48"/>
    <s v="Electric Generators, Electric Utilities"/>
    <x v="13"/>
    <n v="727"/>
  </r>
  <r>
    <x v="26"/>
    <x v="48"/>
    <s v="Electric Generators, Electric Utilities"/>
    <x v="8"/>
    <n v="146557"/>
  </r>
  <r>
    <x v="26"/>
    <x v="48"/>
    <s v="Electric Generators, Electric Utilities"/>
    <x v="5"/>
    <n v="4346498"/>
  </r>
  <r>
    <x v="26"/>
    <x v="48"/>
    <s v="Electric Generators, Electric Utilities"/>
    <x v="6"/>
    <n v="341093"/>
  </r>
  <r>
    <x v="26"/>
    <x v="49"/>
    <s v="Total Electric Power Industry"/>
    <x v="0"/>
    <n v="64966611"/>
  </r>
  <r>
    <x v="26"/>
    <x v="49"/>
    <s v="Total Electric Power Industry"/>
    <x v="1"/>
    <n v="33362841"/>
  </r>
  <r>
    <x v="26"/>
    <x v="49"/>
    <s v="Total Electric Power Industry"/>
    <x v="2"/>
    <n v="2795258"/>
  </r>
  <r>
    <x v="26"/>
    <x v="49"/>
    <s v="Total Electric Power Industry"/>
    <x v="3"/>
    <n v="15472759"/>
  </r>
  <r>
    <x v="26"/>
    <x v="49"/>
    <s v="Total Electric Power Industry"/>
    <x v="7"/>
    <n v="10151394"/>
  </r>
  <r>
    <x v="26"/>
    <x v="49"/>
    <s v="Total Electric Power Industry"/>
    <x v="12"/>
    <n v="49516"/>
  </r>
  <r>
    <x v="26"/>
    <x v="49"/>
    <s v="Total Electric Power Industry"/>
    <x v="4"/>
    <n v="147111"/>
  </r>
  <r>
    <x v="26"/>
    <x v="49"/>
    <s v="Total Electric Power Industry"/>
    <x v="13"/>
    <n v="2671"/>
  </r>
  <r>
    <x v="26"/>
    <x v="49"/>
    <s v="Total Electric Power Industry"/>
    <x v="8"/>
    <n v="590152"/>
  </r>
  <r>
    <x v="26"/>
    <x v="49"/>
    <s v="Total Electric Power Industry"/>
    <x v="5"/>
    <n v="1515261"/>
  </r>
  <r>
    <x v="26"/>
    <x v="49"/>
    <s v="Total Electric Power Industry"/>
    <x v="6"/>
    <n v="879648"/>
  </r>
  <r>
    <x v="26"/>
    <x v="49"/>
    <s v="Combined Heat and Power, Industrial Power"/>
    <x v="0"/>
    <n v="1607524"/>
  </r>
  <r>
    <x v="26"/>
    <x v="49"/>
    <s v="Combined Heat and Power, Industrial Power"/>
    <x v="1"/>
    <n v="435676"/>
  </r>
  <r>
    <x v="26"/>
    <x v="49"/>
    <s v="Combined Heat and Power, Industrial Power"/>
    <x v="2"/>
    <n v="175814"/>
  </r>
  <r>
    <x v="26"/>
    <x v="49"/>
    <s v="Combined Heat and Power, Industrial Power"/>
    <x v="3"/>
    <n v="319050"/>
  </r>
  <r>
    <x v="26"/>
    <x v="49"/>
    <s v="Combined Heat and Power, Industrial Power"/>
    <x v="12"/>
    <n v="31942"/>
  </r>
  <r>
    <x v="26"/>
    <x v="49"/>
    <s v="Combined Heat and Power, Industrial Power"/>
    <x v="4"/>
    <n v="38579"/>
  </r>
  <r>
    <x v="26"/>
    <x v="49"/>
    <s v="Combined Heat and Power, Industrial Power"/>
    <x v="8"/>
    <n v="29635"/>
  </r>
  <r>
    <x v="26"/>
    <x v="49"/>
    <s v="Combined Heat and Power, Industrial Power"/>
    <x v="5"/>
    <n v="7260"/>
  </r>
  <r>
    <x v="26"/>
    <x v="49"/>
    <s v="Combined Heat and Power, Industrial Power"/>
    <x v="6"/>
    <n v="569569"/>
  </r>
  <r>
    <x v="26"/>
    <x v="49"/>
    <s v="Combined Heat and Power, Commercial Power"/>
    <x v="0"/>
    <n v="157449"/>
  </r>
  <r>
    <x v="26"/>
    <x v="49"/>
    <s v="Combined Heat and Power, Commercial Power"/>
    <x v="1"/>
    <n v="0"/>
  </r>
  <r>
    <x v="26"/>
    <x v="49"/>
    <s v="Combined Heat and Power, Commercial Power"/>
    <x v="3"/>
    <n v="121996"/>
  </r>
  <r>
    <x v="26"/>
    <x v="49"/>
    <s v="Combined Heat and Power, Commercial Power"/>
    <x v="4"/>
    <n v="53"/>
  </r>
  <r>
    <x v="26"/>
    <x v="49"/>
    <s v="Combined Heat and Power, Commercial Power"/>
    <x v="8"/>
    <n v="35400"/>
  </r>
  <r>
    <x v="26"/>
    <x v="49"/>
    <s v="Combined Heat and Power, Commercial Power"/>
    <x v="6"/>
    <n v="0"/>
  </r>
  <r>
    <x v="26"/>
    <x v="49"/>
    <s v="Combined Heat and Power, Electric Power"/>
    <x v="0"/>
    <n v="987622"/>
  </r>
  <r>
    <x v="26"/>
    <x v="49"/>
    <s v="Combined Heat and Power, Electric Power"/>
    <x v="3"/>
    <n v="870533"/>
  </r>
  <r>
    <x v="26"/>
    <x v="49"/>
    <s v="Combined Heat and Power, Electric Power"/>
    <x v="4"/>
    <n v="2503"/>
  </r>
  <r>
    <x v="26"/>
    <x v="49"/>
    <s v="Combined Heat and Power, Electric Power"/>
    <x v="8"/>
    <n v="114586"/>
  </r>
  <r>
    <x v="26"/>
    <x v="49"/>
    <s v="Electric Generators, Independent Power Producers"/>
    <x v="0"/>
    <n v="11602344"/>
  </r>
  <r>
    <x v="26"/>
    <x v="49"/>
    <s v="Electric Generators, Independent Power Producers"/>
    <x v="2"/>
    <n v="122913"/>
  </r>
  <r>
    <x v="26"/>
    <x v="49"/>
    <s v="Electric Generators, Independent Power Producers"/>
    <x v="3"/>
    <n v="395145"/>
  </r>
  <r>
    <x v="26"/>
    <x v="49"/>
    <s v="Electric Generators, Independent Power Producers"/>
    <x v="7"/>
    <n v="10151394"/>
  </r>
  <r>
    <x v="26"/>
    <x v="49"/>
    <s v="Electric Generators, Independent Power Producers"/>
    <x v="4"/>
    <n v="17"/>
  </r>
  <r>
    <x v="26"/>
    <x v="49"/>
    <s v="Electric Generators, Independent Power Producers"/>
    <x v="13"/>
    <n v="2671"/>
  </r>
  <r>
    <x v="26"/>
    <x v="49"/>
    <s v="Electric Generators, Independent Power Producers"/>
    <x v="8"/>
    <n v="393778"/>
  </r>
  <r>
    <x v="26"/>
    <x v="49"/>
    <s v="Electric Generators, Independent Power Producers"/>
    <x v="5"/>
    <n v="536426"/>
  </r>
  <r>
    <x v="26"/>
    <x v="49"/>
    <s v="Electric Generators, Electric Utilities"/>
    <x v="0"/>
    <n v="50611672"/>
  </r>
  <r>
    <x v="26"/>
    <x v="49"/>
    <s v="Electric Generators, Electric Utilities"/>
    <x v="1"/>
    <n v="32927165"/>
  </r>
  <r>
    <x v="26"/>
    <x v="49"/>
    <s v="Electric Generators, Electric Utilities"/>
    <x v="2"/>
    <n v="2496531"/>
  </r>
  <r>
    <x v="26"/>
    <x v="49"/>
    <s v="Electric Generators, Electric Utilities"/>
    <x v="3"/>
    <n v="13766036"/>
  </r>
  <r>
    <x v="26"/>
    <x v="49"/>
    <s v="Electric Generators, Electric Utilities"/>
    <x v="12"/>
    <n v="17574"/>
  </r>
  <r>
    <x v="26"/>
    <x v="49"/>
    <s v="Electric Generators, Electric Utilities"/>
    <x v="4"/>
    <n v="105958"/>
  </r>
  <r>
    <x v="26"/>
    <x v="49"/>
    <s v="Electric Generators, Electric Utilities"/>
    <x v="8"/>
    <n v="16753"/>
  </r>
  <r>
    <x v="26"/>
    <x v="49"/>
    <s v="Electric Generators, Electric Utilities"/>
    <x v="5"/>
    <n v="971575"/>
  </r>
  <r>
    <x v="26"/>
    <x v="49"/>
    <s v="Electric Generators, Electric Utilities"/>
    <x v="6"/>
    <n v="310080"/>
  </r>
  <r>
    <x v="26"/>
    <x v="50"/>
    <s v="Total Electric Power Industry"/>
    <x v="0"/>
    <n v="75942968"/>
  </r>
  <r>
    <x v="26"/>
    <x v="50"/>
    <s v="Total Electric Power Industry"/>
    <x v="1"/>
    <n v="71512961"/>
  </r>
  <r>
    <x v="26"/>
    <x v="50"/>
    <s v="Total Electric Power Industry"/>
    <x v="2"/>
    <n v="1638247"/>
  </r>
  <r>
    <x v="26"/>
    <x v="50"/>
    <s v="Total Electric Power Industry"/>
    <x v="3"/>
    <n v="1224567"/>
  </r>
  <r>
    <x v="26"/>
    <x v="50"/>
    <s v="Total Electric Power Industry"/>
    <x v="9"/>
    <n v="24651"/>
  </r>
  <r>
    <x v="26"/>
    <x v="50"/>
    <s v="Total Electric Power Industry"/>
    <x v="12"/>
    <n v="-12281"/>
  </r>
  <r>
    <x v="26"/>
    <x v="50"/>
    <s v="Total Electric Power Industry"/>
    <x v="4"/>
    <n v="122669"/>
  </r>
  <r>
    <x v="26"/>
    <x v="50"/>
    <s v="Total Electric Power Industry"/>
    <x v="5"/>
    <n v="1432154"/>
  </r>
  <r>
    <x v="26"/>
    <x v="50"/>
    <s v="Combined Heat and Power, Industrial Power"/>
    <x v="0"/>
    <n v="877012"/>
  </r>
  <r>
    <x v="26"/>
    <x v="50"/>
    <s v="Combined Heat and Power, Industrial Power"/>
    <x v="1"/>
    <n v="112109"/>
  </r>
  <r>
    <x v="26"/>
    <x v="50"/>
    <s v="Combined Heat and Power, Industrial Power"/>
    <x v="2"/>
    <n v="495687"/>
  </r>
  <r>
    <x v="26"/>
    <x v="50"/>
    <s v="Combined Heat and Power, Industrial Power"/>
    <x v="3"/>
    <n v="244565"/>
  </r>
  <r>
    <x v="26"/>
    <x v="50"/>
    <s v="Combined Heat and Power, Industrial Power"/>
    <x v="9"/>
    <n v="24651"/>
  </r>
  <r>
    <x v="26"/>
    <x v="50"/>
    <s v="Combined Heat and Power, Electric Power"/>
    <x v="0"/>
    <n v="416620"/>
  </r>
  <r>
    <x v="26"/>
    <x v="50"/>
    <s v="Combined Heat and Power, Electric Power"/>
    <x v="1"/>
    <n v="415216"/>
  </r>
  <r>
    <x v="26"/>
    <x v="50"/>
    <s v="Combined Heat and Power, Electric Power"/>
    <x v="3"/>
    <n v="1404"/>
  </r>
  <r>
    <x v="26"/>
    <x v="50"/>
    <s v="Electric Generators, Independent Power Producers"/>
    <x v="0"/>
    <n v="15219991"/>
  </r>
  <r>
    <x v="26"/>
    <x v="50"/>
    <s v="Electric Generators, Independent Power Producers"/>
    <x v="1"/>
    <n v="12608384"/>
  </r>
  <r>
    <x v="26"/>
    <x v="50"/>
    <s v="Electric Generators, Independent Power Producers"/>
    <x v="2"/>
    <n v="350943"/>
  </r>
  <r>
    <x v="26"/>
    <x v="50"/>
    <s v="Electric Generators, Independent Power Producers"/>
    <x v="3"/>
    <n v="836277"/>
  </r>
  <r>
    <x v="26"/>
    <x v="50"/>
    <s v="Electric Generators, Independent Power Producers"/>
    <x v="12"/>
    <n v="-12281"/>
  </r>
  <r>
    <x v="26"/>
    <x v="50"/>
    <s v="Electric Generators, Independent Power Producers"/>
    <x v="4"/>
    <n v="4514"/>
  </r>
  <r>
    <x v="26"/>
    <x v="50"/>
    <s v="Electric Generators, Independent Power Producers"/>
    <x v="5"/>
    <n v="1432154"/>
  </r>
  <r>
    <x v="26"/>
    <x v="50"/>
    <s v="Electric Generators, Electric Utilities"/>
    <x v="0"/>
    <n v="59429345"/>
  </r>
  <r>
    <x v="26"/>
    <x v="50"/>
    <s v="Electric Generators, Electric Utilities"/>
    <x v="1"/>
    <n v="58377252"/>
  </r>
  <r>
    <x v="26"/>
    <x v="50"/>
    <s v="Electric Generators, Electric Utilities"/>
    <x v="2"/>
    <n v="791617"/>
  </r>
  <r>
    <x v="26"/>
    <x v="50"/>
    <s v="Electric Generators, Electric Utilities"/>
    <x v="3"/>
    <n v="142321"/>
  </r>
  <r>
    <x v="26"/>
    <x v="50"/>
    <s v="Electric Generators, Electric Utilities"/>
    <x v="12"/>
    <n v="0"/>
  </r>
  <r>
    <x v="26"/>
    <x v="50"/>
    <s v="Electric Generators, Electric Utilities"/>
    <x v="4"/>
    <n v="118155"/>
  </r>
  <r>
    <x v="26"/>
    <x v="51"/>
    <s v="Total Electric Power Industry"/>
    <x v="0"/>
    <n v="46656630"/>
  </r>
  <r>
    <x v="26"/>
    <x v="51"/>
    <s v="Total Electric Power Industry"/>
    <x v="1"/>
    <n v="40026874"/>
  </r>
  <r>
    <x v="26"/>
    <x v="51"/>
    <s v="Total Electric Power Industry"/>
    <x v="2"/>
    <n v="973488"/>
  </r>
  <r>
    <x v="26"/>
    <x v="51"/>
    <s v="Total Electric Power Industry"/>
    <x v="3"/>
    <n v="788143"/>
  </r>
  <r>
    <x v="26"/>
    <x v="51"/>
    <s v="Total Electric Power Industry"/>
    <x v="9"/>
    <n v="358138"/>
  </r>
  <r>
    <x v="26"/>
    <x v="51"/>
    <s v="Total Electric Power Industry"/>
    <x v="12"/>
    <n v="65014"/>
  </r>
  <r>
    <x v="26"/>
    <x v="51"/>
    <s v="Total Electric Power Industry"/>
    <x v="4"/>
    <n v="55636"/>
  </r>
  <r>
    <x v="26"/>
    <x v="51"/>
    <s v="Total Electric Power Industry"/>
    <x v="5"/>
    <n v="4389338"/>
  </r>
  <r>
    <x v="26"/>
    <x v="51"/>
    <s v="Combined Heat and Power, Industrial Power"/>
    <x v="0"/>
    <n v="1433522"/>
  </r>
  <r>
    <x v="26"/>
    <x v="51"/>
    <s v="Combined Heat and Power, Industrial Power"/>
    <x v="1"/>
    <n v="397082"/>
  </r>
  <r>
    <x v="26"/>
    <x v="51"/>
    <s v="Combined Heat and Power, Industrial Power"/>
    <x v="3"/>
    <n v="602482"/>
  </r>
  <r>
    <x v="26"/>
    <x v="51"/>
    <s v="Combined Heat and Power, Industrial Power"/>
    <x v="9"/>
    <n v="358138"/>
  </r>
  <r>
    <x v="26"/>
    <x v="51"/>
    <s v="Combined Heat and Power, Industrial Power"/>
    <x v="12"/>
    <n v="65014"/>
  </r>
  <r>
    <x v="26"/>
    <x v="51"/>
    <s v="Combined Heat and Power, Industrial Power"/>
    <x v="4"/>
    <n v="10806"/>
  </r>
  <r>
    <x v="26"/>
    <x v="51"/>
    <s v="Electric Generators, Independent Power Producers"/>
    <x v="0"/>
    <n v="3029125"/>
  </r>
  <r>
    <x v="26"/>
    <x v="51"/>
    <s v="Electric Generators, Independent Power Producers"/>
    <x v="1"/>
    <n v="709476"/>
  </r>
  <r>
    <x v="26"/>
    <x v="51"/>
    <s v="Electric Generators, Independent Power Producers"/>
    <x v="2"/>
    <n v="9584"/>
  </r>
  <r>
    <x v="26"/>
    <x v="51"/>
    <s v="Electric Generators, Independent Power Producers"/>
    <x v="3"/>
    <n v="1048"/>
  </r>
  <r>
    <x v="26"/>
    <x v="51"/>
    <s v="Electric Generators, Independent Power Producers"/>
    <x v="5"/>
    <n v="2309017"/>
  </r>
  <r>
    <x v="26"/>
    <x v="51"/>
    <s v="Electric Generators, Electric Utilities"/>
    <x v="0"/>
    <n v="42193983"/>
  </r>
  <r>
    <x v="26"/>
    <x v="51"/>
    <s v="Electric Generators, Electric Utilities"/>
    <x v="1"/>
    <n v="38920316"/>
  </r>
  <r>
    <x v="26"/>
    <x v="51"/>
    <s v="Electric Generators, Electric Utilities"/>
    <x v="2"/>
    <n v="963904"/>
  </r>
  <r>
    <x v="26"/>
    <x v="51"/>
    <s v="Electric Generators, Electric Utilities"/>
    <x v="3"/>
    <n v="184613"/>
  </r>
  <r>
    <x v="26"/>
    <x v="51"/>
    <s v="Electric Generators, Electric Utilities"/>
    <x v="4"/>
    <n v="44829"/>
  </r>
  <r>
    <x v="26"/>
    <x v="51"/>
    <s v="Electric Generators, Electric Utilities"/>
    <x v="5"/>
    <n v="2080321"/>
  </r>
  <r>
    <x v="27"/>
    <x v="0"/>
    <s v="Total Electric Power Industry"/>
    <x v="0"/>
    <n v="6497466"/>
  </r>
  <r>
    <x v="27"/>
    <x v="0"/>
    <s v="Total Electric Power Industry"/>
    <x v="1"/>
    <n v="555707"/>
  </r>
  <r>
    <x v="27"/>
    <x v="0"/>
    <s v="Total Electric Power Industry"/>
    <x v="2"/>
    <n v="1643670"/>
  </r>
  <r>
    <x v="27"/>
    <x v="0"/>
    <s v="Total Electric Power Industry"/>
    <x v="3"/>
    <n v="3234868"/>
  </r>
  <r>
    <x v="27"/>
    <x v="0"/>
    <s v="Total Electric Power Industry"/>
    <x v="12"/>
    <n v="-2711"/>
  </r>
  <r>
    <x v="27"/>
    <x v="0"/>
    <s v="Total Electric Power Industry"/>
    <x v="4"/>
    <n v="880682"/>
  </r>
  <r>
    <x v="27"/>
    <x v="0"/>
    <s v="Total Electric Power Industry"/>
    <x v="8"/>
    <n v="43562"/>
  </r>
  <r>
    <x v="27"/>
    <x v="0"/>
    <s v="Total Electric Power Industry"/>
    <x v="5"/>
    <n v="141687"/>
  </r>
  <r>
    <x v="27"/>
    <x v="0"/>
    <s v="Total Electric Power Industry"/>
    <x v="6"/>
    <n v="0"/>
  </r>
  <r>
    <x v="27"/>
    <x v="0"/>
    <s v="Combined Heat and Power, Industrial Power"/>
    <x v="0"/>
    <n v="107854"/>
  </r>
  <r>
    <x v="27"/>
    <x v="0"/>
    <s v="Combined Heat and Power, Industrial Power"/>
    <x v="3"/>
    <n v="62324"/>
  </r>
  <r>
    <x v="27"/>
    <x v="0"/>
    <s v="Combined Heat and Power, Industrial Power"/>
    <x v="4"/>
    <n v="44153"/>
  </r>
  <r>
    <x v="27"/>
    <x v="0"/>
    <s v="Combined Heat and Power, Industrial Power"/>
    <x v="8"/>
    <n v="1377"/>
  </r>
  <r>
    <x v="27"/>
    <x v="0"/>
    <s v="Combined Heat and Power, Commercial Power"/>
    <x v="0"/>
    <n v="335453"/>
  </r>
  <r>
    <x v="27"/>
    <x v="0"/>
    <s v="Combined Heat and Power, Commercial Power"/>
    <x v="1"/>
    <n v="103820"/>
  </r>
  <r>
    <x v="27"/>
    <x v="0"/>
    <s v="Combined Heat and Power, Commercial Power"/>
    <x v="2"/>
    <n v="182088"/>
  </r>
  <r>
    <x v="27"/>
    <x v="0"/>
    <s v="Combined Heat and Power, Commercial Power"/>
    <x v="3"/>
    <n v="2400"/>
  </r>
  <r>
    <x v="27"/>
    <x v="0"/>
    <s v="Combined Heat and Power, Commercial Power"/>
    <x v="4"/>
    <n v="4961"/>
  </r>
  <r>
    <x v="27"/>
    <x v="0"/>
    <s v="Combined Heat and Power, Commercial Power"/>
    <x v="8"/>
    <n v="42185"/>
  </r>
  <r>
    <x v="27"/>
    <x v="0"/>
    <s v="Combined Heat and Power, Commercial Power"/>
    <x v="6"/>
    <n v="0"/>
  </r>
  <r>
    <x v="27"/>
    <x v="0"/>
    <s v="Combined Heat and Power, Electric Power"/>
    <x v="0"/>
    <n v="180906"/>
  </r>
  <r>
    <x v="27"/>
    <x v="0"/>
    <s v="Combined Heat and Power, Electric Power"/>
    <x v="1"/>
    <n v="180906"/>
  </r>
  <r>
    <x v="27"/>
    <x v="0"/>
    <s v="Combined Heat and Power, Electric Power"/>
    <x v="4"/>
    <n v="0"/>
  </r>
  <r>
    <x v="27"/>
    <x v="0"/>
    <s v="Combined Heat and Power, Electric Power"/>
    <x v="8"/>
    <n v="0"/>
  </r>
  <r>
    <x v="27"/>
    <x v="0"/>
    <s v="Combined Heat and Power, Electric Power"/>
    <x v="6"/>
    <n v="0"/>
  </r>
  <r>
    <x v="27"/>
    <x v="0"/>
    <s v="Electric Generators, Independent Power Producers"/>
    <x v="0"/>
    <n v="50322"/>
  </r>
  <r>
    <x v="27"/>
    <x v="0"/>
    <s v="Electric Generators, Independent Power Producers"/>
    <x v="5"/>
    <n v="50322"/>
  </r>
  <r>
    <x v="27"/>
    <x v="0"/>
    <s v="Electric Generators, Electric Utilities"/>
    <x v="0"/>
    <n v="5822931"/>
  </r>
  <r>
    <x v="27"/>
    <x v="0"/>
    <s v="Electric Generators, Electric Utilities"/>
    <x v="1"/>
    <n v="270981"/>
  </r>
  <r>
    <x v="27"/>
    <x v="0"/>
    <s v="Electric Generators, Electric Utilities"/>
    <x v="2"/>
    <n v="1461582"/>
  </r>
  <r>
    <x v="27"/>
    <x v="0"/>
    <s v="Electric Generators, Electric Utilities"/>
    <x v="3"/>
    <n v="3170144"/>
  </r>
  <r>
    <x v="27"/>
    <x v="0"/>
    <s v="Electric Generators, Electric Utilities"/>
    <x v="12"/>
    <n v="-2711"/>
  </r>
  <r>
    <x v="27"/>
    <x v="0"/>
    <s v="Electric Generators, Electric Utilities"/>
    <x v="4"/>
    <n v="831569"/>
  </r>
  <r>
    <x v="27"/>
    <x v="0"/>
    <s v="Electric Generators, Electric Utilities"/>
    <x v="5"/>
    <n v="91365"/>
  </r>
  <r>
    <x v="27"/>
    <x v="1"/>
    <s v="Total Electric Power Industry"/>
    <x v="0"/>
    <n v="139964250"/>
  </r>
  <r>
    <x v="27"/>
    <x v="1"/>
    <s v="Total Electric Power Industry"/>
    <x v="1"/>
    <n v="31440401"/>
  </r>
  <r>
    <x v="27"/>
    <x v="1"/>
    <s v="Total Electric Power Industry"/>
    <x v="2"/>
    <n v="9237323"/>
  </r>
  <r>
    <x v="27"/>
    <x v="1"/>
    <s v="Total Electric Power Industry"/>
    <x v="3"/>
    <n v="52983663"/>
  </r>
  <r>
    <x v="27"/>
    <x v="1"/>
    <s v="Total Electric Power Industry"/>
    <x v="7"/>
    <n v="42651973"/>
  </r>
  <r>
    <x v="27"/>
    <x v="1"/>
    <s v="Total Electric Power Industry"/>
    <x v="9"/>
    <n v="8830"/>
  </r>
  <r>
    <x v="27"/>
    <x v="1"/>
    <s v="Total Electric Power Industry"/>
    <x v="12"/>
    <n v="4"/>
  </r>
  <r>
    <x v="27"/>
    <x v="1"/>
    <s v="Total Electric Power Industry"/>
    <x v="4"/>
    <n v="35708"/>
  </r>
  <r>
    <x v="27"/>
    <x v="1"/>
    <s v="Total Electric Power Industry"/>
    <x v="13"/>
    <n v="180688"/>
  </r>
  <r>
    <x v="27"/>
    <x v="1"/>
    <s v="Total Electric Power Industry"/>
    <x v="8"/>
    <n v="41352"/>
  </r>
  <r>
    <x v="27"/>
    <x v="1"/>
    <s v="Total Electric Power Industry"/>
    <x v="6"/>
    <n v="3384308"/>
  </r>
  <r>
    <x v="27"/>
    <x v="1"/>
    <s v="Combined Heat and Power, Industrial Power"/>
    <x v="0"/>
    <n v="4437372"/>
  </r>
  <r>
    <x v="27"/>
    <x v="1"/>
    <s v="Combined Heat and Power, Industrial Power"/>
    <x v="1"/>
    <n v="29271"/>
  </r>
  <r>
    <x v="27"/>
    <x v="1"/>
    <s v="Combined Heat and Power, Industrial Power"/>
    <x v="3"/>
    <n v="1198562"/>
  </r>
  <r>
    <x v="27"/>
    <x v="1"/>
    <s v="Combined Heat and Power, Industrial Power"/>
    <x v="9"/>
    <n v="8830"/>
  </r>
  <r>
    <x v="27"/>
    <x v="1"/>
    <s v="Combined Heat and Power, Industrial Power"/>
    <x v="12"/>
    <n v="0"/>
  </r>
  <r>
    <x v="27"/>
    <x v="1"/>
    <s v="Combined Heat and Power, Industrial Power"/>
    <x v="4"/>
    <n v="7374"/>
  </r>
  <r>
    <x v="27"/>
    <x v="1"/>
    <s v="Combined Heat and Power, Industrial Power"/>
    <x v="8"/>
    <n v="0"/>
  </r>
  <r>
    <x v="27"/>
    <x v="1"/>
    <s v="Combined Heat and Power, Industrial Power"/>
    <x v="6"/>
    <n v="3193334"/>
  </r>
  <r>
    <x v="27"/>
    <x v="1"/>
    <s v="Combined Heat and Power, Electric Power"/>
    <x v="0"/>
    <n v="4245625"/>
  </r>
  <r>
    <x v="27"/>
    <x v="1"/>
    <s v="Combined Heat and Power, Electric Power"/>
    <x v="1"/>
    <n v="0"/>
  </r>
  <r>
    <x v="27"/>
    <x v="1"/>
    <s v="Combined Heat and Power, Electric Power"/>
    <x v="3"/>
    <n v="4054652"/>
  </r>
  <r>
    <x v="27"/>
    <x v="1"/>
    <s v="Combined Heat and Power, Electric Power"/>
    <x v="6"/>
    <n v="190973"/>
  </r>
  <r>
    <x v="27"/>
    <x v="1"/>
    <s v="Electric Generators, Independent Power Producers"/>
    <x v="0"/>
    <n v="29571872"/>
  </r>
  <r>
    <x v="27"/>
    <x v="1"/>
    <s v="Electric Generators, Independent Power Producers"/>
    <x v="3"/>
    <n v="29370451"/>
  </r>
  <r>
    <x v="27"/>
    <x v="1"/>
    <s v="Electric Generators, Independent Power Producers"/>
    <x v="12"/>
    <n v="4"/>
  </r>
  <r>
    <x v="27"/>
    <x v="1"/>
    <s v="Electric Generators, Independent Power Producers"/>
    <x v="4"/>
    <n v="3251"/>
  </r>
  <r>
    <x v="27"/>
    <x v="1"/>
    <s v="Electric Generators, Independent Power Producers"/>
    <x v="13"/>
    <n v="156814"/>
  </r>
  <r>
    <x v="27"/>
    <x v="1"/>
    <s v="Electric Generators, Independent Power Producers"/>
    <x v="8"/>
    <n v="41352"/>
  </r>
  <r>
    <x v="27"/>
    <x v="1"/>
    <s v="Electric Generators, Electric Utilities"/>
    <x v="0"/>
    <n v="101709381"/>
  </r>
  <r>
    <x v="27"/>
    <x v="1"/>
    <s v="Electric Generators, Electric Utilities"/>
    <x v="1"/>
    <n v="31411130"/>
  </r>
  <r>
    <x v="27"/>
    <x v="1"/>
    <s v="Electric Generators, Electric Utilities"/>
    <x v="2"/>
    <n v="9237323"/>
  </r>
  <r>
    <x v="27"/>
    <x v="1"/>
    <s v="Electric Generators, Electric Utilities"/>
    <x v="3"/>
    <n v="18359997"/>
  </r>
  <r>
    <x v="27"/>
    <x v="1"/>
    <s v="Electric Generators, Electric Utilities"/>
    <x v="7"/>
    <n v="42651973"/>
  </r>
  <r>
    <x v="27"/>
    <x v="1"/>
    <s v="Electric Generators, Electric Utilities"/>
    <x v="4"/>
    <n v="25083"/>
  </r>
  <r>
    <x v="27"/>
    <x v="1"/>
    <s v="Electric Generators, Electric Utilities"/>
    <x v="13"/>
    <n v="23874"/>
  </r>
  <r>
    <x v="27"/>
    <x v="2"/>
    <s v="Total Electric Power Industry"/>
    <x v="0"/>
    <n v="60775216"/>
  </r>
  <r>
    <x v="27"/>
    <x v="2"/>
    <s v="Total Electric Power Industry"/>
    <x v="1"/>
    <n v="26285435"/>
  </r>
  <r>
    <x v="27"/>
    <x v="2"/>
    <s v="Total Electric Power Industry"/>
    <x v="10"/>
    <n v="20486"/>
  </r>
  <r>
    <x v="27"/>
    <x v="2"/>
    <s v="Total Electric Power Industry"/>
    <x v="2"/>
    <n v="2943309"/>
  </r>
  <r>
    <x v="27"/>
    <x v="2"/>
    <s v="Total Electric Power Industry"/>
    <x v="3"/>
    <n v="17314370"/>
  </r>
  <r>
    <x v="27"/>
    <x v="2"/>
    <s v="Total Electric Power Industry"/>
    <x v="7"/>
    <n v="12691079"/>
  </r>
  <r>
    <x v="27"/>
    <x v="2"/>
    <s v="Total Electric Power Industry"/>
    <x v="12"/>
    <n v="4083"/>
  </r>
  <r>
    <x v="27"/>
    <x v="2"/>
    <s v="Total Electric Power Industry"/>
    <x v="4"/>
    <n v="48979"/>
  </r>
  <r>
    <x v="27"/>
    <x v="2"/>
    <s v="Total Electric Power Industry"/>
    <x v="13"/>
    <n v="30812"/>
  </r>
  <r>
    <x v="27"/>
    <x v="2"/>
    <s v="Total Electric Power Industry"/>
    <x v="8"/>
    <n v="105101"/>
  </r>
  <r>
    <x v="27"/>
    <x v="2"/>
    <s v="Total Electric Power Industry"/>
    <x v="6"/>
    <n v="1331564"/>
  </r>
  <r>
    <x v="27"/>
    <x v="2"/>
    <s v="Combined Heat and Power, Industrial Power"/>
    <x v="0"/>
    <n v="1660195"/>
  </r>
  <r>
    <x v="27"/>
    <x v="2"/>
    <s v="Combined Heat and Power, Industrial Power"/>
    <x v="1"/>
    <n v="45371"/>
  </r>
  <r>
    <x v="27"/>
    <x v="2"/>
    <s v="Combined Heat and Power, Industrial Power"/>
    <x v="3"/>
    <n v="277206"/>
  </r>
  <r>
    <x v="27"/>
    <x v="2"/>
    <s v="Combined Heat and Power, Industrial Power"/>
    <x v="12"/>
    <n v="4083"/>
  </r>
  <r>
    <x v="27"/>
    <x v="2"/>
    <s v="Combined Heat and Power, Industrial Power"/>
    <x v="4"/>
    <n v="1972"/>
  </r>
  <r>
    <x v="27"/>
    <x v="2"/>
    <s v="Combined Heat and Power, Industrial Power"/>
    <x v="6"/>
    <n v="1331564"/>
  </r>
  <r>
    <x v="27"/>
    <x v="2"/>
    <s v="Combined Heat and Power, Commercial Power"/>
    <x v="0"/>
    <n v="43304"/>
  </r>
  <r>
    <x v="27"/>
    <x v="2"/>
    <s v="Combined Heat and Power, Commercial Power"/>
    <x v="3"/>
    <n v="36809"/>
  </r>
  <r>
    <x v="27"/>
    <x v="2"/>
    <s v="Combined Heat and Power, Commercial Power"/>
    <x v="8"/>
    <n v="6496"/>
  </r>
  <r>
    <x v="27"/>
    <x v="2"/>
    <s v="Combined Heat and Power, Electric Power"/>
    <x v="0"/>
    <n v="1201212"/>
  </r>
  <r>
    <x v="27"/>
    <x v="2"/>
    <s v="Combined Heat and Power, Electric Power"/>
    <x v="3"/>
    <n v="1168510"/>
  </r>
  <r>
    <x v="27"/>
    <x v="2"/>
    <s v="Combined Heat and Power, Electric Power"/>
    <x v="4"/>
    <n v="0"/>
  </r>
  <r>
    <x v="27"/>
    <x v="2"/>
    <s v="Combined Heat and Power, Electric Power"/>
    <x v="8"/>
    <n v="32702"/>
  </r>
  <r>
    <x v="27"/>
    <x v="2"/>
    <s v="Electric Generators, Independent Power Producers"/>
    <x v="0"/>
    <n v="3661247"/>
  </r>
  <r>
    <x v="27"/>
    <x v="2"/>
    <s v="Electric Generators, Independent Power Producers"/>
    <x v="1"/>
    <n v="3497257"/>
  </r>
  <r>
    <x v="27"/>
    <x v="2"/>
    <s v="Electric Generators, Independent Power Producers"/>
    <x v="2"/>
    <n v="45451"/>
  </r>
  <r>
    <x v="27"/>
    <x v="2"/>
    <s v="Electric Generators, Independent Power Producers"/>
    <x v="4"/>
    <n v="23547"/>
  </r>
  <r>
    <x v="27"/>
    <x v="2"/>
    <s v="Electric Generators, Independent Power Producers"/>
    <x v="13"/>
    <n v="29089"/>
  </r>
  <r>
    <x v="27"/>
    <x v="2"/>
    <s v="Electric Generators, Independent Power Producers"/>
    <x v="8"/>
    <n v="65903"/>
  </r>
  <r>
    <x v="27"/>
    <x v="2"/>
    <s v="Electric Generators, Electric Utilities"/>
    <x v="0"/>
    <n v="54209258"/>
  </r>
  <r>
    <x v="27"/>
    <x v="2"/>
    <s v="Electric Generators, Electric Utilities"/>
    <x v="1"/>
    <n v="22742807"/>
  </r>
  <r>
    <x v="27"/>
    <x v="2"/>
    <s v="Electric Generators, Electric Utilities"/>
    <x v="10"/>
    <n v="20486"/>
  </r>
  <r>
    <x v="27"/>
    <x v="2"/>
    <s v="Electric Generators, Electric Utilities"/>
    <x v="2"/>
    <n v="2897858"/>
  </r>
  <r>
    <x v="27"/>
    <x v="2"/>
    <s v="Electric Generators, Electric Utilities"/>
    <x v="3"/>
    <n v="15831845"/>
  </r>
  <r>
    <x v="27"/>
    <x v="2"/>
    <s v="Electric Generators, Electric Utilities"/>
    <x v="7"/>
    <n v="12691079"/>
  </r>
  <r>
    <x v="27"/>
    <x v="2"/>
    <s v="Electric Generators, Electric Utilities"/>
    <x v="4"/>
    <n v="23460"/>
  </r>
  <r>
    <x v="27"/>
    <x v="2"/>
    <s v="Electric Generators, Electric Utilities"/>
    <x v="13"/>
    <n v="1723"/>
  </r>
  <r>
    <x v="27"/>
    <x v="3"/>
    <s v="Total Electric Power Industry"/>
    <x v="0"/>
    <n v="105851765"/>
  </r>
  <r>
    <x v="27"/>
    <x v="3"/>
    <s v="Total Electric Power Industry"/>
    <x v="1"/>
    <n v="31396138"/>
  </r>
  <r>
    <x v="27"/>
    <x v="3"/>
    <s v="Total Electric Power Industry"/>
    <x v="10"/>
    <n v="-45830"/>
  </r>
  <r>
    <x v="27"/>
    <x v="3"/>
    <s v="Total Electric Power Industry"/>
    <x v="2"/>
    <n v="6831891"/>
  </r>
  <r>
    <x v="27"/>
    <x v="3"/>
    <s v="Total Electric Power Industry"/>
    <x v="3"/>
    <n v="29590699"/>
  </r>
  <r>
    <x v="27"/>
    <x v="3"/>
    <s v="Total Electric Power Industry"/>
    <x v="7"/>
    <n v="32340138"/>
  </r>
  <r>
    <x v="27"/>
    <x v="3"/>
    <s v="Total Electric Power Industry"/>
    <x v="12"/>
    <n v="-1186"/>
  </r>
  <r>
    <x v="27"/>
    <x v="3"/>
    <s v="Total Electric Power Industry"/>
    <x v="4"/>
    <n v="56729"/>
  </r>
  <r>
    <x v="27"/>
    <x v="3"/>
    <s v="Total Electric Power Industry"/>
    <x v="13"/>
    <n v="4942001"/>
  </r>
  <r>
    <x v="27"/>
    <x v="3"/>
    <s v="Total Electric Power Industry"/>
    <x v="8"/>
    <n v="38730"/>
  </r>
  <r>
    <x v="27"/>
    <x v="3"/>
    <s v="Total Electric Power Industry"/>
    <x v="5"/>
    <n v="569934"/>
  </r>
  <r>
    <x v="27"/>
    <x v="3"/>
    <s v="Total Electric Power Industry"/>
    <x v="6"/>
    <n v="132521"/>
  </r>
  <r>
    <x v="27"/>
    <x v="3"/>
    <s v="Combined Heat and Power, Commercial Power"/>
    <x v="0"/>
    <n v="166143"/>
  </r>
  <r>
    <x v="27"/>
    <x v="3"/>
    <s v="Combined Heat and Power, Commercial Power"/>
    <x v="3"/>
    <n v="142731"/>
  </r>
  <r>
    <x v="27"/>
    <x v="3"/>
    <s v="Combined Heat and Power, Commercial Power"/>
    <x v="4"/>
    <n v="26"/>
  </r>
  <r>
    <x v="27"/>
    <x v="3"/>
    <s v="Combined Heat and Power, Commercial Power"/>
    <x v="13"/>
    <n v="23386"/>
  </r>
  <r>
    <x v="27"/>
    <x v="3"/>
    <s v="Combined Heat and Power, Electric Power"/>
    <x v="0"/>
    <n v="13363"/>
  </r>
  <r>
    <x v="27"/>
    <x v="3"/>
    <s v="Combined Heat and Power, Electric Power"/>
    <x v="3"/>
    <n v="13363"/>
  </r>
  <r>
    <x v="27"/>
    <x v="3"/>
    <s v="Combined Heat and Power, Electric Power"/>
    <x v="4"/>
    <n v="0"/>
  </r>
  <r>
    <x v="27"/>
    <x v="3"/>
    <s v="Electric Generators, Independent Power Producers"/>
    <x v="0"/>
    <n v="14048853"/>
  </r>
  <r>
    <x v="27"/>
    <x v="3"/>
    <s v="Electric Generators, Independent Power Producers"/>
    <x v="3"/>
    <n v="9016293"/>
  </r>
  <r>
    <x v="27"/>
    <x v="3"/>
    <s v="Electric Generators, Independent Power Producers"/>
    <x v="12"/>
    <n v="-1186"/>
  </r>
  <r>
    <x v="27"/>
    <x v="3"/>
    <s v="Electric Generators, Independent Power Producers"/>
    <x v="13"/>
    <n v="4292561"/>
  </r>
  <r>
    <x v="27"/>
    <x v="3"/>
    <s v="Electric Generators, Independent Power Producers"/>
    <x v="8"/>
    <n v="38730"/>
  </r>
  <r>
    <x v="27"/>
    <x v="3"/>
    <s v="Electric Generators, Independent Power Producers"/>
    <x v="5"/>
    <n v="569934"/>
  </r>
  <r>
    <x v="27"/>
    <x v="3"/>
    <s v="Electric Generators, Independent Power Producers"/>
    <x v="6"/>
    <n v="132521"/>
  </r>
  <r>
    <x v="27"/>
    <x v="3"/>
    <s v="Electric Generators, Electric Utilities"/>
    <x v="0"/>
    <n v="91623406"/>
  </r>
  <r>
    <x v="27"/>
    <x v="3"/>
    <s v="Electric Generators, Electric Utilities"/>
    <x v="1"/>
    <n v="31396138"/>
  </r>
  <r>
    <x v="27"/>
    <x v="3"/>
    <s v="Electric Generators, Electric Utilities"/>
    <x v="10"/>
    <n v="-45830"/>
  </r>
  <r>
    <x v="27"/>
    <x v="3"/>
    <s v="Electric Generators, Electric Utilities"/>
    <x v="2"/>
    <n v="6831891"/>
  </r>
  <r>
    <x v="27"/>
    <x v="3"/>
    <s v="Electric Generators, Electric Utilities"/>
    <x v="3"/>
    <n v="20418312"/>
  </r>
  <r>
    <x v="27"/>
    <x v="3"/>
    <s v="Electric Generators, Electric Utilities"/>
    <x v="7"/>
    <n v="32340138"/>
  </r>
  <r>
    <x v="27"/>
    <x v="3"/>
    <s v="Electric Generators, Electric Utilities"/>
    <x v="4"/>
    <n v="56703"/>
  </r>
  <r>
    <x v="27"/>
    <x v="3"/>
    <s v="Electric Generators, Electric Utilities"/>
    <x v="13"/>
    <n v="626054"/>
  </r>
  <r>
    <x v="27"/>
    <x v="3"/>
    <s v="Electric Generators, Electric Utilities"/>
    <x v="8"/>
    <n v="0"/>
  </r>
  <r>
    <x v="27"/>
    <x v="4"/>
    <s v="Total Electric Power Industry"/>
    <x v="0"/>
    <n v="206146520"/>
  </r>
  <r>
    <x v="27"/>
    <x v="4"/>
    <s v="Total Electric Power Industry"/>
    <x v="1"/>
    <n v="291092"/>
  </r>
  <r>
    <x v="27"/>
    <x v="4"/>
    <s v="Total Electric Power Industry"/>
    <x v="11"/>
    <n v="11559600"/>
  </r>
  <r>
    <x v="27"/>
    <x v="4"/>
    <s v="Total Electric Power Industry"/>
    <x v="10"/>
    <n v="407454"/>
  </r>
  <r>
    <x v="27"/>
    <x v="4"/>
    <s v="Total Electric Power Industry"/>
    <x v="2"/>
    <n v="42363141"/>
  </r>
  <r>
    <x v="27"/>
    <x v="4"/>
    <s v="Total Electric Power Industry"/>
    <x v="3"/>
    <n v="88350158"/>
  </r>
  <r>
    <x v="27"/>
    <x v="4"/>
    <s v="Total Electric Power Industry"/>
    <x v="7"/>
    <n v="17901079"/>
  </r>
  <r>
    <x v="27"/>
    <x v="4"/>
    <s v="Total Electric Power Industry"/>
    <x v="9"/>
    <n v="1408335"/>
  </r>
  <r>
    <x v="27"/>
    <x v="4"/>
    <s v="Total Electric Power Industry"/>
    <x v="12"/>
    <n v="835537"/>
  </r>
  <r>
    <x v="27"/>
    <x v="4"/>
    <s v="Total Electric Power Industry"/>
    <x v="4"/>
    <n v="45796"/>
  </r>
  <r>
    <x v="27"/>
    <x v="4"/>
    <s v="Total Electric Power Industry"/>
    <x v="13"/>
    <n v="24352917"/>
  </r>
  <r>
    <x v="27"/>
    <x v="4"/>
    <s v="Total Electric Power Industry"/>
    <x v="8"/>
    <n v="2840997"/>
  </r>
  <r>
    <x v="27"/>
    <x v="4"/>
    <s v="Total Electric Power Industry"/>
    <x v="5"/>
    <n v="12822948"/>
  </r>
  <r>
    <x v="27"/>
    <x v="4"/>
    <s v="Total Electric Power Industry"/>
    <x v="6"/>
    <n v="2967465"/>
  </r>
  <r>
    <x v="27"/>
    <x v="4"/>
    <s v="Combined Heat and Power, Industrial Power"/>
    <x v="0"/>
    <n v="13515150"/>
  </r>
  <r>
    <x v="27"/>
    <x v="4"/>
    <s v="Combined Heat and Power, Industrial Power"/>
    <x v="1"/>
    <n v="291092"/>
  </r>
  <r>
    <x v="27"/>
    <x v="4"/>
    <s v="Combined Heat and Power, Industrial Power"/>
    <x v="3"/>
    <n v="10522613"/>
  </r>
  <r>
    <x v="27"/>
    <x v="4"/>
    <s v="Combined Heat and Power, Industrial Power"/>
    <x v="9"/>
    <n v="1408335"/>
  </r>
  <r>
    <x v="27"/>
    <x v="4"/>
    <s v="Combined Heat and Power, Industrial Power"/>
    <x v="12"/>
    <n v="635387"/>
  </r>
  <r>
    <x v="27"/>
    <x v="4"/>
    <s v="Combined Heat and Power, Industrial Power"/>
    <x v="4"/>
    <n v="7552"/>
  </r>
  <r>
    <x v="27"/>
    <x v="4"/>
    <s v="Combined Heat and Power, Industrial Power"/>
    <x v="13"/>
    <n v="18153"/>
  </r>
  <r>
    <x v="27"/>
    <x v="4"/>
    <s v="Combined Heat and Power, Industrial Power"/>
    <x v="8"/>
    <n v="19034"/>
  </r>
  <r>
    <x v="27"/>
    <x v="4"/>
    <s v="Combined Heat and Power, Industrial Power"/>
    <x v="5"/>
    <n v="4875"/>
  </r>
  <r>
    <x v="27"/>
    <x v="4"/>
    <s v="Combined Heat and Power, Industrial Power"/>
    <x v="6"/>
    <n v="608110"/>
  </r>
  <r>
    <x v="27"/>
    <x v="4"/>
    <s v="Combined Heat and Power, Commercial Power"/>
    <x v="0"/>
    <n v="2867260"/>
  </r>
  <r>
    <x v="27"/>
    <x v="4"/>
    <s v="Combined Heat and Power, Commercial Power"/>
    <x v="10"/>
    <n v="0"/>
  </r>
  <r>
    <x v="27"/>
    <x v="4"/>
    <s v="Combined Heat and Power, Commercial Power"/>
    <x v="2"/>
    <n v="18954"/>
  </r>
  <r>
    <x v="27"/>
    <x v="4"/>
    <s v="Combined Heat and Power, Commercial Power"/>
    <x v="3"/>
    <n v="1920866"/>
  </r>
  <r>
    <x v="27"/>
    <x v="4"/>
    <s v="Combined Heat and Power, Commercial Power"/>
    <x v="12"/>
    <n v="-157"/>
  </r>
  <r>
    <x v="27"/>
    <x v="4"/>
    <s v="Combined Heat and Power, Commercial Power"/>
    <x v="4"/>
    <n v="517"/>
  </r>
  <r>
    <x v="27"/>
    <x v="4"/>
    <s v="Combined Heat and Power, Commercial Power"/>
    <x v="13"/>
    <n v="120379"/>
  </r>
  <r>
    <x v="27"/>
    <x v="4"/>
    <s v="Combined Heat and Power, Commercial Power"/>
    <x v="8"/>
    <n v="800821"/>
  </r>
  <r>
    <x v="27"/>
    <x v="4"/>
    <s v="Combined Heat and Power, Commercial Power"/>
    <x v="5"/>
    <n v="5879"/>
  </r>
  <r>
    <x v="27"/>
    <x v="4"/>
    <s v="Combined Heat and Power, Electric Power"/>
    <x v="0"/>
    <n v="15865433"/>
  </r>
  <r>
    <x v="27"/>
    <x v="4"/>
    <s v="Combined Heat and Power, Electric Power"/>
    <x v="1"/>
    <n v="0"/>
  </r>
  <r>
    <x v="27"/>
    <x v="4"/>
    <s v="Combined Heat and Power, Electric Power"/>
    <x v="3"/>
    <n v="14930493"/>
  </r>
  <r>
    <x v="27"/>
    <x v="4"/>
    <s v="Combined Heat and Power, Electric Power"/>
    <x v="12"/>
    <n v="82273"/>
  </r>
  <r>
    <x v="27"/>
    <x v="4"/>
    <s v="Combined Heat and Power, Electric Power"/>
    <x v="4"/>
    <n v="0"/>
  </r>
  <r>
    <x v="27"/>
    <x v="4"/>
    <s v="Combined Heat and Power, Electric Power"/>
    <x v="13"/>
    <n v="4900"/>
  </r>
  <r>
    <x v="27"/>
    <x v="4"/>
    <s v="Combined Heat and Power, Electric Power"/>
    <x v="8"/>
    <n v="185773"/>
  </r>
  <r>
    <x v="27"/>
    <x v="4"/>
    <s v="Combined Heat and Power, Electric Power"/>
    <x v="6"/>
    <n v="661994"/>
  </r>
  <r>
    <x v="27"/>
    <x v="4"/>
    <s v="Electric Generators, Independent Power Producers"/>
    <x v="0"/>
    <n v="83476287"/>
  </r>
  <r>
    <x v="27"/>
    <x v="4"/>
    <s v="Electric Generators, Independent Power Producers"/>
    <x v="11"/>
    <n v="10788657"/>
  </r>
  <r>
    <x v="27"/>
    <x v="4"/>
    <s v="Electric Generators, Independent Power Producers"/>
    <x v="2"/>
    <n v="2545864"/>
  </r>
  <r>
    <x v="27"/>
    <x v="4"/>
    <s v="Electric Generators, Independent Power Producers"/>
    <x v="3"/>
    <n v="30869829"/>
  </r>
  <r>
    <x v="27"/>
    <x v="4"/>
    <s v="Electric Generators, Independent Power Producers"/>
    <x v="12"/>
    <n v="106144"/>
  </r>
  <r>
    <x v="27"/>
    <x v="4"/>
    <s v="Electric Generators, Independent Power Producers"/>
    <x v="4"/>
    <n v="3227"/>
  </r>
  <r>
    <x v="27"/>
    <x v="4"/>
    <s v="Electric Generators, Independent Power Producers"/>
    <x v="13"/>
    <n v="23745069"/>
  </r>
  <r>
    <x v="27"/>
    <x v="4"/>
    <s v="Electric Generators, Independent Power Producers"/>
    <x v="8"/>
    <n v="1696806"/>
  </r>
  <r>
    <x v="27"/>
    <x v="4"/>
    <s v="Electric Generators, Independent Power Producers"/>
    <x v="5"/>
    <n v="12023329"/>
  </r>
  <r>
    <x v="27"/>
    <x v="4"/>
    <s v="Electric Generators, Independent Power Producers"/>
    <x v="6"/>
    <n v="1697361"/>
  </r>
  <r>
    <x v="27"/>
    <x v="4"/>
    <s v="Electric Generators, Electric Utilities"/>
    <x v="0"/>
    <n v="90422390"/>
  </r>
  <r>
    <x v="27"/>
    <x v="4"/>
    <s v="Electric Generators, Electric Utilities"/>
    <x v="11"/>
    <n v="770943"/>
  </r>
  <r>
    <x v="27"/>
    <x v="4"/>
    <s v="Electric Generators, Electric Utilities"/>
    <x v="10"/>
    <n v="407454"/>
  </r>
  <r>
    <x v="27"/>
    <x v="4"/>
    <s v="Electric Generators, Electric Utilities"/>
    <x v="2"/>
    <n v="39798323"/>
  </r>
  <r>
    <x v="27"/>
    <x v="4"/>
    <s v="Electric Generators, Electric Utilities"/>
    <x v="3"/>
    <n v="30106358"/>
  </r>
  <r>
    <x v="27"/>
    <x v="4"/>
    <s v="Electric Generators, Electric Utilities"/>
    <x v="7"/>
    <n v="17901079"/>
  </r>
  <r>
    <x v="27"/>
    <x v="4"/>
    <s v="Electric Generators, Electric Utilities"/>
    <x v="9"/>
    <n v="0"/>
  </r>
  <r>
    <x v="27"/>
    <x v="4"/>
    <s v="Electric Generators, Electric Utilities"/>
    <x v="12"/>
    <n v="11890"/>
  </r>
  <r>
    <x v="27"/>
    <x v="4"/>
    <s v="Electric Generators, Electric Utilities"/>
    <x v="4"/>
    <n v="34500"/>
  </r>
  <r>
    <x v="27"/>
    <x v="4"/>
    <s v="Electric Generators, Electric Utilities"/>
    <x v="13"/>
    <n v="464415"/>
  </r>
  <r>
    <x v="27"/>
    <x v="4"/>
    <s v="Electric Generators, Electric Utilities"/>
    <x v="8"/>
    <n v="138563"/>
  </r>
  <r>
    <x v="27"/>
    <x v="4"/>
    <s v="Electric Generators, Electric Utilities"/>
    <x v="5"/>
    <n v="788865"/>
  </r>
  <r>
    <x v="27"/>
    <x v="5"/>
    <s v="Total Electric Power Industry"/>
    <x v="0"/>
    <n v="53844002"/>
  </r>
  <r>
    <x v="27"/>
    <x v="5"/>
    <s v="Total Electric Power Industry"/>
    <x v="1"/>
    <n v="29242216"/>
  </r>
  <r>
    <x v="27"/>
    <x v="5"/>
    <s v="Total Electric Power Industry"/>
    <x v="10"/>
    <n v="-326652"/>
  </r>
  <r>
    <x v="27"/>
    <x v="5"/>
    <s v="Total Electric Power Industry"/>
    <x v="2"/>
    <n v="1897228"/>
  </r>
  <r>
    <x v="27"/>
    <x v="5"/>
    <s v="Total Electric Power Industry"/>
    <x v="3"/>
    <n v="12532242"/>
  </r>
  <r>
    <x v="27"/>
    <x v="5"/>
    <s v="Total Electric Power Industry"/>
    <x v="12"/>
    <n v="56711"/>
  </r>
  <r>
    <x v="27"/>
    <x v="5"/>
    <s v="Total Electric Power Industry"/>
    <x v="4"/>
    <n v="7249"/>
  </r>
  <r>
    <x v="27"/>
    <x v="5"/>
    <s v="Total Electric Power Industry"/>
    <x v="13"/>
    <n v="954498"/>
  </r>
  <r>
    <x v="27"/>
    <x v="5"/>
    <s v="Total Electric Power Industry"/>
    <x v="8"/>
    <n v="74852"/>
  </r>
  <r>
    <x v="27"/>
    <x v="5"/>
    <s v="Total Electric Power Industry"/>
    <x v="5"/>
    <n v="9314663"/>
  </r>
  <r>
    <x v="27"/>
    <x v="5"/>
    <s v="Total Electric Power Industry"/>
    <x v="6"/>
    <n v="90994"/>
  </r>
  <r>
    <x v="27"/>
    <x v="5"/>
    <s v="Combined Heat and Power, Industrial Power"/>
    <x v="0"/>
    <n v="74392"/>
  </r>
  <r>
    <x v="27"/>
    <x v="5"/>
    <s v="Combined Heat and Power, Industrial Power"/>
    <x v="1"/>
    <n v="9295"/>
  </r>
  <r>
    <x v="27"/>
    <x v="5"/>
    <s v="Combined Heat and Power, Industrial Power"/>
    <x v="3"/>
    <n v="20155"/>
  </r>
  <r>
    <x v="27"/>
    <x v="5"/>
    <s v="Combined Heat and Power, Industrial Power"/>
    <x v="12"/>
    <n v="41765"/>
  </r>
  <r>
    <x v="27"/>
    <x v="5"/>
    <s v="Combined Heat and Power, Industrial Power"/>
    <x v="4"/>
    <n v="27"/>
  </r>
  <r>
    <x v="27"/>
    <x v="5"/>
    <s v="Combined Heat and Power, Industrial Power"/>
    <x v="5"/>
    <n v="3150"/>
  </r>
  <r>
    <x v="27"/>
    <x v="5"/>
    <s v="Combined Heat and Power, Commercial Power"/>
    <x v="0"/>
    <n v="30509"/>
  </r>
  <r>
    <x v="27"/>
    <x v="5"/>
    <s v="Combined Heat and Power, Commercial Power"/>
    <x v="2"/>
    <n v="13906"/>
  </r>
  <r>
    <x v="27"/>
    <x v="5"/>
    <s v="Combined Heat and Power, Commercial Power"/>
    <x v="3"/>
    <n v="2911"/>
  </r>
  <r>
    <x v="27"/>
    <x v="5"/>
    <s v="Combined Heat and Power, Commercial Power"/>
    <x v="4"/>
    <n v="0"/>
  </r>
  <r>
    <x v="27"/>
    <x v="5"/>
    <s v="Combined Heat and Power, Commercial Power"/>
    <x v="13"/>
    <n v="12467"/>
  </r>
  <r>
    <x v="27"/>
    <x v="5"/>
    <s v="Combined Heat and Power, Commercial Power"/>
    <x v="5"/>
    <n v="1225"/>
  </r>
  <r>
    <x v="27"/>
    <x v="5"/>
    <s v="Combined Heat and Power, Electric Power"/>
    <x v="0"/>
    <n v="209418"/>
  </r>
  <r>
    <x v="27"/>
    <x v="5"/>
    <s v="Combined Heat and Power, Electric Power"/>
    <x v="1"/>
    <n v="0"/>
  </r>
  <r>
    <x v="27"/>
    <x v="5"/>
    <s v="Combined Heat and Power, Electric Power"/>
    <x v="3"/>
    <n v="179856"/>
  </r>
  <r>
    <x v="27"/>
    <x v="5"/>
    <s v="Combined Heat and Power, Electric Power"/>
    <x v="4"/>
    <n v="0"/>
  </r>
  <r>
    <x v="27"/>
    <x v="5"/>
    <s v="Combined Heat and Power, Electric Power"/>
    <x v="8"/>
    <n v="29562"/>
  </r>
  <r>
    <x v="27"/>
    <x v="5"/>
    <s v="Electric Generators, Independent Power Producers"/>
    <x v="0"/>
    <n v="12058953"/>
  </r>
  <r>
    <x v="27"/>
    <x v="5"/>
    <s v="Electric Generators, Independent Power Producers"/>
    <x v="2"/>
    <n v="253385"/>
  </r>
  <r>
    <x v="27"/>
    <x v="5"/>
    <s v="Electric Generators, Independent Power Producers"/>
    <x v="3"/>
    <n v="1698870"/>
  </r>
  <r>
    <x v="27"/>
    <x v="5"/>
    <s v="Electric Generators, Independent Power Producers"/>
    <x v="12"/>
    <n v="15167"/>
  </r>
  <r>
    <x v="27"/>
    <x v="5"/>
    <s v="Electric Generators, Independent Power Producers"/>
    <x v="4"/>
    <n v="0"/>
  </r>
  <r>
    <x v="27"/>
    <x v="5"/>
    <s v="Electric Generators, Independent Power Producers"/>
    <x v="13"/>
    <n v="939986"/>
  </r>
  <r>
    <x v="27"/>
    <x v="5"/>
    <s v="Electric Generators, Independent Power Producers"/>
    <x v="8"/>
    <n v="45290"/>
  </r>
  <r>
    <x v="27"/>
    <x v="5"/>
    <s v="Electric Generators, Independent Power Producers"/>
    <x v="5"/>
    <n v="9015261"/>
  </r>
  <r>
    <x v="27"/>
    <x v="5"/>
    <s v="Electric Generators, Independent Power Producers"/>
    <x v="6"/>
    <n v="90994"/>
  </r>
  <r>
    <x v="27"/>
    <x v="5"/>
    <s v="Electric Generators, Electric Utilities"/>
    <x v="0"/>
    <n v="41470730"/>
  </r>
  <r>
    <x v="27"/>
    <x v="5"/>
    <s v="Electric Generators, Electric Utilities"/>
    <x v="1"/>
    <n v="29232922"/>
  </r>
  <r>
    <x v="27"/>
    <x v="5"/>
    <s v="Electric Generators, Electric Utilities"/>
    <x v="10"/>
    <n v="-326652"/>
  </r>
  <r>
    <x v="27"/>
    <x v="5"/>
    <s v="Electric Generators, Electric Utilities"/>
    <x v="2"/>
    <n v="1629937"/>
  </r>
  <r>
    <x v="27"/>
    <x v="5"/>
    <s v="Electric Generators, Electric Utilities"/>
    <x v="3"/>
    <n v="10630451"/>
  </r>
  <r>
    <x v="27"/>
    <x v="5"/>
    <s v="Electric Generators, Electric Utilities"/>
    <x v="12"/>
    <n v="-221"/>
  </r>
  <r>
    <x v="27"/>
    <x v="5"/>
    <s v="Electric Generators, Electric Utilities"/>
    <x v="4"/>
    <n v="7222"/>
  </r>
  <r>
    <x v="27"/>
    <x v="5"/>
    <s v="Electric Generators, Electric Utilities"/>
    <x v="13"/>
    <n v="2045"/>
  </r>
  <r>
    <x v="27"/>
    <x v="5"/>
    <s v="Electric Generators, Electric Utilities"/>
    <x v="5"/>
    <n v="295027"/>
  </r>
  <r>
    <x v="27"/>
    <x v="6"/>
    <s v="Total Electric Power Industry"/>
    <x v="0"/>
    <n v="34562654"/>
  </r>
  <r>
    <x v="27"/>
    <x v="6"/>
    <s v="Total Electric Power Industry"/>
    <x v="1"/>
    <n v="197509"/>
  </r>
  <r>
    <x v="27"/>
    <x v="6"/>
    <s v="Total Electric Power Industry"/>
    <x v="10"/>
    <n v="1797"/>
  </r>
  <r>
    <x v="27"/>
    <x v="6"/>
    <s v="Total Electric Power Industry"/>
    <x v="2"/>
    <n v="332187"/>
  </r>
  <r>
    <x v="27"/>
    <x v="6"/>
    <s v="Total Electric Power Industry"/>
    <x v="3"/>
    <n v="15961257"/>
  </r>
  <r>
    <x v="27"/>
    <x v="6"/>
    <s v="Total Electric Power Industry"/>
    <x v="7"/>
    <n v="16499621"/>
  </r>
  <r>
    <x v="27"/>
    <x v="6"/>
    <s v="Total Electric Power Industry"/>
    <x v="12"/>
    <n v="546886"/>
  </r>
  <r>
    <x v="27"/>
    <x v="6"/>
    <s v="Total Electric Power Industry"/>
    <x v="4"/>
    <n v="178437"/>
  </r>
  <r>
    <x v="27"/>
    <x v="6"/>
    <s v="Total Electric Power Industry"/>
    <x v="13"/>
    <n v="39866"/>
  </r>
  <r>
    <x v="27"/>
    <x v="6"/>
    <s v="Total Electric Power Industry"/>
    <x v="8"/>
    <n v="584313"/>
  </r>
  <r>
    <x v="27"/>
    <x v="6"/>
    <s v="Total Electric Power Industry"/>
    <x v="5"/>
    <n v="12706"/>
  </r>
  <r>
    <x v="27"/>
    <x v="6"/>
    <s v="Total Electric Power Industry"/>
    <x v="6"/>
    <n v="208075"/>
  </r>
  <r>
    <x v="27"/>
    <x v="6"/>
    <s v="Combined Heat and Power, Industrial Power"/>
    <x v="0"/>
    <n v="615832"/>
  </r>
  <r>
    <x v="27"/>
    <x v="6"/>
    <s v="Combined Heat and Power, Industrial Power"/>
    <x v="3"/>
    <n v="615032"/>
  </r>
  <r>
    <x v="27"/>
    <x v="6"/>
    <s v="Combined Heat and Power, Industrial Power"/>
    <x v="4"/>
    <n v="690"/>
  </r>
  <r>
    <x v="27"/>
    <x v="6"/>
    <s v="Combined Heat and Power, Industrial Power"/>
    <x v="13"/>
    <n v="110"/>
  </r>
  <r>
    <x v="27"/>
    <x v="6"/>
    <s v="Combined Heat and Power, Commercial Power"/>
    <x v="0"/>
    <n v="422813"/>
  </r>
  <r>
    <x v="27"/>
    <x v="6"/>
    <s v="Combined Heat and Power, Commercial Power"/>
    <x v="3"/>
    <n v="418567"/>
  </r>
  <r>
    <x v="27"/>
    <x v="6"/>
    <s v="Combined Heat and Power, Commercial Power"/>
    <x v="4"/>
    <n v="3521"/>
  </r>
  <r>
    <x v="27"/>
    <x v="6"/>
    <s v="Combined Heat and Power, Commercial Power"/>
    <x v="13"/>
    <n v="725"/>
  </r>
  <r>
    <x v="27"/>
    <x v="6"/>
    <s v="Combined Heat and Power, Electric Power"/>
    <x v="0"/>
    <n v="221348"/>
  </r>
  <r>
    <x v="27"/>
    <x v="6"/>
    <s v="Combined Heat and Power, Electric Power"/>
    <x v="3"/>
    <n v="220414"/>
  </r>
  <r>
    <x v="27"/>
    <x v="6"/>
    <s v="Combined Heat and Power, Electric Power"/>
    <x v="4"/>
    <n v="934"/>
  </r>
  <r>
    <x v="27"/>
    <x v="6"/>
    <s v="Electric Generators, Independent Power Producers"/>
    <x v="0"/>
    <n v="33204311"/>
  </r>
  <r>
    <x v="27"/>
    <x v="6"/>
    <s v="Electric Generators, Independent Power Producers"/>
    <x v="1"/>
    <n v="197509"/>
  </r>
  <r>
    <x v="27"/>
    <x v="6"/>
    <s v="Electric Generators, Independent Power Producers"/>
    <x v="10"/>
    <n v="1797"/>
  </r>
  <r>
    <x v="27"/>
    <x v="6"/>
    <s v="Electric Generators, Independent Power Producers"/>
    <x v="2"/>
    <n v="307029"/>
  </r>
  <r>
    <x v="27"/>
    <x v="6"/>
    <s v="Electric Generators, Independent Power Producers"/>
    <x v="3"/>
    <n v="14643007"/>
  </r>
  <r>
    <x v="27"/>
    <x v="6"/>
    <s v="Electric Generators, Independent Power Producers"/>
    <x v="7"/>
    <n v="16499621"/>
  </r>
  <r>
    <x v="27"/>
    <x v="6"/>
    <s v="Electric Generators, Independent Power Producers"/>
    <x v="12"/>
    <n v="546886"/>
  </r>
  <r>
    <x v="27"/>
    <x v="6"/>
    <s v="Electric Generators, Independent Power Producers"/>
    <x v="4"/>
    <n v="167811"/>
  </r>
  <r>
    <x v="27"/>
    <x v="6"/>
    <s v="Electric Generators, Independent Power Producers"/>
    <x v="13"/>
    <n v="35557"/>
  </r>
  <r>
    <x v="27"/>
    <x v="6"/>
    <s v="Electric Generators, Independent Power Producers"/>
    <x v="8"/>
    <n v="584313"/>
  </r>
  <r>
    <x v="27"/>
    <x v="6"/>
    <s v="Electric Generators, Independent Power Producers"/>
    <x v="5"/>
    <n v="12706"/>
  </r>
  <r>
    <x v="27"/>
    <x v="6"/>
    <s v="Electric Generators, Independent Power Producers"/>
    <x v="6"/>
    <n v="208075"/>
  </r>
  <r>
    <x v="27"/>
    <x v="6"/>
    <s v="Electric Generators, Electric Utilities"/>
    <x v="0"/>
    <n v="98350"/>
  </r>
  <r>
    <x v="27"/>
    <x v="6"/>
    <s v="Electric Generators, Electric Utilities"/>
    <x v="2"/>
    <n v="25158"/>
  </r>
  <r>
    <x v="27"/>
    <x v="6"/>
    <s v="Electric Generators, Electric Utilities"/>
    <x v="3"/>
    <n v="64237"/>
  </r>
  <r>
    <x v="27"/>
    <x v="6"/>
    <s v="Electric Generators, Electric Utilities"/>
    <x v="4"/>
    <n v="5481"/>
  </r>
  <r>
    <x v="27"/>
    <x v="6"/>
    <s v="Electric Generators, Electric Utilities"/>
    <x v="13"/>
    <n v="3474"/>
  </r>
  <r>
    <x v="27"/>
    <x v="6"/>
    <s v="Electric Generators, Electric Utilities"/>
    <x v="8"/>
    <n v="0"/>
  </r>
  <r>
    <x v="27"/>
    <x v="7"/>
    <s v="Total Electric Power Industry"/>
    <x v="0"/>
    <n v="66871"/>
  </r>
  <r>
    <x v="27"/>
    <x v="7"/>
    <s v="Total Electric Power Industry"/>
    <x v="3"/>
    <n v="19704"/>
  </r>
  <r>
    <x v="27"/>
    <x v="7"/>
    <s v="Total Electric Power Industry"/>
    <x v="4"/>
    <n v="0"/>
  </r>
  <r>
    <x v="27"/>
    <x v="7"/>
    <s v="Total Electric Power Industry"/>
    <x v="8"/>
    <n v="47167"/>
  </r>
  <r>
    <x v="27"/>
    <x v="7"/>
    <s v="Combined Heat and Power, Commercial Power"/>
    <x v="0"/>
    <n v="66871"/>
  </r>
  <r>
    <x v="27"/>
    <x v="7"/>
    <s v="Combined Heat and Power, Commercial Power"/>
    <x v="3"/>
    <n v="19704"/>
  </r>
  <r>
    <x v="27"/>
    <x v="7"/>
    <s v="Combined Heat and Power, Commercial Power"/>
    <x v="4"/>
    <n v="0"/>
  </r>
  <r>
    <x v="27"/>
    <x v="7"/>
    <s v="Combined Heat and Power, Commercial Power"/>
    <x v="8"/>
    <n v="47167"/>
  </r>
  <r>
    <x v="27"/>
    <x v="8"/>
    <s v="Total Electric Power Industry"/>
    <x v="0"/>
    <n v="7495976"/>
  </r>
  <r>
    <x v="27"/>
    <x v="8"/>
    <s v="Total Electric Power Industry"/>
    <x v="1"/>
    <n v="358797"/>
  </r>
  <r>
    <x v="27"/>
    <x v="8"/>
    <s v="Total Electric Power Industry"/>
    <x v="3"/>
    <n v="6723188"/>
  </r>
  <r>
    <x v="27"/>
    <x v="8"/>
    <s v="Total Electric Power Industry"/>
    <x v="9"/>
    <n v="270513"/>
  </r>
  <r>
    <x v="27"/>
    <x v="8"/>
    <s v="Total Electric Power Industry"/>
    <x v="4"/>
    <n v="25413"/>
  </r>
  <r>
    <x v="27"/>
    <x v="8"/>
    <s v="Total Electric Power Industry"/>
    <x v="13"/>
    <n v="50285"/>
  </r>
  <r>
    <x v="27"/>
    <x v="8"/>
    <s v="Total Electric Power Industry"/>
    <x v="8"/>
    <n v="62815"/>
  </r>
  <r>
    <x v="27"/>
    <x v="8"/>
    <s v="Total Electric Power Industry"/>
    <x v="5"/>
    <n v="4965"/>
  </r>
  <r>
    <x v="27"/>
    <x v="8"/>
    <s v="Combined Heat and Power, Industrial Power"/>
    <x v="0"/>
    <n v="1161407"/>
  </r>
  <r>
    <x v="27"/>
    <x v="8"/>
    <s v="Combined Heat and Power, Industrial Power"/>
    <x v="3"/>
    <n v="877618"/>
  </r>
  <r>
    <x v="27"/>
    <x v="8"/>
    <s v="Combined Heat and Power, Industrial Power"/>
    <x v="9"/>
    <n v="270513"/>
  </r>
  <r>
    <x v="27"/>
    <x v="8"/>
    <s v="Combined Heat and Power, Industrial Power"/>
    <x v="4"/>
    <n v="0"/>
  </r>
  <r>
    <x v="27"/>
    <x v="8"/>
    <s v="Combined Heat and Power, Industrial Power"/>
    <x v="8"/>
    <n v="13276"/>
  </r>
  <r>
    <x v="27"/>
    <x v="8"/>
    <s v="Combined Heat and Power, Commercial Power"/>
    <x v="0"/>
    <n v="6417"/>
  </r>
  <r>
    <x v="27"/>
    <x v="8"/>
    <s v="Combined Heat and Power, Commercial Power"/>
    <x v="13"/>
    <n v="1452"/>
  </r>
  <r>
    <x v="27"/>
    <x v="8"/>
    <s v="Combined Heat and Power, Commercial Power"/>
    <x v="5"/>
    <n v="4965"/>
  </r>
  <r>
    <x v="27"/>
    <x v="8"/>
    <s v="Combined Heat and Power, Electric Power"/>
    <x v="0"/>
    <n v="72227"/>
  </r>
  <r>
    <x v="27"/>
    <x v="8"/>
    <s v="Combined Heat and Power, Electric Power"/>
    <x v="1"/>
    <n v="0"/>
  </r>
  <r>
    <x v="27"/>
    <x v="8"/>
    <s v="Combined Heat and Power, Electric Power"/>
    <x v="3"/>
    <n v="71430"/>
  </r>
  <r>
    <x v="27"/>
    <x v="8"/>
    <s v="Combined Heat and Power, Electric Power"/>
    <x v="4"/>
    <n v="796"/>
  </r>
  <r>
    <x v="27"/>
    <x v="8"/>
    <s v="Electric Generators, Independent Power Producers"/>
    <x v="0"/>
    <n v="6232166"/>
  </r>
  <r>
    <x v="27"/>
    <x v="8"/>
    <s v="Electric Generators, Independent Power Producers"/>
    <x v="1"/>
    <n v="358797"/>
  </r>
  <r>
    <x v="27"/>
    <x v="8"/>
    <s v="Electric Generators, Independent Power Producers"/>
    <x v="3"/>
    <n v="5758850"/>
  </r>
  <r>
    <x v="27"/>
    <x v="8"/>
    <s v="Electric Generators, Independent Power Producers"/>
    <x v="4"/>
    <n v="22516"/>
  </r>
  <r>
    <x v="27"/>
    <x v="8"/>
    <s v="Electric Generators, Independent Power Producers"/>
    <x v="13"/>
    <n v="42464"/>
  </r>
  <r>
    <x v="27"/>
    <x v="8"/>
    <s v="Electric Generators, Independent Power Producers"/>
    <x v="8"/>
    <n v="49539"/>
  </r>
  <r>
    <x v="27"/>
    <x v="8"/>
    <s v="Electric Generators, Electric Utilities"/>
    <x v="0"/>
    <n v="23760"/>
  </r>
  <r>
    <x v="27"/>
    <x v="8"/>
    <s v="Electric Generators, Electric Utilities"/>
    <x v="3"/>
    <n v="15291"/>
  </r>
  <r>
    <x v="27"/>
    <x v="8"/>
    <s v="Electric Generators, Electric Utilities"/>
    <x v="4"/>
    <n v="2100"/>
  </r>
  <r>
    <x v="27"/>
    <x v="8"/>
    <s v="Electric Generators, Electric Utilities"/>
    <x v="13"/>
    <n v="6369"/>
  </r>
  <r>
    <x v="27"/>
    <x v="9"/>
    <s v="Total Electric Power Industry"/>
    <x v="0"/>
    <n v="238413437"/>
  </r>
  <r>
    <x v="27"/>
    <x v="9"/>
    <s v="Total Electric Power Industry"/>
    <x v="1"/>
    <n v="37512762"/>
  </r>
  <r>
    <x v="27"/>
    <x v="9"/>
    <s v="Total Electric Power Industry"/>
    <x v="2"/>
    <n v="218299"/>
  </r>
  <r>
    <x v="27"/>
    <x v="9"/>
    <s v="Total Electric Power Industry"/>
    <x v="3"/>
    <n v="161104588"/>
  </r>
  <r>
    <x v="27"/>
    <x v="9"/>
    <s v="Total Electric Power Industry"/>
    <x v="7"/>
    <n v="29146219"/>
  </r>
  <r>
    <x v="27"/>
    <x v="9"/>
    <s v="Total Electric Power Industry"/>
    <x v="9"/>
    <n v="4904"/>
  </r>
  <r>
    <x v="27"/>
    <x v="9"/>
    <s v="Total Electric Power Industry"/>
    <x v="12"/>
    <n v="3078159"/>
  </r>
  <r>
    <x v="27"/>
    <x v="9"/>
    <s v="Total Electric Power Industry"/>
    <x v="4"/>
    <n v="1462884"/>
  </r>
  <r>
    <x v="27"/>
    <x v="9"/>
    <s v="Total Electric Power Industry"/>
    <x v="13"/>
    <n v="876427"/>
  </r>
  <r>
    <x v="27"/>
    <x v="9"/>
    <s v="Total Electric Power Industry"/>
    <x v="8"/>
    <n v="2784879"/>
  </r>
  <r>
    <x v="27"/>
    <x v="9"/>
    <s v="Total Electric Power Industry"/>
    <x v="6"/>
    <n v="2224315"/>
  </r>
  <r>
    <x v="27"/>
    <x v="9"/>
    <s v="Combined Heat and Power, Industrial Power"/>
    <x v="0"/>
    <n v="5188148"/>
  </r>
  <r>
    <x v="27"/>
    <x v="9"/>
    <s v="Combined Heat and Power, Industrial Power"/>
    <x v="1"/>
    <n v="138657"/>
  </r>
  <r>
    <x v="27"/>
    <x v="9"/>
    <s v="Combined Heat and Power, Industrial Power"/>
    <x v="3"/>
    <n v="1445744"/>
  </r>
  <r>
    <x v="27"/>
    <x v="9"/>
    <s v="Combined Heat and Power, Industrial Power"/>
    <x v="9"/>
    <n v="4904"/>
  </r>
  <r>
    <x v="27"/>
    <x v="9"/>
    <s v="Combined Heat and Power, Industrial Power"/>
    <x v="12"/>
    <n v="1612615"/>
  </r>
  <r>
    <x v="27"/>
    <x v="9"/>
    <s v="Combined Heat and Power, Industrial Power"/>
    <x v="4"/>
    <n v="16926"/>
  </r>
  <r>
    <x v="27"/>
    <x v="9"/>
    <s v="Combined Heat and Power, Industrial Power"/>
    <x v="13"/>
    <n v="1745"/>
  </r>
  <r>
    <x v="27"/>
    <x v="9"/>
    <s v="Combined Heat and Power, Industrial Power"/>
    <x v="8"/>
    <n v="381448"/>
  </r>
  <r>
    <x v="27"/>
    <x v="9"/>
    <s v="Combined Heat and Power, Industrial Power"/>
    <x v="6"/>
    <n v="1586108"/>
  </r>
  <r>
    <x v="27"/>
    <x v="9"/>
    <s v="Combined Heat and Power, Commercial Power"/>
    <x v="0"/>
    <n v="71665"/>
  </r>
  <r>
    <x v="27"/>
    <x v="9"/>
    <s v="Combined Heat and Power, Commercial Power"/>
    <x v="3"/>
    <n v="24278"/>
  </r>
  <r>
    <x v="27"/>
    <x v="9"/>
    <s v="Combined Heat and Power, Commercial Power"/>
    <x v="4"/>
    <n v="0"/>
  </r>
  <r>
    <x v="27"/>
    <x v="9"/>
    <s v="Combined Heat and Power, Commercial Power"/>
    <x v="13"/>
    <n v="3332"/>
  </r>
  <r>
    <x v="27"/>
    <x v="9"/>
    <s v="Combined Heat and Power, Commercial Power"/>
    <x v="8"/>
    <n v="44055"/>
  </r>
  <r>
    <x v="27"/>
    <x v="9"/>
    <s v="Combined Heat and Power, Electric Power"/>
    <x v="0"/>
    <n v="3095746"/>
  </r>
  <r>
    <x v="27"/>
    <x v="9"/>
    <s v="Combined Heat and Power, Electric Power"/>
    <x v="1"/>
    <n v="108933"/>
  </r>
  <r>
    <x v="27"/>
    <x v="9"/>
    <s v="Combined Heat and Power, Electric Power"/>
    <x v="3"/>
    <n v="2934563"/>
  </r>
  <r>
    <x v="27"/>
    <x v="9"/>
    <s v="Combined Heat and Power, Electric Power"/>
    <x v="4"/>
    <n v="0"/>
  </r>
  <r>
    <x v="27"/>
    <x v="9"/>
    <s v="Combined Heat and Power, Electric Power"/>
    <x v="8"/>
    <n v="52246"/>
  </r>
  <r>
    <x v="27"/>
    <x v="9"/>
    <s v="Combined Heat and Power, Electric Power"/>
    <x v="6"/>
    <n v="3"/>
  </r>
  <r>
    <x v="27"/>
    <x v="9"/>
    <s v="Electric Generators, Independent Power Producers"/>
    <x v="0"/>
    <n v="7785644"/>
  </r>
  <r>
    <x v="27"/>
    <x v="9"/>
    <s v="Electric Generators, Independent Power Producers"/>
    <x v="1"/>
    <n v="0"/>
  </r>
  <r>
    <x v="27"/>
    <x v="9"/>
    <s v="Electric Generators, Independent Power Producers"/>
    <x v="3"/>
    <n v="3671812"/>
  </r>
  <r>
    <x v="27"/>
    <x v="9"/>
    <s v="Electric Generators, Independent Power Producers"/>
    <x v="12"/>
    <n v="1465544"/>
  </r>
  <r>
    <x v="27"/>
    <x v="9"/>
    <s v="Electric Generators, Independent Power Producers"/>
    <x v="4"/>
    <n v="6467"/>
  </r>
  <r>
    <x v="27"/>
    <x v="9"/>
    <s v="Electric Generators, Independent Power Producers"/>
    <x v="13"/>
    <n v="134955"/>
  </r>
  <r>
    <x v="27"/>
    <x v="9"/>
    <s v="Electric Generators, Independent Power Producers"/>
    <x v="8"/>
    <n v="2225103"/>
  </r>
  <r>
    <x v="27"/>
    <x v="9"/>
    <s v="Electric Generators, Independent Power Producers"/>
    <x v="6"/>
    <n v="281763"/>
  </r>
  <r>
    <x v="27"/>
    <x v="9"/>
    <s v="Electric Generators, Electric Utilities"/>
    <x v="0"/>
    <n v="222272234"/>
  </r>
  <r>
    <x v="27"/>
    <x v="9"/>
    <s v="Electric Generators, Electric Utilities"/>
    <x v="1"/>
    <n v="37265172"/>
  </r>
  <r>
    <x v="27"/>
    <x v="9"/>
    <s v="Electric Generators, Electric Utilities"/>
    <x v="2"/>
    <n v="218299"/>
  </r>
  <r>
    <x v="27"/>
    <x v="9"/>
    <s v="Electric Generators, Electric Utilities"/>
    <x v="3"/>
    <n v="153028191"/>
  </r>
  <r>
    <x v="27"/>
    <x v="9"/>
    <s v="Electric Generators, Electric Utilities"/>
    <x v="7"/>
    <n v="29146219"/>
  </r>
  <r>
    <x v="27"/>
    <x v="9"/>
    <s v="Electric Generators, Electric Utilities"/>
    <x v="4"/>
    <n v="1439492"/>
  </r>
  <r>
    <x v="27"/>
    <x v="9"/>
    <s v="Electric Generators, Electric Utilities"/>
    <x v="13"/>
    <n v="736395"/>
  </r>
  <r>
    <x v="27"/>
    <x v="9"/>
    <s v="Electric Generators, Electric Utilities"/>
    <x v="8"/>
    <n v="82026"/>
  </r>
  <r>
    <x v="27"/>
    <x v="9"/>
    <s v="Electric Generators, Electric Utilities"/>
    <x v="6"/>
    <n v="356440"/>
  </r>
  <r>
    <x v="27"/>
    <x v="10"/>
    <s v="Total Electric Power Industry"/>
    <x v="0"/>
    <n v="127455314"/>
  </r>
  <r>
    <x v="27"/>
    <x v="10"/>
    <s v="Total Electric Power Industry"/>
    <x v="1"/>
    <n v="32487058"/>
  </r>
  <r>
    <x v="27"/>
    <x v="10"/>
    <s v="Total Electric Power Industry"/>
    <x v="10"/>
    <n v="-1247579"/>
  </r>
  <r>
    <x v="27"/>
    <x v="10"/>
    <s v="Total Electric Power Industry"/>
    <x v="2"/>
    <n v="2409749"/>
  </r>
  <r>
    <x v="27"/>
    <x v="10"/>
    <s v="Total Electric Power Industry"/>
    <x v="3"/>
    <n v="52722500"/>
  </r>
  <r>
    <x v="27"/>
    <x v="10"/>
    <s v="Total Electric Power Industry"/>
    <x v="7"/>
    <n v="33708805"/>
  </r>
  <r>
    <x v="27"/>
    <x v="10"/>
    <s v="Total Electric Power Industry"/>
    <x v="12"/>
    <n v="87395"/>
  </r>
  <r>
    <x v="27"/>
    <x v="10"/>
    <s v="Total Electric Power Industry"/>
    <x v="4"/>
    <n v="282778"/>
  </r>
  <r>
    <x v="27"/>
    <x v="10"/>
    <s v="Total Electric Power Industry"/>
    <x v="13"/>
    <n v="1986272"/>
  </r>
  <r>
    <x v="27"/>
    <x v="10"/>
    <s v="Total Electric Power Industry"/>
    <x v="8"/>
    <n v="352728"/>
  </r>
  <r>
    <x v="27"/>
    <x v="10"/>
    <s v="Total Electric Power Industry"/>
    <x v="6"/>
    <n v="4665608"/>
  </r>
  <r>
    <x v="27"/>
    <x v="10"/>
    <s v="Combined Heat and Power, Industrial Power"/>
    <x v="0"/>
    <n v="5062759"/>
  </r>
  <r>
    <x v="27"/>
    <x v="10"/>
    <s v="Combined Heat and Power, Industrial Power"/>
    <x v="1"/>
    <n v="175569"/>
  </r>
  <r>
    <x v="27"/>
    <x v="10"/>
    <s v="Combined Heat and Power, Industrial Power"/>
    <x v="2"/>
    <n v="19195"/>
  </r>
  <r>
    <x v="27"/>
    <x v="10"/>
    <s v="Combined Heat and Power, Industrial Power"/>
    <x v="3"/>
    <n v="590972"/>
  </r>
  <r>
    <x v="27"/>
    <x v="10"/>
    <s v="Combined Heat and Power, Industrial Power"/>
    <x v="12"/>
    <n v="87342"/>
  </r>
  <r>
    <x v="27"/>
    <x v="10"/>
    <s v="Combined Heat and Power, Industrial Power"/>
    <x v="4"/>
    <n v="202266"/>
  </r>
  <r>
    <x v="27"/>
    <x v="10"/>
    <s v="Combined Heat and Power, Industrial Power"/>
    <x v="8"/>
    <n v="48881"/>
  </r>
  <r>
    <x v="27"/>
    <x v="10"/>
    <s v="Combined Heat and Power, Industrial Power"/>
    <x v="6"/>
    <n v="3938532"/>
  </r>
  <r>
    <x v="27"/>
    <x v="10"/>
    <s v="Combined Heat and Power, Commercial Power"/>
    <x v="0"/>
    <n v="5612"/>
  </r>
  <r>
    <x v="27"/>
    <x v="10"/>
    <s v="Combined Heat and Power, Commercial Power"/>
    <x v="3"/>
    <n v="105"/>
  </r>
  <r>
    <x v="27"/>
    <x v="10"/>
    <s v="Combined Heat and Power, Commercial Power"/>
    <x v="4"/>
    <n v="2486"/>
  </r>
  <r>
    <x v="27"/>
    <x v="10"/>
    <s v="Combined Heat and Power, Commercial Power"/>
    <x v="13"/>
    <n v="2704"/>
  </r>
  <r>
    <x v="27"/>
    <x v="10"/>
    <s v="Combined Heat and Power, Commercial Power"/>
    <x v="8"/>
    <n v="317"/>
  </r>
  <r>
    <x v="27"/>
    <x v="10"/>
    <s v="Combined Heat and Power, Electric Power"/>
    <x v="0"/>
    <n v="358256"/>
  </r>
  <r>
    <x v="27"/>
    <x v="10"/>
    <s v="Combined Heat and Power, Electric Power"/>
    <x v="3"/>
    <n v="158616"/>
  </r>
  <r>
    <x v="27"/>
    <x v="10"/>
    <s v="Combined Heat and Power, Electric Power"/>
    <x v="4"/>
    <n v="1963"/>
  </r>
  <r>
    <x v="27"/>
    <x v="10"/>
    <s v="Combined Heat and Power, Electric Power"/>
    <x v="8"/>
    <n v="7153"/>
  </r>
  <r>
    <x v="27"/>
    <x v="10"/>
    <s v="Combined Heat and Power, Electric Power"/>
    <x v="6"/>
    <n v="190525"/>
  </r>
  <r>
    <x v="27"/>
    <x v="10"/>
    <s v="Electric Generators, Independent Power Producers"/>
    <x v="0"/>
    <n v="14849891"/>
  </r>
  <r>
    <x v="27"/>
    <x v="10"/>
    <s v="Electric Generators, Independent Power Producers"/>
    <x v="2"/>
    <n v="6172"/>
  </r>
  <r>
    <x v="27"/>
    <x v="10"/>
    <s v="Electric Generators, Independent Power Producers"/>
    <x v="3"/>
    <n v="12277018"/>
  </r>
  <r>
    <x v="27"/>
    <x v="10"/>
    <s v="Electric Generators, Independent Power Producers"/>
    <x v="4"/>
    <n v="2487"/>
  </r>
  <r>
    <x v="27"/>
    <x v="10"/>
    <s v="Electric Generators, Independent Power Producers"/>
    <x v="13"/>
    <n v="1731286"/>
  </r>
  <r>
    <x v="27"/>
    <x v="10"/>
    <s v="Electric Generators, Independent Power Producers"/>
    <x v="8"/>
    <n v="296377"/>
  </r>
  <r>
    <x v="27"/>
    <x v="10"/>
    <s v="Electric Generators, Independent Power Producers"/>
    <x v="6"/>
    <n v="536551"/>
  </r>
  <r>
    <x v="27"/>
    <x v="10"/>
    <s v="Electric Generators, Electric Utilities"/>
    <x v="0"/>
    <n v="107178796"/>
  </r>
  <r>
    <x v="27"/>
    <x v="10"/>
    <s v="Electric Generators, Electric Utilities"/>
    <x v="1"/>
    <n v="32311489"/>
  </r>
  <r>
    <x v="27"/>
    <x v="10"/>
    <s v="Electric Generators, Electric Utilities"/>
    <x v="10"/>
    <n v="-1247579"/>
  </r>
  <r>
    <x v="27"/>
    <x v="10"/>
    <s v="Electric Generators, Electric Utilities"/>
    <x v="2"/>
    <n v="2384382"/>
  </r>
  <r>
    <x v="27"/>
    <x v="10"/>
    <s v="Electric Generators, Electric Utilities"/>
    <x v="3"/>
    <n v="39695789"/>
  </r>
  <r>
    <x v="27"/>
    <x v="10"/>
    <s v="Electric Generators, Electric Utilities"/>
    <x v="7"/>
    <n v="33708805"/>
  </r>
  <r>
    <x v="27"/>
    <x v="10"/>
    <s v="Electric Generators, Electric Utilities"/>
    <x v="12"/>
    <n v="53"/>
  </r>
  <r>
    <x v="27"/>
    <x v="10"/>
    <s v="Electric Generators, Electric Utilities"/>
    <x v="4"/>
    <n v="73576"/>
  </r>
  <r>
    <x v="27"/>
    <x v="10"/>
    <s v="Electric Generators, Electric Utilities"/>
    <x v="13"/>
    <n v="252282"/>
  </r>
  <r>
    <x v="27"/>
    <x v="11"/>
    <s v="Total Electric Power Industry"/>
    <x v="0"/>
    <n v="9812968"/>
  </r>
  <r>
    <x v="27"/>
    <x v="11"/>
    <s v="Total Electric Power Industry"/>
    <x v="1"/>
    <n v="1375724"/>
  </r>
  <r>
    <x v="27"/>
    <x v="11"/>
    <s v="Total Electric Power Industry"/>
    <x v="11"/>
    <n v="322592"/>
  </r>
  <r>
    <x v="27"/>
    <x v="11"/>
    <s v="Total Electric Power Industry"/>
    <x v="2"/>
    <n v="66075"/>
  </r>
  <r>
    <x v="27"/>
    <x v="11"/>
    <s v="Total Electric Power Industry"/>
    <x v="9"/>
    <n v="52022"/>
  </r>
  <r>
    <x v="27"/>
    <x v="11"/>
    <s v="Total Electric Power Industry"/>
    <x v="12"/>
    <n v="363123"/>
  </r>
  <r>
    <x v="27"/>
    <x v="11"/>
    <s v="Total Electric Power Industry"/>
    <x v="4"/>
    <n v="6633596"/>
  </r>
  <r>
    <x v="27"/>
    <x v="11"/>
    <s v="Total Electric Power Industry"/>
    <x v="13"/>
    <n v="175019"/>
  </r>
  <r>
    <x v="27"/>
    <x v="11"/>
    <s v="Total Electric Power Industry"/>
    <x v="8"/>
    <n v="292762"/>
  </r>
  <r>
    <x v="27"/>
    <x v="11"/>
    <s v="Total Electric Power Industry"/>
    <x v="5"/>
    <n v="532055"/>
  </r>
  <r>
    <x v="27"/>
    <x v="11"/>
    <s v="Combined Heat and Power, Industrial Power"/>
    <x v="0"/>
    <n v="292364"/>
  </r>
  <r>
    <x v="27"/>
    <x v="11"/>
    <s v="Combined Heat and Power, Industrial Power"/>
    <x v="2"/>
    <n v="36823"/>
  </r>
  <r>
    <x v="27"/>
    <x v="11"/>
    <s v="Combined Heat and Power, Industrial Power"/>
    <x v="9"/>
    <n v="52022"/>
  </r>
  <r>
    <x v="27"/>
    <x v="11"/>
    <s v="Combined Heat and Power, Industrial Power"/>
    <x v="4"/>
    <n v="203518"/>
  </r>
  <r>
    <x v="27"/>
    <x v="11"/>
    <s v="Combined Heat and Power, Commercial Power"/>
    <x v="0"/>
    <n v="372839"/>
  </r>
  <r>
    <x v="27"/>
    <x v="11"/>
    <s v="Combined Heat and Power, Commercial Power"/>
    <x v="12"/>
    <n v="181599"/>
  </r>
  <r>
    <x v="27"/>
    <x v="11"/>
    <s v="Combined Heat and Power, Commercial Power"/>
    <x v="4"/>
    <n v="2232"/>
  </r>
  <r>
    <x v="27"/>
    <x v="11"/>
    <s v="Combined Heat and Power, Commercial Power"/>
    <x v="8"/>
    <n v="189008"/>
  </r>
  <r>
    <x v="27"/>
    <x v="11"/>
    <s v="Combined Heat and Power, Electric Power"/>
    <x v="0"/>
    <n v="2725444"/>
  </r>
  <r>
    <x v="27"/>
    <x v="11"/>
    <s v="Combined Heat and Power, Electric Power"/>
    <x v="1"/>
    <n v="1375724"/>
  </r>
  <r>
    <x v="27"/>
    <x v="11"/>
    <s v="Combined Heat and Power, Electric Power"/>
    <x v="12"/>
    <n v="2117"/>
  </r>
  <r>
    <x v="27"/>
    <x v="11"/>
    <s v="Combined Heat and Power, Electric Power"/>
    <x v="4"/>
    <n v="1347603"/>
  </r>
  <r>
    <x v="27"/>
    <x v="11"/>
    <s v="Combined Heat and Power, Electric Power"/>
    <x v="8"/>
    <n v="0"/>
  </r>
  <r>
    <x v="27"/>
    <x v="11"/>
    <s v="Electric Generators, Independent Power Producers"/>
    <x v="0"/>
    <n v="1199759"/>
  </r>
  <r>
    <x v="27"/>
    <x v="11"/>
    <s v="Electric Generators, Independent Power Producers"/>
    <x v="11"/>
    <n v="322592"/>
  </r>
  <r>
    <x v="27"/>
    <x v="11"/>
    <s v="Electric Generators, Independent Power Producers"/>
    <x v="2"/>
    <n v="19466"/>
  </r>
  <r>
    <x v="27"/>
    <x v="11"/>
    <s v="Electric Generators, Independent Power Producers"/>
    <x v="12"/>
    <n v="-724"/>
  </r>
  <r>
    <x v="27"/>
    <x v="11"/>
    <s v="Electric Generators, Independent Power Producers"/>
    <x v="4"/>
    <n v="145781"/>
  </r>
  <r>
    <x v="27"/>
    <x v="11"/>
    <s v="Electric Generators, Independent Power Producers"/>
    <x v="13"/>
    <n v="131676"/>
  </r>
  <r>
    <x v="27"/>
    <x v="11"/>
    <s v="Electric Generators, Independent Power Producers"/>
    <x v="8"/>
    <n v="48913"/>
  </r>
  <r>
    <x v="27"/>
    <x v="11"/>
    <s v="Electric Generators, Independent Power Producers"/>
    <x v="5"/>
    <n v="532055"/>
  </r>
  <r>
    <x v="27"/>
    <x v="11"/>
    <s v="Electric Generators, Electric Utilities"/>
    <x v="0"/>
    <n v="5222562"/>
  </r>
  <r>
    <x v="27"/>
    <x v="11"/>
    <s v="Electric Generators, Electric Utilities"/>
    <x v="2"/>
    <n v="9786"/>
  </r>
  <r>
    <x v="27"/>
    <x v="11"/>
    <s v="Electric Generators, Electric Utilities"/>
    <x v="12"/>
    <n v="180131"/>
  </r>
  <r>
    <x v="27"/>
    <x v="11"/>
    <s v="Electric Generators, Electric Utilities"/>
    <x v="4"/>
    <n v="4934461"/>
  </r>
  <r>
    <x v="27"/>
    <x v="11"/>
    <s v="Electric Generators, Electric Utilities"/>
    <x v="13"/>
    <n v="43343"/>
  </r>
  <r>
    <x v="27"/>
    <x v="11"/>
    <s v="Electric Generators, Electric Utilities"/>
    <x v="8"/>
    <n v="54841"/>
  </r>
  <r>
    <x v="27"/>
    <x v="12"/>
    <s v="Total Electric Power Industry"/>
    <x v="0"/>
    <n v="57909566"/>
  </r>
  <r>
    <x v="27"/>
    <x v="12"/>
    <s v="Total Electric Power Industry"/>
    <x v="1"/>
    <n v="25358230"/>
  </r>
  <r>
    <x v="27"/>
    <x v="12"/>
    <s v="Total Electric Power Industry"/>
    <x v="2"/>
    <n v="1033940"/>
  </r>
  <r>
    <x v="27"/>
    <x v="12"/>
    <s v="Total Electric Power Industry"/>
    <x v="3"/>
    <n v="4567447"/>
  </r>
  <r>
    <x v="27"/>
    <x v="12"/>
    <s v="Total Electric Power Industry"/>
    <x v="7"/>
    <n v="5213509"/>
  </r>
  <r>
    <x v="27"/>
    <x v="12"/>
    <s v="Total Electric Power Industry"/>
    <x v="12"/>
    <n v="2382"/>
  </r>
  <r>
    <x v="27"/>
    <x v="12"/>
    <s v="Total Electric Power Industry"/>
    <x v="4"/>
    <n v="146719"/>
  </r>
  <r>
    <x v="27"/>
    <x v="12"/>
    <s v="Total Electric Power Industry"/>
    <x v="13"/>
    <n v="4838"/>
  </r>
  <r>
    <x v="27"/>
    <x v="12"/>
    <s v="Total Electric Power Industry"/>
    <x v="8"/>
    <n v="207859"/>
  </r>
  <r>
    <x v="27"/>
    <x v="12"/>
    <s v="Total Electric Power Industry"/>
    <x v="5"/>
    <n v="21372752"/>
  </r>
  <r>
    <x v="27"/>
    <x v="12"/>
    <s v="Total Electric Power Industry"/>
    <x v="6"/>
    <n v="1890"/>
  </r>
  <r>
    <x v="27"/>
    <x v="12"/>
    <s v="Combined Heat and Power, Industrial Power"/>
    <x v="0"/>
    <n v="2003135"/>
  </r>
  <r>
    <x v="27"/>
    <x v="12"/>
    <s v="Combined Heat and Power, Industrial Power"/>
    <x v="1"/>
    <n v="1488909"/>
  </r>
  <r>
    <x v="27"/>
    <x v="12"/>
    <s v="Combined Heat and Power, Industrial Power"/>
    <x v="3"/>
    <n v="436500"/>
  </r>
  <r>
    <x v="27"/>
    <x v="12"/>
    <s v="Combined Heat and Power, Industrial Power"/>
    <x v="12"/>
    <n v="2382"/>
  </r>
  <r>
    <x v="27"/>
    <x v="12"/>
    <s v="Combined Heat and Power, Industrial Power"/>
    <x v="4"/>
    <n v="34459"/>
  </r>
  <r>
    <x v="27"/>
    <x v="12"/>
    <s v="Combined Heat and Power, Industrial Power"/>
    <x v="8"/>
    <n v="40883"/>
  </r>
  <r>
    <x v="27"/>
    <x v="12"/>
    <s v="Combined Heat and Power, Industrial Power"/>
    <x v="6"/>
    <n v="0"/>
  </r>
  <r>
    <x v="27"/>
    <x v="12"/>
    <s v="Combined Heat and Power, Commercial Power"/>
    <x v="0"/>
    <n v="210191"/>
  </r>
  <r>
    <x v="27"/>
    <x v="12"/>
    <s v="Combined Heat and Power, Commercial Power"/>
    <x v="1"/>
    <n v="82596"/>
  </r>
  <r>
    <x v="27"/>
    <x v="12"/>
    <s v="Combined Heat and Power, Commercial Power"/>
    <x v="3"/>
    <n v="86489"/>
  </r>
  <r>
    <x v="27"/>
    <x v="12"/>
    <s v="Combined Heat and Power, Commercial Power"/>
    <x v="4"/>
    <n v="8592"/>
  </r>
  <r>
    <x v="27"/>
    <x v="12"/>
    <s v="Combined Heat and Power, Commercial Power"/>
    <x v="8"/>
    <n v="26199"/>
  </r>
  <r>
    <x v="27"/>
    <x v="12"/>
    <s v="Combined Heat and Power, Commercial Power"/>
    <x v="5"/>
    <n v="4426"/>
  </r>
  <r>
    <x v="27"/>
    <x v="12"/>
    <s v="Combined Heat and Power, Commercial Power"/>
    <x v="6"/>
    <n v="1890"/>
  </r>
  <r>
    <x v="27"/>
    <x v="12"/>
    <s v="Combined Heat and Power, Electric Power"/>
    <x v="0"/>
    <n v="9046"/>
  </r>
  <r>
    <x v="27"/>
    <x v="12"/>
    <s v="Combined Heat and Power, Electric Power"/>
    <x v="3"/>
    <n v="3547"/>
  </r>
  <r>
    <x v="27"/>
    <x v="12"/>
    <s v="Combined Heat and Power, Electric Power"/>
    <x v="8"/>
    <n v="5499"/>
  </r>
  <r>
    <x v="27"/>
    <x v="12"/>
    <s v="Electric Generators, Independent Power Producers"/>
    <x v="0"/>
    <n v="12498127"/>
  </r>
  <r>
    <x v="27"/>
    <x v="12"/>
    <s v="Electric Generators, Independent Power Producers"/>
    <x v="2"/>
    <n v="7032"/>
  </r>
  <r>
    <x v="27"/>
    <x v="12"/>
    <s v="Electric Generators, Independent Power Producers"/>
    <x v="3"/>
    <n v="0"/>
  </r>
  <r>
    <x v="27"/>
    <x v="12"/>
    <s v="Electric Generators, Independent Power Producers"/>
    <x v="7"/>
    <n v="5213509"/>
  </r>
  <r>
    <x v="27"/>
    <x v="12"/>
    <s v="Electric Generators, Independent Power Producers"/>
    <x v="4"/>
    <n v="250"/>
  </r>
  <r>
    <x v="27"/>
    <x v="12"/>
    <s v="Electric Generators, Independent Power Producers"/>
    <x v="13"/>
    <n v="19"/>
  </r>
  <r>
    <x v="27"/>
    <x v="12"/>
    <s v="Electric Generators, Independent Power Producers"/>
    <x v="8"/>
    <n v="114634"/>
  </r>
  <r>
    <x v="27"/>
    <x v="12"/>
    <s v="Electric Generators, Independent Power Producers"/>
    <x v="5"/>
    <n v="7162683"/>
  </r>
  <r>
    <x v="27"/>
    <x v="12"/>
    <s v="Electric Generators, Electric Utilities"/>
    <x v="0"/>
    <n v="43189067"/>
  </r>
  <r>
    <x v="27"/>
    <x v="12"/>
    <s v="Electric Generators, Electric Utilities"/>
    <x v="1"/>
    <n v="23786724"/>
  </r>
  <r>
    <x v="27"/>
    <x v="12"/>
    <s v="Electric Generators, Electric Utilities"/>
    <x v="2"/>
    <n v="1026908"/>
  </r>
  <r>
    <x v="27"/>
    <x v="12"/>
    <s v="Electric Generators, Electric Utilities"/>
    <x v="3"/>
    <n v="4040911"/>
  </r>
  <r>
    <x v="27"/>
    <x v="12"/>
    <s v="Electric Generators, Electric Utilities"/>
    <x v="4"/>
    <n v="103418"/>
  </r>
  <r>
    <x v="27"/>
    <x v="12"/>
    <s v="Electric Generators, Electric Utilities"/>
    <x v="13"/>
    <n v="4819"/>
  </r>
  <r>
    <x v="27"/>
    <x v="12"/>
    <s v="Electric Generators, Electric Utilities"/>
    <x v="8"/>
    <n v="20643"/>
  </r>
  <r>
    <x v="27"/>
    <x v="12"/>
    <s v="Electric Generators, Electric Utilities"/>
    <x v="5"/>
    <n v="14205643"/>
  </r>
  <r>
    <x v="27"/>
    <x v="12"/>
    <s v="Electric Generators, Electric Utilities"/>
    <x v="6"/>
    <n v="0"/>
  </r>
  <r>
    <x v="27"/>
    <x v="13"/>
    <s v="Total Electric Power Industry"/>
    <x v="0"/>
    <n v="17396024"/>
  </r>
  <r>
    <x v="27"/>
    <x v="13"/>
    <s v="Total Electric Power Industry"/>
    <x v="1"/>
    <n v="23837"/>
  </r>
  <r>
    <x v="27"/>
    <x v="13"/>
    <s v="Total Electric Power Industry"/>
    <x v="11"/>
    <n v="84436"/>
  </r>
  <r>
    <x v="27"/>
    <x v="13"/>
    <s v="Total Electric Power Industry"/>
    <x v="2"/>
    <n v="10670409"/>
  </r>
  <r>
    <x v="27"/>
    <x v="13"/>
    <s v="Total Electric Power Industry"/>
    <x v="3"/>
    <n v="3079407"/>
  </r>
  <r>
    <x v="27"/>
    <x v="13"/>
    <s v="Total Electric Power Industry"/>
    <x v="12"/>
    <n v="68343"/>
  </r>
  <r>
    <x v="27"/>
    <x v="13"/>
    <s v="Total Electric Power Industry"/>
    <x v="4"/>
    <n v="170"/>
  </r>
  <r>
    <x v="27"/>
    <x v="13"/>
    <s v="Total Electric Power Industry"/>
    <x v="13"/>
    <n v="459345"/>
  </r>
  <r>
    <x v="27"/>
    <x v="13"/>
    <s v="Total Electric Power Industry"/>
    <x v="8"/>
    <n v="116755"/>
  </r>
  <r>
    <x v="27"/>
    <x v="13"/>
    <s v="Total Electric Power Industry"/>
    <x v="5"/>
    <n v="2544675"/>
  </r>
  <r>
    <x v="27"/>
    <x v="13"/>
    <s v="Total Electric Power Industry"/>
    <x v="6"/>
    <n v="348647"/>
  </r>
  <r>
    <x v="27"/>
    <x v="13"/>
    <s v="Combined Heat and Power, Industrial Power"/>
    <x v="0"/>
    <n v="529738"/>
  </r>
  <r>
    <x v="27"/>
    <x v="13"/>
    <s v="Combined Heat and Power, Industrial Power"/>
    <x v="1"/>
    <n v="23837"/>
  </r>
  <r>
    <x v="27"/>
    <x v="13"/>
    <s v="Combined Heat and Power, Industrial Power"/>
    <x v="3"/>
    <n v="131800"/>
  </r>
  <r>
    <x v="27"/>
    <x v="13"/>
    <s v="Combined Heat and Power, Industrial Power"/>
    <x v="12"/>
    <n v="68343"/>
  </r>
  <r>
    <x v="27"/>
    <x v="13"/>
    <s v="Combined Heat and Power, Industrial Power"/>
    <x v="4"/>
    <n v="0"/>
  </r>
  <r>
    <x v="27"/>
    <x v="13"/>
    <s v="Combined Heat and Power, Industrial Power"/>
    <x v="8"/>
    <n v="10885"/>
  </r>
  <r>
    <x v="27"/>
    <x v="13"/>
    <s v="Combined Heat and Power, Industrial Power"/>
    <x v="6"/>
    <n v="294873"/>
  </r>
  <r>
    <x v="27"/>
    <x v="13"/>
    <s v="Combined Heat and Power, Commercial Power"/>
    <x v="0"/>
    <n v="51694"/>
  </r>
  <r>
    <x v="27"/>
    <x v="13"/>
    <s v="Combined Heat and Power, Commercial Power"/>
    <x v="3"/>
    <n v="39808"/>
  </r>
  <r>
    <x v="27"/>
    <x v="13"/>
    <s v="Combined Heat and Power, Commercial Power"/>
    <x v="4"/>
    <n v="152"/>
  </r>
  <r>
    <x v="27"/>
    <x v="13"/>
    <s v="Combined Heat and Power, Commercial Power"/>
    <x v="8"/>
    <n v="11734"/>
  </r>
  <r>
    <x v="27"/>
    <x v="13"/>
    <s v="Combined Heat and Power, Electric Power"/>
    <x v="0"/>
    <n v="95071"/>
  </r>
  <r>
    <x v="27"/>
    <x v="13"/>
    <s v="Combined Heat and Power, Electric Power"/>
    <x v="8"/>
    <n v="41297"/>
  </r>
  <r>
    <x v="27"/>
    <x v="13"/>
    <s v="Combined Heat and Power, Electric Power"/>
    <x v="6"/>
    <n v="53774"/>
  </r>
  <r>
    <x v="27"/>
    <x v="13"/>
    <s v="Electric Generators, Independent Power Producers"/>
    <x v="0"/>
    <n v="5272177"/>
  </r>
  <r>
    <x v="27"/>
    <x v="13"/>
    <s v="Electric Generators, Independent Power Producers"/>
    <x v="11"/>
    <n v="84436"/>
  </r>
  <r>
    <x v="27"/>
    <x v="13"/>
    <s v="Electric Generators, Independent Power Producers"/>
    <x v="2"/>
    <n v="981144"/>
  </r>
  <r>
    <x v="27"/>
    <x v="13"/>
    <s v="Electric Generators, Independent Power Producers"/>
    <x v="3"/>
    <n v="1333032"/>
  </r>
  <r>
    <x v="27"/>
    <x v="13"/>
    <s v="Electric Generators, Independent Power Producers"/>
    <x v="13"/>
    <n v="459345"/>
  </r>
  <r>
    <x v="27"/>
    <x v="13"/>
    <s v="Electric Generators, Independent Power Producers"/>
    <x v="8"/>
    <n v="40644"/>
  </r>
  <r>
    <x v="27"/>
    <x v="13"/>
    <s v="Electric Generators, Independent Power Producers"/>
    <x v="5"/>
    <n v="2373576"/>
  </r>
  <r>
    <x v="27"/>
    <x v="13"/>
    <s v="Electric Generators, Electric Utilities"/>
    <x v="0"/>
    <n v="11447344"/>
  </r>
  <r>
    <x v="27"/>
    <x v="13"/>
    <s v="Electric Generators, Electric Utilities"/>
    <x v="2"/>
    <n v="9689265"/>
  </r>
  <r>
    <x v="27"/>
    <x v="13"/>
    <s v="Electric Generators, Electric Utilities"/>
    <x v="3"/>
    <n v="1574767"/>
  </r>
  <r>
    <x v="27"/>
    <x v="13"/>
    <s v="Electric Generators, Electric Utilities"/>
    <x v="4"/>
    <n v="18"/>
  </r>
  <r>
    <x v="27"/>
    <x v="13"/>
    <s v="Electric Generators, Electric Utilities"/>
    <x v="8"/>
    <n v="12195"/>
  </r>
  <r>
    <x v="27"/>
    <x v="13"/>
    <s v="Electric Generators, Electric Utilities"/>
    <x v="5"/>
    <n v="171099"/>
  </r>
  <r>
    <x v="27"/>
    <x v="14"/>
    <s v="Total Electric Power Industry"/>
    <x v="0"/>
    <n v="183591571"/>
  </r>
  <r>
    <x v="27"/>
    <x v="14"/>
    <s v="Total Electric Power Industry"/>
    <x v="1"/>
    <n v="57980286"/>
  </r>
  <r>
    <x v="27"/>
    <x v="14"/>
    <s v="Total Electric Power Industry"/>
    <x v="2"/>
    <n v="125131"/>
  </r>
  <r>
    <x v="27"/>
    <x v="14"/>
    <s v="Total Electric Power Industry"/>
    <x v="3"/>
    <n v="15016210"/>
  </r>
  <r>
    <x v="27"/>
    <x v="14"/>
    <s v="Total Electric Power Industry"/>
    <x v="7"/>
    <n v="97191142"/>
  </r>
  <r>
    <x v="27"/>
    <x v="14"/>
    <s v="Total Electric Power Industry"/>
    <x v="9"/>
    <n v="180098"/>
  </r>
  <r>
    <x v="27"/>
    <x v="14"/>
    <s v="Total Electric Power Industry"/>
    <x v="12"/>
    <n v="253587"/>
  </r>
  <r>
    <x v="27"/>
    <x v="14"/>
    <s v="Total Electric Power Industry"/>
    <x v="4"/>
    <n v="51146"/>
  </r>
  <r>
    <x v="27"/>
    <x v="14"/>
    <s v="Total Electric Power Industry"/>
    <x v="13"/>
    <n v="52147"/>
  </r>
  <r>
    <x v="27"/>
    <x v="14"/>
    <s v="Total Electric Power Industry"/>
    <x v="8"/>
    <n v="474058"/>
  </r>
  <r>
    <x v="27"/>
    <x v="14"/>
    <s v="Total Electric Power Industry"/>
    <x v="5"/>
    <n v="12267766"/>
  </r>
  <r>
    <x v="27"/>
    <x v="14"/>
    <s v="Total Electric Power Industry"/>
    <x v="6"/>
    <n v="0"/>
  </r>
  <r>
    <x v="27"/>
    <x v="14"/>
    <s v="Combined Heat and Power, Industrial Power"/>
    <x v="0"/>
    <n v="2739342"/>
  </r>
  <r>
    <x v="27"/>
    <x v="14"/>
    <s v="Combined Heat and Power, Industrial Power"/>
    <x v="1"/>
    <n v="1546262"/>
  </r>
  <r>
    <x v="27"/>
    <x v="14"/>
    <s v="Combined Heat and Power, Industrial Power"/>
    <x v="3"/>
    <n v="734559"/>
  </r>
  <r>
    <x v="27"/>
    <x v="14"/>
    <s v="Combined Heat and Power, Industrial Power"/>
    <x v="9"/>
    <n v="180098"/>
  </r>
  <r>
    <x v="27"/>
    <x v="14"/>
    <s v="Combined Heat and Power, Industrial Power"/>
    <x v="12"/>
    <n v="278423"/>
  </r>
  <r>
    <x v="27"/>
    <x v="14"/>
    <s v="Combined Heat and Power, Industrial Power"/>
    <x v="4"/>
    <n v="0"/>
  </r>
  <r>
    <x v="27"/>
    <x v="14"/>
    <s v="Combined Heat and Power, Industrial Power"/>
    <x v="6"/>
    <n v="0"/>
  </r>
  <r>
    <x v="27"/>
    <x v="14"/>
    <s v="Combined Heat and Power, Commercial Power"/>
    <x v="0"/>
    <n v="433008"/>
  </r>
  <r>
    <x v="27"/>
    <x v="14"/>
    <s v="Combined Heat and Power, Commercial Power"/>
    <x v="1"/>
    <n v="29283"/>
  </r>
  <r>
    <x v="27"/>
    <x v="14"/>
    <s v="Combined Heat and Power, Commercial Power"/>
    <x v="2"/>
    <n v="1547"/>
  </r>
  <r>
    <x v="27"/>
    <x v="14"/>
    <s v="Combined Heat and Power, Commercial Power"/>
    <x v="3"/>
    <n v="396903"/>
  </r>
  <r>
    <x v="27"/>
    <x v="14"/>
    <s v="Combined Heat and Power, Commercial Power"/>
    <x v="4"/>
    <n v="147"/>
  </r>
  <r>
    <x v="27"/>
    <x v="14"/>
    <s v="Combined Heat and Power, Commercial Power"/>
    <x v="13"/>
    <n v="24"/>
  </r>
  <r>
    <x v="27"/>
    <x v="14"/>
    <s v="Combined Heat and Power, Commercial Power"/>
    <x v="8"/>
    <n v="0"/>
  </r>
  <r>
    <x v="27"/>
    <x v="14"/>
    <s v="Combined Heat and Power, Commercial Power"/>
    <x v="5"/>
    <n v="5103"/>
  </r>
  <r>
    <x v="27"/>
    <x v="14"/>
    <s v="Combined Heat and Power, Electric Power"/>
    <x v="0"/>
    <n v="692146"/>
  </r>
  <r>
    <x v="27"/>
    <x v="14"/>
    <s v="Combined Heat and Power, Electric Power"/>
    <x v="3"/>
    <n v="683812"/>
  </r>
  <r>
    <x v="27"/>
    <x v="14"/>
    <s v="Combined Heat and Power, Electric Power"/>
    <x v="9"/>
    <n v="0"/>
  </r>
  <r>
    <x v="27"/>
    <x v="14"/>
    <s v="Combined Heat and Power, Electric Power"/>
    <x v="8"/>
    <n v="8334"/>
  </r>
  <r>
    <x v="27"/>
    <x v="14"/>
    <s v="Electric Generators, Independent Power Producers"/>
    <x v="0"/>
    <n v="174660599"/>
  </r>
  <r>
    <x v="27"/>
    <x v="14"/>
    <s v="Electric Generators, Independent Power Producers"/>
    <x v="1"/>
    <n v="52402654"/>
  </r>
  <r>
    <x v="27"/>
    <x v="14"/>
    <s v="Electric Generators, Independent Power Producers"/>
    <x v="2"/>
    <n v="75053"/>
  </r>
  <r>
    <x v="27"/>
    <x v="14"/>
    <s v="Electric Generators, Independent Power Producers"/>
    <x v="3"/>
    <n v="12231125"/>
  </r>
  <r>
    <x v="27"/>
    <x v="14"/>
    <s v="Electric Generators, Independent Power Producers"/>
    <x v="7"/>
    <n v="97191142"/>
  </r>
  <r>
    <x v="27"/>
    <x v="14"/>
    <s v="Electric Generators, Independent Power Producers"/>
    <x v="12"/>
    <n v="-24836"/>
  </r>
  <r>
    <x v="27"/>
    <x v="14"/>
    <s v="Electric Generators, Independent Power Producers"/>
    <x v="4"/>
    <n v="42582"/>
  </r>
  <r>
    <x v="27"/>
    <x v="14"/>
    <s v="Electric Generators, Independent Power Producers"/>
    <x v="13"/>
    <n v="50064"/>
  </r>
  <r>
    <x v="27"/>
    <x v="14"/>
    <s v="Electric Generators, Independent Power Producers"/>
    <x v="8"/>
    <n v="443512"/>
  </r>
  <r>
    <x v="27"/>
    <x v="14"/>
    <s v="Electric Generators, Independent Power Producers"/>
    <x v="5"/>
    <n v="12249303"/>
  </r>
  <r>
    <x v="27"/>
    <x v="14"/>
    <s v="Electric Generators, Electric Utilities"/>
    <x v="0"/>
    <n v="5066477"/>
  </r>
  <r>
    <x v="27"/>
    <x v="14"/>
    <s v="Electric Generators, Electric Utilities"/>
    <x v="1"/>
    <n v="4002088"/>
  </r>
  <r>
    <x v="27"/>
    <x v="14"/>
    <s v="Electric Generators, Electric Utilities"/>
    <x v="2"/>
    <n v="48531"/>
  </r>
  <r>
    <x v="27"/>
    <x v="14"/>
    <s v="Electric Generators, Electric Utilities"/>
    <x v="3"/>
    <n v="969811"/>
  </r>
  <r>
    <x v="27"/>
    <x v="14"/>
    <s v="Electric Generators, Electric Utilities"/>
    <x v="4"/>
    <n v="8416"/>
  </r>
  <r>
    <x v="27"/>
    <x v="14"/>
    <s v="Electric Generators, Electric Utilities"/>
    <x v="13"/>
    <n v="2059"/>
  </r>
  <r>
    <x v="27"/>
    <x v="14"/>
    <s v="Electric Generators, Electric Utilities"/>
    <x v="8"/>
    <n v="22212"/>
  </r>
  <r>
    <x v="27"/>
    <x v="14"/>
    <s v="Electric Generators, Electric Utilities"/>
    <x v="5"/>
    <n v="13360"/>
  </r>
  <r>
    <x v="27"/>
    <x v="15"/>
    <s v="Total Electric Power Industry"/>
    <x v="0"/>
    <n v="98929818"/>
  </r>
  <r>
    <x v="27"/>
    <x v="15"/>
    <s v="Total Electric Power Industry"/>
    <x v="1"/>
    <n v="72384957"/>
  </r>
  <r>
    <x v="27"/>
    <x v="15"/>
    <s v="Total Electric Power Industry"/>
    <x v="2"/>
    <n v="306080"/>
  </r>
  <r>
    <x v="27"/>
    <x v="15"/>
    <s v="Total Electric Power Industry"/>
    <x v="3"/>
    <n v="17975917"/>
  </r>
  <r>
    <x v="27"/>
    <x v="15"/>
    <s v="Total Electric Power Industry"/>
    <x v="9"/>
    <n v="1990999"/>
  </r>
  <r>
    <x v="27"/>
    <x v="15"/>
    <s v="Total Electric Power Industry"/>
    <x v="12"/>
    <n v="306076"/>
  </r>
  <r>
    <x v="27"/>
    <x v="15"/>
    <s v="Total Electric Power Industry"/>
    <x v="4"/>
    <n v="125323"/>
  </r>
  <r>
    <x v="27"/>
    <x v="15"/>
    <s v="Total Electric Power Industry"/>
    <x v="13"/>
    <n v="277675"/>
  </r>
  <r>
    <x v="27"/>
    <x v="15"/>
    <s v="Total Electric Power Industry"/>
    <x v="8"/>
    <n v="473403"/>
  </r>
  <r>
    <x v="27"/>
    <x v="15"/>
    <s v="Total Electric Power Industry"/>
    <x v="5"/>
    <n v="5089390"/>
  </r>
  <r>
    <x v="27"/>
    <x v="15"/>
    <s v="Total Electric Power Industry"/>
    <x v="6"/>
    <n v="0"/>
  </r>
  <r>
    <x v="27"/>
    <x v="15"/>
    <s v="Combined Heat and Power, Industrial Power"/>
    <x v="0"/>
    <n v="3655564"/>
  </r>
  <r>
    <x v="27"/>
    <x v="15"/>
    <s v="Combined Heat and Power, Industrial Power"/>
    <x v="1"/>
    <n v="0"/>
  </r>
  <r>
    <x v="27"/>
    <x v="15"/>
    <s v="Combined Heat and Power, Industrial Power"/>
    <x v="3"/>
    <n v="1280753"/>
  </r>
  <r>
    <x v="27"/>
    <x v="15"/>
    <s v="Combined Heat and Power, Industrial Power"/>
    <x v="9"/>
    <n v="1990999"/>
  </r>
  <r>
    <x v="27"/>
    <x v="15"/>
    <s v="Combined Heat and Power, Industrial Power"/>
    <x v="12"/>
    <n v="286645"/>
  </r>
  <r>
    <x v="27"/>
    <x v="15"/>
    <s v="Combined Heat and Power, Industrial Power"/>
    <x v="4"/>
    <n v="16964"/>
  </r>
  <r>
    <x v="27"/>
    <x v="15"/>
    <s v="Combined Heat and Power, Industrial Power"/>
    <x v="8"/>
    <n v="80204"/>
  </r>
  <r>
    <x v="27"/>
    <x v="15"/>
    <s v="Combined Heat and Power, Commercial Power"/>
    <x v="0"/>
    <n v="264985"/>
  </r>
  <r>
    <x v="27"/>
    <x v="15"/>
    <s v="Combined Heat and Power, Commercial Power"/>
    <x v="1"/>
    <n v="33830"/>
  </r>
  <r>
    <x v="27"/>
    <x v="15"/>
    <s v="Combined Heat and Power, Commercial Power"/>
    <x v="3"/>
    <n v="190255"/>
  </r>
  <r>
    <x v="27"/>
    <x v="15"/>
    <s v="Combined Heat and Power, Commercial Power"/>
    <x v="12"/>
    <n v="19431"/>
  </r>
  <r>
    <x v="27"/>
    <x v="15"/>
    <s v="Combined Heat and Power, Commercial Power"/>
    <x v="4"/>
    <n v="468"/>
  </r>
  <r>
    <x v="27"/>
    <x v="15"/>
    <s v="Combined Heat and Power, Commercial Power"/>
    <x v="8"/>
    <n v="20224"/>
  </r>
  <r>
    <x v="27"/>
    <x v="15"/>
    <s v="Combined Heat and Power, Commercial Power"/>
    <x v="5"/>
    <n v="778"/>
  </r>
  <r>
    <x v="27"/>
    <x v="15"/>
    <s v="Combined Heat and Power, Electric Power"/>
    <x v="0"/>
    <n v="4983233"/>
  </r>
  <r>
    <x v="27"/>
    <x v="15"/>
    <s v="Combined Heat and Power, Electric Power"/>
    <x v="1"/>
    <n v="2620186"/>
  </r>
  <r>
    <x v="27"/>
    <x v="15"/>
    <s v="Combined Heat and Power, Electric Power"/>
    <x v="3"/>
    <n v="2363047"/>
  </r>
  <r>
    <x v="27"/>
    <x v="15"/>
    <s v="Combined Heat and Power, Electric Power"/>
    <x v="4"/>
    <n v="0"/>
  </r>
  <r>
    <x v="27"/>
    <x v="15"/>
    <s v="Electric Generators, Independent Power Producers"/>
    <x v="0"/>
    <n v="12686022"/>
  </r>
  <r>
    <x v="27"/>
    <x v="15"/>
    <s v="Electric Generators, Independent Power Producers"/>
    <x v="1"/>
    <n v="0"/>
  </r>
  <r>
    <x v="27"/>
    <x v="15"/>
    <s v="Electric Generators, Independent Power Producers"/>
    <x v="3"/>
    <n v="7352757"/>
  </r>
  <r>
    <x v="27"/>
    <x v="15"/>
    <s v="Electric Generators, Independent Power Producers"/>
    <x v="4"/>
    <n v="1330"/>
  </r>
  <r>
    <x v="27"/>
    <x v="15"/>
    <s v="Electric Generators, Independent Power Producers"/>
    <x v="13"/>
    <n v="193926"/>
  </r>
  <r>
    <x v="27"/>
    <x v="15"/>
    <s v="Electric Generators, Independent Power Producers"/>
    <x v="8"/>
    <n v="49397"/>
  </r>
  <r>
    <x v="27"/>
    <x v="15"/>
    <s v="Electric Generators, Independent Power Producers"/>
    <x v="5"/>
    <n v="5088612"/>
  </r>
  <r>
    <x v="27"/>
    <x v="15"/>
    <s v="Electric Generators, Independent Power Producers"/>
    <x v="6"/>
    <n v="0"/>
  </r>
  <r>
    <x v="27"/>
    <x v="15"/>
    <s v="Electric Generators, Electric Utilities"/>
    <x v="0"/>
    <n v="77340014"/>
  </r>
  <r>
    <x v="27"/>
    <x v="15"/>
    <s v="Electric Generators, Electric Utilities"/>
    <x v="1"/>
    <n v="69730941"/>
  </r>
  <r>
    <x v="27"/>
    <x v="15"/>
    <s v="Electric Generators, Electric Utilities"/>
    <x v="2"/>
    <n v="306080"/>
  </r>
  <r>
    <x v="27"/>
    <x v="15"/>
    <s v="Electric Generators, Electric Utilities"/>
    <x v="3"/>
    <n v="6789104"/>
  </r>
  <r>
    <x v="27"/>
    <x v="15"/>
    <s v="Electric Generators, Electric Utilities"/>
    <x v="9"/>
    <n v="0"/>
  </r>
  <r>
    <x v="27"/>
    <x v="15"/>
    <s v="Electric Generators, Electric Utilities"/>
    <x v="12"/>
    <n v="0"/>
  </r>
  <r>
    <x v="27"/>
    <x v="15"/>
    <s v="Electric Generators, Electric Utilities"/>
    <x v="4"/>
    <n v="106562"/>
  </r>
  <r>
    <x v="27"/>
    <x v="15"/>
    <s v="Electric Generators, Electric Utilities"/>
    <x v="13"/>
    <n v="83749"/>
  </r>
  <r>
    <x v="27"/>
    <x v="15"/>
    <s v="Electric Generators, Electric Utilities"/>
    <x v="8"/>
    <n v="323578"/>
  </r>
  <r>
    <x v="27"/>
    <x v="16"/>
    <s v="Total Electric Power Industry"/>
    <x v="0"/>
    <n v="50933296"/>
  </r>
  <r>
    <x v="27"/>
    <x v="16"/>
    <s v="Total Electric Power Industry"/>
    <x v="1"/>
    <n v="19389771"/>
  </r>
  <r>
    <x v="27"/>
    <x v="16"/>
    <s v="Total Electric Power Industry"/>
    <x v="2"/>
    <n v="29218"/>
  </r>
  <r>
    <x v="27"/>
    <x v="16"/>
    <s v="Total Electric Power Industry"/>
    <x v="3"/>
    <n v="2146555"/>
  </r>
  <r>
    <x v="27"/>
    <x v="16"/>
    <s v="Total Electric Power Industry"/>
    <x v="7"/>
    <n v="10647987"/>
  </r>
  <r>
    <x v="27"/>
    <x v="16"/>
    <s v="Total Electric Power Industry"/>
    <x v="12"/>
    <n v="4732"/>
  </r>
  <r>
    <x v="27"/>
    <x v="16"/>
    <s v="Total Electric Power Industry"/>
    <x v="4"/>
    <n v="54518"/>
  </r>
  <r>
    <x v="27"/>
    <x v="16"/>
    <s v="Total Electric Power Industry"/>
    <x v="13"/>
    <n v="5280"/>
  </r>
  <r>
    <x v="27"/>
    <x v="16"/>
    <s v="Total Electric Power Industry"/>
    <x v="8"/>
    <n v="57163"/>
  </r>
  <r>
    <x v="27"/>
    <x v="16"/>
    <s v="Total Electric Power Industry"/>
    <x v="5"/>
    <n v="18598073"/>
  </r>
  <r>
    <x v="27"/>
    <x v="16"/>
    <s v="Combined Heat and Power, Industrial Power"/>
    <x v="0"/>
    <n v="42785"/>
  </r>
  <r>
    <x v="27"/>
    <x v="16"/>
    <s v="Combined Heat and Power, Industrial Power"/>
    <x v="3"/>
    <n v="41241"/>
  </r>
  <r>
    <x v="27"/>
    <x v="16"/>
    <s v="Combined Heat and Power, Industrial Power"/>
    <x v="12"/>
    <n v="4732"/>
  </r>
  <r>
    <x v="27"/>
    <x v="16"/>
    <s v="Combined Heat and Power, Industrial Power"/>
    <x v="8"/>
    <n v="-3188"/>
  </r>
  <r>
    <x v="27"/>
    <x v="16"/>
    <s v="Combined Heat and Power, Commercial Power"/>
    <x v="0"/>
    <n v="14974"/>
  </r>
  <r>
    <x v="27"/>
    <x v="16"/>
    <s v="Combined Heat and Power, Commercial Power"/>
    <x v="5"/>
    <n v="14974"/>
  </r>
  <r>
    <x v="27"/>
    <x v="16"/>
    <s v="Electric Generators, Independent Power Producers"/>
    <x v="0"/>
    <n v="17025409"/>
  </r>
  <r>
    <x v="27"/>
    <x v="16"/>
    <s v="Electric Generators, Independent Power Producers"/>
    <x v="2"/>
    <n v="29218"/>
  </r>
  <r>
    <x v="27"/>
    <x v="16"/>
    <s v="Electric Generators, Independent Power Producers"/>
    <x v="13"/>
    <n v="3595"/>
  </r>
  <r>
    <x v="27"/>
    <x v="16"/>
    <s v="Electric Generators, Independent Power Producers"/>
    <x v="8"/>
    <n v="60351"/>
  </r>
  <r>
    <x v="27"/>
    <x v="16"/>
    <s v="Electric Generators, Independent Power Producers"/>
    <x v="5"/>
    <n v="16932245"/>
  </r>
  <r>
    <x v="27"/>
    <x v="16"/>
    <s v="Electric Generators, Electric Utilities"/>
    <x v="0"/>
    <n v="33850129"/>
  </r>
  <r>
    <x v="27"/>
    <x v="16"/>
    <s v="Electric Generators, Electric Utilities"/>
    <x v="1"/>
    <n v="19389771"/>
  </r>
  <r>
    <x v="27"/>
    <x v="16"/>
    <s v="Electric Generators, Electric Utilities"/>
    <x v="3"/>
    <n v="2105314"/>
  </r>
  <r>
    <x v="27"/>
    <x v="16"/>
    <s v="Electric Generators, Electric Utilities"/>
    <x v="7"/>
    <n v="10647987"/>
  </r>
  <r>
    <x v="27"/>
    <x v="16"/>
    <s v="Electric Generators, Electric Utilities"/>
    <x v="4"/>
    <n v="54518"/>
  </r>
  <r>
    <x v="27"/>
    <x v="16"/>
    <s v="Electric Generators, Electric Utilities"/>
    <x v="13"/>
    <n v="1685"/>
  </r>
  <r>
    <x v="27"/>
    <x v="16"/>
    <s v="Electric Generators, Electric Utilities"/>
    <x v="5"/>
    <n v="1650854"/>
  </r>
  <r>
    <x v="27"/>
    <x v="17"/>
    <s v="Total Electric Power Industry"/>
    <x v="0"/>
    <n v="73179196"/>
  </r>
  <r>
    <x v="27"/>
    <x v="17"/>
    <s v="Total Electric Power Industry"/>
    <x v="1"/>
    <n v="57236509"/>
  </r>
  <r>
    <x v="27"/>
    <x v="17"/>
    <s v="Total Electric Power Industry"/>
    <x v="2"/>
    <n v="4506018"/>
  </r>
  <r>
    <x v="27"/>
    <x v="17"/>
    <s v="Total Electric Power Industry"/>
    <x v="3"/>
    <n v="10379628"/>
  </r>
  <r>
    <x v="27"/>
    <x v="17"/>
    <s v="Total Electric Power Industry"/>
    <x v="12"/>
    <n v="44695"/>
  </r>
  <r>
    <x v="27"/>
    <x v="17"/>
    <s v="Total Electric Power Industry"/>
    <x v="4"/>
    <n v="497770"/>
  </r>
  <r>
    <x v="27"/>
    <x v="17"/>
    <s v="Total Electric Power Industry"/>
    <x v="13"/>
    <n v="19885"/>
  </r>
  <r>
    <x v="27"/>
    <x v="17"/>
    <s v="Total Electric Power Industry"/>
    <x v="8"/>
    <n v="114487"/>
  </r>
  <r>
    <x v="27"/>
    <x v="17"/>
    <s v="Total Electric Power Industry"/>
    <x v="6"/>
    <n v="380203"/>
  </r>
  <r>
    <x v="27"/>
    <x v="17"/>
    <s v="Combined Heat and Power, Industrial Power"/>
    <x v="0"/>
    <n v="619070"/>
  </r>
  <r>
    <x v="27"/>
    <x v="17"/>
    <s v="Combined Heat and Power, Industrial Power"/>
    <x v="3"/>
    <n v="238867"/>
  </r>
  <r>
    <x v="27"/>
    <x v="17"/>
    <s v="Combined Heat and Power, Industrial Power"/>
    <x v="6"/>
    <n v="380203"/>
  </r>
  <r>
    <x v="27"/>
    <x v="17"/>
    <s v="Electric Generators, Independent Power Producers"/>
    <x v="0"/>
    <n v="454498"/>
  </r>
  <r>
    <x v="27"/>
    <x v="17"/>
    <s v="Electric Generators, Independent Power Producers"/>
    <x v="2"/>
    <n v="10596"/>
  </r>
  <r>
    <x v="27"/>
    <x v="17"/>
    <s v="Electric Generators, Independent Power Producers"/>
    <x v="3"/>
    <n v="431515"/>
  </r>
  <r>
    <x v="27"/>
    <x v="17"/>
    <s v="Electric Generators, Independent Power Producers"/>
    <x v="13"/>
    <n v="819"/>
  </r>
  <r>
    <x v="27"/>
    <x v="17"/>
    <s v="Electric Generators, Independent Power Producers"/>
    <x v="8"/>
    <n v="11568"/>
  </r>
  <r>
    <x v="27"/>
    <x v="17"/>
    <s v="Electric Generators, Electric Utilities"/>
    <x v="0"/>
    <n v="72105628"/>
  </r>
  <r>
    <x v="27"/>
    <x v="17"/>
    <s v="Electric Generators, Electric Utilities"/>
    <x v="1"/>
    <n v="57236509"/>
  </r>
  <r>
    <x v="27"/>
    <x v="17"/>
    <s v="Electric Generators, Electric Utilities"/>
    <x v="2"/>
    <n v="4495422"/>
  </r>
  <r>
    <x v="27"/>
    <x v="17"/>
    <s v="Electric Generators, Electric Utilities"/>
    <x v="3"/>
    <n v="9709247"/>
  </r>
  <r>
    <x v="27"/>
    <x v="17"/>
    <s v="Electric Generators, Electric Utilities"/>
    <x v="12"/>
    <n v="44695"/>
  </r>
  <r>
    <x v="27"/>
    <x v="17"/>
    <s v="Electric Generators, Electric Utilities"/>
    <x v="4"/>
    <n v="497770"/>
  </r>
  <r>
    <x v="27"/>
    <x v="17"/>
    <s v="Electric Generators, Electric Utilities"/>
    <x v="13"/>
    <n v="19066"/>
  </r>
  <r>
    <x v="27"/>
    <x v="17"/>
    <s v="Electric Generators, Electric Utilities"/>
    <x v="8"/>
    <n v="102919"/>
  </r>
  <r>
    <x v="27"/>
    <x v="17"/>
    <s v="Electric Generators, Electric Utilities"/>
    <x v="6"/>
    <n v="0"/>
  </r>
  <r>
    <x v="27"/>
    <x v="18"/>
    <s v="Total Electric Power Industry"/>
    <x v="0"/>
    <n v="97719213"/>
  </r>
  <r>
    <x v="27"/>
    <x v="18"/>
    <s v="Total Electric Power Industry"/>
    <x v="1"/>
    <n v="12315925"/>
  </r>
  <r>
    <x v="27"/>
    <x v="18"/>
    <s v="Total Electric Power Industry"/>
    <x v="2"/>
    <n v="906237"/>
  </r>
  <r>
    <x v="27"/>
    <x v="18"/>
    <s v="Total Electric Power Industry"/>
    <x v="3"/>
    <n v="59001092"/>
  </r>
  <r>
    <x v="27"/>
    <x v="18"/>
    <s v="Total Electric Power Industry"/>
    <x v="7"/>
    <n v="15409745"/>
  </r>
  <r>
    <x v="27"/>
    <x v="18"/>
    <s v="Total Electric Power Industry"/>
    <x v="9"/>
    <n v="2143065"/>
  </r>
  <r>
    <x v="27"/>
    <x v="18"/>
    <s v="Total Electric Power Industry"/>
    <x v="12"/>
    <n v="632350"/>
  </r>
  <r>
    <x v="27"/>
    <x v="18"/>
    <s v="Total Electric Power Industry"/>
    <x v="4"/>
    <n v="4569753"/>
  </r>
  <r>
    <x v="27"/>
    <x v="18"/>
    <s v="Total Electric Power Industry"/>
    <x v="13"/>
    <n v="2423"/>
  </r>
  <r>
    <x v="27"/>
    <x v="18"/>
    <s v="Total Electric Power Industry"/>
    <x v="8"/>
    <n v="87784"/>
  </r>
  <r>
    <x v="27"/>
    <x v="18"/>
    <s v="Total Electric Power Industry"/>
    <x v="6"/>
    <n v="2650839"/>
  </r>
  <r>
    <x v="27"/>
    <x v="18"/>
    <s v="Combined Heat and Power, Industrial Power"/>
    <x v="0"/>
    <n v="30811590"/>
  </r>
  <r>
    <x v="27"/>
    <x v="18"/>
    <s v="Combined Heat and Power, Industrial Power"/>
    <x v="1"/>
    <n v="0"/>
  </r>
  <r>
    <x v="27"/>
    <x v="18"/>
    <s v="Combined Heat and Power, Industrial Power"/>
    <x v="3"/>
    <n v="25200596"/>
  </r>
  <r>
    <x v="27"/>
    <x v="18"/>
    <s v="Combined Heat and Power, Industrial Power"/>
    <x v="9"/>
    <n v="2143065"/>
  </r>
  <r>
    <x v="27"/>
    <x v="18"/>
    <s v="Combined Heat and Power, Industrial Power"/>
    <x v="12"/>
    <n v="632350"/>
  </r>
  <r>
    <x v="27"/>
    <x v="18"/>
    <s v="Combined Heat and Power, Industrial Power"/>
    <x v="4"/>
    <n v="184740"/>
  </r>
  <r>
    <x v="27"/>
    <x v="18"/>
    <s v="Combined Heat and Power, Industrial Power"/>
    <x v="8"/>
    <n v="0"/>
  </r>
  <r>
    <x v="27"/>
    <x v="18"/>
    <s v="Combined Heat and Power, Industrial Power"/>
    <x v="6"/>
    <n v="2650839"/>
  </r>
  <r>
    <x v="27"/>
    <x v="18"/>
    <s v="Combined Heat and Power, Commercial Power"/>
    <x v="0"/>
    <n v="136867"/>
  </r>
  <r>
    <x v="27"/>
    <x v="18"/>
    <s v="Combined Heat and Power, Commercial Power"/>
    <x v="3"/>
    <n v="136867"/>
  </r>
  <r>
    <x v="27"/>
    <x v="18"/>
    <s v="Combined Heat and Power, Electric Power"/>
    <x v="0"/>
    <n v="3102168"/>
  </r>
  <r>
    <x v="27"/>
    <x v="18"/>
    <s v="Combined Heat and Power, Electric Power"/>
    <x v="3"/>
    <n v="3102168"/>
  </r>
  <r>
    <x v="27"/>
    <x v="18"/>
    <s v="Electric Generators, Independent Power Producers"/>
    <x v="0"/>
    <n v="6982243"/>
  </r>
  <r>
    <x v="27"/>
    <x v="18"/>
    <s v="Electric Generators, Independent Power Producers"/>
    <x v="1"/>
    <n v="5075459"/>
  </r>
  <r>
    <x v="27"/>
    <x v="18"/>
    <s v="Electric Generators, Independent Power Producers"/>
    <x v="2"/>
    <n v="906237"/>
  </r>
  <r>
    <x v="27"/>
    <x v="18"/>
    <s v="Electric Generators, Independent Power Producers"/>
    <x v="3"/>
    <n v="912763"/>
  </r>
  <r>
    <x v="27"/>
    <x v="18"/>
    <s v="Electric Generators, Independent Power Producers"/>
    <x v="4"/>
    <n v="0"/>
  </r>
  <r>
    <x v="27"/>
    <x v="18"/>
    <s v="Electric Generators, Independent Power Producers"/>
    <x v="8"/>
    <n v="87784"/>
  </r>
  <r>
    <x v="27"/>
    <x v="18"/>
    <s v="Electric Generators, Electric Utilities"/>
    <x v="0"/>
    <n v="56686344"/>
  </r>
  <r>
    <x v="27"/>
    <x v="18"/>
    <s v="Electric Generators, Electric Utilities"/>
    <x v="1"/>
    <n v="7240466"/>
  </r>
  <r>
    <x v="27"/>
    <x v="18"/>
    <s v="Electric Generators, Electric Utilities"/>
    <x v="3"/>
    <n v="29648698"/>
  </r>
  <r>
    <x v="27"/>
    <x v="18"/>
    <s v="Electric Generators, Electric Utilities"/>
    <x v="7"/>
    <n v="15409745"/>
  </r>
  <r>
    <x v="27"/>
    <x v="18"/>
    <s v="Electric Generators, Electric Utilities"/>
    <x v="12"/>
    <n v="0"/>
  </r>
  <r>
    <x v="27"/>
    <x v="18"/>
    <s v="Electric Generators, Electric Utilities"/>
    <x v="4"/>
    <n v="4385013"/>
  </r>
  <r>
    <x v="27"/>
    <x v="18"/>
    <s v="Electric Generators, Electric Utilities"/>
    <x v="13"/>
    <n v="2423"/>
  </r>
  <r>
    <x v="27"/>
    <x v="19"/>
    <s v="Total Electric Power Industry"/>
    <x v="0"/>
    <n v="32204115"/>
  </r>
  <r>
    <x v="27"/>
    <x v="19"/>
    <s v="Total Electric Power Industry"/>
    <x v="1"/>
    <n v="1136318"/>
  </r>
  <r>
    <x v="27"/>
    <x v="19"/>
    <s v="Total Electric Power Industry"/>
    <x v="10"/>
    <n v="-443012"/>
  </r>
  <r>
    <x v="27"/>
    <x v="19"/>
    <s v="Total Electric Power Industry"/>
    <x v="2"/>
    <n v="1037491"/>
  </r>
  <r>
    <x v="27"/>
    <x v="19"/>
    <s v="Total Electric Power Industry"/>
    <x v="3"/>
    <n v="22152558"/>
  </r>
  <r>
    <x v="27"/>
    <x v="19"/>
    <s v="Total Electric Power Industry"/>
    <x v="7"/>
    <n v="5047170"/>
  </r>
  <r>
    <x v="27"/>
    <x v="19"/>
    <s v="Total Electric Power Industry"/>
    <x v="12"/>
    <n v="826584"/>
  </r>
  <r>
    <x v="27"/>
    <x v="19"/>
    <s v="Total Electric Power Industry"/>
    <x v="4"/>
    <n v="265507"/>
  </r>
  <r>
    <x v="27"/>
    <x v="19"/>
    <s v="Total Electric Power Industry"/>
    <x v="13"/>
    <n v="788474"/>
  </r>
  <r>
    <x v="27"/>
    <x v="19"/>
    <s v="Total Electric Power Industry"/>
    <x v="8"/>
    <n v="1029589"/>
  </r>
  <r>
    <x v="27"/>
    <x v="19"/>
    <s v="Total Electric Power Industry"/>
    <x v="5"/>
    <n v="232622"/>
  </r>
  <r>
    <x v="27"/>
    <x v="19"/>
    <s v="Total Electric Power Industry"/>
    <x v="6"/>
    <n v="130813"/>
  </r>
  <r>
    <x v="27"/>
    <x v="19"/>
    <s v="Combined Heat and Power, Industrial Power"/>
    <x v="0"/>
    <n v="267700"/>
  </r>
  <r>
    <x v="27"/>
    <x v="19"/>
    <s v="Combined Heat and Power, Industrial Power"/>
    <x v="1"/>
    <n v="0"/>
  </r>
  <r>
    <x v="27"/>
    <x v="19"/>
    <s v="Combined Heat and Power, Industrial Power"/>
    <x v="2"/>
    <n v="5885"/>
  </r>
  <r>
    <x v="27"/>
    <x v="19"/>
    <s v="Combined Heat and Power, Industrial Power"/>
    <x v="3"/>
    <n v="257919"/>
  </r>
  <r>
    <x v="27"/>
    <x v="19"/>
    <s v="Combined Heat and Power, Industrial Power"/>
    <x v="12"/>
    <n v="0"/>
  </r>
  <r>
    <x v="27"/>
    <x v="19"/>
    <s v="Combined Heat and Power, Industrial Power"/>
    <x v="4"/>
    <n v="995"/>
  </r>
  <r>
    <x v="27"/>
    <x v="19"/>
    <s v="Combined Heat and Power, Industrial Power"/>
    <x v="13"/>
    <n v="1312"/>
  </r>
  <r>
    <x v="27"/>
    <x v="19"/>
    <s v="Combined Heat and Power, Industrial Power"/>
    <x v="5"/>
    <n v="1588"/>
  </r>
  <r>
    <x v="27"/>
    <x v="19"/>
    <s v="Combined Heat and Power, Commercial Power"/>
    <x v="0"/>
    <n v="547791"/>
  </r>
  <r>
    <x v="27"/>
    <x v="19"/>
    <s v="Combined Heat and Power, Commercial Power"/>
    <x v="2"/>
    <n v="3915"/>
  </r>
  <r>
    <x v="27"/>
    <x v="19"/>
    <s v="Combined Heat and Power, Commercial Power"/>
    <x v="3"/>
    <n v="471984"/>
  </r>
  <r>
    <x v="27"/>
    <x v="19"/>
    <s v="Combined Heat and Power, Commercial Power"/>
    <x v="4"/>
    <n v="16403"/>
  </r>
  <r>
    <x v="27"/>
    <x v="19"/>
    <s v="Combined Heat and Power, Commercial Power"/>
    <x v="13"/>
    <n v="5958"/>
  </r>
  <r>
    <x v="27"/>
    <x v="19"/>
    <s v="Combined Heat and Power, Commercial Power"/>
    <x v="8"/>
    <n v="28585"/>
  </r>
  <r>
    <x v="27"/>
    <x v="19"/>
    <s v="Combined Heat and Power, Commercial Power"/>
    <x v="5"/>
    <n v="20946"/>
  </r>
  <r>
    <x v="27"/>
    <x v="19"/>
    <s v="Combined Heat and Power, Electric Power"/>
    <x v="0"/>
    <n v="2292963"/>
  </r>
  <r>
    <x v="27"/>
    <x v="19"/>
    <s v="Combined Heat and Power, Electric Power"/>
    <x v="3"/>
    <n v="2274094"/>
  </r>
  <r>
    <x v="27"/>
    <x v="19"/>
    <s v="Combined Heat and Power, Electric Power"/>
    <x v="4"/>
    <n v="18869"/>
  </r>
  <r>
    <x v="27"/>
    <x v="19"/>
    <s v="Electric Generators, Independent Power Producers"/>
    <x v="0"/>
    <n v="28550114"/>
  </r>
  <r>
    <x v="27"/>
    <x v="19"/>
    <s v="Electric Generators, Independent Power Producers"/>
    <x v="1"/>
    <n v="1136318"/>
  </r>
  <r>
    <x v="27"/>
    <x v="19"/>
    <s v="Electric Generators, Independent Power Producers"/>
    <x v="10"/>
    <n v="-443012"/>
  </r>
  <r>
    <x v="27"/>
    <x v="19"/>
    <s v="Electric Generators, Independent Power Producers"/>
    <x v="2"/>
    <n v="775358"/>
  </r>
  <r>
    <x v="27"/>
    <x v="19"/>
    <s v="Electric Generators, Independent Power Producers"/>
    <x v="3"/>
    <n v="18975299"/>
  </r>
  <r>
    <x v="27"/>
    <x v="19"/>
    <s v="Electric Generators, Independent Power Producers"/>
    <x v="7"/>
    <n v="5047170"/>
  </r>
  <r>
    <x v="27"/>
    <x v="19"/>
    <s v="Electric Generators, Independent Power Producers"/>
    <x v="12"/>
    <n v="826724"/>
  </r>
  <r>
    <x v="27"/>
    <x v="19"/>
    <s v="Electric Generators, Independent Power Producers"/>
    <x v="4"/>
    <n v="185292"/>
  </r>
  <r>
    <x v="27"/>
    <x v="19"/>
    <s v="Electric Generators, Independent Power Producers"/>
    <x v="13"/>
    <n v="767089"/>
  </r>
  <r>
    <x v="27"/>
    <x v="19"/>
    <s v="Electric Generators, Independent Power Producers"/>
    <x v="8"/>
    <n v="1001003"/>
  </r>
  <r>
    <x v="27"/>
    <x v="19"/>
    <s v="Electric Generators, Independent Power Producers"/>
    <x v="5"/>
    <n v="148061"/>
  </r>
  <r>
    <x v="27"/>
    <x v="19"/>
    <s v="Electric Generators, Independent Power Producers"/>
    <x v="6"/>
    <n v="130813"/>
  </r>
  <r>
    <x v="27"/>
    <x v="19"/>
    <s v="Electric Generators, Electric Utilities"/>
    <x v="0"/>
    <n v="545548"/>
  </r>
  <r>
    <x v="27"/>
    <x v="19"/>
    <s v="Electric Generators, Electric Utilities"/>
    <x v="2"/>
    <n v="252333"/>
  </r>
  <r>
    <x v="27"/>
    <x v="19"/>
    <s v="Electric Generators, Electric Utilities"/>
    <x v="3"/>
    <n v="173262"/>
  </r>
  <r>
    <x v="27"/>
    <x v="19"/>
    <s v="Electric Generators, Electric Utilities"/>
    <x v="12"/>
    <n v="-140"/>
  </r>
  <r>
    <x v="27"/>
    <x v="19"/>
    <s v="Electric Generators, Electric Utilities"/>
    <x v="4"/>
    <n v="43949"/>
  </r>
  <r>
    <x v="27"/>
    <x v="19"/>
    <s v="Electric Generators, Electric Utilities"/>
    <x v="13"/>
    <n v="14116"/>
  </r>
  <r>
    <x v="27"/>
    <x v="19"/>
    <s v="Electric Generators, Electric Utilities"/>
    <x v="5"/>
    <n v="62028"/>
  </r>
  <r>
    <x v="27"/>
    <x v="20"/>
    <s v="Total Electric Power Industry"/>
    <x v="0"/>
    <n v="34104080"/>
  </r>
  <r>
    <x v="27"/>
    <x v="20"/>
    <s v="Total Electric Power Industry"/>
    <x v="1"/>
    <n v="8514009"/>
  </r>
  <r>
    <x v="27"/>
    <x v="20"/>
    <s v="Total Electric Power Industry"/>
    <x v="2"/>
    <n v="1965459"/>
  </r>
  <r>
    <x v="27"/>
    <x v="20"/>
    <s v="Total Electric Power Industry"/>
    <x v="3"/>
    <n v="6729039"/>
  </r>
  <r>
    <x v="27"/>
    <x v="20"/>
    <s v="Total Electric Power Industry"/>
    <x v="7"/>
    <n v="15106988"/>
  </r>
  <r>
    <x v="27"/>
    <x v="20"/>
    <s v="Total Electric Power Industry"/>
    <x v="12"/>
    <n v="321712"/>
  </r>
  <r>
    <x v="27"/>
    <x v="20"/>
    <s v="Total Electric Power Industry"/>
    <x v="4"/>
    <n v="102157"/>
  </r>
  <r>
    <x v="27"/>
    <x v="20"/>
    <s v="Total Electric Power Industry"/>
    <x v="13"/>
    <n v="267090"/>
  </r>
  <r>
    <x v="27"/>
    <x v="20"/>
    <s v="Total Electric Power Industry"/>
    <x v="8"/>
    <n v="415940"/>
  </r>
  <r>
    <x v="27"/>
    <x v="20"/>
    <s v="Total Electric Power Industry"/>
    <x v="5"/>
    <n v="561349"/>
  </r>
  <r>
    <x v="27"/>
    <x v="20"/>
    <s v="Total Electric Power Industry"/>
    <x v="6"/>
    <n v="120338"/>
  </r>
  <r>
    <x v="27"/>
    <x v="20"/>
    <s v="Combined Heat and Power, Industrial Power"/>
    <x v="0"/>
    <n v="283146"/>
  </r>
  <r>
    <x v="27"/>
    <x v="20"/>
    <s v="Combined Heat and Power, Industrial Power"/>
    <x v="1"/>
    <n v="74136"/>
  </r>
  <r>
    <x v="27"/>
    <x v="20"/>
    <s v="Combined Heat and Power, Industrial Power"/>
    <x v="3"/>
    <n v="90425"/>
  </r>
  <r>
    <x v="27"/>
    <x v="20"/>
    <s v="Combined Heat and Power, Industrial Power"/>
    <x v="4"/>
    <n v="2418"/>
  </r>
  <r>
    <x v="27"/>
    <x v="20"/>
    <s v="Combined Heat and Power, Industrial Power"/>
    <x v="6"/>
    <n v="116167"/>
  </r>
  <r>
    <x v="27"/>
    <x v="20"/>
    <s v="Combined Heat and Power, Commercial Power"/>
    <x v="0"/>
    <n v="542814"/>
  </r>
  <r>
    <x v="27"/>
    <x v="20"/>
    <s v="Combined Heat and Power, Commercial Power"/>
    <x v="1"/>
    <n v="0"/>
  </r>
  <r>
    <x v="27"/>
    <x v="20"/>
    <s v="Combined Heat and Power, Commercial Power"/>
    <x v="3"/>
    <n v="526426"/>
  </r>
  <r>
    <x v="27"/>
    <x v="20"/>
    <s v="Combined Heat and Power, Commercial Power"/>
    <x v="4"/>
    <n v="1438"/>
  </r>
  <r>
    <x v="27"/>
    <x v="20"/>
    <s v="Combined Heat and Power, Commercial Power"/>
    <x v="13"/>
    <n v="6576"/>
  </r>
  <r>
    <x v="27"/>
    <x v="20"/>
    <s v="Combined Heat and Power, Commercial Power"/>
    <x v="8"/>
    <n v="4204"/>
  </r>
  <r>
    <x v="27"/>
    <x v="20"/>
    <s v="Combined Heat and Power, Commercial Power"/>
    <x v="6"/>
    <n v="4171"/>
  </r>
  <r>
    <x v="27"/>
    <x v="20"/>
    <s v="Combined Heat and Power, Electric Power"/>
    <x v="0"/>
    <n v="2237527"/>
  </r>
  <r>
    <x v="27"/>
    <x v="20"/>
    <s v="Combined Heat and Power, Electric Power"/>
    <x v="1"/>
    <n v="1105939"/>
  </r>
  <r>
    <x v="27"/>
    <x v="20"/>
    <s v="Combined Heat and Power, Electric Power"/>
    <x v="3"/>
    <n v="790206"/>
  </r>
  <r>
    <x v="27"/>
    <x v="20"/>
    <s v="Combined Heat and Power, Electric Power"/>
    <x v="12"/>
    <n v="165072"/>
  </r>
  <r>
    <x v="27"/>
    <x v="20"/>
    <s v="Combined Heat and Power, Electric Power"/>
    <x v="4"/>
    <n v="4501"/>
  </r>
  <r>
    <x v="27"/>
    <x v="20"/>
    <s v="Combined Heat and Power, Electric Power"/>
    <x v="8"/>
    <n v="171810"/>
  </r>
  <r>
    <x v="27"/>
    <x v="20"/>
    <s v="Electric Generators, Independent Power Producers"/>
    <x v="0"/>
    <n v="30784587"/>
  </r>
  <r>
    <x v="27"/>
    <x v="20"/>
    <s v="Electric Generators, Independent Power Producers"/>
    <x v="1"/>
    <n v="7333934"/>
  </r>
  <r>
    <x v="27"/>
    <x v="20"/>
    <s v="Electric Generators, Independent Power Producers"/>
    <x v="2"/>
    <n v="1965459"/>
  </r>
  <r>
    <x v="27"/>
    <x v="20"/>
    <s v="Electric Generators, Independent Power Producers"/>
    <x v="3"/>
    <n v="5076145"/>
  </r>
  <r>
    <x v="27"/>
    <x v="20"/>
    <s v="Electric Generators, Independent Power Producers"/>
    <x v="7"/>
    <n v="15106988"/>
  </r>
  <r>
    <x v="27"/>
    <x v="20"/>
    <s v="Electric Generators, Independent Power Producers"/>
    <x v="12"/>
    <n v="156640"/>
  </r>
  <r>
    <x v="27"/>
    <x v="20"/>
    <s v="Electric Generators, Independent Power Producers"/>
    <x v="4"/>
    <n v="92261"/>
  </r>
  <r>
    <x v="27"/>
    <x v="20"/>
    <s v="Electric Generators, Independent Power Producers"/>
    <x v="13"/>
    <n v="251885"/>
  </r>
  <r>
    <x v="27"/>
    <x v="20"/>
    <s v="Electric Generators, Independent Power Producers"/>
    <x v="8"/>
    <n v="239926"/>
  </r>
  <r>
    <x v="27"/>
    <x v="20"/>
    <s v="Electric Generators, Independent Power Producers"/>
    <x v="5"/>
    <n v="561349"/>
  </r>
  <r>
    <x v="27"/>
    <x v="20"/>
    <s v="Electric Generators, Electric Utilities"/>
    <x v="0"/>
    <n v="256006"/>
  </r>
  <r>
    <x v="27"/>
    <x v="20"/>
    <s v="Electric Generators, Electric Utilities"/>
    <x v="3"/>
    <n v="245838"/>
  </r>
  <r>
    <x v="27"/>
    <x v="20"/>
    <s v="Electric Generators, Electric Utilities"/>
    <x v="4"/>
    <n v="1539"/>
  </r>
  <r>
    <x v="27"/>
    <x v="20"/>
    <s v="Electric Generators, Electric Utilities"/>
    <x v="13"/>
    <n v="8629"/>
  </r>
  <r>
    <x v="27"/>
    <x v="21"/>
    <s v="Total Electric Power Industry"/>
    <x v="0"/>
    <n v="11264280"/>
  </r>
  <r>
    <x v="27"/>
    <x v="21"/>
    <s v="Total Electric Power Industry"/>
    <x v="1"/>
    <n v="67935"/>
  </r>
  <r>
    <x v="27"/>
    <x v="21"/>
    <s v="Total Electric Power Industry"/>
    <x v="2"/>
    <n v="3388777"/>
  </r>
  <r>
    <x v="27"/>
    <x v="21"/>
    <s v="Total Electric Power Industry"/>
    <x v="3"/>
    <n v="2237068"/>
  </r>
  <r>
    <x v="27"/>
    <x v="21"/>
    <s v="Total Electric Power Industry"/>
    <x v="12"/>
    <n v="396293"/>
  </r>
  <r>
    <x v="27"/>
    <x v="21"/>
    <s v="Total Electric Power Industry"/>
    <x v="4"/>
    <n v="132391"/>
  </r>
  <r>
    <x v="27"/>
    <x v="21"/>
    <s v="Total Electric Power Industry"/>
    <x v="13"/>
    <n v="5436"/>
  </r>
  <r>
    <x v="27"/>
    <x v="21"/>
    <s v="Total Electric Power Industry"/>
    <x v="8"/>
    <n v="174599"/>
  </r>
  <r>
    <x v="27"/>
    <x v="21"/>
    <s v="Total Electric Power Industry"/>
    <x v="5"/>
    <n v="2332853"/>
  </r>
  <r>
    <x v="27"/>
    <x v="21"/>
    <s v="Total Electric Power Industry"/>
    <x v="6"/>
    <n v="2528927"/>
  </r>
  <r>
    <x v="27"/>
    <x v="21"/>
    <s v="Combined Heat and Power, Industrial Power"/>
    <x v="0"/>
    <n v="1842669"/>
  </r>
  <r>
    <x v="27"/>
    <x v="21"/>
    <s v="Combined Heat and Power, Industrial Power"/>
    <x v="1"/>
    <n v="9619"/>
  </r>
  <r>
    <x v="27"/>
    <x v="21"/>
    <s v="Combined Heat and Power, Industrial Power"/>
    <x v="2"/>
    <n v="363996"/>
  </r>
  <r>
    <x v="27"/>
    <x v="21"/>
    <s v="Combined Heat and Power, Industrial Power"/>
    <x v="3"/>
    <n v="292190"/>
  </r>
  <r>
    <x v="27"/>
    <x v="21"/>
    <s v="Combined Heat and Power, Industrial Power"/>
    <x v="12"/>
    <n v="134515"/>
  </r>
  <r>
    <x v="27"/>
    <x v="21"/>
    <s v="Combined Heat and Power, Industrial Power"/>
    <x v="4"/>
    <n v="13350"/>
  </r>
  <r>
    <x v="27"/>
    <x v="21"/>
    <s v="Combined Heat and Power, Industrial Power"/>
    <x v="8"/>
    <n v="7867"/>
  </r>
  <r>
    <x v="27"/>
    <x v="21"/>
    <s v="Combined Heat and Power, Industrial Power"/>
    <x v="6"/>
    <n v="1021133"/>
  </r>
  <r>
    <x v="27"/>
    <x v="21"/>
    <s v="Combined Heat and Power, Commercial Power"/>
    <x v="0"/>
    <n v="214687"/>
  </r>
  <r>
    <x v="27"/>
    <x v="21"/>
    <s v="Combined Heat and Power, Commercial Power"/>
    <x v="3"/>
    <n v="29783"/>
  </r>
  <r>
    <x v="27"/>
    <x v="21"/>
    <s v="Combined Heat and Power, Commercial Power"/>
    <x v="12"/>
    <n v="88587"/>
  </r>
  <r>
    <x v="27"/>
    <x v="21"/>
    <s v="Combined Heat and Power, Commercial Power"/>
    <x v="4"/>
    <n v="2189"/>
  </r>
  <r>
    <x v="27"/>
    <x v="21"/>
    <s v="Combined Heat and Power, Commercial Power"/>
    <x v="8"/>
    <n v="92202"/>
  </r>
  <r>
    <x v="27"/>
    <x v="21"/>
    <s v="Combined Heat and Power, Commercial Power"/>
    <x v="6"/>
    <n v="1926"/>
  </r>
  <r>
    <x v="27"/>
    <x v="21"/>
    <s v="Combined Heat and Power, Electric Power"/>
    <x v="0"/>
    <n v="580868"/>
  </r>
  <r>
    <x v="27"/>
    <x v="21"/>
    <s v="Combined Heat and Power, Electric Power"/>
    <x v="1"/>
    <n v="58316"/>
  </r>
  <r>
    <x v="27"/>
    <x v="21"/>
    <s v="Combined Heat and Power, Electric Power"/>
    <x v="3"/>
    <n v="6102"/>
  </r>
  <r>
    <x v="27"/>
    <x v="21"/>
    <s v="Combined Heat and Power, Electric Power"/>
    <x v="12"/>
    <n v="135190"/>
  </r>
  <r>
    <x v="27"/>
    <x v="21"/>
    <s v="Combined Heat and Power, Electric Power"/>
    <x v="4"/>
    <n v="6022"/>
  </r>
  <r>
    <x v="27"/>
    <x v="21"/>
    <s v="Combined Heat and Power, Electric Power"/>
    <x v="8"/>
    <n v="5156"/>
  </r>
  <r>
    <x v="27"/>
    <x v="21"/>
    <s v="Combined Heat and Power, Electric Power"/>
    <x v="6"/>
    <n v="370081"/>
  </r>
  <r>
    <x v="27"/>
    <x v="21"/>
    <s v="Electric Generators, Independent Power Producers"/>
    <x v="0"/>
    <n v="8625970"/>
  </r>
  <r>
    <x v="27"/>
    <x v="21"/>
    <s v="Electric Generators, Independent Power Producers"/>
    <x v="2"/>
    <n v="3024781"/>
  </r>
  <r>
    <x v="27"/>
    <x v="21"/>
    <s v="Electric Generators, Independent Power Producers"/>
    <x v="3"/>
    <n v="1908993"/>
  </r>
  <r>
    <x v="27"/>
    <x v="21"/>
    <s v="Electric Generators, Independent Power Producers"/>
    <x v="12"/>
    <n v="38002"/>
  </r>
  <r>
    <x v="27"/>
    <x v="21"/>
    <s v="Electric Generators, Independent Power Producers"/>
    <x v="4"/>
    <n v="110744"/>
  </r>
  <r>
    <x v="27"/>
    <x v="21"/>
    <s v="Electric Generators, Independent Power Producers"/>
    <x v="13"/>
    <n v="5436"/>
  </r>
  <r>
    <x v="27"/>
    <x v="21"/>
    <s v="Electric Generators, Independent Power Producers"/>
    <x v="8"/>
    <n v="69374"/>
  </r>
  <r>
    <x v="27"/>
    <x v="21"/>
    <s v="Electric Generators, Independent Power Producers"/>
    <x v="5"/>
    <n v="2332853"/>
  </r>
  <r>
    <x v="27"/>
    <x v="21"/>
    <s v="Electric Generators, Independent Power Producers"/>
    <x v="6"/>
    <n v="1135787"/>
  </r>
  <r>
    <x v="27"/>
    <x v="21"/>
    <s v="Electric Generators, Electric Utilities"/>
    <x v="0"/>
    <n v="86"/>
  </r>
  <r>
    <x v="27"/>
    <x v="21"/>
    <s v="Electric Generators, Electric Utilities"/>
    <x v="4"/>
    <n v="86"/>
  </r>
  <r>
    <x v="27"/>
    <x v="22"/>
    <s v="Total Electric Power Industry"/>
    <x v="0"/>
    <n v="112313501"/>
  </r>
  <r>
    <x v="27"/>
    <x v="22"/>
    <s v="Total Electric Power Industry"/>
    <x v="1"/>
    <n v="42020548"/>
  </r>
  <r>
    <x v="27"/>
    <x v="22"/>
    <s v="Total Electric Power Industry"/>
    <x v="10"/>
    <n v="-674759"/>
  </r>
  <r>
    <x v="27"/>
    <x v="22"/>
    <s v="Total Electric Power Industry"/>
    <x v="2"/>
    <n v="1678957"/>
  </r>
  <r>
    <x v="27"/>
    <x v="22"/>
    <s v="Total Electric Power Industry"/>
    <x v="3"/>
    <n v="26130658"/>
  </r>
  <r>
    <x v="27"/>
    <x v="22"/>
    <s v="Total Electric Power Industry"/>
    <x v="7"/>
    <n v="32381192"/>
  </r>
  <r>
    <x v="27"/>
    <x v="22"/>
    <s v="Total Electric Power Industry"/>
    <x v="9"/>
    <n v="1652167"/>
  </r>
  <r>
    <x v="27"/>
    <x v="22"/>
    <s v="Total Electric Power Industry"/>
    <x v="12"/>
    <n v="259533"/>
  </r>
  <r>
    <x v="27"/>
    <x v="22"/>
    <s v="Total Electric Power Industry"/>
    <x v="4"/>
    <n v="1116511"/>
  </r>
  <r>
    <x v="27"/>
    <x v="22"/>
    <s v="Total Electric Power Industry"/>
    <x v="13"/>
    <n v="63304"/>
  </r>
  <r>
    <x v="27"/>
    <x v="22"/>
    <s v="Total Electric Power Industry"/>
    <x v="8"/>
    <n v="985855"/>
  </r>
  <r>
    <x v="27"/>
    <x v="22"/>
    <s v="Total Electric Power Industry"/>
    <x v="5"/>
    <n v="5191273"/>
  </r>
  <r>
    <x v="27"/>
    <x v="22"/>
    <s v="Total Electric Power Industry"/>
    <x v="6"/>
    <n v="1508262"/>
  </r>
  <r>
    <x v="27"/>
    <x v="22"/>
    <s v="Combined Heat and Power, Industrial Power"/>
    <x v="0"/>
    <n v="1320290"/>
  </r>
  <r>
    <x v="27"/>
    <x v="22"/>
    <s v="Combined Heat and Power, Industrial Power"/>
    <x v="1"/>
    <n v="46136"/>
  </r>
  <r>
    <x v="27"/>
    <x v="22"/>
    <s v="Combined Heat and Power, Industrial Power"/>
    <x v="2"/>
    <n v="28986"/>
  </r>
  <r>
    <x v="27"/>
    <x v="22"/>
    <s v="Combined Heat and Power, Industrial Power"/>
    <x v="3"/>
    <n v="427550"/>
  </r>
  <r>
    <x v="27"/>
    <x v="22"/>
    <s v="Combined Heat and Power, Industrial Power"/>
    <x v="12"/>
    <n v="16108"/>
  </r>
  <r>
    <x v="27"/>
    <x v="22"/>
    <s v="Combined Heat and Power, Industrial Power"/>
    <x v="4"/>
    <n v="152942"/>
  </r>
  <r>
    <x v="27"/>
    <x v="22"/>
    <s v="Combined Heat and Power, Industrial Power"/>
    <x v="8"/>
    <n v="1030"/>
  </r>
  <r>
    <x v="27"/>
    <x v="22"/>
    <s v="Combined Heat and Power, Industrial Power"/>
    <x v="6"/>
    <n v="647539"/>
  </r>
  <r>
    <x v="27"/>
    <x v="22"/>
    <s v="Combined Heat and Power, Commercial Power"/>
    <x v="0"/>
    <n v="831057"/>
  </r>
  <r>
    <x v="27"/>
    <x v="22"/>
    <s v="Combined Heat and Power, Commercial Power"/>
    <x v="1"/>
    <n v="0"/>
  </r>
  <r>
    <x v="27"/>
    <x v="22"/>
    <s v="Combined Heat and Power, Commercial Power"/>
    <x v="3"/>
    <n v="564075"/>
  </r>
  <r>
    <x v="27"/>
    <x v="22"/>
    <s v="Combined Heat and Power, Commercial Power"/>
    <x v="12"/>
    <n v="129234"/>
  </r>
  <r>
    <x v="27"/>
    <x v="22"/>
    <s v="Combined Heat and Power, Commercial Power"/>
    <x v="4"/>
    <n v="3170"/>
  </r>
  <r>
    <x v="27"/>
    <x v="22"/>
    <s v="Combined Heat and Power, Commercial Power"/>
    <x v="8"/>
    <n v="134506"/>
  </r>
  <r>
    <x v="27"/>
    <x v="22"/>
    <s v="Combined Heat and Power, Commercial Power"/>
    <x v="6"/>
    <n v="72"/>
  </r>
  <r>
    <x v="27"/>
    <x v="22"/>
    <s v="Combined Heat and Power, Electric Power"/>
    <x v="0"/>
    <n v="12629847"/>
  </r>
  <r>
    <x v="27"/>
    <x v="22"/>
    <s v="Combined Heat and Power, Electric Power"/>
    <x v="1"/>
    <n v="443581"/>
  </r>
  <r>
    <x v="27"/>
    <x v="22"/>
    <s v="Combined Heat and Power, Electric Power"/>
    <x v="3"/>
    <n v="10636899"/>
  </r>
  <r>
    <x v="27"/>
    <x v="22"/>
    <s v="Combined Heat and Power, Electric Power"/>
    <x v="9"/>
    <n v="1503607"/>
  </r>
  <r>
    <x v="27"/>
    <x v="22"/>
    <s v="Combined Heat and Power, Electric Power"/>
    <x v="12"/>
    <n v="22636"/>
  </r>
  <r>
    <x v="27"/>
    <x v="22"/>
    <s v="Combined Heat and Power, Electric Power"/>
    <x v="4"/>
    <n v="0"/>
  </r>
  <r>
    <x v="27"/>
    <x v="22"/>
    <s v="Combined Heat and Power, Electric Power"/>
    <x v="8"/>
    <n v="2440"/>
  </r>
  <r>
    <x v="27"/>
    <x v="22"/>
    <s v="Combined Heat and Power, Electric Power"/>
    <x v="6"/>
    <n v="20685"/>
  </r>
  <r>
    <x v="27"/>
    <x v="22"/>
    <s v="Electric Generators, Independent Power Producers"/>
    <x v="0"/>
    <n v="17593600"/>
  </r>
  <r>
    <x v="27"/>
    <x v="22"/>
    <s v="Electric Generators, Independent Power Producers"/>
    <x v="2"/>
    <n v="109952"/>
  </r>
  <r>
    <x v="27"/>
    <x v="22"/>
    <s v="Electric Generators, Independent Power Producers"/>
    <x v="3"/>
    <n v="6251631"/>
  </r>
  <r>
    <x v="27"/>
    <x v="22"/>
    <s v="Electric Generators, Independent Power Producers"/>
    <x v="7"/>
    <n v="6097496"/>
  </r>
  <r>
    <x v="27"/>
    <x v="22"/>
    <s v="Electric Generators, Independent Power Producers"/>
    <x v="12"/>
    <n v="91556"/>
  </r>
  <r>
    <x v="27"/>
    <x v="22"/>
    <s v="Electric Generators, Independent Power Producers"/>
    <x v="4"/>
    <n v="0"/>
  </r>
  <r>
    <x v="27"/>
    <x v="22"/>
    <s v="Electric Generators, Independent Power Producers"/>
    <x v="13"/>
    <n v="312"/>
  </r>
  <r>
    <x v="27"/>
    <x v="22"/>
    <s v="Electric Generators, Independent Power Producers"/>
    <x v="8"/>
    <n v="847879"/>
  </r>
  <r>
    <x v="27"/>
    <x v="22"/>
    <s v="Electric Generators, Independent Power Producers"/>
    <x v="5"/>
    <n v="3354808"/>
  </r>
  <r>
    <x v="27"/>
    <x v="22"/>
    <s v="Electric Generators, Independent Power Producers"/>
    <x v="6"/>
    <n v="839967"/>
  </r>
  <r>
    <x v="27"/>
    <x v="22"/>
    <s v="Electric Generators, Electric Utilities"/>
    <x v="0"/>
    <n v="79938707"/>
  </r>
  <r>
    <x v="27"/>
    <x v="22"/>
    <s v="Electric Generators, Electric Utilities"/>
    <x v="1"/>
    <n v="41530832"/>
  </r>
  <r>
    <x v="27"/>
    <x v="22"/>
    <s v="Electric Generators, Electric Utilities"/>
    <x v="10"/>
    <n v="-674759"/>
  </r>
  <r>
    <x v="27"/>
    <x v="22"/>
    <s v="Electric Generators, Electric Utilities"/>
    <x v="2"/>
    <n v="1540019"/>
  </r>
  <r>
    <x v="27"/>
    <x v="22"/>
    <s v="Electric Generators, Electric Utilities"/>
    <x v="3"/>
    <n v="8250504"/>
  </r>
  <r>
    <x v="27"/>
    <x v="22"/>
    <s v="Electric Generators, Electric Utilities"/>
    <x v="7"/>
    <n v="26283696"/>
  </r>
  <r>
    <x v="27"/>
    <x v="22"/>
    <s v="Electric Generators, Electric Utilities"/>
    <x v="9"/>
    <n v="148559"/>
  </r>
  <r>
    <x v="27"/>
    <x v="22"/>
    <s v="Electric Generators, Electric Utilities"/>
    <x v="12"/>
    <n v="0"/>
  </r>
  <r>
    <x v="27"/>
    <x v="22"/>
    <s v="Electric Generators, Electric Utilities"/>
    <x v="4"/>
    <n v="960399"/>
  </r>
  <r>
    <x v="27"/>
    <x v="22"/>
    <s v="Electric Generators, Electric Utilities"/>
    <x v="13"/>
    <n v="62992"/>
  </r>
  <r>
    <x v="27"/>
    <x v="22"/>
    <s v="Electric Generators, Electric Utilities"/>
    <x v="5"/>
    <n v="1836465"/>
  </r>
  <r>
    <x v="27"/>
    <x v="22"/>
    <s v="Electric Generators, Electric Utilities"/>
    <x v="6"/>
    <n v="0"/>
  </r>
  <r>
    <x v="27"/>
    <x v="23"/>
    <s v="Total Electric Power Industry"/>
    <x v="0"/>
    <n v="58748831"/>
  </r>
  <r>
    <x v="27"/>
    <x v="23"/>
    <s v="Total Electric Power Industry"/>
    <x v="1"/>
    <n v="22781898"/>
  </r>
  <r>
    <x v="27"/>
    <x v="23"/>
    <s v="Total Electric Power Industry"/>
    <x v="2"/>
    <n v="1257702"/>
  </r>
  <r>
    <x v="27"/>
    <x v="23"/>
    <s v="Total Electric Power Industry"/>
    <x v="3"/>
    <n v="6707592"/>
  </r>
  <r>
    <x v="27"/>
    <x v="23"/>
    <s v="Total Electric Power Industry"/>
    <x v="7"/>
    <n v="13904351"/>
  </r>
  <r>
    <x v="27"/>
    <x v="23"/>
    <s v="Total Electric Power Industry"/>
    <x v="12"/>
    <n v="395766"/>
  </r>
  <r>
    <x v="27"/>
    <x v="23"/>
    <s v="Total Electric Power Industry"/>
    <x v="4"/>
    <n v="35152"/>
  </r>
  <r>
    <x v="27"/>
    <x v="23"/>
    <s v="Total Electric Power Industry"/>
    <x v="13"/>
    <n v="596124"/>
  </r>
  <r>
    <x v="27"/>
    <x v="23"/>
    <s v="Total Electric Power Industry"/>
    <x v="8"/>
    <n v="636893"/>
  </r>
  <r>
    <x v="27"/>
    <x v="23"/>
    <s v="Total Electric Power Industry"/>
    <x v="5"/>
    <n v="11137272"/>
  </r>
  <r>
    <x v="27"/>
    <x v="23"/>
    <s v="Total Electric Power Industry"/>
    <x v="6"/>
    <n v="1296082"/>
  </r>
  <r>
    <x v="27"/>
    <x v="23"/>
    <s v="Combined Heat and Power, Industrial Power"/>
    <x v="0"/>
    <n v="1496819"/>
  </r>
  <r>
    <x v="27"/>
    <x v="23"/>
    <s v="Combined Heat and Power, Industrial Power"/>
    <x v="1"/>
    <n v="511214"/>
  </r>
  <r>
    <x v="27"/>
    <x v="23"/>
    <s v="Combined Heat and Power, Industrial Power"/>
    <x v="2"/>
    <n v="155541"/>
  </r>
  <r>
    <x v="27"/>
    <x v="23"/>
    <s v="Combined Heat and Power, Industrial Power"/>
    <x v="3"/>
    <n v="125531"/>
  </r>
  <r>
    <x v="27"/>
    <x v="23"/>
    <s v="Combined Heat and Power, Industrial Power"/>
    <x v="12"/>
    <n v="48413"/>
  </r>
  <r>
    <x v="27"/>
    <x v="23"/>
    <s v="Combined Heat and Power, Industrial Power"/>
    <x v="4"/>
    <n v="1227"/>
  </r>
  <r>
    <x v="27"/>
    <x v="23"/>
    <s v="Combined Heat and Power, Industrial Power"/>
    <x v="8"/>
    <n v="7036"/>
  </r>
  <r>
    <x v="27"/>
    <x v="23"/>
    <s v="Combined Heat and Power, Industrial Power"/>
    <x v="6"/>
    <n v="647858"/>
  </r>
  <r>
    <x v="27"/>
    <x v="23"/>
    <s v="Combined Heat and Power, Commercial Power"/>
    <x v="0"/>
    <n v="183772"/>
  </r>
  <r>
    <x v="27"/>
    <x v="23"/>
    <s v="Combined Heat and Power, Commercial Power"/>
    <x v="1"/>
    <n v="1105"/>
  </r>
  <r>
    <x v="27"/>
    <x v="23"/>
    <s v="Combined Heat and Power, Commercial Power"/>
    <x v="3"/>
    <n v="96746"/>
  </r>
  <r>
    <x v="27"/>
    <x v="23"/>
    <s v="Combined Heat and Power, Commercial Power"/>
    <x v="12"/>
    <n v="33862"/>
  </r>
  <r>
    <x v="27"/>
    <x v="23"/>
    <s v="Combined Heat and Power, Commercial Power"/>
    <x v="4"/>
    <n v="1106"/>
  </r>
  <r>
    <x v="27"/>
    <x v="23"/>
    <s v="Combined Heat and Power, Commercial Power"/>
    <x v="8"/>
    <n v="20419"/>
  </r>
  <r>
    <x v="27"/>
    <x v="23"/>
    <s v="Combined Heat and Power, Commercial Power"/>
    <x v="5"/>
    <n v="26481"/>
  </r>
  <r>
    <x v="27"/>
    <x v="23"/>
    <s v="Combined Heat and Power, Commercial Power"/>
    <x v="6"/>
    <n v="4055"/>
  </r>
  <r>
    <x v="27"/>
    <x v="23"/>
    <s v="Combined Heat and Power, Electric Power"/>
    <x v="0"/>
    <n v="632095"/>
  </r>
  <r>
    <x v="27"/>
    <x v="23"/>
    <s v="Combined Heat and Power, Electric Power"/>
    <x v="3"/>
    <n v="373908"/>
  </r>
  <r>
    <x v="27"/>
    <x v="23"/>
    <s v="Combined Heat and Power, Electric Power"/>
    <x v="4"/>
    <n v="782"/>
  </r>
  <r>
    <x v="27"/>
    <x v="23"/>
    <s v="Combined Heat and Power, Electric Power"/>
    <x v="8"/>
    <n v="86878"/>
  </r>
  <r>
    <x v="27"/>
    <x v="23"/>
    <s v="Combined Heat and Power, Electric Power"/>
    <x v="6"/>
    <n v="170527"/>
  </r>
  <r>
    <x v="27"/>
    <x v="23"/>
    <s v="Electric Generators, Independent Power Producers"/>
    <x v="0"/>
    <n v="10746352"/>
  </r>
  <r>
    <x v="27"/>
    <x v="23"/>
    <s v="Electric Generators, Independent Power Producers"/>
    <x v="2"/>
    <n v="199529"/>
  </r>
  <r>
    <x v="27"/>
    <x v="23"/>
    <s v="Electric Generators, Independent Power Producers"/>
    <x v="3"/>
    <n v="741847"/>
  </r>
  <r>
    <x v="27"/>
    <x v="23"/>
    <s v="Electric Generators, Independent Power Producers"/>
    <x v="12"/>
    <n v="148466"/>
  </r>
  <r>
    <x v="27"/>
    <x v="23"/>
    <s v="Electric Generators, Independent Power Producers"/>
    <x v="4"/>
    <n v="6406"/>
  </r>
  <r>
    <x v="27"/>
    <x v="23"/>
    <s v="Electric Generators, Independent Power Producers"/>
    <x v="13"/>
    <n v="593655"/>
  </r>
  <r>
    <x v="27"/>
    <x v="23"/>
    <s v="Electric Generators, Independent Power Producers"/>
    <x v="8"/>
    <n v="318358"/>
  </r>
  <r>
    <x v="27"/>
    <x v="23"/>
    <s v="Electric Generators, Independent Power Producers"/>
    <x v="5"/>
    <n v="8455184"/>
  </r>
  <r>
    <x v="27"/>
    <x v="23"/>
    <s v="Electric Generators, Independent Power Producers"/>
    <x v="6"/>
    <n v="282907"/>
  </r>
  <r>
    <x v="27"/>
    <x v="23"/>
    <s v="Electric Generators, Electric Utilities"/>
    <x v="0"/>
    <n v="45689793"/>
  </r>
  <r>
    <x v="27"/>
    <x v="23"/>
    <s v="Electric Generators, Electric Utilities"/>
    <x v="1"/>
    <n v="22269579"/>
  </r>
  <r>
    <x v="27"/>
    <x v="23"/>
    <s v="Electric Generators, Electric Utilities"/>
    <x v="2"/>
    <n v="902633"/>
  </r>
  <r>
    <x v="27"/>
    <x v="23"/>
    <s v="Electric Generators, Electric Utilities"/>
    <x v="3"/>
    <n v="5369560"/>
  </r>
  <r>
    <x v="27"/>
    <x v="23"/>
    <s v="Electric Generators, Electric Utilities"/>
    <x v="7"/>
    <n v="13904351"/>
  </r>
  <r>
    <x v="27"/>
    <x v="23"/>
    <s v="Electric Generators, Electric Utilities"/>
    <x v="12"/>
    <n v="165025"/>
  </r>
  <r>
    <x v="27"/>
    <x v="23"/>
    <s v="Electric Generators, Electric Utilities"/>
    <x v="4"/>
    <n v="25632"/>
  </r>
  <r>
    <x v="27"/>
    <x v="23"/>
    <s v="Electric Generators, Electric Utilities"/>
    <x v="13"/>
    <n v="2469"/>
  </r>
  <r>
    <x v="27"/>
    <x v="23"/>
    <s v="Electric Generators, Electric Utilities"/>
    <x v="8"/>
    <n v="204202"/>
  </r>
  <r>
    <x v="27"/>
    <x v="23"/>
    <s v="Electric Generators, Electric Utilities"/>
    <x v="5"/>
    <n v="2655607"/>
  </r>
  <r>
    <x v="27"/>
    <x v="23"/>
    <s v="Electric Generators, Electric Utilities"/>
    <x v="6"/>
    <n v="190736"/>
  </r>
  <r>
    <x v="27"/>
    <x v="24"/>
    <s v="Total Electric Power Industry"/>
    <x v="0"/>
    <n v="84606731"/>
  </r>
  <r>
    <x v="27"/>
    <x v="24"/>
    <s v="Total Electric Power Industry"/>
    <x v="1"/>
    <n v="67518943"/>
  </r>
  <r>
    <x v="27"/>
    <x v="24"/>
    <s v="Total Electric Power Industry"/>
    <x v="10"/>
    <n v="99724"/>
  </r>
  <r>
    <x v="27"/>
    <x v="24"/>
    <s v="Total Electric Power Industry"/>
    <x v="2"/>
    <n v="1181580"/>
  </r>
  <r>
    <x v="27"/>
    <x v="24"/>
    <s v="Total Electric Power Industry"/>
    <x v="3"/>
    <n v="5205285"/>
  </r>
  <r>
    <x v="27"/>
    <x v="24"/>
    <s v="Total Electric Power Industry"/>
    <x v="7"/>
    <n v="8304127"/>
  </r>
  <r>
    <x v="27"/>
    <x v="24"/>
    <s v="Total Electric Power Industry"/>
    <x v="12"/>
    <n v="3647"/>
  </r>
  <r>
    <x v="27"/>
    <x v="24"/>
    <s v="Total Electric Power Industry"/>
    <x v="4"/>
    <n v="60720"/>
  </r>
  <r>
    <x v="27"/>
    <x v="24"/>
    <s v="Total Electric Power Industry"/>
    <x v="13"/>
    <n v="56188"/>
  </r>
  <r>
    <x v="27"/>
    <x v="24"/>
    <s v="Total Electric Power Industry"/>
    <x v="8"/>
    <n v="87835"/>
  </r>
  <r>
    <x v="27"/>
    <x v="24"/>
    <s v="Total Electric Power Industry"/>
    <x v="5"/>
    <n v="2032318"/>
  </r>
  <r>
    <x v="27"/>
    <x v="24"/>
    <s v="Total Electric Power Industry"/>
    <x v="6"/>
    <n v="56364"/>
  </r>
  <r>
    <x v="27"/>
    <x v="24"/>
    <s v="Combined Heat and Power, Industrial Power"/>
    <x v="0"/>
    <n v="46185"/>
  </r>
  <r>
    <x v="27"/>
    <x v="24"/>
    <s v="Combined Heat and Power, Industrial Power"/>
    <x v="1"/>
    <n v="0"/>
  </r>
  <r>
    <x v="27"/>
    <x v="24"/>
    <s v="Combined Heat and Power, Industrial Power"/>
    <x v="3"/>
    <n v="43032"/>
  </r>
  <r>
    <x v="27"/>
    <x v="24"/>
    <s v="Combined Heat and Power, Industrial Power"/>
    <x v="4"/>
    <n v="0"/>
  </r>
  <r>
    <x v="27"/>
    <x v="24"/>
    <s v="Combined Heat and Power, Industrial Power"/>
    <x v="8"/>
    <n v="3153"/>
  </r>
  <r>
    <x v="27"/>
    <x v="24"/>
    <s v="Combined Heat and Power, Industrial Power"/>
    <x v="6"/>
    <n v="0"/>
  </r>
  <r>
    <x v="27"/>
    <x v="24"/>
    <s v="Combined Heat and Power, Commercial Power"/>
    <x v="0"/>
    <n v="174556"/>
  </r>
  <r>
    <x v="27"/>
    <x v="24"/>
    <s v="Combined Heat and Power, Commercial Power"/>
    <x v="1"/>
    <n v="22391"/>
  </r>
  <r>
    <x v="27"/>
    <x v="24"/>
    <s v="Combined Heat and Power, Commercial Power"/>
    <x v="3"/>
    <n v="94114"/>
  </r>
  <r>
    <x v="27"/>
    <x v="24"/>
    <s v="Combined Heat and Power, Commercial Power"/>
    <x v="4"/>
    <n v="59"/>
  </r>
  <r>
    <x v="27"/>
    <x v="24"/>
    <s v="Combined Heat and Power, Commercial Power"/>
    <x v="13"/>
    <n v="1628"/>
  </r>
  <r>
    <x v="27"/>
    <x v="24"/>
    <s v="Combined Heat and Power, Commercial Power"/>
    <x v="6"/>
    <n v="56364"/>
  </r>
  <r>
    <x v="27"/>
    <x v="24"/>
    <s v="Combined Heat and Power, Electric Power"/>
    <x v="0"/>
    <n v="61601"/>
  </r>
  <r>
    <x v="27"/>
    <x v="24"/>
    <s v="Combined Heat and Power, Electric Power"/>
    <x v="1"/>
    <n v="590"/>
  </r>
  <r>
    <x v="27"/>
    <x v="24"/>
    <s v="Combined Heat and Power, Electric Power"/>
    <x v="3"/>
    <n v="61011"/>
  </r>
  <r>
    <x v="27"/>
    <x v="24"/>
    <s v="Combined Heat and Power, Electric Power"/>
    <x v="4"/>
    <n v="0"/>
  </r>
  <r>
    <x v="27"/>
    <x v="24"/>
    <s v="Electric Generators, Independent Power Producers"/>
    <x v="0"/>
    <n v="3263785"/>
  </r>
  <r>
    <x v="27"/>
    <x v="24"/>
    <s v="Electric Generators, Independent Power Producers"/>
    <x v="1"/>
    <n v="0"/>
  </r>
  <r>
    <x v="27"/>
    <x v="24"/>
    <s v="Electric Generators, Independent Power Producers"/>
    <x v="3"/>
    <n v="1133322"/>
  </r>
  <r>
    <x v="27"/>
    <x v="24"/>
    <s v="Electric Generators, Independent Power Producers"/>
    <x v="4"/>
    <n v="0"/>
  </r>
  <r>
    <x v="27"/>
    <x v="24"/>
    <s v="Electric Generators, Independent Power Producers"/>
    <x v="13"/>
    <n v="51759"/>
  </r>
  <r>
    <x v="27"/>
    <x v="24"/>
    <s v="Electric Generators, Independent Power Producers"/>
    <x v="8"/>
    <n v="46386"/>
  </r>
  <r>
    <x v="27"/>
    <x v="24"/>
    <s v="Electric Generators, Independent Power Producers"/>
    <x v="5"/>
    <n v="2032318"/>
  </r>
  <r>
    <x v="27"/>
    <x v="24"/>
    <s v="Electric Generators, Electric Utilities"/>
    <x v="0"/>
    <n v="81060603"/>
  </r>
  <r>
    <x v="27"/>
    <x v="24"/>
    <s v="Electric Generators, Electric Utilities"/>
    <x v="1"/>
    <n v="67495961"/>
  </r>
  <r>
    <x v="27"/>
    <x v="24"/>
    <s v="Electric Generators, Electric Utilities"/>
    <x v="10"/>
    <n v="99724"/>
  </r>
  <r>
    <x v="27"/>
    <x v="24"/>
    <s v="Electric Generators, Electric Utilities"/>
    <x v="2"/>
    <n v="1181580"/>
  </r>
  <r>
    <x v="27"/>
    <x v="24"/>
    <s v="Electric Generators, Electric Utilities"/>
    <x v="3"/>
    <n v="3873806"/>
  </r>
  <r>
    <x v="27"/>
    <x v="24"/>
    <s v="Electric Generators, Electric Utilities"/>
    <x v="7"/>
    <n v="8304127"/>
  </r>
  <r>
    <x v="27"/>
    <x v="24"/>
    <s v="Electric Generators, Electric Utilities"/>
    <x v="12"/>
    <n v="3647"/>
  </r>
  <r>
    <x v="27"/>
    <x v="24"/>
    <s v="Electric Generators, Electric Utilities"/>
    <x v="4"/>
    <n v="60661"/>
  </r>
  <r>
    <x v="27"/>
    <x v="24"/>
    <s v="Electric Generators, Electric Utilities"/>
    <x v="13"/>
    <n v="2801"/>
  </r>
  <r>
    <x v="27"/>
    <x v="24"/>
    <s v="Electric Generators, Electric Utilities"/>
    <x v="8"/>
    <n v="38297"/>
  </r>
  <r>
    <x v="27"/>
    <x v="24"/>
    <s v="Electric Generators, Electric Utilities"/>
    <x v="6"/>
    <n v="0"/>
  </r>
  <r>
    <x v="27"/>
    <x v="25"/>
    <s v="Total Electric Power Industry"/>
    <x v="0"/>
    <n v="59727637"/>
  </r>
  <r>
    <x v="27"/>
    <x v="25"/>
    <s v="Total Electric Power Industry"/>
    <x v="1"/>
    <n v="4628230"/>
  </r>
  <r>
    <x v="27"/>
    <x v="25"/>
    <s v="Total Electric Power Industry"/>
    <x v="3"/>
    <n v="46158473"/>
  </r>
  <r>
    <x v="27"/>
    <x v="25"/>
    <s v="Total Electric Power Industry"/>
    <x v="7"/>
    <n v="7364648"/>
  </r>
  <r>
    <x v="27"/>
    <x v="25"/>
    <s v="Total Electric Power Industry"/>
    <x v="12"/>
    <n v="1855"/>
  </r>
  <r>
    <x v="27"/>
    <x v="25"/>
    <s v="Total Electric Power Industry"/>
    <x v="4"/>
    <n v="11460"/>
  </r>
  <r>
    <x v="27"/>
    <x v="25"/>
    <s v="Total Electric Power Industry"/>
    <x v="13"/>
    <n v="85923"/>
  </r>
  <r>
    <x v="27"/>
    <x v="25"/>
    <s v="Total Electric Power Industry"/>
    <x v="8"/>
    <n v="15225"/>
  </r>
  <r>
    <x v="27"/>
    <x v="25"/>
    <s v="Total Electric Power Industry"/>
    <x v="6"/>
    <n v="1461823"/>
  </r>
  <r>
    <x v="27"/>
    <x v="25"/>
    <s v="Combined Heat and Power, Industrial Power"/>
    <x v="0"/>
    <n v="1921023"/>
  </r>
  <r>
    <x v="27"/>
    <x v="25"/>
    <s v="Combined Heat and Power, Industrial Power"/>
    <x v="1"/>
    <n v="0"/>
  </r>
  <r>
    <x v="27"/>
    <x v="25"/>
    <s v="Combined Heat and Power, Industrial Power"/>
    <x v="3"/>
    <n v="452113"/>
  </r>
  <r>
    <x v="27"/>
    <x v="25"/>
    <s v="Combined Heat and Power, Industrial Power"/>
    <x v="12"/>
    <n v="1855"/>
  </r>
  <r>
    <x v="27"/>
    <x v="25"/>
    <s v="Combined Heat and Power, Industrial Power"/>
    <x v="4"/>
    <n v="2137"/>
  </r>
  <r>
    <x v="27"/>
    <x v="25"/>
    <s v="Combined Heat and Power, Industrial Power"/>
    <x v="8"/>
    <n v="3095"/>
  </r>
  <r>
    <x v="27"/>
    <x v="25"/>
    <s v="Combined Heat and Power, Industrial Power"/>
    <x v="6"/>
    <n v="1461823"/>
  </r>
  <r>
    <x v="27"/>
    <x v="25"/>
    <s v="Combined Heat and Power, Commercial Power"/>
    <x v="0"/>
    <n v="5358"/>
  </r>
  <r>
    <x v="27"/>
    <x v="25"/>
    <s v="Combined Heat and Power, Commercial Power"/>
    <x v="3"/>
    <n v="5358"/>
  </r>
  <r>
    <x v="27"/>
    <x v="25"/>
    <s v="Electric Generators, Independent Power Producers"/>
    <x v="0"/>
    <n v="6291252"/>
  </r>
  <r>
    <x v="27"/>
    <x v="25"/>
    <s v="Electric Generators, Independent Power Producers"/>
    <x v="1"/>
    <n v="2231140"/>
  </r>
  <r>
    <x v="27"/>
    <x v="25"/>
    <s v="Electric Generators, Independent Power Producers"/>
    <x v="3"/>
    <n v="3962059"/>
  </r>
  <r>
    <x v="27"/>
    <x v="25"/>
    <s v="Electric Generators, Independent Power Producers"/>
    <x v="13"/>
    <n v="85923"/>
  </r>
  <r>
    <x v="27"/>
    <x v="25"/>
    <s v="Electric Generators, Independent Power Producers"/>
    <x v="8"/>
    <n v="12130"/>
  </r>
  <r>
    <x v="27"/>
    <x v="25"/>
    <s v="Electric Generators, Electric Utilities"/>
    <x v="0"/>
    <n v="51510004"/>
  </r>
  <r>
    <x v="27"/>
    <x v="25"/>
    <s v="Electric Generators, Electric Utilities"/>
    <x v="1"/>
    <n v="2397090"/>
  </r>
  <r>
    <x v="27"/>
    <x v="25"/>
    <s v="Electric Generators, Electric Utilities"/>
    <x v="3"/>
    <n v="41738943"/>
  </r>
  <r>
    <x v="27"/>
    <x v="25"/>
    <s v="Electric Generators, Electric Utilities"/>
    <x v="7"/>
    <n v="7364648"/>
  </r>
  <r>
    <x v="27"/>
    <x v="25"/>
    <s v="Electric Generators, Electric Utilities"/>
    <x v="4"/>
    <n v="9323"/>
  </r>
  <r>
    <x v="27"/>
    <x v="26"/>
    <s v="Total Electric Power Industry"/>
    <x v="0"/>
    <n v="28220946"/>
  </r>
  <r>
    <x v="27"/>
    <x v="26"/>
    <s v="Total Electric Power Industry"/>
    <x v="1"/>
    <n v="13864099"/>
  </r>
  <r>
    <x v="27"/>
    <x v="26"/>
    <s v="Total Electric Power Industry"/>
    <x v="2"/>
    <n v="10946461"/>
  </r>
  <r>
    <x v="27"/>
    <x v="26"/>
    <s v="Total Electric Power Industry"/>
    <x v="3"/>
    <n v="416521"/>
  </r>
  <r>
    <x v="27"/>
    <x v="26"/>
    <s v="Total Electric Power Industry"/>
    <x v="9"/>
    <n v="13740"/>
  </r>
  <r>
    <x v="27"/>
    <x v="26"/>
    <s v="Total Electric Power Industry"/>
    <x v="12"/>
    <n v="331834"/>
  </r>
  <r>
    <x v="27"/>
    <x v="26"/>
    <s v="Total Electric Power Industry"/>
    <x v="4"/>
    <n v="458653"/>
  </r>
  <r>
    <x v="27"/>
    <x v="26"/>
    <s v="Total Electric Power Industry"/>
    <x v="13"/>
    <n v="13633"/>
  </r>
  <r>
    <x v="27"/>
    <x v="26"/>
    <s v="Total Electric Power Industry"/>
    <x v="5"/>
    <n v="2154823"/>
  </r>
  <r>
    <x v="27"/>
    <x v="26"/>
    <s v="Total Electric Power Industry"/>
    <x v="6"/>
    <n v="21182"/>
  </r>
  <r>
    <x v="27"/>
    <x v="26"/>
    <s v="Combined Heat and Power, Industrial Power"/>
    <x v="0"/>
    <n v="31235"/>
  </r>
  <r>
    <x v="27"/>
    <x v="26"/>
    <s v="Combined Heat and Power, Industrial Power"/>
    <x v="1"/>
    <n v="6156"/>
  </r>
  <r>
    <x v="27"/>
    <x v="26"/>
    <s v="Combined Heat and Power, Industrial Power"/>
    <x v="3"/>
    <n v="3897"/>
  </r>
  <r>
    <x v="27"/>
    <x v="26"/>
    <s v="Combined Heat and Power, Industrial Power"/>
    <x v="9"/>
    <n v="0"/>
  </r>
  <r>
    <x v="27"/>
    <x v="26"/>
    <s v="Combined Heat and Power, Industrial Power"/>
    <x v="4"/>
    <n v="0"/>
  </r>
  <r>
    <x v="27"/>
    <x v="26"/>
    <s v="Combined Heat and Power, Industrial Power"/>
    <x v="6"/>
    <n v="21182"/>
  </r>
  <r>
    <x v="27"/>
    <x v="26"/>
    <s v="Combined Heat and Power, Electric Power"/>
    <x v="0"/>
    <n v="459443"/>
  </r>
  <r>
    <x v="27"/>
    <x v="26"/>
    <s v="Combined Heat and Power, Electric Power"/>
    <x v="9"/>
    <n v="13740"/>
  </r>
  <r>
    <x v="27"/>
    <x v="26"/>
    <s v="Combined Heat and Power, Electric Power"/>
    <x v="4"/>
    <n v="445703"/>
  </r>
  <r>
    <x v="27"/>
    <x v="26"/>
    <s v="Electric Generators, Independent Power Producers"/>
    <x v="0"/>
    <n v="16185282"/>
  </r>
  <r>
    <x v="27"/>
    <x v="26"/>
    <s v="Electric Generators, Independent Power Producers"/>
    <x v="1"/>
    <n v="13632789"/>
  </r>
  <r>
    <x v="27"/>
    <x v="26"/>
    <s v="Electric Generators, Independent Power Producers"/>
    <x v="2"/>
    <n v="155107"/>
  </r>
  <r>
    <x v="27"/>
    <x v="26"/>
    <s v="Electric Generators, Independent Power Producers"/>
    <x v="3"/>
    <n v="109223"/>
  </r>
  <r>
    <x v="27"/>
    <x v="26"/>
    <s v="Electric Generators, Independent Power Producers"/>
    <x v="12"/>
    <n v="331834"/>
  </r>
  <r>
    <x v="27"/>
    <x v="26"/>
    <s v="Electric Generators, Independent Power Producers"/>
    <x v="4"/>
    <n v="12558"/>
  </r>
  <r>
    <x v="27"/>
    <x v="26"/>
    <s v="Electric Generators, Independent Power Producers"/>
    <x v="13"/>
    <n v="13633"/>
  </r>
  <r>
    <x v="27"/>
    <x v="26"/>
    <s v="Electric Generators, Independent Power Producers"/>
    <x v="5"/>
    <n v="1930139"/>
  </r>
  <r>
    <x v="27"/>
    <x v="26"/>
    <s v="Electric Generators, Electric Utilities"/>
    <x v="0"/>
    <n v="11544986"/>
  </r>
  <r>
    <x v="27"/>
    <x v="26"/>
    <s v="Electric Generators, Electric Utilities"/>
    <x v="1"/>
    <n v="225155"/>
  </r>
  <r>
    <x v="27"/>
    <x v="26"/>
    <s v="Electric Generators, Electric Utilities"/>
    <x v="2"/>
    <n v="10791354"/>
  </r>
  <r>
    <x v="27"/>
    <x v="26"/>
    <s v="Electric Generators, Electric Utilities"/>
    <x v="3"/>
    <n v="303401"/>
  </r>
  <r>
    <x v="27"/>
    <x v="26"/>
    <s v="Electric Generators, Electric Utilities"/>
    <x v="4"/>
    <n v="392"/>
  </r>
  <r>
    <x v="27"/>
    <x v="26"/>
    <s v="Electric Generators, Electric Utilities"/>
    <x v="5"/>
    <n v="224684"/>
  </r>
  <r>
    <x v="27"/>
    <x v="27"/>
    <s v="Total Electric Power Industry"/>
    <x v="0"/>
    <n v="128468117"/>
  </r>
  <r>
    <x v="27"/>
    <x v="27"/>
    <s v="Total Electric Power Industry"/>
    <x v="1"/>
    <n v="34460167"/>
  </r>
  <r>
    <x v="27"/>
    <x v="27"/>
    <s v="Total Electric Power Industry"/>
    <x v="10"/>
    <n v="0"/>
  </r>
  <r>
    <x v="27"/>
    <x v="27"/>
    <s v="Total Electric Power Industry"/>
    <x v="2"/>
    <n v="3818017"/>
  </r>
  <r>
    <x v="27"/>
    <x v="27"/>
    <s v="Total Electric Power Industry"/>
    <x v="3"/>
    <n v="38589794"/>
  </r>
  <r>
    <x v="27"/>
    <x v="27"/>
    <s v="Total Electric Power Industry"/>
    <x v="7"/>
    <n v="42374264"/>
  </r>
  <r>
    <x v="27"/>
    <x v="27"/>
    <s v="Total Electric Power Industry"/>
    <x v="12"/>
    <n v="577380"/>
  </r>
  <r>
    <x v="27"/>
    <x v="27"/>
    <s v="Total Electric Power Industry"/>
    <x v="4"/>
    <n v="251381"/>
  </r>
  <r>
    <x v="27"/>
    <x v="27"/>
    <s v="Total Electric Power Industry"/>
    <x v="13"/>
    <n v="5114118"/>
  </r>
  <r>
    <x v="27"/>
    <x v="27"/>
    <s v="Total Electric Power Industry"/>
    <x v="8"/>
    <n v="694829"/>
  </r>
  <r>
    <x v="27"/>
    <x v="27"/>
    <s v="Total Electric Power Industry"/>
    <x v="5"/>
    <n v="470743"/>
  </r>
  <r>
    <x v="27"/>
    <x v="27"/>
    <s v="Total Electric Power Industry"/>
    <x v="6"/>
    <n v="2117424"/>
  </r>
  <r>
    <x v="27"/>
    <x v="27"/>
    <s v="Combined Heat and Power, Industrial Power"/>
    <x v="0"/>
    <n v="1886016"/>
  </r>
  <r>
    <x v="27"/>
    <x v="27"/>
    <s v="Combined Heat and Power, Industrial Power"/>
    <x v="1"/>
    <n v="166578"/>
  </r>
  <r>
    <x v="27"/>
    <x v="27"/>
    <s v="Combined Heat and Power, Industrial Power"/>
    <x v="2"/>
    <n v="0"/>
  </r>
  <r>
    <x v="27"/>
    <x v="27"/>
    <s v="Combined Heat and Power, Industrial Power"/>
    <x v="3"/>
    <n v="100077"/>
  </r>
  <r>
    <x v="27"/>
    <x v="27"/>
    <s v="Combined Heat and Power, Industrial Power"/>
    <x v="12"/>
    <n v="293577"/>
  </r>
  <r>
    <x v="27"/>
    <x v="27"/>
    <s v="Combined Heat and Power, Industrial Power"/>
    <x v="4"/>
    <n v="10711"/>
  </r>
  <r>
    <x v="27"/>
    <x v="27"/>
    <s v="Combined Heat and Power, Industrial Power"/>
    <x v="8"/>
    <n v="0"/>
  </r>
  <r>
    <x v="27"/>
    <x v="27"/>
    <s v="Combined Heat and Power, Industrial Power"/>
    <x v="6"/>
    <n v="1315074"/>
  </r>
  <r>
    <x v="27"/>
    <x v="27"/>
    <s v="Combined Heat and Power, Commercial Power"/>
    <x v="0"/>
    <n v="356751"/>
  </r>
  <r>
    <x v="27"/>
    <x v="27"/>
    <s v="Combined Heat and Power, Commercial Power"/>
    <x v="1"/>
    <n v="44732"/>
  </r>
  <r>
    <x v="27"/>
    <x v="27"/>
    <s v="Combined Heat and Power, Commercial Power"/>
    <x v="2"/>
    <n v="10232"/>
  </r>
  <r>
    <x v="27"/>
    <x v="27"/>
    <s v="Combined Heat and Power, Commercial Power"/>
    <x v="3"/>
    <n v="91839"/>
  </r>
  <r>
    <x v="27"/>
    <x v="27"/>
    <s v="Combined Heat and Power, Commercial Power"/>
    <x v="4"/>
    <n v="1496"/>
  </r>
  <r>
    <x v="27"/>
    <x v="27"/>
    <s v="Combined Heat and Power, Commercial Power"/>
    <x v="13"/>
    <n v="117707"/>
  </r>
  <r>
    <x v="27"/>
    <x v="27"/>
    <s v="Combined Heat and Power, Commercial Power"/>
    <x v="8"/>
    <n v="90745"/>
  </r>
  <r>
    <x v="27"/>
    <x v="27"/>
    <s v="Combined Heat and Power, Electric Power"/>
    <x v="0"/>
    <n v="637184"/>
  </r>
  <r>
    <x v="27"/>
    <x v="27"/>
    <s v="Combined Heat and Power, Electric Power"/>
    <x v="1"/>
    <n v="68721"/>
  </r>
  <r>
    <x v="27"/>
    <x v="27"/>
    <s v="Combined Heat and Power, Electric Power"/>
    <x v="12"/>
    <n v="157266"/>
  </r>
  <r>
    <x v="27"/>
    <x v="27"/>
    <s v="Combined Heat and Power, Electric Power"/>
    <x v="4"/>
    <n v="875"/>
  </r>
  <r>
    <x v="27"/>
    <x v="27"/>
    <s v="Combined Heat and Power, Electric Power"/>
    <x v="8"/>
    <n v="76732"/>
  </r>
  <r>
    <x v="27"/>
    <x v="27"/>
    <s v="Combined Heat and Power, Electric Power"/>
    <x v="6"/>
    <n v="333591"/>
  </r>
  <r>
    <x v="27"/>
    <x v="27"/>
    <s v="Electric Generators, Independent Power Producers"/>
    <x v="0"/>
    <n v="11226060"/>
  </r>
  <r>
    <x v="27"/>
    <x v="27"/>
    <s v="Electric Generators, Independent Power Producers"/>
    <x v="1"/>
    <n v="43912"/>
  </r>
  <r>
    <x v="27"/>
    <x v="27"/>
    <s v="Electric Generators, Independent Power Producers"/>
    <x v="2"/>
    <n v="34891"/>
  </r>
  <r>
    <x v="27"/>
    <x v="27"/>
    <s v="Electric Generators, Independent Power Producers"/>
    <x v="3"/>
    <n v="4955535"/>
  </r>
  <r>
    <x v="27"/>
    <x v="27"/>
    <s v="Electric Generators, Independent Power Producers"/>
    <x v="12"/>
    <n v="126537"/>
  </r>
  <r>
    <x v="27"/>
    <x v="27"/>
    <s v="Electric Generators, Independent Power Producers"/>
    <x v="4"/>
    <n v="11450"/>
  </r>
  <r>
    <x v="27"/>
    <x v="27"/>
    <s v="Electric Generators, Independent Power Producers"/>
    <x v="13"/>
    <n v="4586880"/>
  </r>
  <r>
    <x v="27"/>
    <x v="27"/>
    <s v="Electric Generators, Independent Power Producers"/>
    <x v="8"/>
    <n v="527352"/>
  </r>
  <r>
    <x v="27"/>
    <x v="27"/>
    <s v="Electric Generators, Independent Power Producers"/>
    <x v="5"/>
    <n v="470743"/>
  </r>
  <r>
    <x v="27"/>
    <x v="27"/>
    <s v="Electric Generators, Independent Power Producers"/>
    <x v="6"/>
    <n v="468760"/>
  </r>
  <r>
    <x v="27"/>
    <x v="27"/>
    <s v="Electric Generators, Electric Utilities"/>
    <x v="0"/>
    <n v="114362106"/>
  </r>
  <r>
    <x v="27"/>
    <x v="27"/>
    <s v="Electric Generators, Electric Utilities"/>
    <x v="1"/>
    <n v="34136223"/>
  </r>
  <r>
    <x v="27"/>
    <x v="27"/>
    <s v="Electric Generators, Electric Utilities"/>
    <x v="10"/>
    <n v="0"/>
  </r>
  <r>
    <x v="27"/>
    <x v="27"/>
    <s v="Electric Generators, Electric Utilities"/>
    <x v="2"/>
    <n v="3772894"/>
  </r>
  <r>
    <x v="27"/>
    <x v="27"/>
    <s v="Electric Generators, Electric Utilities"/>
    <x v="3"/>
    <n v="33442344"/>
  </r>
  <r>
    <x v="27"/>
    <x v="27"/>
    <s v="Electric Generators, Electric Utilities"/>
    <x v="7"/>
    <n v="42374264"/>
  </r>
  <r>
    <x v="27"/>
    <x v="27"/>
    <s v="Electric Generators, Electric Utilities"/>
    <x v="12"/>
    <n v="0"/>
  </r>
  <r>
    <x v="27"/>
    <x v="27"/>
    <s v="Electric Generators, Electric Utilities"/>
    <x v="4"/>
    <n v="226850"/>
  </r>
  <r>
    <x v="27"/>
    <x v="27"/>
    <s v="Electric Generators, Electric Utilities"/>
    <x v="13"/>
    <n v="409531"/>
  </r>
  <r>
    <x v="27"/>
    <x v="28"/>
    <s v="Total Electric Power Industry"/>
    <x v="0"/>
    <n v="41505074"/>
  </r>
  <r>
    <x v="27"/>
    <x v="28"/>
    <s v="Total Electric Power Industry"/>
    <x v="1"/>
    <n v="26756465"/>
  </r>
  <r>
    <x v="27"/>
    <x v="28"/>
    <s v="Total Electric Power Industry"/>
    <x v="2"/>
    <n v="2582107"/>
  </r>
  <r>
    <x v="27"/>
    <x v="28"/>
    <s v="Total Electric Power Industry"/>
    <x v="3"/>
    <n v="676031"/>
  </r>
  <r>
    <x v="27"/>
    <x v="28"/>
    <s v="Total Electric Power Industry"/>
    <x v="9"/>
    <n v="42212"/>
  </r>
  <r>
    <x v="27"/>
    <x v="28"/>
    <s v="Total Electric Power Industry"/>
    <x v="12"/>
    <n v="51303"/>
  </r>
  <r>
    <x v="27"/>
    <x v="28"/>
    <s v="Total Electric Power Industry"/>
    <x v="4"/>
    <n v="35727"/>
  </r>
  <r>
    <x v="27"/>
    <x v="28"/>
    <s v="Total Electric Power Industry"/>
    <x v="8"/>
    <n v="1996"/>
  </r>
  <r>
    <x v="27"/>
    <x v="28"/>
    <s v="Total Electric Power Industry"/>
    <x v="5"/>
    <n v="11359233"/>
  </r>
  <r>
    <x v="27"/>
    <x v="28"/>
    <s v="Combined Heat and Power, Industrial Power"/>
    <x v="0"/>
    <n v="160339"/>
  </r>
  <r>
    <x v="27"/>
    <x v="28"/>
    <s v="Combined Heat and Power, Industrial Power"/>
    <x v="1"/>
    <n v="107968"/>
  </r>
  <r>
    <x v="27"/>
    <x v="28"/>
    <s v="Combined Heat and Power, Industrial Power"/>
    <x v="3"/>
    <n v="8163"/>
  </r>
  <r>
    <x v="27"/>
    <x v="28"/>
    <s v="Combined Heat and Power, Industrial Power"/>
    <x v="9"/>
    <n v="42212"/>
  </r>
  <r>
    <x v="27"/>
    <x v="28"/>
    <s v="Combined Heat and Power, Industrial Power"/>
    <x v="4"/>
    <n v="0"/>
  </r>
  <r>
    <x v="27"/>
    <x v="28"/>
    <s v="Combined Heat and Power, Industrial Power"/>
    <x v="8"/>
    <n v="1996"/>
  </r>
  <r>
    <x v="27"/>
    <x v="28"/>
    <s v="Combined Heat and Power, Commercial Power"/>
    <x v="0"/>
    <n v="34"/>
  </r>
  <r>
    <x v="27"/>
    <x v="28"/>
    <s v="Combined Heat and Power, Commercial Power"/>
    <x v="4"/>
    <n v="34"/>
  </r>
  <r>
    <x v="27"/>
    <x v="28"/>
    <s v="Electric Generators, Independent Power Producers"/>
    <x v="0"/>
    <n v="6707865"/>
  </r>
  <r>
    <x v="27"/>
    <x v="28"/>
    <s v="Electric Generators, Independent Power Producers"/>
    <x v="5"/>
    <n v="6707865"/>
  </r>
  <r>
    <x v="27"/>
    <x v="28"/>
    <s v="Electric Generators, Electric Utilities"/>
    <x v="0"/>
    <n v="34636836"/>
  </r>
  <r>
    <x v="27"/>
    <x v="28"/>
    <s v="Electric Generators, Electric Utilities"/>
    <x v="1"/>
    <n v="26648497"/>
  </r>
  <r>
    <x v="27"/>
    <x v="28"/>
    <s v="Electric Generators, Electric Utilities"/>
    <x v="2"/>
    <n v="2582107"/>
  </r>
  <r>
    <x v="27"/>
    <x v="28"/>
    <s v="Electric Generators, Electric Utilities"/>
    <x v="3"/>
    <n v="667868"/>
  </r>
  <r>
    <x v="27"/>
    <x v="28"/>
    <s v="Electric Generators, Electric Utilities"/>
    <x v="12"/>
    <n v="51303"/>
  </r>
  <r>
    <x v="27"/>
    <x v="28"/>
    <s v="Electric Generators, Electric Utilities"/>
    <x v="4"/>
    <n v="35693"/>
  </r>
  <r>
    <x v="27"/>
    <x v="28"/>
    <s v="Electric Generators, Electric Utilities"/>
    <x v="5"/>
    <n v="4651368"/>
  </r>
  <r>
    <x v="27"/>
    <x v="29"/>
    <s v="Total Electric Power Industry"/>
    <x v="0"/>
    <n v="35406982"/>
  </r>
  <r>
    <x v="27"/>
    <x v="29"/>
    <s v="Total Electric Power Industry"/>
    <x v="1"/>
    <n v="21173563"/>
  </r>
  <r>
    <x v="27"/>
    <x v="29"/>
    <s v="Total Electric Power Industry"/>
    <x v="2"/>
    <n v="1489058"/>
  </r>
  <r>
    <x v="27"/>
    <x v="29"/>
    <s v="Total Electric Power Industry"/>
    <x v="3"/>
    <n v="629354"/>
  </r>
  <r>
    <x v="27"/>
    <x v="29"/>
    <s v="Total Electric Power Industry"/>
    <x v="7"/>
    <n v="6912737"/>
  </r>
  <r>
    <x v="27"/>
    <x v="29"/>
    <s v="Total Electric Power Industry"/>
    <x v="12"/>
    <n v="0"/>
  </r>
  <r>
    <x v="27"/>
    <x v="29"/>
    <s v="Total Electric Power Industry"/>
    <x v="4"/>
    <n v="5641"/>
  </r>
  <r>
    <x v="27"/>
    <x v="29"/>
    <s v="Total Electric Power Industry"/>
    <x v="13"/>
    <n v="15258"/>
  </r>
  <r>
    <x v="27"/>
    <x v="29"/>
    <s v="Total Electric Power Industry"/>
    <x v="8"/>
    <n v="97287"/>
  </r>
  <r>
    <x v="27"/>
    <x v="29"/>
    <s v="Total Electric Power Industry"/>
    <x v="5"/>
    <n v="5084084"/>
  </r>
  <r>
    <x v="27"/>
    <x v="29"/>
    <s v="Total Electric Power Industry"/>
    <x v="6"/>
    <n v="0"/>
  </r>
  <r>
    <x v="27"/>
    <x v="29"/>
    <s v="Combined Heat and Power, Industrial Power"/>
    <x v="0"/>
    <n v="360411"/>
  </r>
  <r>
    <x v="27"/>
    <x v="29"/>
    <s v="Combined Heat and Power, Industrial Power"/>
    <x v="1"/>
    <n v="360410"/>
  </r>
  <r>
    <x v="27"/>
    <x v="29"/>
    <s v="Combined Heat and Power, Industrial Power"/>
    <x v="3"/>
    <n v="1"/>
  </r>
  <r>
    <x v="27"/>
    <x v="29"/>
    <s v="Combined Heat and Power, Industrial Power"/>
    <x v="12"/>
    <n v="0"/>
  </r>
  <r>
    <x v="27"/>
    <x v="29"/>
    <s v="Combined Heat and Power, Industrial Power"/>
    <x v="8"/>
    <n v="0"/>
  </r>
  <r>
    <x v="27"/>
    <x v="29"/>
    <s v="Combined Heat and Power, Industrial Power"/>
    <x v="6"/>
    <n v="0"/>
  </r>
  <r>
    <x v="27"/>
    <x v="29"/>
    <s v="Combined Heat and Power, Commercial Power"/>
    <x v="0"/>
    <n v="18741"/>
  </r>
  <r>
    <x v="27"/>
    <x v="29"/>
    <s v="Combined Heat and Power, Commercial Power"/>
    <x v="3"/>
    <n v="1357"/>
  </r>
  <r>
    <x v="27"/>
    <x v="29"/>
    <s v="Combined Heat and Power, Commercial Power"/>
    <x v="8"/>
    <n v="17384"/>
  </r>
  <r>
    <x v="27"/>
    <x v="29"/>
    <s v="Electric Generators, Independent Power Producers"/>
    <x v="0"/>
    <n v="4933312"/>
  </r>
  <r>
    <x v="27"/>
    <x v="29"/>
    <s v="Electric Generators, Independent Power Producers"/>
    <x v="13"/>
    <n v="15258"/>
  </r>
  <r>
    <x v="27"/>
    <x v="29"/>
    <s v="Electric Generators, Independent Power Producers"/>
    <x v="5"/>
    <n v="4918054"/>
  </r>
  <r>
    <x v="27"/>
    <x v="29"/>
    <s v="Electric Generators, Electric Utilities"/>
    <x v="0"/>
    <n v="30094518"/>
  </r>
  <r>
    <x v="27"/>
    <x v="29"/>
    <s v="Electric Generators, Electric Utilities"/>
    <x v="1"/>
    <n v="20813153"/>
  </r>
  <r>
    <x v="27"/>
    <x v="29"/>
    <s v="Electric Generators, Electric Utilities"/>
    <x v="2"/>
    <n v="1489058"/>
  </r>
  <r>
    <x v="27"/>
    <x v="29"/>
    <s v="Electric Generators, Electric Utilities"/>
    <x v="3"/>
    <n v="627995"/>
  </r>
  <r>
    <x v="27"/>
    <x v="29"/>
    <s v="Electric Generators, Electric Utilities"/>
    <x v="7"/>
    <n v="6912737"/>
  </r>
  <r>
    <x v="27"/>
    <x v="29"/>
    <s v="Electric Generators, Electric Utilities"/>
    <x v="4"/>
    <n v="5641"/>
  </r>
  <r>
    <x v="27"/>
    <x v="29"/>
    <s v="Electric Generators, Electric Utilities"/>
    <x v="8"/>
    <n v="79903"/>
  </r>
  <r>
    <x v="27"/>
    <x v="29"/>
    <s v="Electric Generators, Electric Utilities"/>
    <x v="5"/>
    <n v="166030"/>
  </r>
  <r>
    <x v="27"/>
    <x v="30"/>
    <s v="Total Electric Power Industry"/>
    <x v="0"/>
    <n v="17446841"/>
  </r>
  <r>
    <x v="27"/>
    <x v="30"/>
    <s v="Total Electric Power Industry"/>
    <x v="1"/>
    <n v="287281"/>
  </r>
  <r>
    <x v="27"/>
    <x v="30"/>
    <s v="Total Electric Power Industry"/>
    <x v="2"/>
    <n v="1413402"/>
  </r>
  <r>
    <x v="27"/>
    <x v="30"/>
    <s v="Total Electric Power Industry"/>
    <x v="3"/>
    <n v="3580103"/>
  </r>
  <r>
    <x v="27"/>
    <x v="30"/>
    <s v="Total Electric Power Industry"/>
    <x v="7"/>
    <n v="9990704"/>
  </r>
  <r>
    <x v="27"/>
    <x v="30"/>
    <s v="Total Electric Power Industry"/>
    <x v="12"/>
    <n v="48684"/>
  </r>
  <r>
    <x v="27"/>
    <x v="30"/>
    <s v="Total Electric Power Industry"/>
    <x v="4"/>
    <n v="104896"/>
  </r>
  <r>
    <x v="27"/>
    <x v="30"/>
    <s v="Total Electric Power Industry"/>
    <x v="8"/>
    <n v="138027"/>
  </r>
  <r>
    <x v="27"/>
    <x v="30"/>
    <s v="Total Electric Power Industry"/>
    <x v="5"/>
    <n v="411592"/>
  </r>
  <r>
    <x v="27"/>
    <x v="30"/>
    <s v="Total Electric Power Industry"/>
    <x v="6"/>
    <n v="1472152"/>
  </r>
  <r>
    <x v="27"/>
    <x v="30"/>
    <s v="Combined Heat and Power, Industrial Power"/>
    <x v="0"/>
    <n v="29533"/>
  </r>
  <r>
    <x v="27"/>
    <x v="30"/>
    <s v="Combined Heat and Power, Industrial Power"/>
    <x v="3"/>
    <n v="29533"/>
  </r>
  <r>
    <x v="27"/>
    <x v="30"/>
    <s v="Combined Heat and Power, Industrial Power"/>
    <x v="4"/>
    <n v="0"/>
  </r>
  <r>
    <x v="27"/>
    <x v="30"/>
    <s v="Combined Heat and Power, Commercial Power"/>
    <x v="0"/>
    <n v="69632"/>
  </r>
  <r>
    <x v="27"/>
    <x v="30"/>
    <s v="Combined Heat and Power, Commercial Power"/>
    <x v="3"/>
    <n v="10432"/>
  </r>
  <r>
    <x v="27"/>
    <x v="30"/>
    <s v="Combined Heat and Power, Commercial Power"/>
    <x v="4"/>
    <n v="13993"/>
  </r>
  <r>
    <x v="27"/>
    <x v="30"/>
    <s v="Combined Heat and Power, Commercial Power"/>
    <x v="8"/>
    <n v="45208"/>
  </r>
  <r>
    <x v="27"/>
    <x v="30"/>
    <s v="Electric Generators, Independent Power Producers"/>
    <x v="0"/>
    <n v="16372802"/>
  </r>
  <r>
    <x v="27"/>
    <x v="30"/>
    <s v="Electric Generators, Independent Power Producers"/>
    <x v="2"/>
    <n v="1073354"/>
  </r>
  <r>
    <x v="27"/>
    <x v="30"/>
    <s v="Electric Generators, Independent Power Producers"/>
    <x v="3"/>
    <n v="3508060"/>
  </r>
  <r>
    <x v="27"/>
    <x v="30"/>
    <s v="Electric Generators, Independent Power Producers"/>
    <x v="7"/>
    <n v="9990704"/>
  </r>
  <r>
    <x v="27"/>
    <x v="30"/>
    <s v="Electric Generators, Independent Power Producers"/>
    <x v="12"/>
    <n v="48684"/>
  </r>
  <r>
    <x v="27"/>
    <x v="30"/>
    <s v="Electric Generators, Independent Power Producers"/>
    <x v="4"/>
    <n v="66279"/>
  </r>
  <r>
    <x v="27"/>
    <x v="30"/>
    <s v="Electric Generators, Independent Power Producers"/>
    <x v="8"/>
    <n v="91627"/>
  </r>
  <r>
    <x v="27"/>
    <x v="30"/>
    <s v="Electric Generators, Independent Power Producers"/>
    <x v="5"/>
    <n v="411592"/>
  </r>
  <r>
    <x v="27"/>
    <x v="30"/>
    <s v="Electric Generators, Independent Power Producers"/>
    <x v="6"/>
    <n v="1182502"/>
  </r>
  <r>
    <x v="27"/>
    <x v="30"/>
    <s v="Electric Generators, Electric Utilities"/>
    <x v="0"/>
    <n v="974874"/>
  </r>
  <r>
    <x v="27"/>
    <x v="30"/>
    <s v="Electric Generators, Electric Utilities"/>
    <x v="1"/>
    <n v="287281"/>
  </r>
  <r>
    <x v="27"/>
    <x v="30"/>
    <s v="Electric Generators, Electric Utilities"/>
    <x v="2"/>
    <n v="340048"/>
  </r>
  <r>
    <x v="27"/>
    <x v="30"/>
    <s v="Electric Generators, Electric Utilities"/>
    <x v="3"/>
    <n v="32078"/>
  </r>
  <r>
    <x v="27"/>
    <x v="30"/>
    <s v="Electric Generators, Electric Utilities"/>
    <x v="4"/>
    <n v="24624"/>
  </r>
  <r>
    <x v="27"/>
    <x v="30"/>
    <s v="Electric Generators, Electric Utilities"/>
    <x v="8"/>
    <n v="1193"/>
  </r>
  <r>
    <x v="27"/>
    <x v="30"/>
    <s v="Electric Generators, Electric Utilities"/>
    <x v="6"/>
    <n v="289650"/>
  </r>
  <r>
    <x v="27"/>
    <x v="31"/>
    <s v="Total Electric Power Industry"/>
    <x v="0"/>
    <n v="75644513"/>
  </r>
  <r>
    <x v="27"/>
    <x v="31"/>
    <s v="Total Electric Power Industry"/>
    <x v="1"/>
    <n v="1216091"/>
  </r>
  <r>
    <x v="27"/>
    <x v="31"/>
    <s v="Total Electric Power Industry"/>
    <x v="10"/>
    <n v="-161819"/>
  </r>
  <r>
    <x v="27"/>
    <x v="31"/>
    <s v="Total Electric Power Industry"/>
    <x v="2"/>
    <n v="13633"/>
  </r>
  <r>
    <x v="27"/>
    <x v="31"/>
    <s v="Total Electric Power Industry"/>
    <x v="3"/>
    <n v="37707848"/>
  </r>
  <r>
    <x v="27"/>
    <x v="31"/>
    <s v="Total Electric Power Industry"/>
    <x v="7"/>
    <n v="34032698"/>
  </r>
  <r>
    <x v="27"/>
    <x v="31"/>
    <s v="Total Electric Power Industry"/>
    <x v="9"/>
    <n v="219492"/>
  </r>
  <r>
    <x v="27"/>
    <x v="31"/>
    <s v="Total Electric Power Industry"/>
    <x v="12"/>
    <n v="582985"/>
  </r>
  <r>
    <x v="27"/>
    <x v="31"/>
    <s v="Total Electric Power Industry"/>
    <x v="4"/>
    <n v="156364"/>
  </r>
  <r>
    <x v="27"/>
    <x v="31"/>
    <s v="Total Electric Power Industry"/>
    <x v="13"/>
    <n v="925997"/>
  </r>
  <r>
    <x v="27"/>
    <x v="31"/>
    <s v="Total Electric Power Industry"/>
    <x v="8"/>
    <n v="928777"/>
  </r>
  <r>
    <x v="27"/>
    <x v="31"/>
    <s v="Total Electric Power Industry"/>
    <x v="5"/>
    <n v="22447"/>
  </r>
  <r>
    <x v="27"/>
    <x v="31"/>
    <s v="Combined Heat and Power, Industrial Power"/>
    <x v="0"/>
    <n v="739515"/>
  </r>
  <r>
    <x v="27"/>
    <x v="31"/>
    <s v="Combined Heat and Power, Industrial Power"/>
    <x v="3"/>
    <n v="368634"/>
  </r>
  <r>
    <x v="27"/>
    <x v="31"/>
    <s v="Combined Heat and Power, Industrial Power"/>
    <x v="9"/>
    <n v="219492"/>
  </r>
  <r>
    <x v="27"/>
    <x v="31"/>
    <s v="Combined Heat and Power, Industrial Power"/>
    <x v="12"/>
    <n v="66921"/>
  </r>
  <r>
    <x v="27"/>
    <x v="31"/>
    <s v="Combined Heat and Power, Industrial Power"/>
    <x v="4"/>
    <n v="76127"/>
  </r>
  <r>
    <x v="27"/>
    <x v="31"/>
    <s v="Combined Heat and Power, Industrial Power"/>
    <x v="13"/>
    <n v="8342"/>
  </r>
  <r>
    <x v="27"/>
    <x v="31"/>
    <s v="Combined Heat and Power, Commercial Power"/>
    <x v="0"/>
    <n v="673561"/>
  </r>
  <r>
    <x v="27"/>
    <x v="31"/>
    <s v="Combined Heat and Power, Commercial Power"/>
    <x v="3"/>
    <n v="224941"/>
  </r>
  <r>
    <x v="27"/>
    <x v="31"/>
    <s v="Combined Heat and Power, Commercial Power"/>
    <x v="12"/>
    <n v="143573"/>
  </r>
  <r>
    <x v="27"/>
    <x v="31"/>
    <s v="Combined Heat and Power, Commercial Power"/>
    <x v="4"/>
    <n v="395"/>
  </r>
  <r>
    <x v="27"/>
    <x v="31"/>
    <s v="Combined Heat and Power, Commercial Power"/>
    <x v="13"/>
    <n v="138644"/>
  </r>
  <r>
    <x v="27"/>
    <x v="31"/>
    <s v="Combined Heat and Power, Commercial Power"/>
    <x v="8"/>
    <n v="166009"/>
  </r>
  <r>
    <x v="27"/>
    <x v="31"/>
    <s v="Combined Heat and Power, Electric Power"/>
    <x v="0"/>
    <n v="6570358"/>
  </r>
  <r>
    <x v="27"/>
    <x v="31"/>
    <s v="Combined Heat and Power, Electric Power"/>
    <x v="1"/>
    <n v="1196282"/>
  </r>
  <r>
    <x v="27"/>
    <x v="31"/>
    <s v="Combined Heat and Power, Electric Power"/>
    <x v="3"/>
    <n v="5237975"/>
  </r>
  <r>
    <x v="27"/>
    <x v="31"/>
    <s v="Combined Heat and Power, Electric Power"/>
    <x v="4"/>
    <n v="33350"/>
  </r>
  <r>
    <x v="27"/>
    <x v="31"/>
    <s v="Combined Heat and Power, Electric Power"/>
    <x v="8"/>
    <n v="102750"/>
  </r>
  <r>
    <x v="27"/>
    <x v="31"/>
    <s v="Electric Generators, Independent Power Producers"/>
    <x v="0"/>
    <n v="67531365"/>
  </r>
  <r>
    <x v="27"/>
    <x v="31"/>
    <s v="Electric Generators, Independent Power Producers"/>
    <x v="1"/>
    <n v="19809"/>
  </r>
  <r>
    <x v="27"/>
    <x v="31"/>
    <s v="Electric Generators, Independent Power Producers"/>
    <x v="2"/>
    <n v="13633"/>
  </r>
  <r>
    <x v="27"/>
    <x v="31"/>
    <s v="Electric Generators, Independent Power Producers"/>
    <x v="3"/>
    <n v="31665308"/>
  </r>
  <r>
    <x v="27"/>
    <x v="31"/>
    <s v="Electric Generators, Independent Power Producers"/>
    <x v="7"/>
    <n v="34032698"/>
  </r>
  <r>
    <x v="27"/>
    <x v="31"/>
    <s v="Electric Generators, Independent Power Producers"/>
    <x v="12"/>
    <n v="371653"/>
  </r>
  <r>
    <x v="27"/>
    <x v="31"/>
    <s v="Electric Generators, Independent Power Producers"/>
    <x v="4"/>
    <n v="46348"/>
  </r>
  <r>
    <x v="27"/>
    <x v="31"/>
    <s v="Electric Generators, Independent Power Producers"/>
    <x v="13"/>
    <n v="699451"/>
  </r>
  <r>
    <x v="27"/>
    <x v="31"/>
    <s v="Electric Generators, Independent Power Producers"/>
    <x v="8"/>
    <n v="660018"/>
  </r>
  <r>
    <x v="27"/>
    <x v="31"/>
    <s v="Electric Generators, Independent Power Producers"/>
    <x v="5"/>
    <n v="22447"/>
  </r>
  <r>
    <x v="27"/>
    <x v="31"/>
    <s v="Electric Generators, Electric Utilities"/>
    <x v="0"/>
    <n v="129714"/>
  </r>
  <r>
    <x v="27"/>
    <x v="31"/>
    <s v="Electric Generators, Electric Utilities"/>
    <x v="1"/>
    <n v="0"/>
  </r>
  <r>
    <x v="27"/>
    <x v="31"/>
    <s v="Electric Generators, Electric Utilities"/>
    <x v="10"/>
    <n v="-161819"/>
  </r>
  <r>
    <x v="27"/>
    <x v="31"/>
    <s v="Electric Generators, Electric Utilities"/>
    <x v="3"/>
    <n v="210990"/>
  </r>
  <r>
    <x v="27"/>
    <x v="31"/>
    <s v="Electric Generators, Electric Utilities"/>
    <x v="12"/>
    <n v="838"/>
  </r>
  <r>
    <x v="27"/>
    <x v="31"/>
    <s v="Electric Generators, Electric Utilities"/>
    <x v="4"/>
    <n v="144"/>
  </r>
  <r>
    <x v="27"/>
    <x v="31"/>
    <s v="Electric Generators, Electric Utilities"/>
    <x v="13"/>
    <n v="79561"/>
  </r>
  <r>
    <x v="27"/>
    <x v="32"/>
    <s v="Total Electric Power Industry"/>
    <x v="0"/>
    <n v="33597413"/>
  </r>
  <r>
    <x v="27"/>
    <x v="32"/>
    <s v="Total Electric Power Industry"/>
    <x v="1"/>
    <n v="18414483"/>
  </r>
  <r>
    <x v="27"/>
    <x v="32"/>
    <s v="Total Electric Power Industry"/>
    <x v="11"/>
    <n v="12963"/>
  </r>
  <r>
    <x v="27"/>
    <x v="32"/>
    <s v="Total Electric Power Industry"/>
    <x v="2"/>
    <n v="193249"/>
  </r>
  <r>
    <x v="27"/>
    <x v="32"/>
    <s v="Total Electric Power Industry"/>
    <x v="3"/>
    <n v="9131655"/>
  </r>
  <r>
    <x v="27"/>
    <x v="32"/>
    <s v="Total Electric Power Industry"/>
    <x v="12"/>
    <n v="-587"/>
  </r>
  <r>
    <x v="27"/>
    <x v="32"/>
    <s v="Total Electric Power Industry"/>
    <x v="4"/>
    <n v="40850"/>
  </r>
  <r>
    <x v="27"/>
    <x v="32"/>
    <s v="Total Electric Power Industry"/>
    <x v="13"/>
    <n v="1192641"/>
  </r>
  <r>
    <x v="27"/>
    <x v="32"/>
    <s v="Total Electric Power Industry"/>
    <x v="8"/>
    <n v="17588"/>
  </r>
  <r>
    <x v="27"/>
    <x v="32"/>
    <s v="Total Electric Power Industry"/>
    <x v="5"/>
    <n v="4594571"/>
  </r>
  <r>
    <x v="27"/>
    <x v="32"/>
    <s v="Combined Heat and Power, Industrial Power"/>
    <x v="0"/>
    <n v="1086"/>
  </r>
  <r>
    <x v="27"/>
    <x v="32"/>
    <s v="Combined Heat and Power, Industrial Power"/>
    <x v="3"/>
    <n v="1082"/>
  </r>
  <r>
    <x v="27"/>
    <x v="32"/>
    <s v="Combined Heat and Power, Industrial Power"/>
    <x v="4"/>
    <n v="4"/>
  </r>
  <r>
    <x v="27"/>
    <x v="32"/>
    <s v="Combined Heat and Power, Commercial Power"/>
    <x v="0"/>
    <n v="117169"/>
  </r>
  <r>
    <x v="27"/>
    <x v="32"/>
    <s v="Combined Heat and Power, Commercial Power"/>
    <x v="3"/>
    <n v="114408"/>
  </r>
  <r>
    <x v="27"/>
    <x v="32"/>
    <s v="Combined Heat and Power, Commercial Power"/>
    <x v="5"/>
    <n v="2761"/>
  </r>
  <r>
    <x v="27"/>
    <x v="32"/>
    <s v="Combined Heat and Power, Electric Power"/>
    <x v="0"/>
    <n v="34596"/>
  </r>
  <r>
    <x v="27"/>
    <x v="32"/>
    <s v="Combined Heat and Power, Electric Power"/>
    <x v="3"/>
    <n v="17632"/>
  </r>
  <r>
    <x v="27"/>
    <x v="32"/>
    <s v="Combined Heat and Power, Electric Power"/>
    <x v="8"/>
    <n v="16964"/>
  </r>
  <r>
    <x v="27"/>
    <x v="32"/>
    <s v="Electric Generators, Independent Power Producers"/>
    <x v="0"/>
    <n v="8849177"/>
  </r>
  <r>
    <x v="27"/>
    <x v="32"/>
    <s v="Electric Generators, Independent Power Producers"/>
    <x v="11"/>
    <n v="12963"/>
  </r>
  <r>
    <x v="27"/>
    <x v="32"/>
    <s v="Electric Generators, Independent Power Producers"/>
    <x v="3"/>
    <n v="3302643"/>
  </r>
  <r>
    <x v="27"/>
    <x v="32"/>
    <s v="Electric Generators, Independent Power Producers"/>
    <x v="13"/>
    <n v="941137"/>
  </r>
  <r>
    <x v="27"/>
    <x v="32"/>
    <s v="Electric Generators, Independent Power Producers"/>
    <x v="8"/>
    <n v="624"/>
  </r>
  <r>
    <x v="27"/>
    <x v="32"/>
    <s v="Electric Generators, Independent Power Producers"/>
    <x v="5"/>
    <n v="4591810"/>
  </r>
  <r>
    <x v="27"/>
    <x v="32"/>
    <s v="Electric Generators, Electric Utilities"/>
    <x v="0"/>
    <n v="24595385"/>
  </r>
  <r>
    <x v="27"/>
    <x v="32"/>
    <s v="Electric Generators, Electric Utilities"/>
    <x v="1"/>
    <n v="18414483"/>
  </r>
  <r>
    <x v="27"/>
    <x v="32"/>
    <s v="Electric Generators, Electric Utilities"/>
    <x v="2"/>
    <n v="193249"/>
  </r>
  <r>
    <x v="27"/>
    <x v="32"/>
    <s v="Electric Generators, Electric Utilities"/>
    <x v="3"/>
    <n v="5695890"/>
  </r>
  <r>
    <x v="27"/>
    <x v="32"/>
    <s v="Electric Generators, Electric Utilities"/>
    <x v="12"/>
    <n v="-587"/>
  </r>
  <r>
    <x v="27"/>
    <x v="32"/>
    <s v="Electric Generators, Electric Utilities"/>
    <x v="4"/>
    <n v="40846"/>
  </r>
  <r>
    <x v="27"/>
    <x v="32"/>
    <s v="Electric Generators, Electric Utilities"/>
    <x v="13"/>
    <n v="251504"/>
  </r>
  <r>
    <x v="27"/>
    <x v="33"/>
    <s v="Total Electric Power Industry"/>
    <x v="0"/>
    <n v="38201294"/>
  </r>
  <r>
    <x v="27"/>
    <x v="33"/>
    <s v="Total Electric Power Industry"/>
    <x v="1"/>
    <n v="1865592"/>
  </r>
  <r>
    <x v="27"/>
    <x v="33"/>
    <s v="Total Electric Power Industry"/>
    <x v="11"/>
    <n v="3291874"/>
  </r>
  <r>
    <x v="27"/>
    <x v="33"/>
    <s v="Total Electric Power Industry"/>
    <x v="2"/>
    <n v="1812700"/>
  </r>
  <r>
    <x v="27"/>
    <x v="33"/>
    <s v="Total Electric Power Industry"/>
    <x v="3"/>
    <n v="26625904"/>
  </r>
  <r>
    <x v="27"/>
    <x v="33"/>
    <s v="Total Electric Power Industry"/>
    <x v="9"/>
    <n v="0"/>
  </r>
  <r>
    <x v="27"/>
    <x v="33"/>
    <s v="Total Electric Power Industry"/>
    <x v="12"/>
    <n v="31566"/>
  </r>
  <r>
    <x v="27"/>
    <x v="33"/>
    <s v="Total Electric Power Industry"/>
    <x v="4"/>
    <n v="8746"/>
  </r>
  <r>
    <x v="27"/>
    <x v="33"/>
    <s v="Total Electric Power Industry"/>
    <x v="13"/>
    <n v="4145867"/>
  </r>
  <r>
    <x v="27"/>
    <x v="33"/>
    <s v="Total Electric Power Industry"/>
    <x v="8"/>
    <n v="57681"/>
  </r>
  <r>
    <x v="27"/>
    <x v="33"/>
    <s v="Total Electric Power Industry"/>
    <x v="5"/>
    <n v="361364"/>
  </r>
  <r>
    <x v="27"/>
    <x v="33"/>
    <s v="Combined Heat and Power, Industrial Power"/>
    <x v="0"/>
    <n v="293789"/>
  </r>
  <r>
    <x v="27"/>
    <x v="33"/>
    <s v="Combined Heat and Power, Industrial Power"/>
    <x v="3"/>
    <n v="291274"/>
  </r>
  <r>
    <x v="27"/>
    <x v="33"/>
    <s v="Combined Heat and Power, Industrial Power"/>
    <x v="13"/>
    <n v="2515"/>
  </r>
  <r>
    <x v="27"/>
    <x v="33"/>
    <s v="Combined Heat and Power, Commercial Power"/>
    <x v="0"/>
    <n v="126852"/>
  </r>
  <r>
    <x v="27"/>
    <x v="33"/>
    <s v="Combined Heat and Power, Commercial Power"/>
    <x v="3"/>
    <n v="60408"/>
  </r>
  <r>
    <x v="27"/>
    <x v="33"/>
    <s v="Combined Heat and Power, Commercial Power"/>
    <x v="13"/>
    <n v="66444"/>
  </r>
  <r>
    <x v="27"/>
    <x v="33"/>
    <s v="Combined Heat and Power, Electric Power"/>
    <x v="0"/>
    <n v="2153192"/>
  </r>
  <r>
    <x v="27"/>
    <x v="33"/>
    <s v="Combined Heat and Power, Electric Power"/>
    <x v="3"/>
    <n v="2153192"/>
  </r>
  <r>
    <x v="27"/>
    <x v="33"/>
    <s v="Combined Heat and Power, Electric Power"/>
    <x v="9"/>
    <n v="0"/>
  </r>
  <r>
    <x v="27"/>
    <x v="33"/>
    <s v="Combined Heat and Power, Electric Power"/>
    <x v="4"/>
    <n v="0"/>
  </r>
  <r>
    <x v="27"/>
    <x v="33"/>
    <s v="Electric Generators, Independent Power Producers"/>
    <x v="0"/>
    <n v="8791828"/>
  </r>
  <r>
    <x v="27"/>
    <x v="33"/>
    <s v="Electric Generators, Independent Power Producers"/>
    <x v="1"/>
    <n v="964091"/>
  </r>
  <r>
    <x v="27"/>
    <x v="33"/>
    <s v="Electric Generators, Independent Power Producers"/>
    <x v="11"/>
    <n v="3291874"/>
  </r>
  <r>
    <x v="27"/>
    <x v="33"/>
    <s v="Electric Generators, Independent Power Producers"/>
    <x v="2"/>
    <n v="73817"/>
  </r>
  <r>
    <x v="27"/>
    <x v="33"/>
    <s v="Electric Generators, Independent Power Producers"/>
    <x v="3"/>
    <n v="2578"/>
  </r>
  <r>
    <x v="27"/>
    <x v="33"/>
    <s v="Electric Generators, Independent Power Producers"/>
    <x v="4"/>
    <n v="3740"/>
  </r>
  <r>
    <x v="27"/>
    <x v="33"/>
    <s v="Electric Generators, Independent Power Producers"/>
    <x v="13"/>
    <n v="4036683"/>
  </r>
  <r>
    <x v="27"/>
    <x v="33"/>
    <s v="Electric Generators, Independent Power Producers"/>
    <x v="8"/>
    <n v="57681"/>
  </r>
  <r>
    <x v="27"/>
    <x v="33"/>
    <s v="Electric Generators, Independent Power Producers"/>
    <x v="5"/>
    <n v="361364"/>
  </r>
  <r>
    <x v="27"/>
    <x v="33"/>
    <s v="Electric Generators, Electric Utilities"/>
    <x v="0"/>
    <n v="26835633"/>
  </r>
  <r>
    <x v="27"/>
    <x v="33"/>
    <s v="Electric Generators, Electric Utilities"/>
    <x v="1"/>
    <n v="901501"/>
  </r>
  <r>
    <x v="27"/>
    <x v="33"/>
    <s v="Electric Generators, Electric Utilities"/>
    <x v="2"/>
    <n v="1738883"/>
  </r>
  <r>
    <x v="27"/>
    <x v="33"/>
    <s v="Electric Generators, Electric Utilities"/>
    <x v="3"/>
    <n v="24118452"/>
  </r>
  <r>
    <x v="27"/>
    <x v="33"/>
    <s v="Electric Generators, Electric Utilities"/>
    <x v="12"/>
    <n v="31566"/>
  </r>
  <r>
    <x v="27"/>
    <x v="33"/>
    <s v="Electric Generators, Electric Utilities"/>
    <x v="4"/>
    <n v="5006"/>
  </r>
  <r>
    <x v="27"/>
    <x v="33"/>
    <s v="Electric Generators, Electric Utilities"/>
    <x v="13"/>
    <n v="40225"/>
  </r>
  <r>
    <x v="27"/>
    <x v="34"/>
    <s v="Total Electric Power Industry"/>
    <x v="0"/>
    <n v="128065082"/>
  </r>
  <r>
    <x v="27"/>
    <x v="34"/>
    <s v="Total Electric Power Industry"/>
    <x v="1"/>
    <n v="770296"/>
  </r>
  <r>
    <x v="27"/>
    <x v="34"/>
    <s v="Total Electric Power Industry"/>
    <x v="10"/>
    <n v="-415671"/>
  </r>
  <r>
    <x v="27"/>
    <x v="34"/>
    <s v="Total Electric Power Industry"/>
    <x v="2"/>
    <n v="30144932"/>
  </r>
  <r>
    <x v="27"/>
    <x v="34"/>
    <s v="Total Electric Power Industry"/>
    <x v="3"/>
    <n v="47271756"/>
  </r>
  <r>
    <x v="27"/>
    <x v="34"/>
    <s v="Total Electric Power Industry"/>
    <x v="7"/>
    <n v="42167409"/>
  </r>
  <r>
    <x v="27"/>
    <x v="34"/>
    <s v="Total Electric Power Industry"/>
    <x v="9"/>
    <n v="0"/>
  </r>
  <r>
    <x v="27"/>
    <x v="34"/>
    <s v="Total Electric Power Industry"/>
    <x v="12"/>
    <n v="923706"/>
  </r>
  <r>
    <x v="27"/>
    <x v="34"/>
    <s v="Total Electric Power Industry"/>
    <x v="4"/>
    <n v="597893"/>
  </r>
  <r>
    <x v="27"/>
    <x v="34"/>
    <s v="Total Electric Power Industry"/>
    <x v="13"/>
    <n v="182804"/>
  </r>
  <r>
    <x v="27"/>
    <x v="34"/>
    <s v="Total Electric Power Industry"/>
    <x v="8"/>
    <n v="1666051"/>
  </r>
  <r>
    <x v="27"/>
    <x v="34"/>
    <s v="Total Electric Power Industry"/>
    <x v="5"/>
    <n v="4135951"/>
  </r>
  <r>
    <x v="27"/>
    <x v="34"/>
    <s v="Total Electric Power Industry"/>
    <x v="6"/>
    <n v="619955"/>
  </r>
  <r>
    <x v="27"/>
    <x v="34"/>
    <s v="Combined Heat and Power, Industrial Power"/>
    <x v="0"/>
    <n v="866593"/>
  </r>
  <r>
    <x v="27"/>
    <x v="34"/>
    <s v="Combined Heat and Power, Industrial Power"/>
    <x v="1"/>
    <n v="208761"/>
  </r>
  <r>
    <x v="27"/>
    <x v="34"/>
    <s v="Combined Heat and Power, Industrial Power"/>
    <x v="2"/>
    <n v="69937"/>
  </r>
  <r>
    <x v="27"/>
    <x v="34"/>
    <s v="Combined Heat and Power, Industrial Power"/>
    <x v="3"/>
    <n v="360337"/>
  </r>
  <r>
    <x v="27"/>
    <x v="34"/>
    <s v="Combined Heat and Power, Industrial Power"/>
    <x v="9"/>
    <n v="0"/>
  </r>
  <r>
    <x v="27"/>
    <x v="34"/>
    <s v="Combined Heat and Power, Industrial Power"/>
    <x v="12"/>
    <n v="0"/>
  </r>
  <r>
    <x v="27"/>
    <x v="34"/>
    <s v="Combined Heat and Power, Industrial Power"/>
    <x v="4"/>
    <n v="38490"/>
  </r>
  <r>
    <x v="27"/>
    <x v="34"/>
    <s v="Combined Heat and Power, Industrial Power"/>
    <x v="5"/>
    <n v="1233"/>
  </r>
  <r>
    <x v="27"/>
    <x v="34"/>
    <s v="Combined Heat and Power, Industrial Power"/>
    <x v="6"/>
    <n v="187835"/>
  </r>
  <r>
    <x v="27"/>
    <x v="34"/>
    <s v="Combined Heat and Power, Commercial Power"/>
    <x v="0"/>
    <n v="1309935"/>
  </r>
  <r>
    <x v="27"/>
    <x v="34"/>
    <s v="Combined Heat and Power, Commercial Power"/>
    <x v="1"/>
    <n v="0"/>
  </r>
  <r>
    <x v="27"/>
    <x v="34"/>
    <s v="Combined Heat and Power, Commercial Power"/>
    <x v="2"/>
    <n v="6075"/>
  </r>
  <r>
    <x v="27"/>
    <x v="34"/>
    <s v="Combined Heat and Power, Commercial Power"/>
    <x v="3"/>
    <n v="847037"/>
  </r>
  <r>
    <x v="27"/>
    <x v="34"/>
    <s v="Combined Heat and Power, Commercial Power"/>
    <x v="12"/>
    <n v="211378"/>
  </r>
  <r>
    <x v="27"/>
    <x v="34"/>
    <s v="Combined Heat and Power, Commercial Power"/>
    <x v="4"/>
    <n v="11976"/>
  </r>
  <r>
    <x v="27"/>
    <x v="34"/>
    <s v="Combined Heat and Power, Commercial Power"/>
    <x v="13"/>
    <n v="4559"/>
  </r>
  <r>
    <x v="27"/>
    <x v="34"/>
    <s v="Combined Heat and Power, Commercial Power"/>
    <x v="8"/>
    <n v="225000"/>
  </r>
  <r>
    <x v="27"/>
    <x v="34"/>
    <s v="Combined Heat and Power, Commercial Power"/>
    <x v="5"/>
    <n v="3910"/>
  </r>
  <r>
    <x v="27"/>
    <x v="34"/>
    <s v="Combined Heat and Power, Electric Power"/>
    <x v="0"/>
    <n v="11414616"/>
  </r>
  <r>
    <x v="27"/>
    <x v="34"/>
    <s v="Combined Heat and Power, Electric Power"/>
    <x v="3"/>
    <n v="11146211"/>
  </r>
  <r>
    <x v="27"/>
    <x v="34"/>
    <s v="Combined Heat and Power, Electric Power"/>
    <x v="12"/>
    <n v="73169"/>
  </r>
  <r>
    <x v="27"/>
    <x v="34"/>
    <s v="Combined Heat and Power, Electric Power"/>
    <x v="4"/>
    <n v="21427"/>
  </r>
  <r>
    <x v="27"/>
    <x v="34"/>
    <s v="Combined Heat and Power, Electric Power"/>
    <x v="8"/>
    <n v="76156"/>
  </r>
  <r>
    <x v="27"/>
    <x v="34"/>
    <s v="Combined Heat and Power, Electric Power"/>
    <x v="6"/>
    <n v="97653"/>
  </r>
  <r>
    <x v="27"/>
    <x v="34"/>
    <s v="Electric Generators, Independent Power Producers"/>
    <x v="0"/>
    <n v="79832222"/>
  </r>
  <r>
    <x v="27"/>
    <x v="34"/>
    <s v="Electric Generators, Independent Power Producers"/>
    <x v="1"/>
    <n v="561535"/>
  </r>
  <r>
    <x v="27"/>
    <x v="34"/>
    <s v="Electric Generators, Independent Power Producers"/>
    <x v="2"/>
    <n v="5164890"/>
  </r>
  <r>
    <x v="27"/>
    <x v="34"/>
    <s v="Electric Generators, Independent Power Producers"/>
    <x v="3"/>
    <n v="25003553"/>
  </r>
  <r>
    <x v="27"/>
    <x v="34"/>
    <s v="Electric Generators, Independent Power Producers"/>
    <x v="7"/>
    <n v="42167409"/>
  </r>
  <r>
    <x v="27"/>
    <x v="34"/>
    <s v="Electric Generators, Independent Power Producers"/>
    <x v="12"/>
    <n v="639159"/>
  </r>
  <r>
    <x v="27"/>
    <x v="34"/>
    <s v="Electric Generators, Independent Power Producers"/>
    <x v="4"/>
    <n v="287261"/>
  </r>
  <r>
    <x v="27"/>
    <x v="34"/>
    <s v="Electric Generators, Independent Power Producers"/>
    <x v="13"/>
    <n v="178245"/>
  </r>
  <r>
    <x v="27"/>
    <x v="34"/>
    <s v="Electric Generators, Independent Power Producers"/>
    <x v="8"/>
    <n v="1364895"/>
  </r>
  <r>
    <x v="27"/>
    <x v="34"/>
    <s v="Electric Generators, Independent Power Producers"/>
    <x v="5"/>
    <n v="4130808"/>
  </r>
  <r>
    <x v="27"/>
    <x v="34"/>
    <s v="Electric Generators, Independent Power Producers"/>
    <x v="6"/>
    <n v="334467"/>
  </r>
  <r>
    <x v="27"/>
    <x v="34"/>
    <s v="Electric Generators, Electric Utilities"/>
    <x v="0"/>
    <n v="34641717"/>
  </r>
  <r>
    <x v="27"/>
    <x v="34"/>
    <s v="Electric Generators, Electric Utilities"/>
    <x v="1"/>
    <n v="0"/>
  </r>
  <r>
    <x v="27"/>
    <x v="34"/>
    <s v="Electric Generators, Electric Utilities"/>
    <x v="10"/>
    <n v="-415671"/>
  </r>
  <r>
    <x v="27"/>
    <x v="34"/>
    <s v="Electric Generators, Electric Utilities"/>
    <x v="2"/>
    <n v="24904030"/>
  </r>
  <r>
    <x v="27"/>
    <x v="34"/>
    <s v="Electric Generators, Electric Utilities"/>
    <x v="3"/>
    <n v="9914619"/>
  </r>
  <r>
    <x v="27"/>
    <x v="34"/>
    <s v="Electric Generators, Electric Utilities"/>
    <x v="4"/>
    <n v="238739"/>
  </r>
  <r>
    <x v="27"/>
    <x v="35"/>
    <s v="Total Electric Power Industry"/>
    <x v="0"/>
    <n v="119554366"/>
  </r>
  <r>
    <x v="27"/>
    <x v="35"/>
    <s v="Total Electric Power Industry"/>
    <x v="1"/>
    <n v="68343636"/>
  </r>
  <r>
    <x v="27"/>
    <x v="35"/>
    <s v="Total Electric Power Industry"/>
    <x v="2"/>
    <n v="277349"/>
  </r>
  <r>
    <x v="27"/>
    <x v="35"/>
    <s v="Total Electric Power Industry"/>
    <x v="3"/>
    <n v="28799512"/>
  </r>
  <r>
    <x v="27"/>
    <x v="35"/>
    <s v="Total Electric Power Industry"/>
    <x v="7"/>
    <n v="17687789"/>
  </r>
  <r>
    <x v="27"/>
    <x v="35"/>
    <s v="Total Electric Power Industry"/>
    <x v="9"/>
    <n v="785851"/>
  </r>
  <r>
    <x v="27"/>
    <x v="35"/>
    <s v="Total Electric Power Industry"/>
    <x v="12"/>
    <n v="-1539"/>
  </r>
  <r>
    <x v="27"/>
    <x v="35"/>
    <s v="Total Electric Power Industry"/>
    <x v="4"/>
    <n v="1241106"/>
  </r>
  <r>
    <x v="27"/>
    <x v="35"/>
    <s v="Total Electric Power Industry"/>
    <x v="13"/>
    <n v="105178"/>
  </r>
  <r>
    <x v="27"/>
    <x v="35"/>
    <s v="Total Electric Power Industry"/>
    <x v="8"/>
    <n v="469137"/>
  </r>
  <r>
    <x v="27"/>
    <x v="35"/>
    <s v="Total Electric Power Industry"/>
    <x v="5"/>
    <n v="1588560"/>
  </r>
  <r>
    <x v="27"/>
    <x v="35"/>
    <s v="Total Electric Power Industry"/>
    <x v="6"/>
    <n v="257787"/>
  </r>
  <r>
    <x v="27"/>
    <x v="35"/>
    <s v="Combined Heat and Power, Industrial Power"/>
    <x v="0"/>
    <n v="636138"/>
  </r>
  <r>
    <x v="27"/>
    <x v="35"/>
    <s v="Combined Heat and Power, Industrial Power"/>
    <x v="1"/>
    <n v="9269"/>
  </r>
  <r>
    <x v="27"/>
    <x v="35"/>
    <s v="Combined Heat and Power, Industrial Power"/>
    <x v="3"/>
    <n v="158449"/>
  </r>
  <r>
    <x v="27"/>
    <x v="35"/>
    <s v="Combined Heat and Power, Industrial Power"/>
    <x v="9"/>
    <n v="163200"/>
  </r>
  <r>
    <x v="27"/>
    <x v="35"/>
    <s v="Combined Heat and Power, Industrial Power"/>
    <x v="12"/>
    <n v="9397"/>
  </r>
  <r>
    <x v="27"/>
    <x v="35"/>
    <s v="Combined Heat and Power, Industrial Power"/>
    <x v="4"/>
    <n v="2631"/>
  </r>
  <r>
    <x v="27"/>
    <x v="35"/>
    <s v="Combined Heat and Power, Industrial Power"/>
    <x v="13"/>
    <n v="2041"/>
  </r>
  <r>
    <x v="27"/>
    <x v="35"/>
    <s v="Combined Heat and Power, Industrial Power"/>
    <x v="8"/>
    <n v="6767"/>
  </r>
  <r>
    <x v="27"/>
    <x v="35"/>
    <s v="Combined Heat and Power, Industrial Power"/>
    <x v="5"/>
    <n v="55174"/>
  </r>
  <r>
    <x v="27"/>
    <x v="35"/>
    <s v="Combined Heat and Power, Industrial Power"/>
    <x v="6"/>
    <n v="229210"/>
  </r>
  <r>
    <x v="27"/>
    <x v="35"/>
    <s v="Combined Heat and Power, Commercial Power"/>
    <x v="0"/>
    <n v="262599"/>
  </r>
  <r>
    <x v="27"/>
    <x v="35"/>
    <s v="Combined Heat and Power, Commercial Power"/>
    <x v="1"/>
    <n v="0"/>
  </r>
  <r>
    <x v="27"/>
    <x v="35"/>
    <s v="Combined Heat and Power, Commercial Power"/>
    <x v="3"/>
    <n v="247430"/>
  </r>
  <r>
    <x v="27"/>
    <x v="35"/>
    <s v="Combined Heat and Power, Commercial Power"/>
    <x v="4"/>
    <n v="391"/>
  </r>
  <r>
    <x v="27"/>
    <x v="35"/>
    <s v="Combined Heat and Power, Commercial Power"/>
    <x v="13"/>
    <n v="3019"/>
  </r>
  <r>
    <x v="27"/>
    <x v="35"/>
    <s v="Combined Heat and Power, Commercial Power"/>
    <x v="8"/>
    <n v="8095"/>
  </r>
  <r>
    <x v="27"/>
    <x v="35"/>
    <s v="Combined Heat and Power, Commercial Power"/>
    <x v="5"/>
    <n v="3664"/>
  </r>
  <r>
    <x v="27"/>
    <x v="35"/>
    <s v="Combined Heat and Power, Electric Power"/>
    <x v="0"/>
    <n v="822299"/>
  </r>
  <r>
    <x v="27"/>
    <x v="35"/>
    <s v="Combined Heat and Power, Electric Power"/>
    <x v="1"/>
    <n v="0"/>
  </r>
  <r>
    <x v="27"/>
    <x v="35"/>
    <s v="Combined Heat and Power, Electric Power"/>
    <x v="3"/>
    <n v="171071"/>
  </r>
  <r>
    <x v="27"/>
    <x v="35"/>
    <s v="Combined Heat and Power, Electric Power"/>
    <x v="9"/>
    <n v="622650"/>
  </r>
  <r>
    <x v="27"/>
    <x v="35"/>
    <s v="Combined Heat and Power, Electric Power"/>
    <x v="6"/>
    <n v="28577"/>
  </r>
  <r>
    <x v="27"/>
    <x v="35"/>
    <s v="Electric Generators, Independent Power Producers"/>
    <x v="0"/>
    <n v="94402287"/>
  </r>
  <r>
    <x v="27"/>
    <x v="35"/>
    <s v="Electric Generators, Independent Power Producers"/>
    <x v="1"/>
    <n v="51478482"/>
  </r>
  <r>
    <x v="27"/>
    <x v="35"/>
    <s v="Electric Generators, Independent Power Producers"/>
    <x v="2"/>
    <n v="0"/>
  </r>
  <r>
    <x v="27"/>
    <x v="35"/>
    <s v="Electric Generators, Independent Power Producers"/>
    <x v="3"/>
    <n v="22013772"/>
  </r>
  <r>
    <x v="27"/>
    <x v="35"/>
    <s v="Electric Generators, Independent Power Producers"/>
    <x v="7"/>
    <n v="17687789"/>
  </r>
  <r>
    <x v="27"/>
    <x v="35"/>
    <s v="Electric Generators, Independent Power Producers"/>
    <x v="12"/>
    <n v="-9745"/>
  </r>
  <r>
    <x v="27"/>
    <x v="35"/>
    <s v="Electric Generators, Independent Power Producers"/>
    <x v="4"/>
    <n v="1171302"/>
  </r>
  <r>
    <x v="27"/>
    <x v="35"/>
    <s v="Electric Generators, Independent Power Producers"/>
    <x v="13"/>
    <n v="91756"/>
  </r>
  <r>
    <x v="27"/>
    <x v="35"/>
    <s v="Electric Generators, Independent Power Producers"/>
    <x v="8"/>
    <n v="451284"/>
  </r>
  <r>
    <x v="27"/>
    <x v="35"/>
    <s v="Electric Generators, Independent Power Producers"/>
    <x v="5"/>
    <n v="1517647"/>
  </r>
  <r>
    <x v="27"/>
    <x v="35"/>
    <s v="Electric Generators, Electric Utilities"/>
    <x v="0"/>
    <n v="23431043"/>
  </r>
  <r>
    <x v="27"/>
    <x v="35"/>
    <s v="Electric Generators, Electric Utilities"/>
    <x v="1"/>
    <n v="16855886"/>
  </r>
  <r>
    <x v="27"/>
    <x v="35"/>
    <s v="Electric Generators, Electric Utilities"/>
    <x v="2"/>
    <n v="277349"/>
  </r>
  <r>
    <x v="27"/>
    <x v="35"/>
    <s v="Electric Generators, Electric Utilities"/>
    <x v="3"/>
    <n v="6208789"/>
  </r>
  <r>
    <x v="27"/>
    <x v="35"/>
    <s v="Electric Generators, Electric Utilities"/>
    <x v="12"/>
    <n v="-1191"/>
  </r>
  <r>
    <x v="27"/>
    <x v="35"/>
    <s v="Electric Generators, Electric Utilities"/>
    <x v="4"/>
    <n v="66782"/>
  </r>
  <r>
    <x v="27"/>
    <x v="35"/>
    <s v="Electric Generators, Electric Utilities"/>
    <x v="13"/>
    <n v="8362"/>
  </r>
  <r>
    <x v="27"/>
    <x v="35"/>
    <s v="Electric Generators, Electric Utilities"/>
    <x v="8"/>
    <n v="2991"/>
  </r>
  <r>
    <x v="27"/>
    <x v="35"/>
    <s v="Electric Generators, Electric Utilities"/>
    <x v="5"/>
    <n v="12075"/>
  </r>
  <r>
    <x v="27"/>
    <x v="36"/>
    <s v="Total Electric Power Industry"/>
    <x v="0"/>
    <n v="73731654"/>
  </r>
  <r>
    <x v="27"/>
    <x v="36"/>
    <s v="Total Electric Power Industry"/>
    <x v="1"/>
    <n v="17367854"/>
  </r>
  <r>
    <x v="27"/>
    <x v="36"/>
    <s v="Total Electric Power Industry"/>
    <x v="10"/>
    <n v="-117610"/>
  </r>
  <r>
    <x v="27"/>
    <x v="36"/>
    <s v="Total Electric Power Industry"/>
    <x v="2"/>
    <n v="2036200"/>
  </r>
  <r>
    <x v="27"/>
    <x v="36"/>
    <s v="Total Electric Power Industry"/>
    <x v="3"/>
    <n v="30450569"/>
  </r>
  <r>
    <x v="27"/>
    <x v="36"/>
    <s v="Total Electric Power Industry"/>
    <x v="12"/>
    <n v="48417"/>
  </r>
  <r>
    <x v="27"/>
    <x v="36"/>
    <s v="Total Electric Power Industry"/>
    <x v="4"/>
    <n v="16054"/>
  </r>
  <r>
    <x v="27"/>
    <x v="36"/>
    <s v="Total Electric Power Industry"/>
    <x v="13"/>
    <n v="32582"/>
  </r>
  <r>
    <x v="27"/>
    <x v="36"/>
    <s v="Total Electric Power Industry"/>
    <x v="8"/>
    <n v="67927"/>
  </r>
  <r>
    <x v="27"/>
    <x v="36"/>
    <s v="Total Electric Power Industry"/>
    <x v="5"/>
    <n v="23598843"/>
  </r>
  <r>
    <x v="27"/>
    <x v="36"/>
    <s v="Total Electric Power Industry"/>
    <x v="6"/>
    <n v="230818"/>
  </r>
  <r>
    <x v="27"/>
    <x v="36"/>
    <s v="Combined Heat and Power, Industrial Power"/>
    <x v="0"/>
    <n v="822600"/>
  </r>
  <r>
    <x v="27"/>
    <x v="36"/>
    <s v="Combined Heat and Power, Industrial Power"/>
    <x v="1"/>
    <n v="288786"/>
  </r>
  <r>
    <x v="27"/>
    <x v="36"/>
    <s v="Combined Heat and Power, Industrial Power"/>
    <x v="3"/>
    <n v="251894"/>
  </r>
  <r>
    <x v="27"/>
    <x v="36"/>
    <s v="Combined Heat and Power, Industrial Power"/>
    <x v="12"/>
    <n v="1235"/>
  </r>
  <r>
    <x v="27"/>
    <x v="36"/>
    <s v="Combined Heat and Power, Industrial Power"/>
    <x v="4"/>
    <n v="856"/>
  </r>
  <r>
    <x v="27"/>
    <x v="36"/>
    <s v="Combined Heat and Power, Industrial Power"/>
    <x v="8"/>
    <n v="49011"/>
  </r>
  <r>
    <x v="27"/>
    <x v="36"/>
    <s v="Combined Heat and Power, Industrial Power"/>
    <x v="6"/>
    <n v="230818"/>
  </r>
  <r>
    <x v="27"/>
    <x v="36"/>
    <s v="Combined Heat and Power, Commercial Power"/>
    <x v="0"/>
    <n v="2"/>
  </r>
  <r>
    <x v="27"/>
    <x v="36"/>
    <s v="Combined Heat and Power, Commercial Power"/>
    <x v="3"/>
    <n v="2"/>
  </r>
  <r>
    <x v="27"/>
    <x v="36"/>
    <s v="Combined Heat and Power, Commercial Power"/>
    <x v="4"/>
    <n v="0"/>
  </r>
  <r>
    <x v="27"/>
    <x v="36"/>
    <s v="Combined Heat and Power, Electric Power"/>
    <x v="0"/>
    <n v="1913679"/>
  </r>
  <r>
    <x v="27"/>
    <x v="36"/>
    <s v="Combined Heat and Power, Electric Power"/>
    <x v="1"/>
    <n v="1750435"/>
  </r>
  <r>
    <x v="27"/>
    <x v="36"/>
    <s v="Combined Heat and Power, Electric Power"/>
    <x v="3"/>
    <n v="116063"/>
  </r>
  <r>
    <x v="27"/>
    <x v="36"/>
    <s v="Combined Heat and Power, Electric Power"/>
    <x v="12"/>
    <n v="47181"/>
  </r>
  <r>
    <x v="27"/>
    <x v="36"/>
    <s v="Electric Generators, Independent Power Producers"/>
    <x v="0"/>
    <n v="34569964"/>
  </r>
  <r>
    <x v="27"/>
    <x v="36"/>
    <s v="Electric Generators, Independent Power Producers"/>
    <x v="3"/>
    <n v="12320543"/>
  </r>
  <r>
    <x v="27"/>
    <x v="36"/>
    <s v="Electric Generators, Independent Power Producers"/>
    <x v="8"/>
    <n v="18916"/>
  </r>
  <r>
    <x v="27"/>
    <x v="36"/>
    <s v="Electric Generators, Independent Power Producers"/>
    <x v="5"/>
    <n v="22230505"/>
  </r>
  <r>
    <x v="27"/>
    <x v="36"/>
    <s v="Electric Generators, Electric Utilities"/>
    <x v="0"/>
    <n v="36425409"/>
  </r>
  <r>
    <x v="27"/>
    <x v="36"/>
    <s v="Electric Generators, Electric Utilities"/>
    <x v="1"/>
    <n v="15328633"/>
  </r>
  <r>
    <x v="27"/>
    <x v="36"/>
    <s v="Electric Generators, Electric Utilities"/>
    <x v="10"/>
    <n v="-117610"/>
  </r>
  <r>
    <x v="27"/>
    <x v="36"/>
    <s v="Electric Generators, Electric Utilities"/>
    <x v="2"/>
    <n v="2036200"/>
  </r>
  <r>
    <x v="27"/>
    <x v="36"/>
    <s v="Electric Generators, Electric Utilities"/>
    <x v="3"/>
    <n v="17762067"/>
  </r>
  <r>
    <x v="27"/>
    <x v="36"/>
    <s v="Electric Generators, Electric Utilities"/>
    <x v="4"/>
    <n v="15199"/>
  </r>
  <r>
    <x v="27"/>
    <x v="36"/>
    <s v="Electric Generators, Electric Utilities"/>
    <x v="13"/>
    <n v="32582"/>
  </r>
  <r>
    <x v="27"/>
    <x v="36"/>
    <s v="Electric Generators, Electric Utilities"/>
    <x v="5"/>
    <n v="1368338"/>
  </r>
  <r>
    <x v="27"/>
    <x v="37"/>
    <s v="Total Electric Power Industry"/>
    <x v="0"/>
    <n v="62713747"/>
  </r>
  <r>
    <x v="27"/>
    <x v="37"/>
    <s v="Total Electric Power Industry"/>
    <x v="1"/>
    <n v="1728105"/>
  </r>
  <r>
    <x v="27"/>
    <x v="37"/>
    <s v="Total Electric Power Industry"/>
    <x v="11"/>
    <n v="174381"/>
  </r>
  <r>
    <x v="27"/>
    <x v="37"/>
    <s v="Total Electric Power Industry"/>
    <x v="2"/>
    <n v="38293938"/>
  </r>
  <r>
    <x v="27"/>
    <x v="37"/>
    <s v="Total Electric Power Industry"/>
    <x v="3"/>
    <n v="15066379"/>
  </r>
  <r>
    <x v="27"/>
    <x v="37"/>
    <s v="Total Electric Power Industry"/>
    <x v="12"/>
    <n v="39246"/>
  </r>
  <r>
    <x v="27"/>
    <x v="37"/>
    <s v="Total Electric Power Industry"/>
    <x v="4"/>
    <n v="10394"/>
  </r>
  <r>
    <x v="27"/>
    <x v="37"/>
    <s v="Total Electric Power Industry"/>
    <x v="13"/>
    <n v="194052"/>
  </r>
  <r>
    <x v="27"/>
    <x v="37"/>
    <s v="Total Electric Power Industry"/>
    <x v="8"/>
    <n v="361329"/>
  </r>
  <r>
    <x v="27"/>
    <x v="37"/>
    <s v="Total Electric Power Industry"/>
    <x v="5"/>
    <n v="6226593"/>
  </r>
  <r>
    <x v="27"/>
    <x v="37"/>
    <s v="Total Electric Power Industry"/>
    <x v="6"/>
    <n v="619331"/>
  </r>
  <r>
    <x v="27"/>
    <x v="37"/>
    <s v="Combined Heat and Power, Industrial Power"/>
    <x v="0"/>
    <n v="611015"/>
  </r>
  <r>
    <x v="27"/>
    <x v="37"/>
    <s v="Combined Heat and Power, Industrial Power"/>
    <x v="3"/>
    <n v="83398"/>
  </r>
  <r>
    <x v="27"/>
    <x v="37"/>
    <s v="Combined Heat and Power, Industrial Power"/>
    <x v="4"/>
    <n v="0"/>
  </r>
  <r>
    <x v="27"/>
    <x v="37"/>
    <s v="Combined Heat and Power, Industrial Power"/>
    <x v="8"/>
    <n v="25262"/>
  </r>
  <r>
    <x v="27"/>
    <x v="37"/>
    <s v="Combined Heat and Power, Industrial Power"/>
    <x v="6"/>
    <n v="502355"/>
  </r>
  <r>
    <x v="27"/>
    <x v="37"/>
    <s v="Combined Heat and Power, Commercial Power"/>
    <x v="0"/>
    <n v="72224"/>
  </r>
  <r>
    <x v="27"/>
    <x v="37"/>
    <s v="Combined Heat and Power, Commercial Power"/>
    <x v="3"/>
    <n v="41105"/>
  </r>
  <r>
    <x v="27"/>
    <x v="37"/>
    <s v="Combined Heat and Power, Commercial Power"/>
    <x v="4"/>
    <n v="74"/>
  </r>
  <r>
    <x v="27"/>
    <x v="37"/>
    <s v="Combined Heat and Power, Commercial Power"/>
    <x v="8"/>
    <n v="31045"/>
  </r>
  <r>
    <x v="27"/>
    <x v="37"/>
    <s v="Combined Heat and Power, Electric Power"/>
    <x v="0"/>
    <n v="4014341"/>
  </r>
  <r>
    <x v="27"/>
    <x v="37"/>
    <s v="Combined Heat and Power, Electric Power"/>
    <x v="3"/>
    <n v="3979045"/>
  </r>
  <r>
    <x v="27"/>
    <x v="37"/>
    <s v="Combined Heat and Power, Electric Power"/>
    <x v="8"/>
    <n v="35296"/>
  </r>
  <r>
    <x v="27"/>
    <x v="37"/>
    <s v="Combined Heat and Power, Electric Power"/>
    <x v="6"/>
    <n v="0"/>
  </r>
  <r>
    <x v="27"/>
    <x v="37"/>
    <s v="Electric Generators, Independent Power Producers"/>
    <x v="0"/>
    <n v="9251618"/>
  </r>
  <r>
    <x v="27"/>
    <x v="37"/>
    <s v="Electric Generators, Independent Power Producers"/>
    <x v="11"/>
    <n v="172814"/>
  </r>
  <r>
    <x v="27"/>
    <x v="37"/>
    <s v="Electric Generators, Independent Power Producers"/>
    <x v="2"/>
    <n v="314152"/>
  </r>
  <r>
    <x v="27"/>
    <x v="37"/>
    <s v="Electric Generators, Independent Power Producers"/>
    <x v="3"/>
    <n v="3036317"/>
  </r>
  <r>
    <x v="27"/>
    <x v="37"/>
    <s v="Electric Generators, Independent Power Producers"/>
    <x v="12"/>
    <n v="39761"/>
  </r>
  <r>
    <x v="27"/>
    <x v="37"/>
    <s v="Electric Generators, Independent Power Producers"/>
    <x v="13"/>
    <n v="188155"/>
  </r>
  <r>
    <x v="27"/>
    <x v="37"/>
    <s v="Electric Generators, Independent Power Producers"/>
    <x v="8"/>
    <n v="207416"/>
  </r>
  <r>
    <x v="27"/>
    <x v="37"/>
    <s v="Electric Generators, Independent Power Producers"/>
    <x v="5"/>
    <n v="5176027"/>
  </r>
  <r>
    <x v="27"/>
    <x v="37"/>
    <s v="Electric Generators, Independent Power Producers"/>
    <x v="6"/>
    <n v="116976"/>
  </r>
  <r>
    <x v="27"/>
    <x v="37"/>
    <s v="Electric Generators, Electric Utilities"/>
    <x v="0"/>
    <n v="48764549"/>
  </r>
  <r>
    <x v="27"/>
    <x v="37"/>
    <s v="Electric Generators, Electric Utilities"/>
    <x v="1"/>
    <n v="1728105"/>
  </r>
  <r>
    <x v="27"/>
    <x v="37"/>
    <s v="Electric Generators, Electric Utilities"/>
    <x v="11"/>
    <n v="1567"/>
  </r>
  <r>
    <x v="27"/>
    <x v="37"/>
    <s v="Electric Generators, Electric Utilities"/>
    <x v="2"/>
    <n v="37979786"/>
  </r>
  <r>
    <x v="27"/>
    <x v="37"/>
    <s v="Electric Generators, Electric Utilities"/>
    <x v="3"/>
    <n v="7926513"/>
  </r>
  <r>
    <x v="27"/>
    <x v="37"/>
    <s v="Electric Generators, Electric Utilities"/>
    <x v="12"/>
    <n v="-515"/>
  </r>
  <r>
    <x v="27"/>
    <x v="37"/>
    <s v="Electric Generators, Electric Utilities"/>
    <x v="4"/>
    <n v="10320"/>
  </r>
  <r>
    <x v="27"/>
    <x v="37"/>
    <s v="Electric Generators, Electric Utilities"/>
    <x v="13"/>
    <n v="5897"/>
  </r>
  <r>
    <x v="27"/>
    <x v="37"/>
    <s v="Electric Generators, Electric Utilities"/>
    <x v="8"/>
    <n v="62310"/>
  </r>
  <r>
    <x v="27"/>
    <x v="37"/>
    <s v="Electric Generators, Electric Utilities"/>
    <x v="5"/>
    <n v="1050566"/>
  </r>
  <r>
    <x v="27"/>
    <x v="38"/>
    <s v="Total Electric Power Industry"/>
    <x v="0"/>
    <n v="213639299"/>
  </r>
  <r>
    <x v="27"/>
    <x v="38"/>
    <s v="Total Electric Power Industry"/>
    <x v="1"/>
    <n v="47634271"/>
  </r>
  <r>
    <x v="27"/>
    <x v="38"/>
    <s v="Total Electric Power Industry"/>
    <x v="10"/>
    <n v="-605294"/>
  </r>
  <r>
    <x v="27"/>
    <x v="38"/>
    <s v="Total Electric Power Industry"/>
    <x v="2"/>
    <n v="3123316"/>
  </r>
  <r>
    <x v="27"/>
    <x v="38"/>
    <s v="Total Electric Power Industry"/>
    <x v="3"/>
    <n v="72503448"/>
  </r>
  <r>
    <x v="27"/>
    <x v="38"/>
    <s v="Total Electric Power Industry"/>
    <x v="7"/>
    <n v="83199832"/>
  </r>
  <r>
    <x v="27"/>
    <x v="38"/>
    <s v="Total Electric Power Industry"/>
    <x v="9"/>
    <n v="446078"/>
  </r>
  <r>
    <x v="27"/>
    <x v="38"/>
    <s v="Total Electric Power Industry"/>
    <x v="12"/>
    <n v="883894"/>
  </r>
  <r>
    <x v="27"/>
    <x v="38"/>
    <s v="Total Electric Power Industry"/>
    <x v="4"/>
    <n v="355418"/>
  </r>
  <r>
    <x v="27"/>
    <x v="38"/>
    <s v="Total Electric Power Industry"/>
    <x v="13"/>
    <n v="69616"/>
  </r>
  <r>
    <x v="27"/>
    <x v="38"/>
    <s v="Total Electric Power Industry"/>
    <x v="8"/>
    <n v="1915767"/>
  </r>
  <r>
    <x v="27"/>
    <x v="38"/>
    <s v="Total Electric Power Industry"/>
    <x v="5"/>
    <n v="3590565"/>
  </r>
  <r>
    <x v="27"/>
    <x v="38"/>
    <s v="Total Electric Power Industry"/>
    <x v="6"/>
    <n v="522388"/>
  </r>
  <r>
    <x v="27"/>
    <x v="38"/>
    <s v="Combined Heat and Power, Industrial Power"/>
    <x v="0"/>
    <n v="2835880"/>
  </r>
  <r>
    <x v="27"/>
    <x v="38"/>
    <s v="Combined Heat and Power, Industrial Power"/>
    <x v="1"/>
    <n v="176709"/>
  </r>
  <r>
    <x v="27"/>
    <x v="38"/>
    <s v="Combined Heat and Power, Industrial Power"/>
    <x v="3"/>
    <n v="1510182"/>
  </r>
  <r>
    <x v="27"/>
    <x v="38"/>
    <s v="Combined Heat and Power, Industrial Power"/>
    <x v="9"/>
    <n v="446078"/>
  </r>
  <r>
    <x v="27"/>
    <x v="38"/>
    <s v="Combined Heat and Power, Industrial Power"/>
    <x v="4"/>
    <n v="102091"/>
  </r>
  <r>
    <x v="27"/>
    <x v="38"/>
    <s v="Combined Heat and Power, Industrial Power"/>
    <x v="13"/>
    <n v="7815"/>
  </r>
  <r>
    <x v="27"/>
    <x v="38"/>
    <s v="Combined Heat and Power, Industrial Power"/>
    <x v="8"/>
    <n v="70757"/>
  </r>
  <r>
    <x v="27"/>
    <x v="38"/>
    <s v="Combined Heat and Power, Industrial Power"/>
    <x v="6"/>
    <n v="522249"/>
  </r>
  <r>
    <x v="27"/>
    <x v="38"/>
    <s v="Combined Heat and Power, Commercial Power"/>
    <x v="0"/>
    <n v="392063"/>
  </r>
  <r>
    <x v="27"/>
    <x v="38"/>
    <s v="Combined Heat and Power, Commercial Power"/>
    <x v="1"/>
    <n v="0"/>
  </r>
  <r>
    <x v="27"/>
    <x v="38"/>
    <s v="Combined Heat and Power, Commercial Power"/>
    <x v="3"/>
    <n v="138747"/>
  </r>
  <r>
    <x v="27"/>
    <x v="38"/>
    <s v="Combined Heat and Power, Commercial Power"/>
    <x v="12"/>
    <n v="94551"/>
  </r>
  <r>
    <x v="27"/>
    <x v="38"/>
    <s v="Combined Heat and Power, Commercial Power"/>
    <x v="4"/>
    <n v="3790"/>
  </r>
  <r>
    <x v="27"/>
    <x v="38"/>
    <s v="Combined Heat and Power, Commercial Power"/>
    <x v="13"/>
    <n v="5933"/>
  </r>
  <r>
    <x v="27"/>
    <x v="38"/>
    <s v="Combined Heat and Power, Commercial Power"/>
    <x v="8"/>
    <n v="149042"/>
  </r>
  <r>
    <x v="27"/>
    <x v="38"/>
    <s v="Combined Heat and Power, Electric Power"/>
    <x v="0"/>
    <n v="9815315"/>
  </r>
  <r>
    <x v="27"/>
    <x v="38"/>
    <s v="Combined Heat and Power, Electric Power"/>
    <x v="1"/>
    <n v="3134413"/>
  </r>
  <r>
    <x v="27"/>
    <x v="38"/>
    <s v="Combined Heat and Power, Electric Power"/>
    <x v="3"/>
    <n v="6489289"/>
  </r>
  <r>
    <x v="27"/>
    <x v="38"/>
    <s v="Combined Heat and Power, Electric Power"/>
    <x v="9"/>
    <n v="0"/>
  </r>
  <r>
    <x v="27"/>
    <x v="38"/>
    <s v="Combined Heat and Power, Electric Power"/>
    <x v="12"/>
    <n v="99686"/>
  </r>
  <r>
    <x v="27"/>
    <x v="38"/>
    <s v="Combined Heat and Power, Electric Power"/>
    <x v="4"/>
    <n v="20339"/>
  </r>
  <r>
    <x v="27"/>
    <x v="38"/>
    <s v="Combined Heat and Power, Electric Power"/>
    <x v="8"/>
    <n v="71448"/>
  </r>
  <r>
    <x v="27"/>
    <x v="38"/>
    <s v="Combined Heat and Power, Electric Power"/>
    <x v="6"/>
    <n v="139"/>
  </r>
  <r>
    <x v="27"/>
    <x v="38"/>
    <s v="Electric Generators, Independent Power Producers"/>
    <x v="0"/>
    <n v="200493476"/>
  </r>
  <r>
    <x v="27"/>
    <x v="38"/>
    <s v="Electric Generators, Independent Power Producers"/>
    <x v="1"/>
    <n v="44323149"/>
  </r>
  <r>
    <x v="27"/>
    <x v="38"/>
    <s v="Electric Generators, Independent Power Producers"/>
    <x v="10"/>
    <n v="-605294"/>
  </r>
  <r>
    <x v="27"/>
    <x v="38"/>
    <s v="Electric Generators, Independent Power Producers"/>
    <x v="2"/>
    <n v="3027997"/>
  </r>
  <r>
    <x v="27"/>
    <x v="38"/>
    <s v="Electric Generators, Independent Power Producers"/>
    <x v="3"/>
    <n v="64358217"/>
  </r>
  <r>
    <x v="27"/>
    <x v="38"/>
    <s v="Electric Generators, Independent Power Producers"/>
    <x v="7"/>
    <n v="83199832"/>
  </r>
  <r>
    <x v="27"/>
    <x v="38"/>
    <s v="Electric Generators, Independent Power Producers"/>
    <x v="9"/>
    <n v="0"/>
  </r>
  <r>
    <x v="27"/>
    <x v="38"/>
    <s v="Electric Generators, Independent Power Producers"/>
    <x v="12"/>
    <n v="689656"/>
  </r>
  <r>
    <x v="27"/>
    <x v="38"/>
    <s v="Electric Generators, Independent Power Producers"/>
    <x v="4"/>
    <n v="228965"/>
  </r>
  <r>
    <x v="27"/>
    <x v="38"/>
    <s v="Electric Generators, Independent Power Producers"/>
    <x v="13"/>
    <n v="55869"/>
  </r>
  <r>
    <x v="27"/>
    <x v="38"/>
    <s v="Electric Generators, Independent Power Producers"/>
    <x v="8"/>
    <n v="1624520"/>
  </r>
  <r>
    <x v="27"/>
    <x v="38"/>
    <s v="Electric Generators, Independent Power Producers"/>
    <x v="5"/>
    <n v="3590565"/>
  </r>
  <r>
    <x v="27"/>
    <x v="38"/>
    <s v="Electric Generators, Electric Utilities"/>
    <x v="0"/>
    <n v="102565"/>
  </r>
  <r>
    <x v="27"/>
    <x v="38"/>
    <s v="Electric Generators, Electric Utilities"/>
    <x v="1"/>
    <n v="0"/>
  </r>
  <r>
    <x v="27"/>
    <x v="38"/>
    <s v="Electric Generators, Electric Utilities"/>
    <x v="2"/>
    <n v="95319"/>
  </r>
  <r>
    <x v="27"/>
    <x v="38"/>
    <s v="Electric Generators, Electric Utilities"/>
    <x v="3"/>
    <n v="7012"/>
  </r>
  <r>
    <x v="27"/>
    <x v="38"/>
    <s v="Electric Generators, Electric Utilities"/>
    <x v="4"/>
    <n v="234"/>
  </r>
  <r>
    <x v="27"/>
    <x v="39"/>
    <s v="Total Electric Power Industry"/>
    <x v="0"/>
    <n v="7614941"/>
  </r>
  <r>
    <x v="27"/>
    <x v="39"/>
    <s v="Total Electric Power Industry"/>
    <x v="1"/>
    <n v="0"/>
  </r>
  <r>
    <x v="27"/>
    <x v="39"/>
    <s v="Total Electric Power Industry"/>
    <x v="2"/>
    <n v="2372"/>
  </r>
  <r>
    <x v="27"/>
    <x v="39"/>
    <s v="Total Electric Power Industry"/>
    <x v="3"/>
    <n v="7188192"/>
  </r>
  <r>
    <x v="27"/>
    <x v="39"/>
    <s v="Total Electric Power Industry"/>
    <x v="4"/>
    <n v="58408"/>
  </r>
  <r>
    <x v="27"/>
    <x v="39"/>
    <s v="Total Electric Power Industry"/>
    <x v="13"/>
    <n v="14083"/>
  </r>
  <r>
    <x v="27"/>
    <x v="39"/>
    <s v="Total Electric Power Industry"/>
    <x v="8"/>
    <n v="202984"/>
  </r>
  <r>
    <x v="27"/>
    <x v="39"/>
    <s v="Total Electric Power Industry"/>
    <x v="5"/>
    <n v="148902"/>
  </r>
  <r>
    <x v="27"/>
    <x v="39"/>
    <s v="Combined Heat and Power, Industrial Power"/>
    <x v="0"/>
    <n v="143037"/>
  </r>
  <r>
    <x v="27"/>
    <x v="39"/>
    <s v="Combined Heat and Power, Industrial Power"/>
    <x v="3"/>
    <n v="143037"/>
  </r>
  <r>
    <x v="27"/>
    <x v="39"/>
    <s v="Combined Heat and Power, Industrial Power"/>
    <x v="4"/>
    <n v="0"/>
  </r>
  <r>
    <x v="27"/>
    <x v="39"/>
    <s v="Combined Heat and Power, Commercial Power"/>
    <x v="0"/>
    <n v="58450"/>
  </r>
  <r>
    <x v="27"/>
    <x v="39"/>
    <s v="Combined Heat and Power, Commercial Power"/>
    <x v="3"/>
    <n v="48777"/>
  </r>
  <r>
    <x v="27"/>
    <x v="39"/>
    <s v="Combined Heat and Power, Commercial Power"/>
    <x v="4"/>
    <n v="2519"/>
  </r>
  <r>
    <x v="27"/>
    <x v="39"/>
    <s v="Combined Heat and Power, Commercial Power"/>
    <x v="5"/>
    <n v="7154"/>
  </r>
  <r>
    <x v="27"/>
    <x v="39"/>
    <s v="Electric Generators, Independent Power Producers"/>
    <x v="0"/>
    <n v="7410475"/>
  </r>
  <r>
    <x v="27"/>
    <x v="39"/>
    <s v="Electric Generators, Independent Power Producers"/>
    <x v="1"/>
    <n v="0"/>
  </r>
  <r>
    <x v="27"/>
    <x v="39"/>
    <s v="Electric Generators, Independent Power Producers"/>
    <x v="2"/>
    <n v="2372"/>
  </r>
  <r>
    <x v="27"/>
    <x v="39"/>
    <s v="Electric Generators, Independent Power Producers"/>
    <x v="3"/>
    <n v="6996378"/>
  </r>
  <r>
    <x v="27"/>
    <x v="39"/>
    <s v="Electric Generators, Independent Power Producers"/>
    <x v="4"/>
    <n v="52910"/>
  </r>
  <r>
    <x v="27"/>
    <x v="39"/>
    <s v="Electric Generators, Independent Power Producers"/>
    <x v="13"/>
    <n v="14083"/>
  </r>
  <r>
    <x v="27"/>
    <x v="39"/>
    <s v="Electric Generators, Independent Power Producers"/>
    <x v="8"/>
    <n v="202984"/>
  </r>
  <r>
    <x v="27"/>
    <x v="39"/>
    <s v="Electric Generators, Independent Power Producers"/>
    <x v="5"/>
    <n v="141748"/>
  </r>
  <r>
    <x v="27"/>
    <x v="39"/>
    <s v="Electric Generators, Electric Utilities"/>
    <x v="0"/>
    <n v="2979"/>
  </r>
  <r>
    <x v="27"/>
    <x v="39"/>
    <s v="Electric Generators, Electric Utilities"/>
    <x v="4"/>
    <n v="2979"/>
  </r>
  <r>
    <x v="27"/>
    <x v="40"/>
    <s v="Total Electric Power Industry"/>
    <x v="0"/>
    <n v="93080939"/>
  </r>
  <r>
    <x v="27"/>
    <x v="40"/>
    <s v="Total Electric Power Industry"/>
    <x v="1"/>
    <n v="18151744"/>
  </r>
  <r>
    <x v="27"/>
    <x v="40"/>
    <s v="Total Electric Power Industry"/>
    <x v="10"/>
    <n v="-1024829"/>
  </r>
  <r>
    <x v="27"/>
    <x v="40"/>
    <s v="Total Electric Power Industry"/>
    <x v="2"/>
    <n v="1835039"/>
  </r>
  <r>
    <x v="27"/>
    <x v="40"/>
    <s v="Total Electric Power Industry"/>
    <x v="3"/>
    <n v="17156339"/>
  </r>
  <r>
    <x v="27"/>
    <x v="40"/>
    <s v="Total Electric Power Industry"/>
    <x v="7"/>
    <n v="54344554"/>
  </r>
  <r>
    <x v="27"/>
    <x v="40"/>
    <s v="Total Electric Power Industry"/>
    <x v="12"/>
    <n v="41212"/>
  </r>
  <r>
    <x v="27"/>
    <x v="40"/>
    <s v="Total Electric Power Industry"/>
    <x v="4"/>
    <n v="97651"/>
  </r>
  <r>
    <x v="27"/>
    <x v="40"/>
    <s v="Total Electric Power Industry"/>
    <x v="13"/>
    <n v="79522"/>
  </r>
  <r>
    <x v="27"/>
    <x v="40"/>
    <s v="Total Electric Power Industry"/>
    <x v="8"/>
    <n v="171448"/>
  </r>
  <r>
    <x v="27"/>
    <x v="40"/>
    <s v="Total Electric Power Industry"/>
    <x v="6"/>
    <n v="2228257"/>
  </r>
  <r>
    <x v="27"/>
    <x v="40"/>
    <s v="Combined Heat and Power, Industrial Power"/>
    <x v="0"/>
    <n v="1771605"/>
  </r>
  <r>
    <x v="27"/>
    <x v="40"/>
    <s v="Combined Heat and Power, Industrial Power"/>
    <x v="1"/>
    <n v="24969"/>
  </r>
  <r>
    <x v="27"/>
    <x v="40"/>
    <s v="Combined Heat and Power, Industrial Power"/>
    <x v="3"/>
    <n v="123565"/>
  </r>
  <r>
    <x v="27"/>
    <x v="40"/>
    <s v="Combined Heat and Power, Industrial Power"/>
    <x v="12"/>
    <n v="34963"/>
  </r>
  <r>
    <x v="27"/>
    <x v="40"/>
    <s v="Combined Heat and Power, Industrial Power"/>
    <x v="4"/>
    <n v="7781"/>
  </r>
  <r>
    <x v="27"/>
    <x v="40"/>
    <s v="Combined Heat and Power, Industrial Power"/>
    <x v="8"/>
    <n v="57063"/>
  </r>
  <r>
    <x v="27"/>
    <x v="40"/>
    <s v="Combined Heat and Power, Industrial Power"/>
    <x v="6"/>
    <n v="1523264"/>
  </r>
  <r>
    <x v="27"/>
    <x v="40"/>
    <s v="Combined Heat and Power, Commercial Power"/>
    <x v="0"/>
    <n v="1654"/>
  </r>
  <r>
    <x v="27"/>
    <x v="40"/>
    <s v="Combined Heat and Power, Commercial Power"/>
    <x v="2"/>
    <n v="1335"/>
  </r>
  <r>
    <x v="27"/>
    <x v="40"/>
    <s v="Combined Heat and Power, Commercial Power"/>
    <x v="3"/>
    <n v="231"/>
  </r>
  <r>
    <x v="27"/>
    <x v="40"/>
    <s v="Combined Heat and Power, Commercial Power"/>
    <x v="4"/>
    <n v="88"/>
  </r>
  <r>
    <x v="27"/>
    <x v="40"/>
    <s v="Combined Heat and Power, Electric Power"/>
    <x v="0"/>
    <n v="2379092"/>
  </r>
  <r>
    <x v="27"/>
    <x v="40"/>
    <s v="Combined Heat and Power, Electric Power"/>
    <x v="3"/>
    <n v="2283857"/>
  </r>
  <r>
    <x v="27"/>
    <x v="40"/>
    <s v="Combined Heat and Power, Electric Power"/>
    <x v="12"/>
    <n v="6250"/>
  </r>
  <r>
    <x v="27"/>
    <x v="40"/>
    <s v="Combined Heat and Power, Electric Power"/>
    <x v="4"/>
    <n v="820"/>
  </r>
  <r>
    <x v="27"/>
    <x v="40"/>
    <s v="Combined Heat and Power, Electric Power"/>
    <x v="6"/>
    <n v="88165"/>
  </r>
  <r>
    <x v="27"/>
    <x v="40"/>
    <s v="Electric Generators, Independent Power Producers"/>
    <x v="0"/>
    <n v="849307"/>
  </r>
  <r>
    <x v="27"/>
    <x v="40"/>
    <s v="Electric Generators, Independent Power Producers"/>
    <x v="2"/>
    <n v="46129"/>
  </r>
  <r>
    <x v="27"/>
    <x v="40"/>
    <s v="Electric Generators, Independent Power Producers"/>
    <x v="3"/>
    <n v="402150"/>
  </r>
  <r>
    <x v="27"/>
    <x v="40"/>
    <s v="Electric Generators, Independent Power Producers"/>
    <x v="4"/>
    <n v="497"/>
  </r>
  <r>
    <x v="27"/>
    <x v="40"/>
    <s v="Electric Generators, Independent Power Producers"/>
    <x v="13"/>
    <n v="79522"/>
  </r>
  <r>
    <x v="27"/>
    <x v="40"/>
    <s v="Electric Generators, Independent Power Producers"/>
    <x v="8"/>
    <n v="13986"/>
  </r>
  <r>
    <x v="27"/>
    <x v="40"/>
    <s v="Electric Generators, Independent Power Producers"/>
    <x v="6"/>
    <n v="307023"/>
  </r>
  <r>
    <x v="27"/>
    <x v="40"/>
    <s v="Electric Generators, Electric Utilities"/>
    <x v="0"/>
    <n v="88079282"/>
  </r>
  <r>
    <x v="27"/>
    <x v="40"/>
    <s v="Electric Generators, Electric Utilities"/>
    <x v="1"/>
    <n v="18126776"/>
  </r>
  <r>
    <x v="27"/>
    <x v="40"/>
    <s v="Electric Generators, Electric Utilities"/>
    <x v="10"/>
    <n v="-1024829"/>
  </r>
  <r>
    <x v="27"/>
    <x v="40"/>
    <s v="Electric Generators, Electric Utilities"/>
    <x v="2"/>
    <n v="1787575"/>
  </r>
  <r>
    <x v="27"/>
    <x v="40"/>
    <s v="Electric Generators, Electric Utilities"/>
    <x v="3"/>
    <n v="14346536"/>
  </r>
  <r>
    <x v="27"/>
    <x v="40"/>
    <s v="Electric Generators, Electric Utilities"/>
    <x v="7"/>
    <n v="54344554"/>
  </r>
  <r>
    <x v="27"/>
    <x v="40"/>
    <s v="Electric Generators, Electric Utilities"/>
    <x v="4"/>
    <n v="88465"/>
  </r>
  <r>
    <x v="27"/>
    <x v="40"/>
    <s v="Electric Generators, Electric Utilities"/>
    <x v="8"/>
    <n v="100399"/>
  </r>
  <r>
    <x v="27"/>
    <x v="40"/>
    <s v="Electric Generators, Electric Utilities"/>
    <x v="6"/>
    <n v="309806"/>
  </r>
  <r>
    <x v="27"/>
    <x v="41"/>
    <s v="Total Electric Power Industry"/>
    <x v="0"/>
    <n v="10935719"/>
  </r>
  <r>
    <x v="27"/>
    <x v="41"/>
    <s v="Total Electric Power Industry"/>
    <x v="1"/>
    <n v="2062462"/>
  </r>
  <r>
    <x v="27"/>
    <x v="41"/>
    <s v="Total Electric Power Industry"/>
    <x v="2"/>
    <n v="5255520"/>
  </r>
  <r>
    <x v="27"/>
    <x v="41"/>
    <s v="Total Electric Power Industry"/>
    <x v="3"/>
    <n v="654348"/>
  </r>
  <r>
    <x v="27"/>
    <x v="41"/>
    <s v="Total Electric Power Industry"/>
    <x v="4"/>
    <n v="3031"/>
  </r>
  <r>
    <x v="27"/>
    <x v="41"/>
    <s v="Total Electric Power Industry"/>
    <x v="13"/>
    <n v="2056"/>
  </r>
  <r>
    <x v="27"/>
    <x v="41"/>
    <s v="Total Electric Power Industry"/>
    <x v="8"/>
    <n v="0"/>
  </r>
  <r>
    <x v="27"/>
    <x v="41"/>
    <s v="Total Electric Power Industry"/>
    <x v="5"/>
    <n v="2958302"/>
  </r>
  <r>
    <x v="27"/>
    <x v="41"/>
    <s v="Combined Heat and Power, Commercial Power"/>
    <x v="0"/>
    <n v="2"/>
  </r>
  <r>
    <x v="27"/>
    <x v="41"/>
    <s v="Combined Heat and Power, Commercial Power"/>
    <x v="4"/>
    <n v="2"/>
  </r>
  <r>
    <x v="27"/>
    <x v="41"/>
    <s v="Electric Generators, Independent Power Producers"/>
    <x v="0"/>
    <n v="2052447"/>
  </r>
  <r>
    <x v="27"/>
    <x v="41"/>
    <s v="Electric Generators, Independent Power Producers"/>
    <x v="4"/>
    <n v="39"/>
  </r>
  <r>
    <x v="27"/>
    <x v="41"/>
    <s v="Electric Generators, Independent Power Producers"/>
    <x v="13"/>
    <n v="2056"/>
  </r>
  <r>
    <x v="27"/>
    <x v="41"/>
    <s v="Electric Generators, Independent Power Producers"/>
    <x v="5"/>
    <n v="2050352"/>
  </r>
  <r>
    <x v="27"/>
    <x v="41"/>
    <s v="Electric Generators, Electric Utilities"/>
    <x v="0"/>
    <n v="8883270"/>
  </r>
  <r>
    <x v="27"/>
    <x v="41"/>
    <s v="Electric Generators, Electric Utilities"/>
    <x v="1"/>
    <n v="2062462"/>
  </r>
  <r>
    <x v="27"/>
    <x v="41"/>
    <s v="Electric Generators, Electric Utilities"/>
    <x v="2"/>
    <n v="5255520"/>
  </r>
  <r>
    <x v="27"/>
    <x v="41"/>
    <s v="Electric Generators, Electric Utilities"/>
    <x v="3"/>
    <n v="654348"/>
  </r>
  <r>
    <x v="27"/>
    <x v="41"/>
    <s v="Electric Generators, Electric Utilities"/>
    <x v="4"/>
    <n v="2990"/>
  </r>
  <r>
    <x v="27"/>
    <x v="41"/>
    <s v="Electric Generators, Electric Utilities"/>
    <x v="8"/>
    <n v="0"/>
  </r>
  <r>
    <x v="27"/>
    <x v="41"/>
    <s v="Electric Generators, Electric Utilities"/>
    <x v="5"/>
    <n v="907950"/>
  </r>
  <r>
    <x v="27"/>
    <x v="42"/>
    <s v="Total Electric Power Industry"/>
    <x v="0"/>
    <n v="79046222"/>
  </r>
  <r>
    <x v="27"/>
    <x v="42"/>
    <s v="Total Electric Power Industry"/>
    <x v="1"/>
    <n v="27715284"/>
  </r>
  <r>
    <x v="27"/>
    <x v="42"/>
    <s v="Total Electric Power Industry"/>
    <x v="10"/>
    <n v="-686154"/>
  </r>
  <r>
    <x v="27"/>
    <x v="42"/>
    <s v="Total Electric Power Industry"/>
    <x v="2"/>
    <n v="8691134"/>
  </r>
  <r>
    <x v="27"/>
    <x v="42"/>
    <s v="Total Electric Power Industry"/>
    <x v="3"/>
    <n v="10268361"/>
  </r>
  <r>
    <x v="27"/>
    <x v="42"/>
    <s v="Total Electric Power Industry"/>
    <x v="7"/>
    <n v="31817502"/>
  </r>
  <r>
    <x v="27"/>
    <x v="42"/>
    <s v="Total Electric Power Industry"/>
    <x v="9"/>
    <n v="11648"/>
  </r>
  <r>
    <x v="27"/>
    <x v="42"/>
    <s v="Total Electric Power Industry"/>
    <x v="12"/>
    <n v="21440"/>
  </r>
  <r>
    <x v="27"/>
    <x v="42"/>
    <s v="Total Electric Power Industry"/>
    <x v="4"/>
    <n v="123663"/>
  </r>
  <r>
    <x v="27"/>
    <x v="42"/>
    <s v="Total Electric Power Industry"/>
    <x v="13"/>
    <n v="92342"/>
  </r>
  <r>
    <x v="27"/>
    <x v="42"/>
    <s v="Total Electric Power Industry"/>
    <x v="8"/>
    <n v="96515"/>
  </r>
  <r>
    <x v="27"/>
    <x v="42"/>
    <s v="Total Electric Power Industry"/>
    <x v="5"/>
    <n v="43327"/>
  </r>
  <r>
    <x v="27"/>
    <x v="42"/>
    <s v="Total Electric Power Industry"/>
    <x v="6"/>
    <n v="851160"/>
  </r>
  <r>
    <x v="27"/>
    <x v="42"/>
    <s v="Combined Heat and Power, Industrial Power"/>
    <x v="0"/>
    <n v="2075030"/>
  </r>
  <r>
    <x v="27"/>
    <x v="42"/>
    <s v="Combined Heat and Power, Industrial Power"/>
    <x v="1"/>
    <n v="683796"/>
  </r>
  <r>
    <x v="27"/>
    <x v="42"/>
    <s v="Combined Heat and Power, Industrial Power"/>
    <x v="3"/>
    <n v="491947"/>
  </r>
  <r>
    <x v="27"/>
    <x v="42"/>
    <s v="Combined Heat and Power, Industrial Power"/>
    <x v="9"/>
    <n v="11648"/>
  </r>
  <r>
    <x v="27"/>
    <x v="42"/>
    <s v="Combined Heat and Power, Industrial Power"/>
    <x v="12"/>
    <n v="21440"/>
  </r>
  <r>
    <x v="27"/>
    <x v="42"/>
    <s v="Combined Heat and Power, Industrial Power"/>
    <x v="4"/>
    <n v="1660"/>
  </r>
  <r>
    <x v="27"/>
    <x v="42"/>
    <s v="Combined Heat and Power, Industrial Power"/>
    <x v="13"/>
    <n v="28"/>
  </r>
  <r>
    <x v="27"/>
    <x v="42"/>
    <s v="Combined Heat and Power, Industrial Power"/>
    <x v="8"/>
    <n v="13351"/>
  </r>
  <r>
    <x v="27"/>
    <x v="42"/>
    <s v="Combined Heat and Power, Industrial Power"/>
    <x v="6"/>
    <n v="851160"/>
  </r>
  <r>
    <x v="27"/>
    <x v="42"/>
    <s v="Combined Heat and Power, Commercial Power"/>
    <x v="0"/>
    <n v="195237"/>
  </r>
  <r>
    <x v="27"/>
    <x v="42"/>
    <s v="Combined Heat and Power, Commercial Power"/>
    <x v="1"/>
    <n v="0"/>
  </r>
  <r>
    <x v="27"/>
    <x v="42"/>
    <s v="Combined Heat and Power, Commercial Power"/>
    <x v="3"/>
    <n v="190770"/>
  </r>
  <r>
    <x v="27"/>
    <x v="42"/>
    <s v="Combined Heat and Power, Commercial Power"/>
    <x v="4"/>
    <n v="0"/>
  </r>
  <r>
    <x v="27"/>
    <x v="42"/>
    <s v="Combined Heat and Power, Commercial Power"/>
    <x v="13"/>
    <n v="4467"/>
  </r>
  <r>
    <x v="27"/>
    <x v="42"/>
    <s v="Electric Generators, Independent Power Producers"/>
    <x v="0"/>
    <n v="228646"/>
  </r>
  <r>
    <x v="27"/>
    <x v="42"/>
    <s v="Electric Generators, Independent Power Producers"/>
    <x v="3"/>
    <n v="13986"/>
  </r>
  <r>
    <x v="27"/>
    <x v="42"/>
    <s v="Electric Generators, Independent Power Producers"/>
    <x v="4"/>
    <n v="322"/>
  </r>
  <r>
    <x v="27"/>
    <x v="42"/>
    <s v="Electric Generators, Independent Power Producers"/>
    <x v="13"/>
    <n v="87847"/>
  </r>
  <r>
    <x v="27"/>
    <x v="42"/>
    <s v="Electric Generators, Independent Power Producers"/>
    <x v="8"/>
    <n v="83164"/>
  </r>
  <r>
    <x v="27"/>
    <x v="42"/>
    <s v="Electric Generators, Independent Power Producers"/>
    <x v="5"/>
    <n v="43327"/>
  </r>
  <r>
    <x v="27"/>
    <x v="42"/>
    <s v="Electric Generators, Electric Utilities"/>
    <x v="0"/>
    <n v="76547309"/>
  </r>
  <r>
    <x v="27"/>
    <x v="42"/>
    <s v="Electric Generators, Electric Utilities"/>
    <x v="1"/>
    <n v="27031488"/>
  </r>
  <r>
    <x v="27"/>
    <x v="42"/>
    <s v="Electric Generators, Electric Utilities"/>
    <x v="10"/>
    <n v="-686154"/>
  </r>
  <r>
    <x v="27"/>
    <x v="42"/>
    <s v="Electric Generators, Electric Utilities"/>
    <x v="2"/>
    <n v="8691134"/>
  </r>
  <r>
    <x v="27"/>
    <x v="42"/>
    <s v="Electric Generators, Electric Utilities"/>
    <x v="3"/>
    <n v="9571658"/>
  </r>
  <r>
    <x v="27"/>
    <x v="42"/>
    <s v="Electric Generators, Electric Utilities"/>
    <x v="7"/>
    <n v="31817502"/>
  </r>
  <r>
    <x v="27"/>
    <x v="42"/>
    <s v="Electric Generators, Electric Utilities"/>
    <x v="4"/>
    <n v="121681"/>
  </r>
  <r>
    <x v="27"/>
    <x v="42"/>
    <s v="Electric Generators, Electric Utilities"/>
    <x v="8"/>
    <n v="0"/>
  </r>
  <r>
    <x v="27"/>
    <x v="42"/>
    <s v="Electric Generators, Electric Utilities"/>
    <x v="5"/>
    <n v="0"/>
  </r>
  <r>
    <x v="27"/>
    <x v="43"/>
    <s v="Total Electric Power Industry"/>
    <x v="0"/>
    <n v="452794365"/>
  </r>
  <r>
    <x v="27"/>
    <x v="43"/>
    <s v="Total Electric Power Industry"/>
    <x v="1"/>
    <n v="134648358"/>
  </r>
  <r>
    <x v="27"/>
    <x v="43"/>
    <s v="Total Electric Power Industry"/>
    <x v="2"/>
    <n v="1061997"/>
  </r>
  <r>
    <x v="27"/>
    <x v="43"/>
    <s v="Total Electric Power Industry"/>
    <x v="3"/>
    <n v="204511996"/>
  </r>
  <r>
    <x v="27"/>
    <x v="43"/>
    <s v="Total Electric Power Industry"/>
    <x v="7"/>
    <n v="38581401"/>
  </r>
  <r>
    <x v="27"/>
    <x v="43"/>
    <s v="Total Electric Power Industry"/>
    <x v="9"/>
    <n v="2471966"/>
  </r>
  <r>
    <x v="27"/>
    <x v="43"/>
    <s v="Total Electric Power Industry"/>
    <x v="12"/>
    <n v="527849"/>
  </r>
  <r>
    <x v="27"/>
    <x v="43"/>
    <s v="Total Electric Power Industry"/>
    <x v="4"/>
    <n v="163711"/>
  </r>
  <r>
    <x v="27"/>
    <x v="43"/>
    <s v="Total Electric Power Industry"/>
    <x v="13"/>
    <n v="2189127"/>
  </r>
  <r>
    <x v="27"/>
    <x v="43"/>
    <s v="Total Electric Power Industry"/>
    <x v="8"/>
    <n v="668607"/>
  </r>
  <r>
    <x v="27"/>
    <x v="43"/>
    <s v="Total Electric Power Industry"/>
    <x v="5"/>
    <n v="67060997"/>
  </r>
  <r>
    <x v="27"/>
    <x v="43"/>
    <s v="Total Electric Power Industry"/>
    <x v="6"/>
    <n v="908357"/>
  </r>
  <r>
    <x v="27"/>
    <x v="43"/>
    <s v="Combined Heat and Power, Industrial Power"/>
    <x v="0"/>
    <n v="41984520"/>
  </r>
  <r>
    <x v="27"/>
    <x v="43"/>
    <s v="Combined Heat and Power, Industrial Power"/>
    <x v="3"/>
    <n v="39485276"/>
  </r>
  <r>
    <x v="27"/>
    <x v="43"/>
    <s v="Combined Heat and Power, Industrial Power"/>
    <x v="9"/>
    <n v="990011"/>
  </r>
  <r>
    <x v="27"/>
    <x v="43"/>
    <s v="Combined Heat and Power, Industrial Power"/>
    <x v="12"/>
    <n v="468883"/>
  </r>
  <r>
    <x v="27"/>
    <x v="43"/>
    <s v="Combined Heat and Power, Industrial Power"/>
    <x v="4"/>
    <n v="91324"/>
  </r>
  <r>
    <x v="27"/>
    <x v="43"/>
    <s v="Combined Heat and Power, Industrial Power"/>
    <x v="8"/>
    <n v="112628"/>
  </r>
  <r>
    <x v="27"/>
    <x v="43"/>
    <s v="Combined Heat and Power, Industrial Power"/>
    <x v="5"/>
    <n v="10942"/>
  </r>
  <r>
    <x v="27"/>
    <x v="43"/>
    <s v="Combined Heat and Power, Industrial Power"/>
    <x v="6"/>
    <n v="825456"/>
  </r>
  <r>
    <x v="27"/>
    <x v="43"/>
    <s v="Combined Heat and Power, Commercial Power"/>
    <x v="0"/>
    <n v="726896"/>
  </r>
  <r>
    <x v="27"/>
    <x v="43"/>
    <s v="Combined Heat and Power, Commercial Power"/>
    <x v="2"/>
    <n v="1588"/>
  </r>
  <r>
    <x v="27"/>
    <x v="43"/>
    <s v="Combined Heat and Power, Commercial Power"/>
    <x v="3"/>
    <n v="647949"/>
  </r>
  <r>
    <x v="27"/>
    <x v="43"/>
    <s v="Combined Heat and Power, Commercial Power"/>
    <x v="4"/>
    <n v="586"/>
  </r>
  <r>
    <x v="27"/>
    <x v="43"/>
    <s v="Combined Heat and Power, Commercial Power"/>
    <x v="13"/>
    <n v="1860"/>
  </r>
  <r>
    <x v="27"/>
    <x v="43"/>
    <s v="Combined Heat and Power, Commercial Power"/>
    <x v="8"/>
    <n v="32953"/>
  </r>
  <r>
    <x v="27"/>
    <x v="43"/>
    <s v="Combined Heat and Power, Commercial Power"/>
    <x v="5"/>
    <n v="41960"/>
  </r>
  <r>
    <x v="27"/>
    <x v="43"/>
    <s v="Combined Heat and Power, Electric Power"/>
    <x v="0"/>
    <n v="39522952"/>
  </r>
  <r>
    <x v="27"/>
    <x v="43"/>
    <s v="Combined Heat and Power, Electric Power"/>
    <x v="3"/>
    <n v="37977091"/>
  </r>
  <r>
    <x v="27"/>
    <x v="43"/>
    <s v="Combined Heat and Power, Electric Power"/>
    <x v="9"/>
    <n v="1481956"/>
  </r>
  <r>
    <x v="27"/>
    <x v="43"/>
    <s v="Combined Heat and Power, Electric Power"/>
    <x v="12"/>
    <n v="63906"/>
  </r>
  <r>
    <x v="27"/>
    <x v="43"/>
    <s v="Electric Generators, Independent Power Producers"/>
    <x v="0"/>
    <n v="289478335"/>
  </r>
  <r>
    <x v="27"/>
    <x v="43"/>
    <s v="Electric Generators, Independent Power Producers"/>
    <x v="1"/>
    <n v="88320529"/>
  </r>
  <r>
    <x v="27"/>
    <x v="43"/>
    <s v="Electric Generators, Independent Power Producers"/>
    <x v="2"/>
    <n v="32753"/>
  </r>
  <r>
    <x v="27"/>
    <x v="43"/>
    <s v="Electric Generators, Independent Power Producers"/>
    <x v="3"/>
    <n v="92921413"/>
  </r>
  <r>
    <x v="27"/>
    <x v="43"/>
    <s v="Electric Generators, Independent Power Producers"/>
    <x v="7"/>
    <n v="38581401"/>
  </r>
  <r>
    <x v="27"/>
    <x v="43"/>
    <s v="Electric Generators, Independent Power Producers"/>
    <x v="12"/>
    <n v="-4940"/>
  </r>
  <r>
    <x v="27"/>
    <x v="43"/>
    <s v="Electric Generators, Independent Power Producers"/>
    <x v="4"/>
    <n v="32517"/>
  </r>
  <r>
    <x v="27"/>
    <x v="43"/>
    <s v="Electric Generators, Independent Power Producers"/>
    <x v="13"/>
    <n v="2182416"/>
  </r>
  <r>
    <x v="27"/>
    <x v="43"/>
    <s v="Electric Generators, Independent Power Producers"/>
    <x v="8"/>
    <n v="523026"/>
  </r>
  <r>
    <x v="27"/>
    <x v="43"/>
    <s v="Electric Generators, Independent Power Producers"/>
    <x v="5"/>
    <n v="66806320"/>
  </r>
  <r>
    <x v="27"/>
    <x v="43"/>
    <s v="Electric Generators, Independent Power Producers"/>
    <x v="6"/>
    <n v="82901"/>
  </r>
  <r>
    <x v="27"/>
    <x v="43"/>
    <s v="Electric Generators, Electric Utilities"/>
    <x v="0"/>
    <n v="81081662"/>
  </r>
  <r>
    <x v="27"/>
    <x v="43"/>
    <s v="Electric Generators, Electric Utilities"/>
    <x v="1"/>
    <n v="46327829"/>
  </r>
  <r>
    <x v="27"/>
    <x v="43"/>
    <s v="Electric Generators, Electric Utilities"/>
    <x v="2"/>
    <n v="1027656"/>
  </r>
  <r>
    <x v="27"/>
    <x v="43"/>
    <s v="Electric Generators, Electric Utilities"/>
    <x v="3"/>
    <n v="33480267"/>
  </r>
  <r>
    <x v="27"/>
    <x v="43"/>
    <s v="Electric Generators, Electric Utilities"/>
    <x v="12"/>
    <n v="0"/>
  </r>
  <r>
    <x v="27"/>
    <x v="43"/>
    <s v="Electric Generators, Electric Utilities"/>
    <x v="4"/>
    <n v="39284"/>
  </r>
  <r>
    <x v="27"/>
    <x v="43"/>
    <s v="Electric Generators, Electric Utilities"/>
    <x v="13"/>
    <n v="4851"/>
  </r>
  <r>
    <x v="27"/>
    <x v="43"/>
    <s v="Electric Generators, Electric Utilities"/>
    <x v="5"/>
    <n v="201775"/>
  </r>
  <r>
    <x v="27"/>
    <x v="43"/>
    <s v="Electric Generators, Electric Utilities"/>
    <x v="6"/>
    <n v="0"/>
  </r>
  <r>
    <x v="27"/>
    <x v="44"/>
    <s v="Total Electric Power Industry"/>
    <x v="0"/>
    <n v="4034270559"/>
  </r>
  <r>
    <x v="27"/>
    <x v="44"/>
    <s v="Total Electric Power Industry"/>
    <x v="1"/>
    <n v="1205835276"/>
  </r>
  <r>
    <x v="27"/>
    <x v="44"/>
    <s v="Total Electric Power Industry"/>
    <x v="11"/>
    <n v="15926774"/>
  </r>
  <r>
    <x v="27"/>
    <x v="44"/>
    <s v="Total Electric Power Industry"/>
    <x v="10"/>
    <n v="-6494548"/>
  </r>
  <r>
    <x v="27"/>
    <x v="44"/>
    <s v="Total Electric Power Industry"/>
    <x v="2"/>
    <n v="300332930"/>
  </r>
  <r>
    <x v="27"/>
    <x v="44"/>
    <s v="Total Electric Power Industry"/>
    <x v="3"/>
    <n v="1296442491"/>
  </r>
  <r>
    <x v="27"/>
    <x v="44"/>
    <s v="Total Electric Power Industry"/>
    <x v="7"/>
    <n v="804949635"/>
  </r>
  <r>
    <x v="27"/>
    <x v="44"/>
    <s v="Total Electric Power Industry"/>
    <x v="9"/>
    <n v="12468967"/>
  </r>
  <r>
    <x v="27"/>
    <x v="44"/>
    <s v="Total Electric Power Industry"/>
    <x v="12"/>
    <n v="13096117"/>
  </r>
  <r>
    <x v="27"/>
    <x v="44"/>
    <s v="Total Electric Power Industry"/>
    <x v="4"/>
    <n v="21389945"/>
  </r>
  <r>
    <x v="27"/>
    <x v="44"/>
    <s v="Total Electric Power Industry"/>
    <x v="13"/>
    <n v="53286865"/>
  </r>
  <r>
    <x v="27"/>
    <x v="44"/>
    <s v="Total Electric Power Industry"/>
    <x v="8"/>
    <n v="21609894"/>
  </r>
  <r>
    <x v="27"/>
    <x v="44"/>
    <s v="Total Electric Power Industry"/>
    <x v="5"/>
    <n v="254302695"/>
  </r>
  <r>
    <x v="27"/>
    <x v="44"/>
    <s v="Total Electric Power Industry"/>
    <x v="6"/>
    <n v="41123518"/>
  </r>
  <r>
    <x v="27"/>
    <x v="44"/>
    <s v="Combined Heat and Power, Industrial Power"/>
    <x v="0"/>
    <n v="143758076"/>
  </r>
  <r>
    <x v="27"/>
    <x v="44"/>
    <s v="Combined Heat and Power, Industrial Power"/>
    <x v="1"/>
    <n v="7668728"/>
  </r>
  <r>
    <x v="27"/>
    <x v="44"/>
    <s v="Combined Heat and Power, Industrial Power"/>
    <x v="2"/>
    <n v="1382379"/>
  </r>
  <r>
    <x v="27"/>
    <x v="44"/>
    <s v="Combined Heat and Power, Industrial Power"/>
    <x v="3"/>
    <n v="91647457"/>
  </r>
  <r>
    <x v="27"/>
    <x v="44"/>
    <s v="Combined Heat and Power, Industrial Power"/>
    <x v="9"/>
    <n v="8342529"/>
  </r>
  <r>
    <x v="27"/>
    <x v="44"/>
    <s v="Combined Heat and Power, Industrial Power"/>
    <x v="12"/>
    <n v="4928393"/>
  </r>
  <r>
    <x v="27"/>
    <x v="44"/>
    <s v="Combined Heat and Power, Industrial Power"/>
    <x v="4"/>
    <n v="1238728"/>
  </r>
  <r>
    <x v="27"/>
    <x v="44"/>
    <s v="Combined Heat and Power, Industrial Power"/>
    <x v="13"/>
    <n v="42061"/>
  </r>
  <r>
    <x v="27"/>
    <x v="44"/>
    <s v="Combined Heat and Power, Industrial Power"/>
    <x v="8"/>
    <n v="1011578"/>
  </r>
  <r>
    <x v="27"/>
    <x v="44"/>
    <s v="Combined Heat and Power, Industrial Power"/>
    <x v="5"/>
    <n v="84446"/>
  </r>
  <r>
    <x v="27"/>
    <x v="44"/>
    <s v="Combined Heat and Power, Industrial Power"/>
    <x v="6"/>
    <n v="27411777"/>
  </r>
  <r>
    <x v="27"/>
    <x v="44"/>
    <s v="Combined Heat and Power, Commercial Power"/>
    <x v="0"/>
    <n v="13059753"/>
  </r>
  <r>
    <x v="27"/>
    <x v="44"/>
    <s v="Combined Heat and Power, Commercial Power"/>
    <x v="1"/>
    <n v="328617"/>
  </r>
  <r>
    <x v="27"/>
    <x v="44"/>
    <s v="Combined Heat and Power, Commercial Power"/>
    <x v="10"/>
    <n v="0"/>
  </r>
  <r>
    <x v="27"/>
    <x v="44"/>
    <s v="Combined Heat and Power, Commercial Power"/>
    <x v="2"/>
    <n v="239640"/>
  </r>
  <r>
    <x v="27"/>
    <x v="44"/>
    <s v="Combined Heat and Power, Commercial Power"/>
    <x v="3"/>
    <n v="8041538"/>
  </r>
  <r>
    <x v="27"/>
    <x v="44"/>
    <s v="Combined Heat and Power, Commercial Power"/>
    <x v="12"/>
    <n v="1087596"/>
  </r>
  <r>
    <x v="27"/>
    <x v="44"/>
    <s v="Combined Heat and Power, Commercial Power"/>
    <x v="4"/>
    <n v="111829"/>
  </r>
  <r>
    <x v="27"/>
    <x v="44"/>
    <s v="Combined Heat and Power, Commercial Power"/>
    <x v="13"/>
    <n v="521264"/>
  </r>
  <r>
    <x v="27"/>
    <x v="44"/>
    <s v="Combined Heat and Power, Commercial Power"/>
    <x v="8"/>
    <n v="2514594"/>
  </r>
  <r>
    <x v="27"/>
    <x v="44"/>
    <s v="Combined Heat and Power, Commercial Power"/>
    <x v="5"/>
    <n v="144226"/>
  </r>
  <r>
    <x v="27"/>
    <x v="44"/>
    <s v="Combined Heat and Power, Commercial Power"/>
    <x v="6"/>
    <n v="70450"/>
  </r>
  <r>
    <x v="27"/>
    <x v="44"/>
    <s v="Combined Heat and Power, Electric Power"/>
    <x v="0"/>
    <n v="138583503"/>
  </r>
  <r>
    <x v="27"/>
    <x v="44"/>
    <s v="Combined Heat and Power, Electric Power"/>
    <x v="1"/>
    <n v="12577888"/>
  </r>
  <r>
    <x v="27"/>
    <x v="44"/>
    <s v="Combined Heat and Power, Electric Power"/>
    <x v="3"/>
    <n v="115935190"/>
  </r>
  <r>
    <x v="27"/>
    <x v="44"/>
    <s v="Combined Heat and Power, Electric Power"/>
    <x v="9"/>
    <n v="3977878"/>
  </r>
  <r>
    <x v="27"/>
    <x v="44"/>
    <s v="Combined Heat and Power, Electric Power"/>
    <x v="12"/>
    <n v="855143"/>
  </r>
  <r>
    <x v="27"/>
    <x v="44"/>
    <s v="Combined Heat and Power, Electric Power"/>
    <x v="4"/>
    <n v="1904215"/>
  </r>
  <r>
    <x v="27"/>
    <x v="44"/>
    <s v="Combined Heat and Power, Electric Power"/>
    <x v="13"/>
    <n v="4900"/>
  </r>
  <r>
    <x v="27"/>
    <x v="44"/>
    <s v="Combined Heat and Power, Electric Power"/>
    <x v="8"/>
    <n v="1121603"/>
  </r>
  <r>
    <x v="27"/>
    <x v="44"/>
    <s v="Combined Heat and Power, Electric Power"/>
    <x v="6"/>
    <n v="2206687"/>
  </r>
  <r>
    <x v="27"/>
    <x v="44"/>
    <s v="Electric Generators, Independent Power Producers"/>
    <x v="0"/>
    <n v="1464590256"/>
  </r>
  <r>
    <x v="27"/>
    <x v="44"/>
    <s v="Electric Generators, Independent Power Producers"/>
    <x v="1"/>
    <n v="291620578"/>
  </r>
  <r>
    <x v="27"/>
    <x v="44"/>
    <s v="Electric Generators, Independent Power Producers"/>
    <x v="11"/>
    <n v="14905231"/>
  </r>
  <r>
    <x v="27"/>
    <x v="44"/>
    <s v="Electric Generators, Independent Power Producers"/>
    <x v="10"/>
    <n v="-1046509"/>
  </r>
  <r>
    <x v="27"/>
    <x v="44"/>
    <s v="Electric Generators, Independent Power Producers"/>
    <x v="2"/>
    <n v="23034013"/>
  </r>
  <r>
    <x v="27"/>
    <x v="44"/>
    <s v="Electric Generators, Independent Power Producers"/>
    <x v="3"/>
    <n v="456983921"/>
  </r>
  <r>
    <x v="27"/>
    <x v="44"/>
    <s v="Electric Generators, Independent Power Producers"/>
    <x v="7"/>
    <n v="380464738"/>
  </r>
  <r>
    <x v="27"/>
    <x v="44"/>
    <s v="Electric Generators, Independent Power Producers"/>
    <x v="9"/>
    <n v="0"/>
  </r>
  <r>
    <x v="27"/>
    <x v="44"/>
    <s v="Electric Generators, Independent Power Producers"/>
    <x v="12"/>
    <n v="5671801"/>
  </r>
  <r>
    <x v="27"/>
    <x v="44"/>
    <s v="Electric Generators, Independent Power Producers"/>
    <x v="4"/>
    <n v="2856583"/>
  </r>
  <r>
    <x v="27"/>
    <x v="44"/>
    <s v="Electric Generators, Independent Power Producers"/>
    <x v="13"/>
    <n v="49371006"/>
  </r>
  <r>
    <x v="27"/>
    <x v="44"/>
    <s v="Electric Generators, Independent Power Producers"/>
    <x v="8"/>
    <n v="15514217"/>
  </r>
  <r>
    <x v="27"/>
    <x v="44"/>
    <s v="Electric Generators, Independent Power Producers"/>
    <x v="5"/>
    <n v="217005852"/>
  </r>
  <r>
    <x v="27"/>
    <x v="44"/>
    <s v="Electric Generators, Independent Power Producers"/>
    <x v="6"/>
    <n v="8208823"/>
  </r>
  <r>
    <x v="27"/>
    <x v="44"/>
    <s v="Electric Generators, Electric Utilities"/>
    <x v="0"/>
    <n v="2274278970"/>
  </r>
  <r>
    <x v="27"/>
    <x v="44"/>
    <s v="Electric Generators, Electric Utilities"/>
    <x v="1"/>
    <n v="893639465"/>
  </r>
  <r>
    <x v="27"/>
    <x v="44"/>
    <s v="Electric Generators, Electric Utilities"/>
    <x v="11"/>
    <n v="1021543"/>
  </r>
  <r>
    <x v="27"/>
    <x v="44"/>
    <s v="Electric Generators, Electric Utilities"/>
    <x v="10"/>
    <n v="-5448039"/>
  </r>
  <r>
    <x v="27"/>
    <x v="44"/>
    <s v="Electric Generators, Electric Utilities"/>
    <x v="2"/>
    <n v="275676897"/>
  </r>
  <r>
    <x v="27"/>
    <x v="44"/>
    <s v="Electric Generators, Electric Utilities"/>
    <x v="3"/>
    <n v="623834385"/>
  </r>
  <r>
    <x v="27"/>
    <x v="44"/>
    <s v="Electric Generators, Electric Utilities"/>
    <x v="7"/>
    <n v="424484897"/>
  </r>
  <r>
    <x v="27"/>
    <x v="44"/>
    <s v="Electric Generators, Electric Utilities"/>
    <x v="9"/>
    <n v="148559"/>
  </r>
  <r>
    <x v="27"/>
    <x v="44"/>
    <s v="Electric Generators, Electric Utilities"/>
    <x v="12"/>
    <n v="553184"/>
  </r>
  <r>
    <x v="27"/>
    <x v="44"/>
    <s v="Electric Generators, Electric Utilities"/>
    <x v="4"/>
    <n v="15278590"/>
  </r>
  <r>
    <x v="27"/>
    <x v="44"/>
    <s v="Electric Generators, Electric Utilities"/>
    <x v="13"/>
    <n v="3347634"/>
  </r>
  <r>
    <x v="27"/>
    <x v="44"/>
    <s v="Electric Generators, Electric Utilities"/>
    <x v="8"/>
    <n v="1447903"/>
  </r>
  <r>
    <x v="27"/>
    <x v="44"/>
    <s v="Electric Generators, Electric Utilities"/>
    <x v="5"/>
    <n v="37068171"/>
  </r>
  <r>
    <x v="27"/>
    <x v="44"/>
    <s v="Electric Generators, Electric Utilities"/>
    <x v="6"/>
    <n v="3225782"/>
  </r>
  <r>
    <x v="27"/>
    <x v="45"/>
    <s v="Total Electric Power Industry"/>
    <x v="0"/>
    <n v="37411876"/>
  </r>
  <r>
    <x v="27"/>
    <x v="45"/>
    <s v="Total Electric Power Industry"/>
    <x v="1"/>
    <n v="26389567"/>
  </r>
  <r>
    <x v="27"/>
    <x v="45"/>
    <s v="Total Electric Power Industry"/>
    <x v="11"/>
    <n v="480928"/>
  </r>
  <r>
    <x v="27"/>
    <x v="45"/>
    <s v="Total Electric Power Industry"/>
    <x v="2"/>
    <n v="1293715"/>
  </r>
  <r>
    <x v="27"/>
    <x v="45"/>
    <s v="Total Electric Power Industry"/>
    <x v="3"/>
    <n v="5870852"/>
  </r>
  <r>
    <x v="27"/>
    <x v="45"/>
    <s v="Total Electric Power Industry"/>
    <x v="9"/>
    <n v="16409"/>
  </r>
  <r>
    <x v="27"/>
    <x v="45"/>
    <s v="Total Electric Power Industry"/>
    <x v="12"/>
    <n v="174966"/>
  </r>
  <r>
    <x v="27"/>
    <x v="45"/>
    <s v="Total Electric Power Industry"/>
    <x v="4"/>
    <n v="38413"/>
  </r>
  <r>
    <x v="27"/>
    <x v="45"/>
    <s v="Total Electric Power Industry"/>
    <x v="13"/>
    <n v="2211105"/>
  </r>
  <r>
    <x v="27"/>
    <x v="45"/>
    <s v="Total Electric Power Industry"/>
    <x v="8"/>
    <n v="77669"/>
  </r>
  <r>
    <x v="27"/>
    <x v="45"/>
    <s v="Total Electric Power Industry"/>
    <x v="5"/>
    <n v="858252"/>
  </r>
  <r>
    <x v="27"/>
    <x v="45"/>
    <s v="Combined Heat and Power, Industrial Power"/>
    <x v="0"/>
    <n v="842639"/>
  </r>
  <r>
    <x v="27"/>
    <x v="45"/>
    <s v="Combined Heat and Power, Industrial Power"/>
    <x v="1"/>
    <n v="216968"/>
  </r>
  <r>
    <x v="27"/>
    <x v="45"/>
    <s v="Combined Heat and Power, Industrial Power"/>
    <x v="3"/>
    <n v="487612"/>
  </r>
  <r>
    <x v="27"/>
    <x v="45"/>
    <s v="Combined Heat and Power, Industrial Power"/>
    <x v="9"/>
    <n v="16409"/>
  </r>
  <r>
    <x v="27"/>
    <x v="45"/>
    <s v="Combined Heat and Power, Industrial Power"/>
    <x v="12"/>
    <n v="121650"/>
  </r>
  <r>
    <x v="27"/>
    <x v="45"/>
    <s v="Combined Heat and Power, Industrial Power"/>
    <x v="4"/>
    <n v="0"/>
  </r>
  <r>
    <x v="27"/>
    <x v="45"/>
    <s v="Combined Heat and Power, Commercial Power"/>
    <x v="0"/>
    <n v="83510"/>
  </r>
  <r>
    <x v="27"/>
    <x v="45"/>
    <s v="Combined Heat and Power, Commercial Power"/>
    <x v="3"/>
    <n v="73447"/>
  </r>
  <r>
    <x v="27"/>
    <x v="45"/>
    <s v="Combined Heat and Power, Commercial Power"/>
    <x v="4"/>
    <n v="107"/>
  </r>
  <r>
    <x v="27"/>
    <x v="45"/>
    <s v="Combined Heat and Power, Commercial Power"/>
    <x v="8"/>
    <n v="9956"/>
  </r>
  <r>
    <x v="27"/>
    <x v="45"/>
    <s v="Combined Heat and Power, Electric Power"/>
    <x v="0"/>
    <n v="826"/>
  </r>
  <r>
    <x v="27"/>
    <x v="45"/>
    <s v="Combined Heat and Power, Electric Power"/>
    <x v="3"/>
    <n v="12"/>
  </r>
  <r>
    <x v="27"/>
    <x v="45"/>
    <s v="Combined Heat and Power, Electric Power"/>
    <x v="12"/>
    <n v="399"/>
  </r>
  <r>
    <x v="27"/>
    <x v="45"/>
    <s v="Combined Heat and Power, Electric Power"/>
    <x v="4"/>
    <n v="0"/>
  </r>
  <r>
    <x v="27"/>
    <x v="45"/>
    <s v="Combined Heat and Power, Electric Power"/>
    <x v="8"/>
    <n v="415"/>
  </r>
  <r>
    <x v="27"/>
    <x v="45"/>
    <s v="Electric Generators, Independent Power Producers"/>
    <x v="0"/>
    <n v="3870730"/>
  </r>
  <r>
    <x v="27"/>
    <x v="45"/>
    <s v="Electric Generators, Independent Power Producers"/>
    <x v="1"/>
    <n v="413269"/>
  </r>
  <r>
    <x v="27"/>
    <x v="45"/>
    <s v="Electric Generators, Independent Power Producers"/>
    <x v="11"/>
    <n v="231895"/>
  </r>
  <r>
    <x v="27"/>
    <x v="45"/>
    <s v="Electric Generators, Independent Power Producers"/>
    <x v="2"/>
    <n v="11178"/>
  </r>
  <r>
    <x v="27"/>
    <x v="45"/>
    <s v="Electric Generators, Independent Power Producers"/>
    <x v="3"/>
    <n v="76631"/>
  </r>
  <r>
    <x v="27"/>
    <x v="45"/>
    <s v="Electric Generators, Independent Power Producers"/>
    <x v="4"/>
    <n v="1102"/>
  </r>
  <r>
    <x v="27"/>
    <x v="45"/>
    <s v="Electric Generators, Independent Power Producers"/>
    <x v="13"/>
    <n v="2211105"/>
  </r>
  <r>
    <x v="27"/>
    <x v="45"/>
    <s v="Electric Generators, Independent Power Producers"/>
    <x v="8"/>
    <n v="67298"/>
  </r>
  <r>
    <x v="27"/>
    <x v="45"/>
    <s v="Electric Generators, Independent Power Producers"/>
    <x v="5"/>
    <n v="858252"/>
  </r>
  <r>
    <x v="27"/>
    <x v="45"/>
    <s v="Electric Generators, Electric Utilities"/>
    <x v="0"/>
    <n v="32614171"/>
  </r>
  <r>
    <x v="27"/>
    <x v="45"/>
    <s v="Electric Generators, Electric Utilities"/>
    <x v="1"/>
    <n v="25759330"/>
  </r>
  <r>
    <x v="27"/>
    <x v="45"/>
    <s v="Electric Generators, Electric Utilities"/>
    <x v="11"/>
    <n v="249033"/>
  </r>
  <r>
    <x v="27"/>
    <x v="45"/>
    <s v="Electric Generators, Electric Utilities"/>
    <x v="2"/>
    <n v="1282537"/>
  </r>
  <r>
    <x v="27"/>
    <x v="45"/>
    <s v="Electric Generators, Electric Utilities"/>
    <x v="3"/>
    <n v="5233150"/>
  </r>
  <r>
    <x v="27"/>
    <x v="45"/>
    <s v="Electric Generators, Electric Utilities"/>
    <x v="12"/>
    <n v="52917"/>
  </r>
  <r>
    <x v="27"/>
    <x v="45"/>
    <s v="Electric Generators, Electric Utilities"/>
    <x v="4"/>
    <n v="37204"/>
  </r>
  <r>
    <x v="27"/>
    <x v="46"/>
    <s v="Total Electric Power Industry"/>
    <x v="0"/>
    <n v="90417149"/>
  </r>
  <r>
    <x v="27"/>
    <x v="46"/>
    <s v="Total Electric Power Industry"/>
    <x v="1"/>
    <n v="10726422"/>
  </r>
  <r>
    <x v="27"/>
    <x v="46"/>
    <s v="Total Electric Power Industry"/>
    <x v="10"/>
    <n v="-1277795"/>
  </r>
  <r>
    <x v="27"/>
    <x v="46"/>
    <s v="Total Electric Power Industry"/>
    <x v="2"/>
    <n v="1116355"/>
  </r>
  <r>
    <x v="27"/>
    <x v="46"/>
    <s v="Total Electric Power Industry"/>
    <x v="3"/>
    <n v="44506885"/>
  </r>
  <r>
    <x v="27"/>
    <x v="46"/>
    <s v="Total Electric Power Industry"/>
    <x v="7"/>
    <n v="30553734"/>
  </r>
  <r>
    <x v="27"/>
    <x v="46"/>
    <s v="Total Electric Power Industry"/>
    <x v="12"/>
    <n v="213322"/>
  </r>
  <r>
    <x v="27"/>
    <x v="46"/>
    <s v="Total Electric Power Industry"/>
    <x v="4"/>
    <n v="456125"/>
  </r>
  <r>
    <x v="27"/>
    <x v="46"/>
    <s v="Total Electric Power Industry"/>
    <x v="13"/>
    <n v="313221"/>
  </r>
  <r>
    <x v="27"/>
    <x v="46"/>
    <s v="Total Electric Power Industry"/>
    <x v="8"/>
    <n v="907404"/>
  </r>
  <r>
    <x v="27"/>
    <x v="46"/>
    <s v="Total Electric Power Industry"/>
    <x v="6"/>
    <n v="2901475"/>
  </r>
  <r>
    <x v="27"/>
    <x v="46"/>
    <s v="Combined Heat and Power, Industrial Power"/>
    <x v="0"/>
    <n v="2406718"/>
  </r>
  <r>
    <x v="27"/>
    <x v="46"/>
    <s v="Combined Heat and Power, Industrial Power"/>
    <x v="1"/>
    <n v="192465"/>
  </r>
  <r>
    <x v="27"/>
    <x v="46"/>
    <s v="Combined Heat and Power, Industrial Power"/>
    <x v="2"/>
    <n v="199"/>
  </r>
  <r>
    <x v="27"/>
    <x v="46"/>
    <s v="Combined Heat and Power, Industrial Power"/>
    <x v="3"/>
    <n v="679614"/>
  </r>
  <r>
    <x v="27"/>
    <x v="46"/>
    <s v="Combined Heat and Power, Industrial Power"/>
    <x v="4"/>
    <n v="3471"/>
  </r>
  <r>
    <x v="27"/>
    <x v="46"/>
    <s v="Combined Heat and Power, Industrial Power"/>
    <x v="8"/>
    <n v="19289"/>
  </r>
  <r>
    <x v="27"/>
    <x v="46"/>
    <s v="Combined Heat and Power, Industrial Power"/>
    <x v="6"/>
    <n v="1511681"/>
  </r>
  <r>
    <x v="27"/>
    <x v="46"/>
    <s v="Combined Heat and Power, Commercial Power"/>
    <x v="0"/>
    <n v="439456"/>
  </r>
  <r>
    <x v="27"/>
    <x v="46"/>
    <s v="Combined Heat and Power, Commercial Power"/>
    <x v="1"/>
    <n v="10860"/>
  </r>
  <r>
    <x v="27"/>
    <x v="46"/>
    <s v="Combined Heat and Power, Commercial Power"/>
    <x v="3"/>
    <n v="10077"/>
  </r>
  <r>
    <x v="27"/>
    <x v="46"/>
    <s v="Combined Heat and Power, Commercial Power"/>
    <x v="12"/>
    <n v="185538"/>
  </r>
  <r>
    <x v="27"/>
    <x v="46"/>
    <s v="Combined Heat and Power, Commercial Power"/>
    <x v="4"/>
    <n v="28428"/>
  </r>
  <r>
    <x v="27"/>
    <x v="46"/>
    <s v="Combined Heat and Power, Commercial Power"/>
    <x v="8"/>
    <n v="204552"/>
  </r>
  <r>
    <x v="27"/>
    <x v="46"/>
    <s v="Combined Heat and Power, Commercial Power"/>
    <x v="6"/>
    <n v="0"/>
  </r>
  <r>
    <x v="27"/>
    <x v="46"/>
    <s v="Combined Heat and Power, Electric Power"/>
    <x v="0"/>
    <n v="1223999"/>
  </r>
  <r>
    <x v="27"/>
    <x v="46"/>
    <s v="Combined Heat and Power, Electric Power"/>
    <x v="1"/>
    <n v="118865"/>
  </r>
  <r>
    <x v="27"/>
    <x v="46"/>
    <s v="Combined Heat and Power, Electric Power"/>
    <x v="3"/>
    <n v="1104946"/>
  </r>
  <r>
    <x v="27"/>
    <x v="46"/>
    <s v="Combined Heat and Power, Electric Power"/>
    <x v="4"/>
    <n v="188"/>
  </r>
  <r>
    <x v="27"/>
    <x v="46"/>
    <s v="Electric Generators, Independent Power Producers"/>
    <x v="0"/>
    <n v="15395810"/>
  </r>
  <r>
    <x v="27"/>
    <x v="46"/>
    <s v="Electric Generators, Independent Power Producers"/>
    <x v="1"/>
    <n v="405488"/>
  </r>
  <r>
    <x v="27"/>
    <x v="46"/>
    <s v="Electric Generators, Independent Power Producers"/>
    <x v="2"/>
    <n v="59815"/>
  </r>
  <r>
    <x v="27"/>
    <x v="46"/>
    <s v="Electric Generators, Independent Power Producers"/>
    <x v="3"/>
    <n v="13690285"/>
  </r>
  <r>
    <x v="27"/>
    <x v="46"/>
    <s v="Electric Generators, Independent Power Producers"/>
    <x v="12"/>
    <n v="27784"/>
  </r>
  <r>
    <x v="27"/>
    <x v="46"/>
    <s v="Electric Generators, Independent Power Producers"/>
    <x v="4"/>
    <n v="115171"/>
  </r>
  <r>
    <x v="27"/>
    <x v="46"/>
    <s v="Electric Generators, Independent Power Producers"/>
    <x v="13"/>
    <n v="203992"/>
  </r>
  <r>
    <x v="27"/>
    <x v="46"/>
    <s v="Electric Generators, Independent Power Producers"/>
    <x v="8"/>
    <n v="679765"/>
  </r>
  <r>
    <x v="27"/>
    <x v="46"/>
    <s v="Electric Generators, Independent Power Producers"/>
    <x v="6"/>
    <n v="213511"/>
  </r>
  <r>
    <x v="27"/>
    <x v="46"/>
    <s v="Electric Generators, Electric Utilities"/>
    <x v="0"/>
    <n v="70951166"/>
  </r>
  <r>
    <x v="27"/>
    <x v="46"/>
    <s v="Electric Generators, Electric Utilities"/>
    <x v="1"/>
    <n v="9998745"/>
  </r>
  <r>
    <x v="27"/>
    <x v="46"/>
    <s v="Electric Generators, Electric Utilities"/>
    <x v="10"/>
    <n v="-1277795"/>
  </r>
  <r>
    <x v="27"/>
    <x v="46"/>
    <s v="Electric Generators, Electric Utilities"/>
    <x v="2"/>
    <n v="1056341"/>
  </r>
  <r>
    <x v="27"/>
    <x v="46"/>
    <s v="Electric Generators, Electric Utilities"/>
    <x v="3"/>
    <n v="29021964"/>
  </r>
  <r>
    <x v="27"/>
    <x v="46"/>
    <s v="Electric Generators, Electric Utilities"/>
    <x v="7"/>
    <n v="30553734"/>
  </r>
  <r>
    <x v="27"/>
    <x v="46"/>
    <s v="Electric Generators, Electric Utilities"/>
    <x v="4"/>
    <n v="308867"/>
  </r>
  <r>
    <x v="27"/>
    <x v="46"/>
    <s v="Electric Generators, Electric Utilities"/>
    <x v="13"/>
    <n v="109229"/>
  </r>
  <r>
    <x v="27"/>
    <x v="46"/>
    <s v="Electric Generators, Electric Utilities"/>
    <x v="8"/>
    <n v="3798"/>
  </r>
  <r>
    <x v="27"/>
    <x v="46"/>
    <s v="Electric Generators, Electric Utilities"/>
    <x v="6"/>
    <n v="1176283"/>
  </r>
  <r>
    <x v="27"/>
    <x v="47"/>
    <s v="Total Electric Power Industry"/>
    <x v="0"/>
    <n v="2141388"/>
  </r>
  <r>
    <x v="27"/>
    <x v="47"/>
    <s v="Total Electric Power Industry"/>
    <x v="2"/>
    <n v="1280368"/>
  </r>
  <r>
    <x v="27"/>
    <x v="47"/>
    <s v="Total Electric Power Industry"/>
    <x v="3"/>
    <n v="1807"/>
  </r>
  <r>
    <x v="27"/>
    <x v="47"/>
    <s v="Total Electric Power Industry"/>
    <x v="12"/>
    <n v="0"/>
  </r>
  <r>
    <x v="27"/>
    <x v="47"/>
    <s v="Total Electric Power Industry"/>
    <x v="4"/>
    <n v="7133"/>
  </r>
  <r>
    <x v="27"/>
    <x v="47"/>
    <s v="Total Electric Power Industry"/>
    <x v="13"/>
    <n v="98801"/>
  </r>
  <r>
    <x v="27"/>
    <x v="47"/>
    <s v="Total Electric Power Industry"/>
    <x v="8"/>
    <n v="11882"/>
  </r>
  <r>
    <x v="27"/>
    <x v="47"/>
    <s v="Total Electric Power Industry"/>
    <x v="5"/>
    <n v="305406"/>
  </r>
  <r>
    <x v="27"/>
    <x v="47"/>
    <s v="Total Electric Power Industry"/>
    <x v="6"/>
    <n v="435991"/>
  </r>
  <r>
    <x v="27"/>
    <x v="47"/>
    <s v="Combined Heat and Power, Commercial Power"/>
    <x v="0"/>
    <n v="3124"/>
  </r>
  <r>
    <x v="27"/>
    <x v="47"/>
    <s v="Combined Heat and Power, Commercial Power"/>
    <x v="3"/>
    <n v="904"/>
  </r>
  <r>
    <x v="27"/>
    <x v="47"/>
    <s v="Combined Heat and Power, Commercial Power"/>
    <x v="4"/>
    <n v="247"/>
  </r>
  <r>
    <x v="27"/>
    <x v="47"/>
    <s v="Combined Heat and Power, Commercial Power"/>
    <x v="6"/>
    <n v="1973"/>
  </r>
  <r>
    <x v="27"/>
    <x v="47"/>
    <s v="Electric Generators, Independent Power Producers"/>
    <x v="0"/>
    <n v="1209669"/>
  </r>
  <r>
    <x v="27"/>
    <x v="47"/>
    <s v="Electric Generators, Independent Power Producers"/>
    <x v="2"/>
    <n v="846738"/>
  </r>
  <r>
    <x v="27"/>
    <x v="47"/>
    <s v="Electric Generators, Independent Power Producers"/>
    <x v="13"/>
    <n v="58172"/>
  </r>
  <r>
    <x v="27"/>
    <x v="47"/>
    <s v="Electric Generators, Independent Power Producers"/>
    <x v="8"/>
    <n v="11882"/>
  </r>
  <r>
    <x v="27"/>
    <x v="47"/>
    <s v="Electric Generators, Independent Power Producers"/>
    <x v="5"/>
    <n v="126932"/>
  </r>
  <r>
    <x v="27"/>
    <x v="47"/>
    <s v="Electric Generators, Independent Power Producers"/>
    <x v="6"/>
    <n v="165945"/>
  </r>
  <r>
    <x v="27"/>
    <x v="47"/>
    <s v="Electric Generators, Electric Utilities"/>
    <x v="0"/>
    <n v="928595"/>
  </r>
  <r>
    <x v="27"/>
    <x v="47"/>
    <s v="Electric Generators, Electric Utilities"/>
    <x v="2"/>
    <n v="433630"/>
  </r>
  <r>
    <x v="27"/>
    <x v="47"/>
    <s v="Electric Generators, Electric Utilities"/>
    <x v="3"/>
    <n v="903"/>
  </r>
  <r>
    <x v="27"/>
    <x v="47"/>
    <s v="Electric Generators, Electric Utilities"/>
    <x v="12"/>
    <n v="0"/>
  </r>
  <r>
    <x v="27"/>
    <x v="47"/>
    <s v="Electric Generators, Electric Utilities"/>
    <x v="4"/>
    <n v="6886"/>
  </r>
  <r>
    <x v="27"/>
    <x v="47"/>
    <s v="Electric Generators, Electric Utilities"/>
    <x v="13"/>
    <n v="40629"/>
  </r>
  <r>
    <x v="27"/>
    <x v="47"/>
    <s v="Electric Generators, Electric Utilities"/>
    <x v="5"/>
    <n v="178474"/>
  </r>
  <r>
    <x v="27"/>
    <x v="47"/>
    <s v="Electric Generators, Electric Utilities"/>
    <x v="6"/>
    <n v="268073"/>
  </r>
  <r>
    <x v="27"/>
    <x v="48"/>
    <s v="Total Electric Power Industry"/>
    <x v="0"/>
    <n v="115912078"/>
  </r>
  <r>
    <x v="27"/>
    <x v="48"/>
    <s v="Total Electric Power Industry"/>
    <x v="1"/>
    <n v="5489504"/>
  </r>
  <r>
    <x v="27"/>
    <x v="48"/>
    <s v="Total Electric Power Industry"/>
    <x v="10"/>
    <n v="2995"/>
  </r>
  <r>
    <x v="27"/>
    <x v="48"/>
    <s v="Total Electric Power Industry"/>
    <x v="2"/>
    <n v="82182855"/>
  </r>
  <r>
    <x v="27"/>
    <x v="48"/>
    <s v="Total Electric Power Industry"/>
    <x v="3"/>
    <n v="10849269"/>
  </r>
  <r>
    <x v="27"/>
    <x v="48"/>
    <s v="Total Electric Power Industry"/>
    <x v="7"/>
    <n v="8128259"/>
  </r>
  <r>
    <x v="27"/>
    <x v="48"/>
    <s v="Total Electric Power Industry"/>
    <x v="9"/>
    <n v="355925"/>
  </r>
  <r>
    <x v="27"/>
    <x v="48"/>
    <s v="Total Electric Power Industry"/>
    <x v="12"/>
    <n v="55942"/>
  </r>
  <r>
    <x v="27"/>
    <x v="48"/>
    <s v="Total Electric Power Industry"/>
    <x v="4"/>
    <n v="23117"/>
  </r>
  <r>
    <x v="27"/>
    <x v="48"/>
    <s v="Total Electric Power Industry"/>
    <x v="13"/>
    <n v="481"/>
  </r>
  <r>
    <x v="27"/>
    <x v="48"/>
    <s v="Total Electric Power Industry"/>
    <x v="8"/>
    <n v="327973"/>
  </r>
  <r>
    <x v="27"/>
    <x v="48"/>
    <s v="Total Electric Power Industry"/>
    <x v="5"/>
    <n v="6925155"/>
  </r>
  <r>
    <x v="27"/>
    <x v="48"/>
    <s v="Total Electric Power Industry"/>
    <x v="6"/>
    <n v="1570604"/>
  </r>
  <r>
    <x v="27"/>
    <x v="48"/>
    <s v="Combined Heat and Power, Industrial Power"/>
    <x v="0"/>
    <n v="1427576"/>
  </r>
  <r>
    <x v="27"/>
    <x v="48"/>
    <s v="Combined Heat and Power, Industrial Power"/>
    <x v="1"/>
    <n v="26861"/>
  </r>
  <r>
    <x v="27"/>
    <x v="48"/>
    <s v="Combined Heat and Power, Industrial Power"/>
    <x v="3"/>
    <n v="99222"/>
  </r>
  <r>
    <x v="27"/>
    <x v="48"/>
    <s v="Combined Heat and Power, Industrial Power"/>
    <x v="4"/>
    <n v="9054"/>
  </r>
  <r>
    <x v="27"/>
    <x v="48"/>
    <s v="Combined Heat and Power, Industrial Power"/>
    <x v="8"/>
    <n v="11300"/>
  </r>
  <r>
    <x v="27"/>
    <x v="48"/>
    <s v="Combined Heat and Power, Industrial Power"/>
    <x v="6"/>
    <n v="1281139"/>
  </r>
  <r>
    <x v="27"/>
    <x v="48"/>
    <s v="Combined Heat and Power, Commercial Power"/>
    <x v="0"/>
    <n v="26936"/>
  </r>
  <r>
    <x v="27"/>
    <x v="48"/>
    <s v="Combined Heat and Power, Commercial Power"/>
    <x v="3"/>
    <n v="17175"/>
  </r>
  <r>
    <x v="27"/>
    <x v="48"/>
    <s v="Combined Heat and Power, Commercial Power"/>
    <x v="4"/>
    <n v="231"/>
  </r>
  <r>
    <x v="27"/>
    <x v="48"/>
    <s v="Combined Heat and Power, Commercial Power"/>
    <x v="8"/>
    <n v="9530"/>
  </r>
  <r>
    <x v="27"/>
    <x v="48"/>
    <s v="Combined Heat and Power, Electric Power"/>
    <x v="0"/>
    <n v="940599"/>
  </r>
  <r>
    <x v="27"/>
    <x v="48"/>
    <s v="Combined Heat and Power, Electric Power"/>
    <x v="3"/>
    <n v="584674"/>
  </r>
  <r>
    <x v="27"/>
    <x v="48"/>
    <s v="Combined Heat and Power, Electric Power"/>
    <x v="9"/>
    <n v="355925"/>
  </r>
  <r>
    <x v="27"/>
    <x v="48"/>
    <s v="Combined Heat and Power, Electric Power"/>
    <x v="4"/>
    <n v="0"/>
  </r>
  <r>
    <x v="27"/>
    <x v="48"/>
    <s v="Electric Generators, Independent Power Producers"/>
    <x v="0"/>
    <n v="13034613"/>
  </r>
  <r>
    <x v="27"/>
    <x v="48"/>
    <s v="Electric Generators, Independent Power Producers"/>
    <x v="1"/>
    <n v="5462643"/>
  </r>
  <r>
    <x v="27"/>
    <x v="48"/>
    <s v="Electric Generators, Independent Power Producers"/>
    <x v="2"/>
    <n v="395695"/>
  </r>
  <r>
    <x v="27"/>
    <x v="48"/>
    <s v="Electric Generators, Independent Power Producers"/>
    <x v="3"/>
    <n v="3765692"/>
  </r>
  <r>
    <x v="27"/>
    <x v="48"/>
    <s v="Electric Generators, Independent Power Producers"/>
    <x v="12"/>
    <n v="56779"/>
  </r>
  <r>
    <x v="27"/>
    <x v="48"/>
    <s v="Electric Generators, Independent Power Producers"/>
    <x v="4"/>
    <n v="11228"/>
  </r>
  <r>
    <x v="27"/>
    <x v="48"/>
    <s v="Electric Generators, Independent Power Producers"/>
    <x v="8"/>
    <n v="121563"/>
  </r>
  <r>
    <x v="27"/>
    <x v="48"/>
    <s v="Electric Generators, Independent Power Producers"/>
    <x v="5"/>
    <n v="3221013"/>
  </r>
  <r>
    <x v="27"/>
    <x v="48"/>
    <s v="Electric Generators, Electric Utilities"/>
    <x v="0"/>
    <n v="100482354"/>
  </r>
  <r>
    <x v="27"/>
    <x v="48"/>
    <s v="Electric Generators, Electric Utilities"/>
    <x v="10"/>
    <n v="2995"/>
  </r>
  <r>
    <x v="27"/>
    <x v="48"/>
    <s v="Electric Generators, Electric Utilities"/>
    <x v="2"/>
    <n v="81787160"/>
  </r>
  <r>
    <x v="27"/>
    <x v="48"/>
    <s v="Electric Generators, Electric Utilities"/>
    <x v="3"/>
    <n v="6382506"/>
  </r>
  <r>
    <x v="27"/>
    <x v="48"/>
    <s v="Electric Generators, Electric Utilities"/>
    <x v="7"/>
    <n v="8128259"/>
  </r>
  <r>
    <x v="27"/>
    <x v="48"/>
    <s v="Electric Generators, Electric Utilities"/>
    <x v="12"/>
    <n v="-837"/>
  </r>
  <r>
    <x v="27"/>
    <x v="48"/>
    <s v="Electric Generators, Electric Utilities"/>
    <x v="4"/>
    <n v="2604"/>
  </r>
  <r>
    <x v="27"/>
    <x v="48"/>
    <s v="Electric Generators, Electric Utilities"/>
    <x v="13"/>
    <n v="481"/>
  </r>
  <r>
    <x v="27"/>
    <x v="48"/>
    <s v="Electric Generators, Electric Utilities"/>
    <x v="8"/>
    <n v="185580"/>
  </r>
  <r>
    <x v="27"/>
    <x v="48"/>
    <s v="Electric Generators, Electric Utilities"/>
    <x v="5"/>
    <n v="3704142"/>
  </r>
  <r>
    <x v="27"/>
    <x v="48"/>
    <s v="Electric Generators, Electric Utilities"/>
    <x v="6"/>
    <n v="289465"/>
  </r>
  <r>
    <x v="27"/>
    <x v="49"/>
    <s v="Total Electric Power Industry"/>
    <x v="0"/>
    <n v="65107333"/>
  </r>
  <r>
    <x v="27"/>
    <x v="49"/>
    <s v="Total Electric Power Industry"/>
    <x v="1"/>
    <n v="35852222"/>
  </r>
  <r>
    <x v="27"/>
    <x v="49"/>
    <s v="Total Electric Power Industry"/>
    <x v="2"/>
    <n v="2657226"/>
  </r>
  <r>
    <x v="27"/>
    <x v="49"/>
    <s v="Total Electric Power Industry"/>
    <x v="3"/>
    <n v="13655685"/>
  </r>
  <r>
    <x v="27"/>
    <x v="49"/>
    <s v="Total Electric Power Industry"/>
    <x v="7"/>
    <n v="9648979"/>
  </r>
  <r>
    <x v="27"/>
    <x v="49"/>
    <s v="Total Electric Power Industry"/>
    <x v="12"/>
    <n v="26759"/>
  </r>
  <r>
    <x v="27"/>
    <x v="49"/>
    <s v="Total Electric Power Industry"/>
    <x v="4"/>
    <n v="144395"/>
  </r>
  <r>
    <x v="27"/>
    <x v="49"/>
    <s v="Total Electric Power Industry"/>
    <x v="13"/>
    <n v="21465"/>
  </r>
  <r>
    <x v="27"/>
    <x v="49"/>
    <s v="Total Electric Power Industry"/>
    <x v="8"/>
    <n v="582312"/>
  </r>
  <r>
    <x v="27"/>
    <x v="49"/>
    <s v="Total Electric Power Industry"/>
    <x v="5"/>
    <n v="1640687"/>
  </r>
  <r>
    <x v="27"/>
    <x v="49"/>
    <s v="Total Electric Power Industry"/>
    <x v="6"/>
    <n v="877601"/>
  </r>
  <r>
    <x v="27"/>
    <x v="49"/>
    <s v="Combined Heat and Power, Industrial Power"/>
    <x v="0"/>
    <n v="1641289"/>
  </r>
  <r>
    <x v="27"/>
    <x v="49"/>
    <s v="Combined Heat and Power, Industrial Power"/>
    <x v="1"/>
    <n v="415523"/>
  </r>
  <r>
    <x v="27"/>
    <x v="49"/>
    <s v="Combined Heat and Power, Industrial Power"/>
    <x v="2"/>
    <n v="168160"/>
  </r>
  <r>
    <x v="27"/>
    <x v="49"/>
    <s v="Combined Heat and Power, Industrial Power"/>
    <x v="3"/>
    <n v="478444"/>
  </r>
  <r>
    <x v="27"/>
    <x v="49"/>
    <s v="Combined Heat and Power, Industrial Power"/>
    <x v="12"/>
    <n v="9439"/>
  </r>
  <r>
    <x v="27"/>
    <x v="49"/>
    <s v="Combined Heat and Power, Industrial Power"/>
    <x v="4"/>
    <n v="796"/>
  </r>
  <r>
    <x v="27"/>
    <x v="49"/>
    <s v="Combined Heat and Power, Industrial Power"/>
    <x v="8"/>
    <n v="29171"/>
  </r>
  <r>
    <x v="27"/>
    <x v="49"/>
    <s v="Combined Heat and Power, Industrial Power"/>
    <x v="5"/>
    <n v="7484"/>
  </r>
  <r>
    <x v="27"/>
    <x v="49"/>
    <s v="Combined Heat and Power, Industrial Power"/>
    <x v="6"/>
    <n v="532272"/>
  </r>
  <r>
    <x v="27"/>
    <x v="49"/>
    <s v="Combined Heat and Power, Commercial Power"/>
    <x v="0"/>
    <n v="124285"/>
  </r>
  <r>
    <x v="27"/>
    <x v="49"/>
    <s v="Combined Heat and Power, Commercial Power"/>
    <x v="1"/>
    <n v="0"/>
  </r>
  <r>
    <x v="27"/>
    <x v="49"/>
    <s v="Combined Heat and Power, Commercial Power"/>
    <x v="3"/>
    <n v="67323"/>
  </r>
  <r>
    <x v="27"/>
    <x v="49"/>
    <s v="Combined Heat and Power, Commercial Power"/>
    <x v="4"/>
    <n v="6"/>
  </r>
  <r>
    <x v="27"/>
    <x v="49"/>
    <s v="Combined Heat and Power, Commercial Power"/>
    <x v="8"/>
    <n v="56955"/>
  </r>
  <r>
    <x v="27"/>
    <x v="49"/>
    <s v="Combined Heat and Power, Commercial Power"/>
    <x v="6"/>
    <n v="0"/>
  </r>
  <r>
    <x v="27"/>
    <x v="49"/>
    <s v="Combined Heat and Power, Electric Power"/>
    <x v="0"/>
    <n v="758788"/>
  </r>
  <r>
    <x v="27"/>
    <x v="49"/>
    <s v="Combined Heat and Power, Electric Power"/>
    <x v="3"/>
    <n v="645757"/>
  </r>
  <r>
    <x v="27"/>
    <x v="49"/>
    <s v="Combined Heat and Power, Electric Power"/>
    <x v="4"/>
    <n v="42"/>
  </r>
  <r>
    <x v="27"/>
    <x v="49"/>
    <s v="Combined Heat and Power, Electric Power"/>
    <x v="8"/>
    <n v="112990"/>
  </r>
  <r>
    <x v="27"/>
    <x v="49"/>
    <s v="Electric Generators, Independent Power Producers"/>
    <x v="0"/>
    <n v="11202478"/>
  </r>
  <r>
    <x v="27"/>
    <x v="49"/>
    <s v="Electric Generators, Independent Power Producers"/>
    <x v="2"/>
    <n v="127530"/>
  </r>
  <r>
    <x v="27"/>
    <x v="49"/>
    <s v="Electric Generators, Independent Power Producers"/>
    <x v="3"/>
    <n v="384911"/>
  </r>
  <r>
    <x v="27"/>
    <x v="49"/>
    <s v="Electric Generators, Independent Power Producers"/>
    <x v="7"/>
    <n v="9648979"/>
  </r>
  <r>
    <x v="27"/>
    <x v="49"/>
    <s v="Electric Generators, Independent Power Producers"/>
    <x v="4"/>
    <n v="-131"/>
  </r>
  <r>
    <x v="27"/>
    <x v="49"/>
    <s v="Electric Generators, Independent Power Producers"/>
    <x v="13"/>
    <n v="21465"/>
  </r>
  <r>
    <x v="27"/>
    <x v="49"/>
    <s v="Electric Generators, Independent Power Producers"/>
    <x v="8"/>
    <n v="370942"/>
  </r>
  <r>
    <x v="27"/>
    <x v="49"/>
    <s v="Electric Generators, Independent Power Producers"/>
    <x v="5"/>
    <n v="648782"/>
  </r>
  <r>
    <x v="27"/>
    <x v="49"/>
    <s v="Electric Generators, Electric Utilities"/>
    <x v="0"/>
    <n v="51380493"/>
  </r>
  <r>
    <x v="27"/>
    <x v="49"/>
    <s v="Electric Generators, Electric Utilities"/>
    <x v="1"/>
    <n v="35436700"/>
  </r>
  <r>
    <x v="27"/>
    <x v="49"/>
    <s v="Electric Generators, Electric Utilities"/>
    <x v="2"/>
    <n v="2361537"/>
  </r>
  <r>
    <x v="27"/>
    <x v="49"/>
    <s v="Electric Generators, Electric Utilities"/>
    <x v="3"/>
    <n v="12079250"/>
  </r>
  <r>
    <x v="27"/>
    <x v="49"/>
    <s v="Electric Generators, Electric Utilities"/>
    <x v="12"/>
    <n v="17320"/>
  </r>
  <r>
    <x v="27"/>
    <x v="49"/>
    <s v="Electric Generators, Electric Utilities"/>
    <x v="4"/>
    <n v="143683"/>
  </r>
  <r>
    <x v="27"/>
    <x v="49"/>
    <s v="Electric Generators, Electric Utilities"/>
    <x v="8"/>
    <n v="12254"/>
  </r>
  <r>
    <x v="27"/>
    <x v="49"/>
    <s v="Electric Generators, Electric Utilities"/>
    <x v="5"/>
    <n v="984421"/>
  </r>
  <r>
    <x v="27"/>
    <x v="49"/>
    <s v="Electric Generators, Electric Utilities"/>
    <x v="6"/>
    <n v="345329"/>
  </r>
  <r>
    <x v="27"/>
    <x v="50"/>
    <s v="Total Electric Power Industry"/>
    <x v="0"/>
    <n v="73357080"/>
  </r>
  <r>
    <x v="27"/>
    <x v="50"/>
    <s v="Total Electric Power Industry"/>
    <x v="1"/>
    <n v="68349009"/>
  </r>
  <r>
    <x v="27"/>
    <x v="50"/>
    <s v="Total Electric Power Industry"/>
    <x v="2"/>
    <n v="1658492"/>
  </r>
  <r>
    <x v="27"/>
    <x v="50"/>
    <s v="Total Electric Power Industry"/>
    <x v="3"/>
    <n v="1526728"/>
  </r>
  <r>
    <x v="27"/>
    <x v="50"/>
    <s v="Total Electric Power Industry"/>
    <x v="9"/>
    <n v="34476"/>
  </r>
  <r>
    <x v="27"/>
    <x v="50"/>
    <s v="Total Electric Power Industry"/>
    <x v="12"/>
    <n v="-13746"/>
  </r>
  <r>
    <x v="27"/>
    <x v="50"/>
    <s v="Total Electric Power Industry"/>
    <x v="4"/>
    <n v="119780"/>
  </r>
  <r>
    <x v="27"/>
    <x v="50"/>
    <s v="Total Electric Power Industry"/>
    <x v="5"/>
    <n v="1682341"/>
  </r>
  <r>
    <x v="27"/>
    <x v="50"/>
    <s v="Combined Heat and Power, Industrial Power"/>
    <x v="0"/>
    <n v="1076695"/>
  </r>
  <r>
    <x v="27"/>
    <x v="50"/>
    <s v="Combined Heat and Power, Industrial Power"/>
    <x v="2"/>
    <n v="533658"/>
  </r>
  <r>
    <x v="27"/>
    <x v="50"/>
    <s v="Combined Heat and Power, Industrial Power"/>
    <x v="3"/>
    <n v="508561"/>
  </r>
  <r>
    <x v="27"/>
    <x v="50"/>
    <s v="Combined Heat and Power, Industrial Power"/>
    <x v="9"/>
    <n v="34476"/>
  </r>
  <r>
    <x v="27"/>
    <x v="50"/>
    <s v="Combined Heat and Power, Electric Power"/>
    <x v="0"/>
    <n v="416682"/>
  </r>
  <r>
    <x v="27"/>
    <x v="50"/>
    <s v="Combined Heat and Power, Electric Power"/>
    <x v="1"/>
    <n v="414996"/>
  </r>
  <r>
    <x v="27"/>
    <x v="50"/>
    <s v="Combined Heat and Power, Electric Power"/>
    <x v="3"/>
    <n v="1686"/>
  </r>
  <r>
    <x v="27"/>
    <x v="50"/>
    <s v="Electric Generators, Independent Power Producers"/>
    <x v="0"/>
    <n v="15934416"/>
  </r>
  <r>
    <x v="27"/>
    <x v="50"/>
    <s v="Electric Generators, Independent Power Producers"/>
    <x v="1"/>
    <n v="13041199"/>
  </r>
  <r>
    <x v="27"/>
    <x v="50"/>
    <s v="Electric Generators, Independent Power Producers"/>
    <x v="2"/>
    <n v="384602"/>
  </r>
  <r>
    <x v="27"/>
    <x v="50"/>
    <s v="Electric Generators, Independent Power Producers"/>
    <x v="3"/>
    <n v="838946"/>
  </r>
  <r>
    <x v="27"/>
    <x v="50"/>
    <s v="Electric Generators, Independent Power Producers"/>
    <x v="12"/>
    <n v="-13746"/>
  </r>
  <r>
    <x v="27"/>
    <x v="50"/>
    <s v="Electric Generators, Independent Power Producers"/>
    <x v="4"/>
    <n v="1073"/>
  </r>
  <r>
    <x v="27"/>
    <x v="50"/>
    <s v="Electric Generators, Independent Power Producers"/>
    <x v="5"/>
    <n v="1682341"/>
  </r>
  <r>
    <x v="27"/>
    <x v="50"/>
    <s v="Electric Generators, Electric Utilities"/>
    <x v="0"/>
    <n v="55929287"/>
  </r>
  <r>
    <x v="27"/>
    <x v="50"/>
    <s v="Electric Generators, Electric Utilities"/>
    <x v="1"/>
    <n v="54892814"/>
  </r>
  <r>
    <x v="27"/>
    <x v="50"/>
    <s v="Electric Generators, Electric Utilities"/>
    <x v="2"/>
    <n v="740232"/>
  </r>
  <r>
    <x v="27"/>
    <x v="50"/>
    <s v="Electric Generators, Electric Utilities"/>
    <x v="3"/>
    <n v="177535"/>
  </r>
  <r>
    <x v="27"/>
    <x v="50"/>
    <s v="Electric Generators, Electric Utilities"/>
    <x v="12"/>
    <n v="0"/>
  </r>
  <r>
    <x v="27"/>
    <x v="50"/>
    <s v="Electric Generators, Electric Utilities"/>
    <x v="4"/>
    <n v="118706"/>
  </r>
  <r>
    <x v="27"/>
    <x v="51"/>
    <s v="Total Electric Power Industry"/>
    <x v="0"/>
    <n v="46741846"/>
  </r>
  <r>
    <x v="27"/>
    <x v="51"/>
    <s v="Total Electric Power Industry"/>
    <x v="1"/>
    <n v="40068566"/>
  </r>
  <r>
    <x v="27"/>
    <x v="51"/>
    <s v="Total Electric Power Industry"/>
    <x v="2"/>
    <n v="1123624"/>
  </r>
  <r>
    <x v="27"/>
    <x v="51"/>
    <s v="Total Electric Power Industry"/>
    <x v="3"/>
    <n v="778989"/>
  </r>
  <r>
    <x v="27"/>
    <x v="51"/>
    <s v="Total Electric Power Industry"/>
    <x v="9"/>
    <n v="360236"/>
  </r>
  <r>
    <x v="27"/>
    <x v="51"/>
    <s v="Total Electric Power Industry"/>
    <x v="12"/>
    <n v="45930"/>
  </r>
  <r>
    <x v="27"/>
    <x v="51"/>
    <s v="Total Electric Power Industry"/>
    <x v="4"/>
    <n v="43846"/>
  </r>
  <r>
    <x v="27"/>
    <x v="51"/>
    <s v="Total Electric Power Industry"/>
    <x v="5"/>
    <n v="4320655"/>
  </r>
  <r>
    <x v="27"/>
    <x v="51"/>
    <s v="Combined Heat and Power, Industrial Power"/>
    <x v="0"/>
    <n v="1420290"/>
  </r>
  <r>
    <x v="27"/>
    <x v="51"/>
    <s v="Combined Heat and Power, Industrial Power"/>
    <x v="1"/>
    <n v="394145"/>
  </r>
  <r>
    <x v="27"/>
    <x v="51"/>
    <s v="Combined Heat and Power, Industrial Power"/>
    <x v="3"/>
    <n v="619955"/>
  </r>
  <r>
    <x v="27"/>
    <x v="51"/>
    <s v="Combined Heat and Power, Industrial Power"/>
    <x v="9"/>
    <n v="360236"/>
  </r>
  <r>
    <x v="27"/>
    <x v="51"/>
    <s v="Combined Heat and Power, Industrial Power"/>
    <x v="12"/>
    <n v="45930"/>
  </r>
  <r>
    <x v="27"/>
    <x v="51"/>
    <s v="Combined Heat and Power, Industrial Power"/>
    <x v="4"/>
    <n v="25"/>
  </r>
  <r>
    <x v="27"/>
    <x v="51"/>
    <s v="Electric Generators, Independent Power Producers"/>
    <x v="0"/>
    <n v="3202034"/>
  </r>
  <r>
    <x v="27"/>
    <x v="51"/>
    <s v="Electric Generators, Independent Power Producers"/>
    <x v="1"/>
    <n v="720617"/>
  </r>
  <r>
    <x v="27"/>
    <x v="51"/>
    <s v="Electric Generators, Independent Power Producers"/>
    <x v="2"/>
    <n v="7634"/>
  </r>
  <r>
    <x v="27"/>
    <x v="51"/>
    <s v="Electric Generators, Independent Power Producers"/>
    <x v="3"/>
    <n v="1163"/>
  </r>
  <r>
    <x v="27"/>
    <x v="51"/>
    <s v="Electric Generators, Independent Power Producers"/>
    <x v="5"/>
    <n v="2472620"/>
  </r>
  <r>
    <x v="27"/>
    <x v="51"/>
    <s v="Electric Generators, Electric Utilities"/>
    <x v="0"/>
    <n v="42119522"/>
  </r>
  <r>
    <x v="27"/>
    <x v="51"/>
    <s v="Electric Generators, Electric Utilities"/>
    <x v="1"/>
    <n v="38953805"/>
  </r>
  <r>
    <x v="27"/>
    <x v="51"/>
    <s v="Electric Generators, Electric Utilities"/>
    <x v="2"/>
    <n v="1115990"/>
  </r>
  <r>
    <x v="27"/>
    <x v="51"/>
    <s v="Electric Generators, Electric Utilities"/>
    <x v="3"/>
    <n v="157871"/>
  </r>
  <r>
    <x v="27"/>
    <x v="51"/>
    <s v="Electric Generators, Electric Utilities"/>
    <x v="4"/>
    <n v="43822"/>
  </r>
  <r>
    <x v="27"/>
    <x v="51"/>
    <s v="Electric Generators, Electric Utilities"/>
    <x v="5"/>
    <n v="1848035"/>
  </r>
  <r>
    <x v="28"/>
    <x v="0"/>
    <s v="Total Electric Power Industry"/>
    <x v="0"/>
    <n v="6247359"/>
  </r>
  <r>
    <x v="28"/>
    <x v="0"/>
    <s v="Total Electric Power Industry"/>
    <x v="1"/>
    <n v="628564"/>
  </r>
  <r>
    <x v="28"/>
    <x v="0"/>
    <s v="Total Electric Power Industry"/>
    <x v="2"/>
    <n v="1664225"/>
  </r>
  <r>
    <x v="28"/>
    <x v="0"/>
    <s v="Total Electric Power Industry"/>
    <x v="3"/>
    <n v="2947902"/>
  </r>
  <r>
    <x v="28"/>
    <x v="0"/>
    <s v="Total Electric Power Industry"/>
    <x v="12"/>
    <n v="-3100"/>
  </r>
  <r>
    <x v="28"/>
    <x v="0"/>
    <s v="Total Electric Power Industry"/>
    <x v="4"/>
    <n v="809278"/>
  </r>
  <r>
    <x v="28"/>
    <x v="0"/>
    <s v="Total Electric Power Industry"/>
    <x v="8"/>
    <n v="45474"/>
  </r>
  <r>
    <x v="28"/>
    <x v="0"/>
    <s v="Total Electric Power Industry"/>
    <x v="5"/>
    <n v="155015"/>
  </r>
  <r>
    <x v="28"/>
    <x v="0"/>
    <s v="Total Electric Power Industry"/>
    <x v="6"/>
    <n v="0"/>
  </r>
  <r>
    <x v="28"/>
    <x v="0"/>
    <s v="Combined Heat and Power, Industrial Power"/>
    <x v="0"/>
    <n v="110098"/>
  </r>
  <r>
    <x v="28"/>
    <x v="0"/>
    <s v="Combined Heat and Power, Industrial Power"/>
    <x v="3"/>
    <n v="64727"/>
  </r>
  <r>
    <x v="28"/>
    <x v="0"/>
    <s v="Combined Heat and Power, Industrial Power"/>
    <x v="4"/>
    <n v="42582"/>
  </r>
  <r>
    <x v="28"/>
    <x v="0"/>
    <s v="Combined Heat and Power, Industrial Power"/>
    <x v="8"/>
    <n v="2790"/>
  </r>
  <r>
    <x v="28"/>
    <x v="0"/>
    <s v="Combined Heat and Power, Commercial Power"/>
    <x v="0"/>
    <n v="328028"/>
  </r>
  <r>
    <x v="28"/>
    <x v="0"/>
    <s v="Combined Heat and Power, Commercial Power"/>
    <x v="1"/>
    <n v="103477"/>
  </r>
  <r>
    <x v="28"/>
    <x v="0"/>
    <s v="Combined Heat and Power, Commercial Power"/>
    <x v="2"/>
    <n v="175622"/>
  </r>
  <r>
    <x v="28"/>
    <x v="0"/>
    <s v="Combined Heat and Power, Commercial Power"/>
    <x v="3"/>
    <n v="264"/>
  </r>
  <r>
    <x v="28"/>
    <x v="0"/>
    <s v="Combined Heat and Power, Commercial Power"/>
    <x v="4"/>
    <n v="5981"/>
  </r>
  <r>
    <x v="28"/>
    <x v="0"/>
    <s v="Combined Heat and Power, Commercial Power"/>
    <x v="8"/>
    <n v="42684"/>
  </r>
  <r>
    <x v="28"/>
    <x v="0"/>
    <s v="Combined Heat and Power, Commercial Power"/>
    <x v="6"/>
    <n v="0"/>
  </r>
  <r>
    <x v="28"/>
    <x v="0"/>
    <s v="Combined Heat and Power, Electric Power"/>
    <x v="0"/>
    <n v="177819"/>
  </r>
  <r>
    <x v="28"/>
    <x v="0"/>
    <s v="Combined Heat and Power, Electric Power"/>
    <x v="1"/>
    <n v="177819"/>
  </r>
  <r>
    <x v="28"/>
    <x v="0"/>
    <s v="Combined Heat and Power, Electric Power"/>
    <x v="4"/>
    <n v="0"/>
  </r>
  <r>
    <x v="28"/>
    <x v="0"/>
    <s v="Combined Heat and Power, Electric Power"/>
    <x v="8"/>
    <n v="0"/>
  </r>
  <r>
    <x v="28"/>
    <x v="0"/>
    <s v="Combined Heat and Power, Electric Power"/>
    <x v="6"/>
    <n v="0"/>
  </r>
  <r>
    <x v="28"/>
    <x v="0"/>
    <s v="Electric Generators, Independent Power Producers"/>
    <x v="0"/>
    <n v="56327"/>
  </r>
  <r>
    <x v="28"/>
    <x v="0"/>
    <s v="Electric Generators, Independent Power Producers"/>
    <x v="5"/>
    <n v="56327"/>
  </r>
  <r>
    <x v="28"/>
    <x v="0"/>
    <s v="Electric Generators, Electric Utilities"/>
    <x v="0"/>
    <n v="5575087"/>
  </r>
  <r>
    <x v="28"/>
    <x v="0"/>
    <s v="Electric Generators, Electric Utilities"/>
    <x v="1"/>
    <n v="347268"/>
  </r>
  <r>
    <x v="28"/>
    <x v="0"/>
    <s v="Electric Generators, Electric Utilities"/>
    <x v="2"/>
    <n v="1488603"/>
  </r>
  <r>
    <x v="28"/>
    <x v="0"/>
    <s v="Electric Generators, Electric Utilities"/>
    <x v="3"/>
    <n v="2882912"/>
  </r>
  <r>
    <x v="28"/>
    <x v="0"/>
    <s v="Electric Generators, Electric Utilities"/>
    <x v="12"/>
    <n v="-3100"/>
  </r>
  <r>
    <x v="28"/>
    <x v="0"/>
    <s v="Electric Generators, Electric Utilities"/>
    <x v="4"/>
    <n v="760716"/>
  </r>
  <r>
    <x v="28"/>
    <x v="0"/>
    <s v="Electric Generators, Electric Utilities"/>
    <x v="5"/>
    <n v="98688"/>
  </r>
  <r>
    <x v="28"/>
    <x v="1"/>
    <s v="Total Electric Power Industry"/>
    <x v="0"/>
    <n v="145057994"/>
  </r>
  <r>
    <x v="28"/>
    <x v="1"/>
    <s v="Total Electric Power Industry"/>
    <x v="1"/>
    <n v="31777520"/>
  </r>
  <r>
    <x v="28"/>
    <x v="1"/>
    <s v="Total Electric Power Industry"/>
    <x v="2"/>
    <n v="11143139"/>
  </r>
  <r>
    <x v="28"/>
    <x v="1"/>
    <s v="Total Electric Power Industry"/>
    <x v="3"/>
    <n v="58800419"/>
  </r>
  <r>
    <x v="28"/>
    <x v="1"/>
    <s v="Total Electric Power Industry"/>
    <x v="7"/>
    <n v="39462827"/>
  </r>
  <r>
    <x v="28"/>
    <x v="1"/>
    <s v="Total Electric Power Industry"/>
    <x v="9"/>
    <n v="4804"/>
  </r>
  <r>
    <x v="28"/>
    <x v="1"/>
    <s v="Total Electric Power Industry"/>
    <x v="12"/>
    <n v="-49"/>
  </r>
  <r>
    <x v="28"/>
    <x v="1"/>
    <s v="Total Electric Power Industry"/>
    <x v="4"/>
    <n v="65704"/>
  </r>
  <r>
    <x v="28"/>
    <x v="1"/>
    <s v="Total Electric Power Industry"/>
    <x v="13"/>
    <n v="357252"/>
  </r>
  <r>
    <x v="28"/>
    <x v="1"/>
    <s v="Total Electric Power Industry"/>
    <x v="8"/>
    <n v="37672"/>
  </r>
  <r>
    <x v="28"/>
    <x v="1"/>
    <s v="Total Electric Power Industry"/>
    <x v="6"/>
    <n v="3408707"/>
  </r>
  <r>
    <x v="28"/>
    <x v="1"/>
    <s v="Combined Heat and Power, Industrial Power"/>
    <x v="0"/>
    <n v="4622077"/>
  </r>
  <r>
    <x v="28"/>
    <x v="1"/>
    <s v="Combined Heat and Power, Industrial Power"/>
    <x v="1"/>
    <n v="43852"/>
  </r>
  <r>
    <x v="28"/>
    <x v="1"/>
    <s v="Combined Heat and Power, Industrial Power"/>
    <x v="3"/>
    <n v="1300225"/>
  </r>
  <r>
    <x v="28"/>
    <x v="1"/>
    <s v="Combined Heat and Power, Industrial Power"/>
    <x v="9"/>
    <n v="4804"/>
  </r>
  <r>
    <x v="28"/>
    <x v="1"/>
    <s v="Combined Heat and Power, Industrial Power"/>
    <x v="12"/>
    <n v="0"/>
  </r>
  <r>
    <x v="28"/>
    <x v="1"/>
    <s v="Combined Heat and Power, Industrial Power"/>
    <x v="4"/>
    <n v="6976"/>
  </r>
  <r>
    <x v="28"/>
    <x v="1"/>
    <s v="Combined Heat and Power, Industrial Power"/>
    <x v="8"/>
    <n v="0"/>
  </r>
  <r>
    <x v="28"/>
    <x v="1"/>
    <s v="Combined Heat and Power, Industrial Power"/>
    <x v="6"/>
    <n v="3266221"/>
  </r>
  <r>
    <x v="28"/>
    <x v="1"/>
    <s v="Combined Heat and Power, Electric Power"/>
    <x v="0"/>
    <n v="4864301"/>
  </r>
  <r>
    <x v="28"/>
    <x v="1"/>
    <s v="Combined Heat and Power, Electric Power"/>
    <x v="1"/>
    <n v="0"/>
  </r>
  <r>
    <x v="28"/>
    <x v="1"/>
    <s v="Combined Heat and Power, Electric Power"/>
    <x v="3"/>
    <n v="4721815"/>
  </r>
  <r>
    <x v="28"/>
    <x v="1"/>
    <s v="Combined Heat and Power, Electric Power"/>
    <x v="6"/>
    <n v="142486"/>
  </r>
  <r>
    <x v="28"/>
    <x v="1"/>
    <s v="Electric Generators, Independent Power Producers"/>
    <x v="0"/>
    <n v="32906202"/>
  </r>
  <r>
    <x v="28"/>
    <x v="1"/>
    <s v="Electric Generators, Independent Power Producers"/>
    <x v="3"/>
    <n v="32512502"/>
  </r>
  <r>
    <x v="28"/>
    <x v="1"/>
    <s v="Electric Generators, Independent Power Producers"/>
    <x v="12"/>
    <n v="-49"/>
  </r>
  <r>
    <x v="28"/>
    <x v="1"/>
    <s v="Electric Generators, Independent Power Producers"/>
    <x v="4"/>
    <n v="29369"/>
  </r>
  <r>
    <x v="28"/>
    <x v="1"/>
    <s v="Electric Generators, Independent Power Producers"/>
    <x v="13"/>
    <n v="326708"/>
  </r>
  <r>
    <x v="28"/>
    <x v="1"/>
    <s v="Electric Generators, Independent Power Producers"/>
    <x v="8"/>
    <n v="37672"/>
  </r>
  <r>
    <x v="28"/>
    <x v="1"/>
    <s v="Electric Generators, Electric Utilities"/>
    <x v="0"/>
    <n v="102665414"/>
  </r>
  <r>
    <x v="28"/>
    <x v="1"/>
    <s v="Electric Generators, Electric Utilities"/>
    <x v="1"/>
    <n v="31733668"/>
  </r>
  <r>
    <x v="28"/>
    <x v="1"/>
    <s v="Electric Generators, Electric Utilities"/>
    <x v="2"/>
    <n v="11143139"/>
  </r>
  <r>
    <x v="28"/>
    <x v="1"/>
    <s v="Electric Generators, Electric Utilities"/>
    <x v="3"/>
    <n v="20265878"/>
  </r>
  <r>
    <x v="28"/>
    <x v="1"/>
    <s v="Electric Generators, Electric Utilities"/>
    <x v="7"/>
    <n v="39462827"/>
  </r>
  <r>
    <x v="28"/>
    <x v="1"/>
    <s v="Electric Generators, Electric Utilities"/>
    <x v="4"/>
    <n v="29358"/>
  </r>
  <r>
    <x v="28"/>
    <x v="1"/>
    <s v="Electric Generators, Electric Utilities"/>
    <x v="13"/>
    <n v="30544"/>
  </r>
  <r>
    <x v="28"/>
    <x v="2"/>
    <s v="Total Electric Power Industry"/>
    <x v="0"/>
    <n v="67999352"/>
  </r>
  <r>
    <x v="28"/>
    <x v="2"/>
    <s v="Total Electric Power Industry"/>
    <x v="1"/>
    <n v="29996101"/>
  </r>
  <r>
    <x v="28"/>
    <x v="2"/>
    <s v="Total Electric Power Industry"/>
    <x v="10"/>
    <n v="40245"/>
  </r>
  <r>
    <x v="28"/>
    <x v="2"/>
    <s v="Total Electric Power Industry"/>
    <x v="2"/>
    <n v="3008775"/>
  </r>
  <r>
    <x v="28"/>
    <x v="2"/>
    <s v="Total Electric Power Industry"/>
    <x v="3"/>
    <n v="20623705"/>
  </r>
  <r>
    <x v="28"/>
    <x v="2"/>
    <s v="Total Electric Power Industry"/>
    <x v="7"/>
    <n v="12720818"/>
  </r>
  <r>
    <x v="28"/>
    <x v="2"/>
    <s v="Total Electric Power Industry"/>
    <x v="12"/>
    <n v="5087"/>
  </r>
  <r>
    <x v="28"/>
    <x v="2"/>
    <s v="Total Electric Power Industry"/>
    <x v="4"/>
    <n v="35517"/>
  </r>
  <r>
    <x v="28"/>
    <x v="2"/>
    <s v="Total Electric Power Industry"/>
    <x v="13"/>
    <n v="203413"/>
  </r>
  <r>
    <x v="28"/>
    <x v="2"/>
    <s v="Total Electric Power Industry"/>
    <x v="8"/>
    <n v="74950"/>
  </r>
  <r>
    <x v="28"/>
    <x v="2"/>
    <s v="Total Electric Power Industry"/>
    <x v="6"/>
    <n v="1290740"/>
  </r>
  <r>
    <x v="28"/>
    <x v="2"/>
    <s v="Combined Heat and Power, Industrial Power"/>
    <x v="0"/>
    <n v="1641771"/>
  </r>
  <r>
    <x v="28"/>
    <x v="2"/>
    <s v="Combined Heat and Power, Industrial Power"/>
    <x v="1"/>
    <n v="45505"/>
  </r>
  <r>
    <x v="28"/>
    <x v="2"/>
    <s v="Combined Heat and Power, Industrial Power"/>
    <x v="3"/>
    <n v="297365"/>
  </r>
  <r>
    <x v="28"/>
    <x v="2"/>
    <s v="Combined Heat and Power, Industrial Power"/>
    <x v="12"/>
    <n v="5087"/>
  </r>
  <r>
    <x v="28"/>
    <x v="2"/>
    <s v="Combined Heat and Power, Industrial Power"/>
    <x v="4"/>
    <n v="3073"/>
  </r>
  <r>
    <x v="28"/>
    <x v="2"/>
    <s v="Combined Heat and Power, Industrial Power"/>
    <x v="6"/>
    <n v="1290740"/>
  </r>
  <r>
    <x v="28"/>
    <x v="2"/>
    <s v="Combined Heat and Power, Commercial Power"/>
    <x v="0"/>
    <n v="43584"/>
  </r>
  <r>
    <x v="28"/>
    <x v="2"/>
    <s v="Combined Heat and Power, Commercial Power"/>
    <x v="3"/>
    <n v="38008"/>
  </r>
  <r>
    <x v="28"/>
    <x v="2"/>
    <s v="Combined Heat and Power, Commercial Power"/>
    <x v="8"/>
    <n v="5576"/>
  </r>
  <r>
    <x v="28"/>
    <x v="2"/>
    <s v="Combined Heat and Power, Electric Power"/>
    <x v="0"/>
    <n v="1325509"/>
  </r>
  <r>
    <x v="28"/>
    <x v="2"/>
    <s v="Combined Heat and Power, Electric Power"/>
    <x v="3"/>
    <n v="1305210"/>
  </r>
  <r>
    <x v="28"/>
    <x v="2"/>
    <s v="Combined Heat and Power, Electric Power"/>
    <x v="4"/>
    <n v="0"/>
  </r>
  <r>
    <x v="28"/>
    <x v="2"/>
    <s v="Combined Heat and Power, Electric Power"/>
    <x v="8"/>
    <n v="20299"/>
  </r>
  <r>
    <x v="28"/>
    <x v="2"/>
    <s v="Electric Generators, Independent Power Producers"/>
    <x v="0"/>
    <n v="5503233"/>
  </r>
  <r>
    <x v="28"/>
    <x v="2"/>
    <s v="Electric Generators, Independent Power Producers"/>
    <x v="1"/>
    <n v="5196709"/>
  </r>
  <r>
    <x v="28"/>
    <x v="2"/>
    <s v="Electric Generators, Independent Power Producers"/>
    <x v="2"/>
    <n v="49630"/>
  </r>
  <r>
    <x v="28"/>
    <x v="2"/>
    <s v="Electric Generators, Independent Power Producers"/>
    <x v="4"/>
    <n v="5925"/>
  </r>
  <r>
    <x v="28"/>
    <x v="2"/>
    <s v="Electric Generators, Independent Power Producers"/>
    <x v="13"/>
    <n v="201894"/>
  </r>
  <r>
    <x v="28"/>
    <x v="2"/>
    <s v="Electric Generators, Independent Power Producers"/>
    <x v="8"/>
    <n v="49075"/>
  </r>
  <r>
    <x v="28"/>
    <x v="2"/>
    <s v="Electric Generators, Electric Utilities"/>
    <x v="0"/>
    <n v="59485255"/>
  </r>
  <r>
    <x v="28"/>
    <x v="2"/>
    <s v="Electric Generators, Electric Utilities"/>
    <x v="1"/>
    <n v="24753887"/>
  </r>
  <r>
    <x v="28"/>
    <x v="2"/>
    <s v="Electric Generators, Electric Utilities"/>
    <x v="10"/>
    <n v="40245"/>
  </r>
  <r>
    <x v="28"/>
    <x v="2"/>
    <s v="Electric Generators, Electric Utilities"/>
    <x v="2"/>
    <n v="2959145"/>
  </r>
  <r>
    <x v="28"/>
    <x v="2"/>
    <s v="Electric Generators, Electric Utilities"/>
    <x v="3"/>
    <n v="18983122"/>
  </r>
  <r>
    <x v="28"/>
    <x v="2"/>
    <s v="Electric Generators, Electric Utilities"/>
    <x v="7"/>
    <n v="12720818"/>
  </r>
  <r>
    <x v="28"/>
    <x v="2"/>
    <s v="Electric Generators, Electric Utilities"/>
    <x v="4"/>
    <n v="26519"/>
  </r>
  <r>
    <x v="28"/>
    <x v="2"/>
    <s v="Electric Generators, Electric Utilities"/>
    <x v="13"/>
    <n v="1519"/>
  </r>
  <r>
    <x v="28"/>
    <x v="3"/>
    <s v="Total Electric Power Industry"/>
    <x v="0"/>
    <n v="111925144"/>
  </r>
  <r>
    <x v="28"/>
    <x v="3"/>
    <s v="Total Electric Power Industry"/>
    <x v="1"/>
    <n v="30744623"/>
  </r>
  <r>
    <x v="28"/>
    <x v="3"/>
    <s v="Total Electric Power Industry"/>
    <x v="10"/>
    <n v="-4526"/>
  </r>
  <r>
    <x v="28"/>
    <x v="3"/>
    <s v="Total Electric Power Industry"/>
    <x v="2"/>
    <n v="6982242"/>
  </r>
  <r>
    <x v="28"/>
    <x v="3"/>
    <s v="Total Electric Power Industry"/>
    <x v="3"/>
    <n v="37168075"/>
  </r>
  <r>
    <x v="28"/>
    <x v="3"/>
    <s v="Total Electric Power Industry"/>
    <x v="7"/>
    <n v="31097259"/>
  </r>
  <r>
    <x v="28"/>
    <x v="3"/>
    <s v="Total Electric Power Industry"/>
    <x v="12"/>
    <n v="-2536"/>
  </r>
  <r>
    <x v="28"/>
    <x v="3"/>
    <s v="Total Electric Power Industry"/>
    <x v="4"/>
    <n v="49946"/>
  </r>
  <r>
    <x v="28"/>
    <x v="3"/>
    <s v="Total Electric Power Industry"/>
    <x v="13"/>
    <n v="5140377"/>
  </r>
  <r>
    <x v="28"/>
    <x v="3"/>
    <s v="Total Electric Power Industry"/>
    <x v="8"/>
    <n v="37375"/>
  </r>
  <r>
    <x v="28"/>
    <x v="3"/>
    <s v="Total Electric Power Industry"/>
    <x v="5"/>
    <n v="530190"/>
  </r>
  <r>
    <x v="28"/>
    <x v="3"/>
    <s v="Total Electric Power Industry"/>
    <x v="6"/>
    <n v="182120"/>
  </r>
  <r>
    <x v="28"/>
    <x v="3"/>
    <s v="Combined Heat and Power, Commercial Power"/>
    <x v="0"/>
    <n v="153732"/>
  </r>
  <r>
    <x v="28"/>
    <x v="3"/>
    <s v="Combined Heat and Power, Commercial Power"/>
    <x v="3"/>
    <n v="140673"/>
  </r>
  <r>
    <x v="28"/>
    <x v="3"/>
    <s v="Combined Heat and Power, Commercial Power"/>
    <x v="4"/>
    <n v="21"/>
  </r>
  <r>
    <x v="28"/>
    <x v="3"/>
    <s v="Combined Heat and Power, Commercial Power"/>
    <x v="13"/>
    <n v="13038"/>
  </r>
  <r>
    <x v="28"/>
    <x v="3"/>
    <s v="Combined Heat and Power, Electric Power"/>
    <x v="0"/>
    <n v="41296"/>
  </r>
  <r>
    <x v="28"/>
    <x v="3"/>
    <s v="Combined Heat and Power, Electric Power"/>
    <x v="3"/>
    <n v="41296"/>
  </r>
  <r>
    <x v="28"/>
    <x v="3"/>
    <s v="Combined Heat and Power, Electric Power"/>
    <x v="4"/>
    <n v="0"/>
  </r>
  <r>
    <x v="28"/>
    <x v="3"/>
    <s v="Electric Generators, Independent Power Producers"/>
    <x v="0"/>
    <n v="13282000"/>
  </r>
  <r>
    <x v="28"/>
    <x v="3"/>
    <s v="Electric Generators, Independent Power Producers"/>
    <x v="3"/>
    <n v="8088714"/>
  </r>
  <r>
    <x v="28"/>
    <x v="3"/>
    <s v="Electric Generators, Independent Power Producers"/>
    <x v="12"/>
    <n v="-2536"/>
  </r>
  <r>
    <x v="28"/>
    <x v="3"/>
    <s v="Electric Generators, Independent Power Producers"/>
    <x v="13"/>
    <n v="4446137"/>
  </r>
  <r>
    <x v="28"/>
    <x v="3"/>
    <s v="Electric Generators, Independent Power Producers"/>
    <x v="8"/>
    <n v="37375"/>
  </r>
  <r>
    <x v="28"/>
    <x v="3"/>
    <s v="Electric Generators, Independent Power Producers"/>
    <x v="5"/>
    <n v="530190"/>
  </r>
  <r>
    <x v="28"/>
    <x v="3"/>
    <s v="Electric Generators, Independent Power Producers"/>
    <x v="6"/>
    <n v="182120"/>
  </r>
  <r>
    <x v="28"/>
    <x v="3"/>
    <s v="Electric Generators, Electric Utilities"/>
    <x v="0"/>
    <n v="98448117"/>
  </r>
  <r>
    <x v="28"/>
    <x v="3"/>
    <s v="Electric Generators, Electric Utilities"/>
    <x v="1"/>
    <n v="30744623"/>
  </r>
  <r>
    <x v="28"/>
    <x v="3"/>
    <s v="Electric Generators, Electric Utilities"/>
    <x v="10"/>
    <n v="-4526"/>
  </r>
  <r>
    <x v="28"/>
    <x v="3"/>
    <s v="Electric Generators, Electric Utilities"/>
    <x v="2"/>
    <n v="6982242"/>
  </r>
  <r>
    <x v="28"/>
    <x v="3"/>
    <s v="Electric Generators, Electric Utilities"/>
    <x v="3"/>
    <n v="28897392"/>
  </r>
  <r>
    <x v="28"/>
    <x v="3"/>
    <s v="Electric Generators, Electric Utilities"/>
    <x v="7"/>
    <n v="31097259"/>
  </r>
  <r>
    <x v="28"/>
    <x v="3"/>
    <s v="Electric Generators, Electric Utilities"/>
    <x v="12"/>
    <n v="0"/>
  </r>
  <r>
    <x v="28"/>
    <x v="3"/>
    <s v="Electric Generators, Electric Utilities"/>
    <x v="4"/>
    <n v="49925"/>
  </r>
  <r>
    <x v="28"/>
    <x v="3"/>
    <s v="Electric Generators, Electric Utilities"/>
    <x v="13"/>
    <n v="681201"/>
  </r>
  <r>
    <x v="28"/>
    <x v="3"/>
    <s v="Electric Generators, Electric Utilities"/>
    <x v="8"/>
    <n v="0"/>
  </r>
  <r>
    <x v="28"/>
    <x v="4"/>
    <s v="Total Electric Power Industry"/>
    <x v="0"/>
    <n v="195265408"/>
  </r>
  <r>
    <x v="28"/>
    <x v="4"/>
    <s v="Total Electric Power Industry"/>
    <x v="1"/>
    <n v="281328"/>
  </r>
  <r>
    <x v="28"/>
    <x v="4"/>
    <s v="Total Electric Power Industry"/>
    <x v="11"/>
    <n v="11676841"/>
  </r>
  <r>
    <x v="28"/>
    <x v="4"/>
    <s v="Total Electric Power Industry"/>
    <x v="10"/>
    <n v="-148574"/>
  </r>
  <r>
    <x v="28"/>
    <x v="4"/>
    <s v="Total Electric Power Industry"/>
    <x v="2"/>
    <n v="26330667"/>
  </r>
  <r>
    <x v="28"/>
    <x v="4"/>
    <s v="Total Electric Power Industry"/>
    <x v="3"/>
    <n v="89604473"/>
  </r>
  <r>
    <x v="28"/>
    <x v="4"/>
    <s v="Total Electric Power Industry"/>
    <x v="7"/>
    <n v="18213519"/>
  </r>
  <r>
    <x v="28"/>
    <x v="4"/>
    <s v="Total Electric Power Industry"/>
    <x v="9"/>
    <n v="1453960"/>
  </r>
  <r>
    <x v="28"/>
    <x v="4"/>
    <s v="Total Electric Power Industry"/>
    <x v="12"/>
    <n v="828768"/>
  </r>
  <r>
    <x v="28"/>
    <x v="4"/>
    <s v="Total Electric Power Industry"/>
    <x v="4"/>
    <n v="68878"/>
  </r>
  <r>
    <x v="28"/>
    <x v="4"/>
    <s v="Total Electric Power Industry"/>
    <x v="13"/>
    <n v="26985177"/>
  </r>
  <r>
    <x v="28"/>
    <x v="4"/>
    <s v="Total Electric Power Industry"/>
    <x v="8"/>
    <n v="2823849"/>
  </r>
  <r>
    <x v="28"/>
    <x v="4"/>
    <s v="Total Electric Power Industry"/>
    <x v="5"/>
    <n v="14023951"/>
  </r>
  <r>
    <x v="28"/>
    <x v="4"/>
    <s v="Total Electric Power Industry"/>
    <x v="6"/>
    <n v="3122571"/>
  </r>
  <r>
    <x v="28"/>
    <x v="4"/>
    <s v="Combined Heat and Power, Industrial Power"/>
    <x v="0"/>
    <n v="13566030"/>
  </r>
  <r>
    <x v="28"/>
    <x v="4"/>
    <s v="Combined Heat and Power, Industrial Power"/>
    <x v="1"/>
    <n v="281328"/>
  </r>
  <r>
    <x v="28"/>
    <x v="4"/>
    <s v="Combined Heat and Power, Industrial Power"/>
    <x v="3"/>
    <n v="10451067"/>
  </r>
  <r>
    <x v="28"/>
    <x v="4"/>
    <s v="Combined Heat and Power, Industrial Power"/>
    <x v="9"/>
    <n v="1453960"/>
  </r>
  <r>
    <x v="28"/>
    <x v="4"/>
    <s v="Combined Heat and Power, Industrial Power"/>
    <x v="12"/>
    <n v="685862"/>
  </r>
  <r>
    <x v="28"/>
    <x v="4"/>
    <s v="Combined Heat and Power, Industrial Power"/>
    <x v="4"/>
    <n v="29114"/>
  </r>
  <r>
    <x v="28"/>
    <x v="4"/>
    <s v="Combined Heat and Power, Industrial Power"/>
    <x v="13"/>
    <n v="19518"/>
  </r>
  <r>
    <x v="28"/>
    <x v="4"/>
    <s v="Combined Heat and Power, Industrial Power"/>
    <x v="8"/>
    <n v="34884"/>
  </r>
  <r>
    <x v="28"/>
    <x v="4"/>
    <s v="Combined Heat and Power, Industrial Power"/>
    <x v="5"/>
    <n v="5101"/>
  </r>
  <r>
    <x v="28"/>
    <x v="4"/>
    <s v="Combined Heat and Power, Industrial Power"/>
    <x v="6"/>
    <n v="605196"/>
  </r>
  <r>
    <x v="28"/>
    <x v="4"/>
    <s v="Combined Heat and Power, Commercial Power"/>
    <x v="0"/>
    <n v="2779121"/>
  </r>
  <r>
    <x v="28"/>
    <x v="4"/>
    <s v="Combined Heat and Power, Commercial Power"/>
    <x v="10"/>
    <n v="0"/>
  </r>
  <r>
    <x v="28"/>
    <x v="4"/>
    <s v="Combined Heat and Power, Commercial Power"/>
    <x v="2"/>
    <n v="10884"/>
  </r>
  <r>
    <x v="28"/>
    <x v="4"/>
    <s v="Combined Heat and Power, Commercial Power"/>
    <x v="3"/>
    <n v="1834815"/>
  </r>
  <r>
    <x v="28"/>
    <x v="4"/>
    <s v="Combined Heat and Power, Commercial Power"/>
    <x v="12"/>
    <n v="-182"/>
  </r>
  <r>
    <x v="28"/>
    <x v="4"/>
    <s v="Combined Heat and Power, Commercial Power"/>
    <x v="4"/>
    <n v="546"/>
  </r>
  <r>
    <x v="28"/>
    <x v="4"/>
    <s v="Combined Heat and Power, Commercial Power"/>
    <x v="13"/>
    <n v="148017"/>
  </r>
  <r>
    <x v="28"/>
    <x v="4"/>
    <s v="Combined Heat and Power, Commercial Power"/>
    <x v="8"/>
    <n v="779291"/>
  </r>
  <r>
    <x v="28"/>
    <x v="4"/>
    <s v="Combined Heat and Power, Commercial Power"/>
    <x v="5"/>
    <n v="5750"/>
  </r>
  <r>
    <x v="28"/>
    <x v="4"/>
    <s v="Combined Heat and Power, Electric Power"/>
    <x v="0"/>
    <n v="14910074"/>
  </r>
  <r>
    <x v="28"/>
    <x v="4"/>
    <s v="Combined Heat and Power, Electric Power"/>
    <x v="1"/>
    <n v="0"/>
  </r>
  <r>
    <x v="28"/>
    <x v="4"/>
    <s v="Combined Heat and Power, Electric Power"/>
    <x v="3"/>
    <n v="13836548"/>
  </r>
  <r>
    <x v="28"/>
    <x v="4"/>
    <s v="Combined Heat and Power, Electric Power"/>
    <x v="12"/>
    <n v="76569"/>
  </r>
  <r>
    <x v="28"/>
    <x v="4"/>
    <s v="Combined Heat and Power, Electric Power"/>
    <x v="4"/>
    <n v="0"/>
  </r>
  <r>
    <x v="28"/>
    <x v="4"/>
    <s v="Combined Heat and Power, Electric Power"/>
    <x v="13"/>
    <n v="5385"/>
  </r>
  <r>
    <x v="28"/>
    <x v="4"/>
    <s v="Combined Heat and Power, Electric Power"/>
    <x v="8"/>
    <n v="175118"/>
  </r>
  <r>
    <x v="28"/>
    <x v="4"/>
    <s v="Combined Heat and Power, Electric Power"/>
    <x v="6"/>
    <n v="816455"/>
  </r>
  <r>
    <x v="28"/>
    <x v="4"/>
    <s v="Electric Generators, Independent Power Producers"/>
    <x v="0"/>
    <n v="88771404"/>
  </r>
  <r>
    <x v="28"/>
    <x v="4"/>
    <s v="Electric Generators, Independent Power Producers"/>
    <x v="11"/>
    <n v="10890611"/>
  </r>
  <r>
    <x v="28"/>
    <x v="4"/>
    <s v="Electric Generators, Independent Power Producers"/>
    <x v="2"/>
    <n v="1404581"/>
  </r>
  <r>
    <x v="28"/>
    <x v="4"/>
    <s v="Electric Generators, Independent Power Producers"/>
    <x v="3"/>
    <n v="33488416"/>
  </r>
  <r>
    <x v="28"/>
    <x v="4"/>
    <s v="Electric Generators, Independent Power Producers"/>
    <x v="12"/>
    <n v="83830"/>
  </r>
  <r>
    <x v="28"/>
    <x v="4"/>
    <s v="Electric Generators, Independent Power Producers"/>
    <x v="4"/>
    <n v="5499"/>
  </r>
  <r>
    <x v="28"/>
    <x v="4"/>
    <s v="Electric Generators, Independent Power Producers"/>
    <x v="13"/>
    <n v="26292961"/>
  </r>
  <r>
    <x v="28"/>
    <x v="4"/>
    <s v="Electric Generators, Independent Power Producers"/>
    <x v="8"/>
    <n v="1741560"/>
  </r>
  <r>
    <x v="28"/>
    <x v="4"/>
    <s v="Electric Generators, Independent Power Producers"/>
    <x v="5"/>
    <n v="13163026"/>
  </r>
  <r>
    <x v="28"/>
    <x v="4"/>
    <s v="Electric Generators, Independent Power Producers"/>
    <x v="6"/>
    <n v="1700921"/>
  </r>
  <r>
    <x v="28"/>
    <x v="4"/>
    <s v="Electric Generators, Electric Utilities"/>
    <x v="0"/>
    <n v="75238779"/>
  </r>
  <r>
    <x v="28"/>
    <x v="4"/>
    <s v="Electric Generators, Electric Utilities"/>
    <x v="11"/>
    <n v="786230"/>
  </r>
  <r>
    <x v="28"/>
    <x v="4"/>
    <s v="Electric Generators, Electric Utilities"/>
    <x v="10"/>
    <n v="-148574"/>
  </r>
  <r>
    <x v="28"/>
    <x v="4"/>
    <s v="Electric Generators, Electric Utilities"/>
    <x v="2"/>
    <n v="24915201"/>
  </r>
  <r>
    <x v="28"/>
    <x v="4"/>
    <s v="Electric Generators, Electric Utilities"/>
    <x v="3"/>
    <n v="29993629"/>
  </r>
  <r>
    <x v="28"/>
    <x v="4"/>
    <s v="Electric Generators, Electric Utilities"/>
    <x v="7"/>
    <n v="18213519"/>
  </r>
  <r>
    <x v="28"/>
    <x v="4"/>
    <s v="Electric Generators, Electric Utilities"/>
    <x v="9"/>
    <n v="0"/>
  </r>
  <r>
    <x v="28"/>
    <x v="4"/>
    <s v="Electric Generators, Electric Utilities"/>
    <x v="12"/>
    <n v="-17311"/>
  </r>
  <r>
    <x v="28"/>
    <x v="4"/>
    <s v="Electric Generators, Electric Utilities"/>
    <x v="4"/>
    <n v="33719"/>
  </r>
  <r>
    <x v="28"/>
    <x v="4"/>
    <s v="Electric Generators, Electric Utilities"/>
    <x v="13"/>
    <n v="519296"/>
  </r>
  <r>
    <x v="28"/>
    <x v="4"/>
    <s v="Electric Generators, Electric Utilities"/>
    <x v="8"/>
    <n v="92995"/>
  </r>
  <r>
    <x v="28"/>
    <x v="4"/>
    <s v="Electric Generators, Electric Utilities"/>
    <x v="5"/>
    <n v="850074"/>
  </r>
  <r>
    <x v="28"/>
    <x v="5"/>
    <s v="Total Electric Power Industry"/>
    <x v="0"/>
    <n v="55386279"/>
  </r>
  <r>
    <x v="28"/>
    <x v="5"/>
    <s v="Total Electric Power Industry"/>
    <x v="1"/>
    <n v="26382060"/>
  </r>
  <r>
    <x v="28"/>
    <x v="5"/>
    <s v="Total Electric Power Industry"/>
    <x v="10"/>
    <n v="-262738"/>
  </r>
  <r>
    <x v="28"/>
    <x v="5"/>
    <s v="Total Electric Power Industry"/>
    <x v="2"/>
    <n v="1825385"/>
  </r>
  <r>
    <x v="28"/>
    <x v="5"/>
    <s v="Total Electric Power Industry"/>
    <x v="3"/>
    <n v="16398439"/>
  </r>
  <r>
    <x v="28"/>
    <x v="5"/>
    <s v="Total Electric Power Industry"/>
    <x v="12"/>
    <n v="59292"/>
  </r>
  <r>
    <x v="28"/>
    <x v="5"/>
    <s v="Total Electric Power Industry"/>
    <x v="4"/>
    <n v="11882"/>
  </r>
  <r>
    <x v="28"/>
    <x v="5"/>
    <s v="Total Electric Power Industry"/>
    <x v="13"/>
    <n v="1062380"/>
  </r>
  <r>
    <x v="28"/>
    <x v="5"/>
    <s v="Total Electric Power Industry"/>
    <x v="8"/>
    <n v="75788"/>
  </r>
  <r>
    <x v="28"/>
    <x v="5"/>
    <s v="Total Electric Power Industry"/>
    <x v="5"/>
    <n v="9745150"/>
  </r>
  <r>
    <x v="28"/>
    <x v="5"/>
    <s v="Total Electric Power Industry"/>
    <x v="6"/>
    <n v="88639"/>
  </r>
  <r>
    <x v="28"/>
    <x v="5"/>
    <s v="Combined Heat and Power, Industrial Power"/>
    <x v="0"/>
    <n v="75530"/>
  </r>
  <r>
    <x v="28"/>
    <x v="5"/>
    <s v="Combined Heat and Power, Industrial Power"/>
    <x v="1"/>
    <n v="11939"/>
  </r>
  <r>
    <x v="28"/>
    <x v="5"/>
    <s v="Combined Heat and Power, Industrial Power"/>
    <x v="3"/>
    <n v="18796"/>
  </r>
  <r>
    <x v="28"/>
    <x v="5"/>
    <s v="Combined Heat and Power, Industrial Power"/>
    <x v="12"/>
    <n v="41646"/>
  </r>
  <r>
    <x v="28"/>
    <x v="5"/>
    <s v="Combined Heat and Power, Industrial Power"/>
    <x v="4"/>
    <n v="27"/>
  </r>
  <r>
    <x v="28"/>
    <x v="5"/>
    <s v="Combined Heat and Power, Industrial Power"/>
    <x v="5"/>
    <n v="3122"/>
  </r>
  <r>
    <x v="28"/>
    <x v="5"/>
    <s v="Combined Heat and Power, Commercial Power"/>
    <x v="0"/>
    <n v="26507"/>
  </r>
  <r>
    <x v="28"/>
    <x v="5"/>
    <s v="Combined Heat and Power, Commercial Power"/>
    <x v="2"/>
    <n v="13102"/>
  </r>
  <r>
    <x v="28"/>
    <x v="5"/>
    <s v="Combined Heat and Power, Commercial Power"/>
    <x v="3"/>
    <n v="861"/>
  </r>
  <r>
    <x v="28"/>
    <x v="5"/>
    <s v="Combined Heat and Power, Commercial Power"/>
    <x v="4"/>
    <n v="0"/>
  </r>
  <r>
    <x v="28"/>
    <x v="5"/>
    <s v="Combined Heat and Power, Commercial Power"/>
    <x v="13"/>
    <n v="12461"/>
  </r>
  <r>
    <x v="28"/>
    <x v="5"/>
    <s v="Combined Heat and Power, Commercial Power"/>
    <x v="5"/>
    <n v="83"/>
  </r>
  <r>
    <x v="28"/>
    <x v="5"/>
    <s v="Combined Heat and Power, Electric Power"/>
    <x v="0"/>
    <n v="204651"/>
  </r>
  <r>
    <x v="28"/>
    <x v="5"/>
    <s v="Combined Heat and Power, Electric Power"/>
    <x v="1"/>
    <n v="0"/>
  </r>
  <r>
    <x v="28"/>
    <x v="5"/>
    <s v="Combined Heat and Power, Electric Power"/>
    <x v="3"/>
    <n v="172784"/>
  </r>
  <r>
    <x v="28"/>
    <x v="5"/>
    <s v="Combined Heat and Power, Electric Power"/>
    <x v="4"/>
    <n v="0"/>
  </r>
  <r>
    <x v="28"/>
    <x v="5"/>
    <s v="Combined Heat and Power, Electric Power"/>
    <x v="8"/>
    <n v="31867"/>
  </r>
  <r>
    <x v="28"/>
    <x v="5"/>
    <s v="Electric Generators, Independent Power Producers"/>
    <x v="0"/>
    <n v="13042990"/>
  </r>
  <r>
    <x v="28"/>
    <x v="5"/>
    <s v="Electric Generators, Independent Power Producers"/>
    <x v="2"/>
    <n v="211723"/>
  </r>
  <r>
    <x v="28"/>
    <x v="5"/>
    <s v="Electric Generators, Independent Power Producers"/>
    <x v="3"/>
    <n v="2402108"/>
  </r>
  <r>
    <x v="28"/>
    <x v="5"/>
    <s v="Electric Generators, Independent Power Producers"/>
    <x v="12"/>
    <n v="17674"/>
  </r>
  <r>
    <x v="28"/>
    <x v="5"/>
    <s v="Electric Generators, Independent Power Producers"/>
    <x v="4"/>
    <n v="399"/>
  </r>
  <r>
    <x v="28"/>
    <x v="5"/>
    <s v="Electric Generators, Independent Power Producers"/>
    <x v="13"/>
    <n v="1044643"/>
  </r>
  <r>
    <x v="28"/>
    <x v="5"/>
    <s v="Electric Generators, Independent Power Producers"/>
    <x v="8"/>
    <n v="43921"/>
  </r>
  <r>
    <x v="28"/>
    <x v="5"/>
    <s v="Electric Generators, Independent Power Producers"/>
    <x v="5"/>
    <n v="9233883"/>
  </r>
  <r>
    <x v="28"/>
    <x v="5"/>
    <s v="Electric Generators, Independent Power Producers"/>
    <x v="6"/>
    <n v="88639"/>
  </r>
  <r>
    <x v="28"/>
    <x v="5"/>
    <s v="Electric Generators, Electric Utilities"/>
    <x v="0"/>
    <n v="42036600"/>
  </r>
  <r>
    <x v="28"/>
    <x v="5"/>
    <s v="Electric Generators, Electric Utilities"/>
    <x v="1"/>
    <n v="26370121"/>
  </r>
  <r>
    <x v="28"/>
    <x v="5"/>
    <s v="Electric Generators, Electric Utilities"/>
    <x v="10"/>
    <n v="-262738"/>
  </r>
  <r>
    <x v="28"/>
    <x v="5"/>
    <s v="Electric Generators, Electric Utilities"/>
    <x v="2"/>
    <n v="1600560"/>
  </r>
  <r>
    <x v="28"/>
    <x v="5"/>
    <s v="Electric Generators, Electric Utilities"/>
    <x v="3"/>
    <n v="13803891"/>
  </r>
  <r>
    <x v="28"/>
    <x v="5"/>
    <s v="Electric Generators, Electric Utilities"/>
    <x v="12"/>
    <n v="-28"/>
  </r>
  <r>
    <x v="28"/>
    <x v="5"/>
    <s v="Electric Generators, Electric Utilities"/>
    <x v="4"/>
    <n v="11456"/>
  </r>
  <r>
    <x v="28"/>
    <x v="5"/>
    <s v="Electric Generators, Electric Utilities"/>
    <x v="13"/>
    <n v="5276"/>
  </r>
  <r>
    <x v="28"/>
    <x v="5"/>
    <s v="Electric Generators, Electric Utilities"/>
    <x v="5"/>
    <n v="508062"/>
  </r>
  <r>
    <x v="28"/>
    <x v="6"/>
    <s v="Total Electric Power Industry"/>
    <x v="0"/>
    <n v="39453552"/>
  </r>
  <r>
    <x v="28"/>
    <x v="6"/>
    <s v="Total Electric Power Industry"/>
    <x v="1"/>
    <n v="329701"/>
  </r>
  <r>
    <x v="28"/>
    <x v="6"/>
    <s v="Total Electric Power Industry"/>
    <x v="10"/>
    <n v="3471"/>
  </r>
  <r>
    <x v="28"/>
    <x v="6"/>
    <s v="Total Electric Power Industry"/>
    <x v="2"/>
    <n v="555319"/>
  </r>
  <r>
    <x v="28"/>
    <x v="6"/>
    <s v="Total Electric Power Industry"/>
    <x v="3"/>
    <n v="20006457"/>
  </r>
  <r>
    <x v="28"/>
    <x v="6"/>
    <s v="Total Electric Power Industry"/>
    <x v="7"/>
    <n v="16881492"/>
  </r>
  <r>
    <x v="28"/>
    <x v="6"/>
    <s v="Total Electric Power Industry"/>
    <x v="12"/>
    <n v="464733"/>
  </r>
  <r>
    <x v="28"/>
    <x v="6"/>
    <s v="Total Electric Power Industry"/>
    <x v="4"/>
    <n v="338957"/>
  </r>
  <r>
    <x v="28"/>
    <x v="6"/>
    <s v="Total Electric Power Industry"/>
    <x v="13"/>
    <n v="105555"/>
  </r>
  <r>
    <x v="28"/>
    <x v="6"/>
    <s v="Total Electric Power Industry"/>
    <x v="8"/>
    <n v="494699"/>
  </r>
  <r>
    <x v="28"/>
    <x v="6"/>
    <s v="Total Electric Power Industry"/>
    <x v="5"/>
    <n v="12295"/>
  </r>
  <r>
    <x v="28"/>
    <x v="6"/>
    <s v="Total Electric Power Industry"/>
    <x v="6"/>
    <n v="260871"/>
  </r>
  <r>
    <x v="28"/>
    <x v="6"/>
    <s v="Combined Heat and Power, Industrial Power"/>
    <x v="0"/>
    <n v="644445"/>
  </r>
  <r>
    <x v="28"/>
    <x v="6"/>
    <s v="Combined Heat and Power, Industrial Power"/>
    <x v="3"/>
    <n v="643084"/>
  </r>
  <r>
    <x v="28"/>
    <x v="6"/>
    <s v="Combined Heat and Power, Industrial Power"/>
    <x v="4"/>
    <n v="1251"/>
  </r>
  <r>
    <x v="28"/>
    <x v="6"/>
    <s v="Combined Heat and Power, Industrial Power"/>
    <x v="13"/>
    <n v="110"/>
  </r>
  <r>
    <x v="28"/>
    <x v="6"/>
    <s v="Combined Heat and Power, Commercial Power"/>
    <x v="0"/>
    <n v="432822"/>
  </r>
  <r>
    <x v="28"/>
    <x v="6"/>
    <s v="Combined Heat and Power, Commercial Power"/>
    <x v="3"/>
    <n v="428707"/>
  </r>
  <r>
    <x v="28"/>
    <x v="6"/>
    <s v="Combined Heat and Power, Commercial Power"/>
    <x v="4"/>
    <n v="3195"/>
  </r>
  <r>
    <x v="28"/>
    <x v="6"/>
    <s v="Combined Heat and Power, Commercial Power"/>
    <x v="13"/>
    <n v="920"/>
  </r>
  <r>
    <x v="28"/>
    <x v="6"/>
    <s v="Combined Heat and Power, Electric Power"/>
    <x v="0"/>
    <n v="261724"/>
  </r>
  <r>
    <x v="28"/>
    <x v="6"/>
    <s v="Combined Heat and Power, Electric Power"/>
    <x v="3"/>
    <n v="258825"/>
  </r>
  <r>
    <x v="28"/>
    <x v="6"/>
    <s v="Combined Heat and Power, Electric Power"/>
    <x v="4"/>
    <n v="2899"/>
  </r>
  <r>
    <x v="28"/>
    <x v="6"/>
    <s v="Electric Generators, Independent Power Producers"/>
    <x v="0"/>
    <n v="38005620"/>
  </r>
  <r>
    <x v="28"/>
    <x v="6"/>
    <s v="Electric Generators, Independent Power Producers"/>
    <x v="1"/>
    <n v="329701"/>
  </r>
  <r>
    <x v="28"/>
    <x v="6"/>
    <s v="Electric Generators, Independent Power Producers"/>
    <x v="10"/>
    <n v="3471"/>
  </r>
  <r>
    <x v="28"/>
    <x v="6"/>
    <s v="Electric Generators, Independent Power Producers"/>
    <x v="2"/>
    <n v="513910"/>
  </r>
  <r>
    <x v="28"/>
    <x v="6"/>
    <s v="Electric Generators, Independent Power Producers"/>
    <x v="3"/>
    <n v="18616668"/>
  </r>
  <r>
    <x v="28"/>
    <x v="6"/>
    <s v="Electric Generators, Independent Power Producers"/>
    <x v="7"/>
    <n v="16881492"/>
  </r>
  <r>
    <x v="28"/>
    <x v="6"/>
    <s v="Electric Generators, Independent Power Producers"/>
    <x v="12"/>
    <n v="464733"/>
  </r>
  <r>
    <x v="28"/>
    <x v="6"/>
    <s v="Electric Generators, Independent Power Producers"/>
    <x v="4"/>
    <n v="326446"/>
  </r>
  <r>
    <x v="28"/>
    <x v="6"/>
    <s v="Electric Generators, Independent Power Producers"/>
    <x v="13"/>
    <n v="101334"/>
  </r>
  <r>
    <x v="28"/>
    <x v="6"/>
    <s v="Electric Generators, Independent Power Producers"/>
    <x v="8"/>
    <n v="494699"/>
  </r>
  <r>
    <x v="28"/>
    <x v="6"/>
    <s v="Electric Generators, Independent Power Producers"/>
    <x v="5"/>
    <n v="12295"/>
  </r>
  <r>
    <x v="28"/>
    <x v="6"/>
    <s v="Electric Generators, Independent Power Producers"/>
    <x v="6"/>
    <n v="260871"/>
  </r>
  <r>
    <x v="28"/>
    <x v="6"/>
    <s v="Electric Generators, Electric Utilities"/>
    <x v="0"/>
    <n v="108940"/>
  </r>
  <r>
    <x v="28"/>
    <x v="6"/>
    <s v="Electric Generators, Electric Utilities"/>
    <x v="2"/>
    <n v="41409"/>
  </r>
  <r>
    <x v="28"/>
    <x v="6"/>
    <s v="Electric Generators, Electric Utilities"/>
    <x v="3"/>
    <n v="59174"/>
  </r>
  <r>
    <x v="28"/>
    <x v="6"/>
    <s v="Electric Generators, Electric Utilities"/>
    <x v="4"/>
    <n v="5166"/>
  </r>
  <r>
    <x v="28"/>
    <x v="6"/>
    <s v="Electric Generators, Electric Utilities"/>
    <x v="13"/>
    <n v="3191"/>
  </r>
  <r>
    <x v="28"/>
    <x v="6"/>
    <s v="Electric Generators, Electric Utilities"/>
    <x v="8"/>
    <n v="0"/>
  </r>
  <r>
    <x v="28"/>
    <x v="7"/>
    <s v="Total Electric Power Industry"/>
    <x v="0"/>
    <n v="79331"/>
  </r>
  <r>
    <x v="28"/>
    <x v="7"/>
    <s v="Total Electric Power Industry"/>
    <x v="3"/>
    <n v="22770"/>
  </r>
  <r>
    <x v="28"/>
    <x v="7"/>
    <s v="Total Electric Power Industry"/>
    <x v="4"/>
    <n v="0"/>
  </r>
  <r>
    <x v="28"/>
    <x v="7"/>
    <s v="Total Electric Power Industry"/>
    <x v="8"/>
    <n v="56561"/>
  </r>
  <r>
    <x v="28"/>
    <x v="7"/>
    <s v="Combined Heat and Power, Commercial Power"/>
    <x v="0"/>
    <n v="79331"/>
  </r>
  <r>
    <x v="28"/>
    <x v="7"/>
    <s v="Combined Heat and Power, Commercial Power"/>
    <x v="3"/>
    <n v="22770"/>
  </r>
  <r>
    <x v="28"/>
    <x v="7"/>
    <s v="Combined Heat and Power, Commercial Power"/>
    <x v="4"/>
    <n v="0"/>
  </r>
  <r>
    <x v="28"/>
    <x v="7"/>
    <s v="Combined Heat and Power, Commercial Power"/>
    <x v="8"/>
    <n v="56561"/>
  </r>
  <r>
    <x v="28"/>
    <x v="8"/>
    <s v="Total Electric Power Industry"/>
    <x v="0"/>
    <n v="6240644"/>
  </r>
  <r>
    <x v="28"/>
    <x v="8"/>
    <s v="Total Electric Power Industry"/>
    <x v="1"/>
    <n v="273388"/>
  </r>
  <r>
    <x v="28"/>
    <x v="8"/>
    <s v="Total Electric Power Industry"/>
    <x v="3"/>
    <n v="5400155"/>
  </r>
  <r>
    <x v="28"/>
    <x v="8"/>
    <s v="Total Electric Power Industry"/>
    <x v="9"/>
    <n v="252180"/>
  </r>
  <r>
    <x v="28"/>
    <x v="8"/>
    <s v="Total Electric Power Industry"/>
    <x v="4"/>
    <n v="200824"/>
  </r>
  <r>
    <x v="28"/>
    <x v="8"/>
    <s v="Total Electric Power Industry"/>
    <x v="13"/>
    <n v="49789"/>
  </r>
  <r>
    <x v="28"/>
    <x v="8"/>
    <s v="Total Electric Power Industry"/>
    <x v="8"/>
    <n v="59101"/>
  </r>
  <r>
    <x v="28"/>
    <x v="8"/>
    <s v="Total Electric Power Industry"/>
    <x v="5"/>
    <n v="5207"/>
  </r>
  <r>
    <x v="28"/>
    <x v="8"/>
    <s v="Combined Heat and Power, Industrial Power"/>
    <x v="0"/>
    <n v="1073448"/>
  </r>
  <r>
    <x v="28"/>
    <x v="8"/>
    <s v="Combined Heat and Power, Industrial Power"/>
    <x v="3"/>
    <n v="808769"/>
  </r>
  <r>
    <x v="28"/>
    <x v="8"/>
    <s v="Combined Heat and Power, Industrial Power"/>
    <x v="9"/>
    <n v="252180"/>
  </r>
  <r>
    <x v="28"/>
    <x v="8"/>
    <s v="Combined Heat and Power, Industrial Power"/>
    <x v="4"/>
    <n v="0"/>
  </r>
  <r>
    <x v="28"/>
    <x v="8"/>
    <s v="Combined Heat and Power, Industrial Power"/>
    <x v="8"/>
    <n v="12499"/>
  </r>
  <r>
    <x v="28"/>
    <x v="8"/>
    <s v="Combined Heat and Power, Commercial Power"/>
    <x v="0"/>
    <n v="5803"/>
  </r>
  <r>
    <x v="28"/>
    <x v="8"/>
    <s v="Combined Heat and Power, Commercial Power"/>
    <x v="13"/>
    <n v="596"/>
  </r>
  <r>
    <x v="28"/>
    <x v="8"/>
    <s v="Combined Heat and Power, Commercial Power"/>
    <x v="5"/>
    <n v="5207"/>
  </r>
  <r>
    <x v="28"/>
    <x v="8"/>
    <s v="Combined Heat and Power, Electric Power"/>
    <x v="0"/>
    <n v="93314"/>
  </r>
  <r>
    <x v="28"/>
    <x v="8"/>
    <s v="Combined Heat and Power, Electric Power"/>
    <x v="1"/>
    <n v="0"/>
  </r>
  <r>
    <x v="28"/>
    <x v="8"/>
    <s v="Combined Heat and Power, Electric Power"/>
    <x v="3"/>
    <n v="90679"/>
  </r>
  <r>
    <x v="28"/>
    <x v="8"/>
    <s v="Combined Heat and Power, Electric Power"/>
    <x v="4"/>
    <n v="2635"/>
  </r>
  <r>
    <x v="28"/>
    <x v="8"/>
    <s v="Electric Generators, Independent Power Producers"/>
    <x v="0"/>
    <n v="5031168"/>
  </r>
  <r>
    <x v="28"/>
    <x v="8"/>
    <s v="Electric Generators, Independent Power Producers"/>
    <x v="1"/>
    <n v="273388"/>
  </r>
  <r>
    <x v="28"/>
    <x v="8"/>
    <s v="Electric Generators, Independent Power Producers"/>
    <x v="3"/>
    <n v="4476168"/>
  </r>
  <r>
    <x v="28"/>
    <x v="8"/>
    <s v="Electric Generators, Independent Power Producers"/>
    <x v="4"/>
    <n v="192030"/>
  </r>
  <r>
    <x v="28"/>
    <x v="8"/>
    <s v="Electric Generators, Independent Power Producers"/>
    <x v="13"/>
    <n v="42981"/>
  </r>
  <r>
    <x v="28"/>
    <x v="8"/>
    <s v="Electric Generators, Independent Power Producers"/>
    <x v="8"/>
    <n v="46602"/>
  </r>
  <r>
    <x v="28"/>
    <x v="8"/>
    <s v="Electric Generators, Electric Utilities"/>
    <x v="0"/>
    <n v="36911"/>
  </r>
  <r>
    <x v="28"/>
    <x v="8"/>
    <s v="Electric Generators, Electric Utilities"/>
    <x v="3"/>
    <n v="24539"/>
  </r>
  <r>
    <x v="28"/>
    <x v="8"/>
    <s v="Electric Generators, Electric Utilities"/>
    <x v="4"/>
    <n v="6160"/>
  </r>
  <r>
    <x v="28"/>
    <x v="8"/>
    <s v="Electric Generators, Electric Utilities"/>
    <x v="13"/>
    <n v="6212"/>
  </r>
  <r>
    <x v="28"/>
    <x v="9"/>
    <s v="Total Electric Power Industry"/>
    <x v="0"/>
    <n v="244252035"/>
  </r>
  <r>
    <x v="28"/>
    <x v="9"/>
    <s v="Total Electric Power Industry"/>
    <x v="1"/>
    <n v="30272201"/>
  </r>
  <r>
    <x v="28"/>
    <x v="9"/>
    <s v="Total Electric Power Industry"/>
    <x v="2"/>
    <n v="232574"/>
  </r>
  <r>
    <x v="28"/>
    <x v="9"/>
    <s v="Total Electric Power Industry"/>
    <x v="3"/>
    <n v="171872214"/>
  </r>
  <r>
    <x v="28"/>
    <x v="9"/>
    <s v="Total Electric Power Industry"/>
    <x v="7"/>
    <n v="29312349"/>
  </r>
  <r>
    <x v="28"/>
    <x v="9"/>
    <s v="Total Electric Power Industry"/>
    <x v="9"/>
    <n v="5488"/>
  </r>
  <r>
    <x v="28"/>
    <x v="9"/>
    <s v="Total Electric Power Industry"/>
    <x v="12"/>
    <n v="2983320"/>
  </r>
  <r>
    <x v="28"/>
    <x v="9"/>
    <s v="Total Electric Power Industry"/>
    <x v="4"/>
    <n v="2077358"/>
  </r>
  <r>
    <x v="28"/>
    <x v="9"/>
    <s v="Total Electric Power Industry"/>
    <x v="13"/>
    <n v="2412063"/>
  </r>
  <r>
    <x v="28"/>
    <x v="9"/>
    <s v="Total Electric Power Industry"/>
    <x v="8"/>
    <n v="2568988"/>
  </r>
  <r>
    <x v="28"/>
    <x v="9"/>
    <s v="Total Electric Power Industry"/>
    <x v="6"/>
    <n v="2515480"/>
  </r>
  <r>
    <x v="28"/>
    <x v="9"/>
    <s v="Combined Heat and Power, Industrial Power"/>
    <x v="0"/>
    <n v="5079348"/>
  </r>
  <r>
    <x v="28"/>
    <x v="9"/>
    <s v="Combined Heat and Power, Industrial Power"/>
    <x v="1"/>
    <n v="97655"/>
  </r>
  <r>
    <x v="28"/>
    <x v="9"/>
    <s v="Combined Heat and Power, Industrial Power"/>
    <x v="3"/>
    <n v="1550018"/>
  </r>
  <r>
    <x v="28"/>
    <x v="9"/>
    <s v="Combined Heat and Power, Industrial Power"/>
    <x v="9"/>
    <n v="5488"/>
  </r>
  <r>
    <x v="28"/>
    <x v="9"/>
    <s v="Combined Heat and Power, Industrial Power"/>
    <x v="12"/>
    <n v="1461129"/>
  </r>
  <r>
    <x v="28"/>
    <x v="9"/>
    <s v="Combined Heat and Power, Industrial Power"/>
    <x v="4"/>
    <n v="23230"/>
  </r>
  <r>
    <x v="28"/>
    <x v="9"/>
    <s v="Combined Heat and Power, Industrial Power"/>
    <x v="13"/>
    <n v="2417"/>
  </r>
  <r>
    <x v="28"/>
    <x v="9"/>
    <s v="Combined Heat and Power, Industrial Power"/>
    <x v="8"/>
    <n v="263852"/>
  </r>
  <r>
    <x v="28"/>
    <x v="9"/>
    <s v="Combined Heat and Power, Industrial Power"/>
    <x v="6"/>
    <n v="1675558"/>
  </r>
  <r>
    <x v="28"/>
    <x v="9"/>
    <s v="Combined Heat and Power, Commercial Power"/>
    <x v="0"/>
    <n v="80386"/>
  </r>
  <r>
    <x v="28"/>
    <x v="9"/>
    <s v="Combined Heat and Power, Commercial Power"/>
    <x v="3"/>
    <n v="29797"/>
  </r>
  <r>
    <x v="28"/>
    <x v="9"/>
    <s v="Combined Heat and Power, Commercial Power"/>
    <x v="4"/>
    <n v="0"/>
  </r>
  <r>
    <x v="28"/>
    <x v="9"/>
    <s v="Combined Heat and Power, Commercial Power"/>
    <x v="13"/>
    <n v="5839"/>
  </r>
  <r>
    <x v="28"/>
    <x v="9"/>
    <s v="Combined Heat and Power, Commercial Power"/>
    <x v="8"/>
    <n v="44749"/>
  </r>
  <r>
    <x v="28"/>
    <x v="9"/>
    <s v="Combined Heat and Power, Electric Power"/>
    <x v="0"/>
    <n v="2179067"/>
  </r>
  <r>
    <x v="28"/>
    <x v="9"/>
    <s v="Combined Heat and Power, Electric Power"/>
    <x v="3"/>
    <n v="2124448"/>
  </r>
  <r>
    <x v="28"/>
    <x v="9"/>
    <s v="Combined Heat and Power, Electric Power"/>
    <x v="4"/>
    <n v="0"/>
  </r>
  <r>
    <x v="28"/>
    <x v="9"/>
    <s v="Combined Heat and Power, Electric Power"/>
    <x v="8"/>
    <n v="54618"/>
  </r>
  <r>
    <x v="28"/>
    <x v="9"/>
    <s v="Combined Heat and Power, Electric Power"/>
    <x v="6"/>
    <n v="0"/>
  </r>
  <r>
    <x v="28"/>
    <x v="9"/>
    <s v="Electric Generators, Independent Power Producers"/>
    <x v="0"/>
    <n v="9629156"/>
  </r>
  <r>
    <x v="28"/>
    <x v="9"/>
    <s v="Electric Generators, Independent Power Producers"/>
    <x v="1"/>
    <n v="0"/>
  </r>
  <r>
    <x v="28"/>
    <x v="9"/>
    <s v="Electric Generators, Independent Power Producers"/>
    <x v="3"/>
    <n v="5325099"/>
  </r>
  <r>
    <x v="28"/>
    <x v="9"/>
    <s v="Electric Generators, Independent Power Producers"/>
    <x v="12"/>
    <n v="1522548"/>
  </r>
  <r>
    <x v="28"/>
    <x v="9"/>
    <s v="Electric Generators, Independent Power Producers"/>
    <x v="4"/>
    <n v="12106"/>
  </r>
  <r>
    <x v="28"/>
    <x v="9"/>
    <s v="Electric Generators, Independent Power Producers"/>
    <x v="13"/>
    <n v="377902"/>
  </r>
  <r>
    <x v="28"/>
    <x v="9"/>
    <s v="Electric Generators, Independent Power Producers"/>
    <x v="8"/>
    <n v="2120243"/>
  </r>
  <r>
    <x v="28"/>
    <x v="9"/>
    <s v="Electric Generators, Independent Power Producers"/>
    <x v="6"/>
    <n v="271257"/>
  </r>
  <r>
    <x v="28"/>
    <x v="9"/>
    <s v="Electric Generators, Electric Utilities"/>
    <x v="0"/>
    <n v="227284079"/>
  </r>
  <r>
    <x v="28"/>
    <x v="9"/>
    <s v="Electric Generators, Electric Utilities"/>
    <x v="1"/>
    <n v="30174545"/>
  </r>
  <r>
    <x v="28"/>
    <x v="9"/>
    <s v="Electric Generators, Electric Utilities"/>
    <x v="2"/>
    <n v="232574"/>
  </r>
  <r>
    <x v="28"/>
    <x v="9"/>
    <s v="Electric Generators, Electric Utilities"/>
    <x v="3"/>
    <n v="162842852"/>
  </r>
  <r>
    <x v="28"/>
    <x v="9"/>
    <s v="Electric Generators, Electric Utilities"/>
    <x v="7"/>
    <n v="29312349"/>
  </r>
  <r>
    <x v="28"/>
    <x v="9"/>
    <s v="Electric Generators, Electric Utilities"/>
    <x v="12"/>
    <n v="-358"/>
  </r>
  <r>
    <x v="28"/>
    <x v="9"/>
    <s v="Electric Generators, Electric Utilities"/>
    <x v="4"/>
    <n v="2042022"/>
  </r>
  <r>
    <x v="28"/>
    <x v="9"/>
    <s v="Electric Generators, Electric Utilities"/>
    <x v="13"/>
    <n v="2025905"/>
  </r>
  <r>
    <x v="28"/>
    <x v="9"/>
    <s v="Electric Generators, Electric Utilities"/>
    <x v="8"/>
    <n v="85525"/>
  </r>
  <r>
    <x v="28"/>
    <x v="9"/>
    <s v="Electric Generators, Electric Utilities"/>
    <x v="6"/>
    <n v="568665"/>
  </r>
  <r>
    <x v="28"/>
    <x v="10"/>
    <s v="Total Electric Power Industry"/>
    <x v="0"/>
    <n v="129239371"/>
  </r>
  <r>
    <x v="28"/>
    <x v="10"/>
    <s v="Total Electric Power Industry"/>
    <x v="1"/>
    <n v="32180555"/>
  </r>
  <r>
    <x v="28"/>
    <x v="10"/>
    <s v="Total Electric Power Industry"/>
    <x v="10"/>
    <n v="-488754"/>
  </r>
  <r>
    <x v="28"/>
    <x v="10"/>
    <s v="Total Electric Power Industry"/>
    <x v="2"/>
    <n v="3696868"/>
  </r>
  <r>
    <x v="28"/>
    <x v="10"/>
    <s v="Total Electric Power Industry"/>
    <x v="3"/>
    <n v="51972110"/>
  </r>
  <r>
    <x v="28"/>
    <x v="10"/>
    <s v="Total Electric Power Industry"/>
    <x v="7"/>
    <n v="34362676"/>
  </r>
  <r>
    <x v="28"/>
    <x v="10"/>
    <s v="Total Electric Power Industry"/>
    <x v="12"/>
    <n v="85789"/>
  </r>
  <r>
    <x v="28"/>
    <x v="10"/>
    <s v="Total Electric Power Industry"/>
    <x v="4"/>
    <n v="435734"/>
  </r>
  <r>
    <x v="28"/>
    <x v="10"/>
    <s v="Total Electric Power Industry"/>
    <x v="13"/>
    <n v="1995837"/>
  </r>
  <r>
    <x v="28"/>
    <x v="10"/>
    <s v="Total Electric Power Industry"/>
    <x v="8"/>
    <n v="340938"/>
  </r>
  <r>
    <x v="28"/>
    <x v="10"/>
    <s v="Total Electric Power Industry"/>
    <x v="6"/>
    <n v="4657619"/>
  </r>
  <r>
    <x v="28"/>
    <x v="10"/>
    <s v="Combined Heat and Power, Industrial Power"/>
    <x v="0"/>
    <n v="5237830"/>
  </r>
  <r>
    <x v="28"/>
    <x v="10"/>
    <s v="Combined Heat and Power, Industrial Power"/>
    <x v="1"/>
    <n v="197549"/>
  </r>
  <r>
    <x v="28"/>
    <x v="10"/>
    <s v="Combined Heat and Power, Industrial Power"/>
    <x v="2"/>
    <n v="10641"/>
  </r>
  <r>
    <x v="28"/>
    <x v="10"/>
    <s v="Combined Heat and Power, Industrial Power"/>
    <x v="3"/>
    <n v="593553"/>
  </r>
  <r>
    <x v="28"/>
    <x v="10"/>
    <s v="Combined Heat and Power, Industrial Power"/>
    <x v="12"/>
    <n v="85898"/>
  </r>
  <r>
    <x v="28"/>
    <x v="10"/>
    <s v="Combined Heat and Power, Industrial Power"/>
    <x v="4"/>
    <n v="233854"/>
  </r>
  <r>
    <x v="28"/>
    <x v="10"/>
    <s v="Combined Heat and Power, Industrial Power"/>
    <x v="8"/>
    <n v="32368"/>
  </r>
  <r>
    <x v="28"/>
    <x v="10"/>
    <s v="Combined Heat and Power, Industrial Power"/>
    <x v="6"/>
    <n v="4083968"/>
  </r>
  <r>
    <x v="28"/>
    <x v="10"/>
    <s v="Combined Heat and Power, Commercial Power"/>
    <x v="0"/>
    <n v="6911"/>
  </r>
  <r>
    <x v="28"/>
    <x v="10"/>
    <s v="Combined Heat and Power, Commercial Power"/>
    <x v="3"/>
    <n v="0"/>
  </r>
  <r>
    <x v="28"/>
    <x v="10"/>
    <s v="Combined Heat and Power, Commercial Power"/>
    <x v="4"/>
    <n v="4622"/>
  </r>
  <r>
    <x v="28"/>
    <x v="10"/>
    <s v="Combined Heat and Power, Commercial Power"/>
    <x v="13"/>
    <n v="2289"/>
  </r>
  <r>
    <x v="28"/>
    <x v="10"/>
    <s v="Combined Heat and Power, Commercial Power"/>
    <x v="8"/>
    <n v="0"/>
  </r>
  <r>
    <x v="28"/>
    <x v="10"/>
    <s v="Combined Heat and Power, Electric Power"/>
    <x v="0"/>
    <n v="289511"/>
  </r>
  <r>
    <x v="28"/>
    <x v="10"/>
    <s v="Combined Heat and Power, Electric Power"/>
    <x v="3"/>
    <n v="196590"/>
  </r>
  <r>
    <x v="28"/>
    <x v="10"/>
    <s v="Combined Heat and Power, Electric Power"/>
    <x v="4"/>
    <n v="16459"/>
  </r>
  <r>
    <x v="28"/>
    <x v="10"/>
    <s v="Combined Heat and Power, Electric Power"/>
    <x v="8"/>
    <n v="6511"/>
  </r>
  <r>
    <x v="28"/>
    <x v="10"/>
    <s v="Combined Heat and Power, Electric Power"/>
    <x v="6"/>
    <n v="69951"/>
  </r>
  <r>
    <x v="28"/>
    <x v="10"/>
    <s v="Electric Generators, Independent Power Producers"/>
    <x v="0"/>
    <n v="14534305"/>
  </r>
  <r>
    <x v="28"/>
    <x v="10"/>
    <s v="Electric Generators, Independent Power Producers"/>
    <x v="2"/>
    <n v="9974"/>
  </r>
  <r>
    <x v="28"/>
    <x v="10"/>
    <s v="Electric Generators, Independent Power Producers"/>
    <x v="3"/>
    <n v="11942200"/>
  </r>
  <r>
    <x v="28"/>
    <x v="10"/>
    <s v="Electric Generators, Independent Power Producers"/>
    <x v="4"/>
    <n v="75784"/>
  </r>
  <r>
    <x v="28"/>
    <x v="10"/>
    <s v="Electric Generators, Independent Power Producers"/>
    <x v="13"/>
    <n v="1700588"/>
  </r>
  <r>
    <x v="28"/>
    <x v="10"/>
    <s v="Electric Generators, Independent Power Producers"/>
    <x v="8"/>
    <n v="302059"/>
  </r>
  <r>
    <x v="28"/>
    <x v="10"/>
    <s v="Electric Generators, Independent Power Producers"/>
    <x v="6"/>
    <n v="503701"/>
  </r>
  <r>
    <x v="28"/>
    <x v="10"/>
    <s v="Electric Generators, Electric Utilities"/>
    <x v="0"/>
    <n v="109170814"/>
  </r>
  <r>
    <x v="28"/>
    <x v="10"/>
    <s v="Electric Generators, Electric Utilities"/>
    <x v="1"/>
    <n v="31983006"/>
  </r>
  <r>
    <x v="28"/>
    <x v="10"/>
    <s v="Electric Generators, Electric Utilities"/>
    <x v="10"/>
    <n v="-488754"/>
  </r>
  <r>
    <x v="28"/>
    <x v="10"/>
    <s v="Electric Generators, Electric Utilities"/>
    <x v="2"/>
    <n v="3676253"/>
  </r>
  <r>
    <x v="28"/>
    <x v="10"/>
    <s v="Electric Generators, Electric Utilities"/>
    <x v="3"/>
    <n v="39239767"/>
  </r>
  <r>
    <x v="28"/>
    <x v="10"/>
    <s v="Electric Generators, Electric Utilities"/>
    <x v="7"/>
    <n v="34362676"/>
  </r>
  <r>
    <x v="28"/>
    <x v="10"/>
    <s v="Electric Generators, Electric Utilities"/>
    <x v="12"/>
    <n v="-109"/>
  </r>
  <r>
    <x v="28"/>
    <x v="10"/>
    <s v="Electric Generators, Electric Utilities"/>
    <x v="4"/>
    <n v="105015"/>
  </r>
  <r>
    <x v="28"/>
    <x v="10"/>
    <s v="Electric Generators, Electric Utilities"/>
    <x v="13"/>
    <n v="292960"/>
  </r>
  <r>
    <x v="28"/>
    <x v="11"/>
    <s v="Total Electric Power Industry"/>
    <x v="0"/>
    <n v="9796773"/>
  </r>
  <r>
    <x v="28"/>
    <x v="11"/>
    <s v="Total Electric Power Industry"/>
    <x v="1"/>
    <n v="1311203"/>
  </r>
  <r>
    <x v="28"/>
    <x v="11"/>
    <s v="Total Electric Power Industry"/>
    <x v="11"/>
    <n v="110089"/>
  </r>
  <r>
    <x v="28"/>
    <x v="11"/>
    <s v="Total Electric Power Industry"/>
    <x v="2"/>
    <n v="96520"/>
  </r>
  <r>
    <x v="28"/>
    <x v="11"/>
    <s v="Total Electric Power Industry"/>
    <x v="9"/>
    <n v="55722"/>
  </r>
  <r>
    <x v="28"/>
    <x v="11"/>
    <s v="Total Electric Power Industry"/>
    <x v="12"/>
    <n v="382269"/>
  </r>
  <r>
    <x v="28"/>
    <x v="11"/>
    <s v="Total Electric Power Industry"/>
    <x v="4"/>
    <n v="6748947"/>
  </r>
  <r>
    <x v="28"/>
    <x v="11"/>
    <s v="Total Electric Power Industry"/>
    <x v="13"/>
    <n v="184576"/>
  </r>
  <r>
    <x v="28"/>
    <x v="11"/>
    <s v="Total Electric Power Industry"/>
    <x v="8"/>
    <n v="305513"/>
  </r>
  <r>
    <x v="28"/>
    <x v="11"/>
    <s v="Total Electric Power Industry"/>
    <x v="5"/>
    <n v="601934"/>
  </r>
  <r>
    <x v="28"/>
    <x v="11"/>
    <s v="Total Electric Power Industry"/>
    <x v="6"/>
    <n v="0"/>
  </r>
  <r>
    <x v="28"/>
    <x v="11"/>
    <s v="Combined Heat and Power, Industrial Power"/>
    <x v="0"/>
    <n v="280675"/>
  </r>
  <r>
    <x v="28"/>
    <x v="11"/>
    <s v="Combined Heat and Power, Industrial Power"/>
    <x v="2"/>
    <n v="34451"/>
  </r>
  <r>
    <x v="28"/>
    <x v="11"/>
    <s v="Combined Heat and Power, Industrial Power"/>
    <x v="9"/>
    <n v="55722"/>
  </r>
  <r>
    <x v="28"/>
    <x v="11"/>
    <s v="Combined Heat and Power, Industrial Power"/>
    <x v="4"/>
    <n v="190502"/>
  </r>
  <r>
    <x v="28"/>
    <x v="11"/>
    <s v="Combined Heat and Power, Commercial Power"/>
    <x v="0"/>
    <n v="397634"/>
  </r>
  <r>
    <x v="28"/>
    <x v="11"/>
    <s v="Combined Heat and Power, Commercial Power"/>
    <x v="12"/>
    <n v="193355"/>
  </r>
  <r>
    <x v="28"/>
    <x v="11"/>
    <s v="Combined Heat and Power, Commercial Power"/>
    <x v="4"/>
    <n v="3037"/>
  </r>
  <r>
    <x v="28"/>
    <x v="11"/>
    <s v="Combined Heat and Power, Commercial Power"/>
    <x v="8"/>
    <n v="201241"/>
  </r>
  <r>
    <x v="28"/>
    <x v="11"/>
    <s v="Combined Heat and Power, Electric Power"/>
    <x v="0"/>
    <n v="2607156"/>
  </r>
  <r>
    <x v="28"/>
    <x v="11"/>
    <s v="Combined Heat and Power, Electric Power"/>
    <x v="1"/>
    <n v="1311203"/>
  </r>
  <r>
    <x v="28"/>
    <x v="11"/>
    <s v="Combined Heat and Power, Electric Power"/>
    <x v="12"/>
    <n v="0"/>
  </r>
  <r>
    <x v="28"/>
    <x v="11"/>
    <s v="Combined Heat and Power, Electric Power"/>
    <x v="4"/>
    <n v="1295953"/>
  </r>
  <r>
    <x v="28"/>
    <x v="11"/>
    <s v="Combined Heat and Power, Electric Power"/>
    <x v="8"/>
    <n v="0"/>
  </r>
  <r>
    <x v="28"/>
    <x v="11"/>
    <s v="Electric Generators, Independent Power Producers"/>
    <x v="0"/>
    <n v="1215278"/>
  </r>
  <r>
    <x v="28"/>
    <x v="11"/>
    <s v="Electric Generators, Independent Power Producers"/>
    <x v="11"/>
    <n v="110089"/>
  </r>
  <r>
    <x v="28"/>
    <x v="11"/>
    <s v="Electric Generators, Independent Power Producers"/>
    <x v="2"/>
    <n v="42430"/>
  </r>
  <r>
    <x v="28"/>
    <x v="11"/>
    <s v="Electric Generators, Independent Power Producers"/>
    <x v="12"/>
    <n v="-969"/>
  </r>
  <r>
    <x v="28"/>
    <x v="11"/>
    <s v="Electric Generators, Independent Power Producers"/>
    <x v="4"/>
    <n v="264004"/>
  </r>
  <r>
    <x v="28"/>
    <x v="11"/>
    <s v="Electric Generators, Independent Power Producers"/>
    <x v="13"/>
    <n v="146814"/>
  </r>
  <r>
    <x v="28"/>
    <x v="11"/>
    <s v="Electric Generators, Independent Power Producers"/>
    <x v="8"/>
    <n v="50976"/>
  </r>
  <r>
    <x v="28"/>
    <x v="11"/>
    <s v="Electric Generators, Independent Power Producers"/>
    <x v="5"/>
    <n v="601934"/>
  </r>
  <r>
    <x v="28"/>
    <x v="11"/>
    <s v="Electric Generators, Independent Power Producers"/>
    <x v="6"/>
    <n v="0"/>
  </r>
  <r>
    <x v="28"/>
    <x v="11"/>
    <s v="Electric Generators, Electric Utilities"/>
    <x v="0"/>
    <n v="5296030"/>
  </r>
  <r>
    <x v="28"/>
    <x v="11"/>
    <s v="Electric Generators, Electric Utilities"/>
    <x v="2"/>
    <n v="19639"/>
  </r>
  <r>
    <x v="28"/>
    <x v="11"/>
    <s v="Electric Generators, Electric Utilities"/>
    <x v="12"/>
    <n v="189883"/>
  </r>
  <r>
    <x v="28"/>
    <x v="11"/>
    <s v="Electric Generators, Electric Utilities"/>
    <x v="4"/>
    <n v="4995451"/>
  </r>
  <r>
    <x v="28"/>
    <x v="11"/>
    <s v="Electric Generators, Electric Utilities"/>
    <x v="13"/>
    <n v="37762"/>
  </r>
  <r>
    <x v="28"/>
    <x v="11"/>
    <s v="Electric Generators, Electric Utilities"/>
    <x v="8"/>
    <n v="53295"/>
  </r>
  <r>
    <x v="28"/>
    <x v="12"/>
    <s v="Total Electric Power Industry"/>
    <x v="0"/>
    <n v="63380569"/>
  </r>
  <r>
    <x v="28"/>
    <x v="12"/>
    <s v="Total Electric Power Industry"/>
    <x v="1"/>
    <n v="28552999"/>
  </r>
  <r>
    <x v="28"/>
    <x v="12"/>
    <s v="Total Electric Power Industry"/>
    <x v="2"/>
    <n v="924861"/>
  </r>
  <r>
    <x v="28"/>
    <x v="12"/>
    <s v="Total Electric Power Industry"/>
    <x v="3"/>
    <n v="7340070"/>
  </r>
  <r>
    <x v="28"/>
    <x v="12"/>
    <s v="Total Electric Power Industry"/>
    <x v="7"/>
    <n v="4895399"/>
  </r>
  <r>
    <x v="28"/>
    <x v="12"/>
    <s v="Total Electric Power Industry"/>
    <x v="12"/>
    <n v="0"/>
  </r>
  <r>
    <x v="28"/>
    <x v="12"/>
    <s v="Total Electric Power Industry"/>
    <x v="4"/>
    <n v="110565"/>
  </r>
  <r>
    <x v="28"/>
    <x v="12"/>
    <s v="Total Electric Power Industry"/>
    <x v="13"/>
    <n v="11456"/>
  </r>
  <r>
    <x v="28"/>
    <x v="12"/>
    <s v="Total Electric Power Industry"/>
    <x v="8"/>
    <n v="209177"/>
  </r>
  <r>
    <x v="28"/>
    <x v="12"/>
    <s v="Total Electric Power Industry"/>
    <x v="5"/>
    <n v="21334057"/>
  </r>
  <r>
    <x v="28"/>
    <x v="12"/>
    <s v="Total Electric Power Industry"/>
    <x v="6"/>
    <n v="1986"/>
  </r>
  <r>
    <x v="28"/>
    <x v="12"/>
    <s v="Combined Heat and Power, Industrial Power"/>
    <x v="0"/>
    <n v="2109656"/>
  </r>
  <r>
    <x v="28"/>
    <x v="12"/>
    <s v="Combined Heat and Power, Industrial Power"/>
    <x v="1"/>
    <n v="1509288"/>
  </r>
  <r>
    <x v="28"/>
    <x v="12"/>
    <s v="Combined Heat and Power, Industrial Power"/>
    <x v="3"/>
    <n v="529387"/>
  </r>
  <r>
    <x v="28"/>
    <x v="12"/>
    <s v="Combined Heat and Power, Industrial Power"/>
    <x v="12"/>
    <n v="0"/>
  </r>
  <r>
    <x v="28"/>
    <x v="12"/>
    <s v="Combined Heat and Power, Industrial Power"/>
    <x v="4"/>
    <n v="36316"/>
  </r>
  <r>
    <x v="28"/>
    <x v="12"/>
    <s v="Combined Heat and Power, Industrial Power"/>
    <x v="8"/>
    <n v="34664"/>
  </r>
  <r>
    <x v="28"/>
    <x v="12"/>
    <s v="Combined Heat and Power, Industrial Power"/>
    <x v="6"/>
    <n v="0"/>
  </r>
  <r>
    <x v="28"/>
    <x v="12"/>
    <s v="Combined Heat and Power, Commercial Power"/>
    <x v="0"/>
    <n v="226800"/>
  </r>
  <r>
    <x v="28"/>
    <x v="12"/>
    <s v="Combined Heat and Power, Commercial Power"/>
    <x v="1"/>
    <n v="74461"/>
  </r>
  <r>
    <x v="28"/>
    <x v="12"/>
    <s v="Combined Heat and Power, Commercial Power"/>
    <x v="3"/>
    <n v="98361"/>
  </r>
  <r>
    <x v="28"/>
    <x v="12"/>
    <s v="Combined Heat and Power, Commercial Power"/>
    <x v="4"/>
    <n v="7409"/>
  </r>
  <r>
    <x v="28"/>
    <x v="12"/>
    <s v="Combined Heat and Power, Commercial Power"/>
    <x v="8"/>
    <n v="41152"/>
  </r>
  <r>
    <x v="28"/>
    <x v="12"/>
    <s v="Combined Heat and Power, Commercial Power"/>
    <x v="5"/>
    <n v="3430"/>
  </r>
  <r>
    <x v="28"/>
    <x v="12"/>
    <s v="Combined Heat and Power, Commercial Power"/>
    <x v="6"/>
    <n v="1986"/>
  </r>
  <r>
    <x v="28"/>
    <x v="12"/>
    <s v="Combined Heat and Power, Electric Power"/>
    <x v="0"/>
    <n v="13015"/>
  </r>
  <r>
    <x v="28"/>
    <x v="12"/>
    <s v="Combined Heat and Power, Electric Power"/>
    <x v="3"/>
    <n v="6958"/>
  </r>
  <r>
    <x v="28"/>
    <x v="12"/>
    <s v="Combined Heat and Power, Electric Power"/>
    <x v="8"/>
    <n v="6057"/>
  </r>
  <r>
    <x v="28"/>
    <x v="12"/>
    <s v="Electric Generators, Independent Power Producers"/>
    <x v="0"/>
    <n v="11517999"/>
  </r>
  <r>
    <x v="28"/>
    <x v="12"/>
    <s v="Electric Generators, Independent Power Producers"/>
    <x v="2"/>
    <n v="6594"/>
  </r>
  <r>
    <x v="28"/>
    <x v="12"/>
    <s v="Electric Generators, Independent Power Producers"/>
    <x v="3"/>
    <n v="8"/>
  </r>
  <r>
    <x v="28"/>
    <x v="12"/>
    <s v="Electric Generators, Independent Power Producers"/>
    <x v="7"/>
    <n v="4895399"/>
  </r>
  <r>
    <x v="28"/>
    <x v="12"/>
    <s v="Electric Generators, Independent Power Producers"/>
    <x v="4"/>
    <n v="3547"/>
  </r>
  <r>
    <x v="28"/>
    <x v="12"/>
    <s v="Electric Generators, Independent Power Producers"/>
    <x v="13"/>
    <n v="4581"/>
  </r>
  <r>
    <x v="28"/>
    <x v="12"/>
    <s v="Electric Generators, Independent Power Producers"/>
    <x v="8"/>
    <n v="111045"/>
  </r>
  <r>
    <x v="28"/>
    <x v="12"/>
    <s v="Electric Generators, Independent Power Producers"/>
    <x v="5"/>
    <n v="6496826"/>
  </r>
  <r>
    <x v="28"/>
    <x v="12"/>
    <s v="Electric Generators, Electric Utilities"/>
    <x v="0"/>
    <n v="49513099"/>
  </r>
  <r>
    <x v="28"/>
    <x v="12"/>
    <s v="Electric Generators, Electric Utilities"/>
    <x v="1"/>
    <n v="26969249"/>
  </r>
  <r>
    <x v="28"/>
    <x v="12"/>
    <s v="Electric Generators, Electric Utilities"/>
    <x v="2"/>
    <n v="918267"/>
  </r>
  <r>
    <x v="28"/>
    <x v="12"/>
    <s v="Electric Generators, Electric Utilities"/>
    <x v="3"/>
    <n v="6705356"/>
  </r>
  <r>
    <x v="28"/>
    <x v="12"/>
    <s v="Electric Generators, Electric Utilities"/>
    <x v="12"/>
    <n v="0"/>
  </r>
  <r>
    <x v="28"/>
    <x v="12"/>
    <s v="Electric Generators, Electric Utilities"/>
    <x v="4"/>
    <n v="63293"/>
  </r>
  <r>
    <x v="28"/>
    <x v="12"/>
    <s v="Electric Generators, Electric Utilities"/>
    <x v="13"/>
    <n v="6875"/>
  </r>
  <r>
    <x v="28"/>
    <x v="12"/>
    <s v="Electric Generators, Electric Utilities"/>
    <x v="8"/>
    <n v="16258"/>
  </r>
  <r>
    <x v="28"/>
    <x v="12"/>
    <s v="Electric Generators, Electric Utilities"/>
    <x v="5"/>
    <n v="14833801"/>
  </r>
  <r>
    <x v="28"/>
    <x v="12"/>
    <s v="Electric Generators, Electric Utilities"/>
    <x v="6"/>
    <n v="0"/>
  </r>
  <r>
    <x v="28"/>
    <x v="13"/>
    <s v="Total Electric Power Industry"/>
    <x v="0"/>
    <n v="18172120"/>
  </r>
  <r>
    <x v="28"/>
    <x v="13"/>
    <s v="Total Electric Power Industry"/>
    <x v="1"/>
    <n v="20338"/>
  </r>
  <r>
    <x v="28"/>
    <x v="13"/>
    <s v="Total Electric Power Industry"/>
    <x v="11"/>
    <n v="83112"/>
  </r>
  <r>
    <x v="28"/>
    <x v="13"/>
    <s v="Total Electric Power Industry"/>
    <x v="2"/>
    <n v="11024342"/>
  </r>
  <r>
    <x v="28"/>
    <x v="13"/>
    <s v="Total Electric Power Industry"/>
    <x v="3"/>
    <n v="3278742"/>
  </r>
  <r>
    <x v="28"/>
    <x v="13"/>
    <s v="Total Electric Power Industry"/>
    <x v="12"/>
    <n v="63972"/>
  </r>
  <r>
    <x v="28"/>
    <x v="13"/>
    <s v="Total Electric Power Industry"/>
    <x v="4"/>
    <n v="57"/>
  </r>
  <r>
    <x v="28"/>
    <x v="13"/>
    <s v="Total Electric Power Industry"/>
    <x v="13"/>
    <n v="555964"/>
  </r>
  <r>
    <x v="28"/>
    <x v="13"/>
    <s v="Total Electric Power Industry"/>
    <x v="8"/>
    <n v="96303"/>
  </r>
  <r>
    <x v="28"/>
    <x v="13"/>
    <s v="Total Electric Power Industry"/>
    <x v="5"/>
    <n v="2655052"/>
  </r>
  <r>
    <x v="28"/>
    <x v="13"/>
    <s v="Total Electric Power Industry"/>
    <x v="6"/>
    <n v="394237"/>
  </r>
  <r>
    <x v="28"/>
    <x v="13"/>
    <s v="Combined Heat and Power, Industrial Power"/>
    <x v="0"/>
    <n v="522621"/>
  </r>
  <r>
    <x v="28"/>
    <x v="13"/>
    <s v="Combined Heat and Power, Industrial Power"/>
    <x v="1"/>
    <n v="20338"/>
  </r>
  <r>
    <x v="28"/>
    <x v="13"/>
    <s v="Combined Heat and Power, Industrial Power"/>
    <x v="3"/>
    <n v="92498"/>
  </r>
  <r>
    <x v="28"/>
    <x v="13"/>
    <s v="Combined Heat and Power, Industrial Power"/>
    <x v="12"/>
    <n v="63972"/>
  </r>
  <r>
    <x v="28"/>
    <x v="13"/>
    <s v="Combined Heat and Power, Industrial Power"/>
    <x v="4"/>
    <n v="0"/>
  </r>
  <r>
    <x v="28"/>
    <x v="13"/>
    <s v="Combined Heat and Power, Industrial Power"/>
    <x v="8"/>
    <n v="10666"/>
  </r>
  <r>
    <x v="28"/>
    <x v="13"/>
    <s v="Combined Heat and Power, Industrial Power"/>
    <x v="6"/>
    <n v="335146"/>
  </r>
  <r>
    <x v="28"/>
    <x v="13"/>
    <s v="Combined Heat and Power, Commercial Power"/>
    <x v="0"/>
    <n v="50302"/>
  </r>
  <r>
    <x v="28"/>
    <x v="13"/>
    <s v="Combined Heat and Power, Commercial Power"/>
    <x v="3"/>
    <n v="39344"/>
  </r>
  <r>
    <x v="28"/>
    <x v="13"/>
    <s v="Combined Heat and Power, Commercial Power"/>
    <x v="4"/>
    <n v="21"/>
  </r>
  <r>
    <x v="28"/>
    <x v="13"/>
    <s v="Combined Heat and Power, Commercial Power"/>
    <x v="8"/>
    <n v="10937"/>
  </r>
  <r>
    <x v="28"/>
    <x v="13"/>
    <s v="Combined Heat and Power, Electric Power"/>
    <x v="0"/>
    <n v="98422"/>
  </r>
  <r>
    <x v="28"/>
    <x v="13"/>
    <s v="Combined Heat and Power, Electric Power"/>
    <x v="8"/>
    <n v="39331"/>
  </r>
  <r>
    <x v="28"/>
    <x v="13"/>
    <s v="Combined Heat and Power, Electric Power"/>
    <x v="6"/>
    <n v="59091"/>
  </r>
  <r>
    <x v="28"/>
    <x v="13"/>
    <s v="Electric Generators, Independent Power Producers"/>
    <x v="0"/>
    <n v="5596317"/>
  </r>
  <r>
    <x v="28"/>
    <x v="13"/>
    <s v="Electric Generators, Independent Power Producers"/>
    <x v="11"/>
    <n v="83112"/>
  </r>
  <r>
    <x v="28"/>
    <x v="13"/>
    <s v="Electric Generators, Independent Power Producers"/>
    <x v="2"/>
    <n v="847496"/>
  </r>
  <r>
    <x v="28"/>
    <x v="13"/>
    <s v="Electric Generators, Independent Power Producers"/>
    <x v="3"/>
    <n v="1593817"/>
  </r>
  <r>
    <x v="28"/>
    <x v="13"/>
    <s v="Electric Generators, Independent Power Producers"/>
    <x v="13"/>
    <n v="555964"/>
  </r>
  <r>
    <x v="28"/>
    <x v="13"/>
    <s v="Electric Generators, Independent Power Producers"/>
    <x v="8"/>
    <n v="20515"/>
  </r>
  <r>
    <x v="28"/>
    <x v="13"/>
    <s v="Electric Generators, Independent Power Producers"/>
    <x v="5"/>
    <n v="2495413"/>
  </r>
  <r>
    <x v="28"/>
    <x v="13"/>
    <s v="Electric Generators, Electric Utilities"/>
    <x v="0"/>
    <n v="11904458"/>
  </r>
  <r>
    <x v="28"/>
    <x v="13"/>
    <s v="Electric Generators, Electric Utilities"/>
    <x v="2"/>
    <n v="10176846"/>
  </r>
  <r>
    <x v="28"/>
    <x v="13"/>
    <s v="Electric Generators, Electric Utilities"/>
    <x v="3"/>
    <n v="1553083"/>
  </r>
  <r>
    <x v="28"/>
    <x v="13"/>
    <s v="Electric Generators, Electric Utilities"/>
    <x v="4"/>
    <n v="36"/>
  </r>
  <r>
    <x v="28"/>
    <x v="13"/>
    <s v="Electric Generators, Electric Utilities"/>
    <x v="8"/>
    <n v="14854"/>
  </r>
  <r>
    <x v="28"/>
    <x v="13"/>
    <s v="Electric Generators, Electric Utilities"/>
    <x v="5"/>
    <n v="159639"/>
  </r>
  <r>
    <x v="28"/>
    <x v="14"/>
    <s v="Total Electric Power Industry"/>
    <x v="0"/>
    <n v="188003357"/>
  </r>
  <r>
    <x v="28"/>
    <x v="14"/>
    <s v="Total Electric Power Industry"/>
    <x v="1"/>
    <n v="59641924"/>
  </r>
  <r>
    <x v="28"/>
    <x v="14"/>
    <s v="Total Electric Power Industry"/>
    <x v="2"/>
    <n v="146528"/>
  </r>
  <r>
    <x v="28"/>
    <x v="14"/>
    <s v="Total Electric Power Industry"/>
    <x v="3"/>
    <n v="17240919"/>
  </r>
  <r>
    <x v="28"/>
    <x v="14"/>
    <s v="Total Electric Power Industry"/>
    <x v="7"/>
    <n v="98101527"/>
  </r>
  <r>
    <x v="28"/>
    <x v="14"/>
    <s v="Total Electric Power Industry"/>
    <x v="9"/>
    <n v="200816"/>
  </r>
  <r>
    <x v="28"/>
    <x v="14"/>
    <s v="Total Electric Power Industry"/>
    <x v="12"/>
    <n v="227128"/>
  </r>
  <r>
    <x v="28"/>
    <x v="14"/>
    <s v="Total Electric Power Industry"/>
    <x v="4"/>
    <n v="53111"/>
  </r>
  <r>
    <x v="28"/>
    <x v="14"/>
    <s v="Total Electric Power Industry"/>
    <x v="13"/>
    <n v="66050"/>
  </r>
  <r>
    <x v="28"/>
    <x v="14"/>
    <s v="Total Electric Power Industry"/>
    <x v="8"/>
    <n v="426371"/>
  </r>
  <r>
    <x v="28"/>
    <x v="14"/>
    <s v="Total Electric Power Industry"/>
    <x v="5"/>
    <n v="11898984"/>
  </r>
  <r>
    <x v="28"/>
    <x v="14"/>
    <s v="Total Electric Power Industry"/>
    <x v="6"/>
    <n v="0"/>
  </r>
  <r>
    <x v="28"/>
    <x v="14"/>
    <s v="Combined Heat and Power, Industrial Power"/>
    <x v="0"/>
    <n v="2807239"/>
  </r>
  <r>
    <x v="28"/>
    <x v="14"/>
    <s v="Combined Heat and Power, Industrial Power"/>
    <x v="1"/>
    <n v="1748398"/>
  </r>
  <r>
    <x v="28"/>
    <x v="14"/>
    <s v="Combined Heat and Power, Industrial Power"/>
    <x v="3"/>
    <n v="612562"/>
  </r>
  <r>
    <x v="28"/>
    <x v="14"/>
    <s v="Combined Heat and Power, Industrial Power"/>
    <x v="9"/>
    <n v="200277"/>
  </r>
  <r>
    <x v="28"/>
    <x v="14"/>
    <s v="Combined Heat and Power, Industrial Power"/>
    <x v="12"/>
    <n v="246002"/>
  </r>
  <r>
    <x v="28"/>
    <x v="14"/>
    <s v="Combined Heat and Power, Industrial Power"/>
    <x v="4"/>
    <n v="0"/>
  </r>
  <r>
    <x v="28"/>
    <x v="14"/>
    <s v="Combined Heat and Power, Industrial Power"/>
    <x v="6"/>
    <n v="0"/>
  </r>
  <r>
    <x v="28"/>
    <x v="14"/>
    <s v="Combined Heat and Power, Commercial Power"/>
    <x v="0"/>
    <n v="405237"/>
  </r>
  <r>
    <x v="28"/>
    <x v="14"/>
    <s v="Combined Heat and Power, Commercial Power"/>
    <x v="1"/>
    <n v="31235"/>
  </r>
  <r>
    <x v="28"/>
    <x v="14"/>
    <s v="Combined Heat and Power, Commercial Power"/>
    <x v="2"/>
    <n v="1097"/>
  </r>
  <r>
    <x v="28"/>
    <x v="14"/>
    <s v="Combined Heat and Power, Commercial Power"/>
    <x v="3"/>
    <n v="364402"/>
  </r>
  <r>
    <x v="28"/>
    <x v="14"/>
    <s v="Combined Heat and Power, Commercial Power"/>
    <x v="4"/>
    <n v="361"/>
  </r>
  <r>
    <x v="28"/>
    <x v="14"/>
    <s v="Combined Heat and Power, Commercial Power"/>
    <x v="13"/>
    <n v="3472"/>
  </r>
  <r>
    <x v="28"/>
    <x v="14"/>
    <s v="Combined Heat and Power, Commercial Power"/>
    <x v="8"/>
    <n v="0"/>
  </r>
  <r>
    <x v="28"/>
    <x v="14"/>
    <s v="Combined Heat and Power, Commercial Power"/>
    <x v="5"/>
    <n v="4670"/>
  </r>
  <r>
    <x v="28"/>
    <x v="14"/>
    <s v="Combined Heat and Power, Electric Power"/>
    <x v="0"/>
    <n v="677659"/>
  </r>
  <r>
    <x v="28"/>
    <x v="14"/>
    <s v="Combined Heat and Power, Electric Power"/>
    <x v="3"/>
    <n v="667399"/>
  </r>
  <r>
    <x v="28"/>
    <x v="14"/>
    <s v="Combined Heat and Power, Electric Power"/>
    <x v="9"/>
    <n v="539"/>
  </r>
  <r>
    <x v="28"/>
    <x v="14"/>
    <s v="Combined Heat and Power, Electric Power"/>
    <x v="8"/>
    <n v="9721"/>
  </r>
  <r>
    <x v="28"/>
    <x v="14"/>
    <s v="Electric Generators, Independent Power Producers"/>
    <x v="0"/>
    <n v="178663419"/>
  </r>
  <r>
    <x v="28"/>
    <x v="14"/>
    <s v="Electric Generators, Independent Power Producers"/>
    <x v="1"/>
    <n v="53809879"/>
  </r>
  <r>
    <x v="28"/>
    <x v="14"/>
    <s v="Electric Generators, Independent Power Producers"/>
    <x v="2"/>
    <n v="84498"/>
  </r>
  <r>
    <x v="28"/>
    <x v="14"/>
    <s v="Electric Generators, Independent Power Producers"/>
    <x v="3"/>
    <n v="14372324"/>
  </r>
  <r>
    <x v="28"/>
    <x v="14"/>
    <s v="Electric Generators, Independent Power Producers"/>
    <x v="7"/>
    <n v="98101527"/>
  </r>
  <r>
    <x v="28"/>
    <x v="14"/>
    <s v="Electric Generators, Independent Power Producers"/>
    <x v="12"/>
    <n v="-18860"/>
  </r>
  <r>
    <x v="28"/>
    <x v="14"/>
    <s v="Electric Generators, Independent Power Producers"/>
    <x v="4"/>
    <n v="45035"/>
  </r>
  <r>
    <x v="28"/>
    <x v="14"/>
    <s v="Electric Generators, Independent Power Producers"/>
    <x v="13"/>
    <n v="60239"/>
  </r>
  <r>
    <x v="28"/>
    <x v="14"/>
    <s v="Electric Generators, Independent Power Producers"/>
    <x v="8"/>
    <n v="326633"/>
  </r>
  <r>
    <x v="28"/>
    <x v="14"/>
    <s v="Electric Generators, Independent Power Producers"/>
    <x v="5"/>
    <n v="11882144"/>
  </r>
  <r>
    <x v="28"/>
    <x v="14"/>
    <s v="Electric Generators, Electric Utilities"/>
    <x v="0"/>
    <n v="5449803"/>
  </r>
  <r>
    <x v="28"/>
    <x v="14"/>
    <s v="Electric Generators, Electric Utilities"/>
    <x v="1"/>
    <n v="4052412"/>
  </r>
  <r>
    <x v="28"/>
    <x v="14"/>
    <s v="Electric Generators, Electric Utilities"/>
    <x v="2"/>
    <n v="60933"/>
  </r>
  <r>
    <x v="28"/>
    <x v="14"/>
    <s v="Electric Generators, Electric Utilities"/>
    <x v="3"/>
    <n v="1224232"/>
  </r>
  <r>
    <x v="28"/>
    <x v="14"/>
    <s v="Electric Generators, Electric Utilities"/>
    <x v="12"/>
    <n v="-14"/>
  </r>
  <r>
    <x v="28"/>
    <x v="14"/>
    <s v="Electric Generators, Electric Utilities"/>
    <x v="4"/>
    <n v="7715"/>
  </r>
  <r>
    <x v="28"/>
    <x v="14"/>
    <s v="Electric Generators, Electric Utilities"/>
    <x v="13"/>
    <n v="2339"/>
  </r>
  <r>
    <x v="28"/>
    <x v="14"/>
    <s v="Electric Generators, Electric Utilities"/>
    <x v="8"/>
    <n v="90017"/>
  </r>
  <r>
    <x v="28"/>
    <x v="14"/>
    <s v="Electric Generators, Electric Utilities"/>
    <x v="5"/>
    <n v="12170"/>
  </r>
  <r>
    <x v="28"/>
    <x v="15"/>
    <s v="Total Electric Power Industry"/>
    <x v="0"/>
    <n v="113459711"/>
  </r>
  <r>
    <x v="28"/>
    <x v="15"/>
    <s v="Total Electric Power Industry"/>
    <x v="1"/>
    <n v="77455229"/>
  </r>
  <r>
    <x v="28"/>
    <x v="15"/>
    <s v="Total Electric Power Industry"/>
    <x v="2"/>
    <n v="222661"/>
  </r>
  <r>
    <x v="28"/>
    <x v="15"/>
    <s v="Total Electric Power Industry"/>
    <x v="3"/>
    <n v="26816995"/>
  </r>
  <r>
    <x v="28"/>
    <x v="15"/>
    <s v="Total Electric Power Industry"/>
    <x v="9"/>
    <n v="2325813"/>
  </r>
  <r>
    <x v="28"/>
    <x v="15"/>
    <s v="Total Electric Power Industry"/>
    <x v="12"/>
    <n v="320638"/>
  </r>
  <r>
    <x v="28"/>
    <x v="15"/>
    <s v="Total Electric Power Industry"/>
    <x v="4"/>
    <n v="130617"/>
  </r>
  <r>
    <x v="28"/>
    <x v="15"/>
    <s v="Total Electric Power Industry"/>
    <x v="13"/>
    <n v="290717"/>
  </r>
  <r>
    <x v="28"/>
    <x v="15"/>
    <s v="Total Electric Power Industry"/>
    <x v="8"/>
    <n v="459889"/>
  </r>
  <r>
    <x v="28"/>
    <x v="15"/>
    <s v="Total Electric Power Industry"/>
    <x v="5"/>
    <n v="5437153"/>
  </r>
  <r>
    <x v="28"/>
    <x v="15"/>
    <s v="Total Electric Power Industry"/>
    <x v="6"/>
    <n v="0"/>
  </r>
  <r>
    <x v="28"/>
    <x v="15"/>
    <s v="Combined Heat and Power, Industrial Power"/>
    <x v="0"/>
    <n v="4241705"/>
  </r>
  <r>
    <x v="28"/>
    <x v="15"/>
    <s v="Combined Heat and Power, Industrial Power"/>
    <x v="1"/>
    <n v="0"/>
  </r>
  <r>
    <x v="28"/>
    <x v="15"/>
    <s v="Combined Heat and Power, Industrial Power"/>
    <x v="3"/>
    <n v="1528307"/>
  </r>
  <r>
    <x v="28"/>
    <x v="15"/>
    <s v="Combined Heat and Power, Industrial Power"/>
    <x v="9"/>
    <n v="2325813"/>
  </r>
  <r>
    <x v="28"/>
    <x v="15"/>
    <s v="Combined Heat and Power, Industrial Power"/>
    <x v="12"/>
    <n v="299504"/>
  </r>
  <r>
    <x v="28"/>
    <x v="15"/>
    <s v="Combined Heat and Power, Industrial Power"/>
    <x v="4"/>
    <n v="19123"/>
  </r>
  <r>
    <x v="28"/>
    <x v="15"/>
    <s v="Combined Heat and Power, Industrial Power"/>
    <x v="8"/>
    <n v="68959"/>
  </r>
  <r>
    <x v="28"/>
    <x v="15"/>
    <s v="Combined Heat and Power, Commercial Power"/>
    <x v="0"/>
    <n v="249985"/>
  </r>
  <r>
    <x v="28"/>
    <x v="15"/>
    <s v="Combined Heat and Power, Commercial Power"/>
    <x v="1"/>
    <n v="37902"/>
  </r>
  <r>
    <x v="28"/>
    <x v="15"/>
    <s v="Combined Heat and Power, Commercial Power"/>
    <x v="3"/>
    <n v="168217"/>
  </r>
  <r>
    <x v="28"/>
    <x v="15"/>
    <s v="Combined Heat and Power, Commercial Power"/>
    <x v="12"/>
    <n v="21162"/>
  </r>
  <r>
    <x v="28"/>
    <x v="15"/>
    <s v="Combined Heat and Power, Commercial Power"/>
    <x v="4"/>
    <n v="678"/>
  </r>
  <r>
    <x v="28"/>
    <x v="15"/>
    <s v="Combined Heat and Power, Commercial Power"/>
    <x v="8"/>
    <n v="22025"/>
  </r>
  <r>
    <x v="28"/>
    <x v="15"/>
    <s v="Combined Heat and Power, Commercial Power"/>
    <x v="5"/>
    <n v="0"/>
  </r>
  <r>
    <x v="28"/>
    <x v="15"/>
    <s v="Combined Heat and Power, Electric Power"/>
    <x v="0"/>
    <n v="7042128"/>
  </r>
  <r>
    <x v="28"/>
    <x v="15"/>
    <s v="Combined Heat and Power, Electric Power"/>
    <x v="1"/>
    <n v="4312189"/>
  </r>
  <r>
    <x v="28"/>
    <x v="15"/>
    <s v="Combined Heat and Power, Electric Power"/>
    <x v="3"/>
    <n v="2729940"/>
  </r>
  <r>
    <x v="28"/>
    <x v="15"/>
    <s v="Combined Heat and Power, Electric Power"/>
    <x v="4"/>
    <n v="0"/>
  </r>
  <r>
    <x v="28"/>
    <x v="15"/>
    <s v="Electric Generators, Independent Power Producers"/>
    <x v="0"/>
    <n v="17096015"/>
  </r>
  <r>
    <x v="28"/>
    <x v="15"/>
    <s v="Electric Generators, Independent Power Producers"/>
    <x v="1"/>
    <n v="0"/>
  </r>
  <r>
    <x v="28"/>
    <x v="15"/>
    <s v="Electric Generators, Independent Power Producers"/>
    <x v="3"/>
    <n v="11426016"/>
  </r>
  <r>
    <x v="28"/>
    <x v="15"/>
    <s v="Electric Generators, Independent Power Producers"/>
    <x v="4"/>
    <n v="443"/>
  </r>
  <r>
    <x v="28"/>
    <x v="15"/>
    <s v="Electric Generators, Independent Power Producers"/>
    <x v="13"/>
    <n v="183581"/>
  </r>
  <r>
    <x v="28"/>
    <x v="15"/>
    <s v="Electric Generators, Independent Power Producers"/>
    <x v="8"/>
    <n v="48822"/>
  </r>
  <r>
    <x v="28"/>
    <x v="15"/>
    <s v="Electric Generators, Independent Power Producers"/>
    <x v="5"/>
    <n v="5437153"/>
  </r>
  <r>
    <x v="28"/>
    <x v="15"/>
    <s v="Electric Generators, Independent Power Producers"/>
    <x v="6"/>
    <n v="0"/>
  </r>
  <r>
    <x v="28"/>
    <x v="15"/>
    <s v="Electric Generators, Electric Utilities"/>
    <x v="0"/>
    <n v="84829877"/>
  </r>
  <r>
    <x v="28"/>
    <x v="15"/>
    <s v="Electric Generators, Electric Utilities"/>
    <x v="1"/>
    <n v="73105138"/>
  </r>
  <r>
    <x v="28"/>
    <x v="15"/>
    <s v="Electric Generators, Electric Utilities"/>
    <x v="2"/>
    <n v="222661"/>
  </r>
  <r>
    <x v="28"/>
    <x v="15"/>
    <s v="Electric Generators, Electric Utilities"/>
    <x v="3"/>
    <n v="10964514"/>
  </r>
  <r>
    <x v="28"/>
    <x v="15"/>
    <s v="Electric Generators, Electric Utilities"/>
    <x v="9"/>
    <n v="0"/>
  </r>
  <r>
    <x v="28"/>
    <x v="15"/>
    <s v="Electric Generators, Electric Utilities"/>
    <x v="12"/>
    <n v="-28"/>
  </r>
  <r>
    <x v="28"/>
    <x v="15"/>
    <s v="Electric Generators, Electric Utilities"/>
    <x v="4"/>
    <n v="110373"/>
  </r>
  <r>
    <x v="28"/>
    <x v="15"/>
    <s v="Electric Generators, Electric Utilities"/>
    <x v="13"/>
    <n v="107136"/>
  </r>
  <r>
    <x v="28"/>
    <x v="15"/>
    <s v="Electric Generators, Electric Utilities"/>
    <x v="8"/>
    <n v="320083"/>
  </r>
  <r>
    <x v="28"/>
    <x v="16"/>
    <s v="Total Electric Power Industry"/>
    <x v="0"/>
    <n v="51710213"/>
  </r>
  <r>
    <x v="28"/>
    <x v="16"/>
    <s v="Total Electric Power Industry"/>
    <x v="1"/>
    <n v="20473983"/>
  </r>
  <r>
    <x v="28"/>
    <x v="16"/>
    <s v="Total Electric Power Industry"/>
    <x v="2"/>
    <n v="26420"/>
  </r>
  <r>
    <x v="28"/>
    <x v="16"/>
    <s v="Total Electric Power Industry"/>
    <x v="3"/>
    <n v="3005715"/>
  </r>
  <r>
    <x v="28"/>
    <x v="16"/>
    <s v="Total Electric Power Industry"/>
    <x v="7"/>
    <n v="9168289"/>
  </r>
  <r>
    <x v="28"/>
    <x v="16"/>
    <s v="Total Electric Power Industry"/>
    <x v="12"/>
    <n v="5010"/>
  </r>
  <r>
    <x v="28"/>
    <x v="16"/>
    <s v="Total Electric Power Industry"/>
    <x v="4"/>
    <n v="52016"/>
  </r>
  <r>
    <x v="28"/>
    <x v="16"/>
    <s v="Total Electric Power Industry"/>
    <x v="13"/>
    <n v="7727"/>
  </r>
  <r>
    <x v="28"/>
    <x v="16"/>
    <s v="Total Electric Power Industry"/>
    <x v="8"/>
    <n v="63551"/>
  </r>
  <r>
    <x v="28"/>
    <x v="16"/>
    <s v="Total Electric Power Industry"/>
    <x v="5"/>
    <n v="18907502"/>
  </r>
  <r>
    <x v="28"/>
    <x v="16"/>
    <s v="Combined Heat and Power, Industrial Power"/>
    <x v="0"/>
    <n v="85870"/>
  </r>
  <r>
    <x v="28"/>
    <x v="16"/>
    <s v="Combined Heat and Power, Industrial Power"/>
    <x v="3"/>
    <n v="83841"/>
  </r>
  <r>
    <x v="28"/>
    <x v="16"/>
    <s v="Combined Heat and Power, Industrial Power"/>
    <x v="12"/>
    <n v="5010"/>
  </r>
  <r>
    <x v="28"/>
    <x v="16"/>
    <s v="Combined Heat and Power, Industrial Power"/>
    <x v="8"/>
    <n v="-2981"/>
  </r>
  <r>
    <x v="28"/>
    <x v="16"/>
    <s v="Combined Heat and Power, Commercial Power"/>
    <x v="0"/>
    <n v="15600"/>
  </r>
  <r>
    <x v="28"/>
    <x v="16"/>
    <s v="Combined Heat and Power, Commercial Power"/>
    <x v="5"/>
    <n v="15600"/>
  </r>
  <r>
    <x v="28"/>
    <x v="16"/>
    <s v="Electric Generators, Independent Power Producers"/>
    <x v="0"/>
    <n v="17090987"/>
  </r>
  <r>
    <x v="28"/>
    <x v="16"/>
    <s v="Electric Generators, Independent Power Producers"/>
    <x v="2"/>
    <n v="26420"/>
  </r>
  <r>
    <x v="28"/>
    <x v="16"/>
    <s v="Electric Generators, Independent Power Producers"/>
    <x v="13"/>
    <n v="5868"/>
  </r>
  <r>
    <x v="28"/>
    <x v="16"/>
    <s v="Electric Generators, Independent Power Producers"/>
    <x v="8"/>
    <n v="66532"/>
  </r>
  <r>
    <x v="28"/>
    <x v="16"/>
    <s v="Electric Generators, Independent Power Producers"/>
    <x v="5"/>
    <n v="16992167"/>
  </r>
  <r>
    <x v="28"/>
    <x v="16"/>
    <s v="Electric Generators, Electric Utilities"/>
    <x v="0"/>
    <n v="34517756"/>
  </r>
  <r>
    <x v="28"/>
    <x v="16"/>
    <s v="Electric Generators, Electric Utilities"/>
    <x v="1"/>
    <n v="20473983"/>
  </r>
  <r>
    <x v="28"/>
    <x v="16"/>
    <s v="Electric Generators, Electric Utilities"/>
    <x v="3"/>
    <n v="2921874"/>
  </r>
  <r>
    <x v="28"/>
    <x v="16"/>
    <s v="Electric Generators, Electric Utilities"/>
    <x v="7"/>
    <n v="9168289"/>
  </r>
  <r>
    <x v="28"/>
    <x v="16"/>
    <s v="Electric Generators, Electric Utilities"/>
    <x v="4"/>
    <n v="52016"/>
  </r>
  <r>
    <x v="28"/>
    <x v="16"/>
    <s v="Electric Generators, Electric Utilities"/>
    <x v="13"/>
    <n v="1859"/>
  </r>
  <r>
    <x v="28"/>
    <x v="16"/>
    <s v="Electric Generators, Electric Utilities"/>
    <x v="5"/>
    <n v="1899735"/>
  </r>
  <r>
    <x v="28"/>
    <x v="17"/>
    <s v="Total Electric Power Industry"/>
    <x v="0"/>
    <n v="78804497"/>
  </r>
  <r>
    <x v="28"/>
    <x v="17"/>
    <s v="Total Electric Power Industry"/>
    <x v="1"/>
    <n v="59168143"/>
  </r>
  <r>
    <x v="28"/>
    <x v="17"/>
    <s v="Total Electric Power Industry"/>
    <x v="2"/>
    <n v="4417833"/>
  </r>
  <r>
    <x v="28"/>
    <x v="17"/>
    <s v="Total Electric Power Industry"/>
    <x v="3"/>
    <n v="14614999"/>
  </r>
  <r>
    <x v="28"/>
    <x v="17"/>
    <s v="Total Electric Power Industry"/>
    <x v="12"/>
    <n v="63540"/>
  </r>
  <r>
    <x v="28"/>
    <x v="17"/>
    <s v="Total Electric Power Industry"/>
    <x v="4"/>
    <n v="69992"/>
  </r>
  <r>
    <x v="28"/>
    <x v="17"/>
    <s v="Total Electric Power Industry"/>
    <x v="13"/>
    <n v="39436"/>
  </r>
  <r>
    <x v="28"/>
    <x v="17"/>
    <s v="Total Electric Power Industry"/>
    <x v="8"/>
    <n v="101567"/>
  </r>
  <r>
    <x v="28"/>
    <x v="17"/>
    <s v="Total Electric Power Industry"/>
    <x v="6"/>
    <n v="328987"/>
  </r>
  <r>
    <x v="28"/>
    <x v="17"/>
    <s v="Combined Heat and Power, Industrial Power"/>
    <x v="0"/>
    <n v="532681"/>
  </r>
  <r>
    <x v="28"/>
    <x v="17"/>
    <s v="Combined Heat and Power, Industrial Power"/>
    <x v="3"/>
    <n v="203694"/>
  </r>
  <r>
    <x v="28"/>
    <x v="17"/>
    <s v="Combined Heat and Power, Industrial Power"/>
    <x v="6"/>
    <n v="328987"/>
  </r>
  <r>
    <x v="28"/>
    <x v="17"/>
    <s v="Electric Generators, Independent Power Producers"/>
    <x v="0"/>
    <n v="714795"/>
  </r>
  <r>
    <x v="28"/>
    <x v="17"/>
    <s v="Electric Generators, Independent Power Producers"/>
    <x v="2"/>
    <n v="10526"/>
  </r>
  <r>
    <x v="28"/>
    <x v="17"/>
    <s v="Electric Generators, Independent Power Producers"/>
    <x v="3"/>
    <n v="694617"/>
  </r>
  <r>
    <x v="28"/>
    <x v="17"/>
    <s v="Electric Generators, Independent Power Producers"/>
    <x v="13"/>
    <n v="1557"/>
  </r>
  <r>
    <x v="28"/>
    <x v="17"/>
    <s v="Electric Generators, Independent Power Producers"/>
    <x v="8"/>
    <n v="8095"/>
  </r>
  <r>
    <x v="28"/>
    <x v="17"/>
    <s v="Electric Generators, Electric Utilities"/>
    <x v="0"/>
    <n v="77557021"/>
  </r>
  <r>
    <x v="28"/>
    <x v="17"/>
    <s v="Electric Generators, Electric Utilities"/>
    <x v="1"/>
    <n v="59168143"/>
  </r>
  <r>
    <x v="28"/>
    <x v="17"/>
    <s v="Electric Generators, Electric Utilities"/>
    <x v="2"/>
    <n v="4407307"/>
  </r>
  <r>
    <x v="28"/>
    <x v="17"/>
    <s v="Electric Generators, Electric Utilities"/>
    <x v="3"/>
    <n v="13716688"/>
  </r>
  <r>
    <x v="28"/>
    <x v="17"/>
    <s v="Electric Generators, Electric Utilities"/>
    <x v="12"/>
    <n v="63540"/>
  </r>
  <r>
    <x v="28"/>
    <x v="17"/>
    <s v="Electric Generators, Electric Utilities"/>
    <x v="4"/>
    <n v="69992"/>
  </r>
  <r>
    <x v="28"/>
    <x v="17"/>
    <s v="Electric Generators, Electric Utilities"/>
    <x v="13"/>
    <n v="37879"/>
  </r>
  <r>
    <x v="28"/>
    <x v="17"/>
    <s v="Electric Generators, Electric Utilities"/>
    <x v="8"/>
    <n v="93472"/>
  </r>
  <r>
    <x v="28"/>
    <x v="17"/>
    <s v="Electric Generators, Electric Utilities"/>
    <x v="6"/>
    <n v="0"/>
  </r>
  <r>
    <x v="28"/>
    <x v="18"/>
    <s v="Total Electric Power Industry"/>
    <x v="0"/>
    <n v="102128485"/>
  </r>
  <r>
    <x v="28"/>
    <x v="18"/>
    <s v="Total Electric Power Industry"/>
    <x v="1"/>
    <n v="11786724"/>
  </r>
  <r>
    <x v="28"/>
    <x v="18"/>
    <s v="Total Electric Power Industry"/>
    <x v="2"/>
    <n v="1179855"/>
  </r>
  <r>
    <x v="28"/>
    <x v="18"/>
    <s v="Total Electric Power Industry"/>
    <x v="3"/>
    <n v="61781774"/>
  </r>
  <r>
    <x v="28"/>
    <x v="18"/>
    <s v="Total Electric Power Industry"/>
    <x v="7"/>
    <n v="17152582"/>
  </r>
  <r>
    <x v="28"/>
    <x v="18"/>
    <s v="Total Electric Power Industry"/>
    <x v="9"/>
    <n v="2597958"/>
  </r>
  <r>
    <x v="28"/>
    <x v="18"/>
    <s v="Total Electric Power Industry"/>
    <x v="12"/>
    <n v="643126"/>
  </r>
  <r>
    <x v="28"/>
    <x v="18"/>
    <s v="Total Electric Power Industry"/>
    <x v="4"/>
    <n v="4377794"/>
  </r>
  <r>
    <x v="28"/>
    <x v="18"/>
    <s v="Total Electric Power Industry"/>
    <x v="13"/>
    <n v="1518"/>
  </r>
  <r>
    <x v="28"/>
    <x v="18"/>
    <s v="Total Electric Power Industry"/>
    <x v="8"/>
    <n v="78787"/>
  </r>
  <r>
    <x v="28"/>
    <x v="18"/>
    <s v="Total Electric Power Industry"/>
    <x v="6"/>
    <n v="2528366"/>
  </r>
  <r>
    <x v="28"/>
    <x v="18"/>
    <s v="Combined Heat and Power, Industrial Power"/>
    <x v="0"/>
    <n v="30639041"/>
  </r>
  <r>
    <x v="28"/>
    <x v="18"/>
    <s v="Combined Heat and Power, Industrial Power"/>
    <x v="1"/>
    <n v="0"/>
  </r>
  <r>
    <x v="28"/>
    <x v="18"/>
    <s v="Combined Heat and Power, Industrial Power"/>
    <x v="3"/>
    <n v="24739793"/>
  </r>
  <r>
    <x v="28"/>
    <x v="18"/>
    <s v="Combined Heat and Power, Industrial Power"/>
    <x v="9"/>
    <n v="2597958"/>
  </r>
  <r>
    <x v="28"/>
    <x v="18"/>
    <s v="Combined Heat and Power, Industrial Power"/>
    <x v="12"/>
    <n v="643126"/>
  </r>
  <r>
    <x v="28"/>
    <x v="18"/>
    <s v="Combined Heat and Power, Industrial Power"/>
    <x v="4"/>
    <n v="129798"/>
  </r>
  <r>
    <x v="28"/>
    <x v="18"/>
    <s v="Combined Heat and Power, Industrial Power"/>
    <x v="8"/>
    <n v="0"/>
  </r>
  <r>
    <x v="28"/>
    <x v="18"/>
    <s v="Combined Heat and Power, Industrial Power"/>
    <x v="6"/>
    <n v="2528366"/>
  </r>
  <r>
    <x v="28"/>
    <x v="18"/>
    <s v="Combined Heat and Power, Commercial Power"/>
    <x v="0"/>
    <n v="170461"/>
  </r>
  <r>
    <x v="28"/>
    <x v="18"/>
    <s v="Combined Heat and Power, Commercial Power"/>
    <x v="3"/>
    <n v="170461"/>
  </r>
  <r>
    <x v="28"/>
    <x v="18"/>
    <s v="Combined Heat and Power, Electric Power"/>
    <x v="0"/>
    <n v="3064512"/>
  </r>
  <r>
    <x v="28"/>
    <x v="18"/>
    <s v="Combined Heat and Power, Electric Power"/>
    <x v="3"/>
    <n v="3064512"/>
  </r>
  <r>
    <x v="28"/>
    <x v="18"/>
    <s v="Electric Generators, Independent Power Producers"/>
    <x v="0"/>
    <n v="6102429"/>
  </r>
  <r>
    <x v="28"/>
    <x v="18"/>
    <s v="Electric Generators, Independent Power Producers"/>
    <x v="1"/>
    <n v="4006697"/>
  </r>
  <r>
    <x v="28"/>
    <x v="18"/>
    <s v="Electric Generators, Independent Power Producers"/>
    <x v="2"/>
    <n v="1179855"/>
  </r>
  <r>
    <x v="28"/>
    <x v="18"/>
    <s v="Electric Generators, Independent Power Producers"/>
    <x v="3"/>
    <n v="837089"/>
  </r>
  <r>
    <x v="28"/>
    <x v="18"/>
    <s v="Electric Generators, Independent Power Producers"/>
    <x v="4"/>
    <n v="0"/>
  </r>
  <r>
    <x v="28"/>
    <x v="18"/>
    <s v="Electric Generators, Independent Power Producers"/>
    <x v="8"/>
    <n v="78787"/>
  </r>
  <r>
    <x v="28"/>
    <x v="18"/>
    <s v="Electric Generators, Electric Utilities"/>
    <x v="0"/>
    <n v="62152041"/>
  </r>
  <r>
    <x v="28"/>
    <x v="18"/>
    <s v="Electric Generators, Electric Utilities"/>
    <x v="1"/>
    <n v="7780027"/>
  </r>
  <r>
    <x v="28"/>
    <x v="18"/>
    <s v="Electric Generators, Electric Utilities"/>
    <x v="3"/>
    <n v="32969918"/>
  </r>
  <r>
    <x v="28"/>
    <x v="18"/>
    <s v="Electric Generators, Electric Utilities"/>
    <x v="7"/>
    <n v="17152582"/>
  </r>
  <r>
    <x v="28"/>
    <x v="18"/>
    <s v="Electric Generators, Electric Utilities"/>
    <x v="12"/>
    <n v="0"/>
  </r>
  <r>
    <x v="28"/>
    <x v="18"/>
    <s v="Electric Generators, Electric Utilities"/>
    <x v="4"/>
    <n v="4247997"/>
  </r>
  <r>
    <x v="28"/>
    <x v="18"/>
    <s v="Electric Generators, Electric Utilities"/>
    <x v="13"/>
    <n v="1518"/>
  </r>
  <r>
    <x v="28"/>
    <x v="19"/>
    <s v="Total Electric Power Industry"/>
    <x v="0"/>
    <n v="27172882"/>
  </r>
  <r>
    <x v="28"/>
    <x v="19"/>
    <s v="Total Electric Power Industry"/>
    <x v="1"/>
    <n v="0"/>
  </r>
  <r>
    <x v="28"/>
    <x v="19"/>
    <s v="Total Electric Power Industry"/>
    <x v="10"/>
    <n v="-463783"/>
  </r>
  <r>
    <x v="28"/>
    <x v="19"/>
    <s v="Total Electric Power Industry"/>
    <x v="2"/>
    <n v="1133620"/>
  </r>
  <r>
    <x v="28"/>
    <x v="19"/>
    <s v="Total Electric Power Industry"/>
    <x v="3"/>
    <n v="18385821"/>
  </r>
  <r>
    <x v="28"/>
    <x v="19"/>
    <s v="Total Electric Power Industry"/>
    <x v="7"/>
    <n v="4441563"/>
  </r>
  <r>
    <x v="28"/>
    <x v="19"/>
    <s v="Total Electric Power Industry"/>
    <x v="12"/>
    <n v="846414"/>
  </r>
  <r>
    <x v="28"/>
    <x v="19"/>
    <s v="Total Electric Power Industry"/>
    <x v="4"/>
    <n v="460716"/>
  </r>
  <r>
    <x v="28"/>
    <x v="19"/>
    <s v="Total Electric Power Industry"/>
    <x v="13"/>
    <n v="978311"/>
  </r>
  <r>
    <x v="28"/>
    <x v="19"/>
    <s v="Total Electric Power Industry"/>
    <x v="8"/>
    <n v="1062196"/>
  </r>
  <r>
    <x v="28"/>
    <x v="19"/>
    <s v="Total Electric Power Industry"/>
    <x v="5"/>
    <n v="220982"/>
  </r>
  <r>
    <x v="28"/>
    <x v="19"/>
    <s v="Total Electric Power Industry"/>
    <x v="6"/>
    <n v="107041"/>
  </r>
  <r>
    <x v="28"/>
    <x v="19"/>
    <s v="Combined Heat and Power, Industrial Power"/>
    <x v="0"/>
    <n v="268784"/>
  </r>
  <r>
    <x v="28"/>
    <x v="19"/>
    <s v="Combined Heat and Power, Industrial Power"/>
    <x v="1"/>
    <n v="0"/>
  </r>
  <r>
    <x v="28"/>
    <x v="19"/>
    <s v="Combined Heat and Power, Industrial Power"/>
    <x v="3"/>
    <n v="261666"/>
  </r>
  <r>
    <x v="28"/>
    <x v="19"/>
    <s v="Combined Heat and Power, Industrial Power"/>
    <x v="12"/>
    <n v="0"/>
  </r>
  <r>
    <x v="28"/>
    <x v="19"/>
    <s v="Combined Heat and Power, Industrial Power"/>
    <x v="4"/>
    <n v="1893"/>
  </r>
  <r>
    <x v="28"/>
    <x v="19"/>
    <s v="Combined Heat and Power, Industrial Power"/>
    <x v="13"/>
    <n v="2240"/>
  </r>
  <r>
    <x v="28"/>
    <x v="19"/>
    <s v="Combined Heat and Power, Industrial Power"/>
    <x v="5"/>
    <n v="2985"/>
  </r>
  <r>
    <x v="28"/>
    <x v="19"/>
    <s v="Combined Heat and Power, Commercial Power"/>
    <x v="0"/>
    <n v="641553"/>
  </r>
  <r>
    <x v="28"/>
    <x v="19"/>
    <s v="Combined Heat and Power, Commercial Power"/>
    <x v="2"/>
    <n v="3941"/>
  </r>
  <r>
    <x v="28"/>
    <x v="19"/>
    <s v="Combined Heat and Power, Commercial Power"/>
    <x v="3"/>
    <n v="569933"/>
  </r>
  <r>
    <x v="28"/>
    <x v="19"/>
    <s v="Combined Heat and Power, Commercial Power"/>
    <x v="4"/>
    <n v="13102"/>
  </r>
  <r>
    <x v="28"/>
    <x v="19"/>
    <s v="Combined Heat and Power, Commercial Power"/>
    <x v="13"/>
    <n v="2662"/>
  </r>
  <r>
    <x v="28"/>
    <x v="19"/>
    <s v="Combined Heat and Power, Commercial Power"/>
    <x v="8"/>
    <n v="30158"/>
  </r>
  <r>
    <x v="28"/>
    <x v="19"/>
    <s v="Combined Heat and Power, Commercial Power"/>
    <x v="5"/>
    <n v="21757"/>
  </r>
  <r>
    <x v="28"/>
    <x v="19"/>
    <s v="Combined Heat and Power, Electric Power"/>
    <x v="0"/>
    <n v="1772470"/>
  </r>
  <r>
    <x v="28"/>
    <x v="19"/>
    <s v="Combined Heat and Power, Electric Power"/>
    <x v="3"/>
    <n v="1750542"/>
  </r>
  <r>
    <x v="28"/>
    <x v="19"/>
    <s v="Combined Heat and Power, Electric Power"/>
    <x v="4"/>
    <n v="21928"/>
  </r>
  <r>
    <x v="28"/>
    <x v="19"/>
    <s v="Electric Generators, Independent Power Producers"/>
    <x v="0"/>
    <n v="23903563"/>
  </r>
  <r>
    <x v="28"/>
    <x v="19"/>
    <s v="Electric Generators, Independent Power Producers"/>
    <x v="1"/>
    <n v="0"/>
  </r>
  <r>
    <x v="28"/>
    <x v="19"/>
    <s v="Electric Generators, Independent Power Producers"/>
    <x v="10"/>
    <n v="-463783"/>
  </r>
  <r>
    <x v="28"/>
    <x v="19"/>
    <s v="Electric Generators, Independent Power Producers"/>
    <x v="2"/>
    <n v="861775"/>
  </r>
  <r>
    <x v="28"/>
    <x v="19"/>
    <s v="Electric Generators, Independent Power Producers"/>
    <x v="3"/>
    <n v="15636324"/>
  </r>
  <r>
    <x v="28"/>
    <x v="19"/>
    <s v="Electric Generators, Independent Power Producers"/>
    <x v="7"/>
    <n v="4441563"/>
  </r>
  <r>
    <x v="28"/>
    <x v="19"/>
    <s v="Electric Generators, Independent Power Producers"/>
    <x v="12"/>
    <n v="846616"/>
  </r>
  <r>
    <x v="28"/>
    <x v="19"/>
    <s v="Electric Generators, Independent Power Producers"/>
    <x v="4"/>
    <n v="349286"/>
  </r>
  <r>
    <x v="28"/>
    <x v="19"/>
    <s v="Electric Generators, Independent Power Producers"/>
    <x v="13"/>
    <n v="954153"/>
  </r>
  <r>
    <x v="28"/>
    <x v="19"/>
    <s v="Electric Generators, Independent Power Producers"/>
    <x v="8"/>
    <n v="1032037"/>
  </r>
  <r>
    <x v="28"/>
    <x v="19"/>
    <s v="Electric Generators, Independent Power Producers"/>
    <x v="5"/>
    <n v="138551"/>
  </r>
  <r>
    <x v="28"/>
    <x v="19"/>
    <s v="Electric Generators, Independent Power Producers"/>
    <x v="6"/>
    <n v="107041"/>
  </r>
  <r>
    <x v="28"/>
    <x v="19"/>
    <s v="Electric Generators, Electric Utilities"/>
    <x v="0"/>
    <n v="586513"/>
  </r>
  <r>
    <x v="28"/>
    <x v="19"/>
    <s v="Electric Generators, Electric Utilities"/>
    <x v="2"/>
    <n v="267904"/>
  </r>
  <r>
    <x v="28"/>
    <x v="19"/>
    <s v="Electric Generators, Electric Utilities"/>
    <x v="3"/>
    <n v="167357"/>
  </r>
  <r>
    <x v="28"/>
    <x v="19"/>
    <s v="Electric Generators, Electric Utilities"/>
    <x v="12"/>
    <n v="-202"/>
  </r>
  <r>
    <x v="28"/>
    <x v="19"/>
    <s v="Electric Generators, Electric Utilities"/>
    <x v="4"/>
    <n v="74507"/>
  </r>
  <r>
    <x v="28"/>
    <x v="19"/>
    <s v="Electric Generators, Electric Utilities"/>
    <x v="13"/>
    <n v="19257"/>
  </r>
  <r>
    <x v="28"/>
    <x v="19"/>
    <s v="Electric Generators, Electric Utilities"/>
    <x v="5"/>
    <n v="57690"/>
  </r>
  <r>
    <x v="28"/>
    <x v="20"/>
    <s v="Total Electric Power Industry"/>
    <x v="0"/>
    <n v="43809648"/>
  </r>
  <r>
    <x v="28"/>
    <x v="20"/>
    <s v="Total Electric Power Industry"/>
    <x v="1"/>
    <n v="10066924"/>
  </r>
  <r>
    <x v="28"/>
    <x v="20"/>
    <s v="Total Electric Power Industry"/>
    <x v="2"/>
    <n v="2830886"/>
  </r>
  <r>
    <x v="28"/>
    <x v="20"/>
    <s v="Total Electric Power Industry"/>
    <x v="3"/>
    <n v="13849673"/>
  </r>
  <r>
    <x v="28"/>
    <x v="20"/>
    <s v="Total Electric Power Industry"/>
    <x v="7"/>
    <n v="14987931"/>
  </r>
  <r>
    <x v="28"/>
    <x v="20"/>
    <s v="Total Electric Power Industry"/>
    <x v="12"/>
    <n v="326127"/>
  </r>
  <r>
    <x v="28"/>
    <x v="20"/>
    <s v="Total Electric Power Industry"/>
    <x v="4"/>
    <n v="260015"/>
  </r>
  <r>
    <x v="28"/>
    <x v="20"/>
    <s v="Total Electric Power Industry"/>
    <x v="13"/>
    <n v="396720"/>
  </r>
  <r>
    <x v="28"/>
    <x v="20"/>
    <s v="Total Electric Power Industry"/>
    <x v="8"/>
    <n v="417346"/>
  </r>
  <r>
    <x v="28"/>
    <x v="20"/>
    <s v="Total Electric Power Industry"/>
    <x v="5"/>
    <n v="569984"/>
  </r>
  <r>
    <x v="28"/>
    <x v="20"/>
    <s v="Total Electric Power Industry"/>
    <x v="6"/>
    <n v="104043"/>
  </r>
  <r>
    <x v="28"/>
    <x v="20"/>
    <s v="Combined Heat and Power, Industrial Power"/>
    <x v="0"/>
    <n v="243613"/>
  </r>
  <r>
    <x v="28"/>
    <x v="20"/>
    <s v="Combined Heat and Power, Industrial Power"/>
    <x v="1"/>
    <n v="59744"/>
  </r>
  <r>
    <x v="28"/>
    <x v="20"/>
    <s v="Combined Heat and Power, Industrial Power"/>
    <x v="3"/>
    <n v="88013"/>
  </r>
  <r>
    <x v="28"/>
    <x v="20"/>
    <s v="Combined Heat and Power, Industrial Power"/>
    <x v="4"/>
    <n v="3167"/>
  </r>
  <r>
    <x v="28"/>
    <x v="20"/>
    <s v="Combined Heat and Power, Industrial Power"/>
    <x v="6"/>
    <n v="92690"/>
  </r>
  <r>
    <x v="28"/>
    <x v="20"/>
    <s v="Combined Heat and Power, Commercial Power"/>
    <x v="0"/>
    <n v="839887"/>
  </r>
  <r>
    <x v="28"/>
    <x v="20"/>
    <s v="Combined Heat and Power, Commercial Power"/>
    <x v="1"/>
    <n v="0"/>
  </r>
  <r>
    <x v="28"/>
    <x v="20"/>
    <s v="Combined Heat and Power, Commercial Power"/>
    <x v="3"/>
    <n v="811612"/>
  </r>
  <r>
    <x v="28"/>
    <x v="20"/>
    <s v="Combined Heat and Power, Commercial Power"/>
    <x v="12"/>
    <n v="0"/>
  </r>
  <r>
    <x v="28"/>
    <x v="20"/>
    <s v="Combined Heat and Power, Commercial Power"/>
    <x v="4"/>
    <n v="793"/>
  </r>
  <r>
    <x v="28"/>
    <x v="20"/>
    <s v="Combined Heat and Power, Commercial Power"/>
    <x v="13"/>
    <n v="10677"/>
  </r>
  <r>
    <x v="28"/>
    <x v="20"/>
    <s v="Combined Heat and Power, Commercial Power"/>
    <x v="8"/>
    <n v="5452"/>
  </r>
  <r>
    <x v="28"/>
    <x v="20"/>
    <s v="Combined Heat and Power, Commercial Power"/>
    <x v="6"/>
    <n v="11353"/>
  </r>
  <r>
    <x v="28"/>
    <x v="20"/>
    <s v="Combined Heat and Power, Electric Power"/>
    <x v="0"/>
    <n v="2682824"/>
  </r>
  <r>
    <x v="28"/>
    <x v="20"/>
    <s v="Combined Heat and Power, Electric Power"/>
    <x v="1"/>
    <n v="1141404"/>
  </r>
  <r>
    <x v="28"/>
    <x v="20"/>
    <s v="Combined Heat and Power, Electric Power"/>
    <x v="3"/>
    <n v="1174639"/>
  </r>
  <r>
    <x v="28"/>
    <x v="20"/>
    <s v="Combined Heat and Power, Electric Power"/>
    <x v="12"/>
    <n v="164282"/>
  </r>
  <r>
    <x v="28"/>
    <x v="20"/>
    <s v="Combined Heat and Power, Electric Power"/>
    <x v="4"/>
    <n v="31503"/>
  </r>
  <r>
    <x v="28"/>
    <x v="20"/>
    <s v="Combined Heat and Power, Electric Power"/>
    <x v="8"/>
    <n v="170995"/>
  </r>
  <r>
    <x v="28"/>
    <x v="20"/>
    <s v="Electric Generators, Independent Power Producers"/>
    <x v="0"/>
    <n v="36246768"/>
  </r>
  <r>
    <x v="28"/>
    <x v="20"/>
    <s v="Electric Generators, Independent Power Producers"/>
    <x v="1"/>
    <n v="8865775"/>
  </r>
  <r>
    <x v="28"/>
    <x v="20"/>
    <s v="Electric Generators, Independent Power Producers"/>
    <x v="2"/>
    <n v="2830886"/>
  </r>
  <r>
    <x v="28"/>
    <x v="20"/>
    <s v="Electric Generators, Independent Power Producers"/>
    <x v="3"/>
    <n v="7990143"/>
  </r>
  <r>
    <x v="28"/>
    <x v="20"/>
    <s v="Electric Generators, Independent Power Producers"/>
    <x v="7"/>
    <n v="14987931"/>
  </r>
  <r>
    <x v="28"/>
    <x v="20"/>
    <s v="Electric Generators, Independent Power Producers"/>
    <x v="12"/>
    <n v="161845"/>
  </r>
  <r>
    <x v="28"/>
    <x v="20"/>
    <s v="Electric Generators, Independent Power Producers"/>
    <x v="4"/>
    <n v="221351"/>
  </r>
  <r>
    <x v="28"/>
    <x v="20"/>
    <s v="Electric Generators, Independent Power Producers"/>
    <x v="13"/>
    <n v="377953"/>
  </r>
  <r>
    <x v="28"/>
    <x v="20"/>
    <s v="Electric Generators, Independent Power Producers"/>
    <x v="8"/>
    <n v="240900"/>
  </r>
  <r>
    <x v="28"/>
    <x v="20"/>
    <s v="Electric Generators, Independent Power Producers"/>
    <x v="5"/>
    <n v="569984"/>
  </r>
  <r>
    <x v="28"/>
    <x v="20"/>
    <s v="Electric Generators, Electric Utilities"/>
    <x v="0"/>
    <n v="3796556"/>
  </r>
  <r>
    <x v="28"/>
    <x v="20"/>
    <s v="Electric Generators, Electric Utilities"/>
    <x v="3"/>
    <n v="3785265"/>
  </r>
  <r>
    <x v="28"/>
    <x v="20"/>
    <s v="Electric Generators, Electric Utilities"/>
    <x v="4"/>
    <n v="3201"/>
  </r>
  <r>
    <x v="28"/>
    <x v="20"/>
    <s v="Electric Generators, Electric Utilities"/>
    <x v="13"/>
    <n v="8090"/>
  </r>
  <r>
    <x v="28"/>
    <x v="21"/>
    <s v="Total Electric Power Industry"/>
    <x v="0"/>
    <n v="11280700"/>
  </r>
  <r>
    <x v="28"/>
    <x v="21"/>
    <s v="Total Electric Power Industry"/>
    <x v="1"/>
    <n v="70828"/>
  </r>
  <r>
    <x v="28"/>
    <x v="21"/>
    <s v="Total Electric Power Industry"/>
    <x v="2"/>
    <n v="3261054"/>
  </r>
  <r>
    <x v="28"/>
    <x v="21"/>
    <s v="Total Electric Power Industry"/>
    <x v="3"/>
    <n v="2330717"/>
  </r>
  <r>
    <x v="28"/>
    <x v="21"/>
    <s v="Total Electric Power Industry"/>
    <x v="12"/>
    <n v="370843"/>
  </r>
  <r>
    <x v="28"/>
    <x v="21"/>
    <s v="Total Electric Power Industry"/>
    <x v="4"/>
    <n v="189107"/>
  </r>
  <r>
    <x v="28"/>
    <x v="21"/>
    <s v="Total Electric Power Industry"/>
    <x v="13"/>
    <n v="12032"/>
  </r>
  <r>
    <x v="28"/>
    <x v="21"/>
    <s v="Total Electric Power Industry"/>
    <x v="8"/>
    <n v="152429"/>
  </r>
  <r>
    <x v="28"/>
    <x v="21"/>
    <s v="Total Electric Power Industry"/>
    <x v="5"/>
    <n v="2384295"/>
  </r>
  <r>
    <x v="28"/>
    <x v="21"/>
    <s v="Total Electric Power Industry"/>
    <x v="6"/>
    <n v="2509395"/>
  </r>
  <r>
    <x v="28"/>
    <x v="21"/>
    <s v="Combined Heat and Power, Industrial Power"/>
    <x v="0"/>
    <n v="1806801"/>
  </r>
  <r>
    <x v="28"/>
    <x v="21"/>
    <s v="Combined Heat and Power, Industrial Power"/>
    <x v="1"/>
    <n v="14543"/>
  </r>
  <r>
    <x v="28"/>
    <x v="21"/>
    <s v="Combined Heat and Power, Industrial Power"/>
    <x v="2"/>
    <n v="114446"/>
  </r>
  <r>
    <x v="28"/>
    <x v="21"/>
    <s v="Combined Heat and Power, Industrial Power"/>
    <x v="3"/>
    <n v="422226"/>
  </r>
  <r>
    <x v="28"/>
    <x v="21"/>
    <s v="Combined Heat and Power, Industrial Power"/>
    <x v="12"/>
    <n v="134073"/>
  </r>
  <r>
    <x v="28"/>
    <x v="21"/>
    <s v="Combined Heat and Power, Industrial Power"/>
    <x v="4"/>
    <n v="16669"/>
  </r>
  <r>
    <x v="28"/>
    <x v="21"/>
    <s v="Combined Heat and Power, Industrial Power"/>
    <x v="8"/>
    <n v="7359"/>
  </r>
  <r>
    <x v="28"/>
    <x v="21"/>
    <s v="Combined Heat and Power, Industrial Power"/>
    <x v="6"/>
    <n v="1097485"/>
  </r>
  <r>
    <x v="28"/>
    <x v="21"/>
    <s v="Combined Heat and Power, Commercial Power"/>
    <x v="0"/>
    <n v="165415"/>
  </r>
  <r>
    <x v="28"/>
    <x v="21"/>
    <s v="Combined Heat and Power, Commercial Power"/>
    <x v="3"/>
    <n v="30090"/>
  </r>
  <r>
    <x v="28"/>
    <x v="21"/>
    <s v="Combined Heat and Power, Commercial Power"/>
    <x v="12"/>
    <n v="65161"/>
  </r>
  <r>
    <x v="28"/>
    <x v="21"/>
    <s v="Combined Heat and Power, Commercial Power"/>
    <x v="4"/>
    <n v="1909"/>
  </r>
  <r>
    <x v="28"/>
    <x v="21"/>
    <s v="Combined Heat and Power, Commercial Power"/>
    <x v="8"/>
    <n v="67821"/>
  </r>
  <r>
    <x v="28"/>
    <x v="21"/>
    <s v="Combined Heat and Power, Commercial Power"/>
    <x v="6"/>
    <n v="434"/>
  </r>
  <r>
    <x v="28"/>
    <x v="21"/>
    <s v="Combined Heat and Power, Electric Power"/>
    <x v="0"/>
    <n v="598625"/>
  </r>
  <r>
    <x v="28"/>
    <x v="21"/>
    <s v="Combined Heat and Power, Electric Power"/>
    <x v="1"/>
    <n v="56284"/>
  </r>
  <r>
    <x v="28"/>
    <x v="21"/>
    <s v="Combined Heat and Power, Electric Power"/>
    <x v="3"/>
    <n v="4400"/>
  </r>
  <r>
    <x v="28"/>
    <x v="21"/>
    <s v="Combined Heat and Power, Electric Power"/>
    <x v="12"/>
    <n v="133002"/>
  </r>
  <r>
    <x v="28"/>
    <x v="21"/>
    <s v="Combined Heat and Power, Electric Power"/>
    <x v="4"/>
    <n v="11014"/>
  </r>
  <r>
    <x v="28"/>
    <x v="21"/>
    <s v="Combined Heat and Power, Electric Power"/>
    <x v="8"/>
    <n v="4985"/>
  </r>
  <r>
    <x v="28"/>
    <x v="21"/>
    <s v="Combined Heat and Power, Electric Power"/>
    <x v="6"/>
    <n v="388940"/>
  </r>
  <r>
    <x v="28"/>
    <x v="21"/>
    <s v="Electric Generators, Independent Power Producers"/>
    <x v="0"/>
    <n v="8709840"/>
  </r>
  <r>
    <x v="28"/>
    <x v="21"/>
    <s v="Electric Generators, Independent Power Producers"/>
    <x v="1"/>
    <n v="0"/>
  </r>
  <r>
    <x v="28"/>
    <x v="21"/>
    <s v="Electric Generators, Independent Power Producers"/>
    <x v="2"/>
    <n v="3146608"/>
  </r>
  <r>
    <x v="28"/>
    <x v="21"/>
    <s v="Electric Generators, Independent Power Producers"/>
    <x v="3"/>
    <n v="1874001"/>
  </r>
  <r>
    <x v="28"/>
    <x v="21"/>
    <s v="Electric Generators, Independent Power Producers"/>
    <x v="12"/>
    <n v="38608"/>
  </r>
  <r>
    <x v="28"/>
    <x v="21"/>
    <s v="Electric Generators, Independent Power Producers"/>
    <x v="4"/>
    <n v="159496"/>
  </r>
  <r>
    <x v="28"/>
    <x v="21"/>
    <s v="Electric Generators, Independent Power Producers"/>
    <x v="13"/>
    <n v="12032"/>
  </r>
  <r>
    <x v="28"/>
    <x v="21"/>
    <s v="Electric Generators, Independent Power Producers"/>
    <x v="8"/>
    <n v="72264"/>
  </r>
  <r>
    <x v="28"/>
    <x v="21"/>
    <s v="Electric Generators, Independent Power Producers"/>
    <x v="5"/>
    <n v="2384295"/>
  </r>
  <r>
    <x v="28"/>
    <x v="21"/>
    <s v="Electric Generators, Independent Power Producers"/>
    <x v="6"/>
    <n v="1022537"/>
  </r>
  <r>
    <x v="28"/>
    <x v="21"/>
    <s v="Electric Generators, Electric Utilities"/>
    <x v="0"/>
    <n v="19"/>
  </r>
  <r>
    <x v="28"/>
    <x v="21"/>
    <s v="Electric Generators, Electric Utilities"/>
    <x v="4"/>
    <n v="19"/>
  </r>
  <r>
    <x v="28"/>
    <x v="22"/>
    <s v="Total Electric Power Industry"/>
    <x v="0"/>
    <n v="115837095"/>
  </r>
  <r>
    <x v="28"/>
    <x v="22"/>
    <s v="Total Electric Power Industry"/>
    <x v="1"/>
    <n v="42330864"/>
  </r>
  <r>
    <x v="28"/>
    <x v="22"/>
    <s v="Total Electric Power Industry"/>
    <x v="10"/>
    <n v="-698455"/>
  </r>
  <r>
    <x v="28"/>
    <x v="22"/>
    <s v="Total Electric Power Industry"/>
    <x v="2"/>
    <n v="1569199"/>
  </r>
  <r>
    <x v="28"/>
    <x v="22"/>
    <s v="Total Electric Power Industry"/>
    <x v="3"/>
    <n v="30986892"/>
  </r>
  <r>
    <x v="28"/>
    <x v="22"/>
    <s v="Total Electric Power Industry"/>
    <x v="7"/>
    <n v="30478694"/>
  </r>
  <r>
    <x v="28"/>
    <x v="22"/>
    <s v="Total Electric Power Industry"/>
    <x v="9"/>
    <n v="1597637"/>
  </r>
  <r>
    <x v="28"/>
    <x v="22"/>
    <s v="Total Electric Power Industry"/>
    <x v="12"/>
    <n v="252312"/>
  </r>
  <r>
    <x v="28"/>
    <x v="22"/>
    <s v="Total Electric Power Industry"/>
    <x v="4"/>
    <n v="1213512"/>
  </r>
  <r>
    <x v="28"/>
    <x v="22"/>
    <s v="Total Electric Power Industry"/>
    <x v="13"/>
    <n v="118153"/>
  </r>
  <r>
    <x v="28"/>
    <x v="22"/>
    <s v="Total Electric Power Industry"/>
    <x v="8"/>
    <n v="957467"/>
  </r>
  <r>
    <x v="28"/>
    <x v="22"/>
    <s v="Total Electric Power Industry"/>
    <x v="5"/>
    <n v="5457252"/>
  </r>
  <r>
    <x v="28"/>
    <x v="22"/>
    <s v="Total Electric Power Industry"/>
    <x v="6"/>
    <n v="1573568"/>
  </r>
  <r>
    <x v="28"/>
    <x v="22"/>
    <s v="Combined Heat and Power, Industrial Power"/>
    <x v="0"/>
    <n v="1323981"/>
  </r>
  <r>
    <x v="28"/>
    <x v="22"/>
    <s v="Combined Heat and Power, Industrial Power"/>
    <x v="1"/>
    <n v="73443"/>
  </r>
  <r>
    <x v="28"/>
    <x v="22"/>
    <s v="Combined Heat and Power, Industrial Power"/>
    <x v="2"/>
    <n v="9706"/>
  </r>
  <r>
    <x v="28"/>
    <x v="22"/>
    <s v="Combined Heat and Power, Industrial Power"/>
    <x v="3"/>
    <n v="423019"/>
  </r>
  <r>
    <x v="28"/>
    <x v="22"/>
    <s v="Combined Heat and Power, Industrial Power"/>
    <x v="12"/>
    <n v="18388"/>
  </r>
  <r>
    <x v="28"/>
    <x v="22"/>
    <s v="Combined Heat and Power, Industrial Power"/>
    <x v="4"/>
    <n v="114142"/>
  </r>
  <r>
    <x v="28"/>
    <x v="22"/>
    <s v="Combined Heat and Power, Industrial Power"/>
    <x v="8"/>
    <n v="2083"/>
  </r>
  <r>
    <x v="28"/>
    <x v="22"/>
    <s v="Combined Heat and Power, Industrial Power"/>
    <x v="6"/>
    <n v="683199"/>
  </r>
  <r>
    <x v="28"/>
    <x v="22"/>
    <s v="Combined Heat and Power, Commercial Power"/>
    <x v="0"/>
    <n v="867486"/>
  </r>
  <r>
    <x v="28"/>
    <x v="22"/>
    <s v="Combined Heat and Power, Commercial Power"/>
    <x v="1"/>
    <n v="0"/>
  </r>
  <r>
    <x v="28"/>
    <x v="22"/>
    <s v="Combined Heat and Power, Commercial Power"/>
    <x v="3"/>
    <n v="611744"/>
  </r>
  <r>
    <x v="28"/>
    <x v="22"/>
    <s v="Combined Heat and Power, Commercial Power"/>
    <x v="12"/>
    <n v="122311"/>
  </r>
  <r>
    <x v="28"/>
    <x v="22"/>
    <s v="Combined Heat and Power, Commercial Power"/>
    <x v="4"/>
    <n v="3948"/>
  </r>
  <r>
    <x v="28"/>
    <x v="22"/>
    <s v="Combined Heat and Power, Commercial Power"/>
    <x v="13"/>
    <n v="2172"/>
  </r>
  <r>
    <x v="28"/>
    <x v="22"/>
    <s v="Combined Heat and Power, Commercial Power"/>
    <x v="8"/>
    <n v="127301"/>
  </r>
  <r>
    <x v="28"/>
    <x v="22"/>
    <s v="Combined Heat and Power, Commercial Power"/>
    <x v="6"/>
    <n v="10"/>
  </r>
  <r>
    <x v="28"/>
    <x v="22"/>
    <s v="Combined Heat and Power, Electric Power"/>
    <x v="0"/>
    <n v="14582738"/>
  </r>
  <r>
    <x v="28"/>
    <x v="22"/>
    <s v="Combined Heat and Power, Electric Power"/>
    <x v="1"/>
    <n v="426929"/>
  </r>
  <r>
    <x v="28"/>
    <x v="22"/>
    <s v="Combined Heat and Power, Electric Power"/>
    <x v="3"/>
    <n v="12657702"/>
  </r>
  <r>
    <x v="28"/>
    <x v="22"/>
    <s v="Combined Heat and Power, Electric Power"/>
    <x v="9"/>
    <n v="1446619"/>
  </r>
  <r>
    <x v="28"/>
    <x v="22"/>
    <s v="Combined Heat and Power, Electric Power"/>
    <x v="12"/>
    <n v="29889"/>
  </r>
  <r>
    <x v="28"/>
    <x v="22"/>
    <s v="Combined Heat and Power, Electric Power"/>
    <x v="4"/>
    <n v="0"/>
  </r>
  <r>
    <x v="28"/>
    <x v="22"/>
    <s v="Combined Heat and Power, Electric Power"/>
    <x v="8"/>
    <n v="2961"/>
  </r>
  <r>
    <x v="28"/>
    <x v="22"/>
    <s v="Combined Heat and Power, Electric Power"/>
    <x v="6"/>
    <n v="18637"/>
  </r>
  <r>
    <x v="28"/>
    <x v="22"/>
    <s v="Electric Generators, Independent Power Producers"/>
    <x v="0"/>
    <n v="17612759"/>
  </r>
  <r>
    <x v="28"/>
    <x v="22"/>
    <s v="Electric Generators, Independent Power Producers"/>
    <x v="2"/>
    <n v="118694"/>
  </r>
  <r>
    <x v="28"/>
    <x v="22"/>
    <s v="Electric Generators, Independent Power Producers"/>
    <x v="3"/>
    <n v="6801786"/>
  </r>
  <r>
    <x v="28"/>
    <x v="22"/>
    <s v="Electric Generators, Independent Power Producers"/>
    <x v="7"/>
    <n v="5455940"/>
  </r>
  <r>
    <x v="28"/>
    <x v="22"/>
    <s v="Electric Generators, Independent Power Producers"/>
    <x v="12"/>
    <n v="81728"/>
  </r>
  <r>
    <x v="28"/>
    <x v="22"/>
    <s v="Electric Generators, Independent Power Producers"/>
    <x v="4"/>
    <n v="0"/>
  </r>
  <r>
    <x v="28"/>
    <x v="22"/>
    <s v="Electric Generators, Independent Power Producers"/>
    <x v="13"/>
    <n v="29185"/>
  </r>
  <r>
    <x v="28"/>
    <x v="22"/>
    <s v="Electric Generators, Independent Power Producers"/>
    <x v="8"/>
    <n v="825122"/>
  </r>
  <r>
    <x v="28"/>
    <x v="22"/>
    <s v="Electric Generators, Independent Power Producers"/>
    <x v="5"/>
    <n v="3428583"/>
  </r>
  <r>
    <x v="28"/>
    <x v="22"/>
    <s v="Electric Generators, Independent Power Producers"/>
    <x v="6"/>
    <n v="871721"/>
  </r>
  <r>
    <x v="28"/>
    <x v="22"/>
    <s v="Electric Generators, Electric Utilities"/>
    <x v="0"/>
    <n v="81450131"/>
  </r>
  <r>
    <x v="28"/>
    <x v="22"/>
    <s v="Electric Generators, Electric Utilities"/>
    <x v="1"/>
    <n v="41830492"/>
  </r>
  <r>
    <x v="28"/>
    <x v="22"/>
    <s v="Electric Generators, Electric Utilities"/>
    <x v="10"/>
    <n v="-698455"/>
  </r>
  <r>
    <x v="28"/>
    <x v="22"/>
    <s v="Electric Generators, Electric Utilities"/>
    <x v="2"/>
    <n v="1440799"/>
  </r>
  <r>
    <x v="28"/>
    <x v="22"/>
    <s v="Electric Generators, Electric Utilities"/>
    <x v="3"/>
    <n v="10492640"/>
  </r>
  <r>
    <x v="28"/>
    <x v="22"/>
    <s v="Electric Generators, Electric Utilities"/>
    <x v="7"/>
    <n v="25022754"/>
  </r>
  <r>
    <x v="28"/>
    <x v="22"/>
    <s v="Electric Generators, Electric Utilities"/>
    <x v="9"/>
    <n v="151018"/>
  </r>
  <r>
    <x v="28"/>
    <x v="22"/>
    <s v="Electric Generators, Electric Utilities"/>
    <x v="12"/>
    <n v="-3"/>
  </r>
  <r>
    <x v="28"/>
    <x v="22"/>
    <s v="Electric Generators, Electric Utilities"/>
    <x v="4"/>
    <n v="1095421"/>
  </r>
  <r>
    <x v="28"/>
    <x v="22"/>
    <s v="Electric Generators, Electric Utilities"/>
    <x v="13"/>
    <n v="86796"/>
  </r>
  <r>
    <x v="28"/>
    <x v="22"/>
    <s v="Electric Generators, Electric Utilities"/>
    <x v="5"/>
    <n v="2028669"/>
  </r>
  <r>
    <x v="28"/>
    <x v="22"/>
    <s v="Electric Generators, Electric Utilities"/>
    <x v="6"/>
    <n v="0"/>
  </r>
  <r>
    <x v="28"/>
    <x v="23"/>
    <s v="Total Electric Power Industry"/>
    <x v="0"/>
    <n v="61517441"/>
  </r>
  <r>
    <x v="28"/>
    <x v="23"/>
    <s v="Total Electric Power Industry"/>
    <x v="1"/>
    <n v="23455356"/>
  </r>
  <r>
    <x v="28"/>
    <x v="23"/>
    <s v="Total Electric Power Industry"/>
    <x v="2"/>
    <n v="1053504"/>
  </r>
  <r>
    <x v="28"/>
    <x v="23"/>
    <s v="Total Electric Power Industry"/>
    <x v="3"/>
    <n v="8555294"/>
  </r>
  <r>
    <x v="28"/>
    <x v="23"/>
    <s v="Total Electric Power Industry"/>
    <x v="7"/>
    <n v="14601329"/>
  </r>
  <r>
    <x v="28"/>
    <x v="23"/>
    <s v="Total Electric Power Industry"/>
    <x v="12"/>
    <n v="405181"/>
  </r>
  <r>
    <x v="28"/>
    <x v="23"/>
    <s v="Total Electric Power Industry"/>
    <x v="4"/>
    <n v="46574"/>
  </r>
  <r>
    <x v="28"/>
    <x v="23"/>
    <s v="Total Electric Power Industry"/>
    <x v="13"/>
    <n v="1042021"/>
  </r>
  <r>
    <x v="28"/>
    <x v="23"/>
    <s v="Total Electric Power Industry"/>
    <x v="8"/>
    <n v="531233"/>
  </r>
  <r>
    <x v="28"/>
    <x v="23"/>
    <s v="Total Electric Power Industry"/>
    <x v="5"/>
    <n v="10713650"/>
  </r>
  <r>
    <x v="28"/>
    <x v="23"/>
    <s v="Total Electric Power Industry"/>
    <x v="6"/>
    <n v="1113300"/>
  </r>
  <r>
    <x v="28"/>
    <x v="23"/>
    <s v="Combined Heat and Power, Industrial Power"/>
    <x v="0"/>
    <n v="1331470"/>
  </r>
  <r>
    <x v="28"/>
    <x v="23"/>
    <s v="Combined Heat and Power, Industrial Power"/>
    <x v="1"/>
    <n v="387054"/>
  </r>
  <r>
    <x v="28"/>
    <x v="23"/>
    <s v="Combined Heat and Power, Industrial Power"/>
    <x v="2"/>
    <n v="91818"/>
  </r>
  <r>
    <x v="28"/>
    <x v="23"/>
    <s v="Combined Heat and Power, Industrial Power"/>
    <x v="3"/>
    <n v="120041"/>
  </r>
  <r>
    <x v="28"/>
    <x v="23"/>
    <s v="Combined Heat and Power, Industrial Power"/>
    <x v="12"/>
    <n v="51668"/>
  </r>
  <r>
    <x v="28"/>
    <x v="23"/>
    <s v="Combined Heat and Power, Industrial Power"/>
    <x v="4"/>
    <n v="821"/>
  </r>
  <r>
    <x v="28"/>
    <x v="23"/>
    <s v="Combined Heat and Power, Industrial Power"/>
    <x v="8"/>
    <n v="7425"/>
  </r>
  <r>
    <x v="28"/>
    <x v="23"/>
    <s v="Combined Heat and Power, Industrial Power"/>
    <x v="6"/>
    <n v="672644"/>
  </r>
  <r>
    <x v="28"/>
    <x v="23"/>
    <s v="Combined Heat and Power, Commercial Power"/>
    <x v="0"/>
    <n v="193037"/>
  </r>
  <r>
    <x v="28"/>
    <x v="23"/>
    <s v="Combined Heat and Power, Commercial Power"/>
    <x v="1"/>
    <n v="757"/>
  </r>
  <r>
    <x v="28"/>
    <x v="23"/>
    <s v="Combined Heat and Power, Commercial Power"/>
    <x v="3"/>
    <n v="107628"/>
  </r>
  <r>
    <x v="28"/>
    <x v="23"/>
    <s v="Combined Heat and Power, Commercial Power"/>
    <x v="12"/>
    <n v="28882"/>
  </r>
  <r>
    <x v="28"/>
    <x v="23"/>
    <s v="Combined Heat and Power, Commercial Power"/>
    <x v="4"/>
    <n v="1591"/>
  </r>
  <r>
    <x v="28"/>
    <x v="23"/>
    <s v="Combined Heat and Power, Commercial Power"/>
    <x v="8"/>
    <n v="19456"/>
  </r>
  <r>
    <x v="28"/>
    <x v="23"/>
    <s v="Combined Heat and Power, Commercial Power"/>
    <x v="5"/>
    <n v="25221"/>
  </r>
  <r>
    <x v="28"/>
    <x v="23"/>
    <s v="Combined Heat and Power, Commercial Power"/>
    <x v="6"/>
    <n v="9501"/>
  </r>
  <r>
    <x v="28"/>
    <x v="23"/>
    <s v="Combined Heat and Power, Electric Power"/>
    <x v="0"/>
    <n v="771360"/>
  </r>
  <r>
    <x v="28"/>
    <x v="23"/>
    <s v="Combined Heat and Power, Electric Power"/>
    <x v="3"/>
    <n v="512504"/>
  </r>
  <r>
    <x v="28"/>
    <x v="23"/>
    <s v="Combined Heat and Power, Electric Power"/>
    <x v="4"/>
    <n v="690"/>
  </r>
  <r>
    <x v="28"/>
    <x v="23"/>
    <s v="Combined Heat and Power, Electric Power"/>
    <x v="8"/>
    <n v="78047"/>
  </r>
  <r>
    <x v="28"/>
    <x v="23"/>
    <s v="Combined Heat and Power, Electric Power"/>
    <x v="6"/>
    <n v="180119"/>
  </r>
  <r>
    <x v="28"/>
    <x v="23"/>
    <s v="Electric Generators, Independent Power Producers"/>
    <x v="0"/>
    <n v="10644276"/>
  </r>
  <r>
    <x v="28"/>
    <x v="23"/>
    <s v="Electric Generators, Independent Power Producers"/>
    <x v="2"/>
    <n v="236665"/>
  </r>
  <r>
    <x v="28"/>
    <x v="23"/>
    <s v="Electric Generators, Independent Power Producers"/>
    <x v="3"/>
    <n v="594082"/>
  </r>
  <r>
    <x v="28"/>
    <x v="23"/>
    <s v="Electric Generators, Independent Power Producers"/>
    <x v="12"/>
    <n v="141359"/>
  </r>
  <r>
    <x v="28"/>
    <x v="23"/>
    <s v="Electric Generators, Independent Power Producers"/>
    <x v="4"/>
    <n v="15075"/>
  </r>
  <r>
    <x v="28"/>
    <x v="23"/>
    <s v="Electric Generators, Independent Power Producers"/>
    <x v="13"/>
    <n v="1039316"/>
  </r>
  <r>
    <x v="28"/>
    <x v="23"/>
    <s v="Electric Generators, Independent Power Producers"/>
    <x v="8"/>
    <n v="203538"/>
  </r>
  <r>
    <x v="28"/>
    <x v="23"/>
    <s v="Electric Generators, Independent Power Producers"/>
    <x v="5"/>
    <n v="8283624"/>
  </r>
  <r>
    <x v="28"/>
    <x v="23"/>
    <s v="Electric Generators, Independent Power Producers"/>
    <x v="6"/>
    <n v="130617"/>
  </r>
  <r>
    <x v="28"/>
    <x v="23"/>
    <s v="Electric Generators, Electric Utilities"/>
    <x v="0"/>
    <n v="48577299"/>
  </r>
  <r>
    <x v="28"/>
    <x v="23"/>
    <s v="Electric Generators, Electric Utilities"/>
    <x v="1"/>
    <n v="23067545"/>
  </r>
  <r>
    <x v="28"/>
    <x v="23"/>
    <s v="Electric Generators, Electric Utilities"/>
    <x v="2"/>
    <n v="725021"/>
  </r>
  <r>
    <x v="28"/>
    <x v="23"/>
    <s v="Electric Generators, Electric Utilities"/>
    <x v="3"/>
    <n v="7221039"/>
  </r>
  <r>
    <x v="28"/>
    <x v="23"/>
    <s v="Electric Generators, Electric Utilities"/>
    <x v="7"/>
    <n v="14601329"/>
  </r>
  <r>
    <x v="28"/>
    <x v="23"/>
    <s v="Electric Generators, Electric Utilities"/>
    <x v="12"/>
    <n v="183271"/>
  </r>
  <r>
    <x v="28"/>
    <x v="23"/>
    <s v="Electric Generators, Electric Utilities"/>
    <x v="4"/>
    <n v="28397"/>
  </r>
  <r>
    <x v="28"/>
    <x v="23"/>
    <s v="Electric Generators, Electric Utilities"/>
    <x v="13"/>
    <n v="2705"/>
  </r>
  <r>
    <x v="28"/>
    <x v="23"/>
    <s v="Electric Generators, Electric Utilities"/>
    <x v="8"/>
    <n v="222767"/>
  </r>
  <r>
    <x v="28"/>
    <x v="23"/>
    <s v="Electric Generators, Electric Utilities"/>
    <x v="5"/>
    <n v="2404805"/>
  </r>
  <r>
    <x v="28"/>
    <x v="23"/>
    <s v="Electric Generators, Electric Utilities"/>
    <x v="6"/>
    <n v="120419"/>
  </r>
  <r>
    <x v="28"/>
    <x v="24"/>
    <s v="Total Electric Power Industry"/>
    <x v="0"/>
    <n v="85095384"/>
  </r>
  <r>
    <x v="28"/>
    <x v="24"/>
    <s v="Total Electric Power Industry"/>
    <x v="1"/>
    <n v="63355135"/>
  </r>
  <r>
    <x v="28"/>
    <x v="24"/>
    <s v="Total Electric Power Industry"/>
    <x v="10"/>
    <n v="46907"/>
  </r>
  <r>
    <x v="28"/>
    <x v="24"/>
    <s v="Total Electric Power Industry"/>
    <x v="2"/>
    <n v="828392"/>
  </r>
  <r>
    <x v="28"/>
    <x v="24"/>
    <s v="Total Electric Power Industry"/>
    <x v="3"/>
    <n v="7050055"/>
  </r>
  <r>
    <x v="28"/>
    <x v="24"/>
    <s v="Total Electric Power Industry"/>
    <x v="7"/>
    <n v="10655279"/>
  </r>
  <r>
    <x v="28"/>
    <x v="24"/>
    <s v="Total Electric Power Industry"/>
    <x v="12"/>
    <n v="1008"/>
  </r>
  <r>
    <x v="28"/>
    <x v="24"/>
    <s v="Total Electric Power Industry"/>
    <x v="4"/>
    <n v="99755"/>
  </r>
  <r>
    <x v="28"/>
    <x v="24"/>
    <s v="Total Electric Power Industry"/>
    <x v="13"/>
    <n v="91231"/>
  </r>
  <r>
    <x v="28"/>
    <x v="24"/>
    <s v="Total Electric Power Industry"/>
    <x v="8"/>
    <n v="81930"/>
  </r>
  <r>
    <x v="28"/>
    <x v="24"/>
    <s v="Total Electric Power Industry"/>
    <x v="5"/>
    <n v="2834677"/>
  </r>
  <r>
    <x v="28"/>
    <x v="24"/>
    <s v="Total Electric Power Industry"/>
    <x v="6"/>
    <n v="51015"/>
  </r>
  <r>
    <x v="28"/>
    <x v="24"/>
    <s v="Combined Heat and Power, Industrial Power"/>
    <x v="0"/>
    <n v="42676"/>
  </r>
  <r>
    <x v="28"/>
    <x v="24"/>
    <s v="Combined Heat and Power, Industrial Power"/>
    <x v="1"/>
    <n v="0"/>
  </r>
  <r>
    <x v="28"/>
    <x v="24"/>
    <s v="Combined Heat and Power, Industrial Power"/>
    <x v="3"/>
    <n v="39642"/>
  </r>
  <r>
    <x v="28"/>
    <x v="24"/>
    <s v="Combined Heat and Power, Industrial Power"/>
    <x v="4"/>
    <n v="0"/>
  </r>
  <r>
    <x v="28"/>
    <x v="24"/>
    <s v="Combined Heat and Power, Industrial Power"/>
    <x v="8"/>
    <n v="3034"/>
  </r>
  <r>
    <x v="28"/>
    <x v="24"/>
    <s v="Combined Heat and Power, Industrial Power"/>
    <x v="6"/>
    <n v="0"/>
  </r>
  <r>
    <x v="28"/>
    <x v="24"/>
    <s v="Combined Heat and Power, Commercial Power"/>
    <x v="0"/>
    <n v="174501"/>
  </r>
  <r>
    <x v="28"/>
    <x v="24"/>
    <s v="Combined Heat and Power, Commercial Power"/>
    <x v="1"/>
    <n v="10123"/>
  </r>
  <r>
    <x v="28"/>
    <x v="24"/>
    <s v="Combined Heat and Power, Commercial Power"/>
    <x v="3"/>
    <n v="111787"/>
  </r>
  <r>
    <x v="28"/>
    <x v="24"/>
    <s v="Combined Heat and Power, Commercial Power"/>
    <x v="4"/>
    <n v="24"/>
  </r>
  <r>
    <x v="28"/>
    <x v="24"/>
    <s v="Combined Heat and Power, Commercial Power"/>
    <x v="13"/>
    <n v="1552"/>
  </r>
  <r>
    <x v="28"/>
    <x v="24"/>
    <s v="Combined Heat and Power, Commercial Power"/>
    <x v="6"/>
    <n v="51015"/>
  </r>
  <r>
    <x v="28"/>
    <x v="24"/>
    <s v="Combined Heat and Power, Electric Power"/>
    <x v="0"/>
    <n v="84107"/>
  </r>
  <r>
    <x v="28"/>
    <x v="24"/>
    <s v="Combined Heat and Power, Electric Power"/>
    <x v="1"/>
    <n v="0"/>
  </r>
  <r>
    <x v="28"/>
    <x v="24"/>
    <s v="Combined Heat and Power, Electric Power"/>
    <x v="3"/>
    <n v="84107"/>
  </r>
  <r>
    <x v="28"/>
    <x v="24"/>
    <s v="Combined Heat and Power, Electric Power"/>
    <x v="4"/>
    <n v="0"/>
  </r>
  <r>
    <x v="28"/>
    <x v="24"/>
    <s v="Electric Generators, Independent Power Producers"/>
    <x v="0"/>
    <n v="5013733"/>
  </r>
  <r>
    <x v="28"/>
    <x v="24"/>
    <s v="Electric Generators, Independent Power Producers"/>
    <x v="1"/>
    <n v="0"/>
  </r>
  <r>
    <x v="28"/>
    <x v="24"/>
    <s v="Electric Generators, Independent Power Producers"/>
    <x v="3"/>
    <n v="2047145"/>
  </r>
  <r>
    <x v="28"/>
    <x v="24"/>
    <s v="Electric Generators, Independent Power Producers"/>
    <x v="4"/>
    <n v="0"/>
  </r>
  <r>
    <x v="28"/>
    <x v="24"/>
    <s v="Electric Generators, Independent Power Producers"/>
    <x v="13"/>
    <n v="84995"/>
  </r>
  <r>
    <x v="28"/>
    <x v="24"/>
    <s v="Electric Generators, Independent Power Producers"/>
    <x v="8"/>
    <n v="46916"/>
  </r>
  <r>
    <x v="28"/>
    <x v="24"/>
    <s v="Electric Generators, Independent Power Producers"/>
    <x v="5"/>
    <n v="2834677"/>
  </r>
  <r>
    <x v="28"/>
    <x v="24"/>
    <s v="Electric Generators, Electric Utilities"/>
    <x v="0"/>
    <n v="79780367"/>
  </r>
  <r>
    <x v="28"/>
    <x v="24"/>
    <s v="Electric Generators, Electric Utilities"/>
    <x v="1"/>
    <n v="63345012"/>
  </r>
  <r>
    <x v="28"/>
    <x v="24"/>
    <s v="Electric Generators, Electric Utilities"/>
    <x v="10"/>
    <n v="46907"/>
  </r>
  <r>
    <x v="28"/>
    <x v="24"/>
    <s v="Electric Generators, Electric Utilities"/>
    <x v="2"/>
    <n v="828392"/>
  </r>
  <r>
    <x v="28"/>
    <x v="24"/>
    <s v="Electric Generators, Electric Utilities"/>
    <x v="3"/>
    <n v="4767375"/>
  </r>
  <r>
    <x v="28"/>
    <x v="24"/>
    <s v="Electric Generators, Electric Utilities"/>
    <x v="7"/>
    <n v="10655279"/>
  </r>
  <r>
    <x v="28"/>
    <x v="24"/>
    <s v="Electric Generators, Electric Utilities"/>
    <x v="12"/>
    <n v="1008"/>
  </r>
  <r>
    <x v="28"/>
    <x v="24"/>
    <s v="Electric Generators, Electric Utilities"/>
    <x v="4"/>
    <n v="99731"/>
  </r>
  <r>
    <x v="28"/>
    <x v="24"/>
    <s v="Electric Generators, Electric Utilities"/>
    <x v="13"/>
    <n v="4684"/>
  </r>
  <r>
    <x v="28"/>
    <x v="24"/>
    <s v="Electric Generators, Electric Utilities"/>
    <x v="8"/>
    <n v="31980"/>
  </r>
  <r>
    <x v="28"/>
    <x v="24"/>
    <s v="Electric Generators, Electric Utilities"/>
    <x v="6"/>
    <n v="0"/>
  </r>
  <r>
    <x v="28"/>
    <x v="25"/>
    <s v="Total Electric Power Industry"/>
    <x v="0"/>
    <n v="63473771"/>
  </r>
  <r>
    <x v="28"/>
    <x v="25"/>
    <s v="Total Electric Power Industry"/>
    <x v="1"/>
    <n v="5280043"/>
  </r>
  <r>
    <x v="28"/>
    <x v="25"/>
    <s v="Total Electric Power Industry"/>
    <x v="3"/>
    <n v="49481811"/>
  </r>
  <r>
    <x v="28"/>
    <x v="25"/>
    <s v="Total Electric Power Industry"/>
    <x v="7"/>
    <n v="6919470"/>
  </r>
  <r>
    <x v="28"/>
    <x v="25"/>
    <s v="Total Electric Power Industry"/>
    <x v="12"/>
    <n v="0"/>
  </r>
  <r>
    <x v="28"/>
    <x v="25"/>
    <s v="Total Electric Power Industry"/>
    <x v="4"/>
    <n v="27310"/>
  </r>
  <r>
    <x v="28"/>
    <x v="25"/>
    <s v="Total Electric Power Industry"/>
    <x v="13"/>
    <n v="325853"/>
  </r>
  <r>
    <x v="28"/>
    <x v="25"/>
    <s v="Total Electric Power Industry"/>
    <x v="8"/>
    <n v="16554"/>
  </r>
  <r>
    <x v="28"/>
    <x v="25"/>
    <s v="Total Electric Power Industry"/>
    <x v="6"/>
    <n v="1422731"/>
  </r>
  <r>
    <x v="28"/>
    <x v="25"/>
    <s v="Combined Heat and Power, Industrial Power"/>
    <x v="0"/>
    <n v="1914768"/>
  </r>
  <r>
    <x v="28"/>
    <x v="25"/>
    <s v="Combined Heat and Power, Industrial Power"/>
    <x v="1"/>
    <n v="0"/>
  </r>
  <r>
    <x v="28"/>
    <x v="25"/>
    <s v="Combined Heat and Power, Industrial Power"/>
    <x v="3"/>
    <n v="484078"/>
  </r>
  <r>
    <x v="28"/>
    <x v="25"/>
    <s v="Combined Heat and Power, Industrial Power"/>
    <x v="12"/>
    <n v="0"/>
  </r>
  <r>
    <x v="28"/>
    <x v="25"/>
    <s v="Combined Heat and Power, Industrial Power"/>
    <x v="4"/>
    <n v="3995"/>
  </r>
  <r>
    <x v="28"/>
    <x v="25"/>
    <s v="Combined Heat and Power, Industrial Power"/>
    <x v="8"/>
    <n v="3965"/>
  </r>
  <r>
    <x v="28"/>
    <x v="25"/>
    <s v="Combined Heat and Power, Industrial Power"/>
    <x v="6"/>
    <n v="1422731"/>
  </r>
  <r>
    <x v="28"/>
    <x v="25"/>
    <s v="Combined Heat and Power, Commercial Power"/>
    <x v="0"/>
    <n v="0"/>
  </r>
  <r>
    <x v="28"/>
    <x v="25"/>
    <s v="Combined Heat and Power, Commercial Power"/>
    <x v="3"/>
    <n v="0"/>
  </r>
  <r>
    <x v="28"/>
    <x v="25"/>
    <s v="Electric Generators, Independent Power Producers"/>
    <x v="0"/>
    <n v="8248126"/>
  </r>
  <r>
    <x v="28"/>
    <x v="25"/>
    <s v="Electric Generators, Independent Power Producers"/>
    <x v="1"/>
    <n v="2831491"/>
  </r>
  <r>
    <x v="28"/>
    <x v="25"/>
    <s v="Electric Generators, Independent Power Producers"/>
    <x v="3"/>
    <n v="5078193"/>
  </r>
  <r>
    <x v="28"/>
    <x v="25"/>
    <s v="Electric Generators, Independent Power Producers"/>
    <x v="13"/>
    <n v="325853"/>
  </r>
  <r>
    <x v="28"/>
    <x v="25"/>
    <s v="Electric Generators, Independent Power Producers"/>
    <x v="8"/>
    <n v="12589"/>
  </r>
  <r>
    <x v="28"/>
    <x v="25"/>
    <s v="Electric Generators, Electric Utilities"/>
    <x v="0"/>
    <n v="53310877"/>
  </r>
  <r>
    <x v="28"/>
    <x v="25"/>
    <s v="Electric Generators, Electric Utilities"/>
    <x v="1"/>
    <n v="2448552"/>
  </r>
  <r>
    <x v="28"/>
    <x v="25"/>
    <s v="Electric Generators, Electric Utilities"/>
    <x v="3"/>
    <n v="43919540"/>
  </r>
  <r>
    <x v="28"/>
    <x v="25"/>
    <s v="Electric Generators, Electric Utilities"/>
    <x v="7"/>
    <n v="6919470"/>
  </r>
  <r>
    <x v="28"/>
    <x v="25"/>
    <s v="Electric Generators, Electric Utilities"/>
    <x v="4"/>
    <n v="23315"/>
  </r>
  <r>
    <x v="28"/>
    <x v="26"/>
    <s v="Total Electric Power Industry"/>
    <x v="0"/>
    <n v="28212831"/>
  </r>
  <r>
    <x v="28"/>
    <x v="26"/>
    <s v="Total Electric Power Industry"/>
    <x v="1"/>
    <n v="13360026"/>
  </r>
  <r>
    <x v="28"/>
    <x v="26"/>
    <s v="Total Electric Power Industry"/>
    <x v="2"/>
    <n v="11404609"/>
  </r>
  <r>
    <x v="28"/>
    <x v="26"/>
    <s v="Total Electric Power Industry"/>
    <x v="3"/>
    <n v="476370"/>
  </r>
  <r>
    <x v="28"/>
    <x v="26"/>
    <s v="Total Electric Power Industry"/>
    <x v="9"/>
    <n v="12415"/>
  </r>
  <r>
    <x v="28"/>
    <x v="26"/>
    <s v="Total Electric Power Industry"/>
    <x v="12"/>
    <n v="304672"/>
  </r>
  <r>
    <x v="28"/>
    <x v="26"/>
    <s v="Total Electric Power Industry"/>
    <x v="4"/>
    <n v="446004"/>
  </r>
  <r>
    <x v="28"/>
    <x v="26"/>
    <s v="Total Electric Power Industry"/>
    <x v="13"/>
    <n v="34012"/>
  </r>
  <r>
    <x v="28"/>
    <x v="26"/>
    <s v="Total Electric Power Industry"/>
    <x v="5"/>
    <n v="2153392"/>
  </r>
  <r>
    <x v="28"/>
    <x v="26"/>
    <s v="Total Electric Power Industry"/>
    <x v="6"/>
    <n v="21331"/>
  </r>
  <r>
    <x v="28"/>
    <x v="26"/>
    <s v="Combined Heat and Power, Industrial Power"/>
    <x v="0"/>
    <n v="35676"/>
  </r>
  <r>
    <x v="28"/>
    <x v="26"/>
    <s v="Combined Heat and Power, Industrial Power"/>
    <x v="1"/>
    <n v="10228"/>
  </r>
  <r>
    <x v="28"/>
    <x v="26"/>
    <s v="Combined Heat and Power, Industrial Power"/>
    <x v="3"/>
    <n v="4117"/>
  </r>
  <r>
    <x v="28"/>
    <x v="26"/>
    <s v="Combined Heat and Power, Industrial Power"/>
    <x v="9"/>
    <n v="0"/>
  </r>
  <r>
    <x v="28"/>
    <x v="26"/>
    <s v="Combined Heat and Power, Industrial Power"/>
    <x v="4"/>
    <n v="0"/>
  </r>
  <r>
    <x v="28"/>
    <x v="26"/>
    <s v="Combined Heat and Power, Industrial Power"/>
    <x v="6"/>
    <n v="21331"/>
  </r>
  <r>
    <x v="28"/>
    <x v="26"/>
    <s v="Combined Heat and Power, Electric Power"/>
    <x v="0"/>
    <n v="442910"/>
  </r>
  <r>
    <x v="28"/>
    <x v="26"/>
    <s v="Combined Heat and Power, Electric Power"/>
    <x v="9"/>
    <n v="12415"/>
  </r>
  <r>
    <x v="28"/>
    <x v="26"/>
    <s v="Combined Heat and Power, Electric Power"/>
    <x v="4"/>
    <n v="430495"/>
  </r>
  <r>
    <x v="28"/>
    <x v="26"/>
    <s v="Electric Generators, Independent Power Producers"/>
    <x v="0"/>
    <n v="15646764"/>
  </r>
  <r>
    <x v="28"/>
    <x v="26"/>
    <s v="Electric Generators, Independent Power Producers"/>
    <x v="1"/>
    <n v="13115565"/>
  </r>
  <r>
    <x v="28"/>
    <x v="26"/>
    <s v="Electric Generators, Independent Power Producers"/>
    <x v="2"/>
    <n v="135559"/>
  </r>
  <r>
    <x v="28"/>
    <x v="26"/>
    <s v="Electric Generators, Independent Power Producers"/>
    <x v="3"/>
    <n v="130683"/>
  </r>
  <r>
    <x v="28"/>
    <x v="26"/>
    <s v="Electric Generators, Independent Power Producers"/>
    <x v="12"/>
    <n v="304672"/>
  </r>
  <r>
    <x v="28"/>
    <x v="26"/>
    <s v="Electric Generators, Independent Power Producers"/>
    <x v="4"/>
    <n v="15129"/>
  </r>
  <r>
    <x v="28"/>
    <x v="26"/>
    <s v="Electric Generators, Independent Power Producers"/>
    <x v="13"/>
    <n v="34012"/>
  </r>
  <r>
    <x v="28"/>
    <x v="26"/>
    <s v="Electric Generators, Independent Power Producers"/>
    <x v="5"/>
    <n v="1911144"/>
  </r>
  <r>
    <x v="28"/>
    <x v="26"/>
    <s v="Electric Generators, Electric Utilities"/>
    <x v="0"/>
    <n v="12087481"/>
  </r>
  <r>
    <x v="28"/>
    <x v="26"/>
    <s v="Electric Generators, Electric Utilities"/>
    <x v="1"/>
    <n v="234233"/>
  </r>
  <r>
    <x v="28"/>
    <x v="26"/>
    <s v="Electric Generators, Electric Utilities"/>
    <x v="2"/>
    <n v="11269050"/>
  </r>
  <r>
    <x v="28"/>
    <x v="26"/>
    <s v="Electric Generators, Electric Utilities"/>
    <x v="3"/>
    <n v="341570"/>
  </r>
  <r>
    <x v="28"/>
    <x v="26"/>
    <s v="Electric Generators, Electric Utilities"/>
    <x v="4"/>
    <n v="380"/>
  </r>
  <r>
    <x v="28"/>
    <x v="26"/>
    <s v="Electric Generators, Electric Utilities"/>
    <x v="5"/>
    <n v="242248"/>
  </r>
  <r>
    <x v="28"/>
    <x v="27"/>
    <s v="Total Electric Power Industry"/>
    <x v="0"/>
    <n v="134249497"/>
  </r>
  <r>
    <x v="28"/>
    <x v="27"/>
    <s v="Total Electric Power Industry"/>
    <x v="1"/>
    <n v="31690469"/>
  </r>
  <r>
    <x v="28"/>
    <x v="27"/>
    <s v="Total Electric Power Industry"/>
    <x v="10"/>
    <n v="0"/>
  </r>
  <r>
    <x v="28"/>
    <x v="27"/>
    <s v="Total Electric Power Industry"/>
    <x v="2"/>
    <n v="6605429"/>
  </r>
  <r>
    <x v="28"/>
    <x v="27"/>
    <s v="Total Electric Power Industry"/>
    <x v="3"/>
    <n v="43445749"/>
  </r>
  <r>
    <x v="28"/>
    <x v="27"/>
    <s v="Total Electric Power Industry"/>
    <x v="7"/>
    <n v="42076949"/>
  </r>
  <r>
    <x v="28"/>
    <x v="27"/>
    <s v="Total Electric Power Industry"/>
    <x v="12"/>
    <n v="535056"/>
  </r>
  <r>
    <x v="28"/>
    <x v="27"/>
    <s v="Total Electric Power Industry"/>
    <x v="4"/>
    <n v="633081"/>
  </r>
  <r>
    <x v="28"/>
    <x v="27"/>
    <s v="Total Electric Power Industry"/>
    <x v="13"/>
    <n v="6110378"/>
  </r>
  <r>
    <x v="28"/>
    <x v="27"/>
    <s v="Total Electric Power Industry"/>
    <x v="8"/>
    <n v="656345"/>
  </r>
  <r>
    <x v="28"/>
    <x v="27"/>
    <s v="Total Electric Power Industry"/>
    <x v="5"/>
    <n v="542772"/>
  </r>
  <r>
    <x v="28"/>
    <x v="27"/>
    <s v="Total Electric Power Industry"/>
    <x v="6"/>
    <n v="1953269"/>
  </r>
  <r>
    <x v="28"/>
    <x v="27"/>
    <s v="Combined Heat and Power, Industrial Power"/>
    <x v="0"/>
    <n v="1789551"/>
  </r>
  <r>
    <x v="28"/>
    <x v="27"/>
    <s v="Combined Heat and Power, Industrial Power"/>
    <x v="1"/>
    <n v="141596"/>
  </r>
  <r>
    <x v="28"/>
    <x v="27"/>
    <s v="Combined Heat and Power, Industrial Power"/>
    <x v="2"/>
    <n v="0"/>
  </r>
  <r>
    <x v="28"/>
    <x v="27"/>
    <s v="Combined Heat and Power, Industrial Power"/>
    <x v="3"/>
    <n v="136494"/>
  </r>
  <r>
    <x v="28"/>
    <x v="27"/>
    <s v="Combined Heat and Power, Industrial Power"/>
    <x v="12"/>
    <n v="233417"/>
  </r>
  <r>
    <x v="28"/>
    <x v="27"/>
    <s v="Combined Heat and Power, Industrial Power"/>
    <x v="4"/>
    <n v="19307"/>
  </r>
  <r>
    <x v="28"/>
    <x v="27"/>
    <s v="Combined Heat and Power, Industrial Power"/>
    <x v="8"/>
    <n v="0"/>
  </r>
  <r>
    <x v="28"/>
    <x v="27"/>
    <s v="Combined Heat and Power, Industrial Power"/>
    <x v="6"/>
    <n v="1258737"/>
  </r>
  <r>
    <x v="28"/>
    <x v="27"/>
    <s v="Combined Heat and Power, Commercial Power"/>
    <x v="0"/>
    <n v="331534"/>
  </r>
  <r>
    <x v="28"/>
    <x v="27"/>
    <s v="Combined Heat and Power, Commercial Power"/>
    <x v="1"/>
    <n v="38679"/>
  </r>
  <r>
    <x v="28"/>
    <x v="27"/>
    <s v="Combined Heat and Power, Commercial Power"/>
    <x v="2"/>
    <n v="12938"/>
  </r>
  <r>
    <x v="28"/>
    <x v="27"/>
    <s v="Combined Heat and Power, Commercial Power"/>
    <x v="3"/>
    <n v="89858"/>
  </r>
  <r>
    <x v="28"/>
    <x v="27"/>
    <s v="Combined Heat and Power, Commercial Power"/>
    <x v="4"/>
    <n v="2358"/>
  </r>
  <r>
    <x v="28"/>
    <x v="27"/>
    <s v="Combined Heat and Power, Commercial Power"/>
    <x v="13"/>
    <n v="111744"/>
  </r>
  <r>
    <x v="28"/>
    <x v="27"/>
    <s v="Combined Heat and Power, Commercial Power"/>
    <x v="8"/>
    <n v="75956"/>
  </r>
  <r>
    <x v="28"/>
    <x v="27"/>
    <s v="Combined Heat and Power, Electric Power"/>
    <x v="0"/>
    <n v="609858"/>
  </r>
  <r>
    <x v="28"/>
    <x v="27"/>
    <s v="Combined Heat and Power, Electric Power"/>
    <x v="1"/>
    <n v="57443"/>
  </r>
  <r>
    <x v="28"/>
    <x v="27"/>
    <s v="Combined Heat and Power, Electric Power"/>
    <x v="12"/>
    <n v="175920"/>
  </r>
  <r>
    <x v="28"/>
    <x v="27"/>
    <s v="Combined Heat and Power, Electric Power"/>
    <x v="4"/>
    <n v="318"/>
  </r>
  <r>
    <x v="28"/>
    <x v="27"/>
    <s v="Combined Heat and Power, Electric Power"/>
    <x v="8"/>
    <n v="67842"/>
  </r>
  <r>
    <x v="28"/>
    <x v="27"/>
    <s v="Combined Heat and Power, Electric Power"/>
    <x v="6"/>
    <n v="308335"/>
  </r>
  <r>
    <x v="28"/>
    <x v="27"/>
    <s v="Electric Generators, Independent Power Producers"/>
    <x v="0"/>
    <n v="14026127"/>
  </r>
  <r>
    <x v="28"/>
    <x v="27"/>
    <s v="Electric Generators, Independent Power Producers"/>
    <x v="1"/>
    <n v="40691"/>
  </r>
  <r>
    <x v="28"/>
    <x v="27"/>
    <s v="Electric Generators, Independent Power Producers"/>
    <x v="2"/>
    <n v="52654"/>
  </r>
  <r>
    <x v="28"/>
    <x v="27"/>
    <s v="Electric Generators, Independent Power Producers"/>
    <x v="3"/>
    <n v="6713309"/>
  </r>
  <r>
    <x v="28"/>
    <x v="27"/>
    <s v="Electric Generators, Independent Power Producers"/>
    <x v="12"/>
    <n v="125731"/>
  </r>
  <r>
    <x v="28"/>
    <x v="27"/>
    <s v="Electric Generators, Independent Power Producers"/>
    <x v="4"/>
    <n v="40795"/>
  </r>
  <r>
    <x v="28"/>
    <x v="27"/>
    <s v="Electric Generators, Independent Power Producers"/>
    <x v="13"/>
    <n v="5611432"/>
  </r>
  <r>
    <x v="28"/>
    <x v="27"/>
    <s v="Electric Generators, Independent Power Producers"/>
    <x v="8"/>
    <n v="512546"/>
  </r>
  <r>
    <x v="28"/>
    <x v="27"/>
    <s v="Electric Generators, Independent Power Producers"/>
    <x v="5"/>
    <n v="542772"/>
  </r>
  <r>
    <x v="28"/>
    <x v="27"/>
    <s v="Electric Generators, Independent Power Producers"/>
    <x v="6"/>
    <n v="386197"/>
  </r>
  <r>
    <x v="28"/>
    <x v="27"/>
    <s v="Electric Generators, Electric Utilities"/>
    <x v="0"/>
    <n v="117492427"/>
  </r>
  <r>
    <x v="28"/>
    <x v="27"/>
    <s v="Electric Generators, Electric Utilities"/>
    <x v="1"/>
    <n v="31412060"/>
  </r>
  <r>
    <x v="28"/>
    <x v="27"/>
    <s v="Electric Generators, Electric Utilities"/>
    <x v="10"/>
    <n v="0"/>
  </r>
  <r>
    <x v="28"/>
    <x v="27"/>
    <s v="Electric Generators, Electric Utilities"/>
    <x v="2"/>
    <n v="6539837"/>
  </r>
  <r>
    <x v="28"/>
    <x v="27"/>
    <s v="Electric Generators, Electric Utilities"/>
    <x v="3"/>
    <n v="36506088"/>
  </r>
  <r>
    <x v="28"/>
    <x v="27"/>
    <s v="Electric Generators, Electric Utilities"/>
    <x v="7"/>
    <n v="42076949"/>
  </r>
  <r>
    <x v="28"/>
    <x v="27"/>
    <s v="Electric Generators, Electric Utilities"/>
    <x v="12"/>
    <n v="-12"/>
  </r>
  <r>
    <x v="28"/>
    <x v="27"/>
    <s v="Electric Generators, Electric Utilities"/>
    <x v="4"/>
    <n v="570303"/>
  </r>
  <r>
    <x v="28"/>
    <x v="27"/>
    <s v="Electric Generators, Electric Utilities"/>
    <x v="13"/>
    <n v="387202"/>
  </r>
  <r>
    <x v="28"/>
    <x v="28"/>
    <s v="Total Electric Power Industry"/>
    <x v="0"/>
    <n v="42615321"/>
  </r>
  <r>
    <x v="28"/>
    <x v="28"/>
    <s v="Total Electric Power Industry"/>
    <x v="1"/>
    <n v="27540665"/>
  </r>
  <r>
    <x v="28"/>
    <x v="28"/>
    <s v="Total Electric Power Industry"/>
    <x v="2"/>
    <n v="3180154"/>
  </r>
  <r>
    <x v="28"/>
    <x v="28"/>
    <s v="Total Electric Power Industry"/>
    <x v="3"/>
    <n v="1019273"/>
  </r>
  <r>
    <x v="28"/>
    <x v="28"/>
    <s v="Total Electric Power Industry"/>
    <x v="9"/>
    <n v="50988"/>
  </r>
  <r>
    <x v="28"/>
    <x v="28"/>
    <s v="Total Electric Power Industry"/>
    <x v="12"/>
    <n v="51947"/>
  </r>
  <r>
    <x v="28"/>
    <x v="28"/>
    <s v="Total Electric Power Industry"/>
    <x v="4"/>
    <n v="38343"/>
  </r>
  <r>
    <x v="28"/>
    <x v="28"/>
    <s v="Total Electric Power Industry"/>
    <x v="8"/>
    <n v="1038"/>
  </r>
  <r>
    <x v="28"/>
    <x v="28"/>
    <s v="Total Electric Power Industry"/>
    <x v="5"/>
    <n v="10732913"/>
  </r>
  <r>
    <x v="28"/>
    <x v="28"/>
    <s v="Combined Heat and Power, Industrial Power"/>
    <x v="0"/>
    <n v="62356"/>
  </r>
  <r>
    <x v="28"/>
    <x v="28"/>
    <s v="Combined Heat and Power, Industrial Power"/>
    <x v="1"/>
    <n v="0"/>
  </r>
  <r>
    <x v="28"/>
    <x v="28"/>
    <s v="Combined Heat and Power, Industrial Power"/>
    <x v="3"/>
    <n v="10330"/>
  </r>
  <r>
    <x v="28"/>
    <x v="28"/>
    <s v="Combined Heat and Power, Industrial Power"/>
    <x v="9"/>
    <n v="50988"/>
  </r>
  <r>
    <x v="28"/>
    <x v="28"/>
    <s v="Combined Heat and Power, Industrial Power"/>
    <x v="4"/>
    <n v="0"/>
  </r>
  <r>
    <x v="28"/>
    <x v="28"/>
    <s v="Combined Heat and Power, Industrial Power"/>
    <x v="8"/>
    <n v="1038"/>
  </r>
  <r>
    <x v="28"/>
    <x v="28"/>
    <s v="Combined Heat and Power, Commercial Power"/>
    <x v="0"/>
    <n v="2921"/>
  </r>
  <r>
    <x v="28"/>
    <x v="28"/>
    <s v="Combined Heat and Power, Commercial Power"/>
    <x v="4"/>
    <n v="142"/>
  </r>
  <r>
    <x v="28"/>
    <x v="28"/>
    <s v="Combined Heat and Power, Commercial Power"/>
    <x v="5"/>
    <n v="2779"/>
  </r>
  <r>
    <x v="28"/>
    <x v="28"/>
    <s v="Electric Generators, Independent Power Producers"/>
    <x v="0"/>
    <n v="6603619"/>
  </r>
  <r>
    <x v="28"/>
    <x v="28"/>
    <s v="Electric Generators, Independent Power Producers"/>
    <x v="5"/>
    <n v="6603619"/>
  </r>
  <r>
    <x v="28"/>
    <x v="28"/>
    <s v="Electric Generators, Electric Utilities"/>
    <x v="0"/>
    <n v="35946425"/>
  </r>
  <r>
    <x v="28"/>
    <x v="28"/>
    <s v="Electric Generators, Electric Utilities"/>
    <x v="1"/>
    <n v="27540665"/>
  </r>
  <r>
    <x v="28"/>
    <x v="28"/>
    <s v="Electric Generators, Electric Utilities"/>
    <x v="2"/>
    <n v="3180154"/>
  </r>
  <r>
    <x v="28"/>
    <x v="28"/>
    <s v="Electric Generators, Electric Utilities"/>
    <x v="3"/>
    <n v="1008943"/>
  </r>
  <r>
    <x v="28"/>
    <x v="28"/>
    <s v="Electric Generators, Electric Utilities"/>
    <x v="12"/>
    <n v="51947"/>
  </r>
  <r>
    <x v="28"/>
    <x v="28"/>
    <s v="Electric Generators, Electric Utilities"/>
    <x v="4"/>
    <n v="38201"/>
  </r>
  <r>
    <x v="28"/>
    <x v="28"/>
    <s v="Electric Generators, Electric Utilities"/>
    <x v="5"/>
    <n v="4126515"/>
  </r>
  <r>
    <x v="28"/>
    <x v="29"/>
    <s v="Total Electric Power Industry"/>
    <x v="0"/>
    <n v="36966216"/>
  </r>
  <r>
    <x v="28"/>
    <x v="29"/>
    <s v="Total Electric Power Industry"/>
    <x v="1"/>
    <n v="23305208"/>
  </r>
  <r>
    <x v="28"/>
    <x v="29"/>
    <s v="Total Electric Power Industry"/>
    <x v="2"/>
    <n v="1382073"/>
  </r>
  <r>
    <x v="28"/>
    <x v="29"/>
    <s v="Total Electric Power Industry"/>
    <x v="3"/>
    <n v="964790"/>
  </r>
  <r>
    <x v="28"/>
    <x v="29"/>
    <s v="Total Electric Power Industry"/>
    <x v="7"/>
    <n v="5632140"/>
  </r>
  <r>
    <x v="28"/>
    <x v="29"/>
    <s v="Total Electric Power Industry"/>
    <x v="12"/>
    <n v="0"/>
  </r>
  <r>
    <x v="28"/>
    <x v="29"/>
    <s v="Total Electric Power Industry"/>
    <x v="4"/>
    <n v="12474"/>
  </r>
  <r>
    <x v="28"/>
    <x v="29"/>
    <s v="Total Electric Power Industry"/>
    <x v="13"/>
    <n v="27112"/>
  </r>
  <r>
    <x v="28"/>
    <x v="29"/>
    <s v="Total Electric Power Industry"/>
    <x v="8"/>
    <n v="93313"/>
  </r>
  <r>
    <x v="28"/>
    <x v="29"/>
    <s v="Total Electric Power Industry"/>
    <x v="5"/>
    <n v="5549106"/>
  </r>
  <r>
    <x v="28"/>
    <x v="29"/>
    <s v="Total Electric Power Industry"/>
    <x v="6"/>
    <n v="0"/>
  </r>
  <r>
    <x v="28"/>
    <x v="29"/>
    <s v="Combined Heat and Power, Industrial Power"/>
    <x v="0"/>
    <n v="373842"/>
  </r>
  <r>
    <x v="28"/>
    <x v="29"/>
    <s v="Combined Heat and Power, Industrial Power"/>
    <x v="1"/>
    <n v="373842"/>
  </r>
  <r>
    <x v="28"/>
    <x v="29"/>
    <s v="Combined Heat and Power, Industrial Power"/>
    <x v="3"/>
    <n v="0"/>
  </r>
  <r>
    <x v="28"/>
    <x v="29"/>
    <s v="Combined Heat and Power, Industrial Power"/>
    <x v="12"/>
    <n v="0"/>
  </r>
  <r>
    <x v="28"/>
    <x v="29"/>
    <s v="Combined Heat and Power, Industrial Power"/>
    <x v="8"/>
    <n v="0"/>
  </r>
  <r>
    <x v="28"/>
    <x v="29"/>
    <s v="Combined Heat and Power, Industrial Power"/>
    <x v="6"/>
    <n v="0"/>
  </r>
  <r>
    <x v="28"/>
    <x v="29"/>
    <s v="Combined Heat and Power, Commercial Power"/>
    <x v="0"/>
    <n v="18229"/>
  </r>
  <r>
    <x v="28"/>
    <x v="29"/>
    <s v="Combined Heat and Power, Commercial Power"/>
    <x v="3"/>
    <n v="3290"/>
  </r>
  <r>
    <x v="28"/>
    <x v="29"/>
    <s v="Combined Heat and Power, Commercial Power"/>
    <x v="8"/>
    <n v="14939"/>
  </r>
  <r>
    <x v="28"/>
    <x v="29"/>
    <s v="Electric Generators, Independent Power Producers"/>
    <x v="0"/>
    <n v="5407379"/>
  </r>
  <r>
    <x v="28"/>
    <x v="29"/>
    <s v="Electric Generators, Independent Power Producers"/>
    <x v="13"/>
    <n v="27112"/>
  </r>
  <r>
    <x v="28"/>
    <x v="29"/>
    <s v="Electric Generators, Independent Power Producers"/>
    <x v="5"/>
    <n v="5380267"/>
  </r>
  <r>
    <x v="28"/>
    <x v="29"/>
    <s v="Electric Generators, Electric Utilities"/>
    <x v="0"/>
    <n v="31166766"/>
  </r>
  <r>
    <x v="28"/>
    <x v="29"/>
    <s v="Electric Generators, Electric Utilities"/>
    <x v="1"/>
    <n v="22931366"/>
  </r>
  <r>
    <x v="28"/>
    <x v="29"/>
    <s v="Electric Generators, Electric Utilities"/>
    <x v="2"/>
    <n v="1382073"/>
  </r>
  <r>
    <x v="28"/>
    <x v="29"/>
    <s v="Electric Generators, Electric Utilities"/>
    <x v="3"/>
    <n v="961500"/>
  </r>
  <r>
    <x v="28"/>
    <x v="29"/>
    <s v="Electric Generators, Electric Utilities"/>
    <x v="7"/>
    <n v="5632140"/>
  </r>
  <r>
    <x v="28"/>
    <x v="29"/>
    <s v="Electric Generators, Electric Utilities"/>
    <x v="4"/>
    <n v="12474"/>
  </r>
  <r>
    <x v="28"/>
    <x v="29"/>
    <s v="Electric Generators, Electric Utilities"/>
    <x v="13"/>
    <n v="0"/>
  </r>
  <r>
    <x v="28"/>
    <x v="29"/>
    <s v="Electric Generators, Electric Utilities"/>
    <x v="8"/>
    <n v="78374"/>
  </r>
  <r>
    <x v="28"/>
    <x v="29"/>
    <s v="Electric Generators, Electric Utilities"/>
    <x v="5"/>
    <n v="168839"/>
  </r>
  <r>
    <x v="28"/>
    <x v="30"/>
    <s v="Total Electric Power Industry"/>
    <x v="0"/>
    <n v="17087156"/>
  </r>
  <r>
    <x v="28"/>
    <x v="30"/>
    <s v="Total Electric Power Industry"/>
    <x v="1"/>
    <n v="660307"/>
  </r>
  <r>
    <x v="28"/>
    <x v="30"/>
    <s v="Total Electric Power Industry"/>
    <x v="2"/>
    <n v="1354988"/>
  </r>
  <r>
    <x v="28"/>
    <x v="30"/>
    <s v="Total Electric Power Industry"/>
    <x v="3"/>
    <n v="2991539"/>
  </r>
  <r>
    <x v="28"/>
    <x v="30"/>
    <s v="Total Electric Power Industry"/>
    <x v="7"/>
    <n v="10061696"/>
  </r>
  <r>
    <x v="28"/>
    <x v="30"/>
    <s v="Total Electric Power Industry"/>
    <x v="12"/>
    <n v="47677"/>
  </r>
  <r>
    <x v="28"/>
    <x v="30"/>
    <s v="Total Electric Power Industry"/>
    <x v="4"/>
    <n v="178080"/>
  </r>
  <r>
    <x v="28"/>
    <x v="30"/>
    <s v="Total Electric Power Industry"/>
    <x v="8"/>
    <n v="138455"/>
  </r>
  <r>
    <x v="28"/>
    <x v="30"/>
    <s v="Total Electric Power Industry"/>
    <x v="5"/>
    <n v="406659"/>
  </r>
  <r>
    <x v="28"/>
    <x v="30"/>
    <s v="Total Electric Power Industry"/>
    <x v="6"/>
    <n v="1247755"/>
  </r>
  <r>
    <x v="28"/>
    <x v="30"/>
    <s v="Combined Heat and Power, Industrial Power"/>
    <x v="0"/>
    <n v="30906"/>
  </r>
  <r>
    <x v="28"/>
    <x v="30"/>
    <s v="Combined Heat and Power, Industrial Power"/>
    <x v="3"/>
    <n v="30906"/>
  </r>
  <r>
    <x v="28"/>
    <x v="30"/>
    <s v="Combined Heat and Power, Industrial Power"/>
    <x v="4"/>
    <n v="0"/>
  </r>
  <r>
    <x v="28"/>
    <x v="30"/>
    <s v="Combined Heat and Power, Commercial Power"/>
    <x v="0"/>
    <n v="68746"/>
  </r>
  <r>
    <x v="28"/>
    <x v="30"/>
    <s v="Combined Heat and Power, Commercial Power"/>
    <x v="3"/>
    <n v="7810"/>
  </r>
  <r>
    <x v="28"/>
    <x v="30"/>
    <s v="Combined Heat and Power, Commercial Power"/>
    <x v="4"/>
    <n v="15851"/>
  </r>
  <r>
    <x v="28"/>
    <x v="30"/>
    <s v="Combined Heat and Power, Commercial Power"/>
    <x v="8"/>
    <n v="45085"/>
  </r>
  <r>
    <x v="28"/>
    <x v="30"/>
    <s v="Electric Generators, Independent Power Producers"/>
    <x v="0"/>
    <n v="15570870"/>
  </r>
  <r>
    <x v="28"/>
    <x v="30"/>
    <s v="Electric Generators, Independent Power Producers"/>
    <x v="2"/>
    <n v="983823"/>
  </r>
  <r>
    <x v="28"/>
    <x v="30"/>
    <s v="Electric Generators, Independent Power Producers"/>
    <x v="3"/>
    <n v="2921622"/>
  </r>
  <r>
    <x v="28"/>
    <x v="30"/>
    <s v="Electric Generators, Independent Power Producers"/>
    <x v="7"/>
    <n v="10061696"/>
  </r>
  <r>
    <x v="28"/>
    <x v="30"/>
    <s v="Electric Generators, Independent Power Producers"/>
    <x v="12"/>
    <n v="47677"/>
  </r>
  <r>
    <x v="28"/>
    <x v="30"/>
    <s v="Electric Generators, Independent Power Producers"/>
    <x v="4"/>
    <n v="61155"/>
  </r>
  <r>
    <x v="28"/>
    <x v="30"/>
    <s v="Electric Generators, Independent Power Producers"/>
    <x v="8"/>
    <n v="93145"/>
  </r>
  <r>
    <x v="28"/>
    <x v="30"/>
    <s v="Electric Generators, Independent Power Producers"/>
    <x v="5"/>
    <n v="406659"/>
  </r>
  <r>
    <x v="28"/>
    <x v="30"/>
    <s v="Electric Generators, Independent Power Producers"/>
    <x v="6"/>
    <n v="995092"/>
  </r>
  <r>
    <x v="28"/>
    <x v="30"/>
    <s v="Electric Generators, Electric Utilities"/>
    <x v="0"/>
    <n v="1416634"/>
  </r>
  <r>
    <x v="28"/>
    <x v="30"/>
    <s v="Electric Generators, Electric Utilities"/>
    <x v="1"/>
    <n v="660307"/>
  </r>
  <r>
    <x v="28"/>
    <x v="30"/>
    <s v="Electric Generators, Electric Utilities"/>
    <x v="2"/>
    <n v="371165"/>
  </r>
  <r>
    <x v="28"/>
    <x v="30"/>
    <s v="Electric Generators, Electric Utilities"/>
    <x v="3"/>
    <n v="31201"/>
  </r>
  <r>
    <x v="28"/>
    <x v="30"/>
    <s v="Electric Generators, Electric Utilities"/>
    <x v="4"/>
    <n v="101074"/>
  </r>
  <r>
    <x v="28"/>
    <x v="30"/>
    <s v="Electric Generators, Electric Utilities"/>
    <x v="8"/>
    <n v="224"/>
  </r>
  <r>
    <x v="28"/>
    <x v="30"/>
    <s v="Electric Generators, Electric Utilities"/>
    <x v="6"/>
    <n v="252663"/>
  </r>
  <r>
    <x v="28"/>
    <x v="31"/>
    <s v="Total Electric Power Industry"/>
    <x v="0"/>
    <n v="75033600"/>
  </r>
  <r>
    <x v="28"/>
    <x v="31"/>
    <s v="Total Electric Power Industry"/>
    <x v="1"/>
    <n v="1193288"/>
  </r>
  <r>
    <x v="28"/>
    <x v="31"/>
    <s v="Total Electric Power Industry"/>
    <x v="10"/>
    <n v="-115102"/>
  </r>
  <r>
    <x v="28"/>
    <x v="31"/>
    <s v="Total Electric Power Industry"/>
    <x v="2"/>
    <n v="35538"/>
  </r>
  <r>
    <x v="28"/>
    <x v="31"/>
    <s v="Total Electric Power Industry"/>
    <x v="3"/>
    <n v="38863492"/>
  </r>
  <r>
    <x v="28"/>
    <x v="31"/>
    <s v="Total Electric Power Industry"/>
    <x v="7"/>
    <n v="31982106"/>
  </r>
  <r>
    <x v="28"/>
    <x v="31"/>
    <s v="Total Electric Power Industry"/>
    <x v="9"/>
    <n v="212048"/>
  </r>
  <r>
    <x v="28"/>
    <x v="31"/>
    <s v="Total Electric Power Industry"/>
    <x v="12"/>
    <n v="551919"/>
  </r>
  <r>
    <x v="28"/>
    <x v="31"/>
    <s v="Total Electric Power Industry"/>
    <x v="4"/>
    <n v="362365"/>
  </r>
  <r>
    <x v="28"/>
    <x v="31"/>
    <s v="Total Electric Power Industry"/>
    <x v="13"/>
    <n v="990420"/>
  </r>
  <r>
    <x v="28"/>
    <x v="31"/>
    <s v="Total Electric Power Industry"/>
    <x v="8"/>
    <n v="934931"/>
  </r>
  <r>
    <x v="28"/>
    <x v="31"/>
    <s v="Total Electric Power Industry"/>
    <x v="5"/>
    <n v="22596"/>
  </r>
  <r>
    <x v="28"/>
    <x v="31"/>
    <s v="Combined Heat and Power, Industrial Power"/>
    <x v="0"/>
    <n v="704458"/>
  </r>
  <r>
    <x v="28"/>
    <x v="31"/>
    <s v="Combined Heat and Power, Industrial Power"/>
    <x v="3"/>
    <n v="401181"/>
  </r>
  <r>
    <x v="28"/>
    <x v="31"/>
    <s v="Combined Heat and Power, Industrial Power"/>
    <x v="9"/>
    <n v="212048"/>
  </r>
  <r>
    <x v="28"/>
    <x v="31"/>
    <s v="Combined Heat and Power, Industrial Power"/>
    <x v="12"/>
    <n v="24634"/>
  </r>
  <r>
    <x v="28"/>
    <x v="31"/>
    <s v="Combined Heat and Power, Industrial Power"/>
    <x v="4"/>
    <n v="61471"/>
  </r>
  <r>
    <x v="28"/>
    <x v="31"/>
    <s v="Combined Heat and Power, Industrial Power"/>
    <x v="13"/>
    <n v="5124"/>
  </r>
  <r>
    <x v="28"/>
    <x v="31"/>
    <s v="Combined Heat and Power, Commercial Power"/>
    <x v="0"/>
    <n v="601790"/>
  </r>
  <r>
    <x v="28"/>
    <x v="31"/>
    <s v="Combined Heat and Power, Commercial Power"/>
    <x v="3"/>
    <n v="181472"/>
  </r>
  <r>
    <x v="28"/>
    <x v="31"/>
    <s v="Combined Heat and Power, Commercial Power"/>
    <x v="12"/>
    <n v="135926"/>
  </r>
  <r>
    <x v="28"/>
    <x v="31"/>
    <s v="Combined Heat and Power, Commercial Power"/>
    <x v="4"/>
    <n v="5483"/>
  </r>
  <r>
    <x v="28"/>
    <x v="31"/>
    <s v="Combined Heat and Power, Commercial Power"/>
    <x v="13"/>
    <n v="123660"/>
  </r>
  <r>
    <x v="28"/>
    <x v="31"/>
    <s v="Combined Heat and Power, Commercial Power"/>
    <x v="8"/>
    <n v="155250"/>
  </r>
  <r>
    <x v="28"/>
    <x v="31"/>
    <s v="Combined Heat and Power, Electric Power"/>
    <x v="0"/>
    <n v="6977606"/>
  </r>
  <r>
    <x v="28"/>
    <x v="31"/>
    <s v="Combined Heat and Power, Electric Power"/>
    <x v="1"/>
    <n v="1179551"/>
  </r>
  <r>
    <x v="28"/>
    <x v="31"/>
    <s v="Combined Heat and Power, Electric Power"/>
    <x v="3"/>
    <n v="5646663"/>
  </r>
  <r>
    <x v="28"/>
    <x v="31"/>
    <s v="Combined Heat and Power, Electric Power"/>
    <x v="4"/>
    <n v="60816"/>
  </r>
  <r>
    <x v="28"/>
    <x v="31"/>
    <s v="Combined Heat and Power, Electric Power"/>
    <x v="8"/>
    <n v="90575"/>
  </r>
  <r>
    <x v="28"/>
    <x v="31"/>
    <s v="Electric Generators, Independent Power Producers"/>
    <x v="0"/>
    <n v="66624395"/>
  </r>
  <r>
    <x v="28"/>
    <x v="31"/>
    <s v="Electric Generators, Independent Power Producers"/>
    <x v="1"/>
    <n v="13737"/>
  </r>
  <r>
    <x v="28"/>
    <x v="31"/>
    <s v="Electric Generators, Independent Power Producers"/>
    <x v="2"/>
    <n v="35538"/>
  </r>
  <r>
    <x v="28"/>
    <x v="31"/>
    <s v="Electric Generators, Independent Power Producers"/>
    <x v="3"/>
    <n v="32472765"/>
  </r>
  <r>
    <x v="28"/>
    <x v="31"/>
    <s v="Electric Generators, Independent Power Producers"/>
    <x v="7"/>
    <n v="31982106"/>
  </r>
  <r>
    <x v="28"/>
    <x v="31"/>
    <s v="Electric Generators, Independent Power Producers"/>
    <x v="12"/>
    <n v="391469"/>
  </r>
  <r>
    <x v="28"/>
    <x v="31"/>
    <s v="Electric Generators, Independent Power Producers"/>
    <x v="4"/>
    <n v="231777"/>
  </r>
  <r>
    <x v="28"/>
    <x v="31"/>
    <s v="Electric Generators, Independent Power Producers"/>
    <x v="13"/>
    <n v="785301"/>
  </r>
  <r>
    <x v="28"/>
    <x v="31"/>
    <s v="Electric Generators, Independent Power Producers"/>
    <x v="8"/>
    <n v="689106"/>
  </r>
  <r>
    <x v="28"/>
    <x v="31"/>
    <s v="Electric Generators, Independent Power Producers"/>
    <x v="5"/>
    <n v="22596"/>
  </r>
  <r>
    <x v="28"/>
    <x v="31"/>
    <s v="Electric Generators, Electric Utilities"/>
    <x v="0"/>
    <n v="125350"/>
  </r>
  <r>
    <x v="28"/>
    <x v="31"/>
    <s v="Electric Generators, Electric Utilities"/>
    <x v="1"/>
    <n v="0"/>
  </r>
  <r>
    <x v="28"/>
    <x v="31"/>
    <s v="Electric Generators, Electric Utilities"/>
    <x v="10"/>
    <n v="-115102"/>
  </r>
  <r>
    <x v="28"/>
    <x v="31"/>
    <s v="Electric Generators, Electric Utilities"/>
    <x v="3"/>
    <n v="161410"/>
  </r>
  <r>
    <x v="28"/>
    <x v="31"/>
    <s v="Electric Generators, Electric Utilities"/>
    <x v="12"/>
    <n v="-110"/>
  </r>
  <r>
    <x v="28"/>
    <x v="31"/>
    <s v="Electric Generators, Electric Utilities"/>
    <x v="4"/>
    <n v="2817"/>
  </r>
  <r>
    <x v="28"/>
    <x v="31"/>
    <s v="Electric Generators, Electric Utilities"/>
    <x v="13"/>
    <n v="76335"/>
  </r>
  <r>
    <x v="28"/>
    <x v="32"/>
    <s v="Total Electric Power Industry"/>
    <x v="0"/>
    <n v="32673682"/>
  </r>
  <r>
    <x v="28"/>
    <x v="32"/>
    <s v="Total Electric Power Industry"/>
    <x v="1"/>
    <n v="13401532"/>
  </r>
  <r>
    <x v="28"/>
    <x v="32"/>
    <s v="Total Electric Power Industry"/>
    <x v="11"/>
    <n v="13138"/>
  </r>
  <r>
    <x v="28"/>
    <x v="32"/>
    <s v="Total Electric Power Industry"/>
    <x v="2"/>
    <n v="149546"/>
  </r>
  <r>
    <x v="28"/>
    <x v="32"/>
    <s v="Total Electric Power Industry"/>
    <x v="3"/>
    <n v="11628177"/>
  </r>
  <r>
    <x v="28"/>
    <x v="32"/>
    <s v="Total Electric Power Industry"/>
    <x v="12"/>
    <n v="-731"/>
  </r>
  <r>
    <x v="28"/>
    <x v="32"/>
    <s v="Total Electric Power Industry"/>
    <x v="4"/>
    <n v="20737"/>
  </r>
  <r>
    <x v="28"/>
    <x v="32"/>
    <s v="Total Electric Power Industry"/>
    <x v="13"/>
    <n v="1348576"/>
  </r>
  <r>
    <x v="28"/>
    <x v="32"/>
    <s v="Total Electric Power Industry"/>
    <x v="8"/>
    <n v="21156"/>
  </r>
  <r>
    <x v="28"/>
    <x v="32"/>
    <s v="Total Electric Power Industry"/>
    <x v="5"/>
    <n v="6091551"/>
  </r>
  <r>
    <x v="28"/>
    <x v="32"/>
    <s v="Combined Heat and Power, Industrial Power"/>
    <x v="0"/>
    <n v="23730"/>
  </r>
  <r>
    <x v="28"/>
    <x v="32"/>
    <s v="Combined Heat and Power, Industrial Power"/>
    <x v="3"/>
    <n v="23730"/>
  </r>
  <r>
    <x v="28"/>
    <x v="32"/>
    <s v="Combined Heat and Power, Industrial Power"/>
    <x v="4"/>
    <n v="0"/>
  </r>
  <r>
    <x v="28"/>
    <x v="32"/>
    <s v="Combined Heat and Power, Commercial Power"/>
    <x v="0"/>
    <n v="107093"/>
  </r>
  <r>
    <x v="28"/>
    <x v="32"/>
    <s v="Combined Heat and Power, Commercial Power"/>
    <x v="3"/>
    <n v="104112"/>
  </r>
  <r>
    <x v="28"/>
    <x v="32"/>
    <s v="Combined Heat and Power, Commercial Power"/>
    <x v="5"/>
    <n v="2981"/>
  </r>
  <r>
    <x v="28"/>
    <x v="32"/>
    <s v="Combined Heat and Power, Electric Power"/>
    <x v="0"/>
    <n v="34204"/>
  </r>
  <r>
    <x v="28"/>
    <x v="32"/>
    <s v="Combined Heat and Power, Electric Power"/>
    <x v="3"/>
    <n v="18003"/>
  </r>
  <r>
    <x v="28"/>
    <x v="32"/>
    <s v="Combined Heat and Power, Electric Power"/>
    <x v="8"/>
    <n v="16201"/>
  </r>
  <r>
    <x v="28"/>
    <x v="32"/>
    <s v="Electric Generators, Independent Power Producers"/>
    <x v="0"/>
    <n v="11396396"/>
  </r>
  <r>
    <x v="28"/>
    <x v="32"/>
    <s v="Electric Generators, Independent Power Producers"/>
    <x v="11"/>
    <n v="13138"/>
  </r>
  <r>
    <x v="28"/>
    <x v="32"/>
    <s v="Electric Generators, Independent Power Producers"/>
    <x v="3"/>
    <n v="4204970"/>
  </r>
  <r>
    <x v="28"/>
    <x v="32"/>
    <s v="Electric Generators, Independent Power Producers"/>
    <x v="12"/>
    <n v="-8"/>
  </r>
  <r>
    <x v="28"/>
    <x v="32"/>
    <s v="Electric Generators, Independent Power Producers"/>
    <x v="13"/>
    <n v="1084771"/>
  </r>
  <r>
    <x v="28"/>
    <x v="32"/>
    <s v="Electric Generators, Independent Power Producers"/>
    <x v="8"/>
    <n v="4955"/>
  </r>
  <r>
    <x v="28"/>
    <x v="32"/>
    <s v="Electric Generators, Independent Power Producers"/>
    <x v="5"/>
    <n v="6088570"/>
  </r>
  <r>
    <x v="28"/>
    <x v="32"/>
    <s v="Electric Generators, Electric Utilities"/>
    <x v="0"/>
    <n v="21112259"/>
  </r>
  <r>
    <x v="28"/>
    <x v="32"/>
    <s v="Electric Generators, Electric Utilities"/>
    <x v="1"/>
    <n v="13401532"/>
  </r>
  <r>
    <x v="28"/>
    <x v="32"/>
    <s v="Electric Generators, Electric Utilities"/>
    <x v="2"/>
    <n v="149546"/>
  </r>
  <r>
    <x v="28"/>
    <x v="32"/>
    <s v="Electric Generators, Electric Utilities"/>
    <x v="3"/>
    <n v="7277362"/>
  </r>
  <r>
    <x v="28"/>
    <x v="32"/>
    <s v="Electric Generators, Electric Utilities"/>
    <x v="12"/>
    <n v="-723"/>
  </r>
  <r>
    <x v="28"/>
    <x v="32"/>
    <s v="Electric Generators, Electric Utilities"/>
    <x v="4"/>
    <n v="20737"/>
  </r>
  <r>
    <x v="28"/>
    <x v="32"/>
    <s v="Electric Generators, Electric Utilities"/>
    <x v="13"/>
    <n v="263805"/>
  </r>
  <r>
    <x v="28"/>
    <x v="33"/>
    <s v="Total Electric Power Industry"/>
    <x v="0"/>
    <n v="39640241"/>
  </r>
  <r>
    <x v="28"/>
    <x v="33"/>
    <s v="Total Electric Power Industry"/>
    <x v="1"/>
    <n v="2485046"/>
  </r>
  <r>
    <x v="28"/>
    <x v="33"/>
    <s v="Total Electric Power Industry"/>
    <x v="11"/>
    <n v="3461982"/>
  </r>
  <r>
    <x v="28"/>
    <x v="33"/>
    <s v="Total Electric Power Industry"/>
    <x v="2"/>
    <n v="1881266"/>
  </r>
  <r>
    <x v="28"/>
    <x v="33"/>
    <s v="Total Electric Power Industry"/>
    <x v="3"/>
    <n v="26688612"/>
  </r>
  <r>
    <x v="28"/>
    <x v="33"/>
    <s v="Total Electric Power Industry"/>
    <x v="9"/>
    <n v="0"/>
  </r>
  <r>
    <x v="28"/>
    <x v="33"/>
    <s v="Total Electric Power Industry"/>
    <x v="12"/>
    <n v="28782"/>
  </r>
  <r>
    <x v="28"/>
    <x v="33"/>
    <s v="Total Electric Power Industry"/>
    <x v="4"/>
    <n v="10245"/>
  </r>
  <r>
    <x v="28"/>
    <x v="33"/>
    <s v="Total Electric Power Industry"/>
    <x v="13"/>
    <n v="4718895"/>
  </r>
  <r>
    <x v="28"/>
    <x v="33"/>
    <s v="Total Electric Power Industry"/>
    <x v="8"/>
    <n v="53066"/>
  </r>
  <r>
    <x v="28"/>
    <x v="33"/>
    <s v="Total Electric Power Industry"/>
    <x v="5"/>
    <n v="312348"/>
  </r>
  <r>
    <x v="28"/>
    <x v="33"/>
    <s v="Combined Heat and Power, Industrial Power"/>
    <x v="0"/>
    <n v="332233"/>
  </r>
  <r>
    <x v="28"/>
    <x v="33"/>
    <s v="Combined Heat and Power, Industrial Power"/>
    <x v="3"/>
    <n v="329725"/>
  </r>
  <r>
    <x v="28"/>
    <x v="33"/>
    <s v="Combined Heat and Power, Industrial Power"/>
    <x v="13"/>
    <n v="2508"/>
  </r>
  <r>
    <x v="28"/>
    <x v="33"/>
    <s v="Combined Heat and Power, Commercial Power"/>
    <x v="0"/>
    <n v="159414"/>
  </r>
  <r>
    <x v="28"/>
    <x v="33"/>
    <s v="Combined Heat and Power, Commercial Power"/>
    <x v="11"/>
    <n v="33442"/>
  </r>
  <r>
    <x v="28"/>
    <x v="33"/>
    <s v="Combined Heat and Power, Commercial Power"/>
    <x v="3"/>
    <n v="62250"/>
  </r>
  <r>
    <x v="28"/>
    <x v="33"/>
    <s v="Combined Heat and Power, Commercial Power"/>
    <x v="13"/>
    <n v="63722"/>
  </r>
  <r>
    <x v="28"/>
    <x v="33"/>
    <s v="Combined Heat and Power, Electric Power"/>
    <x v="0"/>
    <n v="2146536"/>
  </r>
  <r>
    <x v="28"/>
    <x v="33"/>
    <s v="Combined Heat and Power, Electric Power"/>
    <x v="3"/>
    <n v="2146536"/>
  </r>
  <r>
    <x v="28"/>
    <x v="33"/>
    <s v="Combined Heat and Power, Electric Power"/>
    <x v="9"/>
    <n v="0"/>
  </r>
  <r>
    <x v="28"/>
    <x v="33"/>
    <s v="Combined Heat and Power, Electric Power"/>
    <x v="4"/>
    <n v="0"/>
  </r>
  <r>
    <x v="28"/>
    <x v="33"/>
    <s v="Electric Generators, Independent Power Producers"/>
    <x v="0"/>
    <n v="9520528"/>
  </r>
  <r>
    <x v="28"/>
    <x v="33"/>
    <s v="Electric Generators, Independent Power Producers"/>
    <x v="1"/>
    <n v="1042500"/>
  </r>
  <r>
    <x v="28"/>
    <x v="33"/>
    <s v="Electric Generators, Independent Power Producers"/>
    <x v="11"/>
    <n v="3428540"/>
  </r>
  <r>
    <x v="28"/>
    <x v="33"/>
    <s v="Electric Generators, Independent Power Producers"/>
    <x v="2"/>
    <n v="66620"/>
  </r>
  <r>
    <x v="28"/>
    <x v="33"/>
    <s v="Electric Generators, Independent Power Producers"/>
    <x v="3"/>
    <n v="2572"/>
  </r>
  <r>
    <x v="28"/>
    <x v="33"/>
    <s v="Electric Generators, Independent Power Producers"/>
    <x v="4"/>
    <n v="2867"/>
  </r>
  <r>
    <x v="28"/>
    <x v="33"/>
    <s v="Electric Generators, Independent Power Producers"/>
    <x v="13"/>
    <n v="4612015"/>
  </r>
  <r>
    <x v="28"/>
    <x v="33"/>
    <s v="Electric Generators, Independent Power Producers"/>
    <x v="8"/>
    <n v="53066"/>
  </r>
  <r>
    <x v="28"/>
    <x v="33"/>
    <s v="Electric Generators, Independent Power Producers"/>
    <x v="5"/>
    <n v="312348"/>
  </r>
  <r>
    <x v="28"/>
    <x v="33"/>
    <s v="Electric Generators, Electric Utilities"/>
    <x v="0"/>
    <n v="27481530"/>
  </r>
  <r>
    <x v="28"/>
    <x v="33"/>
    <s v="Electric Generators, Electric Utilities"/>
    <x v="1"/>
    <n v="1442546"/>
  </r>
  <r>
    <x v="28"/>
    <x v="33"/>
    <s v="Electric Generators, Electric Utilities"/>
    <x v="2"/>
    <n v="1814646"/>
  </r>
  <r>
    <x v="28"/>
    <x v="33"/>
    <s v="Electric Generators, Electric Utilities"/>
    <x v="3"/>
    <n v="24147528"/>
  </r>
  <r>
    <x v="28"/>
    <x v="33"/>
    <s v="Electric Generators, Electric Utilities"/>
    <x v="12"/>
    <n v="28782"/>
  </r>
  <r>
    <x v="28"/>
    <x v="33"/>
    <s v="Electric Generators, Electric Utilities"/>
    <x v="4"/>
    <n v="7378"/>
  </r>
  <r>
    <x v="28"/>
    <x v="33"/>
    <s v="Electric Generators, Electric Utilities"/>
    <x v="13"/>
    <n v="40650"/>
  </r>
  <r>
    <x v="28"/>
    <x v="34"/>
    <s v="Total Electric Power Industry"/>
    <x v="0"/>
    <n v="132520501"/>
  </r>
  <r>
    <x v="28"/>
    <x v="34"/>
    <s v="Total Electric Power Industry"/>
    <x v="1"/>
    <n v="690386"/>
  </r>
  <r>
    <x v="28"/>
    <x v="34"/>
    <s v="Total Electric Power Industry"/>
    <x v="10"/>
    <n v="-430718"/>
  </r>
  <r>
    <x v="28"/>
    <x v="34"/>
    <s v="Total Electric Power Industry"/>
    <x v="2"/>
    <n v="29630000"/>
  </r>
  <r>
    <x v="28"/>
    <x v="34"/>
    <s v="Total Electric Power Industry"/>
    <x v="3"/>
    <n v="50810426"/>
  </r>
  <r>
    <x v="28"/>
    <x v="34"/>
    <s v="Total Electric Power Industry"/>
    <x v="7"/>
    <n v="42919011"/>
  </r>
  <r>
    <x v="28"/>
    <x v="34"/>
    <s v="Total Electric Power Industry"/>
    <x v="9"/>
    <n v="0"/>
  </r>
  <r>
    <x v="28"/>
    <x v="34"/>
    <s v="Total Electric Power Industry"/>
    <x v="12"/>
    <n v="873145"/>
  </r>
  <r>
    <x v="28"/>
    <x v="34"/>
    <s v="Total Electric Power Industry"/>
    <x v="4"/>
    <n v="1590710"/>
  </r>
  <r>
    <x v="28"/>
    <x v="34"/>
    <s v="Total Electric Power Industry"/>
    <x v="13"/>
    <n v="297472"/>
  </r>
  <r>
    <x v="28"/>
    <x v="34"/>
    <s v="Total Electric Power Industry"/>
    <x v="8"/>
    <n v="1615967"/>
  </r>
  <r>
    <x v="28"/>
    <x v="34"/>
    <s v="Total Electric Power Industry"/>
    <x v="5"/>
    <n v="3998333"/>
  </r>
  <r>
    <x v="28"/>
    <x v="34"/>
    <s v="Total Electric Power Industry"/>
    <x v="6"/>
    <n v="525768"/>
  </r>
  <r>
    <x v="28"/>
    <x v="34"/>
    <s v="Combined Heat and Power, Industrial Power"/>
    <x v="0"/>
    <n v="908000"/>
  </r>
  <r>
    <x v="28"/>
    <x v="34"/>
    <s v="Combined Heat and Power, Industrial Power"/>
    <x v="1"/>
    <n v="10943"/>
  </r>
  <r>
    <x v="28"/>
    <x v="34"/>
    <s v="Combined Heat and Power, Industrial Power"/>
    <x v="2"/>
    <n v="59021"/>
  </r>
  <r>
    <x v="28"/>
    <x v="34"/>
    <s v="Combined Heat and Power, Industrial Power"/>
    <x v="3"/>
    <n v="622656"/>
  </r>
  <r>
    <x v="28"/>
    <x v="34"/>
    <s v="Combined Heat and Power, Industrial Power"/>
    <x v="9"/>
    <n v="0"/>
  </r>
  <r>
    <x v="28"/>
    <x v="34"/>
    <s v="Combined Heat and Power, Industrial Power"/>
    <x v="12"/>
    <n v="0"/>
  </r>
  <r>
    <x v="28"/>
    <x v="34"/>
    <s v="Combined Heat and Power, Industrial Power"/>
    <x v="4"/>
    <n v="35319"/>
  </r>
  <r>
    <x v="28"/>
    <x v="34"/>
    <s v="Combined Heat and Power, Industrial Power"/>
    <x v="5"/>
    <n v="5965"/>
  </r>
  <r>
    <x v="28"/>
    <x v="34"/>
    <s v="Combined Heat and Power, Industrial Power"/>
    <x v="6"/>
    <n v="174096"/>
  </r>
  <r>
    <x v="28"/>
    <x v="34"/>
    <s v="Combined Heat and Power, Commercial Power"/>
    <x v="0"/>
    <n v="1311587"/>
  </r>
  <r>
    <x v="28"/>
    <x v="34"/>
    <s v="Combined Heat and Power, Commercial Power"/>
    <x v="1"/>
    <n v="0"/>
  </r>
  <r>
    <x v="28"/>
    <x v="34"/>
    <s v="Combined Heat and Power, Commercial Power"/>
    <x v="2"/>
    <n v="6149"/>
  </r>
  <r>
    <x v="28"/>
    <x v="34"/>
    <s v="Combined Heat and Power, Commercial Power"/>
    <x v="3"/>
    <n v="870161"/>
  </r>
  <r>
    <x v="28"/>
    <x v="34"/>
    <s v="Combined Heat and Power, Commercial Power"/>
    <x v="12"/>
    <n v="201821"/>
  </r>
  <r>
    <x v="28"/>
    <x v="34"/>
    <s v="Combined Heat and Power, Commercial Power"/>
    <x v="4"/>
    <n v="13292"/>
  </r>
  <r>
    <x v="28"/>
    <x v="34"/>
    <s v="Combined Heat and Power, Commercial Power"/>
    <x v="13"/>
    <n v="3889"/>
  </r>
  <r>
    <x v="28"/>
    <x v="34"/>
    <s v="Combined Heat and Power, Commercial Power"/>
    <x v="8"/>
    <n v="213184"/>
  </r>
  <r>
    <x v="28"/>
    <x v="34"/>
    <s v="Combined Heat and Power, Commercial Power"/>
    <x v="5"/>
    <n v="3092"/>
  </r>
  <r>
    <x v="28"/>
    <x v="34"/>
    <s v="Combined Heat and Power, Electric Power"/>
    <x v="0"/>
    <n v="12817947"/>
  </r>
  <r>
    <x v="28"/>
    <x v="34"/>
    <s v="Combined Heat and Power, Electric Power"/>
    <x v="3"/>
    <n v="12591573"/>
  </r>
  <r>
    <x v="28"/>
    <x v="34"/>
    <s v="Combined Heat and Power, Electric Power"/>
    <x v="12"/>
    <n v="69678"/>
  </r>
  <r>
    <x v="28"/>
    <x v="34"/>
    <s v="Combined Heat and Power, Electric Power"/>
    <x v="4"/>
    <n v="84174"/>
  </r>
  <r>
    <x v="28"/>
    <x v="34"/>
    <s v="Combined Heat and Power, Electric Power"/>
    <x v="8"/>
    <n v="72522"/>
  </r>
  <r>
    <x v="28"/>
    <x v="34"/>
    <s v="Combined Heat and Power, Electric Power"/>
    <x v="6"/>
    <n v="0"/>
  </r>
  <r>
    <x v="28"/>
    <x v="34"/>
    <s v="Electric Generators, Independent Power Producers"/>
    <x v="0"/>
    <n v="81823021"/>
  </r>
  <r>
    <x v="28"/>
    <x v="34"/>
    <s v="Electric Generators, Independent Power Producers"/>
    <x v="1"/>
    <n v="679442"/>
  </r>
  <r>
    <x v="28"/>
    <x v="34"/>
    <s v="Electric Generators, Independent Power Producers"/>
    <x v="2"/>
    <n v="4459899"/>
  </r>
  <r>
    <x v="28"/>
    <x v="34"/>
    <s v="Electric Generators, Independent Power Producers"/>
    <x v="3"/>
    <n v="26356536"/>
  </r>
  <r>
    <x v="28"/>
    <x v="34"/>
    <s v="Electric Generators, Independent Power Producers"/>
    <x v="7"/>
    <n v="42919011"/>
  </r>
  <r>
    <x v="28"/>
    <x v="34"/>
    <s v="Electric Generators, Independent Power Producers"/>
    <x v="12"/>
    <n v="601646"/>
  </r>
  <r>
    <x v="28"/>
    <x v="34"/>
    <s v="Electric Generators, Independent Power Producers"/>
    <x v="4"/>
    <n v="841695"/>
  </r>
  <r>
    <x v="28"/>
    <x v="34"/>
    <s v="Electric Generators, Independent Power Producers"/>
    <x v="13"/>
    <n v="293583"/>
  </r>
  <r>
    <x v="28"/>
    <x v="34"/>
    <s v="Electric Generators, Independent Power Producers"/>
    <x v="8"/>
    <n v="1330261"/>
  </r>
  <r>
    <x v="28"/>
    <x v="34"/>
    <s v="Electric Generators, Independent Power Producers"/>
    <x v="5"/>
    <n v="3989276"/>
  </r>
  <r>
    <x v="28"/>
    <x v="34"/>
    <s v="Electric Generators, Independent Power Producers"/>
    <x v="6"/>
    <n v="351672"/>
  </r>
  <r>
    <x v="28"/>
    <x v="34"/>
    <s v="Electric Generators, Electric Utilities"/>
    <x v="0"/>
    <n v="35659945"/>
  </r>
  <r>
    <x v="28"/>
    <x v="34"/>
    <s v="Electric Generators, Electric Utilities"/>
    <x v="1"/>
    <n v="0"/>
  </r>
  <r>
    <x v="28"/>
    <x v="34"/>
    <s v="Electric Generators, Electric Utilities"/>
    <x v="10"/>
    <n v="-430718"/>
  </r>
  <r>
    <x v="28"/>
    <x v="34"/>
    <s v="Electric Generators, Electric Utilities"/>
    <x v="2"/>
    <n v="25104931"/>
  </r>
  <r>
    <x v="28"/>
    <x v="34"/>
    <s v="Electric Generators, Electric Utilities"/>
    <x v="3"/>
    <n v="10369501"/>
  </r>
  <r>
    <x v="28"/>
    <x v="34"/>
    <s v="Electric Generators, Electric Utilities"/>
    <x v="4"/>
    <n v="616231"/>
  </r>
  <r>
    <x v="28"/>
    <x v="35"/>
    <s v="Total Electric Power Industry"/>
    <x v="0"/>
    <n v="126184610"/>
  </r>
  <r>
    <x v="28"/>
    <x v="35"/>
    <s v="Total Electric Power Industry"/>
    <x v="1"/>
    <n v="58726962"/>
  </r>
  <r>
    <x v="28"/>
    <x v="35"/>
    <s v="Total Electric Power Industry"/>
    <x v="2"/>
    <n v="244019"/>
  </r>
  <r>
    <x v="28"/>
    <x v="35"/>
    <s v="Total Electric Power Industry"/>
    <x v="3"/>
    <n v="44214502"/>
  </r>
  <r>
    <x v="28"/>
    <x v="35"/>
    <s v="Total Electric Power Industry"/>
    <x v="7"/>
    <n v="18315007"/>
  </r>
  <r>
    <x v="28"/>
    <x v="35"/>
    <s v="Total Electric Power Industry"/>
    <x v="9"/>
    <n v="786891"/>
  </r>
  <r>
    <x v="28"/>
    <x v="35"/>
    <s v="Total Electric Power Industry"/>
    <x v="12"/>
    <n v="5433"/>
  </r>
  <r>
    <x v="28"/>
    <x v="35"/>
    <s v="Total Electric Power Industry"/>
    <x v="4"/>
    <n v="1315746"/>
  </r>
  <r>
    <x v="28"/>
    <x v="35"/>
    <s v="Total Electric Power Industry"/>
    <x v="13"/>
    <n v="119055"/>
  </r>
  <r>
    <x v="28"/>
    <x v="35"/>
    <s v="Total Electric Power Industry"/>
    <x v="8"/>
    <n v="472597"/>
  </r>
  <r>
    <x v="28"/>
    <x v="35"/>
    <s v="Total Electric Power Industry"/>
    <x v="5"/>
    <n v="1750022"/>
  </r>
  <r>
    <x v="28"/>
    <x v="35"/>
    <s v="Total Electric Power Industry"/>
    <x v="6"/>
    <n v="234377"/>
  </r>
  <r>
    <x v="28"/>
    <x v="35"/>
    <s v="Combined Heat and Power, Industrial Power"/>
    <x v="0"/>
    <n v="676160"/>
  </r>
  <r>
    <x v="28"/>
    <x v="35"/>
    <s v="Combined Heat and Power, Industrial Power"/>
    <x v="1"/>
    <n v="5971"/>
  </r>
  <r>
    <x v="28"/>
    <x v="35"/>
    <s v="Combined Heat and Power, Industrial Power"/>
    <x v="3"/>
    <n v="207370"/>
  </r>
  <r>
    <x v="28"/>
    <x v="35"/>
    <s v="Combined Heat and Power, Industrial Power"/>
    <x v="9"/>
    <n v="157089"/>
  </r>
  <r>
    <x v="28"/>
    <x v="35"/>
    <s v="Combined Heat and Power, Industrial Power"/>
    <x v="12"/>
    <n v="11603"/>
  </r>
  <r>
    <x v="28"/>
    <x v="35"/>
    <s v="Combined Heat and Power, Industrial Power"/>
    <x v="4"/>
    <n v="13688"/>
  </r>
  <r>
    <x v="28"/>
    <x v="35"/>
    <s v="Combined Heat and Power, Industrial Power"/>
    <x v="13"/>
    <n v="1974"/>
  </r>
  <r>
    <x v="28"/>
    <x v="35"/>
    <s v="Combined Heat and Power, Industrial Power"/>
    <x v="8"/>
    <n v="8203"/>
  </r>
  <r>
    <x v="28"/>
    <x v="35"/>
    <s v="Combined Heat and Power, Industrial Power"/>
    <x v="5"/>
    <n v="62875"/>
  </r>
  <r>
    <x v="28"/>
    <x v="35"/>
    <s v="Combined Heat and Power, Industrial Power"/>
    <x v="6"/>
    <n v="207388"/>
  </r>
  <r>
    <x v="28"/>
    <x v="35"/>
    <s v="Combined Heat and Power, Commercial Power"/>
    <x v="0"/>
    <n v="256457"/>
  </r>
  <r>
    <x v="28"/>
    <x v="35"/>
    <s v="Combined Heat and Power, Commercial Power"/>
    <x v="1"/>
    <n v="0"/>
  </r>
  <r>
    <x v="28"/>
    <x v="35"/>
    <s v="Combined Heat and Power, Commercial Power"/>
    <x v="3"/>
    <n v="242520"/>
  </r>
  <r>
    <x v="28"/>
    <x v="35"/>
    <s v="Combined Heat and Power, Commercial Power"/>
    <x v="4"/>
    <n v="780"/>
  </r>
  <r>
    <x v="28"/>
    <x v="35"/>
    <s v="Combined Heat and Power, Commercial Power"/>
    <x v="13"/>
    <n v="2673"/>
  </r>
  <r>
    <x v="28"/>
    <x v="35"/>
    <s v="Combined Heat and Power, Commercial Power"/>
    <x v="8"/>
    <n v="7224"/>
  </r>
  <r>
    <x v="28"/>
    <x v="35"/>
    <s v="Combined Heat and Power, Commercial Power"/>
    <x v="5"/>
    <n v="3260"/>
  </r>
  <r>
    <x v="28"/>
    <x v="35"/>
    <s v="Combined Heat and Power, Electric Power"/>
    <x v="0"/>
    <n v="856807"/>
  </r>
  <r>
    <x v="28"/>
    <x v="35"/>
    <s v="Combined Heat and Power, Electric Power"/>
    <x v="1"/>
    <n v="0"/>
  </r>
  <r>
    <x v="28"/>
    <x v="35"/>
    <s v="Combined Heat and Power, Electric Power"/>
    <x v="3"/>
    <n v="200017"/>
  </r>
  <r>
    <x v="28"/>
    <x v="35"/>
    <s v="Combined Heat and Power, Electric Power"/>
    <x v="9"/>
    <n v="629801"/>
  </r>
  <r>
    <x v="28"/>
    <x v="35"/>
    <s v="Combined Heat and Power, Electric Power"/>
    <x v="6"/>
    <n v="26989"/>
  </r>
  <r>
    <x v="28"/>
    <x v="35"/>
    <s v="Electric Generators, Independent Power Producers"/>
    <x v="0"/>
    <n v="106770840"/>
  </r>
  <r>
    <x v="28"/>
    <x v="35"/>
    <s v="Electric Generators, Independent Power Producers"/>
    <x v="1"/>
    <n v="49330004"/>
  </r>
  <r>
    <x v="28"/>
    <x v="35"/>
    <s v="Electric Generators, Independent Power Producers"/>
    <x v="2"/>
    <n v="16605"/>
  </r>
  <r>
    <x v="28"/>
    <x v="35"/>
    <s v="Electric Generators, Independent Power Producers"/>
    <x v="3"/>
    <n v="35608835"/>
  </r>
  <r>
    <x v="28"/>
    <x v="35"/>
    <s v="Electric Generators, Independent Power Producers"/>
    <x v="7"/>
    <n v="18315007"/>
  </r>
  <r>
    <x v="28"/>
    <x v="35"/>
    <s v="Electric Generators, Independent Power Producers"/>
    <x v="12"/>
    <n v="-3607"/>
  </r>
  <r>
    <x v="28"/>
    <x v="35"/>
    <s v="Electric Generators, Independent Power Producers"/>
    <x v="4"/>
    <n v="1267127"/>
  </r>
  <r>
    <x v="28"/>
    <x v="35"/>
    <s v="Electric Generators, Independent Power Producers"/>
    <x v="13"/>
    <n v="107026"/>
  </r>
  <r>
    <x v="28"/>
    <x v="35"/>
    <s v="Electric Generators, Independent Power Producers"/>
    <x v="8"/>
    <n v="457170"/>
  </r>
  <r>
    <x v="28"/>
    <x v="35"/>
    <s v="Electric Generators, Independent Power Producers"/>
    <x v="5"/>
    <n v="1672673"/>
  </r>
  <r>
    <x v="28"/>
    <x v="35"/>
    <s v="Electric Generators, Electric Utilities"/>
    <x v="0"/>
    <n v="17624346"/>
  </r>
  <r>
    <x v="28"/>
    <x v="35"/>
    <s v="Electric Generators, Electric Utilities"/>
    <x v="1"/>
    <n v="9390988"/>
  </r>
  <r>
    <x v="28"/>
    <x v="35"/>
    <s v="Electric Generators, Electric Utilities"/>
    <x v="2"/>
    <n v="227414"/>
  </r>
  <r>
    <x v="28"/>
    <x v="35"/>
    <s v="Electric Generators, Electric Utilities"/>
    <x v="3"/>
    <n v="7955759"/>
  </r>
  <r>
    <x v="28"/>
    <x v="35"/>
    <s v="Electric Generators, Electric Utilities"/>
    <x v="12"/>
    <n v="-2563"/>
  </r>
  <r>
    <x v="28"/>
    <x v="35"/>
    <s v="Electric Generators, Electric Utilities"/>
    <x v="4"/>
    <n v="34152"/>
  </r>
  <r>
    <x v="28"/>
    <x v="35"/>
    <s v="Electric Generators, Electric Utilities"/>
    <x v="13"/>
    <n v="7382"/>
  </r>
  <r>
    <x v="28"/>
    <x v="35"/>
    <s v="Electric Generators, Electric Utilities"/>
    <x v="8"/>
    <n v="0"/>
  </r>
  <r>
    <x v="28"/>
    <x v="35"/>
    <s v="Electric Generators, Electric Utilities"/>
    <x v="5"/>
    <n v="11214"/>
  </r>
  <r>
    <x v="28"/>
    <x v="36"/>
    <s v="Total Electric Power Industry"/>
    <x v="0"/>
    <n v="86223721"/>
  </r>
  <r>
    <x v="28"/>
    <x v="36"/>
    <s v="Total Electric Power Industry"/>
    <x v="1"/>
    <n v="14906747"/>
  </r>
  <r>
    <x v="28"/>
    <x v="36"/>
    <s v="Total Electric Power Industry"/>
    <x v="10"/>
    <n v="-135051"/>
  </r>
  <r>
    <x v="28"/>
    <x v="36"/>
    <s v="Total Electric Power Industry"/>
    <x v="2"/>
    <n v="2034897"/>
  </r>
  <r>
    <x v="28"/>
    <x v="36"/>
    <s v="Total Electric Power Industry"/>
    <x v="3"/>
    <n v="41612986"/>
  </r>
  <r>
    <x v="28"/>
    <x v="36"/>
    <s v="Total Electric Power Industry"/>
    <x v="12"/>
    <n v="57075"/>
  </r>
  <r>
    <x v="28"/>
    <x v="36"/>
    <s v="Total Electric Power Industry"/>
    <x v="4"/>
    <n v="17978"/>
  </r>
  <r>
    <x v="28"/>
    <x v="36"/>
    <s v="Total Electric Power Industry"/>
    <x v="13"/>
    <n v="61626"/>
  </r>
  <r>
    <x v="28"/>
    <x v="36"/>
    <s v="Total Electric Power Industry"/>
    <x v="8"/>
    <n v="76845"/>
  </r>
  <r>
    <x v="28"/>
    <x v="36"/>
    <s v="Total Electric Power Industry"/>
    <x v="5"/>
    <n v="27338228"/>
  </r>
  <r>
    <x v="28"/>
    <x v="36"/>
    <s v="Total Electric Power Industry"/>
    <x v="6"/>
    <n v="252390"/>
  </r>
  <r>
    <x v="28"/>
    <x v="36"/>
    <s v="Combined Heat and Power, Industrial Power"/>
    <x v="0"/>
    <n v="886794"/>
  </r>
  <r>
    <x v="28"/>
    <x v="36"/>
    <s v="Combined Heat and Power, Industrial Power"/>
    <x v="1"/>
    <n v="204751"/>
  </r>
  <r>
    <x v="28"/>
    <x v="36"/>
    <s v="Combined Heat and Power, Industrial Power"/>
    <x v="3"/>
    <n v="370950"/>
  </r>
  <r>
    <x v="28"/>
    <x v="36"/>
    <s v="Combined Heat and Power, Industrial Power"/>
    <x v="12"/>
    <n v="3482"/>
  </r>
  <r>
    <x v="28"/>
    <x v="36"/>
    <s v="Combined Heat and Power, Industrial Power"/>
    <x v="4"/>
    <n v="1026"/>
  </r>
  <r>
    <x v="28"/>
    <x v="36"/>
    <s v="Combined Heat and Power, Industrial Power"/>
    <x v="8"/>
    <n v="56097"/>
  </r>
  <r>
    <x v="28"/>
    <x v="36"/>
    <s v="Combined Heat and Power, Industrial Power"/>
    <x v="6"/>
    <n v="250488"/>
  </r>
  <r>
    <x v="28"/>
    <x v="36"/>
    <s v="Combined Heat and Power, Commercial Power"/>
    <x v="0"/>
    <n v="15"/>
  </r>
  <r>
    <x v="28"/>
    <x v="36"/>
    <s v="Combined Heat and Power, Commercial Power"/>
    <x v="3"/>
    <n v="15"/>
  </r>
  <r>
    <x v="28"/>
    <x v="36"/>
    <s v="Combined Heat and Power, Commercial Power"/>
    <x v="4"/>
    <n v="0"/>
  </r>
  <r>
    <x v="28"/>
    <x v="36"/>
    <s v="Combined Heat and Power, Electric Power"/>
    <x v="0"/>
    <n v="2001324"/>
  </r>
  <r>
    <x v="28"/>
    <x v="36"/>
    <s v="Combined Heat and Power, Electric Power"/>
    <x v="1"/>
    <n v="1833889"/>
  </r>
  <r>
    <x v="28"/>
    <x v="36"/>
    <s v="Combined Heat and Power, Electric Power"/>
    <x v="3"/>
    <n v="111939"/>
  </r>
  <r>
    <x v="28"/>
    <x v="36"/>
    <s v="Combined Heat and Power, Electric Power"/>
    <x v="12"/>
    <n v="53593"/>
  </r>
  <r>
    <x v="28"/>
    <x v="36"/>
    <s v="Combined Heat and Power, Electric Power"/>
    <x v="6"/>
    <n v="1902"/>
  </r>
  <r>
    <x v="28"/>
    <x v="36"/>
    <s v="Electric Generators, Independent Power Producers"/>
    <x v="0"/>
    <n v="41468021"/>
  </r>
  <r>
    <x v="28"/>
    <x v="36"/>
    <s v="Electric Generators, Independent Power Producers"/>
    <x v="3"/>
    <n v="15448127"/>
  </r>
  <r>
    <x v="28"/>
    <x v="36"/>
    <s v="Electric Generators, Independent Power Producers"/>
    <x v="8"/>
    <n v="20748"/>
  </r>
  <r>
    <x v="28"/>
    <x v="36"/>
    <s v="Electric Generators, Independent Power Producers"/>
    <x v="5"/>
    <n v="25999146"/>
  </r>
  <r>
    <x v="28"/>
    <x v="36"/>
    <s v="Electric Generators, Electric Utilities"/>
    <x v="0"/>
    <n v="41867567"/>
  </r>
  <r>
    <x v="28"/>
    <x v="36"/>
    <s v="Electric Generators, Electric Utilities"/>
    <x v="1"/>
    <n v="12868107"/>
  </r>
  <r>
    <x v="28"/>
    <x v="36"/>
    <s v="Electric Generators, Electric Utilities"/>
    <x v="10"/>
    <n v="-135051"/>
  </r>
  <r>
    <x v="28"/>
    <x v="36"/>
    <s v="Electric Generators, Electric Utilities"/>
    <x v="2"/>
    <n v="2034897"/>
  </r>
  <r>
    <x v="28"/>
    <x v="36"/>
    <s v="Electric Generators, Electric Utilities"/>
    <x v="3"/>
    <n v="25681955"/>
  </r>
  <r>
    <x v="28"/>
    <x v="36"/>
    <s v="Electric Generators, Electric Utilities"/>
    <x v="4"/>
    <n v="16951"/>
  </r>
  <r>
    <x v="28"/>
    <x v="36"/>
    <s v="Electric Generators, Electric Utilities"/>
    <x v="13"/>
    <n v="61626"/>
  </r>
  <r>
    <x v="28"/>
    <x v="36"/>
    <s v="Electric Generators, Electric Utilities"/>
    <x v="5"/>
    <n v="1339082"/>
  </r>
  <r>
    <x v="28"/>
    <x v="37"/>
    <s v="Total Electric Power Industry"/>
    <x v="0"/>
    <n v="64113560"/>
  </r>
  <r>
    <x v="28"/>
    <x v="37"/>
    <s v="Total Electric Power Industry"/>
    <x v="1"/>
    <n v="1476391"/>
  </r>
  <r>
    <x v="28"/>
    <x v="37"/>
    <s v="Total Electric Power Industry"/>
    <x v="11"/>
    <n v="176235"/>
  </r>
  <r>
    <x v="28"/>
    <x v="37"/>
    <s v="Total Electric Power Industry"/>
    <x v="2"/>
    <n v="35442773"/>
  </r>
  <r>
    <x v="28"/>
    <x v="37"/>
    <s v="Total Electric Power Industry"/>
    <x v="3"/>
    <n v="17922777"/>
  </r>
  <r>
    <x v="28"/>
    <x v="37"/>
    <s v="Total Electric Power Industry"/>
    <x v="12"/>
    <n v="34095"/>
  </r>
  <r>
    <x v="28"/>
    <x v="37"/>
    <s v="Total Electric Power Industry"/>
    <x v="4"/>
    <n v="4856"/>
  </r>
  <r>
    <x v="28"/>
    <x v="37"/>
    <s v="Total Electric Power Industry"/>
    <x v="13"/>
    <n v="571696"/>
  </r>
  <r>
    <x v="28"/>
    <x v="37"/>
    <s v="Total Electric Power Industry"/>
    <x v="8"/>
    <n v="357073"/>
  </r>
  <r>
    <x v="28"/>
    <x v="37"/>
    <s v="Total Electric Power Industry"/>
    <x v="5"/>
    <n v="7447442"/>
  </r>
  <r>
    <x v="28"/>
    <x v="37"/>
    <s v="Total Electric Power Industry"/>
    <x v="6"/>
    <n v="680223"/>
  </r>
  <r>
    <x v="28"/>
    <x v="37"/>
    <s v="Combined Heat and Power, Industrial Power"/>
    <x v="0"/>
    <n v="609335"/>
  </r>
  <r>
    <x v="28"/>
    <x v="37"/>
    <s v="Combined Heat and Power, Industrial Power"/>
    <x v="3"/>
    <n v="73094"/>
  </r>
  <r>
    <x v="28"/>
    <x v="37"/>
    <s v="Combined Heat and Power, Industrial Power"/>
    <x v="4"/>
    <n v="0"/>
  </r>
  <r>
    <x v="28"/>
    <x v="37"/>
    <s v="Combined Heat and Power, Industrial Power"/>
    <x v="8"/>
    <n v="22018"/>
  </r>
  <r>
    <x v="28"/>
    <x v="37"/>
    <s v="Combined Heat and Power, Industrial Power"/>
    <x v="6"/>
    <n v="514223"/>
  </r>
  <r>
    <x v="28"/>
    <x v="37"/>
    <s v="Combined Heat and Power, Commercial Power"/>
    <x v="0"/>
    <n v="73926"/>
  </r>
  <r>
    <x v="28"/>
    <x v="37"/>
    <s v="Combined Heat and Power, Commercial Power"/>
    <x v="3"/>
    <n v="44742"/>
  </r>
  <r>
    <x v="28"/>
    <x v="37"/>
    <s v="Combined Heat and Power, Commercial Power"/>
    <x v="4"/>
    <n v="19"/>
  </r>
  <r>
    <x v="28"/>
    <x v="37"/>
    <s v="Combined Heat and Power, Commercial Power"/>
    <x v="8"/>
    <n v="29165"/>
  </r>
  <r>
    <x v="28"/>
    <x v="37"/>
    <s v="Combined Heat and Power, Electric Power"/>
    <x v="0"/>
    <n v="5123590"/>
  </r>
  <r>
    <x v="28"/>
    <x v="37"/>
    <s v="Combined Heat and Power, Electric Power"/>
    <x v="3"/>
    <n v="5086578"/>
  </r>
  <r>
    <x v="28"/>
    <x v="37"/>
    <s v="Combined Heat and Power, Electric Power"/>
    <x v="8"/>
    <n v="37012"/>
  </r>
  <r>
    <x v="28"/>
    <x v="37"/>
    <s v="Combined Heat and Power, Electric Power"/>
    <x v="6"/>
    <n v="0"/>
  </r>
  <r>
    <x v="28"/>
    <x v="37"/>
    <s v="Electric Generators, Independent Power Producers"/>
    <x v="0"/>
    <n v="11286428"/>
  </r>
  <r>
    <x v="28"/>
    <x v="37"/>
    <s v="Electric Generators, Independent Power Producers"/>
    <x v="11"/>
    <n v="176235"/>
  </r>
  <r>
    <x v="28"/>
    <x v="37"/>
    <s v="Electric Generators, Independent Power Producers"/>
    <x v="2"/>
    <n v="243433"/>
  </r>
  <r>
    <x v="28"/>
    <x v="37"/>
    <s v="Electric Generators, Independent Power Producers"/>
    <x v="3"/>
    <n v="3686376"/>
  </r>
  <r>
    <x v="28"/>
    <x v="37"/>
    <s v="Electric Generators, Independent Power Producers"/>
    <x v="12"/>
    <n v="34640"/>
  </r>
  <r>
    <x v="28"/>
    <x v="37"/>
    <s v="Electric Generators, Independent Power Producers"/>
    <x v="13"/>
    <n v="565575"/>
  </r>
  <r>
    <x v="28"/>
    <x v="37"/>
    <s v="Electric Generators, Independent Power Producers"/>
    <x v="8"/>
    <n v="210232"/>
  </r>
  <r>
    <x v="28"/>
    <x v="37"/>
    <s v="Electric Generators, Independent Power Producers"/>
    <x v="5"/>
    <n v="6203937"/>
  </r>
  <r>
    <x v="28"/>
    <x v="37"/>
    <s v="Electric Generators, Independent Power Producers"/>
    <x v="6"/>
    <n v="166000"/>
  </r>
  <r>
    <x v="28"/>
    <x v="37"/>
    <s v="Electric Generators, Electric Utilities"/>
    <x v="0"/>
    <n v="47020281"/>
  </r>
  <r>
    <x v="28"/>
    <x v="37"/>
    <s v="Electric Generators, Electric Utilities"/>
    <x v="1"/>
    <n v="1476391"/>
  </r>
  <r>
    <x v="28"/>
    <x v="37"/>
    <s v="Electric Generators, Electric Utilities"/>
    <x v="11"/>
    <n v="0"/>
  </r>
  <r>
    <x v="28"/>
    <x v="37"/>
    <s v="Electric Generators, Electric Utilities"/>
    <x v="2"/>
    <n v="35199340"/>
  </r>
  <r>
    <x v="28"/>
    <x v="37"/>
    <s v="Electric Generators, Electric Utilities"/>
    <x v="3"/>
    <n v="9031987"/>
  </r>
  <r>
    <x v="28"/>
    <x v="37"/>
    <s v="Electric Generators, Electric Utilities"/>
    <x v="12"/>
    <n v="-545"/>
  </r>
  <r>
    <x v="28"/>
    <x v="37"/>
    <s v="Electric Generators, Electric Utilities"/>
    <x v="4"/>
    <n v="4837"/>
  </r>
  <r>
    <x v="28"/>
    <x v="37"/>
    <s v="Electric Generators, Electric Utilities"/>
    <x v="13"/>
    <n v="6121"/>
  </r>
  <r>
    <x v="28"/>
    <x v="37"/>
    <s v="Electric Generators, Electric Utilities"/>
    <x v="8"/>
    <n v="58645"/>
  </r>
  <r>
    <x v="28"/>
    <x v="37"/>
    <s v="Electric Generators, Electric Utilities"/>
    <x v="5"/>
    <n v="1243505"/>
  </r>
  <r>
    <x v="28"/>
    <x v="38"/>
    <s v="Total Electric Power Industry"/>
    <x v="0"/>
    <n v="215385830"/>
  </r>
  <r>
    <x v="28"/>
    <x v="38"/>
    <s v="Total Electric Power Industry"/>
    <x v="1"/>
    <n v="44086284"/>
  </r>
  <r>
    <x v="28"/>
    <x v="38"/>
    <s v="Total Electric Power Industry"/>
    <x v="10"/>
    <n v="-659143"/>
  </r>
  <r>
    <x v="28"/>
    <x v="38"/>
    <s v="Total Electric Power Industry"/>
    <x v="2"/>
    <n v="4261757"/>
  </r>
  <r>
    <x v="28"/>
    <x v="38"/>
    <s v="Total Electric Power Industry"/>
    <x v="3"/>
    <n v="76390859"/>
  </r>
  <r>
    <x v="28"/>
    <x v="38"/>
    <s v="Total Electric Power Industry"/>
    <x v="7"/>
    <n v="83476744"/>
  </r>
  <r>
    <x v="28"/>
    <x v="38"/>
    <s v="Total Electric Power Industry"/>
    <x v="9"/>
    <n v="528492"/>
  </r>
  <r>
    <x v="28"/>
    <x v="38"/>
    <s v="Total Electric Power Industry"/>
    <x v="12"/>
    <n v="780847"/>
  </r>
  <r>
    <x v="28"/>
    <x v="38"/>
    <s v="Total Electric Power Industry"/>
    <x v="4"/>
    <n v="625647"/>
  </r>
  <r>
    <x v="28"/>
    <x v="38"/>
    <s v="Total Electric Power Industry"/>
    <x v="13"/>
    <n v="62475"/>
  </r>
  <r>
    <x v="28"/>
    <x v="38"/>
    <s v="Total Electric Power Industry"/>
    <x v="8"/>
    <n v="1816682"/>
  </r>
  <r>
    <x v="28"/>
    <x v="38"/>
    <s v="Total Electric Power Industry"/>
    <x v="5"/>
    <n v="3566917"/>
  </r>
  <r>
    <x v="28"/>
    <x v="38"/>
    <s v="Total Electric Power Industry"/>
    <x v="6"/>
    <n v="448269"/>
  </r>
  <r>
    <x v="28"/>
    <x v="38"/>
    <s v="Combined Heat and Power, Industrial Power"/>
    <x v="0"/>
    <n v="2727845"/>
  </r>
  <r>
    <x v="28"/>
    <x v="38"/>
    <s v="Combined Heat and Power, Industrial Power"/>
    <x v="1"/>
    <n v="115914"/>
  </r>
  <r>
    <x v="28"/>
    <x v="38"/>
    <s v="Combined Heat and Power, Industrial Power"/>
    <x v="3"/>
    <n v="1504970"/>
  </r>
  <r>
    <x v="28"/>
    <x v="38"/>
    <s v="Combined Heat and Power, Industrial Power"/>
    <x v="9"/>
    <n v="527148"/>
  </r>
  <r>
    <x v="28"/>
    <x v="38"/>
    <s v="Combined Heat and Power, Industrial Power"/>
    <x v="4"/>
    <n v="71154"/>
  </r>
  <r>
    <x v="28"/>
    <x v="38"/>
    <s v="Combined Heat and Power, Industrial Power"/>
    <x v="13"/>
    <n v="7163"/>
  </r>
  <r>
    <x v="28"/>
    <x v="38"/>
    <s v="Combined Heat and Power, Industrial Power"/>
    <x v="8"/>
    <n v="53481"/>
  </r>
  <r>
    <x v="28"/>
    <x v="38"/>
    <s v="Combined Heat and Power, Industrial Power"/>
    <x v="6"/>
    <n v="448016"/>
  </r>
  <r>
    <x v="28"/>
    <x v="38"/>
    <s v="Combined Heat and Power, Commercial Power"/>
    <x v="0"/>
    <n v="373025"/>
  </r>
  <r>
    <x v="28"/>
    <x v="38"/>
    <s v="Combined Heat and Power, Commercial Power"/>
    <x v="1"/>
    <n v="0"/>
  </r>
  <r>
    <x v="28"/>
    <x v="38"/>
    <s v="Combined Heat and Power, Commercial Power"/>
    <x v="3"/>
    <n v="130204"/>
  </r>
  <r>
    <x v="28"/>
    <x v="38"/>
    <s v="Combined Heat and Power, Commercial Power"/>
    <x v="12"/>
    <n v="93237"/>
  </r>
  <r>
    <x v="28"/>
    <x v="38"/>
    <s v="Combined Heat and Power, Commercial Power"/>
    <x v="4"/>
    <n v="4282"/>
  </r>
  <r>
    <x v="28"/>
    <x v="38"/>
    <s v="Combined Heat and Power, Commercial Power"/>
    <x v="13"/>
    <n v="4875"/>
  </r>
  <r>
    <x v="28"/>
    <x v="38"/>
    <s v="Combined Heat and Power, Commercial Power"/>
    <x v="8"/>
    <n v="140427"/>
  </r>
  <r>
    <x v="28"/>
    <x v="38"/>
    <s v="Combined Heat and Power, Electric Power"/>
    <x v="0"/>
    <n v="8391946"/>
  </r>
  <r>
    <x v="28"/>
    <x v="38"/>
    <s v="Combined Heat and Power, Electric Power"/>
    <x v="1"/>
    <n v="3045090"/>
  </r>
  <r>
    <x v="28"/>
    <x v="38"/>
    <s v="Combined Heat and Power, Electric Power"/>
    <x v="3"/>
    <n v="5138689"/>
  </r>
  <r>
    <x v="28"/>
    <x v="38"/>
    <s v="Combined Heat and Power, Electric Power"/>
    <x v="9"/>
    <n v="1345"/>
  </r>
  <r>
    <x v="28"/>
    <x v="38"/>
    <s v="Combined Heat and Power, Electric Power"/>
    <x v="12"/>
    <n v="79611"/>
  </r>
  <r>
    <x v="28"/>
    <x v="38"/>
    <s v="Combined Heat and Power, Electric Power"/>
    <x v="4"/>
    <n v="64846"/>
  </r>
  <r>
    <x v="28"/>
    <x v="38"/>
    <s v="Combined Heat and Power, Electric Power"/>
    <x v="8"/>
    <n v="62112"/>
  </r>
  <r>
    <x v="28"/>
    <x v="38"/>
    <s v="Combined Heat and Power, Electric Power"/>
    <x v="6"/>
    <n v="253"/>
  </r>
  <r>
    <x v="28"/>
    <x v="38"/>
    <s v="Electric Generators, Independent Power Producers"/>
    <x v="0"/>
    <n v="203742395"/>
  </r>
  <r>
    <x v="28"/>
    <x v="38"/>
    <s v="Electric Generators, Independent Power Producers"/>
    <x v="1"/>
    <n v="40925280"/>
  </r>
  <r>
    <x v="28"/>
    <x v="38"/>
    <s v="Electric Generators, Independent Power Producers"/>
    <x v="10"/>
    <n v="-659143"/>
  </r>
  <r>
    <x v="28"/>
    <x v="38"/>
    <s v="Electric Generators, Independent Power Producers"/>
    <x v="2"/>
    <n v="4119904"/>
  </r>
  <r>
    <x v="28"/>
    <x v="38"/>
    <s v="Electric Generators, Independent Power Producers"/>
    <x v="3"/>
    <n v="69610013"/>
  </r>
  <r>
    <x v="28"/>
    <x v="38"/>
    <s v="Electric Generators, Independent Power Producers"/>
    <x v="7"/>
    <n v="83476744"/>
  </r>
  <r>
    <x v="28"/>
    <x v="38"/>
    <s v="Electric Generators, Independent Power Producers"/>
    <x v="9"/>
    <n v="0"/>
  </r>
  <r>
    <x v="28"/>
    <x v="38"/>
    <s v="Electric Generators, Independent Power Producers"/>
    <x v="12"/>
    <n v="607999"/>
  </r>
  <r>
    <x v="28"/>
    <x v="38"/>
    <s v="Electric Generators, Independent Power Producers"/>
    <x v="4"/>
    <n v="483582"/>
  </r>
  <r>
    <x v="28"/>
    <x v="38"/>
    <s v="Electric Generators, Independent Power Producers"/>
    <x v="13"/>
    <n v="50437"/>
  </r>
  <r>
    <x v="28"/>
    <x v="38"/>
    <s v="Electric Generators, Independent Power Producers"/>
    <x v="8"/>
    <n v="1560662"/>
  </r>
  <r>
    <x v="28"/>
    <x v="38"/>
    <s v="Electric Generators, Independent Power Producers"/>
    <x v="5"/>
    <n v="3566917"/>
  </r>
  <r>
    <x v="28"/>
    <x v="38"/>
    <s v="Electric Generators, Electric Utilities"/>
    <x v="0"/>
    <n v="150619"/>
  </r>
  <r>
    <x v="28"/>
    <x v="38"/>
    <s v="Electric Generators, Electric Utilities"/>
    <x v="1"/>
    <n v="0"/>
  </r>
  <r>
    <x v="28"/>
    <x v="38"/>
    <s v="Electric Generators, Electric Utilities"/>
    <x v="2"/>
    <n v="141853"/>
  </r>
  <r>
    <x v="28"/>
    <x v="38"/>
    <s v="Electric Generators, Electric Utilities"/>
    <x v="3"/>
    <n v="6983"/>
  </r>
  <r>
    <x v="28"/>
    <x v="38"/>
    <s v="Electric Generators, Electric Utilities"/>
    <x v="4"/>
    <n v="1783"/>
  </r>
  <r>
    <x v="28"/>
    <x v="39"/>
    <s v="Total Electric Power Industry"/>
    <x v="0"/>
    <n v="8375257"/>
  </r>
  <r>
    <x v="28"/>
    <x v="39"/>
    <s v="Total Electric Power Industry"/>
    <x v="1"/>
    <n v="0"/>
  </r>
  <r>
    <x v="28"/>
    <x v="39"/>
    <s v="Total Electric Power Industry"/>
    <x v="2"/>
    <n v="4100"/>
  </r>
  <r>
    <x v="28"/>
    <x v="39"/>
    <s v="Total Electric Power Industry"/>
    <x v="3"/>
    <n v="7896940"/>
  </r>
  <r>
    <x v="28"/>
    <x v="39"/>
    <s v="Total Electric Power Industry"/>
    <x v="4"/>
    <n v="75714"/>
  </r>
  <r>
    <x v="28"/>
    <x v="39"/>
    <s v="Total Electric Power Industry"/>
    <x v="13"/>
    <n v="28866"/>
  </r>
  <r>
    <x v="28"/>
    <x v="39"/>
    <s v="Total Electric Power Industry"/>
    <x v="8"/>
    <n v="211031"/>
  </r>
  <r>
    <x v="28"/>
    <x v="39"/>
    <s v="Total Electric Power Industry"/>
    <x v="5"/>
    <n v="158606"/>
  </r>
  <r>
    <x v="28"/>
    <x v="39"/>
    <s v="Combined Heat and Power, Industrial Power"/>
    <x v="0"/>
    <n v="146201"/>
  </r>
  <r>
    <x v="28"/>
    <x v="39"/>
    <s v="Combined Heat and Power, Industrial Power"/>
    <x v="3"/>
    <n v="146163"/>
  </r>
  <r>
    <x v="28"/>
    <x v="39"/>
    <s v="Combined Heat and Power, Industrial Power"/>
    <x v="4"/>
    <n v="38"/>
  </r>
  <r>
    <x v="28"/>
    <x v="39"/>
    <s v="Combined Heat and Power, Commercial Power"/>
    <x v="0"/>
    <n v="58571"/>
  </r>
  <r>
    <x v="28"/>
    <x v="39"/>
    <s v="Combined Heat and Power, Commercial Power"/>
    <x v="3"/>
    <n v="49264"/>
  </r>
  <r>
    <x v="28"/>
    <x v="39"/>
    <s v="Combined Heat and Power, Commercial Power"/>
    <x v="4"/>
    <n v="1882"/>
  </r>
  <r>
    <x v="28"/>
    <x v="39"/>
    <s v="Combined Heat and Power, Commercial Power"/>
    <x v="5"/>
    <n v="7424"/>
  </r>
  <r>
    <x v="28"/>
    <x v="39"/>
    <s v="Electric Generators, Independent Power Producers"/>
    <x v="0"/>
    <n v="8170441"/>
  </r>
  <r>
    <x v="28"/>
    <x v="39"/>
    <s v="Electric Generators, Independent Power Producers"/>
    <x v="1"/>
    <n v="0"/>
  </r>
  <r>
    <x v="28"/>
    <x v="39"/>
    <s v="Electric Generators, Independent Power Producers"/>
    <x v="2"/>
    <n v="4100"/>
  </r>
  <r>
    <x v="28"/>
    <x v="39"/>
    <s v="Electric Generators, Independent Power Producers"/>
    <x v="3"/>
    <n v="7701512"/>
  </r>
  <r>
    <x v="28"/>
    <x v="39"/>
    <s v="Electric Generators, Independent Power Producers"/>
    <x v="4"/>
    <n v="73750"/>
  </r>
  <r>
    <x v="28"/>
    <x v="39"/>
    <s v="Electric Generators, Independent Power Producers"/>
    <x v="13"/>
    <n v="28866"/>
  </r>
  <r>
    <x v="28"/>
    <x v="39"/>
    <s v="Electric Generators, Independent Power Producers"/>
    <x v="8"/>
    <n v="211031"/>
  </r>
  <r>
    <x v="28"/>
    <x v="39"/>
    <s v="Electric Generators, Independent Power Producers"/>
    <x v="5"/>
    <n v="151182"/>
  </r>
  <r>
    <x v="28"/>
    <x v="39"/>
    <s v="Electric Generators, Electric Utilities"/>
    <x v="0"/>
    <n v="44"/>
  </r>
  <r>
    <x v="28"/>
    <x v="39"/>
    <s v="Electric Generators, Electric Utilities"/>
    <x v="4"/>
    <n v="44"/>
  </r>
  <r>
    <x v="28"/>
    <x v="40"/>
    <s v="Total Electric Power Industry"/>
    <x v="0"/>
    <n v="99364088"/>
  </r>
  <r>
    <x v="28"/>
    <x v="40"/>
    <s v="Total Electric Power Industry"/>
    <x v="1"/>
    <n v="19497485"/>
  </r>
  <r>
    <x v="28"/>
    <x v="40"/>
    <s v="Total Electric Power Industry"/>
    <x v="10"/>
    <n v="-704735"/>
  </r>
  <r>
    <x v="28"/>
    <x v="40"/>
    <s v="Total Electric Power Industry"/>
    <x v="2"/>
    <n v="3013720"/>
  </r>
  <r>
    <x v="28"/>
    <x v="40"/>
    <s v="Total Electric Power Industry"/>
    <x v="3"/>
    <n v="21653796"/>
  </r>
  <r>
    <x v="28"/>
    <x v="40"/>
    <s v="Total Electric Power Industry"/>
    <x v="7"/>
    <n v="52716469"/>
  </r>
  <r>
    <x v="28"/>
    <x v="40"/>
    <s v="Total Electric Power Industry"/>
    <x v="12"/>
    <n v="41651"/>
  </r>
  <r>
    <x v="28"/>
    <x v="40"/>
    <s v="Total Electric Power Industry"/>
    <x v="4"/>
    <n v="343903"/>
  </r>
  <r>
    <x v="28"/>
    <x v="40"/>
    <s v="Total Electric Power Industry"/>
    <x v="13"/>
    <n v="510494"/>
  </r>
  <r>
    <x v="28"/>
    <x v="40"/>
    <s v="Total Electric Power Industry"/>
    <x v="8"/>
    <n v="149856"/>
  </r>
  <r>
    <x v="28"/>
    <x v="40"/>
    <s v="Total Electric Power Industry"/>
    <x v="6"/>
    <n v="2141450"/>
  </r>
  <r>
    <x v="28"/>
    <x v="40"/>
    <s v="Combined Heat and Power, Industrial Power"/>
    <x v="0"/>
    <n v="1701870"/>
  </r>
  <r>
    <x v="28"/>
    <x v="40"/>
    <s v="Combined Heat and Power, Industrial Power"/>
    <x v="1"/>
    <n v="16052"/>
  </r>
  <r>
    <x v="28"/>
    <x v="40"/>
    <s v="Combined Heat and Power, Industrial Power"/>
    <x v="3"/>
    <n v="128458"/>
  </r>
  <r>
    <x v="28"/>
    <x v="40"/>
    <s v="Combined Heat and Power, Industrial Power"/>
    <x v="12"/>
    <n v="34311"/>
  </r>
  <r>
    <x v="28"/>
    <x v="40"/>
    <s v="Combined Heat and Power, Industrial Power"/>
    <x v="4"/>
    <n v="11423"/>
  </r>
  <r>
    <x v="28"/>
    <x v="40"/>
    <s v="Combined Heat and Power, Industrial Power"/>
    <x v="8"/>
    <n v="50423"/>
  </r>
  <r>
    <x v="28"/>
    <x v="40"/>
    <s v="Combined Heat and Power, Industrial Power"/>
    <x v="6"/>
    <n v="1461203"/>
  </r>
  <r>
    <x v="28"/>
    <x v="40"/>
    <s v="Combined Heat and Power, Commercial Power"/>
    <x v="0"/>
    <n v="2602"/>
  </r>
  <r>
    <x v="28"/>
    <x v="40"/>
    <s v="Combined Heat and Power, Commercial Power"/>
    <x v="2"/>
    <n v="2397"/>
  </r>
  <r>
    <x v="28"/>
    <x v="40"/>
    <s v="Combined Heat and Power, Commercial Power"/>
    <x v="3"/>
    <n v="129"/>
  </r>
  <r>
    <x v="28"/>
    <x v="40"/>
    <s v="Combined Heat and Power, Commercial Power"/>
    <x v="4"/>
    <n v="76"/>
  </r>
  <r>
    <x v="28"/>
    <x v="40"/>
    <s v="Combined Heat and Power, Electric Power"/>
    <x v="0"/>
    <n v="616640"/>
  </r>
  <r>
    <x v="28"/>
    <x v="40"/>
    <s v="Combined Heat and Power, Electric Power"/>
    <x v="3"/>
    <n v="523894"/>
  </r>
  <r>
    <x v="28"/>
    <x v="40"/>
    <s v="Combined Heat and Power, Electric Power"/>
    <x v="12"/>
    <n v="7340"/>
  </r>
  <r>
    <x v="28"/>
    <x v="40"/>
    <s v="Combined Heat and Power, Electric Power"/>
    <x v="4"/>
    <n v="899"/>
  </r>
  <r>
    <x v="28"/>
    <x v="40"/>
    <s v="Combined Heat and Power, Electric Power"/>
    <x v="6"/>
    <n v="84507"/>
  </r>
  <r>
    <x v="28"/>
    <x v="40"/>
    <s v="Electric Generators, Independent Power Producers"/>
    <x v="0"/>
    <n v="2985409"/>
  </r>
  <r>
    <x v="28"/>
    <x v="40"/>
    <s v="Electric Generators, Independent Power Producers"/>
    <x v="2"/>
    <n v="80133"/>
  </r>
  <r>
    <x v="28"/>
    <x v="40"/>
    <s v="Electric Generators, Independent Power Producers"/>
    <x v="3"/>
    <n v="2080288"/>
  </r>
  <r>
    <x v="28"/>
    <x v="40"/>
    <s v="Electric Generators, Independent Power Producers"/>
    <x v="12"/>
    <n v="0"/>
  </r>
  <r>
    <x v="28"/>
    <x v="40"/>
    <s v="Electric Generators, Independent Power Producers"/>
    <x v="4"/>
    <n v="4563"/>
  </r>
  <r>
    <x v="28"/>
    <x v="40"/>
    <s v="Electric Generators, Independent Power Producers"/>
    <x v="13"/>
    <n v="508291"/>
  </r>
  <r>
    <x v="28"/>
    <x v="40"/>
    <s v="Electric Generators, Independent Power Producers"/>
    <x v="8"/>
    <n v="12336"/>
  </r>
  <r>
    <x v="28"/>
    <x v="40"/>
    <s v="Electric Generators, Independent Power Producers"/>
    <x v="6"/>
    <n v="299798"/>
  </r>
  <r>
    <x v="28"/>
    <x v="40"/>
    <s v="Electric Generators, Electric Utilities"/>
    <x v="0"/>
    <n v="94057567"/>
  </r>
  <r>
    <x v="28"/>
    <x v="40"/>
    <s v="Electric Generators, Electric Utilities"/>
    <x v="1"/>
    <n v="19481432"/>
  </r>
  <r>
    <x v="28"/>
    <x v="40"/>
    <s v="Electric Generators, Electric Utilities"/>
    <x v="10"/>
    <n v="-704735"/>
  </r>
  <r>
    <x v="28"/>
    <x v="40"/>
    <s v="Electric Generators, Electric Utilities"/>
    <x v="2"/>
    <n v="2931190"/>
  </r>
  <r>
    <x v="28"/>
    <x v="40"/>
    <s v="Electric Generators, Electric Utilities"/>
    <x v="3"/>
    <n v="18921027"/>
  </r>
  <r>
    <x v="28"/>
    <x v="40"/>
    <s v="Electric Generators, Electric Utilities"/>
    <x v="7"/>
    <n v="52716469"/>
  </r>
  <r>
    <x v="28"/>
    <x v="40"/>
    <s v="Electric Generators, Electric Utilities"/>
    <x v="4"/>
    <n v="326942"/>
  </r>
  <r>
    <x v="28"/>
    <x v="40"/>
    <s v="Electric Generators, Electric Utilities"/>
    <x v="13"/>
    <n v="2203"/>
  </r>
  <r>
    <x v="28"/>
    <x v="40"/>
    <s v="Electric Generators, Electric Utilities"/>
    <x v="8"/>
    <n v="87097"/>
  </r>
  <r>
    <x v="28"/>
    <x v="40"/>
    <s v="Electric Generators, Electric Utilities"/>
    <x v="6"/>
    <n v="295942"/>
  </r>
  <r>
    <x v="28"/>
    <x v="41"/>
    <s v="Total Electric Power Industry"/>
    <x v="0"/>
    <n v="12616396"/>
  </r>
  <r>
    <x v="28"/>
    <x v="41"/>
    <s v="Total Electric Power Industry"/>
    <x v="1"/>
    <n v="2339337"/>
  </r>
  <r>
    <x v="28"/>
    <x v="41"/>
    <s v="Total Electric Power Industry"/>
    <x v="2"/>
    <n v="6266270"/>
  </r>
  <r>
    <x v="28"/>
    <x v="41"/>
    <s v="Total Electric Power Industry"/>
    <x v="3"/>
    <n v="1167719"/>
  </r>
  <r>
    <x v="28"/>
    <x v="41"/>
    <s v="Total Electric Power Industry"/>
    <x v="12"/>
    <n v="0"/>
  </r>
  <r>
    <x v="28"/>
    <x v="41"/>
    <s v="Total Electric Power Industry"/>
    <x v="4"/>
    <n v="6396"/>
  </r>
  <r>
    <x v="28"/>
    <x v="41"/>
    <s v="Total Electric Power Industry"/>
    <x v="13"/>
    <n v="1672"/>
  </r>
  <r>
    <x v="28"/>
    <x v="41"/>
    <s v="Total Electric Power Industry"/>
    <x v="8"/>
    <n v="0"/>
  </r>
  <r>
    <x v="28"/>
    <x v="41"/>
    <s v="Total Electric Power Industry"/>
    <x v="5"/>
    <n v="2835002"/>
  </r>
  <r>
    <x v="28"/>
    <x v="41"/>
    <s v="Combined Heat and Power, Commercial Power"/>
    <x v="0"/>
    <n v="16"/>
  </r>
  <r>
    <x v="28"/>
    <x v="41"/>
    <s v="Combined Heat and Power, Commercial Power"/>
    <x v="4"/>
    <n v="16"/>
  </r>
  <r>
    <x v="28"/>
    <x v="41"/>
    <s v="Electric Generators, Independent Power Producers"/>
    <x v="0"/>
    <n v="1988021"/>
  </r>
  <r>
    <x v="28"/>
    <x v="41"/>
    <s v="Electric Generators, Independent Power Producers"/>
    <x v="12"/>
    <n v="0"/>
  </r>
  <r>
    <x v="28"/>
    <x v="41"/>
    <s v="Electric Generators, Independent Power Producers"/>
    <x v="4"/>
    <n v="25"/>
  </r>
  <r>
    <x v="28"/>
    <x v="41"/>
    <s v="Electric Generators, Independent Power Producers"/>
    <x v="13"/>
    <n v="1672"/>
  </r>
  <r>
    <x v="28"/>
    <x v="41"/>
    <s v="Electric Generators, Independent Power Producers"/>
    <x v="5"/>
    <n v="1986324"/>
  </r>
  <r>
    <x v="28"/>
    <x v="41"/>
    <s v="Electric Generators, Electric Utilities"/>
    <x v="0"/>
    <n v="10628359"/>
  </r>
  <r>
    <x v="28"/>
    <x v="41"/>
    <s v="Electric Generators, Electric Utilities"/>
    <x v="1"/>
    <n v="2339337"/>
  </r>
  <r>
    <x v="28"/>
    <x v="41"/>
    <s v="Electric Generators, Electric Utilities"/>
    <x v="2"/>
    <n v="6266270"/>
  </r>
  <r>
    <x v="28"/>
    <x v="41"/>
    <s v="Electric Generators, Electric Utilities"/>
    <x v="3"/>
    <n v="1167719"/>
  </r>
  <r>
    <x v="28"/>
    <x v="41"/>
    <s v="Electric Generators, Electric Utilities"/>
    <x v="4"/>
    <n v="6356"/>
  </r>
  <r>
    <x v="28"/>
    <x v="41"/>
    <s v="Electric Generators, Electric Utilities"/>
    <x v="8"/>
    <n v="0"/>
  </r>
  <r>
    <x v="28"/>
    <x v="41"/>
    <s v="Electric Generators, Electric Utilities"/>
    <x v="5"/>
    <n v="848678"/>
  </r>
  <r>
    <x v="28"/>
    <x v="42"/>
    <s v="Total Electric Power Industry"/>
    <x v="0"/>
    <n v="81554917"/>
  </r>
  <r>
    <x v="28"/>
    <x v="42"/>
    <s v="Total Electric Power Industry"/>
    <x v="1"/>
    <n v="20966713"/>
  </r>
  <r>
    <x v="28"/>
    <x v="42"/>
    <s v="Total Electric Power Industry"/>
    <x v="10"/>
    <n v="-619844"/>
  </r>
  <r>
    <x v="28"/>
    <x v="42"/>
    <s v="Total Electric Power Industry"/>
    <x v="2"/>
    <n v="10292725"/>
  </r>
  <r>
    <x v="28"/>
    <x v="42"/>
    <s v="Total Electric Power Industry"/>
    <x v="3"/>
    <n v="13398703"/>
  </r>
  <r>
    <x v="28"/>
    <x v="42"/>
    <s v="Total Electric Power Industry"/>
    <x v="7"/>
    <n v="36176382"/>
  </r>
  <r>
    <x v="28"/>
    <x v="42"/>
    <s v="Total Electric Power Industry"/>
    <x v="9"/>
    <n v="11175"/>
  </r>
  <r>
    <x v="28"/>
    <x v="42"/>
    <s v="Total Electric Power Industry"/>
    <x v="12"/>
    <n v="8457"/>
  </r>
  <r>
    <x v="28"/>
    <x v="42"/>
    <s v="Total Electric Power Industry"/>
    <x v="4"/>
    <n v="129555"/>
  </r>
  <r>
    <x v="28"/>
    <x v="42"/>
    <s v="Total Electric Power Industry"/>
    <x v="13"/>
    <n v="167594"/>
  </r>
  <r>
    <x v="28"/>
    <x v="42"/>
    <s v="Total Electric Power Industry"/>
    <x v="8"/>
    <n v="87220"/>
  </r>
  <r>
    <x v="28"/>
    <x v="42"/>
    <s v="Total Electric Power Industry"/>
    <x v="5"/>
    <n v="41009"/>
  </r>
  <r>
    <x v="28"/>
    <x v="42"/>
    <s v="Total Electric Power Industry"/>
    <x v="6"/>
    <n v="895227"/>
  </r>
  <r>
    <x v="28"/>
    <x v="42"/>
    <s v="Combined Heat and Power, Industrial Power"/>
    <x v="0"/>
    <n v="2183259"/>
  </r>
  <r>
    <x v="28"/>
    <x v="42"/>
    <s v="Combined Heat and Power, Industrial Power"/>
    <x v="1"/>
    <n v="647194"/>
  </r>
  <r>
    <x v="28"/>
    <x v="42"/>
    <s v="Combined Heat and Power, Industrial Power"/>
    <x v="3"/>
    <n v="602574"/>
  </r>
  <r>
    <x v="28"/>
    <x v="42"/>
    <s v="Combined Heat and Power, Industrial Power"/>
    <x v="9"/>
    <n v="11175"/>
  </r>
  <r>
    <x v="28"/>
    <x v="42"/>
    <s v="Combined Heat and Power, Industrial Power"/>
    <x v="12"/>
    <n v="8457"/>
  </r>
  <r>
    <x v="28"/>
    <x v="42"/>
    <s v="Combined Heat and Power, Industrial Power"/>
    <x v="4"/>
    <n v="2382"/>
  </r>
  <r>
    <x v="28"/>
    <x v="42"/>
    <s v="Combined Heat and Power, Industrial Power"/>
    <x v="13"/>
    <n v="6263"/>
  </r>
  <r>
    <x v="28"/>
    <x v="42"/>
    <s v="Combined Heat and Power, Industrial Power"/>
    <x v="8"/>
    <n v="9986"/>
  </r>
  <r>
    <x v="28"/>
    <x v="42"/>
    <s v="Combined Heat and Power, Industrial Power"/>
    <x v="6"/>
    <n v="895227"/>
  </r>
  <r>
    <x v="28"/>
    <x v="42"/>
    <s v="Combined Heat and Power, Commercial Power"/>
    <x v="0"/>
    <n v="228945"/>
  </r>
  <r>
    <x v="28"/>
    <x v="42"/>
    <s v="Combined Heat and Power, Commercial Power"/>
    <x v="1"/>
    <n v="0"/>
  </r>
  <r>
    <x v="28"/>
    <x v="42"/>
    <s v="Combined Heat and Power, Commercial Power"/>
    <x v="3"/>
    <n v="224807"/>
  </r>
  <r>
    <x v="28"/>
    <x v="42"/>
    <s v="Combined Heat and Power, Commercial Power"/>
    <x v="4"/>
    <n v="0"/>
  </r>
  <r>
    <x v="28"/>
    <x v="42"/>
    <s v="Combined Heat and Power, Commercial Power"/>
    <x v="13"/>
    <n v="4138"/>
  </r>
  <r>
    <x v="28"/>
    <x v="42"/>
    <s v="Electric Generators, Independent Power Producers"/>
    <x v="0"/>
    <n v="288652"/>
  </r>
  <r>
    <x v="28"/>
    <x v="42"/>
    <s v="Electric Generators, Independent Power Producers"/>
    <x v="3"/>
    <n v="13874"/>
  </r>
  <r>
    <x v="28"/>
    <x v="42"/>
    <s v="Electric Generators, Independent Power Producers"/>
    <x v="4"/>
    <n v="300"/>
  </r>
  <r>
    <x v="28"/>
    <x v="42"/>
    <s v="Electric Generators, Independent Power Producers"/>
    <x v="13"/>
    <n v="156235"/>
  </r>
  <r>
    <x v="28"/>
    <x v="42"/>
    <s v="Electric Generators, Independent Power Producers"/>
    <x v="8"/>
    <n v="77234"/>
  </r>
  <r>
    <x v="28"/>
    <x v="42"/>
    <s v="Electric Generators, Independent Power Producers"/>
    <x v="5"/>
    <n v="41009"/>
  </r>
  <r>
    <x v="28"/>
    <x v="42"/>
    <s v="Electric Generators, Electric Utilities"/>
    <x v="0"/>
    <n v="78854061"/>
  </r>
  <r>
    <x v="28"/>
    <x v="42"/>
    <s v="Electric Generators, Electric Utilities"/>
    <x v="1"/>
    <n v="20319519"/>
  </r>
  <r>
    <x v="28"/>
    <x v="42"/>
    <s v="Electric Generators, Electric Utilities"/>
    <x v="10"/>
    <n v="-619844"/>
  </r>
  <r>
    <x v="28"/>
    <x v="42"/>
    <s v="Electric Generators, Electric Utilities"/>
    <x v="2"/>
    <n v="10292725"/>
  </r>
  <r>
    <x v="28"/>
    <x v="42"/>
    <s v="Electric Generators, Electric Utilities"/>
    <x v="3"/>
    <n v="12557448"/>
  </r>
  <r>
    <x v="28"/>
    <x v="42"/>
    <s v="Electric Generators, Electric Utilities"/>
    <x v="7"/>
    <n v="36176382"/>
  </r>
  <r>
    <x v="28"/>
    <x v="42"/>
    <s v="Electric Generators, Electric Utilities"/>
    <x v="4"/>
    <n v="126873"/>
  </r>
  <r>
    <x v="28"/>
    <x v="42"/>
    <s v="Electric Generators, Electric Utilities"/>
    <x v="13"/>
    <n v="958"/>
  </r>
  <r>
    <x v="28"/>
    <x v="42"/>
    <s v="Electric Generators, Electric Utilities"/>
    <x v="8"/>
    <n v="0"/>
  </r>
  <r>
    <x v="28"/>
    <x v="42"/>
    <s v="Electric Generators, Electric Utilities"/>
    <x v="5"/>
    <n v="0"/>
  </r>
  <r>
    <x v="28"/>
    <x v="43"/>
    <s v="Total Electric Power Industry"/>
    <x v="0"/>
    <n v="477352425"/>
  </r>
  <r>
    <x v="28"/>
    <x v="43"/>
    <s v="Total Electric Power Industry"/>
    <x v="1"/>
    <n v="111722643"/>
  </r>
  <r>
    <x v="28"/>
    <x v="43"/>
    <s v="Total Electric Power Industry"/>
    <x v="2"/>
    <n v="1126378"/>
  </r>
  <r>
    <x v="28"/>
    <x v="43"/>
    <s v="Total Electric Power Industry"/>
    <x v="3"/>
    <n v="239713084"/>
  </r>
  <r>
    <x v="28"/>
    <x v="43"/>
    <s v="Total Electric Power Industry"/>
    <x v="7"/>
    <n v="41185739"/>
  </r>
  <r>
    <x v="28"/>
    <x v="43"/>
    <s v="Total Electric Power Industry"/>
    <x v="9"/>
    <n v="2526476"/>
  </r>
  <r>
    <x v="28"/>
    <x v="43"/>
    <s v="Total Electric Power Industry"/>
    <x v="12"/>
    <n v="452629"/>
  </r>
  <r>
    <x v="28"/>
    <x v="43"/>
    <s v="Total Electric Power Industry"/>
    <x v="4"/>
    <n v="129313"/>
  </r>
  <r>
    <x v="28"/>
    <x v="43"/>
    <s v="Total Electric Power Industry"/>
    <x v="13"/>
    <n v="3205647"/>
  </r>
  <r>
    <x v="28"/>
    <x v="43"/>
    <s v="Total Electric Power Industry"/>
    <x v="8"/>
    <n v="585208"/>
  </r>
  <r>
    <x v="28"/>
    <x v="43"/>
    <s v="Total Electric Power Industry"/>
    <x v="5"/>
    <n v="75700434"/>
  </r>
  <r>
    <x v="28"/>
    <x v="43"/>
    <s v="Total Electric Power Industry"/>
    <x v="6"/>
    <n v="1004874"/>
  </r>
  <r>
    <x v="28"/>
    <x v="43"/>
    <s v="Combined Heat and Power, Industrial Power"/>
    <x v="0"/>
    <n v="44578983"/>
  </r>
  <r>
    <x v="28"/>
    <x v="43"/>
    <s v="Combined Heat and Power, Industrial Power"/>
    <x v="3"/>
    <n v="42029373"/>
  </r>
  <r>
    <x v="28"/>
    <x v="43"/>
    <s v="Combined Heat and Power, Industrial Power"/>
    <x v="9"/>
    <n v="1112990"/>
  </r>
  <r>
    <x v="28"/>
    <x v="43"/>
    <s v="Combined Heat and Power, Industrial Power"/>
    <x v="12"/>
    <n v="384470"/>
  </r>
  <r>
    <x v="28"/>
    <x v="43"/>
    <s v="Combined Heat and Power, Industrial Power"/>
    <x v="4"/>
    <n v="71754"/>
  </r>
  <r>
    <x v="28"/>
    <x v="43"/>
    <s v="Combined Heat and Power, Industrial Power"/>
    <x v="8"/>
    <n v="123157"/>
  </r>
  <r>
    <x v="28"/>
    <x v="43"/>
    <s v="Combined Heat and Power, Industrial Power"/>
    <x v="5"/>
    <n v="10038"/>
  </r>
  <r>
    <x v="28"/>
    <x v="43"/>
    <s v="Combined Heat and Power, Industrial Power"/>
    <x v="6"/>
    <n v="847201"/>
  </r>
  <r>
    <x v="28"/>
    <x v="43"/>
    <s v="Combined Heat and Power, Commercial Power"/>
    <x v="0"/>
    <n v="743060"/>
  </r>
  <r>
    <x v="28"/>
    <x v="43"/>
    <s v="Combined Heat and Power, Commercial Power"/>
    <x v="2"/>
    <n v="1168"/>
  </r>
  <r>
    <x v="28"/>
    <x v="43"/>
    <s v="Combined Heat and Power, Commercial Power"/>
    <x v="3"/>
    <n v="652835"/>
  </r>
  <r>
    <x v="28"/>
    <x v="43"/>
    <s v="Combined Heat and Power, Commercial Power"/>
    <x v="4"/>
    <n v="759"/>
  </r>
  <r>
    <x v="28"/>
    <x v="43"/>
    <s v="Combined Heat and Power, Commercial Power"/>
    <x v="13"/>
    <n v="1777"/>
  </r>
  <r>
    <x v="28"/>
    <x v="43"/>
    <s v="Combined Heat and Power, Commercial Power"/>
    <x v="8"/>
    <n v="33262"/>
  </r>
  <r>
    <x v="28"/>
    <x v="43"/>
    <s v="Combined Heat and Power, Commercial Power"/>
    <x v="5"/>
    <n v="53259"/>
  </r>
  <r>
    <x v="28"/>
    <x v="43"/>
    <s v="Combined Heat and Power, Electric Power"/>
    <x v="0"/>
    <n v="40650047"/>
  </r>
  <r>
    <x v="28"/>
    <x v="43"/>
    <s v="Combined Heat and Power, Electric Power"/>
    <x v="3"/>
    <n v="39161150"/>
  </r>
  <r>
    <x v="28"/>
    <x v="43"/>
    <s v="Combined Heat and Power, Electric Power"/>
    <x v="9"/>
    <n v="1413486"/>
  </r>
  <r>
    <x v="28"/>
    <x v="43"/>
    <s v="Combined Heat and Power, Electric Power"/>
    <x v="12"/>
    <n v="75411"/>
  </r>
  <r>
    <x v="28"/>
    <x v="43"/>
    <s v="Electric Generators, Independent Power Producers"/>
    <x v="0"/>
    <n v="298415819"/>
  </r>
  <r>
    <x v="28"/>
    <x v="43"/>
    <s v="Electric Generators, Independent Power Producers"/>
    <x v="1"/>
    <n v="64420228"/>
  </r>
  <r>
    <x v="28"/>
    <x v="43"/>
    <s v="Electric Generators, Independent Power Producers"/>
    <x v="2"/>
    <n v="33085"/>
  </r>
  <r>
    <x v="28"/>
    <x v="43"/>
    <s v="Electric Generators, Independent Power Producers"/>
    <x v="3"/>
    <n v="113635611"/>
  </r>
  <r>
    <x v="28"/>
    <x v="43"/>
    <s v="Electric Generators, Independent Power Producers"/>
    <x v="7"/>
    <n v="41185739"/>
  </r>
  <r>
    <x v="28"/>
    <x v="43"/>
    <s v="Electric Generators, Independent Power Producers"/>
    <x v="12"/>
    <n v="-6898"/>
  </r>
  <r>
    <x v="28"/>
    <x v="43"/>
    <s v="Electric Generators, Independent Power Producers"/>
    <x v="4"/>
    <n v="17584"/>
  </r>
  <r>
    <x v="28"/>
    <x v="43"/>
    <s v="Electric Generators, Independent Power Producers"/>
    <x v="13"/>
    <n v="3195453"/>
  </r>
  <r>
    <x v="28"/>
    <x v="43"/>
    <s v="Electric Generators, Independent Power Producers"/>
    <x v="8"/>
    <n v="428790"/>
  </r>
  <r>
    <x v="28"/>
    <x v="43"/>
    <s v="Electric Generators, Independent Power Producers"/>
    <x v="5"/>
    <n v="75348554"/>
  </r>
  <r>
    <x v="28"/>
    <x v="43"/>
    <s v="Electric Generators, Independent Power Producers"/>
    <x v="6"/>
    <n v="157673"/>
  </r>
  <r>
    <x v="28"/>
    <x v="43"/>
    <s v="Electric Generators, Electric Utilities"/>
    <x v="0"/>
    <n v="92964516"/>
  </r>
  <r>
    <x v="28"/>
    <x v="43"/>
    <s v="Electric Generators, Electric Utilities"/>
    <x v="1"/>
    <n v="47302414"/>
  </r>
  <r>
    <x v="28"/>
    <x v="43"/>
    <s v="Electric Generators, Electric Utilities"/>
    <x v="2"/>
    <n v="1092125"/>
  </r>
  <r>
    <x v="28"/>
    <x v="43"/>
    <s v="Electric Generators, Electric Utilities"/>
    <x v="3"/>
    <n v="44234116"/>
  </r>
  <r>
    <x v="28"/>
    <x v="43"/>
    <s v="Electric Generators, Electric Utilities"/>
    <x v="12"/>
    <n v="-354"/>
  </r>
  <r>
    <x v="28"/>
    <x v="43"/>
    <s v="Electric Generators, Electric Utilities"/>
    <x v="4"/>
    <n v="39215"/>
  </r>
  <r>
    <x v="28"/>
    <x v="43"/>
    <s v="Electric Generators, Electric Utilities"/>
    <x v="13"/>
    <n v="8417"/>
  </r>
  <r>
    <x v="28"/>
    <x v="43"/>
    <s v="Electric Generators, Electric Utilities"/>
    <x v="5"/>
    <n v="288583"/>
  </r>
  <r>
    <x v="28"/>
    <x v="43"/>
    <s v="Electric Generators, Electric Utilities"/>
    <x v="6"/>
    <n v="0"/>
  </r>
  <r>
    <x v="28"/>
    <x v="44"/>
    <s v="Total Electric Power Industry"/>
    <x v="0"/>
    <n v="4178077114"/>
  </r>
  <r>
    <x v="28"/>
    <x v="44"/>
    <s v="Total Electric Power Industry"/>
    <x v="1"/>
    <n v="1149487339"/>
  </r>
  <r>
    <x v="28"/>
    <x v="44"/>
    <s v="Total Electric Power Industry"/>
    <x v="11"/>
    <n v="15967134"/>
  </r>
  <r>
    <x v="28"/>
    <x v="44"/>
    <s v="Total Electric Power Industry"/>
    <x v="10"/>
    <n v="-5904539"/>
  </r>
  <r>
    <x v="28"/>
    <x v="44"/>
    <s v="Total Electric Power Industry"/>
    <x v="2"/>
    <n v="292523989"/>
  </r>
  <r>
    <x v="28"/>
    <x v="44"/>
    <s v="Total Electric Power Industry"/>
    <x v="3"/>
    <n v="1468932452"/>
  </r>
  <r>
    <x v="28"/>
    <x v="44"/>
    <s v="Total Electric Power Industry"/>
    <x v="7"/>
    <n v="807084477"/>
  </r>
  <r>
    <x v="28"/>
    <x v="44"/>
    <s v="Total Electric Power Industry"/>
    <x v="9"/>
    <n v="13462749"/>
  </r>
  <r>
    <x v="28"/>
    <x v="44"/>
    <s v="Total Electric Power Industry"/>
    <x v="12"/>
    <n v="12973204"/>
  </r>
  <r>
    <x v="28"/>
    <x v="44"/>
    <s v="Total Electric Power Industry"/>
    <x v="4"/>
    <n v="25225618"/>
  </r>
  <r>
    <x v="28"/>
    <x v="44"/>
    <s v="Total Electric Power Industry"/>
    <x v="13"/>
    <n v="63825315"/>
  </r>
  <r>
    <x v="28"/>
    <x v="44"/>
    <s v="Total Electric Power Industry"/>
    <x v="8"/>
    <n v="20895765"/>
  </r>
  <r>
    <x v="28"/>
    <x v="44"/>
    <s v="Total Electric Power Industry"/>
    <x v="5"/>
    <n v="272667454"/>
  </r>
  <r>
    <x v="28"/>
    <x v="44"/>
    <s v="Total Electric Power Industry"/>
    <x v="6"/>
    <n v="40936159"/>
  </r>
  <r>
    <x v="28"/>
    <x v="44"/>
    <s v="Combined Heat and Power, Industrial Power"/>
    <x v="0"/>
    <n v="146798381"/>
  </r>
  <r>
    <x v="28"/>
    <x v="44"/>
    <s v="Combined Heat and Power, Industrial Power"/>
    <x v="1"/>
    <n v="7011458"/>
  </r>
  <r>
    <x v="28"/>
    <x v="44"/>
    <s v="Combined Heat and Power, Industrial Power"/>
    <x v="2"/>
    <n v="1149026"/>
  </r>
  <r>
    <x v="28"/>
    <x v="44"/>
    <s v="Combined Heat and Power, Industrial Power"/>
    <x v="3"/>
    <n v="94891887"/>
  </r>
  <r>
    <x v="28"/>
    <x v="44"/>
    <s v="Combined Heat and Power, Industrial Power"/>
    <x v="9"/>
    <n v="9376685"/>
  </r>
  <r>
    <x v="28"/>
    <x v="44"/>
    <s v="Combined Heat and Power, Industrial Power"/>
    <x v="12"/>
    <n v="4724611"/>
  </r>
  <r>
    <x v="28"/>
    <x v="44"/>
    <s v="Combined Heat and Power, Industrial Power"/>
    <x v="4"/>
    <n v="1157358"/>
  </r>
  <r>
    <x v="28"/>
    <x v="44"/>
    <s v="Combined Heat and Power, Industrial Power"/>
    <x v="13"/>
    <n v="47317"/>
  </r>
  <r>
    <x v="28"/>
    <x v="44"/>
    <s v="Combined Heat and Power, Industrial Power"/>
    <x v="8"/>
    <n v="868308"/>
  </r>
  <r>
    <x v="28"/>
    <x v="44"/>
    <s v="Combined Heat and Power, Industrial Power"/>
    <x v="5"/>
    <n v="96916"/>
  </r>
  <r>
    <x v="28"/>
    <x v="44"/>
    <s v="Combined Heat and Power, Industrial Power"/>
    <x v="6"/>
    <n v="27474815"/>
  </r>
  <r>
    <x v="28"/>
    <x v="44"/>
    <s v="Combined Heat and Power, Commercial Power"/>
    <x v="0"/>
    <n v="13312386"/>
  </r>
  <r>
    <x v="28"/>
    <x v="44"/>
    <s v="Combined Heat and Power, Commercial Power"/>
    <x v="1"/>
    <n v="302870"/>
  </r>
  <r>
    <x v="28"/>
    <x v="44"/>
    <s v="Combined Heat and Power, Commercial Power"/>
    <x v="11"/>
    <n v="33442"/>
  </r>
  <r>
    <x v="28"/>
    <x v="44"/>
    <s v="Combined Heat and Power, Commercial Power"/>
    <x v="10"/>
    <n v="0"/>
  </r>
  <r>
    <x v="28"/>
    <x v="44"/>
    <s v="Combined Heat and Power, Commercial Power"/>
    <x v="2"/>
    <n v="227299"/>
  </r>
  <r>
    <x v="28"/>
    <x v="44"/>
    <s v="Combined Heat and Power, Commercial Power"/>
    <x v="3"/>
    <n v="8418693"/>
  </r>
  <r>
    <x v="28"/>
    <x v="44"/>
    <s v="Combined Heat and Power, Commercial Power"/>
    <x v="12"/>
    <n v="1010180"/>
  </r>
  <r>
    <x v="28"/>
    <x v="44"/>
    <s v="Combined Heat and Power, Commercial Power"/>
    <x v="4"/>
    <n v="139794"/>
  </r>
  <r>
    <x v="28"/>
    <x v="44"/>
    <s v="Combined Heat and Power, Commercial Power"/>
    <x v="13"/>
    <n v="525170"/>
  </r>
  <r>
    <x v="28"/>
    <x v="44"/>
    <s v="Combined Heat and Power, Commercial Power"/>
    <x v="8"/>
    <n v="2404231"/>
  </r>
  <r>
    <x v="28"/>
    <x v="44"/>
    <s v="Combined Heat and Power, Commercial Power"/>
    <x v="5"/>
    <n v="174110"/>
  </r>
  <r>
    <x v="28"/>
    <x v="44"/>
    <s v="Combined Heat and Power, Commercial Power"/>
    <x v="6"/>
    <n v="76597"/>
  </r>
  <r>
    <x v="28"/>
    <x v="44"/>
    <s v="Combined Heat and Power, Electric Power"/>
    <x v="0"/>
    <n v="142681796"/>
  </r>
  <r>
    <x v="28"/>
    <x v="44"/>
    <s v="Combined Heat and Power, Electric Power"/>
    <x v="1"/>
    <n v="14009624"/>
  </r>
  <r>
    <x v="28"/>
    <x v="44"/>
    <s v="Combined Heat and Power, Electric Power"/>
    <x v="3"/>
    <n v="118638409"/>
  </r>
  <r>
    <x v="28"/>
    <x v="44"/>
    <s v="Combined Heat and Power, Electric Power"/>
    <x v="9"/>
    <n v="3935045"/>
  </r>
  <r>
    <x v="28"/>
    <x v="44"/>
    <s v="Combined Heat and Power, Electric Power"/>
    <x v="12"/>
    <n v="865296"/>
  </r>
  <r>
    <x v="28"/>
    <x v="44"/>
    <s v="Combined Heat and Power, Electric Power"/>
    <x v="4"/>
    <n v="2068731"/>
  </r>
  <r>
    <x v="28"/>
    <x v="44"/>
    <s v="Combined Heat and Power, Electric Power"/>
    <x v="13"/>
    <n v="5385"/>
  </r>
  <r>
    <x v="28"/>
    <x v="44"/>
    <s v="Combined Heat and Power, Electric Power"/>
    <x v="8"/>
    <n v="1061641"/>
  </r>
  <r>
    <x v="28"/>
    <x v="44"/>
    <s v="Combined Heat and Power, Electric Power"/>
    <x v="6"/>
    <n v="2097665"/>
  </r>
  <r>
    <x v="28"/>
    <x v="44"/>
    <s v="Electric Generators, Independent Power Producers"/>
    <x v="0"/>
    <n v="1538035008"/>
  </r>
  <r>
    <x v="28"/>
    <x v="44"/>
    <s v="Electric Generators, Independent Power Producers"/>
    <x v="1"/>
    <n v="264658855"/>
  </r>
  <r>
    <x v="28"/>
    <x v="44"/>
    <s v="Electric Generators, Independent Power Producers"/>
    <x v="11"/>
    <n v="14924411"/>
  </r>
  <r>
    <x v="28"/>
    <x v="44"/>
    <s v="Electric Generators, Independent Power Producers"/>
    <x v="10"/>
    <n v="-1119455"/>
  </r>
  <r>
    <x v="28"/>
    <x v="44"/>
    <s v="Electric Generators, Independent Power Producers"/>
    <x v="2"/>
    <n v="23811594"/>
  </r>
  <r>
    <x v="28"/>
    <x v="44"/>
    <s v="Electric Generators, Independent Power Producers"/>
    <x v="3"/>
    <n v="526777596"/>
  </r>
  <r>
    <x v="28"/>
    <x v="44"/>
    <s v="Electric Generators, Independent Power Producers"/>
    <x v="7"/>
    <n v="382833277"/>
  </r>
  <r>
    <x v="28"/>
    <x v="44"/>
    <s v="Electric Generators, Independent Power Producers"/>
    <x v="9"/>
    <n v="0"/>
  </r>
  <r>
    <x v="28"/>
    <x v="44"/>
    <s v="Electric Generators, Independent Power Producers"/>
    <x v="12"/>
    <n v="5811628"/>
  </r>
  <r>
    <x v="28"/>
    <x v="44"/>
    <s v="Electric Generators, Independent Power Producers"/>
    <x v="4"/>
    <n v="4935044"/>
  </r>
  <r>
    <x v="28"/>
    <x v="44"/>
    <s v="Electric Generators, Independent Power Producers"/>
    <x v="13"/>
    <n v="58331322"/>
  </r>
  <r>
    <x v="28"/>
    <x v="44"/>
    <s v="Electric Generators, Independent Power Producers"/>
    <x v="8"/>
    <n v="15217308"/>
  </r>
  <r>
    <x v="28"/>
    <x v="44"/>
    <s v="Electric Generators, Independent Power Producers"/>
    <x v="5"/>
    <n v="233930512"/>
  </r>
  <r>
    <x v="28"/>
    <x v="44"/>
    <s v="Electric Generators, Independent Power Producers"/>
    <x v="6"/>
    <n v="7922916"/>
  </r>
  <r>
    <x v="28"/>
    <x v="44"/>
    <s v="Electric Generators, Electric Utilities"/>
    <x v="0"/>
    <n v="2337249543"/>
  </r>
  <r>
    <x v="28"/>
    <x v="44"/>
    <s v="Electric Generators, Electric Utilities"/>
    <x v="1"/>
    <n v="863504531"/>
  </r>
  <r>
    <x v="28"/>
    <x v="44"/>
    <s v="Electric Generators, Electric Utilities"/>
    <x v="11"/>
    <n v="1009281"/>
  </r>
  <r>
    <x v="28"/>
    <x v="44"/>
    <s v="Electric Generators, Electric Utilities"/>
    <x v="10"/>
    <n v="-4785084"/>
  </r>
  <r>
    <x v="28"/>
    <x v="44"/>
    <s v="Electric Generators, Electric Utilities"/>
    <x v="2"/>
    <n v="267336070"/>
  </r>
  <r>
    <x v="28"/>
    <x v="44"/>
    <s v="Electric Generators, Electric Utilities"/>
    <x v="3"/>
    <n v="720205867"/>
  </r>
  <r>
    <x v="28"/>
    <x v="44"/>
    <s v="Electric Generators, Electric Utilities"/>
    <x v="7"/>
    <n v="424251200"/>
  </r>
  <r>
    <x v="28"/>
    <x v="44"/>
    <s v="Electric Generators, Electric Utilities"/>
    <x v="9"/>
    <n v="151018"/>
  </r>
  <r>
    <x v="28"/>
    <x v="44"/>
    <s v="Electric Generators, Electric Utilities"/>
    <x v="12"/>
    <n v="561490"/>
  </r>
  <r>
    <x v="28"/>
    <x v="44"/>
    <s v="Electric Generators, Electric Utilities"/>
    <x v="4"/>
    <n v="16924691"/>
  </r>
  <r>
    <x v="28"/>
    <x v="44"/>
    <s v="Electric Generators, Electric Utilities"/>
    <x v="13"/>
    <n v="4916120"/>
  </r>
  <r>
    <x v="28"/>
    <x v="44"/>
    <s v="Electric Generators, Electric Utilities"/>
    <x v="8"/>
    <n v="1344277"/>
  </r>
  <r>
    <x v="28"/>
    <x v="44"/>
    <s v="Electric Generators, Electric Utilities"/>
    <x v="5"/>
    <n v="38465916"/>
  </r>
  <r>
    <x v="28"/>
    <x v="44"/>
    <s v="Electric Generators, Electric Utilities"/>
    <x v="6"/>
    <n v="3364166"/>
  </r>
  <r>
    <x v="28"/>
    <x v="45"/>
    <s v="Total Electric Power Industry"/>
    <x v="0"/>
    <n v="39375424"/>
  </r>
  <r>
    <x v="28"/>
    <x v="45"/>
    <s v="Total Electric Power Industry"/>
    <x v="1"/>
    <n v="25912474"/>
  </r>
  <r>
    <x v="28"/>
    <x v="45"/>
    <s v="Total Electric Power Industry"/>
    <x v="11"/>
    <n v="445737"/>
  </r>
  <r>
    <x v="28"/>
    <x v="45"/>
    <s v="Total Electric Power Industry"/>
    <x v="2"/>
    <n v="927097"/>
  </r>
  <r>
    <x v="28"/>
    <x v="45"/>
    <s v="Total Electric Power Industry"/>
    <x v="3"/>
    <n v="8724119"/>
  </r>
  <r>
    <x v="28"/>
    <x v="45"/>
    <s v="Total Electric Power Industry"/>
    <x v="9"/>
    <n v="6559"/>
  </r>
  <r>
    <x v="28"/>
    <x v="45"/>
    <s v="Total Electric Power Industry"/>
    <x v="12"/>
    <n v="225143"/>
  </r>
  <r>
    <x v="28"/>
    <x v="45"/>
    <s v="Total Electric Power Industry"/>
    <x v="4"/>
    <n v="36574"/>
  </r>
  <r>
    <x v="28"/>
    <x v="45"/>
    <s v="Total Electric Power Industry"/>
    <x v="13"/>
    <n v="2223706"/>
  </r>
  <r>
    <x v="28"/>
    <x v="45"/>
    <s v="Total Electric Power Industry"/>
    <x v="8"/>
    <n v="79460"/>
  </r>
  <r>
    <x v="28"/>
    <x v="45"/>
    <s v="Total Electric Power Industry"/>
    <x v="5"/>
    <n v="794555"/>
  </r>
  <r>
    <x v="28"/>
    <x v="45"/>
    <s v="Combined Heat and Power, Industrial Power"/>
    <x v="0"/>
    <n v="592382"/>
  </r>
  <r>
    <x v="28"/>
    <x v="45"/>
    <s v="Combined Heat and Power, Industrial Power"/>
    <x v="1"/>
    <n v="0"/>
  </r>
  <r>
    <x v="28"/>
    <x v="45"/>
    <s v="Combined Heat and Power, Industrial Power"/>
    <x v="3"/>
    <n v="413784"/>
  </r>
  <r>
    <x v="28"/>
    <x v="45"/>
    <s v="Combined Heat and Power, Industrial Power"/>
    <x v="9"/>
    <n v="6559"/>
  </r>
  <r>
    <x v="28"/>
    <x v="45"/>
    <s v="Combined Heat and Power, Industrial Power"/>
    <x v="12"/>
    <n v="172039"/>
  </r>
  <r>
    <x v="28"/>
    <x v="45"/>
    <s v="Combined Heat and Power, Industrial Power"/>
    <x v="4"/>
    <n v="0"/>
  </r>
  <r>
    <x v="28"/>
    <x v="45"/>
    <s v="Combined Heat and Power, Commercial Power"/>
    <x v="0"/>
    <n v="79088"/>
  </r>
  <r>
    <x v="28"/>
    <x v="45"/>
    <s v="Combined Heat and Power, Commercial Power"/>
    <x v="3"/>
    <n v="65370"/>
  </r>
  <r>
    <x v="28"/>
    <x v="45"/>
    <s v="Combined Heat and Power, Commercial Power"/>
    <x v="4"/>
    <n v="0"/>
  </r>
  <r>
    <x v="28"/>
    <x v="45"/>
    <s v="Combined Heat and Power, Commercial Power"/>
    <x v="8"/>
    <n v="13718"/>
  </r>
  <r>
    <x v="28"/>
    <x v="45"/>
    <s v="Electric Generators, Independent Power Producers"/>
    <x v="0"/>
    <n v="3803049"/>
  </r>
  <r>
    <x v="28"/>
    <x v="45"/>
    <s v="Electric Generators, Independent Power Producers"/>
    <x v="1"/>
    <n v="411786"/>
  </r>
  <r>
    <x v="28"/>
    <x v="45"/>
    <s v="Electric Generators, Independent Power Producers"/>
    <x v="11"/>
    <n v="222686"/>
  </r>
  <r>
    <x v="28"/>
    <x v="45"/>
    <s v="Electric Generators, Independent Power Producers"/>
    <x v="2"/>
    <n v="8241"/>
  </r>
  <r>
    <x v="28"/>
    <x v="45"/>
    <s v="Electric Generators, Independent Power Producers"/>
    <x v="3"/>
    <n v="75228"/>
  </r>
  <r>
    <x v="28"/>
    <x v="45"/>
    <s v="Electric Generators, Independent Power Producers"/>
    <x v="4"/>
    <n v="1105"/>
  </r>
  <r>
    <x v="28"/>
    <x v="45"/>
    <s v="Electric Generators, Independent Power Producers"/>
    <x v="13"/>
    <n v="2223706"/>
  </r>
  <r>
    <x v="28"/>
    <x v="45"/>
    <s v="Electric Generators, Independent Power Producers"/>
    <x v="8"/>
    <n v="65742"/>
  </r>
  <r>
    <x v="28"/>
    <x v="45"/>
    <s v="Electric Generators, Independent Power Producers"/>
    <x v="5"/>
    <n v="794555"/>
  </r>
  <r>
    <x v="28"/>
    <x v="45"/>
    <s v="Electric Generators, Electric Utilities"/>
    <x v="0"/>
    <n v="34900905"/>
  </r>
  <r>
    <x v="28"/>
    <x v="45"/>
    <s v="Electric Generators, Electric Utilities"/>
    <x v="1"/>
    <n v="25500688"/>
  </r>
  <r>
    <x v="28"/>
    <x v="45"/>
    <s v="Electric Generators, Electric Utilities"/>
    <x v="11"/>
    <n v="223051"/>
  </r>
  <r>
    <x v="28"/>
    <x v="45"/>
    <s v="Electric Generators, Electric Utilities"/>
    <x v="2"/>
    <n v="918856"/>
  </r>
  <r>
    <x v="28"/>
    <x v="45"/>
    <s v="Electric Generators, Electric Utilities"/>
    <x v="3"/>
    <n v="8169737"/>
  </r>
  <r>
    <x v="28"/>
    <x v="45"/>
    <s v="Electric Generators, Electric Utilities"/>
    <x v="12"/>
    <n v="53104"/>
  </r>
  <r>
    <x v="28"/>
    <x v="45"/>
    <s v="Electric Generators, Electric Utilities"/>
    <x v="4"/>
    <n v="35468"/>
  </r>
  <r>
    <x v="28"/>
    <x v="46"/>
    <s v="Total Electric Power Industry"/>
    <x v="0"/>
    <n v="95509121"/>
  </r>
  <r>
    <x v="28"/>
    <x v="46"/>
    <s v="Total Electric Power Industry"/>
    <x v="1"/>
    <n v="9266276"/>
  </r>
  <r>
    <x v="28"/>
    <x v="46"/>
    <s v="Total Electric Power Industry"/>
    <x v="10"/>
    <n v="-1291976"/>
  </r>
  <r>
    <x v="28"/>
    <x v="46"/>
    <s v="Total Electric Power Industry"/>
    <x v="2"/>
    <n v="1764860"/>
  </r>
  <r>
    <x v="28"/>
    <x v="46"/>
    <s v="Total Electric Power Industry"/>
    <x v="3"/>
    <n v="50160301"/>
  </r>
  <r>
    <x v="28"/>
    <x v="46"/>
    <s v="Total Electric Power Industry"/>
    <x v="7"/>
    <n v="29251668"/>
  </r>
  <r>
    <x v="28"/>
    <x v="46"/>
    <s v="Total Electric Power Industry"/>
    <x v="12"/>
    <n v="471227"/>
  </r>
  <r>
    <x v="28"/>
    <x v="46"/>
    <s v="Total Electric Power Industry"/>
    <x v="4"/>
    <n v="950411"/>
  </r>
  <r>
    <x v="28"/>
    <x v="46"/>
    <s v="Total Electric Power Industry"/>
    <x v="13"/>
    <n v="763072"/>
  </r>
  <r>
    <x v="28"/>
    <x v="46"/>
    <s v="Total Electric Power Industry"/>
    <x v="8"/>
    <n v="1172015"/>
  </r>
  <r>
    <x v="28"/>
    <x v="46"/>
    <s v="Total Electric Power Industry"/>
    <x v="6"/>
    <n v="3001267"/>
  </r>
  <r>
    <x v="28"/>
    <x v="46"/>
    <s v="Combined Heat and Power, Industrial Power"/>
    <x v="0"/>
    <n v="2484416"/>
  </r>
  <r>
    <x v="28"/>
    <x v="46"/>
    <s v="Combined Heat and Power, Industrial Power"/>
    <x v="1"/>
    <n v="182256"/>
  </r>
  <r>
    <x v="28"/>
    <x v="46"/>
    <s v="Combined Heat and Power, Industrial Power"/>
    <x v="2"/>
    <n v="172"/>
  </r>
  <r>
    <x v="28"/>
    <x v="46"/>
    <s v="Combined Heat and Power, Industrial Power"/>
    <x v="3"/>
    <n v="743973"/>
  </r>
  <r>
    <x v="28"/>
    <x v="46"/>
    <s v="Combined Heat and Power, Industrial Power"/>
    <x v="4"/>
    <n v="3691"/>
  </r>
  <r>
    <x v="28"/>
    <x v="46"/>
    <s v="Combined Heat and Power, Industrial Power"/>
    <x v="8"/>
    <n v="17432"/>
  </r>
  <r>
    <x v="28"/>
    <x v="46"/>
    <s v="Combined Heat and Power, Industrial Power"/>
    <x v="6"/>
    <n v="1536891"/>
  </r>
  <r>
    <x v="28"/>
    <x v="46"/>
    <s v="Combined Heat and Power, Commercial Power"/>
    <x v="0"/>
    <n v="381651"/>
  </r>
  <r>
    <x v="28"/>
    <x v="46"/>
    <s v="Combined Heat and Power, Commercial Power"/>
    <x v="1"/>
    <n v="6235"/>
  </r>
  <r>
    <x v="28"/>
    <x v="46"/>
    <s v="Combined Heat and Power, Commercial Power"/>
    <x v="3"/>
    <n v="15536"/>
  </r>
  <r>
    <x v="28"/>
    <x v="46"/>
    <s v="Combined Heat and Power, Commercial Power"/>
    <x v="12"/>
    <n v="148508"/>
  </r>
  <r>
    <x v="28"/>
    <x v="46"/>
    <s v="Combined Heat and Power, Commercial Power"/>
    <x v="4"/>
    <n v="47081"/>
  </r>
  <r>
    <x v="28"/>
    <x v="46"/>
    <s v="Combined Heat and Power, Commercial Power"/>
    <x v="8"/>
    <n v="164291"/>
  </r>
  <r>
    <x v="28"/>
    <x v="46"/>
    <s v="Combined Heat and Power, Commercial Power"/>
    <x v="6"/>
    <n v="0"/>
  </r>
  <r>
    <x v="28"/>
    <x v="46"/>
    <s v="Combined Heat and Power, Electric Power"/>
    <x v="0"/>
    <n v="1517249"/>
  </r>
  <r>
    <x v="28"/>
    <x v="46"/>
    <s v="Combined Heat and Power, Electric Power"/>
    <x v="1"/>
    <n v="83162"/>
  </r>
  <r>
    <x v="28"/>
    <x v="46"/>
    <s v="Combined Heat and Power, Electric Power"/>
    <x v="3"/>
    <n v="1390911"/>
  </r>
  <r>
    <x v="28"/>
    <x v="46"/>
    <s v="Combined Heat and Power, Electric Power"/>
    <x v="4"/>
    <n v="43176"/>
  </r>
  <r>
    <x v="28"/>
    <x v="46"/>
    <s v="Electric Generators, Independent Power Producers"/>
    <x v="0"/>
    <n v="18747217"/>
  </r>
  <r>
    <x v="28"/>
    <x v="46"/>
    <s v="Electric Generators, Independent Power Producers"/>
    <x v="1"/>
    <n v="541836"/>
  </r>
  <r>
    <x v="28"/>
    <x v="46"/>
    <s v="Electric Generators, Independent Power Producers"/>
    <x v="2"/>
    <n v="68430"/>
  </r>
  <r>
    <x v="28"/>
    <x v="46"/>
    <s v="Electric Generators, Independent Power Producers"/>
    <x v="3"/>
    <n v="15780620"/>
  </r>
  <r>
    <x v="28"/>
    <x v="46"/>
    <s v="Electric Generators, Independent Power Producers"/>
    <x v="12"/>
    <n v="322719"/>
  </r>
  <r>
    <x v="28"/>
    <x v="46"/>
    <s v="Electric Generators, Independent Power Producers"/>
    <x v="4"/>
    <n v="164157"/>
  </r>
  <r>
    <x v="28"/>
    <x v="46"/>
    <s v="Electric Generators, Independent Power Producers"/>
    <x v="13"/>
    <n v="621705"/>
  </r>
  <r>
    <x v="28"/>
    <x v="46"/>
    <s v="Electric Generators, Independent Power Producers"/>
    <x v="8"/>
    <n v="987592"/>
  </r>
  <r>
    <x v="28"/>
    <x v="46"/>
    <s v="Electric Generators, Independent Power Producers"/>
    <x v="6"/>
    <n v="260158"/>
  </r>
  <r>
    <x v="28"/>
    <x v="46"/>
    <s v="Electric Generators, Electric Utilities"/>
    <x v="0"/>
    <n v="72378588"/>
  </r>
  <r>
    <x v="28"/>
    <x v="46"/>
    <s v="Electric Generators, Electric Utilities"/>
    <x v="1"/>
    <n v="8452786"/>
  </r>
  <r>
    <x v="28"/>
    <x v="46"/>
    <s v="Electric Generators, Electric Utilities"/>
    <x v="10"/>
    <n v="-1291976"/>
  </r>
  <r>
    <x v="28"/>
    <x v="46"/>
    <s v="Electric Generators, Electric Utilities"/>
    <x v="2"/>
    <n v="1696258"/>
  </r>
  <r>
    <x v="28"/>
    <x v="46"/>
    <s v="Electric Generators, Electric Utilities"/>
    <x v="3"/>
    <n v="32229260"/>
  </r>
  <r>
    <x v="28"/>
    <x v="46"/>
    <s v="Electric Generators, Electric Utilities"/>
    <x v="7"/>
    <n v="29251668"/>
  </r>
  <r>
    <x v="28"/>
    <x v="46"/>
    <s v="Electric Generators, Electric Utilities"/>
    <x v="4"/>
    <n v="692307"/>
  </r>
  <r>
    <x v="28"/>
    <x v="46"/>
    <s v="Electric Generators, Electric Utilities"/>
    <x v="13"/>
    <n v="141367"/>
  </r>
  <r>
    <x v="28"/>
    <x v="46"/>
    <s v="Electric Generators, Electric Utilities"/>
    <x v="8"/>
    <n v="2700"/>
  </r>
  <r>
    <x v="28"/>
    <x v="46"/>
    <s v="Electric Generators, Electric Utilities"/>
    <x v="6"/>
    <n v="1204218"/>
  </r>
  <r>
    <x v="28"/>
    <x v="47"/>
    <s v="Total Electric Power Industry"/>
    <x v="0"/>
    <n v="2178915"/>
  </r>
  <r>
    <x v="28"/>
    <x v="47"/>
    <s v="Total Electric Power Industry"/>
    <x v="2"/>
    <n v="1268189"/>
  </r>
  <r>
    <x v="28"/>
    <x v="47"/>
    <s v="Total Electric Power Industry"/>
    <x v="3"/>
    <n v="1797"/>
  </r>
  <r>
    <x v="28"/>
    <x v="47"/>
    <s v="Total Electric Power Industry"/>
    <x v="12"/>
    <n v="-296"/>
  </r>
  <r>
    <x v="28"/>
    <x v="47"/>
    <s v="Total Electric Power Industry"/>
    <x v="4"/>
    <n v="3132"/>
  </r>
  <r>
    <x v="28"/>
    <x v="47"/>
    <s v="Total Electric Power Industry"/>
    <x v="13"/>
    <n v="106740"/>
  </r>
  <r>
    <x v="28"/>
    <x v="47"/>
    <s v="Total Electric Power Industry"/>
    <x v="8"/>
    <n v="12053"/>
  </r>
  <r>
    <x v="28"/>
    <x v="47"/>
    <s v="Total Electric Power Industry"/>
    <x v="5"/>
    <n v="373346"/>
  </r>
  <r>
    <x v="28"/>
    <x v="47"/>
    <s v="Total Electric Power Industry"/>
    <x v="6"/>
    <n v="413955"/>
  </r>
  <r>
    <x v="28"/>
    <x v="47"/>
    <s v="Combined Heat and Power, Commercial Power"/>
    <x v="0"/>
    <n v="3444"/>
  </r>
  <r>
    <x v="28"/>
    <x v="47"/>
    <s v="Combined Heat and Power, Commercial Power"/>
    <x v="3"/>
    <n v="1051"/>
  </r>
  <r>
    <x v="28"/>
    <x v="47"/>
    <s v="Combined Heat and Power, Commercial Power"/>
    <x v="4"/>
    <n v="96"/>
  </r>
  <r>
    <x v="28"/>
    <x v="47"/>
    <s v="Combined Heat and Power, Commercial Power"/>
    <x v="6"/>
    <n v="2298"/>
  </r>
  <r>
    <x v="28"/>
    <x v="47"/>
    <s v="Electric Generators, Independent Power Producers"/>
    <x v="0"/>
    <n v="1319953"/>
  </r>
  <r>
    <x v="28"/>
    <x v="47"/>
    <s v="Electric Generators, Independent Power Producers"/>
    <x v="2"/>
    <n v="870277"/>
  </r>
  <r>
    <x v="28"/>
    <x v="47"/>
    <s v="Electric Generators, Independent Power Producers"/>
    <x v="13"/>
    <n v="70178"/>
  </r>
  <r>
    <x v="28"/>
    <x v="47"/>
    <s v="Electric Generators, Independent Power Producers"/>
    <x v="8"/>
    <n v="12053"/>
  </r>
  <r>
    <x v="28"/>
    <x v="47"/>
    <s v="Electric Generators, Independent Power Producers"/>
    <x v="5"/>
    <n v="200543"/>
  </r>
  <r>
    <x v="28"/>
    <x v="47"/>
    <s v="Electric Generators, Independent Power Producers"/>
    <x v="6"/>
    <n v="166902"/>
  </r>
  <r>
    <x v="28"/>
    <x v="47"/>
    <s v="Electric Generators, Electric Utilities"/>
    <x v="0"/>
    <n v="855518"/>
  </r>
  <r>
    <x v="28"/>
    <x v="47"/>
    <s v="Electric Generators, Electric Utilities"/>
    <x v="2"/>
    <n v="397912"/>
  </r>
  <r>
    <x v="28"/>
    <x v="47"/>
    <s v="Electric Generators, Electric Utilities"/>
    <x v="3"/>
    <n v="746"/>
  </r>
  <r>
    <x v="28"/>
    <x v="47"/>
    <s v="Electric Generators, Electric Utilities"/>
    <x v="12"/>
    <n v="-296"/>
  </r>
  <r>
    <x v="28"/>
    <x v="47"/>
    <s v="Electric Generators, Electric Utilities"/>
    <x v="4"/>
    <n v="3036"/>
  </r>
  <r>
    <x v="28"/>
    <x v="47"/>
    <s v="Electric Generators, Electric Utilities"/>
    <x v="13"/>
    <n v="36562"/>
  </r>
  <r>
    <x v="28"/>
    <x v="47"/>
    <s v="Electric Generators, Electric Utilities"/>
    <x v="8"/>
    <n v="0"/>
  </r>
  <r>
    <x v="28"/>
    <x v="47"/>
    <s v="Electric Generators, Electric Utilities"/>
    <x v="5"/>
    <n v="172803"/>
  </r>
  <r>
    <x v="28"/>
    <x v="47"/>
    <s v="Electric Generators, Electric Utilities"/>
    <x v="6"/>
    <n v="244755"/>
  </r>
  <r>
    <x v="28"/>
    <x v="48"/>
    <s v="Total Electric Power Industry"/>
    <x v="0"/>
    <n v="116756729"/>
  </r>
  <r>
    <x v="28"/>
    <x v="48"/>
    <s v="Total Electric Power Industry"/>
    <x v="1"/>
    <n v="5382866"/>
  </r>
  <r>
    <x v="28"/>
    <x v="48"/>
    <s v="Total Electric Power Industry"/>
    <x v="10"/>
    <n v="28237"/>
  </r>
  <r>
    <x v="28"/>
    <x v="48"/>
    <s v="Total Electric Power Industry"/>
    <x v="2"/>
    <n v="80883377"/>
  </r>
  <r>
    <x v="28"/>
    <x v="48"/>
    <s v="Total Electric Power Industry"/>
    <x v="3"/>
    <n v="10535078"/>
  </r>
  <r>
    <x v="28"/>
    <x v="48"/>
    <s v="Total Electric Power Industry"/>
    <x v="7"/>
    <n v="9708441"/>
  </r>
  <r>
    <x v="28"/>
    <x v="48"/>
    <s v="Total Electric Power Industry"/>
    <x v="9"/>
    <n v="430840"/>
  </r>
  <r>
    <x v="28"/>
    <x v="48"/>
    <s v="Total Electric Power Industry"/>
    <x v="12"/>
    <n v="59265"/>
  </r>
  <r>
    <x v="28"/>
    <x v="48"/>
    <s v="Total Electric Power Industry"/>
    <x v="4"/>
    <n v="23656"/>
  </r>
  <r>
    <x v="28"/>
    <x v="48"/>
    <s v="Total Electric Power Industry"/>
    <x v="13"/>
    <n v="1695"/>
  </r>
  <r>
    <x v="28"/>
    <x v="48"/>
    <s v="Total Electric Power Industry"/>
    <x v="8"/>
    <n v="231707"/>
  </r>
  <r>
    <x v="28"/>
    <x v="48"/>
    <s v="Total Electric Power Industry"/>
    <x v="5"/>
    <n v="7900094"/>
  </r>
  <r>
    <x v="28"/>
    <x v="48"/>
    <s v="Total Electric Power Industry"/>
    <x v="6"/>
    <n v="1571472"/>
  </r>
  <r>
    <x v="28"/>
    <x v="48"/>
    <s v="Combined Heat and Power, Industrial Power"/>
    <x v="0"/>
    <n v="1362985"/>
  </r>
  <r>
    <x v="28"/>
    <x v="48"/>
    <s v="Combined Heat and Power, Industrial Power"/>
    <x v="1"/>
    <n v="23601"/>
  </r>
  <r>
    <x v="28"/>
    <x v="48"/>
    <s v="Combined Heat and Power, Industrial Power"/>
    <x v="3"/>
    <n v="85095"/>
  </r>
  <r>
    <x v="28"/>
    <x v="48"/>
    <s v="Combined Heat and Power, Industrial Power"/>
    <x v="4"/>
    <n v="8961"/>
  </r>
  <r>
    <x v="28"/>
    <x v="48"/>
    <s v="Combined Heat and Power, Industrial Power"/>
    <x v="8"/>
    <n v="10543"/>
  </r>
  <r>
    <x v="28"/>
    <x v="48"/>
    <s v="Combined Heat and Power, Industrial Power"/>
    <x v="6"/>
    <n v="1234785"/>
  </r>
  <r>
    <x v="28"/>
    <x v="48"/>
    <s v="Combined Heat and Power, Commercial Power"/>
    <x v="0"/>
    <n v="31578"/>
  </r>
  <r>
    <x v="28"/>
    <x v="48"/>
    <s v="Combined Heat and Power, Commercial Power"/>
    <x v="3"/>
    <n v="18828"/>
  </r>
  <r>
    <x v="28"/>
    <x v="48"/>
    <s v="Combined Heat and Power, Commercial Power"/>
    <x v="4"/>
    <n v="246"/>
  </r>
  <r>
    <x v="28"/>
    <x v="48"/>
    <s v="Combined Heat and Power, Commercial Power"/>
    <x v="8"/>
    <n v="12504"/>
  </r>
  <r>
    <x v="28"/>
    <x v="48"/>
    <s v="Combined Heat and Power, Electric Power"/>
    <x v="0"/>
    <n v="899661"/>
  </r>
  <r>
    <x v="28"/>
    <x v="48"/>
    <s v="Combined Heat and Power, Electric Power"/>
    <x v="3"/>
    <n v="468821"/>
  </r>
  <r>
    <x v="28"/>
    <x v="48"/>
    <s v="Combined Heat and Power, Electric Power"/>
    <x v="9"/>
    <n v="430840"/>
  </r>
  <r>
    <x v="28"/>
    <x v="48"/>
    <s v="Combined Heat and Power, Electric Power"/>
    <x v="4"/>
    <n v="0"/>
  </r>
  <r>
    <x v="28"/>
    <x v="48"/>
    <s v="Electric Generators, Independent Power Producers"/>
    <x v="0"/>
    <n v="12824205"/>
  </r>
  <r>
    <x v="28"/>
    <x v="48"/>
    <s v="Electric Generators, Independent Power Producers"/>
    <x v="1"/>
    <n v="5359265"/>
  </r>
  <r>
    <x v="28"/>
    <x v="48"/>
    <s v="Electric Generators, Independent Power Producers"/>
    <x v="2"/>
    <n v="400032"/>
  </r>
  <r>
    <x v="28"/>
    <x v="48"/>
    <s v="Electric Generators, Independent Power Producers"/>
    <x v="3"/>
    <n v="3187874"/>
  </r>
  <r>
    <x v="28"/>
    <x v="48"/>
    <s v="Electric Generators, Independent Power Producers"/>
    <x v="12"/>
    <n v="60409"/>
  </r>
  <r>
    <x v="28"/>
    <x v="48"/>
    <s v="Electric Generators, Independent Power Producers"/>
    <x v="4"/>
    <n v="10117"/>
  </r>
  <r>
    <x v="28"/>
    <x v="48"/>
    <s v="Electric Generators, Independent Power Producers"/>
    <x v="13"/>
    <n v="1207"/>
  </r>
  <r>
    <x v="28"/>
    <x v="48"/>
    <s v="Electric Generators, Independent Power Producers"/>
    <x v="8"/>
    <n v="124308"/>
  </r>
  <r>
    <x v="28"/>
    <x v="48"/>
    <s v="Electric Generators, Independent Power Producers"/>
    <x v="5"/>
    <n v="3680993"/>
  </r>
  <r>
    <x v="28"/>
    <x v="48"/>
    <s v="Electric Generators, Electric Utilities"/>
    <x v="0"/>
    <n v="101638299"/>
  </r>
  <r>
    <x v="28"/>
    <x v="48"/>
    <s v="Electric Generators, Electric Utilities"/>
    <x v="10"/>
    <n v="28237"/>
  </r>
  <r>
    <x v="28"/>
    <x v="48"/>
    <s v="Electric Generators, Electric Utilities"/>
    <x v="2"/>
    <n v="80483345"/>
  </r>
  <r>
    <x v="28"/>
    <x v="48"/>
    <s v="Electric Generators, Electric Utilities"/>
    <x v="3"/>
    <n v="6774460"/>
  </r>
  <r>
    <x v="28"/>
    <x v="48"/>
    <s v="Electric Generators, Electric Utilities"/>
    <x v="7"/>
    <n v="9708441"/>
  </r>
  <r>
    <x v="28"/>
    <x v="48"/>
    <s v="Electric Generators, Electric Utilities"/>
    <x v="12"/>
    <n v="-1144"/>
  </r>
  <r>
    <x v="28"/>
    <x v="48"/>
    <s v="Electric Generators, Electric Utilities"/>
    <x v="4"/>
    <n v="4332"/>
  </r>
  <r>
    <x v="28"/>
    <x v="48"/>
    <s v="Electric Generators, Electric Utilities"/>
    <x v="13"/>
    <n v="488"/>
  </r>
  <r>
    <x v="28"/>
    <x v="48"/>
    <s v="Electric Generators, Electric Utilities"/>
    <x v="8"/>
    <n v="84352"/>
  </r>
  <r>
    <x v="28"/>
    <x v="48"/>
    <s v="Electric Generators, Electric Utilities"/>
    <x v="5"/>
    <n v="4219101"/>
  </r>
  <r>
    <x v="28"/>
    <x v="48"/>
    <s v="Electric Generators, Electric Utilities"/>
    <x v="6"/>
    <n v="336687"/>
  </r>
  <r>
    <x v="28"/>
    <x v="49"/>
    <s v="Total Electric Power Industry"/>
    <x v="0"/>
    <n v="65936803"/>
  </r>
  <r>
    <x v="28"/>
    <x v="49"/>
    <s v="Total Electric Power Industry"/>
    <x v="1"/>
    <n v="33322379"/>
  </r>
  <r>
    <x v="28"/>
    <x v="49"/>
    <s v="Total Electric Power Industry"/>
    <x v="2"/>
    <n v="2392010"/>
  </r>
  <r>
    <x v="28"/>
    <x v="49"/>
    <s v="Total Electric Power Industry"/>
    <x v="3"/>
    <n v="16798656"/>
  </r>
  <r>
    <x v="28"/>
    <x v="49"/>
    <s v="Total Electric Power Industry"/>
    <x v="7"/>
    <n v="10129122"/>
  </r>
  <r>
    <x v="28"/>
    <x v="49"/>
    <s v="Total Electric Power Industry"/>
    <x v="12"/>
    <n v="42631"/>
  </r>
  <r>
    <x v="28"/>
    <x v="49"/>
    <s v="Total Electric Power Industry"/>
    <x v="4"/>
    <n v="137511"/>
  </r>
  <r>
    <x v="28"/>
    <x v="49"/>
    <s v="Total Electric Power Industry"/>
    <x v="13"/>
    <n v="39682"/>
  </r>
  <r>
    <x v="28"/>
    <x v="49"/>
    <s v="Total Electric Power Industry"/>
    <x v="8"/>
    <n v="554039"/>
  </r>
  <r>
    <x v="28"/>
    <x v="49"/>
    <s v="Total Electric Power Industry"/>
    <x v="5"/>
    <n v="1637658"/>
  </r>
  <r>
    <x v="28"/>
    <x v="49"/>
    <s v="Total Electric Power Industry"/>
    <x v="6"/>
    <n v="883115"/>
  </r>
  <r>
    <x v="28"/>
    <x v="49"/>
    <s v="Combined Heat and Power, Industrial Power"/>
    <x v="0"/>
    <n v="1795718"/>
  </r>
  <r>
    <x v="28"/>
    <x v="49"/>
    <s v="Combined Heat and Power, Industrial Power"/>
    <x v="1"/>
    <n v="388886"/>
  </r>
  <r>
    <x v="28"/>
    <x v="49"/>
    <s v="Combined Heat and Power, Industrial Power"/>
    <x v="2"/>
    <n v="141008"/>
  </r>
  <r>
    <x v="28"/>
    <x v="49"/>
    <s v="Combined Heat and Power, Industrial Power"/>
    <x v="3"/>
    <n v="656207"/>
  </r>
  <r>
    <x v="28"/>
    <x v="49"/>
    <s v="Combined Heat and Power, Industrial Power"/>
    <x v="12"/>
    <n v="25566"/>
  </r>
  <r>
    <x v="28"/>
    <x v="49"/>
    <s v="Combined Heat and Power, Industrial Power"/>
    <x v="4"/>
    <n v="558"/>
  </r>
  <r>
    <x v="28"/>
    <x v="49"/>
    <s v="Combined Heat and Power, Industrial Power"/>
    <x v="8"/>
    <n v="34364"/>
  </r>
  <r>
    <x v="28"/>
    <x v="49"/>
    <s v="Combined Heat and Power, Industrial Power"/>
    <x v="5"/>
    <n v="6830"/>
  </r>
  <r>
    <x v="28"/>
    <x v="49"/>
    <s v="Combined Heat and Power, Industrial Power"/>
    <x v="6"/>
    <n v="542298"/>
  </r>
  <r>
    <x v="28"/>
    <x v="49"/>
    <s v="Combined Heat and Power, Commercial Power"/>
    <x v="0"/>
    <n v="144573"/>
  </r>
  <r>
    <x v="28"/>
    <x v="49"/>
    <s v="Combined Heat and Power, Commercial Power"/>
    <x v="1"/>
    <n v="0"/>
  </r>
  <r>
    <x v="28"/>
    <x v="49"/>
    <s v="Combined Heat and Power, Commercial Power"/>
    <x v="3"/>
    <n v="74965"/>
  </r>
  <r>
    <x v="28"/>
    <x v="49"/>
    <s v="Combined Heat and Power, Commercial Power"/>
    <x v="4"/>
    <n v="192"/>
  </r>
  <r>
    <x v="28"/>
    <x v="49"/>
    <s v="Combined Heat and Power, Commercial Power"/>
    <x v="13"/>
    <n v="4998"/>
  </r>
  <r>
    <x v="28"/>
    <x v="49"/>
    <s v="Combined Heat and Power, Commercial Power"/>
    <x v="8"/>
    <n v="44821"/>
  </r>
  <r>
    <x v="28"/>
    <x v="49"/>
    <s v="Combined Heat and Power, Commercial Power"/>
    <x v="5"/>
    <n v="19597"/>
  </r>
  <r>
    <x v="28"/>
    <x v="49"/>
    <s v="Combined Heat and Power, Commercial Power"/>
    <x v="6"/>
    <n v="0"/>
  </r>
  <r>
    <x v="28"/>
    <x v="49"/>
    <s v="Combined Heat and Power, Electric Power"/>
    <x v="0"/>
    <n v="867925"/>
  </r>
  <r>
    <x v="28"/>
    <x v="49"/>
    <s v="Combined Heat and Power, Electric Power"/>
    <x v="3"/>
    <n v="752133"/>
  </r>
  <r>
    <x v="28"/>
    <x v="49"/>
    <s v="Combined Heat and Power, Electric Power"/>
    <x v="4"/>
    <n v="925"/>
  </r>
  <r>
    <x v="28"/>
    <x v="49"/>
    <s v="Combined Heat and Power, Electric Power"/>
    <x v="8"/>
    <n v="114866"/>
  </r>
  <r>
    <x v="28"/>
    <x v="49"/>
    <s v="Electric Generators, Independent Power Producers"/>
    <x v="0"/>
    <n v="11834360"/>
  </r>
  <r>
    <x v="28"/>
    <x v="49"/>
    <s v="Electric Generators, Independent Power Producers"/>
    <x v="2"/>
    <n v="134549"/>
  </r>
  <r>
    <x v="28"/>
    <x v="49"/>
    <s v="Electric Generators, Independent Power Producers"/>
    <x v="3"/>
    <n v="454618"/>
  </r>
  <r>
    <x v="28"/>
    <x v="49"/>
    <s v="Electric Generators, Independent Power Producers"/>
    <x v="7"/>
    <n v="10129122"/>
  </r>
  <r>
    <x v="28"/>
    <x v="49"/>
    <s v="Electric Generators, Independent Power Producers"/>
    <x v="4"/>
    <n v="-145"/>
  </r>
  <r>
    <x v="28"/>
    <x v="49"/>
    <s v="Electric Generators, Independent Power Producers"/>
    <x v="13"/>
    <n v="34684"/>
  </r>
  <r>
    <x v="28"/>
    <x v="49"/>
    <s v="Electric Generators, Independent Power Producers"/>
    <x v="8"/>
    <n v="348351"/>
  </r>
  <r>
    <x v="28"/>
    <x v="49"/>
    <s v="Electric Generators, Independent Power Producers"/>
    <x v="5"/>
    <n v="733181"/>
  </r>
  <r>
    <x v="28"/>
    <x v="49"/>
    <s v="Electric Generators, Electric Utilities"/>
    <x v="0"/>
    <n v="51294228"/>
  </r>
  <r>
    <x v="28"/>
    <x v="49"/>
    <s v="Electric Generators, Electric Utilities"/>
    <x v="1"/>
    <n v="32933494"/>
  </r>
  <r>
    <x v="28"/>
    <x v="49"/>
    <s v="Electric Generators, Electric Utilities"/>
    <x v="2"/>
    <n v="2116452"/>
  </r>
  <r>
    <x v="28"/>
    <x v="49"/>
    <s v="Electric Generators, Electric Utilities"/>
    <x v="3"/>
    <n v="14860732"/>
  </r>
  <r>
    <x v="28"/>
    <x v="49"/>
    <s v="Electric Generators, Electric Utilities"/>
    <x v="12"/>
    <n v="17065"/>
  </r>
  <r>
    <x v="28"/>
    <x v="49"/>
    <s v="Electric Generators, Electric Utilities"/>
    <x v="4"/>
    <n v="135981"/>
  </r>
  <r>
    <x v="28"/>
    <x v="49"/>
    <s v="Electric Generators, Electric Utilities"/>
    <x v="8"/>
    <n v="11637"/>
  </r>
  <r>
    <x v="28"/>
    <x v="49"/>
    <s v="Electric Generators, Electric Utilities"/>
    <x v="5"/>
    <n v="878050"/>
  </r>
  <r>
    <x v="28"/>
    <x v="49"/>
    <s v="Electric Generators, Electric Utilities"/>
    <x v="6"/>
    <n v="340817"/>
  </r>
  <r>
    <x v="28"/>
    <x v="50"/>
    <s v="Total Electric Power Industry"/>
    <x v="0"/>
    <n v="67249025"/>
  </r>
  <r>
    <x v="28"/>
    <x v="50"/>
    <s v="Total Electric Power Industry"/>
    <x v="1"/>
    <n v="62038835"/>
  </r>
  <r>
    <x v="28"/>
    <x v="50"/>
    <s v="Total Electric Power Industry"/>
    <x v="2"/>
    <n v="1847643"/>
  </r>
  <r>
    <x v="28"/>
    <x v="50"/>
    <s v="Total Electric Power Industry"/>
    <x v="3"/>
    <n v="1420390"/>
  </r>
  <r>
    <x v="28"/>
    <x v="50"/>
    <s v="Total Electric Power Industry"/>
    <x v="9"/>
    <n v="24845"/>
  </r>
  <r>
    <x v="28"/>
    <x v="50"/>
    <s v="Total Electric Power Industry"/>
    <x v="12"/>
    <n v="-11558"/>
  </r>
  <r>
    <x v="28"/>
    <x v="50"/>
    <s v="Total Electric Power Industry"/>
    <x v="4"/>
    <n v="158885"/>
  </r>
  <r>
    <x v="28"/>
    <x v="50"/>
    <s v="Total Electric Power Industry"/>
    <x v="5"/>
    <n v="1769984"/>
  </r>
  <r>
    <x v="28"/>
    <x v="50"/>
    <s v="Combined Heat and Power, Industrial Power"/>
    <x v="0"/>
    <n v="1064994"/>
  </r>
  <r>
    <x v="28"/>
    <x v="50"/>
    <s v="Combined Heat and Power, Industrial Power"/>
    <x v="2"/>
    <n v="687762"/>
  </r>
  <r>
    <x v="28"/>
    <x v="50"/>
    <s v="Combined Heat and Power, Industrial Power"/>
    <x v="3"/>
    <n v="352387"/>
  </r>
  <r>
    <x v="28"/>
    <x v="50"/>
    <s v="Combined Heat and Power, Industrial Power"/>
    <x v="9"/>
    <n v="24845"/>
  </r>
  <r>
    <x v="28"/>
    <x v="50"/>
    <s v="Combined Heat and Power, Electric Power"/>
    <x v="0"/>
    <n v="385266"/>
  </r>
  <r>
    <x v="28"/>
    <x v="50"/>
    <s v="Combined Heat and Power, Electric Power"/>
    <x v="1"/>
    <n v="384661"/>
  </r>
  <r>
    <x v="28"/>
    <x v="50"/>
    <s v="Combined Heat and Power, Electric Power"/>
    <x v="3"/>
    <n v="605"/>
  </r>
  <r>
    <x v="28"/>
    <x v="50"/>
    <s v="Electric Generators, Independent Power Producers"/>
    <x v="0"/>
    <n v="15999729"/>
  </r>
  <r>
    <x v="28"/>
    <x v="50"/>
    <s v="Electric Generators, Independent Power Producers"/>
    <x v="1"/>
    <n v="12826719"/>
  </r>
  <r>
    <x v="28"/>
    <x v="50"/>
    <s v="Electric Generators, Independent Power Producers"/>
    <x v="2"/>
    <n v="507254"/>
  </r>
  <r>
    <x v="28"/>
    <x v="50"/>
    <s v="Electric Generators, Independent Power Producers"/>
    <x v="3"/>
    <n v="893453"/>
  </r>
  <r>
    <x v="28"/>
    <x v="50"/>
    <s v="Electric Generators, Independent Power Producers"/>
    <x v="12"/>
    <n v="-11348"/>
  </r>
  <r>
    <x v="28"/>
    <x v="50"/>
    <s v="Electric Generators, Independent Power Producers"/>
    <x v="4"/>
    <n v="13667"/>
  </r>
  <r>
    <x v="28"/>
    <x v="50"/>
    <s v="Electric Generators, Independent Power Producers"/>
    <x v="5"/>
    <n v="1769984"/>
  </r>
  <r>
    <x v="28"/>
    <x v="50"/>
    <s v="Electric Generators, Electric Utilities"/>
    <x v="0"/>
    <n v="49799036"/>
  </r>
  <r>
    <x v="28"/>
    <x v="50"/>
    <s v="Electric Generators, Electric Utilities"/>
    <x v="1"/>
    <n v="48827456"/>
  </r>
  <r>
    <x v="28"/>
    <x v="50"/>
    <s v="Electric Generators, Electric Utilities"/>
    <x v="2"/>
    <n v="652627"/>
  </r>
  <r>
    <x v="28"/>
    <x v="50"/>
    <s v="Electric Generators, Electric Utilities"/>
    <x v="3"/>
    <n v="173945"/>
  </r>
  <r>
    <x v="28"/>
    <x v="50"/>
    <s v="Electric Generators, Electric Utilities"/>
    <x v="12"/>
    <n v="-210"/>
  </r>
  <r>
    <x v="28"/>
    <x v="50"/>
    <s v="Electric Generators, Electric Utilities"/>
    <x v="4"/>
    <n v="145218"/>
  </r>
  <r>
    <x v="28"/>
    <x v="51"/>
    <s v="Total Electric Power Industry"/>
    <x v="0"/>
    <n v="46112136"/>
  </r>
  <r>
    <x v="28"/>
    <x v="51"/>
    <s v="Total Electric Power Industry"/>
    <x v="1"/>
    <n v="39679287"/>
  </r>
  <r>
    <x v="28"/>
    <x v="51"/>
    <s v="Total Electric Power Industry"/>
    <x v="2"/>
    <n v="975702"/>
  </r>
  <r>
    <x v="28"/>
    <x v="51"/>
    <s v="Total Electric Power Industry"/>
    <x v="3"/>
    <n v="896122"/>
  </r>
  <r>
    <x v="28"/>
    <x v="51"/>
    <s v="Total Electric Power Industry"/>
    <x v="9"/>
    <n v="377641"/>
  </r>
  <r>
    <x v="28"/>
    <x v="51"/>
    <s v="Total Electric Power Industry"/>
    <x v="12"/>
    <n v="85266"/>
  </r>
  <r>
    <x v="28"/>
    <x v="51"/>
    <s v="Total Electric Power Industry"/>
    <x v="4"/>
    <n v="40136"/>
  </r>
  <r>
    <x v="28"/>
    <x v="51"/>
    <s v="Total Electric Power Industry"/>
    <x v="13"/>
    <n v="824"/>
  </r>
  <r>
    <x v="28"/>
    <x v="51"/>
    <s v="Total Electric Power Industry"/>
    <x v="5"/>
    <n v="4057158"/>
  </r>
  <r>
    <x v="28"/>
    <x v="51"/>
    <s v="Combined Heat and Power, Industrial Power"/>
    <x v="0"/>
    <n v="1524526"/>
  </r>
  <r>
    <x v="28"/>
    <x v="51"/>
    <s v="Combined Heat and Power, Industrial Power"/>
    <x v="1"/>
    <n v="399586"/>
  </r>
  <r>
    <x v="28"/>
    <x v="51"/>
    <s v="Combined Heat and Power, Industrial Power"/>
    <x v="3"/>
    <n v="661981"/>
  </r>
  <r>
    <x v="28"/>
    <x v="51"/>
    <s v="Combined Heat and Power, Industrial Power"/>
    <x v="9"/>
    <n v="377641"/>
  </r>
  <r>
    <x v="28"/>
    <x v="51"/>
    <s v="Combined Heat and Power, Industrial Power"/>
    <x v="12"/>
    <n v="85266"/>
  </r>
  <r>
    <x v="28"/>
    <x v="51"/>
    <s v="Combined Heat and Power, Industrial Power"/>
    <x v="4"/>
    <n v="51"/>
  </r>
  <r>
    <x v="28"/>
    <x v="51"/>
    <s v="Electric Generators, Independent Power Producers"/>
    <x v="0"/>
    <n v="2632661"/>
  </r>
  <r>
    <x v="28"/>
    <x v="51"/>
    <s v="Electric Generators, Independent Power Producers"/>
    <x v="1"/>
    <n v="638162"/>
  </r>
  <r>
    <x v="28"/>
    <x v="51"/>
    <s v="Electric Generators, Independent Power Producers"/>
    <x v="2"/>
    <n v="9193"/>
  </r>
  <r>
    <x v="28"/>
    <x v="51"/>
    <s v="Electric Generators, Independent Power Producers"/>
    <x v="3"/>
    <n v="1290"/>
  </r>
  <r>
    <x v="28"/>
    <x v="51"/>
    <s v="Electric Generators, Independent Power Producers"/>
    <x v="13"/>
    <n v="824"/>
  </r>
  <r>
    <x v="28"/>
    <x v="51"/>
    <s v="Electric Generators, Independent Power Producers"/>
    <x v="5"/>
    <n v="1983192"/>
  </r>
  <r>
    <x v="28"/>
    <x v="51"/>
    <s v="Electric Generators, Electric Utilities"/>
    <x v="0"/>
    <n v="41954949"/>
  </r>
  <r>
    <x v="28"/>
    <x v="51"/>
    <s v="Electric Generators, Electric Utilities"/>
    <x v="1"/>
    <n v="38641538"/>
  </r>
  <r>
    <x v="28"/>
    <x v="51"/>
    <s v="Electric Generators, Electric Utilities"/>
    <x v="2"/>
    <n v="966509"/>
  </r>
  <r>
    <x v="28"/>
    <x v="51"/>
    <s v="Electric Generators, Electric Utilities"/>
    <x v="3"/>
    <n v="232851"/>
  </r>
  <r>
    <x v="28"/>
    <x v="51"/>
    <s v="Electric Generators, Electric Utilities"/>
    <x v="4"/>
    <n v="40084"/>
  </r>
  <r>
    <x v="28"/>
    <x v="51"/>
    <s v="Electric Generators, Electric Utilities"/>
    <x v="5"/>
    <n v="2073966"/>
  </r>
  <r>
    <x v="29"/>
    <x v="53"/>
    <m/>
    <x v="14"/>
    <m/>
  </r>
  <r>
    <x v="29"/>
    <x v="53"/>
    <m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69A26-E93A-4B7F-89E2-5BC3854169A6}" name="PivotTable2" cacheId="7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P57" firstHeaderRow="1" firstDataRow="2" firstDataCol="1" rowPageCount="1" colPageCount="1"/>
  <pivotFields count="5">
    <pivotField axis="axisPage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55"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t="default"/>
      </items>
    </pivotField>
    <pivotField showAll="0"/>
    <pivotField axis="axisCol" showAll="0">
      <items count="16">
        <item x="1"/>
        <item x="11"/>
        <item x="2"/>
        <item x="3"/>
        <item x="7"/>
        <item x="12"/>
        <item x="8"/>
        <item x="9"/>
        <item x="4"/>
        <item x="10"/>
        <item x="13"/>
        <item x="0"/>
        <item x="5"/>
        <item x="6"/>
        <item x="14"/>
        <item t="default"/>
      </items>
    </pivotField>
    <pivotField dataField="1" showAll="0"/>
  </pivotFields>
  <rowFields count="1">
    <field x="1"/>
  </rowFields>
  <rowItems count="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/>
  </rowItems>
  <colFields count="1">
    <field x="3"/>
  </colFields>
  <colItems count="15">
    <i/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/>
  </colItems>
  <pageFields count="1">
    <pageField fld="0" item="28" hier="-1"/>
  </pageFields>
  <dataFields count="1">
    <dataField name="Sum of GENERATION (Megawatthours)" fld="4" baseField="1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lectricity/sales_revenue_price/" TargetMode="External"/><Relationship Id="rId2" Type="http://schemas.openxmlformats.org/officeDocument/2006/relationships/hyperlink" Target="http://programs.dsireusa.org/system/program" TargetMode="External"/><Relationship Id="rId1" Type="http://schemas.openxmlformats.org/officeDocument/2006/relationships/hyperlink" Target="https://www.eia.gov/electricity/data/state/" TargetMode="External"/><Relationship Id="rId4" Type="http://schemas.openxmlformats.org/officeDocument/2006/relationships/hyperlink" Target="https://www.eia.gov/electricity/stat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C6" sqref="C6"/>
    </sheetView>
  </sheetViews>
  <sheetFormatPr baseColWidth="10" defaultColWidth="8.83203125" defaultRowHeight="15"/>
  <cols>
    <col min="1" max="1" width="16" style="15" customWidth="1"/>
    <col min="2" max="2" width="122.5" style="15" customWidth="1"/>
  </cols>
  <sheetData>
    <row r="1" spans="1:7">
      <c r="A1" s="1" t="s">
        <v>0</v>
      </c>
      <c r="B1" t="s">
        <v>68</v>
      </c>
      <c r="C1" s="65">
        <v>44820</v>
      </c>
      <c r="F1" s="19" t="s">
        <v>2</v>
      </c>
      <c r="G1" s="19" t="s">
        <v>2</v>
      </c>
    </row>
    <row r="2" spans="1:7">
      <c r="B2" t="str">
        <f>LOOKUP(B1,F2:G51,G2:G51)</f>
        <v>NE</v>
      </c>
      <c r="F2" s="20" t="s">
        <v>3</v>
      </c>
      <c r="G2" s="20" t="s">
        <v>4</v>
      </c>
    </row>
    <row r="3" spans="1:7">
      <c r="A3" s="1" t="s">
        <v>5</v>
      </c>
      <c r="B3" s="3" t="s">
        <v>6</v>
      </c>
      <c r="F3" s="20" t="s">
        <v>7</v>
      </c>
      <c r="G3" s="20" t="s">
        <v>8</v>
      </c>
    </row>
    <row r="4" spans="1:7">
      <c r="A4" s="58" t="s">
        <v>2473</v>
      </c>
      <c r="B4" t="s">
        <v>9</v>
      </c>
      <c r="F4" s="20" t="s">
        <v>10</v>
      </c>
      <c r="G4" s="20" t="s">
        <v>11</v>
      </c>
    </row>
    <row r="5" spans="1:7">
      <c r="B5" s="13">
        <v>2021</v>
      </c>
      <c r="F5" s="20" t="s">
        <v>12</v>
      </c>
      <c r="G5" s="20" t="s">
        <v>13</v>
      </c>
    </row>
    <row r="6" spans="1:7">
      <c r="B6" t="s">
        <v>14</v>
      </c>
      <c r="F6" s="20" t="s">
        <v>15</v>
      </c>
      <c r="G6" s="20" t="s">
        <v>16</v>
      </c>
    </row>
    <row r="7" spans="1:7">
      <c r="B7" s="17" t="s">
        <v>17</v>
      </c>
      <c r="F7" s="20" t="s">
        <v>18</v>
      </c>
      <c r="G7" s="20" t="s">
        <v>19</v>
      </c>
    </row>
    <row r="8" spans="1:7">
      <c r="F8" s="20" t="s">
        <v>20</v>
      </c>
      <c r="G8" s="20" t="s">
        <v>21</v>
      </c>
    </row>
    <row r="9" spans="1:7">
      <c r="B9" t="s">
        <v>22</v>
      </c>
      <c r="F9" s="20" t="s">
        <v>23</v>
      </c>
      <c r="G9" s="20" t="s">
        <v>24</v>
      </c>
    </row>
    <row r="10" spans="1:7">
      <c r="B10" s="13">
        <v>2021</v>
      </c>
      <c r="F10" s="20" t="s">
        <v>25</v>
      </c>
      <c r="G10" s="20" t="s">
        <v>26</v>
      </c>
    </row>
    <row r="11" spans="1:7">
      <c r="B11" s="13" t="s">
        <v>27</v>
      </c>
      <c r="F11" s="20" t="s">
        <v>28</v>
      </c>
      <c r="G11" s="20" t="s">
        <v>29</v>
      </c>
    </row>
    <row r="12" spans="1:7">
      <c r="B12" t="s">
        <v>1810</v>
      </c>
      <c r="F12" s="20" t="s">
        <v>30</v>
      </c>
      <c r="G12" s="20" t="s">
        <v>31</v>
      </c>
    </row>
    <row r="13" spans="1:7">
      <c r="F13" s="20" t="s">
        <v>32</v>
      </c>
      <c r="G13" s="20" t="s">
        <v>33</v>
      </c>
    </row>
    <row r="14" spans="1:7">
      <c r="B14" s="3" t="s">
        <v>34</v>
      </c>
      <c r="F14" s="20" t="s">
        <v>35</v>
      </c>
      <c r="G14" s="20" t="s">
        <v>36</v>
      </c>
    </row>
    <row r="15" spans="1:7">
      <c r="B15" t="s">
        <v>37</v>
      </c>
      <c r="F15" s="20" t="s">
        <v>38</v>
      </c>
      <c r="G15" s="20" t="s">
        <v>39</v>
      </c>
    </row>
    <row r="16" spans="1:7">
      <c r="B16" s="13">
        <v>2020</v>
      </c>
      <c r="F16" s="20" t="s">
        <v>40</v>
      </c>
      <c r="G16" s="20" t="s">
        <v>41</v>
      </c>
    </row>
    <row r="17" spans="2:7">
      <c r="B17" t="s">
        <v>42</v>
      </c>
      <c r="F17" s="20" t="s">
        <v>43</v>
      </c>
      <c r="G17" s="20" t="s">
        <v>44</v>
      </c>
    </row>
    <row r="18" spans="2:7">
      <c r="B18" s="17" t="s">
        <v>45</v>
      </c>
      <c r="F18" s="20" t="s">
        <v>46</v>
      </c>
      <c r="G18" s="20" t="s">
        <v>47</v>
      </c>
    </row>
    <row r="19" spans="2:7">
      <c r="B19" t="s">
        <v>48</v>
      </c>
      <c r="F19" s="20" t="s">
        <v>49</v>
      </c>
      <c r="G19" s="20" t="s">
        <v>50</v>
      </c>
    </row>
    <row r="20" spans="2:7">
      <c r="F20" s="20" t="s">
        <v>51</v>
      </c>
      <c r="G20" s="20" t="s">
        <v>52</v>
      </c>
    </row>
    <row r="21" spans="2:7">
      <c r="B21" s="3" t="s">
        <v>2364</v>
      </c>
      <c r="F21" s="20" t="s">
        <v>53</v>
      </c>
      <c r="G21" s="20" t="s">
        <v>54</v>
      </c>
    </row>
    <row r="22" spans="2:7">
      <c r="B22" t="s">
        <v>37</v>
      </c>
      <c r="F22" s="20" t="s">
        <v>55</v>
      </c>
      <c r="G22" s="20" t="s">
        <v>56</v>
      </c>
    </row>
    <row r="23" spans="2:7">
      <c r="B23" s="13">
        <v>2019</v>
      </c>
      <c r="F23" s="20" t="s">
        <v>57</v>
      </c>
      <c r="G23" s="20" t="s">
        <v>58</v>
      </c>
    </row>
    <row r="24" spans="2:7">
      <c r="B24" t="s">
        <v>59</v>
      </c>
      <c r="F24" s="20" t="s">
        <v>1</v>
      </c>
      <c r="G24" s="20" t="s">
        <v>60</v>
      </c>
    </row>
    <row r="25" spans="2:7">
      <c r="B25" s="17" t="s">
        <v>2365</v>
      </c>
      <c r="F25" s="20" t="s">
        <v>61</v>
      </c>
      <c r="G25" s="20" t="s">
        <v>62</v>
      </c>
    </row>
    <row r="26" spans="2:7">
      <c r="F26" s="20" t="s">
        <v>63</v>
      </c>
      <c r="G26" s="20" t="s">
        <v>64</v>
      </c>
    </row>
    <row r="27" spans="2:7">
      <c r="B27" s="3" t="s">
        <v>65</v>
      </c>
      <c r="F27" s="20" t="s">
        <v>66</v>
      </c>
      <c r="G27" s="20" t="s">
        <v>67</v>
      </c>
    </row>
    <row r="28" spans="2:7">
      <c r="B28" t="s">
        <v>37</v>
      </c>
      <c r="F28" s="20" t="s">
        <v>68</v>
      </c>
      <c r="G28" s="20" t="s">
        <v>69</v>
      </c>
    </row>
    <row r="29" spans="2:7">
      <c r="B29" s="13" t="s">
        <v>2372</v>
      </c>
      <c r="F29" s="20" t="s">
        <v>70</v>
      </c>
      <c r="G29" s="20" t="s">
        <v>71</v>
      </c>
    </row>
    <row r="30" spans="2:7">
      <c r="B30" t="s">
        <v>72</v>
      </c>
      <c r="F30" s="20" t="s">
        <v>73</v>
      </c>
      <c r="G30" s="20" t="s">
        <v>74</v>
      </c>
    </row>
    <row r="31" spans="2:7">
      <c r="B31" t="s">
        <v>75</v>
      </c>
      <c r="F31" s="20" t="s">
        <v>76</v>
      </c>
      <c r="G31" s="20" t="s">
        <v>77</v>
      </c>
    </row>
    <row r="32" spans="2:7">
      <c r="B32" s="17" t="s">
        <v>78</v>
      </c>
      <c r="F32" s="20" t="s">
        <v>79</v>
      </c>
      <c r="G32" s="20" t="s">
        <v>80</v>
      </c>
    </row>
    <row r="33" spans="1:7">
      <c r="F33" s="20" t="s">
        <v>81</v>
      </c>
      <c r="G33" s="20" t="s">
        <v>82</v>
      </c>
    </row>
    <row r="34" spans="1:7">
      <c r="A34" s="1" t="s">
        <v>83</v>
      </c>
      <c r="F34" s="20" t="s">
        <v>84</v>
      </c>
      <c r="G34" s="20" t="s">
        <v>85</v>
      </c>
    </row>
    <row r="35" spans="1:7">
      <c r="A35" t="s">
        <v>86</v>
      </c>
      <c r="F35" s="20" t="s">
        <v>87</v>
      </c>
      <c r="G35" s="20" t="s">
        <v>88</v>
      </c>
    </row>
    <row r="36" spans="1:7">
      <c r="A36" t="s">
        <v>89</v>
      </c>
      <c r="F36" s="20" t="s">
        <v>90</v>
      </c>
      <c r="G36" s="20" t="s">
        <v>91</v>
      </c>
    </row>
    <row r="37" spans="1:7">
      <c r="A37" t="s">
        <v>92</v>
      </c>
      <c r="F37" s="20" t="s">
        <v>93</v>
      </c>
      <c r="G37" s="20" t="s">
        <v>94</v>
      </c>
    </row>
    <row r="38" spans="1:7">
      <c r="F38" s="20" t="s">
        <v>95</v>
      </c>
      <c r="G38" s="20" t="s">
        <v>96</v>
      </c>
    </row>
    <row r="39" spans="1:7">
      <c r="A39" t="s">
        <v>97</v>
      </c>
      <c r="F39" s="20" t="s">
        <v>98</v>
      </c>
      <c r="G39" s="20" t="s">
        <v>99</v>
      </c>
    </row>
    <row r="40" spans="1:7">
      <c r="A40" t="s">
        <v>100</v>
      </c>
      <c r="F40" s="20" t="s">
        <v>101</v>
      </c>
      <c r="G40" s="20" t="s">
        <v>102</v>
      </c>
    </row>
    <row r="41" spans="1:7">
      <c r="F41" s="20" t="s">
        <v>103</v>
      </c>
      <c r="G41" s="20" t="s">
        <v>104</v>
      </c>
    </row>
    <row r="42" spans="1:7">
      <c r="A42" t="s">
        <v>105</v>
      </c>
      <c r="F42" s="20" t="s">
        <v>106</v>
      </c>
      <c r="G42" s="20" t="s">
        <v>107</v>
      </c>
    </row>
    <row r="43" spans="1:7">
      <c r="A43" t="s">
        <v>108</v>
      </c>
      <c r="F43" s="20" t="s">
        <v>109</v>
      </c>
      <c r="G43" s="20" t="s">
        <v>110</v>
      </c>
    </row>
    <row r="44" spans="1:7">
      <c r="A44" t="s">
        <v>111</v>
      </c>
      <c r="F44" s="20" t="s">
        <v>112</v>
      </c>
      <c r="G44" s="20" t="s">
        <v>113</v>
      </c>
    </row>
    <row r="45" spans="1:7">
      <c r="A45" t="s">
        <v>114</v>
      </c>
      <c r="F45" s="20" t="s">
        <v>115</v>
      </c>
      <c r="G45" s="20" t="s">
        <v>116</v>
      </c>
    </row>
    <row r="46" spans="1:7">
      <c r="A46" t="s">
        <v>117</v>
      </c>
      <c r="F46" s="20" t="s">
        <v>118</v>
      </c>
      <c r="G46" s="20" t="s">
        <v>119</v>
      </c>
    </row>
    <row r="47" spans="1:7">
      <c r="F47" s="20" t="s">
        <v>120</v>
      </c>
      <c r="G47" s="20" t="s">
        <v>121</v>
      </c>
    </row>
    <row r="48" spans="1:7">
      <c r="A48" t="s">
        <v>122</v>
      </c>
      <c r="F48" s="20" t="s">
        <v>123</v>
      </c>
      <c r="G48" s="20" t="s">
        <v>124</v>
      </c>
    </row>
    <row r="49" spans="1:7">
      <c r="A49" t="s">
        <v>125</v>
      </c>
      <c r="F49" s="20" t="s">
        <v>126</v>
      </c>
      <c r="G49" s="20" t="s">
        <v>127</v>
      </c>
    </row>
    <row r="50" spans="1:7">
      <c r="F50" s="20" t="s">
        <v>128</v>
      </c>
      <c r="G50" s="20" t="s">
        <v>129</v>
      </c>
    </row>
    <row r="51" spans="1:7">
      <c r="A51" s="9" t="s">
        <v>130</v>
      </c>
      <c r="B51" t="s">
        <v>131</v>
      </c>
      <c r="F51" s="20" t="s">
        <v>132</v>
      </c>
      <c r="G51" s="20" t="s">
        <v>133</v>
      </c>
    </row>
    <row r="52" spans="1:7">
      <c r="A52" s="11" t="s">
        <v>134</v>
      </c>
      <c r="B52" t="s">
        <v>135</v>
      </c>
    </row>
    <row r="53" spans="1:7">
      <c r="B53" t="s">
        <v>136</v>
      </c>
    </row>
    <row r="55" spans="1:7">
      <c r="A55" s="3" t="s">
        <v>137</v>
      </c>
      <c r="B55" s="8"/>
    </row>
    <row r="56" spans="1:7" ht="16" customHeight="1">
      <c r="A56" s="1" t="s">
        <v>18</v>
      </c>
      <c r="B56" s="12" t="s">
        <v>138</v>
      </c>
    </row>
    <row r="57" spans="1:7" ht="16" customHeight="1">
      <c r="A57" s="1" t="s">
        <v>51</v>
      </c>
      <c r="B57" s="12" t="s">
        <v>1813</v>
      </c>
    </row>
    <row r="58" spans="1:7" ht="16" customHeight="1">
      <c r="A58" s="1" t="s">
        <v>53</v>
      </c>
      <c r="B58" s="12" t="s">
        <v>139</v>
      </c>
    </row>
    <row r="59" spans="1:7" ht="32" customHeight="1">
      <c r="A59" s="1" t="s">
        <v>55</v>
      </c>
      <c r="B59" s="12" t="s">
        <v>140</v>
      </c>
    </row>
    <row r="60" spans="1:7" ht="48" customHeight="1">
      <c r="A60" s="1" t="s">
        <v>57</v>
      </c>
      <c r="B60" s="12" t="s">
        <v>141</v>
      </c>
    </row>
    <row r="61" spans="1:7" ht="32" customHeight="1">
      <c r="A61" s="1" t="s">
        <v>1</v>
      </c>
      <c r="B61" s="12" t="s">
        <v>142</v>
      </c>
    </row>
    <row r="62" spans="1:7" ht="32" customHeight="1">
      <c r="A62" s="1" t="s">
        <v>70</v>
      </c>
      <c r="B62" s="12" t="s">
        <v>143</v>
      </c>
    </row>
    <row r="63" spans="1:7" ht="16" customHeight="1">
      <c r="A63" s="1" t="s">
        <v>73</v>
      </c>
      <c r="B63" s="12" t="s">
        <v>144</v>
      </c>
    </row>
    <row r="64" spans="1:7" ht="16" customHeight="1">
      <c r="A64" s="1" t="s">
        <v>90</v>
      </c>
      <c r="B64" s="12" t="s">
        <v>145</v>
      </c>
    </row>
    <row r="65" spans="1:2" ht="16" customHeight="1">
      <c r="A65" s="1" t="s">
        <v>112</v>
      </c>
      <c r="B65" s="12" t="s">
        <v>146</v>
      </c>
    </row>
    <row r="66" spans="1:2" ht="16" customHeight="1">
      <c r="A66" s="1" t="s">
        <v>118</v>
      </c>
      <c r="B66" s="12" t="s">
        <v>147</v>
      </c>
    </row>
    <row r="67" spans="1:2" ht="16" customHeight="1">
      <c r="A67" s="1" t="s">
        <v>148</v>
      </c>
      <c r="B67" s="12" t="s">
        <v>139</v>
      </c>
    </row>
  </sheetData>
  <hyperlinks>
    <hyperlink ref="B32" r:id="rId1" xr:uid="{00000000-0004-0000-0000-000001000000}"/>
    <hyperlink ref="B7" r:id="rId2" xr:uid="{36ECACBF-B2DA-4BD0-A9EC-19C337FB2E51}"/>
    <hyperlink ref="B18" r:id="rId3" xr:uid="{6B848DA9-BD31-47D2-9C59-4C0E0D356388}"/>
    <hyperlink ref="B25" r:id="rId4" xr:uid="{8979EA9A-FA44-41C9-85E9-88C65C09C765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AS67"/>
  <sheetViews>
    <sheetView showGridLines="0" zoomScale="94" zoomScaleNormal="60" workbookViewId="0">
      <selection activeCell="C17" sqref="C17"/>
    </sheetView>
  </sheetViews>
  <sheetFormatPr baseColWidth="10" defaultColWidth="0" defaultRowHeight="15" zeroHeight="1"/>
  <cols>
    <col min="1" max="1" width="16.5" style="15" customWidth="1"/>
    <col min="2" max="2" width="7.83203125" style="15" customWidth="1"/>
    <col min="3" max="3" width="69.5" style="14" customWidth="1"/>
    <col min="4" max="4" width="10.5" style="14" customWidth="1"/>
    <col min="5" max="5" width="10.1640625" style="14" customWidth="1"/>
    <col min="6" max="6" width="19.5" style="13" customWidth="1"/>
    <col min="7" max="12" width="10" style="15" customWidth="1"/>
    <col min="13" max="16" width="12" style="15" bestFit="1" customWidth="1"/>
    <col min="17" max="17" width="11.83203125" style="15" bestFit="1" customWidth="1"/>
    <col min="18" max="22" width="12" style="15" bestFit="1" customWidth="1"/>
    <col min="23" max="23" width="10" style="15" customWidth="1"/>
    <col min="24" max="24" width="19.6640625" style="15" bestFit="1" customWidth="1"/>
    <col min="25" max="33" width="11.83203125" style="15" bestFit="1" customWidth="1"/>
    <col min="34" max="34" width="19" style="15" bestFit="1" customWidth="1"/>
    <col min="35" max="38" width="17.6640625" style="15" bestFit="1" customWidth="1"/>
    <col min="39" max="42" width="17.5" style="15" bestFit="1" customWidth="1"/>
    <col min="43" max="43" width="11.5" style="15" bestFit="1" customWidth="1"/>
    <col min="44" max="45" width="8.83203125" customWidth="1"/>
    <col min="46" max="16384" width="8.83203125" hidden="1"/>
  </cols>
  <sheetData>
    <row r="1" spans="1:43">
      <c r="G1" s="4" t="s">
        <v>149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43" ht="32" customHeight="1">
      <c r="A2" s="22" t="s">
        <v>2</v>
      </c>
      <c r="B2" s="22" t="s">
        <v>150</v>
      </c>
      <c r="C2" s="23" t="s">
        <v>151</v>
      </c>
      <c r="D2" s="23" t="s">
        <v>152</v>
      </c>
      <c r="E2" s="23" t="s">
        <v>153</v>
      </c>
      <c r="F2" s="23" t="s">
        <v>2475</v>
      </c>
      <c r="G2" s="22">
        <v>2014</v>
      </c>
      <c r="H2" s="22">
        <v>2015</v>
      </c>
      <c r="I2" s="22">
        <v>2016</v>
      </c>
      <c r="J2" s="22">
        <v>2017</v>
      </c>
      <c r="K2" s="22">
        <v>2018</v>
      </c>
      <c r="L2" s="22">
        <v>2019</v>
      </c>
      <c r="M2" s="22">
        <v>2020</v>
      </c>
      <c r="N2" s="22">
        <v>2021</v>
      </c>
      <c r="O2" s="22">
        <v>2022</v>
      </c>
      <c r="P2" s="22">
        <v>2023</v>
      </c>
      <c r="Q2" s="22">
        <v>2024</v>
      </c>
      <c r="R2" s="22">
        <v>2025</v>
      </c>
      <c r="S2" s="22">
        <v>2026</v>
      </c>
      <c r="T2" s="22">
        <v>2027</v>
      </c>
      <c r="U2" s="22">
        <v>2028</v>
      </c>
      <c r="V2" s="22">
        <v>2029</v>
      </c>
      <c r="W2" s="22">
        <v>2030</v>
      </c>
      <c r="X2" s="22">
        <v>2031</v>
      </c>
      <c r="Y2" s="22">
        <v>2032</v>
      </c>
      <c r="Z2" s="22">
        <v>2033</v>
      </c>
      <c r="AA2" s="22">
        <v>2034</v>
      </c>
      <c r="AB2" s="22">
        <v>2035</v>
      </c>
      <c r="AC2" s="22">
        <v>2036</v>
      </c>
      <c r="AD2" s="22">
        <v>2037</v>
      </c>
      <c r="AE2" s="22">
        <v>2038</v>
      </c>
      <c r="AF2" s="22">
        <v>2039</v>
      </c>
      <c r="AG2" s="22">
        <v>2040</v>
      </c>
      <c r="AH2" s="22">
        <v>2041</v>
      </c>
      <c r="AI2" s="22">
        <v>2042</v>
      </c>
      <c r="AJ2" s="22">
        <v>2043</v>
      </c>
      <c r="AK2" s="22">
        <v>2044</v>
      </c>
      <c r="AL2" s="22">
        <v>2045</v>
      </c>
      <c r="AM2" s="22">
        <v>2046</v>
      </c>
      <c r="AN2" s="22">
        <v>2047</v>
      </c>
      <c r="AO2" s="22">
        <v>2048</v>
      </c>
      <c r="AP2" s="22">
        <v>2049</v>
      </c>
      <c r="AQ2" s="22">
        <v>2050</v>
      </c>
    </row>
    <row r="3" spans="1:43">
      <c r="A3" s="54" t="s">
        <v>154</v>
      </c>
      <c r="B3" s="24" t="s">
        <v>4</v>
      </c>
      <c r="C3" s="25"/>
      <c r="D3" s="25"/>
      <c r="E3" s="25"/>
      <c r="F3" s="26">
        <f>SUMIFS('EIA 2020 ESRAP Table 10'!E:E,'EIA 2020 ESRAP Table 10'!B:B,B3)</f>
        <v>83378325</v>
      </c>
      <c r="G3" s="27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>
      <c r="A4" s="54" t="s">
        <v>155</v>
      </c>
      <c r="B4" s="24" t="s">
        <v>8</v>
      </c>
      <c r="C4" s="25"/>
      <c r="D4" s="25"/>
      <c r="E4" s="25"/>
      <c r="F4" s="26">
        <f>SUMIFS('EIA 2020 ESRAP Table 10'!E:E,'EIA 2020 ESRAP Table 10'!B:B,B4)</f>
        <v>6005515</v>
      </c>
      <c r="G4" s="27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32" customHeight="1">
      <c r="A5" s="54" t="s">
        <v>156</v>
      </c>
      <c r="B5" s="24" t="s">
        <v>11</v>
      </c>
      <c r="C5" s="29" t="s">
        <v>157</v>
      </c>
      <c r="D5" s="25"/>
      <c r="E5" s="25"/>
      <c r="F5" s="26">
        <f>SUMIFS('EIA 2020 ESRAP Table 10'!E:E,'EIA 2020 ESRAP Table 10'!B:B,B5)</f>
        <v>81867671</v>
      </c>
      <c r="G5" s="30">
        <v>4.4999999999999998E-2</v>
      </c>
      <c r="H5" s="30">
        <v>0.05</v>
      </c>
      <c r="I5" s="30">
        <v>0.06</v>
      </c>
      <c r="J5" s="30">
        <v>7.0000000000000007E-2</v>
      </c>
      <c r="K5" s="30">
        <v>0.08</v>
      </c>
      <c r="L5" s="30">
        <v>0.09</v>
      </c>
      <c r="M5" s="30">
        <v>0.1</v>
      </c>
      <c r="N5" s="30">
        <v>0.11</v>
      </c>
      <c r="O5" s="30">
        <v>0.12</v>
      </c>
      <c r="P5" s="30">
        <v>0.13</v>
      </c>
      <c r="Q5" s="30">
        <v>0.14000000000000001</v>
      </c>
      <c r="R5" s="30">
        <v>0.15</v>
      </c>
      <c r="S5" s="31">
        <f t="shared" ref="S5:AQ5" si="0">$R5</f>
        <v>0.15</v>
      </c>
      <c r="T5" s="31">
        <f t="shared" si="0"/>
        <v>0.15</v>
      </c>
      <c r="U5" s="31">
        <f t="shared" si="0"/>
        <v>0.15</v>
      </c>
      <c r="V5" s="31">
        <f t="shared" si="0"/>
        <v>0.15</v>
      </c>
      <c r="W5" s="31">
        <f t="shared" si="0"/>
        <v>0.15</v>
      </c>
      <c r="X5" s="31">
        <f t="shared" si="0"/>
        <v>0.15</v>
      </c>
      <c r="Y5" s="31">
        <f t="shared" si="0"/>
        <v>0.15</v>
      </c>
      <c r="Z5" s="31">
        <f t="shared" si="0"/>
        <v>0.15</v>
      </c>
      <c r="AA5" s="31">
        <f t="shared" si="0"/>
        <v>0.15</v>
      </c>
      <c r="AB5" s="31">
        <f t="shared" si="0"/>
        <v>0.15</v>
      </c>
      <c r="AC5" s="31">
        <f t="shared" si="0"/>
        <v>0.15</v>
      </c>
      <c r="AD5" s="31">
        <f t="shared" si="0"/>
        <v>0.15</v>
      </c>
      <c r="AE5" s="31">
        <f t="shared" si="0"/>
        <v>0.15</v>
      </c>
      <c r="AF5" s="31">
        <f t="shared" si="0"/>
        <v>0.15</v>
      </c>
      <c r="AG5" s="31">
        <f t="shared" si="0"/>
        <v>0.15</v>
      </c>
      <c r="AH5" s="31">
        <f t="shared" si="0"/>
        <v>0.15</v>
      </c>
      <c r="AI5" s="31">
        <f t="shared" si="0"/>
        <v>0.15</v>
      </c>
      <c r="AJ5" s="31">
        <f t="shared" si="0"/>
        <v>0.15</v>
      </c>
      <c r="AK5" s="31">
        <f t="shared" si="0"/>
        <v>0.15</v>
      </c>
      <c r="AL5" s="31">
        <f t="shared" si="0"/>
        <v>0.15</v>
      </c>
      <c r="AM5" s="31">
        <f t="shared" si="0"/>
        <v>0.15</v>
      </c>
      <c r="AN5" s="31">
        <f t="shared" si="0"/>
        <v>0.15</v>
      </c>
      <c r="AO5" s="31">
        <f t="shared" si="0"/>
        <v>0.15</v>
      </c>
      <c r="AP5" s="31">
        <f t="shared" si="0"/>
        <v>0.15</v>
      </c>
      <c r="AQ5" s="31">
        <f t="shared" si="0"/>
        <v>0.15</v>
      </c>
    </row>
    <row r="6" spans="1:43">
      <c r="A6" s="54" t="s">
        <v>158</v>
      </c>
      <c r="B6" s="24" t="s">
        <v>13</v>
      </c>
      <c r="C6" s="25"/>
      <c r="D6" s="25"/>
      <c r="E6" s="25"/>
      <c r="F6" s="26">
        <f>SUMIFS('EIA 2020 ESRAP Table 10'!E:E,'EIA 2020 ESRAP Table 10'!B:B,B6)</f>
        <v>45817238</v>
      </c>
      <c r="G6" s="27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90" customHeight="1">
      <c r="A7" s="54" t="s">
        <v>159</v>
      </c>
      <c r="B7" s="24" t="s">
        <v>16</v>
      </c>
      <c r="C7" s="29" t="s">
        <v>160</v>
      </c>
      <c r="D7" s="25" t="s">
        <v>161</v>
      </c>
      <c r="E7" s="25" t="s">
        <v>162</v>
      </c>
      <c r="F7" s="26">
        <f>SUMIFS('EIA 2020 ESRAP Table 10'!E:E,'EIA 2020 ESRAP Table 10'!B:B,B7)</f>
        <v>177488484</v>
      </c>
      <c r="G7" s="32">
        <f>(0.25-0.2)/3+0.2</f>
        <v>0.21666666666666667</v>
      </c>
      <c r="H7" s="31">
        <f>$G7+($I7-$G7)*(H$2-$G$2)/($I$2-$G$2)</f>
        <v>0.21827760974229587</v>
      </c>
      <c r="I7" s="30">
        <f>25%*SUM('Extra State Data'!B66:B67)/'Extra State Data'!B68</f>
        <v>0.2198885528179251</v>
      </c>
      <c r="J7" s="31">
        <f>$I7+($M7-$I7)*(J$2-$I$2)/($M$2-$I$2)</f>
        <v>0.23747963704335912</v>
      </c>
      <c r="K7" s="31">
        <f>$I7+($M7-$I7)*(K$2-$I$2)/($M$2-$I$2)</f>
        <v>0.2550707212687931</v>
      </c>
      <c r="L7" s="31">
        <f>$I7+($M7-$I7)*(L$2-$I$2)/($M$2-$I$2)</f>
        <v>0.27266180549422714</v>
      </c>
      <c r="M7" s="33">
        <f>33%*SUM('Extra State Data'!B66:B67)/'Extra State Data'!B68</f>
        <v>0.29025288971966112</v>
      </c>
      <c r="N7" s="31">
        <f>$M7+($Q7-$M7)*(N$2-$M$2)/($Q$2-$M$2)</f>
        <v>0.31444063052963289</v>
      </c>
      <c r="O7" s="31">
        <f>$M7+($Q7-$M7)*(O$2-$M$2)/($Q$2-$M$2)</f>
        <v>0.33862837133960466</v>
      </c>
      <c r="P7" s="31">
        <f>$M7+($Q7-$M7)*(P$2-$M$2)/($Q$2-$M$2)</f>
        <v>0.36281611214957638</v>
      </c>
      <c r="Q7" s="33">
        <f>44%*SUM('Extra State Data'!B66:B67)/'Extra State Data'!B68</f>
        <v>0.38700385295954814</v>
      </c>
      <c r="R7" s="31">
        <f>$Q7+($T7-$Q7)*(R$2-$Q$2)/($T$2-$Q$2)</f>
        <v>0.41045863192679349</v>
      </c>
      <c r="S7" s="31">
        <f>$Q7+($T7-$Q7)*(S$2-$Q$2)/($T$2-$Q$2)</f>
        <v>0.43391341089403884</v>
      </c>
      <c r="T7" s="33">
        <f>52%*SUM('Extra State Data'!B66:B67)/'Extra State Data'!B68</f>
        <v>0.45736818986128419</v>
      </c>
      <c r="U7" s="31">
        <f>$T7+($W7-$T7)*(U$2-$T$2)/($W$2-$T$2)</f>
        <v>0.48082296882852954</v>
      </c>
      <c r="V7" s="31">
        <f>$T7+($W7-$T7)*(V$2-$T$2)/($W$2-$T$2)</f>
        <v>0.50427774779577483</v>
      </c>
      <c r="W7" s="33">
        <f>60%*SUM('Extra State Data'!B66:B67)/'Extra State Data'!B68</f>
        <v>0.52773252676302018</v>
      </c>
      <c r="X7" s="28">
        <f t="shared" ref="X7:AK7" si="1">($AL$7-$W$7)/COUNT($X$2:$AL$2)+W7</f>
        <v>0.55118730573026553</v>
      </c>
      <c r="Y7" s="28">
        <f t="shared" si="1"/>
        <v>0.57464208469751088</v>
      </c>
      <c r="Z7" s="28">
        <f t="shared" si="1"/>
        <v>0.59809686366475623</v>
      </c>
      <c r="AA7" s="28">
        <f t="shared" si="1"/>
        <v>0.62155164263200158</v>
      </c>
      <c r="AB7" s="28">
        <f t="shared" si="1"/>
        <v>0.64500642159924693</v>
      </c>
      <c r="AC7" s="28">
        <f t="shared" si="1"/>
        <v>0.66846120056649228</v>
      </c>
      <c r="AD7" s="28">
        <f t="shared" si="1"/>
        <v>0.69191597953373762</v>
      </c>
      <c r="AE7" s="28">
        <f t="shared" si="1"/>
        <v>0.71537075850098297</v>
      </c>
      <c r="AF7" s="28">
        <f t="shared" si="1"/>
        <v>0.73882553746822832</v>
      </c>
      <c r="AG7" s="28">
        <f t="shared" si="1"/>
        <v>0.76228031643547367</v>
      </c>
      <c r="AH7" s="28">
        <f t="shared" si="1"/>
        <v>0.78573509540271902</v>
      </c>
      <c r="AI7" s="28">
        <f t="shared" si="1"/>
        <v>0.80918987436996437</v>
      </c>
      <c r="AJ7" s="28">
        <f t="shared" si="1"/>
        <v>0.83264465333720972</v>
      </c>
      <c r="AK7" s="28">
        <f t="shared" si="1"/>
        <v>0.85609943230445507</v>
      </c>
      <c r="AL7" s="33">
        <f>100%*SUM('Extra State Data'!B66:B67)/'Extra State Data'!B68</f>
        <v>0.87955421127170041</v>
      </c>
      <c r="AM7" s="28">
        <f>AL7</f>
        <v>0.87955421127170041</v>
      </c>
      <c r="AN7" s="28">
        <f>AM7</f>
        <v>0.87955421127170041</v>
      </c>
      <c r="AO7" s="28">
        <f>AN7</f>
        <v>0.87955421127170041</v>
      </c>
      <c r="AP7" s="28">
        <f>AO7</f>
        <v>0.87955421127170041</v>
      </c>
      <c r="AQ7" s="28">
        <f>AP7</f>
        <v>0.87955421127170041</v>
      </c>
    </row>
    <row r="8" spans="1:43" ht="80" customHeight="1">
      <c r="A8" s="54" t="s">
        <v>163</v>
      </c>
      <c r="B8" s="24" t="s">
        <v>19</v>
      </c>
      <c r="C8" s="25" t="s">
        <v>164</v>
      </c>
      <c r="D8" s="25"/>
      <c r="E8" s="25"/>
      <c r="F8" s="26">
        <f>SUMIFS('EIA 2020 ESRAP Table 10'!E:E,'EIA 2020 ESRAP Table 10'!B:B,B8)</f>
        <v>55965153</v>
      </c>
      <c r="G8" s="34">
        <f>(0.12*'Extra State Data'!B18+0.03*SUM('Extra State Data'!B19:B20))/SUM('Extra State Data'!B18:B20)</f>
        <v>8.0983742006074402E-2</v>
      </c>
      <c r="H8" s="32">
        <f>(0.2*'Extra State Data'!B18+0.06*SUM('Extra State Data'!B19:B20))/SUM('Extra State Data'!B18:B20)</f>
        <v>0.13930804312056017</v>
      </c>
      <c r="I8" s="31">
        <f>$H8+($M8-$H8)*(I$2-$H$2)/($M$2-$H$2)</f>
        <v>0.15844101516513959</v>
      </c>
      <c r="J8" s="31">
        <f>$H8+($M8-$H8)*(J$2-$H$2)/($M$2-$H$2)</f>
        <v>0.17757398720971901</v>
      </c>
      <c r="K8" s="31">
        <f>$H8+($M8-$H8)*(K$2-$H$2)/($M$2-$H$2)</f>
        <v>0.19670695925429846</v>
      </c>
      <c r="L8" s="31">
        <f>$H8+($M8-$H8)*(L$2-$H$2)/($M$2-$H$2)</f>
        <v>0.21583993129887788</v>
      </c>
      <c r="M8" s="35">
        <f>(0.3*'Extra State Data'!B18+0.15*SUM('Extra State Data'!B19:B20))/SUM('Extra State Data'!B18:B20)</f>
        <v>0.2349729033434573</v>
      </c>
      <c r="N8" s="28">
        <f t="shared" ref="N8:AP8" si="2">($AQ$8-$M$8)/COUNT($N$2:$AQ$2)+M8</f>
        <v>0.24459804811642005</v>
      </c>
      <c r="O8" s="28">
        <f t="shared" si="2"/>
        <v>0.25422319288938283</v>
      </c>
      <c r="P8" s="28">
        <f t="shared" si="2"/>
        <v>0.26384833766234561</v>
      </c>
      <c r="Q8" s="28">
        <f t="shared" si="2"/>
        <v>0.27347348243530839</v>
      </c>
      <c r="R8" s="28">
        <f t="shared" si="2"/>
        <v>0.28309862720827117</v>
      </c>
      <c r="S8" s="28">
        <f t="shared" si="2"/>
        <v>0.29272377198123395</v>
      </c>
      <c r="T8" s="28">
        <f t="shared" si="2"/>
        <v>0.30234891675419673</v>
      </c>
      <c r="U8" s="28">
        <f t="shared" si="2"/>
        <v>0.31197406152715951</v>
      </c>
      <c r="V8" s="28">
        <f t="shared" si="2"/>
        <v>0.32159920630012229</v>
      </c>
      <c r="W8" s="28">
        <f t="shared" si="2"/>
        <v>0.33122435107308507</v>
      </c>
      <c r="X8" s="28">
        <f t="shared" si="2"/>
        <v>0.34084949584604785</v>
      </c>
      <c r="Y8" s="28">
        <f t="shared" si="2"/>
        <v>0.35047464061901062</v>
      </c>
      <c r="Z8" s="28">
        <f t="shared" si="2"/>
        <v>0.3600997853919734</v>
      </c>
      <c r="AA8" s="28">
        <f t="shared" si="2"/>
        <v>0.36972493016493618</v>
      </c>
      <c r="AB8" s="28">
        <f t="shared" si="2"/>
        <v>0.37935007493789896</v>
      </c>
      <c r="AC8" s="28">
        <f t="shared" si="2"/>
        <v>0.38897521971086174</v>
      </c>
      <c r="AD8" s="28">
        <f t="shared" si="2"/>
        <v>0.39860036448382452</v>
      </c>
      <c r="AE8" s="28">
        <f t="shared" si="2"/>
        <v>0.4082255092567873</v>
      </c>
      <c r="AF8" s="28">
        <f t="shared" si="2"/>
        <v>0.41785065402975008</v>
      </c>
      <c r="AG8" s="28">
        <f t="shared" si="2"/>
        <v>0.42747579880271286</v>
      </c>
      <c r="AH8" s="28">
        <f t="shared" si="2"/>
        <v>0.43710094357567564</v>
      </c>
      <c r="AI8" s="28">
        <f t="shared" si="2"/>
        <v>0.44672608834863842</v>
      </c>
      <c r="AJ8" s="28">
        <f t="shared" si="2"/>
        <v>0.4563512331216012</v>
      </c>
      <c r="AK8" s="28">
        <f t="shared" si="2"/>
        <v>0.46597637789456398</v>
      </c>
      <c r="AL8" s="28">
        <f t="shared" si="2"/>
        <v>0.47560152266752675</v>
      </c>
      <c r="AM8" s="28">
        <f t="shared" si="2"/>
        <v>0.48522666744048953</v>
      </c>
      <c r="AN8" s="28">
        <f t="shared" si="2"/>
        <v>0.49485181221345231</v>
      </c>
      <c r="AO8" s="28">
        <f t="shared" si="2"/>
        <v>0.50447695698641504</v>
      </c>
      <c r="AP8" s="28">
        <f t="shared" si="2"/>
        <v>0.51410210175937776</v>
      </c>
      <c r="AQ8" s="32">
        <f>1*('Extra State Data'!B21/'Extra State Data'!B22)</f>
        <v>0.52372724653233993</v>
      </c>
    </row>
    <row r="9" spans="1:43" ht="32" customHeight="1">
      <c r="A9" s="54" t="s">
        <v>165</v>
      </c>
      <c r="B9" s="24" t="s">
        <v>21</v>
      </c>
      <c r="C9" s="29" t="s">
        <v>1811</v>
      </c>
      <c r="D9" s="25"/>
      <c r="E9" s="25"/>
      <c r="F9" s="26">
        <f>SUMIFS('EIA 2020 ESRAP Table 10'!E:E,'EIA 2020 ESRAP Table 10'!B:B,B9)</f>
        <v>14001202</v>
      </c>
      <c r="G9" s="33">
        <v>0.18</v>
      </c>
      <c r="H9" s="30">
        <v>0.19500000000000001</v>
      </c>
      <c r="I9" s="30">
        <v>0.21</v>
      </c>
      <c r="J9" s="30">
        <v>0.22500000000000001</v>
      </c>
      <c r="K9" s="30">
        <v>0.25</v>
      </c>
      <c r="L9" s="30">
        <v>0.27500000000000002</v>
      </c>
      <c r="M9" s="30">
        <v>0.28999999999999998</v>
      </c>
      <c r="N9" s="30">
        <v>0.30499999999999999</v>
      </c>
      <c r="O9" s="30">
        <v>0.32</v>
      </c>
      <c r="P9" s="30">
        <v>0.34</v>
      </c>
      <c r="Q9" s="30">
        <v>0.36</v>
      </c>
      <c r="R9" s="30">
        <v>0.38</v>
      </c>
      <c r="S9" s="30">
        <f>($W$9-$R$9)/COUNT($S$2:$W$2)+R9</f>
        <v>0.4</v>
      </c>
      <c r="T9" s="30">
        <f>($W$9-$R$9)/COUNT($S$2:$W$2)+S9</f>
        <v>0.42000000000000004</v>
      </c>
      <c r="U9" s="30">
        <f>($W$9-$R$9)/COUNT($S$2:$W$2)+T9</f>
        <v>0.44000000000000006</v>
      </c>
      <c r="V9" s="30">
        <f>($W$9-$R$9)/COUNT($S$2:$W$2)+U9</f>
        <v>0.46000000000000008</v>
      </c>
      <c r="W9" s="30">
        <v>0.48</v>
      </c>
      <c r="X9" s="28">
        <f t="shared" ref="X9:AQ9" si="3">$M9</f>
        <v>0.28999999999999998</v>
      </c>
      <c r="Y9" s="28">
        <f t="shared" si="3"/>
        <v>0.28999999999999998</v>
      </c>
      <c r="Z9" s="28">
        <f t="shared" si="3"/>
        <v>0.28999999999999998</v>
      </c>
      <c r="AA9" s="28">
        <f t="shared" si="3"/>
        <v>0.28999999999999998</v>
      </c>
      <c r="AB9" s="28">
        <f t="shared" si="3"/>
        <v>0.28999999999999998</v>
      </c>
      <c r="AC9" s="28">
        <f t="shared" si="3"/>
        <v>0.28999999999999998</v>
      </c>
      <c r="AD9" s="28">
        <f t="shared" si="3"/>
        <v>0.28999999999999998</v>
      </c>
      <c r="AE9" s="28">
        <f t="shared" si="3"/>
        <v>0.28999999999999998</v>
      </c>
      <c r="AF9" s="28">
        <f t="shared" si="3"/>
        <v>0.28999999999999998</v>
      </c>
      <c r="AG9" s="28">
        <f t="shared" si="3"/>
        <v>0.28999999999999998</v>
      </c>
      <c r="AH9" s="28">
        <f t="shared" si="3"/>
        <v>0.28999999999999998</v>
      </c>
      <c r="AI9" s="28">
        <f t="shared" si="3"/>
        <v>0.28999999999999998</v>
      </c>
      <c r="AJ9" s="28">
        <f t="shared" si="3"/>
        <v>0.28999999999999998</v>
      </c>
      <c r="AK9" s="28">
        <f t="shared" si="3"/>
        <v>0.28999999999999998</v>
      </c>
      <c r="AL9" s="28">
        <f t="shared" si="3"/>
        <v>0.28999999999999998</v>
      </c>
      <c r="AM9" s="28">
        <f t="shared" si="3"/>
        <v>0.28999999999999998</v>
      </c>
      <c r="AN9" s="28">
        <f t="shared" si="3"/>
        <v>0.28999999999999998</v>
      </c>
      <c r="AO9" s="28">
        <f t="shared" si="3"/>
        <v>0.28999999999999998</v>
      </c>
      <c r="AP9" s="28">
        <f t="shared" si="3"/>
        <v>0.28999999999999998</v>
      </c>
      <c r="AQ9" s="28">
        <f t="shared" si="3"/>
        <v>0.28999999999999998</v>
      </c>
    </row>
    <row r="10" spans="1:43" ht="32" customHeight="1">
      <c r="A10" s="54" t="s">
        <v>166</v>
      </c>
      <c r="B10" s="24" t="s">
        <v>24</v>
      </c>
      <c r="C10" s="29" t="s">
        <v>157</v>
      </c>
      <c r="D10" s="25"/>
      <c r="E10" s="25"/>
      <c r="F10" s="26">
        <f>SUMIFS('EIA 2020 ESRAP Table 10'!E:E,'EIA 2020 ESRAP Table 10'!B:B,B10)</f>
        <v>7070213</v>
      </c>
      <c r="G10" s="30">
        <v>0.115</v>
      </c>
      <c r="H10" s="30">
        <v>0.13</v>
      </c>
      <c r="I10" s="30">
        <v>0.14499999999999999</v>
      </c>
      <c r="J10" s="30">
        <v>0.16</v>
      </c>
      <c r="K10" s="30">
        <v>0.17499999999999999</v>
      </c>
      <c r="L10" s="30">
        <v>0.19</v>
      </c>
      <c r="M10" s="30">
        <v>0.2</v>
      </c>
      <c r="N10" s="30">
        <v>0.21</v>
      </c>
      <c r="O10" s="30">
        <v>0.22</v>
      </c>
      <c r="P10" s="30">
        <v>0.23</v>
      </c>
      <c r="Q10" s="30">
        <v>0.24</v>
      </c>
      <c r="R10" s="30">
        <v>0.25</v>
      </c>
      <c r="S10" s="28">
        <f t="shared" ref="S10:AQ10" si="4">$R10</f>
        <v>0.25</v>
      </c>
      <c r="T10" s="28">
        <f t="shared" si="4"/>
        <v>0.25</v>
      </c>
      <c r="U10" s="28">
        <f t="shared" si="4"/>
        <v>0.25</v>
      </c>
      <c r="V10" s="28">
        <f t="shared" si="4"/>
        <v>0.25</v>
      </c>
      <c r="W10" s="28">
        <f t="shared" si="4"/>
        <v>0.25</v>
      </c>
      <c r="X10" s="28">
        <f t="shared" si="4"/>
        <v>0.25</v>
      </c>
      <c r="Y10" s="28">
        <f t="shared" si="4"/>
        <v>0.25</v>
      </c>
      <c r="Z10" s="28">
        <f t="shared" si="4"/>
        <v>0.25</v>
      </c>
      <c r="AA10" s="28">
        <f t="shared" si="4"/>
        <v>0.25</v>
      </c>
      <c r="AB10" s="28">
        <f t="shared" si="4"/>
        <v>0.25</v>
      </c>
      <c r="AC10" s="28">
        <f t="shared" si="4"/>
        <v>0.25</v>
      </c>
      <c r="AD10" s="28">
        <f t="shared" si="4"/>
        <v>0.25</v>
      </c>
      <c r="AE10" s="28">
        <f t="shared" si="4"/>
        <v>0.25</v>
      </c>
      <c r="AF10" s="28">
        <f t="shared" si="4"/>
        <v>0.25</v>
      </c>
      <c r="AG10" s="28">
        <f t="shared" si="4"/>
        <v>0.25</v>
      </c>
      <c r="AH10" s="28">
        <f t="shared" si="4"/>
        <v>0.25</v>
      </c>
      <c r="AI10" s="28">
        <f t="shared" si="4"/>
        <v>0.25</v>
      </c>
      <c r="AJ10" s="28">
        <f t="shared" si="4"/>
        <v>0.25</v>
      </c>
      <c r="AK10" s="28">
        <f t="shared" si="4"/>
        <v>0.25</v>
      </c>
      <c r="AL10" s="28">
        <f t="shared" si="4"/>
        <v>0.25</v>
      </c>
      <c r="AM10" s="28">
        <f t="shared" si="4"/>
        <v>0.25</v>
      </c>
      <c r="AN10" s="28">
        <f t="shared" si="4"/>
        <v>0.25</v>
      </c>
      <c r="AO10" s="28">
        <f t="shared" si="4"/>
        <v>0.25</v>
      </c>
      <c r="AP10" s="28">
        <f t="shared" si="4"/>
        <v>0.25</v>
      </c>
      <c r="AQ10" s="28">
        <f t="shared" si="4"/>
        <v>0.25</v>
      </c>
    </row>
    <row r="11" spans="1:43" ht="16" customHeight="1">
      <c r="A11" s="54" t="s">
        <v>167</v>
      </c>
      <c r="B11" s="24" t="s">
        <v>26</v>
      </c>
      <c r="C11" s="25" t="s">
        <v>168</v>
      </c>
      <c r="D11" s="25"/>
      <c r="E11" s="25"/>
      <c r="F11" s="26">
        <f>SUMIFS('EIA 2020 ESRAP Table 10'!E:E,'EIA 2020 ESRAP Table 10'!B:B,B11)</f>
        <v>242429912</v>
      </c>
      <c r="G11" s="32">
        <f>0.15*SUMIFS('EIA 2020 ESRAP Table 10'!$E$4:$E$2216,'EIA 2020 ESRAP Table 10'!B4:B2216,"FL",'EIA 2020 ESRAP Table 10'!A4:A2216,"JEA")/SUMIF('EIA 2020 ESRAP Table 10'!B4:B2216,"FL",'EIA 2020 ESRAP Table 10'!E4:E2216)</f>
        <v>7.4721224994711045E-3</v>
      </c>
      <c r="H11" s="32">
        <f t="shared" ref="H11:AQ11" si="5">G11</f>
        <v>7.4721224994711045E-3</v>
      </c>
      <c r="I11" s="28">
        <f t="shared" si="5"/>
        <v>7.4721224994711045E-3</v>
      </c>
      <c r="J11" s="28">
        <f t="shared" si="5"/>
        <v>7.4721224994711045E-3</v>
      </c>
      <c r="K11" s="28">
        <f t="shared" si="5"/>
        <v>7.4721224994711045E-3</v>
      </c>
      <c r="L11" s="28">
        <f t="shared" si="5"/>
        <v>7.4721224994711045E-3</v>
      </c>
      <c r="M11" s="28">
        <f t="shared" si="5"/>
        <v>7.4721224994711045E-3</v>
      </c>
      <c r="N11" s="28">
        <f t="shared" si="5"/>
        <v>7.4721224994711045E-3</v>
      </c>
      <c r="O11" s="28">
        <f t="shared" si="5"/>
        <v>7.4721224994711045E-3</v>
      </c>
      <c r="P11" s="28">
        <f t="shared" si="5"/>
        <v>7.4721224994711045E-3</v>
      </c>
      <c r="Q11" s="28">
        <f t="shared" si="5"/>
        <v>7.4721224994711045E-3</v>
      </c>
      <c r="R11" s="28">
        <f t="shared" si="5"/>
        <v>7.4721224994711045E-3</v>
      </c>
      <c r="S11" s="28">
        <f t="shared" si="5"/>
        <v>7.4721224994711045E-3</v>
      </c>
      <c r="T11" s="28">
        <f t="shared" si="5"/>
        <v>7.4721224994711045E-3</v>
      </c>
      <c r="U11" s="28">
        <f t="shared" si="5"/>
        <v>7.4721224994711045E-3</v>
      </c>
      <c r="V11" s="28">
        <f t="shared" si="5"/>
        <v>7.4721224994711045E-3</v>
      </c>
      <c r="W11" s="28">
        <f t="shared" si="5"/>
        <v>7.4721224994711045E-3</v>
      </c>
      <c r="X11" s="28">
        <f t="shared" si="5"/>
        <v>7.4721224994711045E-3</v>
      </c>
      <c r="Y11" s="28">
        <f t="shared" si="5"/>
        <v>7.4721224994711045E-3</v>
      </c>
      <c r="Z11" s="28">
        <f t="shared" si="5"/>
        <v>7.4721224994711045E-3</v>
      </c>
      <c r="AA11" s="28">
        <f t="shared" si="5"/>
        <v>7.4721224994711045E-3</v>
      </c>
      <c r="AB11" s="28">
        <f t="shared" si="5"/>
        <v>7.4721224994711045E-3</v>
      </c>
      <c r="AC11" s="28">
        <f t="shared" si="5"/>
        <v>7.4721224994711045E-3</v>
      </c>
      <c r="AD11" s="28">
        <f t="shared" si="5"/>
        <v>7.4721224994711045E-3</v>
      </c>
      <c r="AE11" s="28">
        <f t="shared" si="5"/>
        <v>7.4721224994711045E-3</v>
      </c>
      <c r="AF11" s="28">
        <f t="shared" si="5"/>
        <v>7.4721224994711045E-3</v>
      </c>
      <c r="AG11" s="28">
        <f t="shared" si="5"/>
        <v>7.4721224994711045E-3</v>
      </c>
      <c r="AH11" s="28">
        <f t="shared" si="5"/>
        <v>7.4721224994711045E-3</v>
      </c>
      <c r="AI11" s="28">
        <f t="shared" si="5"/>
        <v>7.4721224994711045E-3</v>
      </c>
      <c r="AJ11" s="28">
        <f t="shared" si="5"/>
        <v>7.4721224994711045E-3</v>
      </c>
      <c r="AK11" s="28">
        <f t="shared" si="5"/>
        <v>7.4721224994711045E-3</v>
      </c>
      <c r="AL11" s="28">
        <f t="shared" si="5"/>
        <v>7.4721224994711045E-3</v>
      </c>
      <c r="AM11" s="28">
        <f t="shared" si="5"/>
        <v>7.4721224994711045E-3</v>
      </c>
      <c r="AN11" s="28">
        <f t="shared" si="5"/>
        <v>7.4721224994711045E-3</v>
      </c>
      <c r="AO11" s="28">
        <f t="shared" si="5"/>
        <v>7.4721224994711045E-3</v>
      </c>
      <c r="AP11" s="28">
        <f t="shared" si="5"/>
        <v>7.4721224994711045E-3</v>
      </c>
      <c r="AQ11" s="28">
        <f t="shared" si="5"/>
        <v>7.4721224994711045E-3</v>
      </c>
    </row>
    <row r="12" spans="1:43">
      <c r="A12" s="54" t="s">
        <v>169</v>
      </c>
      <c r="B12" s="24" t="s">
        <v>29</v>
      </c>
      <c r="C12" s="25"/>
      <c r="D12" s="25"/>
      <c r="E12" s="25"/>
      <c r="F12" s="26">
        <f>SUMIFS('EIA 2020 ESRAP Table 10'!E:E,'EIA 2020 ESRAP Table 10'!B:B,B12)</f>
        <v>133483545</v>
      </c>
      <c r="G12" s="27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32" customHeight="1">
      <c r="A13" s="54" t="s">
        <v>170</v>
      </c>
      <c r="B13" s="24" t="s">
        <v>31</v>
      </c>
      <c r="C13" s="29" t="s">
        <v>171</v>
      </c>
      <c r="D13" s="25"/>
      <c r="E13" s="25"/>
      <c r="F13" s="26">
        <f>SUMIFS('EIA 2020 ESRAP Table 10'!E:E,'EIA 2020 ESRAP Table 10'!B:B,B13)</f>
        <v>8723519</v>
      </c>
      <c r="G13" s="34">
        <f>0.1+(0.15-0.1)*(4/5)</f>
        <v>0.14000000000000001</v>
      </c>
      <c r="H13" s="33">
        <v>0.15</v>
      </c>
      <c r="I13" s="28">
        <f>$H13+($M13-$H13)*(I$2-$H$2)/($M$2-$H$2)</f>
        <v>0.18</v>
      </c>
      <c r="J13" s="28">
        <f>$H13+($M13-$H13)*(J$2-$H$2)/($M$2-$H$2)</f>
        <v>0.21</v>
      </c>
      <c r="K13" s="28">
        <f>$H13+($M13-$H13)*(K$2-$H$2)/($M$2-$H$2)</f>
        <v>0.24</v>
      </c>
      <c r="L13" s="28">
        <f>$H13+($M13-$H13)*(L$2-$H$2)/($M$2-$H$2)</f>
        <v>0.27</v>
      </c>
      <c r="M13" s="33">
        <v>0.3</v>
      </c>
      <c r="N13" s="31">
        <f t="shared" ref="N13:V13" si="6">$M13+($W13-$M13)*(N$2-$M$2)/($W$2-$M$2)</f>
        <v>0.31</v>
      </c>
      <c r="O13" s="31">
        <f t="shared" si="6"/>
        <v>0.32</v>
      </c>
      <c r="P13" s="31">
        <f t="shared" si="6"/>
        <v>0.33</v>
      </c>
      <c r="Q13" s="31">
        <f t="shared" si="6"/>
        <v>0.34</v>
      </c>
      <c r="R13" s="31">
        <f t="shared" si="6"/>
        <v>0.35000000000000003</v>
      </c>
      <c r="S13" s="31">
        <f t="shared" si="6"/>
        <v>0.36</v>
      </c>
      <c r="T13" s="31">
        <f t="shared" si="6"/>
        <v>0.37</v>
      </c>
      <c r="U13" s="31">
        <f t="shared" si="6"/>
        <v>0.38</v>
      </c>
      <c r="V13" s="31">
        <f t="shared" si="6"/>
        <v>0.39</v>
      </c>
      <c r="W13" s="33">
        <v>0.4</v>
      </c>
      <c r="X13" s="31">
        <f>$W13+($AG13-$W13)*(X$2-$W$2)/($AG$2-$W$2)</f>
        <v>0.43</v>
      </c>
      <c r="Y13" s="31">
        <f t="shared" ref="Y13:AE13" si="7">$W13+($AG13-$W13)*(Y$2-$W$2)/($AG$2-$W$2)</f>
        <v>0.46</v>
      </c>
      <c r="Z13" s="31">
        <f t="shared" si="7"/>
        <v>0.49</v>
      </c>
      <c r="AA13" s="31">
        <f t="shared" si="7"/>
        <v>0.52</v>
      </c>
      <c r="AB13" s="31">
        <f t="shared" si="7"/>
        <v>0.55000000000000004</v>
      </c>
      <c r="AC13" s="31">
        <f t="shared" si="7"/>
        <v>0.57999999999999996</v>
      </c>
      <c r="AD13" s="31">
        <f t="shared" si="7"/>
        <v>0.61</v>
      </c>
      <c r="AE13" s="31">
        <f t="shared" si="7"/>
        <v>0.6399999999999999</v>
      </c>
      <c r="AF13" s="31">
        <f>$W13+($AG13-$W13)*(AF$2-$W$2)/($AG$2-$W$2)</f>
        <v>0.66999999999999993</v>
      </c>
      <c r="AG13" s="33">
        <v>0.7</v>
      </c>
      <c r="AH13" s="31">
        <f>$AG13+($AL13-$AG13)*(AH$2-$AG$2)/($AL$2-$AG$2)</f>
        <v>0.76</v>
      </c>
      <c r="AI13" s="31">
        <f>$AG13+($AL13-$AG13)*(AI$2-$AG$2)/($AL$2-$AG$2)</f>
        <v>0.82</v>
      </c>
      <c r="AJ13" s="31">
        <f>$AG13+($AL13-$AG13)*(AJ$2-$AG$2)/($AL$2-$AG$2)</f>
        <v>0.88</v>
      </c>
      <c r="AK13" s="31">
        <f>$AG13+($AL13-$AG13)*(AK$2-$AG$2)/($AL$2-$AG$2)</f>
        <v>0.94</v>
      </c>
      <c r="AL13" s="33">
        <v>1</v>
      </c>
      <c r="AM13" s="28">
        <f>$AL13</f>
        <v>1</v>
      </c>
      <c r="AN13" s="28">
        <f>$AL13</f>
        <v>1</v>
      </c>
      <c r="AO13" s="28">
        <f>$AL13</f>
        <v>1</v>
      </c>
      <c r="AP13" s="28">
        <f>$AL13</f>
        <v>1</v>
      </c>
      <c r="AQ13" s="28">
        <f>$AL13</f>
        <v>1</v>
      </c>
    </row>
    <row r="14" spans="1:43">
      <c r="A14" s="54" t="s">
        <v>172</v>
      </c>
      <c r="B14" s="24" t="s">
        <v>33</v>
      </c>
      <c r="C14" s="25"/>
      <c r="D14" s="25"/>
      <c r="E14" s="25"/>
      <c r="F14" s="26">
        <f>SUMIFS('EIA 2020 ESRAP Table 10'!E:E,'EIA 2020 ESRAP Table 10'!B:B,B14)</f>
        <v>24462146</v>
      </c>
      <c r="G14" s="27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32" customHeight="1">
      <c r="A15" s="54" t="s">
        <v>35</v>
      </c>
      <c r="B15" s="24" t="s">
        <v>36</v>
      </c>
      <c r="C15" s="29" t="s">
        <v>2460</v>
      </c>
      <c r="D15" s="25"/>
      <c r="E15" s="25"/>
      <c r="F15" s="26">
        <f>SUMIFS('EIA 2020 ESRAP Table 10'!E:E,'EIA 2020 ESRAP Table 10'!B:B,B15)</f>
        <v>50105868</v>
      </c>
      <c r="G15" s="33">
        <v>0.08</v>
      </c>
      <c r="H15" s="30">
        <v>0.09</v>
      </c>
      <c r="I15" s="33">
        <v>0.1</v>
      </c>
      <c r="J15" s="33">
        <v>0.115</v>
      </c>
      <c r="K15" s="33">
        <v>0.13</v>
      </c>
      <c r="L15" s="33">
        <v>0.14499999999999999</v>
      </c>
      <c r="M15" s="33">
        <v>0.16</v>
      </c>
      <c r="N15" s="33">
        <v>0.17499999999999999</v>
      </c>
      <c r="O15" s="33">
        <v>0.19</v>
      </c>
      <c r="P15" s="33">
        <v>0.20499999999999999</v>
      </c>
      <c r="Q15" s="33">
        <v>0.22</v>
      </c>
      <c r="R15" s="33">
        <v>0.23499999999999999</v>
      </c>
      <c r="S15" s="33">
        <v>0.25</v>
      </c>
      <c r="T15" s="28">
        <v>0.25</v>
      </c>
      <c r="U15" s="28">
        <v>0.25</v>
      </c>
      <c r="V15" s="28">
        <v>0.25</v>
      </c>
      <c r="W15" s="33">
        <v>0.4</v>
      </c>
      <c r="X15" s="28">
        <f>$W15+($AG15-$W15)*(X$2-$W$2)/($AG$2-$W$2)</f>
        <v>0.41000000000000003</v>
      </c>
      <c r="Y15" s="28">
        <f t="shared" ref="Y15:AF15" si="8">$W15+($AG15-$W15)*(Y$2-$W$2)/($AG$2-$W$2)</f>
        <v>0.42000000000000004</v>
      </c>
      <c r="Z15" s="28">
        <f t="shared" si="8"/>
        <v>0.43</v>
      </c>
      <c r="AA15" s="28">
        <f t="shared" si="8"/>
        <v>0.44</v>
      </c>
      <c r="AB15" s="28">
        <f t="shared" si="8"/>
        <v>0.45</v>
      </c>
      <c r="AC15" s="28">
        <f t="shared" si="8"/>
        <v>0.46</v>
      </c>
      <c r="AD15" s="28">
        <f t="shared" si="8"/>
        <v>0.47</v>
      </c>
      <c r="AE15" s="28">
        <f t="shared" si="8"/>
        <v>0.48</v>
      </c>
      <c r="AF15" s="28">
        <f t="shared" si="8"/>
        <v>0.49</v>
      </c>
      <c r="AG15" s="33">
        <v>0.5</v>
      </c>
      <c r="AH15" s="28">
        <f>AG15</f>
        <v>0.5</v>
      </c>
      <c r="AI15" s="28">
        <f t="shared" ref="AI15:AQ15" si="9">AH15</f>
        <v>0.5</v>
      </c>
      <c r="AJ15" s="28">
        <f t="shared" si="9"/>
        <v>0.5</v>
      </c>
      <c r="AK15" s="28">
        <f t="shared" si="9"/>
        <v>0.5</v>
      </c>
      <c r="AL15" s="28">
        <f t="shared" si="9"/>
        <v>0.5</v>
      </c>
      <c r="AM15" s="28">
        <f t="shared" si="9"/>
        <v>0.5</v>
      </c>
      <c r="AN15" s="28">
        <f t="shared" si="9"/>
        <v>0.5</v>
      </c>
      <c r="AO15" s="28">
        <f t="shared" si="9"/>
        <v>0.5</v>
      </c>
      <c r="AP15" s="28">
        <f t="shared" si="9"/>
        <v>0.5</v>
      </c>
      <c r="AQ15" s="28">
        <f t="shared" si="9"/>
        <v>0.5</v>
      </c>
    </row>
    <row r="16" spans="1:43" ht="16" customHeight="1">
      <c r="A16" s="54" t="s">
        <v>173</v>
      </c>
      <c r="B16" s="24" t="s">
        <v>39</v>
      </c>
      <c r="C16" s="29" t="s">
        <v>174</v>
      </c>
      <c r="D16" s="25"/>
      <c r="E16" s="25"/>
      <c r="F16" s="26">
        <f>SUMIFS('EIA 2020 ESRAP Table 10'!E:E,'EIA 2020 ESRAP Table 10'!B:B,B16)</f>
        <v>97204795</v>
      </c>
      <c r="G16" s="33">
        <v>0.04</v>
      </c>
      <c r="H16" s="31">
        <f>$G16+($L16-$G16)*(H$2-$G$2)/($L$2-$G$2)</f>
        <v>4.5999999999999999E-2</v>
      </c>
      <c r="I16" s="31">
        <f>$G16+($L16-$G16)*(I$2-$G$2)/($L$2-$G$2)</f>
        <v>5.2000000000000005E-2</v>
      </c>
      <c r="J16" s="31">
        <f>$G16+($L16-$G16)*(J$2-$G$2)/($L$2-$G$2)</f>
        <v>5.800000000000001E-2</v>
      </c>
      <c r="K16" s="31">
        <f>$G16+($L16-$G16)*(K$2-$G$2)/($L$2-$G$2)</f>
        <v>6.4000000000000001E-2</v>
      </c>
      <c r="L16" s="30">
        <v>7.0000000000000007E-2</v>
      </c>
      <c r="M16" s="31">
        <f>$L16+($R16-$L16)*(M$2-$L$2)/($R$2-$L$2)</f>
        <v>7.5000000000000011E-2</v>
      </c>
      <c r="N16" s="31">
        <f>$L16+($R16-$L16)*(N$2-$L$2)/($R$2-$L$2)</f>
        <v>0.08</v>
      </c>
      <c r="O16" s="31">
        <f>$L16+($R16-$L16)*(O$2-$L$2)/($R$2-$L$2)</f>
        <v>8.5000000000000006E-2</v>
      </c>
      <c r="P16" s="31">
        <f>$L16+($R16-$L16)*(P$2-$L$2)/($R$2-$L$2)</f>
        <v>9.0000000000000011E-2</v>
      </c>
      <c r="Q16" s="31">
        <f>$L16+($R16-$L16)*(Q$2-$L$2)/($R$2-$L$2)</f>
        <v>9.5000000000000001E-2</v>
      </c>
      <c r="R16" s="33">
        <v>0.1</v>
      </c>
      <c r="S16" s="28">
        <f t="shared" ref="S16:AQ16" si="10">$R16</f>
        <v>0.1</v>
      </c>
      <c r="T16" s="28">
        <f t="shared" si="10"/>
        <v>0.1</v>
      </c>
      <c r="U16" s="28">
        <f t="shared" si="10"/>
        <v>0.1</v>
      </c>
      <c r="V16" s="28">
        <f t="shared" si="10"/>
        <v>0.1</v>
      </c>
      <c r="W16" s="28">
        <f t="shared" si="10"/>
        <v>0.1</v>
      </c>
      <c r="X16" s="28">
        <f t="shared" si="10"/>
        <v>0.1</v>
      </c>
      <c r="Y16" s="28">
        <f t="shared" si="10"/>
        <v>0.1</v>
      </c>
      <c r="Z16" s="28">
        <f t="shared" si="10"/>
        <v>0.1</v>
      </c>
      <c r="AA16" s="28">
        <f t="shared" si="10"/>
        <v>0.1</v>
      </c>
      <c r="AB16" s="28">
        <f t="shared" si="10"/>
        <v>0.1</v>
      </c>
      <c r="AC16" s="28">
        <f t="shared" si="10"/>
        <v>0.1</v>
      </c>
      <c r="AD16" s="28">
        <f t="shared" si="10"/>
        <v>0.1</v>
      </c>
      <c r="AE16" s="28">
        <f t="shared" si="10"/>
        <v>0.1</v>
      </c>
      <c r="AF16" s="28">
        <f t="shared" si="10"/>
        <v>0.1</v>
      </c>
      <c r="AG16" s="28">
        <f t="shared" si="10"/>
        <v>0.1</v>
      </c>
      <c r="AH16" s="28">
        <f t="shared" si="10"/>
        <v>0.1</v>
      </c>
      <c r="AI16" s="28">
        <f t="shared" si="10"/>
        <v>0.1</v>
      </c>
      <c r="AJ16" s="28">
        <f t="shared" si="10"/>
        <v>0.1</v>
      </c>
      <c r="AK16" s="28">
        <f t="shared" si="10"/>
        <v>0.1</v>
      </c>
      <c r="AL16" s="28">
        <f t="shared" si="10"/>
        <v>0.1</v>
      </c>
      <c r="AM16" s="28">
        <f t="shared" si="10"/>
        <v>0.1</v>
      </c>
      <c r="AN16" s="28">
        <f t="shared" si="10"/>
        <v>0.1</v>
      </c>
      <c r="AO16" s="28">
        <f t="shared" si="10"/>
        <v>0.1</v>
      </c>
      <c r="AP16" s="28">
        <f t="shared" si="10"/>
        <v>0.1</v>
      </c>
      <c r="AQ16" s="28">
        <f t="shared" si="10"/>
        <v>0.1</v>
      </c>
    </row>
    <row r="17" spans="1:43">
      <c r="A17" s="54" t="s">
        <v>175</v>
      </c>
      <c r="B17" s="24" t="s">
        <v>41</v>
      </c>
      <c r="C17" s="25"/>
      <c r="D17" s="25"/>
      <c r="E17" s="25"/>
      <c r="F17" s="26">
        <f>SUMIFS('EIA 2020 ESRAP Table 10'!E:E,'EIA 2020 ESRAP Table 10'!B:B,B17)</f>
        <v>50584492</v>
      </c>
      <c r="G17" s="27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>
      <c r="A18" s="54" t="s">
        <v>176</v>
      </c>
      <c r="B18" s="24" t="s">
        <v>44</v>
      </c>
      <c r="C18" s="29"/>
      <c r="D18" s="25"/>
      <c r="E18" s="25"/>
      <c r="F18" s="26">
        <f>SUMIFS('EIA 2020 ESRAP Table 10'!E:E,'EIA 2020 ESRAP Table 10'!B:B,B18)</f>
        <v>39499427</v>
      </c>
      <c r="G18" s="27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>
      <c r="A19" s="54" t="s">
        <v>177</v>
      </c>
      <c r="B19" s="24" t="s">
        <v>47</v>
      </c>
      <c r="C19" s="25"/>
      <c r="D19" s="25"/>
      <c r="E19" s="25"/>
      <c r="F19" s="26">
        <f>SUMIFS('EIA 2020 ESRAP Table 10'!E:E,'EIA 2020 ESRAP Table 10'!B:B,B19)</f>
        <v>71680321</v>
      </c>
      <c r="G19" s="27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>
      <c r="A20" s="54" t="s">
        <v>178</v>
      </c>
      <c r="B20" s="24" t="s">
        <v>50</v>
      </c>
      <c r="C20" s="25"/>
      <c r="D20" s="25"/>
      <c r="E20" s="25"/>
      <c r="F20" s="26">
        <f>SUMIFS('EIA 2020 ESRAP Table 10'!E:E,'EIA 2020 ESRAP Table 10'!B:B,B20)</f>
        <v>89173644</v>
      </c>
      <c r="G20" s="27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64.5" customHeight="1">
      <c r="A21" s="54" t="s">
        <v>179</v>
      </c>
      <c r="B21" s="24" t="s">
        <v>52</v>
      </c>
      <c r="C21" s="29" t="s">
        <v>1812</v>
      </c>
      <c r="D21" s="25"/>
      <c r="E21" s="25" t="s">
        <v>181</v>
      </c>
      <c r="F21" s="26">
        <f>SUMIFS('EIA 2020 ESRAP Table 10'!E:E,'EIA 2020 ESRAP Table 10'!B:B,B21)</f>
        <v>6244700</v>
      </c>
      <c r="G21" s="33">
        <v>7.0000000000000007E-2</v>
      </c>
      <c r="H21" s="30">
        <v>0.08</v>
      </c>
      <c r="I21" s="30">
        <v>0.09</v>
      </c>
      <c r="J21" s="33">
        <v>0.4</v>
      </c>
      <c r="K21" s="28">
        <f>J21+(($W$21-$J$21)/13)</f>
        <v>0.43076923076923079</v>
      </c>
      <c r="L21" s="28">
        <f t="shared" ref="L21:V21" si="11">K21+(($W$21-$J$21)/13)</f>
        <v>0.46153846153846156</v>
      </c>
      <c r="M21" s="28">
        <f t="shared" si="11"/>
        <v>0.49230769230769234</v>
      </c>
      <c r="N21" s="28">
        <f t="shared" si="11"/>
        <v>0.52307692307692311</v>
      </c>
      <c r="O21" s="28">
        <f t="shared" si="11"/>
        <v>0.55384615384615388</v>
      </c>
      <c r="P21" s="28">
        <f t="shared" si="11"/>
        <v>0.58461538461538465</v>
      </c>
      <c r="Q21" s="28">
        <f t="shared" si="11"/>
        <v>0.61538461538461542</v>
      </c>
      <c r="R21" s="28">
        <f t="shared" si="11"/>
        <v>0.64615384615384619</v>
      </c>
      <c r="S21" s="28">
        <f t="shared" si="11"/>
        <v>0.67692307692307696</v>
      </c>
      <c r="T21" s="28">
        <f t="shared" si="11"/>
        <v>0.70769230769230773</v>
      </c>
      <c r="U21" s="28">
        <f t="shared" si="11"/>
        <v>0.7384615384615385</v>
      </c>
      <c r="V21" s="28">
        <f t="shared" si="11"/>
        <v>0.76923076923076927</v>
      </c>
      <c r="W21" s="46">
        <v>0.8</v>
      </c>
      <c r="X21" s="28">
        <f>W21+(($AQ$21-$W$21)/20)</f>
        <v>0.81</v>
      </c>
      <c r="Y21" s="28">
        <f t="shared" ref="Y21:AP21" si="12">X21+(($AQ$21-$W$21)/20)</f>
        <v>0.82000000000000006</v>
      </c>
      <c r="Z21" s="28">
        <f t="shared" si="12"/>
        <v>0.83000000000000007</v>
      </c>
      <c r="AA21" s="28">
        <f t="shared" si="12"/>
        <v>0.84000000000000008</v>
      </c>
      <c r="AB21" s="28">
        <f t="shared" si="12"/>
        <v>0.85000000000000009</v>
      </c>
      <c r="AC21" s="28">
        <f t="shared" si="12"/>
        <v>0.8600000000000001</v>
      </c>
      <c r="AD21" s="28">
        <f t="shared" si="12"/>
        <v>0.87000000000000011</v>
      </c>
      <c r="AE21" s="28">
        <f t="shared" si="12"/>
        <v>0.88000000000000012</v>
      </c>
      <c r="AF21" s="28">
        <f t="shared" si="12"/>
        <v>0.89000000000000012</v>
      </c>
      <c r="AG21" s="28">
        <f t="shared" si="12"/>
        <v>0.90000000000000013</v>
      </c>
      <c r="AH21" s="28">
        <f t="shared" si="12"/>
        <v>0.91000000000000014</v>
      </c>
      <c r="AI21" s="28">
        <f t="shared" si="12"/>
        <v>0.92000000000000015</v>
      </c>
      <c r="AJ21" s="28">
        <f t="shared" si="12"/>
        <v>0.93000000000000016</v>
      </c>
      <c r="AK21" s="28">
        <f t="shared" si="12"/>
        <v>0.94000000000000017</v>
      </c>
      <c r="AL21" s="28">
        <f t="shared" si="12"/>
        <v>0.95000000000000018</v>
      </c>
      <c r="AM21" s="28">
        <f t="shared" si="12"/>
        <v>0.96000000000000019</v>
      </c>
      <c r="AN21" s="28">
        <f t="shared" si="12"/>
        <v>0.9700000000000002</v>
      </c>
      <c r="AO21" s="28">
        <f t="shared" si="12"/>
        <v>0.9800000000000002</v>
      </c>
      <c r="AP21" s="28">
        <f t="shared" si="12"/>
        <v>0.99000000000000021</v>
      </c>
      <c r="AQ21" s="33">
        <v>1</v>
      </c>
    </row>
    <row r="22" spans="1:43" ht="68.5" customHeight="1">
      <c r="A22" s="54" t="s">
        <v>180</v>
      </c>
      <c r="B22" s="24" t="s">
        <v>54</v>
      </c>
      <c r="C22" s="29" t="s">
        <v>2370</v>
      </c>
      <c r="D22" s="25"/>
      <c r="E22" s="25" t="s">
        <v>181</v>
      </c>
      <c r="F22" s="26">
        <f>SUMIFS('EIA 2020 ESRAP Table 10'!E:E,'EIA 2020 ESRAP Table 10'!B:B,B22)</f>
        <v>29323992</v>
      </c>
      <c r="G22" s="36">
        <f>0.0035+0.0995+0.025</f>
        <v>0.128</v>
      </c>
      <c r="H22" s="30">
        <f>0.005+0.1+0.025</f>
        <v>0.13</v>
      </c>
      <c r="I22" s="30">
        <f>0.007+0.12+0.025</f>
        <v>0.152</v>
      </c>
      <c r="J22" s="30">
        <f>0.0095+0.1215+0.025</f>
        <v>0.156</v>
      </c>
      <c r="K22" s="30">
        <f>0.014+0.144+0.025</f>
        <v>0.183</v>
      </c>
      <c r="L22" s="30">
        <v>0.20399999999999999</v>
      </c>
      <c r="M22" s="30">
        <v>0.30499999999999999</v>
      </c>
      <c r="N22" s="28">
        <f t="shared" ref="N22:V22" si="13">($W$22-$M$22)/COUNT($N$2:$W$2)+M22</f>
        <v>0.32450000000000001</v>
      </c>
      <c r="O22" s="28">
        <f t="shared" si="13"/>
        <v>0.34400000000000003</v>
      </c>
      <c r="P22" s="28">
        <f t="shared" si="13"/>
        <v>0.36350000000000005</v>
      </c>
      <c r="Q22" s="28">
        <f t="shared" si="13"/>
        <v>0.38300000000000006</v>
      </c>
      <c r="R22" s="28">
        <f t="shared" si="13"/>
        <v>0.40250000000000008</v>
      </c>
      <c r="S22" s="28">
        <f t="shared" si="13"/>
        <v>0.4220000000000001</v>
      </c>
      <c r="T22" s="28">
        <f t="shared" si="13"/>
        <v>0.44150000000000011</v>
      </c>
      <c r="U22" s="28">
        <f t="shared" si="13"/>
        <v>0.46100000000000013</v>
      </c>
      <c r="V22" s="28">
        <f t="shared" si="13"/>
        <v>0.48050000000000015</v>
      </c>
      <c r="W22" s="33">
        <v>0.5</v>
      </c>
      <c r="X22" s="28">
        <f t="shared" ref="X22:AQ22" si="14">W22</f>
        <v>0.5</v>
      </c>
      <c r="Y22" s="28">
        <f t="shared" si="14"/>
        <v>0.5</v>
      </c>
      <c r="Z22" s="28">
        <f t="shared" si="14"/>
        <v>0.5</v>
      </c>
      <c r="AA22" s="28">
        <f t="shared" si="14"/>
        <v>0.5</v>
      </c>
      <c r="AB22" s="28">
        <f t="shared" si="14"/>
        <v>0.5</v>
      </c>
      <c r="AC22" s="28">
        <f t="shared" si="14"/>
        <v>0.5</v>
      </c>
      <c r="AD22" s="28">
        <f t="shared" si="14"/>
        <v>0.5</v>
      </c>
      <c r="AE22" s="28">
        <f t="shared" si="14"/>
        <v>0.5</v>
      </c>
      <c r="AF22" s="28">
        <f t="shared" si="14"/>
        <v>0.5</v>
      </c>
      <c r="AG22" s="28">
        <f t="shared" si="14"/>
        <v>0.5</v>
      </c>
      <c r="AH22" s="28">
        <f t="shared" si="14"/>
        <v>0.5</v>
      </c>
      <c r="AI22" s="28">
        <f t="shared" si="14"/>
        <v>0.5</v>
      </c>
      <c r="AJ22" s="28">
        <f t="shared" si="14"/>
        <v>0.5</v>
      </c>
      <c r="AK22" s="28">
        <f t="shared" si="14"/>
        <v>0.5</v>
      </c>
      <c r="AL22" s="28">
        <f t="shared" si="14"/>
        <v>0.5</v>
      </c>
      <c r="AM22" s="28">
        <f t="shared" si="14"/>
        <v>0.5</v>
      </c>
      <c r="AN22" s="28">
        <f t="shared" si="14"/>
        <v>0.5</v>
      </c>
      <c r="AO22" s="28">
        <f t="shared" si="14"/>
        <v>0.5</v>
      </c>
      <c r="AP22" s="28">
        <f t="shared" si="14"/>
        <v>0.5</v>
      </c>
      <c r="AQ22" s="28">
        <f t="shared" si="14"/>
        <v>0.5</v>
      </c>
    </row>
    <row r="23" spans="1:43" ht="92" customHeight="1">
      <c r="A23" s="54" t="s">
        <v>182</v>
      </c>
      <c r="B23" s="24" t="s">
        <v>56</v>
      </c>
      <c r="C23" s="47" t="s">
        <v>1814</v>
      </c>
      <c r="D23" s="25"/>
      <c r="E23" s="25"/>
      <c r="F23" s="26">
        <f>SUMIFS('EIA 2020 ESRAP Table 10'!E:E,'EIA 2020 ESRAP Table 10'!B:B,B23)</f>
        <v>19254072</v>
      </c>
      <c r="G23" s="30">
        <v>0.1075</v>
      </c>
      <c r="H23" s="30">
        <v>0.12</v>
      </c>
      <c r="I23" s="30">
        <v>0.13</v>
      </c>
      <c r="J23" s="30">
        <v>0.14000000000000001</v>
      </c>
      <c r="K23" s="30">
        <v>0.15</v>
      </c>
      <c r="L23" s="48">
        <f>K23+(($W$23-$K$23)/12)</f>
        <v>0.16666666666666666</v>
      </c>
      <c r="M23" s="48">
        <f t="shared" ref="M23:V23" si="15">L23+(($W$23-$K$23)/12)</f>
        <v>0.18333333333333332</v>
      </c>
      <c r="N23" s="48">
        <f t="shared" si="15"/>
        <v>0.19999999999999998</v>
      </c>
      <c r="O23" s="48">
        <f t="shared" si="15"/>
        <v>0.21666666666666665</v>
      </c>
      <c r="P23" s="48">
        <f t="shared" si="15"/>
        <v>0.23333333333333331</v>
      </c>
      <c r="Q23" s="48">
        <f t="shared" si="15"/>
        <v>0.24999999999999997</v>
      </c>
      <c r="R23" s="48">
        <f t="shared" si="15"/>
        <v>0.26666666666666666</v>
      </c>
      <c r="S23" s="48">
        <f t="shared" si="15"/>
        <v>0.28333333333333333</v>
      </c>
      <c r="T23" s="48">
        <f t="shared" si="15"/>
        <v>0.3</v>
      </c>
      <c r="U23" s="48">
        <f t="shared" si="15"/>
        <v>0.31666666666666665</v>
      </c>
      <c r="V23" s="48">
        <f t="shared" si="15"/>
        <v>0.33333333333333331</v>
      </c>
      <c r="W23" s="36">
        <v>0.35</v>
      </c>
      <c r="X23" s="36">
        <f t="shared" ref="X23:AQ23" si="16">W23+1%</f>
        <v>0.36</v>
      </c>
      <c r="Y23" s="36">
        <f t="shared" si="16"/>
        <v>0.37</v>
      </c>
      <c r="Z23" s="36">
        <f t="shared" si="16"/>
        <v>0.38</v>
      </c>
      <c r="AA23" s="36">
        <f t="shared" si="16"/>
        <v>0.39</v>
      </c>
      <c r="AB23" s="36">
        <f t="shared" si="16"/>
        <v>0.4</v>
      </c>
      <c r="AC23" s="36">
        <f t="shared" si="16"/>
        <v>0.41000000000000003</v>
      </c>
      <c r="AD23" s="36">
        <f t="shared" si="16"/>
        <v>0.42000000000000004</v>
      </c>
      <c r="AE23" s="36">
        <f t="shared" si="16"/>
        <v>0.43000000000000005</v>
      </c>
      <c r="AF23" s="36">
        <f t="shared" si="16"/>
        <v>0.44000000000000006</v>
      </c>
      <c r="AG23" s="36">
        <f t="shared" si="16"/>
        <v>0.45000000000000007</v>
      </c>
      <c r="AH23" s="36">
        <f t="shared" si="16"/>
        <v>0.46000000000000008</v>
      </c>
      <c r="AI23" s="36">
        <f t="shared" si="16"/>
        <v>0.47000000000000008</v>
      </c>
      <c r="AJ23" s="36">
        <f t="shared" si="16"/>
        <v>0.48000000000000009</v>
      </c>
      <c r="AK23" s="36">
        <f t="shared" si="16"/>
        <v>0.4900000000000001</v>
      </c>
      <c r="AL23" s="36">
        <f t="shared" si="16"/>
        <v>0.50000000000000011</v>
      </c>
      <c r="AM23" s="36">
        <f t="shared" si="16"/>
        <v>0.51000000000000012</v>
      </c>
      <c r="AN23" s="36">
        <f t="shared" si="16"/>
        <v>0.52000000000000013</v>
      </c>
      <c r="AO23" s="36">
        <f t="shared" si="16"/>
        <v>0.53000000000000014</v>
      </c>
      <c r="AP23" s="36">
        <f t="shared" si="16"/>
        <v>0.54000000000000015</v>
      </c>
      <c r="AQ23" s="36">
        <f t="shared" si="16"/>
        <v>0.55000000000000016</v>
      </c>
    </row>
    <row r="24" spans="1:43" ht="48.5" customHeight="1">
      <c r="A24" s="54" t="s">
        <v>183</v>
      </c>
      <c r="B24" s="24" t="s">
        <v>58</v>
      </c>
      <c r="C24" s="29" t="s">
        <v>1815</v>
      </c>
      <c r="D24" s="25"/>
      <c r="E24" s="25"/>
      <c r="F24" s="26">
        <f>SUMIFS('EIA 2020 ESRAP Table 10'!E:E,'EIA 2020 ESRAP Table 10'!B:B,B24)</f>
        <v>88672937</v>
      </c>
      <c r="G24" s="30">
        <v>8.1000000000000003E-2</v>
      </c>
      <c r="H24" s="30">
        <v>0.1</v>
      </c>
      <c r="I24" s="30">
        <f>$H24</f>
        <v>0.1</v>
      </c>
      <c r="J24" s="30">
        <f>$H24</f>
        <v>0.1</v>
      </c>
      <c r="K24" s="30">
        <v>0.1</v>
      </c>
      <c r="L24" s="30">
        <v>0.125</v>
      </c>
      <c r="M24" s="30">
        <v>0.125</v>
      </c>
      <c r="N24" s="30">
        <v>0.15</v>
      </c>
      <c r="O24" s="28">
        <f t="shared" ref="O24:AQ24" si="17">N24</f>
        <v>0.15</v>
      </c>
      <c r="P24" s="28">
        <f t="shared" si="17"/>
        <v>0.15</v>
      </c>
      <c r="Q24" s="28">
        <f t="shared" si="17"/>
        <v>0.15</v>
      </c>
      <c r="R24" s="28">
        <f t="shared" si="17"/>
        <v>0.15</v>
      </c>
      <c r="S24" s="28">
        <f t="shared" si="17"/>
        <v>0.15</v>
      </c>
      <c r="T24" s="28">
        <f t="shared" si="17"/>
        <v>0.15</v>
      </c>
      <c r="U24" s="28">
        <f t="shared" si="17"/>
        <v>0.15</v>
      </c>
      <c r="V24" s="28">
        <f t="shared" si="17"/>
        <v>0.15</v>
      </c>
      <c r="W24" s="28">
        <f t="shared" si="17"/>
        <v>0.15</v>
      </c>
      <c r="X24" s="28">
        <f t="shared" si="17"/>
        <v>0.15</v>
      </c>
      <c r="Y24" s="28">
        <f t="shared" si="17"/>
        <v>0.15</v>
      </c>
      <c r="Z24" s="28">
        <f t="shared" si="17"/>
        <v>0.15</v>
      </c>
      <c r="AA24" s="28">
        <f t="shared" si="17"/>
        <v>0.15</v>
      </c>
      <c r="AB24" s="28">
        <f t="shared" si="17"/>
        <v>0.15</v>
      </c>
      <c r="AC24" s="28">
        <f t="shared" si="17"/>
        <v>0.15</v>
      </c>
      <c r="AD24" s="28">
        <f t="shared" si="17"/>
        <v>0.15</v>
      </c>
      <c r="AE24" s="28">
        <f t="shared" si="17"/>
        <v>0.15</v>
      </c>
      <c r="AF24" s="28">
        <f t="shared" si="17"/>
        <v>0.15</v>
      </c>
      <c r="AG24" s="28">
        <f t="shared" si="17"/>
        <v>0.15</v>
      </c>
      <c r="AH24" s="28">
        <f t="shared" si="17"/>
        <v>0.15</v>
      </c>
      <c r="AI24" s="28">
        <f t="shared" si="17"/>
        <v>0.15</v>
      </c>
      <c r="AJ24" s="28">
        <f t="shared" si="17"/>
        <v>0.15</v>
      </c>
      <c r="AK24" s="28">
        <f t="shared" si="17"/>
        <v>0.15</v>
      </c>
      <c r="AL24" s="28">
        <f t="shared" si="17"/>
        <v>0.15</v>
      </c>
      <c r="AM24" s="28">
        <f t="shared" si="17"/>
        <v>0.15</v>
      </c>
      <c r="AN24" s="28">
        <f t="shared" si="17"/>
        <v>0.15</v>
      </c>
      <c r="AO24" s="28">
        <f t="shared" si="17"/>
        <v>0.15</v>
      </c>
      <c r="AP24" s="28">
        <f t="shared" si="17"/>
        <v>0.15</v>
      </c>
      <c r="AQ24" s="28">
        <f t="shared" si="17"/>
        <v>0.15</v>
      </c>
    </row>
    <row r="25" spans="1:43" ht="48" customHeight="1">
      <c r="A25" s="54" t="s">
        <v>184</v>
      </c>
      <c r="B25" s="24" t="s">
        <v>60</v>
      </c>
      <c r="C25" s="37" t="s">
        <v>185</v>
      </c>
      <c r="D25" s="25"/>
      <c r="E25" s="25"/>
      <c r="F25" s="26">
        <f>SUMIFS('EIA 2020 ESRAP Table 10'!E:E,'EIA 2020 ESRAP Table 10'!B:B,B25)</f>
        <v>63468353</v>
      </c>
      <c r="G25" s="32">
        <f>(0.18*'Extra State Data'!$B$2+0.12*'Extra State Data'!$B$3+0.12*'Extra State Data'!$B$5)/'Extra State Data'!$B$4+(I25-((0.18*'Extra State Data'!$B$2+0.12*'Extra State Data'!$B$3+0.12*'Extra State Data'!$B$5)/'Extra State Data'!$B$4))/4*(G2-2013)</f>
        <v>0.13260364227323373</v>
      </c>
      <c r="H25" s="31">
        <f>$G25+($I25-$G25)*(H$2-$G$2)/($I$2-$G$2)</f>
        <v>0.15136560099706839</v>
      </c>
      <c r="I25" s="32">
        <f>(0.25*'Extra State Data'!$B$2+0.17*'Extra State Data'!$B$3+0.17*'Extra State Data'!$B$5)/'Extra State Data'!$B$4</f>
        <v>0.17012755972090304</v>
      </c>
      <c r="J25" s="31">
        <f>$I25+($M25-$I25)*(J$2-$I$2)/($M$2-$I$2)</f>
        <v>0.17997811777277273</v>
      </c>
      <c r="K25" s="31">
        <f>$I25+($M25-$I25)*(K$2-$I$2)/($M$2-$I$2)</f>
        <v>0.18982867582464241</v>
      </c>
      <c r="L25" s="31">
        <f>$I25+($M25-$I25)*(L$2-$I$2)/($M$2-$I$2)</f>
        <v>0.19967923387651212</v>
      </c>
      <c r="M25" s="32">
        <f>(0.315*'Extra State Data'!$B$2+0.215*'Extra State Data'!$B$3+0.2*'Extra State Data'!$B$5)/'Extra State Data'!$B$4</f>
        <v>0.20952979192838181</v>
      </c>
      <c r="N25" s="31">
        <f>$M25+($R25-$M25)*(N$2-$M$2)/($R$2-$M$2)</f>
        <v>0.21951384696326892</v>
      </c>
      <c r="O25" s="31">
        <f>$M25+($R25-$M25)*(O$2-$M$2)/($R$2-$M$2)</f>
        <v>0.22949790199815603</v>
      </c>
      <c r="P25" s="31">
        <f>$M25+($R25-$M25)*(P$2-$M$2)/($R$2-$M$2)</f>
        <v>0.23948195703304315</v>
      </c>
      <c r="Q25" s="31">
        <f>$M25+($R25-$M25)*(Q$2-$M$2)/($R$2-$M$2)</f>
        <v>0.24946601206793026</v>
      </c>
      <c r="R25" s="32">
        <f>(0.315*'Extra State Data'!$B$2+0.265*'Extra State Data'!$B$3+0.25*'Extra State Data'!$B$5)/'Extra State Data'!$B$4</f>
        <v>0.25945006710281737</v>
      </c>
      <c r="S25" s="31">
        <f t="shared" ref="S25:AQ25" si="18">$R25</f>
        <v>0.25945006710281737</v>
      </c>
      <c r="T25" s="31">
        <f t="shared" si="18"/>
        <v>0.25945006710281737</v>
      </c>
      <c r="U25" s="31">
        <f t="shared" si="18"/>
        <v>0.25945006710281737</v>
      </c>
      <c r="V25" s="31">
        <f t="shared" si="18"/>
        <v>0.25945006710281737</v>
      </c>
      <c r="W25" s="31">
        <f t="shared" si="18"/>
        <v>0.25945006710281737</v>
      </c>
      <c r="X25" s="31">
        <f t="shared" si="18"/>
        <v>0.25945006710281737</v>
      </c>
      <c r="Y25" s="31">
        <f t="shared" si="18"/>
        <v>0.25945006710281737</v>
      </c>
      <c r="Z25" s="31">
        <f t="shared" si="18"/>
        <v>0.25945006710281737</v>
      </c>
      <c r="AA25" s="31">
        <f t="shared" si="18"/>
        <v>0.25945006710281737</v>
      </c>
      <c r="AB25" s="31">
        <f t="shared" si="18"/>
        <v>0.25945006710281737</v>
      </c>
      <c r="AC25" s="31">
        <f t="shared" si="18"/>
        <v>0.25945006710281737</v>
      </c>
      <c r="AD25" s="31">
        <f t="shared" si="18"/>
        <v>0.25945006710281737</v>
      </c>
      <c r="AE25" s="31">
        <f t="shared" si="18"/>
        <v>0.25945006710281737</v>
      </c>
      <c r="AF25" s="31">
        <f t="shared" si="18"/>
        <v>0.25945006710281737</v>
      </c>
      <c r="AG25" s="31">
        <f t="shared" si="18"/>
        <v>0.25945006710281737</v>
      </c>
      <c r="AH25" s="31">
        <f t="shared" si="18"/>
        <v>0.25945006710281737</v>
      </c>
      <c r="AI25" s="31">
        <f t="shared" si="18"/>
        <v>0.25945006710281737</v>
      </c>
      <c r="AJ25" s="31">
        <f t="shared" si="18"/>
        <v>0.25945006710281737</v>
      </c>
      <c r="AK25" s="31">
        <f t="shared" si="18"/>
        <v>0.25945006710281737</v>
      </c>
      <c r="AL25" s="31">
        <f t="shared" si="18"/>
        <v>0.25945006710281737</v>
      </c>
      <c r="AM25" s="31">
        <f t="shared" si="18"/>
        <v>0.25945006710281737</v>
      </c>
      <c r="AN25" s="31">
        <f t="shared" si="18"/>
        <v>0.25945006710281737</v>
      </c>
      <c r="AO25" s="31">
        <f t="shared" si="18"/>
        <v>0.25945006710281737</v>
      </c>
      <c r="AP25" s="31">
        <f t="shared" si="18"/>
        <v>0.25945006710281737</v>
      </c>
      <c r="AQ25" s="31">
        <f t="shared" si="18"/>
        <v>0.25945006710281737</v>
      </c>
    </row>
    <row r="26" spans="1:43">
      <c r="A26" s="54" t="s">
        <v>186</v>
      </c>
      <c r="B26" s="24" t="s">
        <v>62</v>
      </c>
      <c r="C26" s="25"/>
      <c r="D26" s="25"/>
      <c r="E26" s="25"/>
      <c r="F26" s="26">
        <f>SUMIFS('EIA 2020 ESRAP Table 10'!E:E,'EIA 2020 ESRAP Table 10'!B:B,B26)</f>
        <v>91694180</v>
      </c>
      <c r="G26" s="27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</row>
    <row r="27" spans="1:43" ht="32" customHeight="1">
      <c r="A27" s="54" t="s">
        <v>187</v>
      </c>
      <c r="B27" s="24" t="s">
        <v>64</v>
      </c>
      <c r="C27" s="29" t="s">
        <v>188</v>
      </c>
      <c r="D27" s="25"/>
      <c r="E27" s="25"/>
      <c r="F27" s="26">
        <f>SUMIFS('EIA 2020 ESRAP Table 10'!E:E,'EIA 2020 ESRAP Table 10'!B:B,B27)</f>
        <v>75850848</v>
      </c>
      <c r="G27" s="35">
        <f>0.05*'Extra State Data'!$B$37/'Extra State Data'!$B$38</f>
        <v>3.3869851408329217E-2</v>
      </c>
      <c r="H27" s="31">
        <f>$G27+($K27-$G27)*(H$2-$G$2)/($K$2-$G$2)</f>
        <v>4.233731426041152E-2</v>
      </c>
      <c r="I27" s="31">
        <f>$G27+($K27-$G27)*(I$2-$G$2)/($K$2-$G$2)</f>
        <v>5.0804777112493829E-2</v>
      </c>
      <c r="J27" s="31">
        <f>$G27+($K27-$G27)*(J$2-$G$2)/($K$2-$G$2)</f>
        <v>5.9272239964576132E-2</v>
      </c>
      <c r="K27" s="35">
        <f>0.1*'Extra State Data'!$B$37/'Extra State Data'!$B$38</f>
        <v>6.7739702816658434E-2</v>
      </c>
      <c r="L27" s="31">
        <f>$K27+($O27-$K27)*(L$2-$K$2)/($O$2-$K$2)</f>
        <v>7.6207165668740737E-2</v>
      </c>
      <c r="M27" s="31">
        <f>$K27+($O27-$K27)*(M$2-$K$2)/($O$2-$K$2)</f>
        <v>8.4674628520823025E-2</v>
      </c>
      <c r="N27" s="31">
        <f>$K27+($O27-$K27)*(N$2-$K$2)/($O$2-$K$2)</f>
        <v>9.3142091372905328E-2</v>
      </c>
      <c r="O27" s="35">
        <f>0.15*'Extra State Data'!$B$37/'Extra State Data'!$B$38</f>
        <v>0.10160955422498763</v>
      </c>
      <c r="P27" s="38">
        <f t="shared" ref="P27:AQ27" si="19">$O27</f>
        <v>0.10160955422498763</v>
      </c>
      <c r="Q27" s="38">
        <f t="shared" si="19"/>
        <v>0.10160955422498763</v>
      </c>
      <c r="R27" s="38">
        <f t="shared" si="19"/>
        <v>0.10160955422498763</v>
      </c>
      <c r="S27" s="38">
        <f t="shared" si="19"/>
        <v>0.10160955422498763</v>
      </c>
      <c r="T27" s="38">
        <f t="shared" si="19"/>
        <v>0.10160955422498763</v>
      </c>
      <c r="U27" s="38">
        <f t="shared" si="19"/>
        <v>0.10160955422498763</v>
      </c>
      <c r="V27" s="38">
        <f t="shared" si="19"/>
        <v>0.10160955422498763</v>
      </c>
      <c r="W27" s="38">
        <f t="shared" si="19"/>
        <v>0.10160955422498763</v>
      </c>
      <c r="X27" s="38">
        <f t="shared" si="19"/>
        <v>0.10160955422498763</v>
      </c>
      <c r="Y27" s="38">
        <f t="shared" si="19"/>
        <v>0.10160955422498763</v>
      </c>
      <c r="Z27" s="38">
        <f t="shared" si="19"/>
        <v>0.10160955422498763</v>
      </c>
      <c r="AA27" s="38">
        <f t="shared" si="19"/>
        <v>0.10160955422498763</v>
      </c>
      <c r="AB27" s="38">
        <f t="shared" si="19"/>
        <v>0.10160955422498763</v>
      </c>
      <c r="AC27" s="38">
        <f t="shared" si="19"/>
        <v>0.10160955422498763</v>
      </c>
      <c r="AD27" s="38">
        <f t="shared" si="19"/>
        <v>0.10160955422498763</v>
      </c>
      <c r="AE27" s="38">
        <f t="shared" si="19"/>
        <v>0.10160955422498763</v>
      </c>
      <c r="AF27" s="38">
        <f t="shared" si="19"/>
        <v>0.10160955422498763</v>
      </c>
      <c r="AG27" s="38">
        <f t="shared" si="19"/>
        <v>0.10160955422498763</v>
      </c>
      <c r="AH27" s="38">
        <f t="shared" si="19"/>
        <v>0.10160955422498763</v>
      </c>
      <c r="AI27" s="38">
        <f t="shared" si="19"/>
        <v>0.10160955422498763</v>
      </c>
      <c r="AJ27" s="38">
        <f t="shared" si="19"/>
        <v>0.10160955422498763</v>
      </c>
      <c r="AK27" s="38">
        <f t="shared" si="19"/>
        <v>0.10160955422498763</v>
      </c>
      <c r="AL27" s="38">
        <f t="shared" si="19"/>
        <v>0.10160955422498763</v>
      </c>
      <c r="AM27" s="38">
        <f t="shared" si="19"/>
        <v>0.10160955422498763</v>
      </c>
      <c r="AN27" s="38">
        <f t="shared" si="19"/>
        <v>0.10160955422498763</v>
      </c>
      <c r="AO27" s="38">
        <f t="shared" si="19"/>
        <v>0.10160955422498763</v>
      </c>
      <c r="AP27" s="38">
        <f t="shared" si="19"/>
        <v>0.10160955422498763</v>
      </c>
      <c r="AQ27" s="38">
        <f t="shared" si="19"/>
        <v>0.10160955422498763</v>
      </c>
    </row>
    <row r="28" spans="1:43" ht="16" customHeight="1">
      <c r="A28" s="54" t="s">
        <v>66</v>
      </c>
      <c r="B28" s="24" t="s">
        <v>67</v>
      </c>
      <c r="C28" s="29" t="s">
        <v>189</v>
      </c>
      <c r="D28" s="25"/>
      <c r="E28" s="25"/>
      <c r="F28" s="26">
        <f>SUMIFS('EIA 2020 ESRAP Table 10'!E:E,'EIA 2020 ESRAP Table 10'!B:B,B28)</f>
        <v>23594570</v>
      </c>
      <c r="G28" s="34">
        <f>(0.15-0.1)*(4/5)+0.1</f>
        <v>0.14000000000000001</v>
      </c>
      <c r="H28" s="33">
        <v>0.15</v>
      </c>
      <c r="I28" s="28">
        <f t="shared" ref="I28:AQ28" si="20">$H28</f>
        <v>0.15</v>
      </c>
      <c r="J28" s="28">
        <f t="shared" si="20"/>
        <v>0.15</v>
      </c>
      <c r="K28" s="28">
        <f t="shared" si="20"/>
        <v>0.15</v>
      </c>
      <c r="L28" s="28">
        <f t="shared" si="20"/>
        <v>0.15</v>
      </c>
      <c r="M28" s="28">
        <f t="shared" si="20"/>
        <v>0.15</v>
      </c>
      <c r="N28" s="28">
        <f t="shared" si="20"/>
        <v>0.15</v>
      </c>
      <c r="O28" s="28">
        <f t="shared" si="20"/>
        <v>0.15</v>
      </c>
      <c r="P28" s="28">
        <f t="shared" si="20"/>
        <v>0.15</v>
      </c>
      <c r="Q28" s="28">
        <f t="shared" si="20"/>
        <v>0.15</v>
      </c>
      <c r="R28" s="28">
        <f t="shared" si="20"/>
        <v>0.15</v>
      </c>
      <c r="S28" s="28">
        <f t="shared" si="20"/>
        <v>0.15</v>
      </c>
      <c r="T28" s="28">
        <f t="shared" si="20"/>
        <v>0.15</v>
      </c>
      <c r="U28" s="28">
        <f t="shared" si="20"/>
        <v>0.15</v>
      </c>
      <c r="V28" s="28">
        <f t="shared" si="20"/>
        <v>0.15</v>
      </c>
      <c r="W28" s="28">
        <f t="shared" si="20"/>
        <v>0.15</v>
      </c>
      <c r="X28" s="28">
        <f t="shared" si="20"/>
        <v>0.15</v>
      </c>
      <c r="Y28" s="28">
        <f t="shared" si="20"/>
        <v>0.15</v>
      </c>
      <c r="Z28" s="28">
        <f t="shared" si="20"/>
        <v>0.15</v>
      </c>
      <c r="AA28" s="28">
        <f t="shared" si="20"/>
        <v>0.15</v>
      </c>
      <c r="AB28" s="28">
        <f t="shared" si="20"/>
        <v>0.15</v>
      </c>
      <c r="AC28" s="28">
        <f t="shared" si="20"/>
        <v>0.15</v>
      </c>
      <c r="AD28" s="28">
        <f t="shared" si="20"/>
        <v>0.15</v>
      </c>
      <c r="AE28" s="28">
        <f t="shared" si="20"/>
        <v>0.15</v>
      </c>
      <c r="AF28" s="28">
        <f t="shared" si="20"/>
        <v>0.15</v>
      </c>
      <c r="AG28" s="28">
        <f t="shared" si="20"/>
        <v>0.15</v>
      </c>
      <c r="AH28" s="28">
        <f t="shared" si="20"/>
        <v>0.15</v>
      </c>
      <c r="AI28" s="28">
        <f t="shared" si="20"/>
        <v>0.15</v>
      </c>
      <c r="AJ28" s="28">
        <f t="shared" si="20"/>
        <v>0.15</v>
      </c>
      <c r="AK28" s="28">
        <f t="shared" si="20"/>
        <v>0.15</v>
      </c>
      <c r="AL28" s="28">
        <f t="shared" si="20"/>
        <v>0.15</v>
      </c>
      <c r="AM28" s="28">
        <f t="shared" si="20"/>
        <v>0.15</v>
      </c>
      <c r="AN28" s="28">
        <f t="shared" si="20"/>
        <v>0.15</v>
      </c>
      <c r="AO28" s="28">
        <f t="shared" si="20"/>
        <v>0.15</v>
      </c>
      <c r="AP28" s="28">
        <f t="shared" si="20"/>
        <v>0.15</v>
      </c>
      <c r="AQ28" s="28">
        <f t="shared" si="20"/>
        <v>0.15</v>
      </c>
    </row>
    <row r="29" spans="1:43">
      <c r="A29" s="54" t="s">
        <v>190</v>
      </c>
      <c r="B29" s="24" t="s">
        <v>69</v>
      </c>
      <c r="C29" s="25"/>
      <c r="D29" s="25"/>
      <c r="E29" s="25"/>
      <c r="F29" s="26">
        <f>SUMIFS('EIA 2020 ESRAP Table 10'!E:E,'EIA 2020 ESRAP Table 10'!B:B,B29)</f>
        <v>61549218</v>
      </c>
      <c r="G29" s="27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</row>
    <row r="30" spans="1:43" ht="32" customHeight="1">
      <c r="A30" s="55" t="s">
        <v>191</v>
      </c>
      <c r="B30" s="56" t="s">
        <v>71</v>
      </c>
      <c r="C30" s="57" t="s">
        <v>192</v>
      </c>
      <c r="D30" s="25"/>
      <c r="E30" s="25"/>
      <c r="F30" s="26">
        <f>SUMIFS('EIA 2020 ESRAP Table 10'!E:E,'EIA 2020 ESRAP Table 10'!B:B,B30)</f>
        <v>65411337</v>
      </c>
      <c r="G30" s="32">
        <f>0.18*'Extra State Data'!$B$42/'Extra State Data'!$B$43+(0.5*(H30-0.18*'Extra State Data'!$B$42/'Extra State Data'!$B$43))</f>
        <v>0.16889774842371036</v>
      </c>
      <c r="H30" s="32">
        <f>0.2*'Extra State Data'!$B$42/'Extra State Data'!$B$43</f>
        <v>0.17778710360390562</v>
      </c>
      <c r="I30" s="31">
        <f>$H30+($M30-$H30)*(I$2-$H$2)/($M$2-$H$2)</f>
        <v>0.18134284567598374</v>
      </c>
      <c r="J30" s="31">
        <f>$H30+($M30-$H30)*(J$2-$H$2)/($M$2-$H$2)</f>
        <v>0.18489858774806184</v>
      </c>
      <c r="K30" s="31">
        <f>$H30+($M30-$H30)*(K$2-$H$2)/($M$2-$H$2)</f>
        <v>0.18845432982013996</v>
      </c>
      <c r="L30" s="31">
        <f>$H30+($M30-$H30)*(L$2-$H$2)/($M$2-$H$2)</f>
        <v>0.19201007189221805</v>
      </c>
      <c r="M30" s="32">
        <f>0.22*'Extra State Data'!$B$42/'Extra State Data'!$B$43</f>
        <v>0.19556581396429618</v>
      </c>
      <c r="N30" s="31">
        <f t="shared" ref="N30:V30" si="21">($W$30-$M$30)/COUNT($N$2:$W$2)+M30</f>
        <v>0.22045600846884297</v>
      </c>
      <c r="O30" s="31">
        <f t="shared" si="21"/>
        <v>0.24534620297338977</v>
      </c>
      <c r="P30" s="31">
        <f t="shared" si="21"/>
        <v>0.27023639747793654</v>
      </c>
      <c r="Q30" s="31">
        <f t="shared" si="21"/>
        <v>0.29512659198248331</v>
      </c>
      <c r="R30" s="31">
        <f t="shared" si="21"/>
        <v>0.32001678648703008</v>
      </c>
      <c r="S30" s="31">
        <f t="shared" si="21"/>
        <v>0.34490698099157685</v>
      </c>
      <c r="T30" s="31">
        <f t="shared" si="21"/>
        <v>0.36979717549612362</v>
      </c>
      <c r="U30" s="31">
        <f t="shared" si="21"/>
        <v>0.39468737000067039</v>
      </c>
      <c r="V30" s="31">
        <f t="shared" si="21"/>
        <v>0.41957756450521716</v>
      </c>
      <c r="W30" s="32">
        <f>0.5*'Extra State Data'!$B$42/'Extra State Data'!$B$43</f>
        <v>0.44446775900976404</v>
      </c>
      <c r="X30" s="31">
        <f t="shared" ref="X30:AG31" si="22">$R30</f>
        <v>0.32001678648703008</v>
      </c>
      <c r="Y30" s="31">
        <f t="shared" si="22"/>
        <v>0.32001678648703008</v>
      </c>
      <c r="Z30" s="31">
        <f t="shared" si="22"/>
        <v>0.32001678648703008</v>
      </c>
      <c r="AA30" s="31">
        <f t="shared" si="22"/>
        <v>0.32001678648703008</v>
      </c>
      <c r="AB30" s="31">
        <f t="shared" si="22"/>
        <v>0.32001678648703008</v>
      </c>
      <c r="AC30" s="31">
        <f t="shared" si="22"/>
        <v>0.32001678648703008</v>
      </c>
      <c r="AD30" s="31">
        <f t="shared" si="22"/>
        <v>0.32001678648703008</v>
      </c>
      <c r="AE30" s="31">
        <f t="shared" si="22"/>
        <v>0.32001678648703008</v>
      </c>
      <c r="AF30" s="31">
        <f t="shared" si="22"/>
        <v>0.32001678648703008</v>
      </c>
      <c r="AG30" s="31">
        <f t="shared" si="22"/>
        <v>0.32001678648703008</v>
      </c>
      <c r="AH30" s="31">
        <f t="shared" ref="AH30:AQ31" si="23">$R30</f>
        <v>0.32001678648703008</v>
      </c>
      <c r="AI30" s="31">
        <f t="shared" si="23"/>
        <v>0.32001678648703008</v>
      </c>
      <c r="AJ30" s="31">
        <f t="shared" si="23"/>
        <v>0.32001678648703008</v>
      </c>
      <c r="AK30" s="31">
        <f t="shared" si="23"/>
        <v>0.32001678648703008</v>
      </c>
      <c r="AL30" s="31">
        <f t="shared" si="23"/>
        <v>0.32001678648703008</v>
      </c>
      <c r="AM30" s="31">
        <f t="shared" si="23"/>
        <v>0.32001678648703008</v>
      </c>
      <c r="AN30" s="31">
        <f t="shared" si="23"/>
        <v>0.32001678648703008</v>
      </c>
      <c r="AO30" s="31">
        <f t="shared" si="23"/>
        <v>0.32001678648703008</v>
      </c>
      <c r="AP30" s="31">
        <f t="shared" si="23"/>
        <v>0.32001678648703008</v>
      </c>
      <c r="AQ30" s="31">
        <f t="shared" si="23"/>
        <v>0.32001678648703008</v>
      </c>
    </row>
    <row r="31" spans="1:43" ht="48" customHeight="1">
      <c r="A31" s="54" t="s">
        <v>193</v>
      </c>
      <c r="B31" s="24" t="s">
        <v>74</v>
      </c>
      <c r="C31" s="37" t="s">
        <v>194</v>
      </c>
      <c r="D31" s="25"/>
      <c r="E31" s="25"/>
      <c r="F31" s="26">
        <f>SUMIFS('EIA 2020 ESRAP Table 10'!E:E,'EIA 2020 ESRAP Table 10'!B:B,B31)</f>
        <v>10846143</v>
      </c>
      <c r="G31" s="33">
        <f>(0.072-0.014)</f>
        <v>5.7999999999999996E-2</v>
      </c>
      <c r="H31" s="33">
        <f>0.083-0.015</f>
        <v>6.8000000000000005E-2</v>
      </c>
      <c r="I31" s="30">
        <f>0.092-0.015</f>
        <v>7.6999999999999999E-2</v>
      </c>
      <c r="J31" s="30">
        <f>0.176-0.015</f>
        <v>0.16099999999999998</v>
      </c>
      <c r="K31" s="30">
        <f>0.185-0.015</f>
        <v>0.16999999999999998</v>
      </c>
      <c r="L31" s="30">
        <f>0.194-0.015</f>
        <v>0.17899999999999999</v>
      </c>
      <c r="M31" s="30">
        <f>0.207-0.015</f>
        <v>0.192</v>
      </c>
      <c r="N31" s="30">
        <f>0.216-0.015</f>
        <v>0.20100000000000001</v>
      </c>
      <c r="O31" s="30">
        <f>0.225-0.015</f>
        <v>0.21000000000000002</v>
      </c>
      <c r="P31" s="30">
        <f>0.234-0.015</f>
        <v>0.21900000000000003</v>
      </c>
      <c r="Q31" s="30">
        <f>0.243-0.015</f>
        <v>0.22799999999999998</v>
      </c>
      <c r="R31" s="30">
        <f>0.252-0.015</f>
        <v>0.23699999999999999</v>
      </c>
      <c r="S31" s="31">
        <f>$R31</f>
        <v>0.23699999999999999</v>
      </c>
      <c r="T31" s="31">
        <f>$R31</f>
        <v>0.23699999999999999</v>
      </c>
      <c r="U31" s="31">
        <f>$R31</f>
        <v>0.23699999999999999</v>
      </c>
      <c r="V31" s="31">
        <f>$R31</f>
        <v>0.23699999999999999</v>
      </c>
      <c r="W31" s="31">
        <f>$R31</f>
        <v>0.23699999999999999</v>
      </c>
      <c r="X31" s="31">
        <f t="shared" si="22"/>
        <v>0.23699999999999999</v>
      </c>
      <c r="Y31" s="31">
        <f t="shared" si="22"/>
        <v>0.23699999999999999</v>
      </c>
      <c r="Z31" s="31">
        <f t="shared" si="22"/>
        <v>0.23699999999999999</v>
      </c>
      <c r="AA31" s="31">
        <f t="shared" si="22"/>
        <v>0.23699999999999999</v>
      </c>
      <c r="AB31" s="31">
        <f t="shared" si="22"/>
        <v>0.23699999999999999</v>
      </c>
      <c r="AC31" s="31">
        <f t="shared" si="22"/>
        <v>0.23699999999999999</v>
      </c>
      <c r="AD31" s="31">
        <f t="shared" si="22"/>
        <v>0.23699999999999999</v>
      </c>
      <c r="AE31" s="31">
        <f t="shared" si="22"/>
        <v>0.23699999999999999</v>
      </c>
      <c r="AF31" s="31">
        <f t="shared" si="22"/>
        <v>0.23699999999999999</v>
      </c>
      <c r="AG31" s="31">
        <f t="shared" si="22"/>
        <v>0.23699999999999999</v>
      </c>
      <c r="AH31" s="31">
        <f t="shared" si="23"/>
        <v>0.23699999999999999</v>
      </c>
      <c r="AI31" s="31">
        <f t="shared" si="23"/>
        <v>0.23699999999999999</v>
      </c>
      <c r="AJ31" s="31">
        <f t="shared" si="23"/>
        <v>0.23699999999999999</v>
      </c>
      <c r="AK31" s="31">
        <f t="shared" si="23"/>
        <v>0.23699999999999999</v>
      </c>
      <c r="AL31" s="31">
        <f t="shared" si="23"/>
        <v>0.23699999999999999</v>
      </c>
      <c r="AM31" s="31">
        <f t="shared" si="23"/>
        <v>0.23699999999999999</v>
      </c>
      <c r="AN31" s="31">
        <f t="shared" si="23"/>
        <v>0.23699999999999999</v>
      </c>
      <c r="AO31" s="31">
        <f t="shared" si="23"/>
        <v>0.23699999999999999</v>
      </c>
      <c r="AP31" s="31">
        <f t="shared" si="23"/>
        <v>0.23699999999999999</v>
      </c>
      <c r="AQ31" s="31">
        <f t="shared" si="23"/>
        <v>0.23699999999999999</v>
      </c>
    </row>
    <row r="32" spans="1:43" ht="32" customHeight="1">
      <c r="A32" s="54" t="s">
        <v>195</v>
      </c>
      <c r="B32" s="24" t="s">
        <v>77</v>
      </c>
      <c r="C32" s="29" t="s">
        <v>196</v>
      </c>
      <c r="D32" s="25"/>
      <c r="E32" s="25"/>
      <c r="F32" s="26">
        <f>SUMIFS('EIA 2020 ESRAP Table 10'!E:E,'EIA 2020 ESRAP Table 10'!B:B,B32)</f>
        <v>79865721</v>
      </c>
      <c r="G32" s="30">
        <v>7.9769999999999994E-2</v>
      </c>
      <c r="H32" s="30">
        <v>8.8069999999999996E-2</v>
      </c>
      <c r="I32" s="30">
        <v>8.8069999999999996E-2</v>
      </c>
      <c r="J32" s="30">
        <v>0.10485</v>
      </c>
      <c r="K32" s="30">
        <v>0.12325</v>
      </c>
      <c r="L32" s="30">
        <v>0.14174999999999999</v>
      </c>
      <c r="M32" s="30">
        <v>0.16028999999999999</v>
      </c>
      <c r="N32" s="30">
        <v>0.21</v>
      </c>
      <c r="O32" s="31">
        <f>($R$32-$N$32)/COUNT($O$2:$R$2)+N32</f>
        <v>0.245</v>
      </c>
      <c r="P32" s="31">
        <f>($R$32-$N$32)/COUNT($O$2:$R$2)+O32</f>
        <v>0.27999999999999997</v>
      </c>
      <c r="Q32" s="31">
        <f>($R$32-$N$32)/COUNT($O$2:$R$2)+P32</f>
        <v>0.31499999999999995</v>
      </c>
      <c r="R32" s="30">
        <v>0.35</v>
      </c>
      <c r="S32" s="31">
        <f>($W$32-$R$32)/COUNT($S$2:$W$2)+R32</f>
        <v>0.38</v>
      </c>
      <c r="T32" s="31">
        <f>($W$32-$R$32)/COUNT($S$2:$W$2)+S32</f>
        <v>0.41000000000000003</v>
      </c>
      <c r="U32" s="31">
        <f>($W$32-$R$32)/COUNT($S$2:$W$2)+T32</f>
        <v>0.44000000000000006</v>
      </c>
      <c r="V32" s="31">
        <f>($W$32-$R$32)/COUNT($S$2:$W$2)+U32</f>
        <v>0.47000000000000008</v>
      </c>
      <c r="W32" s="30">
        <v>0.5</v>
      </c>
      <c r="X32" s="31">
        <f t="shared" ref="X32:AQ32" si="24">W32</f>
        <v>0.5</v>
      </c>
      <c r="Y32" s="31">
        <f t="shared" si="24"/>
        <v>0.5</v>
      </c>
      <c r="Z32" s="31">
        <f t="shared" si="24"/>
        <v>0.5</v>
      </c>
      <c r="AA32" s="31">
        <f t="shared" si="24"/>
        <v>0.5</v>
      </c>
      <c r="AB32" s="31">
        <f t="shared" si="24"/>
        <v>0.5</v>
      </c>
      <c r="AC32" s="31">
        <f t="shared" si="24"/>
        <v>0.5</v>
      </c>
      <c r="AD32" s="31">
        <f t="shared" si="24"/>
        <v>0.5</v>
      </c>
      <c r="AE32" s="31">
        <f t="shared" si="24"/>
        <v>0.5</v>
      </c>
      <c r="AF32" s="31">
        <f t="shared" si="24"/>
        <v>0.5</v>
      </c>
      <c r="AG32" s="31">
        <f t="shared" si="24"/>
        <v>0.5</v>
      </c>
      <c r="AH32" s="31">
        <f t="shared" si="24"/>
        <v>0.5</v>
      </c>
      <c r="AI32" s="31">
        <f t="shared" si="24"/>
        <v>0.5</v>
      </c>
      <c r="AJ32" s="31">
        <f t="shared" si="24"/>
        <v>0.5</v>
      </c>
      <c r="AK32" s="31">
        <f t="shared" si="24"/>
        <v>0.5</v>
      </c>
      <c r="AL32" s="31">
        <f t="shared" si="24"/>
        <v>0.5</v>
      </c>
      <c r="AM32" s="31">
        <f t="shared" si="24"/>
        <v>0.5</v>
      </c>
      <c r="AN32" s="31">
        <f t="shared" si="24"/>
        <v>0.5</v>
      </c>
      <c r="AO32" s="31">
        <f t="shared" si="24"/>
        <v>0.5</v>
      </c>
      <c r="AP32" s="31">
        <f t="shared" si="24"/>
        <v>0.5</v>
      </c>
      <c r="AQ32" s="31">
        <f t="shared" si="24"/>
        <v>0.5</v>
      </c>
    </row>
    <row r="33" spans="1:43" ht="127.5" customHeight="1">
      <c r="A33" s="54" t="s">
        <v>197</v>
      </c>
      <c r="B33" s="24" t="s">
        <v>80</v>
      </c>
      <c r="C33" s="25" t="s">
        <v>2377</v>
      </c>
      <c r="D33" s="25" t="s">
        <v>2376</v>
      </c>
      <c r="E33" s="25" t="s">
        <v>181</v>
      </c>
      <c r="F33" s="26">
        <f>SUMIFS('EIA 2020 ESRAP Table 10'!E:E,'EIA 2020 ESRAP Table 10'!B:B,B33)</f>
        <v>49616884</v>
      </c>
      <c r="G33" s="27">
        <v>0</v>
      </c>
      <c r="H33" s="34">
        <f>SUM(H56:H57)</f>
        <v>0.11293331894401584</v>
      </c>
      <c r="I33" s="28">
        <f t="shared" ref="I33:AP33" si="25">SUM(I56:I57)</f>
        <v>0.12186577193786838</v>
      </c>
      <c r="J33" s="28">
        <f t="shared" si="25"/>
        <v>0.13079822493172091</v>
      </c>
      <c r="K33" s="28">
        <f t="shared" si="25"/>
        <v>0.13973067792557345</v>
      </c>
      <c r="L33" s="28">
        <f>SUM(L56:L57)</f>
        <v>0.14866313091942601</v>
      </c>
      <c r="M33" s="34">
        <f t="shared" si="25"/>
        <v>0.16333744099430733</v>
      </c>
      <c r="N33" s="28">
        <f t="shared" si="25"/>
        <v>0.20212957674626619</v>
      </c>
      <c r="O33" s="28">
        <f t="shared" si="25"/>
        <v>0.24092171249822505</v>
      </c>
      <c r="P33" s="28">
        <f t="shared" si="25"/>
        <v>0.27971384825018392</v>
      </c>
      <c r="Q33" s="28">
        <f t="shared" si="25"/>
        <v>0.31850598400214281</v>
      </c>
      <c r="R33" s="28">
        <f t="shared" si="25"/>
        <v>0.35729811975410158</v>
      </c>
      <c r="S33" s="28">
        <f t="shared" si="25"/>
        <v>0.37516302574180665</v>
      </c>
      <c r="T33" s="28">
        <f t="shared" si="25"/>
        <v>0.39302793172951167</v>
      </c>
      <c r="U33" s="28">
        <f t="shared" si="25"/>
        <v>0.41089283771721674</v>
      </c>
      <c r="V33" s="28">
        <f t="shared" si="25"/>
        <v>0.42875774370492181</v>
      </c>
      <c r="W33" s="34">
        <f>SUM(W56:W57)</f>
        <v>0.44662264969262699</v>
      </c>
      <c r="X33" s="28">
        <f t="shared" si="25"/>
        <v>0.46710396588505293</v>
      </c>
      <c r="Y33" s="28">
        <f t="shared" si="25"/>
        <v>0.48758528207747887</v>
      </c>
      <c r="Z33" s="28">
        <f t="shared" si="25"/>
        <v>0.50806659826990475</v>
      </c>
      <c r="AA33" s="28">
        <f t="shared" si="25"/>
        <v>0.52854791446233074</v>
      </c>
      <c r="AB33" s="28">
        <f t="shared" si="25"/>
        <v>0.54902923065475662</v>
      </c>
      <c r="AC33" s="28">
        <f t="shared" si="25"/>
        <v>0.56951054684718261</v>
      </c>
      <c r="AD33" s="28">
        <f t="shared" si="25"/>
        <v>0.58999186303960849</v>
      </c>
      <c r="AE33" s="28">
        <f t="shared" si="25"/>
        <v>0.61047317923203448</v>
      </c>
      <c r="AF33" s="28">
        <f t="shared" si="25"/>
        <v>0.63095449542446047</v>
      </c>
      <c r="AG33" s="28">
        <f t="shared" si="25"/>
        <v>0.65143581161688635</v>
      </c>
      <c r="AH33" s="28">
        <f t="shared" si="25"/>
        <v>0.67419282960847071</v>
      </c>
      <c r="AI33" s="28">
        <f t="shared" si="25"/>
        <v>0.69694984760005507</v>
      </c>
      <c r="AJ33" s="28">
        <f t="shared" si="25"/>
        <v>0.71970686559163943</v>
      </c>
      <c r="AK33" s="28">
        <f t="shared" si="25"/>
        <v>0.74246388358322379</v>
      </c>
      <c r="AL33" s="34">
        <f t="shared" si="25"/>
        <v>0.78797791956639263</v>
      </c>
      <c r="AM33" s="28">
        <f t="shared" si="25"/>
        <v>0.78797791956639263</v>
      </c>
      <c r="AN33" s="28">
        <f t="shared" si="25"/>
        <v>0.78797791956639263</v>
      </c>
      <c r="AO33" s="28">
        <f t="shared" si="25"/>
        <v>0.78797791956639263</v>
      </c>
      <c r="AP33" s="28">
        <f t="shared" si="25"/>
        <v>0.78797791956639263</v>
      </c>
      <c r="AQ33" s="28">
        <f>SUM(AQ56:AQ57)</f>
        <v>0.78797791956639263</v>
      </c>
    </row>
    <row r="34" spans="1:43" ht="49.5" customHeight="1">
      <c r="A34" s="55" t="s">
        <v>198</v>
      </c>
      <c r="B34" s="24" t="s">
        <v>82</v>
      </c>
      <c r="C34" s="29" t="s">
        <v>1816</v>
      </c>
      <c r="D34" s="25" t="s">
        <v>181</v>
      </c>
      <c r="E34" s="25" t="s">
        <v>181</v>
      </c>
      <c r="F34" s="26">
        <f>SUMIFS('EIA 2020 ESRAP Table 10'!E:E,'EIA 2020 ESRAP Table 10'!B:B,B34)</f>
        <v>145643139</v>
      </c>
      <c r="G34" s="27">
        <v>0</v>
      </c>
      <c r="H34" s="33">
        <v>0.28999999999999998</v>
      </c>
      <c r="I34" s="31">
        <f t="shared" ref="I34:U34" si="26">$H34+($W34-$H34)*(I$2-$H$2)/($W$2-$H$2)</f>
        <v>0.3173333333333333</v>
      </c>
      <c r="J34" s="31">
        <f t="shared" si="26"/>
        <v>0.34466666666666662</v>
      </c>
      <c r="K34" s="31">
        <f t="shared" si="26"/>
        <v>0.372</v>
      </c>
      <c r="L34" s="31">
        <f t="shared" si="26"/>
        <v>0.39933333333333332</v>
      </c>
      <c r="M34" s="31">
        <f t="shared" si="26"/>
        <v>0.42666666666666664</v>
      </c>
      <c r="N34" s="31">
        <f t="shared" si="26"/>
        <v>0.45399999999999996</v>
      </c>
      <c r="O34" s="31">
        <f t="shared" si="26"/>
        <v>0.48133333333333328</v>
      </c>
      <c r="P34" s="31">
        <f t="shared" si="26"/>
        <v>0.5086666666666666</v>
      </c>
      <c r="Q34" s="31">
        <f t="shared" si="26"/>
        <v>0.53600000000000003</v>
      </c>
      <c r="R34" s="31">
        <f t="shared" si="26"/>
        <v>0.56333333333333324</v>
      </c>
      <c r="S34" s="31">
        <f t="shared" si="26"/>
        <v>0.59066666666666667</v>
      </c>
      <c r="T34" s="31">
        <f t="shared" si="26"/>
        <v>0.61799999999999999</v>
      </c>
      <c r="U34" s="31">
        <f t="shared" si="26"/>
        <v>0.64533333333333331</v>
      </c>
      <c r="V34" s="31">
        <f>$H34+($W34-$H34)*(V$2-$H$2)/($W$2-$H$2)</f>
        <v>0.67266666666666652</v>
      </c>
      <c r="W34" s="33">
        <v>0.7</v>
      </c>
      <c r="X34" s="31">
        <f>$W34+($AG34-$W34)*(X$2-$W$2)/($AG$2-$W$2)</f>
        <v>0.73</v>
      </c>
      <c r="Y34" s="31">
        <f t="shared" ref="Y34:AF34" si="27">$W34+($AG34-$W34)*(Y$2-$W$2)/($AG$2-$W$2)</f>
        <v>0.76</v>
      </c>
      <c r="Z34" s="31">
        <f t="shared" si="27"/>
        <v>0.78999999999999992</v>
      </c>
      <c r="AA34" s="31">
        <f t="shared" si="27"/>
        <v>0.82</v>
      </c>
      <c r="AB34" s="31">
        <f t="shared" si="27"/>
        <v>0.85</v>
      </c>
      <c r="AC34" s="31">
        <f t="shared" si="27"/>
        <v>0.88</v>
      </c>
      <c r="AD34" s="31">
        <f t="shared" si="27"/>
        <v>0.91</v>
      </c>
      <c r="AE34" s="31">
        <f t="shared" si="27"/>
        <v>0.94</v>
      </c>
      <c r="AF34" s="31">
        <f t="shared" si="27"/>
        <v>0.97</v>
      </c>
      <c r="AG34" s="33">
        <v>1</v>
      </c>
      <c r="AH34" s="28">
        <f>AG34</f>
        <v>1</v>
      </c>
      <c r="AI34" s="28">
        <f t="shared" ref="AI34:AQ34" si="28">AH34</f>
        <v>1</v>
      </c>
      <c r="AJ34" s="28">
        <f t="shared" si="28"/>
        <v>1</v>
      </c>
      <c r="AK34" s="28">
        <f t="shared" si="28"/>
        <v>1</v>
      </c>
      <c r="AL34" s="28">
        <f t="shared" si="28"/>
        <v>1</v>
      </c>
      <c r="AM34" s="28">
        <f t="shared" si="28"/>
        <v>1</v>
      </c>
      <c r="AN34" s="28">
        <f t="shared" si="28"/>
        <v>1</v>
      </c>
      <c r="AO34" s="28">
        <f t="shared" si="28"/>
        <v>1</v>
      </c>
      <c r="AP34" s="28">
        <f t="shared" si="28"/>
        <v>1</v>
      </c>
      <c r="AQ34" s="28">
        <f t="shared" si="28"/>
        <v>1</v>
      </c>
    </row>
    <row r="35" spans="1:43" ht="32" customHeight="1">
      <c r="A35" s="54" t="s">
        <v>199</v>
      </c>
      <c r="B35" s="24" t="s">
        <v>85</v>
      </c>
      <c r="C35" s="25" t="s">
        <v>200</v>
      </c>
      <c r="D35" s="25"/>
      <c r="E35" s="25"/>
      <c r="F35" s="26">
        <f>SUMIFS('EIA 2020 ESRAP Table 10'!E:E,'EIA 2020 ESRAP Table 10'!B:B,B35)</f>
        <v>266820020</v>
      </c>
      <c r="G35" s="32">
        <f>0.05*'Extra State Data'!$B$13/SUM('Extra State Data'!$B$13:$B$15)</f>
        <v>4.1509834642415561E-2</v>
      </c>
      <c r="H35" s="32">
        <f>0.06*'Extra State Data'!$B$13/SUM('Extra State Data'!$B$13:$B$15)</f>
        <v>4.9811801570898671E-2</v>
      </c>
      <c r="I35" s="31">
        <f>0.0733*'Extra State Data'!$B$13/SUM('Extra State Data'!$B$13:$B$15)</f>
        <v>6.0853417585781215E-2</v>
      </c>
      <c r="J35" s="31">
        <f>0.0866*'Extra State Data'!$B$13/SUM('Extra State Data'!$B$13:$B$15)</f>
        <v>7.1895033600663738E-2</v>
      </c>
      <c r="K35" s="32">
        <f>(0.1*'Extra State Data'!$B$13+0.1*SUM('Extra State Data'!$B$14:$B$15))/SUM('Extra State Data'!$B$13:$B$15)</f>
        <v>0.1</v>
      </c>
      <c r="L35" s="31">
        <f>$K35+($N35-$K35)*(L$2-$K$2)/($N$2-$K$2)</f>
        <v>0.10691830577373593</v>
      </c>
      <c r="M35" s="31">
        <f>$K35+($N35-$K35)*(M$2-$K$2)/($N$2-$K$2)</f>
        <v>0.11383661154747186</v>
      </c>
      <c r="N35" s="32">
        <f>(0.125*'Extra State Data'!$B$13+0.1*SUM('Extra State Data'!$B$14:$B$15))/SUM('Extra State Data'!$B$13:$B$15)</f>
        <v>0.12075491732120779</v>
      </c>
      <c r="O35" s="31">
        <f t="shared" ref="O35:AQ35" si="29">$N35</f>
        <v>0.12075491732120779</v>
      </c>
      <c r="P35" s="31">
        <f t="shared" si="29"/>
        <v>0.12075491732120779</v>
      </c>
      <c r="Q35" s="31">
        <f t="shared" si="29"/>
        <v>0.12075491732120779</v>
      </c>
      <c r="R35" s="31">
        <f t="shared" si="29"/>
        <v>0.12075491732120779</v>
      </c>
      <c r="S35" s="31">
        <f t="shared" si="29"/>
        <v>0.12075491732120779</v>
      </c>
      <c r="T35" s="31">
        <f t="shared" si="29"/>
        <v>0.12075491732120779</v>
      </c>
      <c r="U35" s="31">
        <f t="shared" si="29"/>
        <v>0.12075491732120779</v>
      </c>
      <c r="V35" s="31">
        <f t="shared" si="29"/>
        <v>0.12075491732120779</v>
      </c>
      <c r="W35" s="31">
        <f t="shared" si="29"/>
        <v>0.12075491732120779</v>
      </c>
      <c r="X35" s="31">
        <f t="shared" si="29"/>
        <v>0.12075491732120779</v>
      </c>
      <c r="Y35" s="31">
        <f t="shared" si="29"/>
        <v>0.12075491732120779</v>
      </c>
      <c r="Z35" s="31">
        <f t="shared" si="29"/>
        <v>0.12075491732120779</v>
      </c>
      <c r="AA35" s="31">
        <f t="shared" si="29"/>
        <v>0.12075491732120779</v>
      </c>
      <c r="AB35" s="31">
        <f t="shared" si="29"/>
        <v>0.12075491732120779</v>
      </c>
      <c r="AC35" s="31">
        <f t="shared" si="29"/>
        <v>0.12075491732120779</v>
      </c>
      <c r="AD35" s="31">
        <f t="shared" si="29"/>
        <v>0.12075491732120779</v>
      </c>
      <c r="AE35" s="31">
        <f t="shared" si="29"/>
        <v>0.12075491732120779</v>
      </c>
      <c r="AF35" s="31">
        <f t="shared" si="29"/>
        <v>0.12075491732120779</v>
      </c>
      <c r="AG35" s="31">
        <f t="shared" si="29"/>
        <v>0.12075491732120779</v>
      </c>
      <c r="AH35" s="31">
        <f t="shared" si="29"/>
        <v>0.12075491732120779</v>
      </c>
      <c r="AI35" s="31">
        <f t="shared" si="29"/>
        <v>0.12075491732120779</v>
      </c>
      <c r="AJ35" s="31">
        <f t="shared" si="29"/>
        <v>0.12075491732120779</v>
      </c>
      <c r="AK35" s="31">
        <f t="shared" si="29"/>
        <v>0.12075491732120779</v>
      </c>
      <c r="AL35" s="31">
        <f t="shared" si="29"/>
        <v>0.12075491732120779</v>
      </c>
      <c r="AM35" s="31">
        <f t="shared" si="29"/>
        <v>0.12075491732120779</v>
      </c>
      <c r="AN35" s="31">
        <f t="shared" si="29"/>
        <v>0.12075491732120779</v>
      </c>
      <c r="AO35" s="31">
        <f t="shared" si="29"/>
        <v>0.12075491732120779</v>
      </c>
      <c r="AP35" s="31">
        <f t="shared" si="29"/>
        <v>0.12075491732120779</v>
      </c>
      <c r="AQ35" s="31">
        <f t="shared" si="29"/>
        <v>0.12075491732120779</v>
      </c>
    </row>
    <row r="36" spans="1:43">
      <c r="A36" s="54" t="s">
        <v>201</v>
      </c>
      <c r="B36" s="24" t="s">
        <v>88</v>
      </c>
      <c r="C36" s="29"/>
      <c r="D36" s="25"/>
      <c r="E36" s="25"/>
      <c r="F36" s="26">
        <f>SUMIFS('EIA 2020 ESRAP Table 10'!E:E,'EIA 2020 ESRAP Table 10'!B:B,B36)</f>
        <v>43378707</v>
      </c>
      <c r="G36" s="27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</row>
    <row r="37" spans="1:43" ht="47.5" customHeight="1">
      <c r="A37" s="54" t="s">
        <v>202</v>
      </c>
      <c r="B37" s="24" t="s">
        <v>91</v>
      </c>
      <c r="C37" s="29" t="s">
        <v>2371</v>
      </c>
      <c r="D37" s="25"/>
      <c r="E37" s="25" t="s">
        <v>181</v>
      </c>
      <c r="F37" s="26">
        <f>SUMIFS('EIA 2020 ESRAP Table 10'!E:E,'EIA 2020 ESRAP Table 10'!B:B,B37)</f>
        <v>89444015</v>
      </c>
      <c r="G37" s="32">
        <f>0.025*'Extra State Data'!$B$52/'Extra State Data'!$B$53</f>
        <v>1.4520393523372836E-2</v>
      </c>
      <c r="H37" s="32">
        <f>0.025*'Extra State Data'!$B$52/'Extra State Data'!$B$53</f>
        <v>1.4520393523372836E-2</v>
      </c>
      <c r="I37" s="32">
        <f>0.025*'Extra State Data'!$B$52/'Extra State Data'!$B$53</f>
        <v>1.4520393523372836E-2</v>
      </c>
      <c r="J37" s="32">
        <f>0.035*'Extra State Data'!$B$52/'Extra State Data'!$B$53</f>
        <v>2.032855093272197E-2</v>
      </c>
      <c r="K37" s="32">
        <f>0.045*'Extra State Data'!$B$52/'Extra State Data'!$B$53</f>
        <v>2.6136708342071099E-2</v>
      </c>
      <c r="L37" s="32">
        <f>0.055*'Extra State Data'!$B$52/'Extra State Data'!$B$53</f>
        <v>3.1944865751420234E-2</v>
      </c>
      <c r="M37" s="32">
        <f>0.055*'Extra State Data'!$B$52/'Extra State Data'!$B$53</f>
        <v>3.1944865751420234E-2</v>
      </c>
      <c r="N37" s="32">
        <f>0.06*'Extra State Data'!$B$52/'Extra State Data'!$B$53</f>
        <v>3.4848944456094801E-2</v>
      </c>
      <c r="O37" s="32">
        <f>0.065*'Extra State Data'!$B$52/'Extra State Data'!$B$53</f>
        <v>3.7753023160769367E-2</v>
      </c>
      <c r="P37" s="32">
        <f>0.07*'Extra State Data'!$B$52/'Extra State Data'!$B$53</f>
        <v>4.065710186544394E-2</v>
      </c>
      <c r="Q37" s="32">
        <f>0.075*'Extra State Data'!$B$52/'Extra State Data'!$B$53</f>
        <v>4.3561180570118499E-2</v>
      </c>
      <c r="R37" s="32">
        <f>0.08*'Extra State Data'!$B$52/'Extra State Data'!$B$53</f>
        <v>4.6465259274793072E-2</v>
      </c>
      <c r="S37" s="32">
        <f>0.085*'Extra State Data'!$B$52/'Extra State Data'!$B$53</f>
        <v>4.9369337979467638E-2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</row>
    <row r="38" spans="1:43" ht="16" customHeight="1">
      <c r="A38" s="54" t="s">
        <v>203</v>
      </c>
      <c r="B38" s="24" t="s">
        <v>94</v>
      </c>
      <c r="C38" s="29" t="s">
        <v>204</v>
      </c>
      <c r="D38" s="25"/>
      <c r="E38" s="25"/>
      <c r="F38" s="26">
        <f>SUMIFS('EIA 2020 ESRAP Table 10'!E:E,'EIA 2020 ESRAP Table 10'!B:B,B38)</f>
        <v>127095251</v>
      </c>
      <c r="G38" s="27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</row>
    <row r="39" spans="1:43" ht="80" customHeight="1">
      <c r="A39" s="54" t="s">
        <v>205</v>
      </c>
      <c r="B39" s="24" t="s">
        <v>96</v>
      </c>
      <c r="C39" s="25" t="s">
        <v>206</v>
      </c>
      <c r="D39" s="25"/>
      <c r="E39" s="25"/>
      <c r="F39" s="26">
        <f>SUMIFS('EIA 2020 ESRAP Table 10'!E:E,'EIA 2020 ESRAP Table 10'!B:B,B39)</f>
        <v>95963074</v>
      </c>
      <c r="G39" s="34">
        <f>((0.15*'Extra State Data'!$B$28/'Extra State Data'!$B$25)-(0.05*'Extra State Data'!$B$28/'Extra State Data'!$B$25))*(3/4)+(0.05*'Extra State Data'!$B$28/'Extra State Data'!$B$25)</f>
        <v>8.1222261109866911E-2</v>
      </c>
      <c r="H39" s="32">
        <f>0.15*'Extra State Data'!$B$28/'Extra State Data'!$B$25</f>
        <v>9.7466713331840288E-2</v>
      </c>
      <c r="I39" s="31">
        <f>$H39+($M39-$H39)*(I$2-$H$2)/($M$2-$H$2)</f>
        <v>0.10396449422062964</v>
      </c>
      <c r="J39" s="31">
        <f>$H39+($M39-$H39)*(J$2-$H$2)/($M$2-$H$2)</f>
        <v>0.110462275109419</v>
      </c>
      <c r="K39" s="31">
        <f>$H39+($M39-$H39)*(K$2-$H$2)/($M$2-$H$2)</f>
        <v>0.11696005599820836</v>
      </c>
      <c r="L39" s="31">
        <f>$H39+($M39-$H39)*(L$2-$H$2)/($M$2-$H$2)</f>
        <v>0.12345783688699771</v>
      </c>
      <c r="M39" s="32">
        <f>0.2*'Extra State Data'!$B$28/'Extra State Data'!$B$25</f>
        <v>0.12995561777578707</v>
      </c>
      <c r="N39" s="31">
        <f>$M39+($R39-$M39)*(N$2-$M$2)/($R$2-$M$2)</f>
        <v>0.14464659391078261</v>
      </c>
      <c r="O39" s="31">
        <f>$M39+($R39-$M39)*(O$2-$M$2)/($R$2-$M$2)</f>
        <v>0.15933757004577817</v>
      </c>
      <c r="P39" s="31">
        <f>$M39+($R39-$M39)*(P$2-$M$2)/($R$2-$M$2)</f>
        <v>0.17402854618077371</v>
      </c>
      <c r="Q39" s="31">
        <f>$M39+($R39-$M39)*(Q$2-$M$2)/($R$2-$M$2)</f>
        <v>0.18871952231576927</v>
      </c>
      <c r="R39" s="35">
        <f>(0.25*'Extra State Data'!B28+0.25*'Extra State Data'!B29+0.1*'Extra State Data'!B30+0.05*'Extra State Data'!B31)/'Extra State Data'!$B$25</f>
        <v>0.20341049845076481</v>
      </c>
      <c r="S39" s="31">
        <f>$R39+($W39-$R39)*(S$2-$R$2)/($W$2-$R$2)</f>
        <v>0.21640606022834352</v>
      </c>
      <c r="T39" s="31">
        <f>$R39+($W39-$R39)*(T$2-$R$2)/($W$2-$R$2)</f>
        <v>0.22940162200592221</v>
      </c>
      <c r="U39" s="31">
        <f>$R39+($W39-$R39)*(U$2-$R$2)/($W$2-$R$2)</f>
        <v>0.24239718378350092</v>
      </c>
      <c r="V39" s="31">
        <f>$R39+($W39-$R39)*(V$2-$R$2)/($W$2-$R$2)</f>
        <v>0.2553927455610796</v>
      </c>
      <c r="W39" s="32">
        <f>(0.35*'Extra State Data'!B28+0.25*'Extra State Data'!B29+0.1*'Extra State Data'!B30+0.05*'Extra State Data'!B31)/'Extra State Data'!$B$25</f>
        <v>0.26838830733865832</v>
      </c>
      <c r="X39" s="31">
        <f>$W39+($AB39-$W39)*(X$2-$W$2)/($AB$2-$W$2)</f>
        <v>0.28138386911623703</v>
      </c>
      <c r="Y39" s="31">
        <f>$W39+($AB39-$W39)*(Y$2-$W$2)/($AB$2-$W$2)</f>
        <v>0.29437943089381574</v>
      </c>
      <c r="Z39" s="31">
        <f>$W39+($AB39-$W39)*(Z$2-$W$2)/($AB$2-$W$2)</f>
        <v>0.30737499267139445</v>
      </c>
      <c r="AA39" s="31">
        <f>$W39+($AB39-$W39)*(AA$2-$W$2)/($AB$2-$W$2)</f>
        <v>0.32037055444897317</v>
      </c>
      <c r="AB39" s="35">
        <f>(0.45*'Extra State Data'!B28+0.25*'Extra State Data'!B29+0.1*'Extra State Data'!B30+0.05*'Extra State Data'!B31)/'Extra State Data'!$B$25</f>
        <v>0.33336611622655188</v>
      </c>
      <c r="AC39" s="31">
        <f>$AB39+($AG39-$AB39)*(AC$2-$AB$2)/($AG$2-$AB$2)</f>
        <v>0.33986389711534121</v>
      </c>
      <c r="AD39" s="31">
        <f>$AB39+($AG39-$AB39)*(AD$2-$AB$2)/($AG$2-$AB$2)</f>
        <v>0.34636167800413059</v>
      </c>
      <c r="AE39" s="31">
        <f>$AB39+($AG39-$AB39)*(AE$2-$AB$2)/($AG$2-$AB$2)</f>
        <v>0.35285945889291992</v>
      </c>
      <c r="AF39" s="31">
        <f>$AB39+($AG39-$AB39)*(AF$2-$AB$2)/($AG$2-$AB$2)</f>
        <v>0.3593572397817093</v>
      </c>
      <c r="AG39" s="35">
        <f>(0.5*'Extra State Data'!B28+0.25*'Extra State Data'!B29+0.1*'Extra State Data'!B30+0.05*'Extra State Data'!B31)/'Extra State Data'!$B$25</f>
        <v>0.36585502067049863</v>
      </c>
      <c r="AH39" s="31">
        <f t="shared" ref="AH39:AQ39" si="30">$AG39</f>
        <v>0.36585502067049863</v>
      </c>
      <c r="AI39" s="31">
        <f t="shared" si="30"/>
        <v>0.36585502067049863</v>
      </c>
      <c r="AJ39" s="31">
        <f t="shared" si="30"/>
        <v>0.36585502067049863</v>
      </c>
      <c r="AK39" s="31">
        <f t="shared" si="30"/>
        <v>0.36585502067049863</v>
      </c>
      <c r="AL39" s="31">
        <f t="shared" si="30"/>
        <v>0.36585502067049863</v>
      </c>
      <c r="AM39" s="31">
        <f t="shared" si="30"/>
        <v>0.36585502067049863</v>
      </c>
      <c r="AN39" s="31">
        <f t="shared" si="30"/>
        <v>0.36585502067049863</v>
      </c>
      <c r="AO39" s="31">
        <f t="shared" si="30"/>
        <v>0.36585502067049863</v>
      </c>
      <c r="AP39" s="31">
        <f t="shared" si="30"/>
        <v>0.36585502067049863</v>
      </c>
      <c r="AQ39" s="31">
        <f t="shared" si="30"/>
        <v>0.36585502067049863</v>
      </c>
    </row>
    <row r="40" spans="1:43" ht="32" customHeight="1">
      <c r="A40" s="54" t="s">
        <v>98</v>
      </c>
      <c r="B40" s="24" t="s">
        <v>99</v>
      </c>
      <c r="C40" s="29" t="s">
        <v>207</v>
      </c>
      <c r="D40" s="25"/>
      <c r="E40" s="25"/>
      <c r="F40" s="26">
        <f>SUMIFS('EIA 2020 ESRAP Table 10'!E:E,'EIA 2020 ESRAP Table 10'!B:B,B40)</f>
        <v>101546277</v>
      </c>
      <c r="G40" s="33">
        <f>0.045+0.062</f>
        <v>0.107</v>
      </c>
      <c r="H40" s="30">
        <f>0.05+0.062</f>
        <v>0.112</v>
      </c>
      <c r="I40" s="30">
        <f>0.055+0.082</f>
        <v>0.13700000000000001</v>
      </c>
      <c r="J40" s="30">
        <f>0.06+0.082</f>
        <v>0.14200000000000002</v>
      </c>
      <c r="K40" s="30">
        <f>0.065+0.082</f>
        <v>0.14700000000000002</v>
      </c>
      <c r="L40" s="30">
        <f>0.07+0.082</f>
        <v>0.15200000000000002</v>
      </c>
      <c r="M40" s="30">
        <f>0.075+0.082</f>
        <v>0.157</v>
      </c>
      <c r="N40" s="33">
        <v>0.18</v>
      </c>
      <c r="O40" s="28">
        <f t="shared" ref="O40:AQ40" si="31">$N40</f>
        <v>0.18</v>
      </c>
      <c r="P40" s="28">
        <f t="shared" si="31"/>
        <v>0.18</v>
      </c>
      <c r="Q40" s="28">
        <f t="shared" si="31"/>
        <v>0.18</v>
      </c>
      <c r="R40" s="28">
        <f t="shared" si="31"/>
        <v>0.18</v>
      </c>
      <c r="S40" s="28">
        <f t="shared" si="31"/>
        <v>0.18</v>
      </c>
      <c r="T40" s="28">
        <f t="shared" si="31"/>
        <v>0.18</v>
      </c>
      <c r="U40" s="28">
        <f t="shared" si="31"/>
        <v>0.18</v>
      </c>
      <c r="V40" s="28">
        <f t="shared" si="31"/>
        <v>0.18</v>
      </c>
      <c r="W40" s="28">
        <f t="shared" si="31"/>
        <v>0.18</v>
      </c>
      <c r="X40" s="28">
        <f t="shared" si="31"/>
        <v>0.18</v>
      </c>
      <c r="Y40" s="28">
        <f t="shared" si="31"/>
        <v>0.18</v>
      </c>
      <c r="Z40" s="28">
        <f t="shared" si="31"/>
        <v>0.18</v>
      </c>
      <c r="AA40" s="28">
        <f t="shared" si="31"/>
        <v>0.18</v>
      </c>
      <c r="AB40" s="28">
        <f t="shared" si="31"/>
        <v>0.18</v>
      </c>
      <c r="AC40" s="28">
        <f t="shared" si="31"/>
        <v>0.18</v>
      </c>
      <c r="AD40" s="28">
        <f t="shared" si="31"/>
        <v>0.18</v>
      </c>
      <c r="AE40" s="28">
        <f t="shared" si="31"/>
        <v>0.18</v>
      </c>
      <c r="AF40" s="28">
        <f t="shared" si="31"/>
        <v>0.18</v>
      </c>
      <c r="AG40" s="28">
        <f t="shared" si="31"/>
        <v>0.18</v>
      </c>
      <c r="AH40" s="28">
        <f t="shared" si="31"/>
        <v>0.18</v>
      </c>
      <c r="AI40" s="28">
        <f t="shared" si="31"/>
        <v>0.18</v>
      </c>
      <c r="AJ40" s="28">
        <f t="shared" si="31"/>
        <v>0.18</v>
      </c>
      <c r="AK40" s="28">
        <f t="shared" si="31"/>
        <v>0.18</v>
      </c>
      <c r="AL40" s="28">
        <f t="shared" si="31"/>
        <v>0.18</v>
      </c>
      <c r="AM40" s="28">
        <f t="shared" si="31"/>
        <v>0.18</v>
      </c>
      <c r="AN40" s="28">
        <f t="shared" si="31"/>
        <v>0.18</v>
      </c>
      <c r="AO40" s="28">
        <f t="shared" si="31"/>
        <v>0.18</v>
      </c>
      <c r="AP40" s="28">
        <f t="shared" si="31"/>
        <v>0.18</v>
      </c>
      <c r="AQ40" s="28">
        <f t="shared" si="31"/>
        <v>0.18</v>
      </c>
    </row>
    <row r="41" spans="1:43" ht="16" customHeight="1">
      <c r="A41" s="54" t="s">
        <v>208</v>
      </c>
      <c r="B41" s="24" t="s">
        <v>102</v>
      </c>
      <c r="C41" s="29" t="s">
        <v>209</v>
      </c>
      <c r="D41" s="25"/>
      <c r="E41" s="25"/>
      <c r="F41" s="26">
        <f>SUMIFS('EIA 2020 ESRAP Table 10'!E:E,'EIA 2020 ESRAP Table 10'!B:B,B41)</f>
        <v>8087635</v>
      </c>
      <c r="G41" s="30">
        <v>8.5000000000000006E-2</v>
      </c>
      <c r="H41" s="30">
        <f>G41</f>
        <v>8.5000000000000006E-2</v>
      </c>
      <c r="I41" s="30">
        <f t="shared" ref="I41:AB41" si="32">H41+0.015</f>
        <v>0.1</v>
      </c>
      <c r="J41" s="30">
        <f t="shared" si="32"/>
        <v>0.115</v>
      </c>
      <c r="K41" s="30">
        <f t="shared" si="32"/>
        <v>0.13</v>
      </c>
      <c r="L41" s="30">
        <f t="shared" si="32"/>
        <v>0.14500000000000002</v>
      </c>
      <c r="M41" s="30">
        <f t="shared" si="32"/>
        <v>0.16000000000000003</v>
      </c>
      <c r="N41" s="30">
        <f t="shared" si="32"/>
        <v>0.17500000000000004</v>
      </c>
      <c r="O41" s="30">
        <f t="shared" si="32"/>
        <v>0.19000000000000006</v>
      </c>
      <c r="P41" s="30">
        <f t="shared" si="32"/>
        <v>0.20500000000000007</v>
      </c>
      <c r="Q41" s="30">
        <f t="shared" si="32"/>
        <v>0.22000000000000008</v>
      </c>
      <c r="R41" s="30">
        <f t="shared" si="32"/>
        <v>0.2350000000000001</v>
      </c>
      <c r="S41" s="30">
        <f t="shared" si="32"/>
        <v>0.25000000000000011</v>
      </c>
      <c r="T41" s="30">
        <f t="shared" si="32"/>
        <v>0.26500000000000012</v>
      </c>
      <c r="U41" s="30">
        <f t="shared" si="32"/>
        <v>0.28000000000000014</v>
      </c>
      <c r="V41" s="30">
        <f t="shared" si="32"/>
        <v>0.29500000000000015</v>
      </c>
      <c r="W41" s="30">
        <f t="shared" si="32"/>
        <v>0.31000000000000016</v>
      </c>
      <c r="X41" s="30">
        <f t="shared" si="32"/>
        <v>0.32500000000000018</v>
      </c>
      <c r="Y41" s="30">
        <f t="shared" si="32"/>
        <v>0.34000000000000019</v>
      </c>
      <c r="Z41" s="30">
        <f t="shared" si="32"/>
        <v>0.3550000000000002</v>
      </c>
      <c r="AA41" s="30">
        <f t="shared" si="32"/>
        <v>0.37000000000000022</v>
      </c>
      <c r="AB41" s="30">
        <f t="shared" si="32"/>
        <v>0.38500000000000023</v>
      </c>
      <c r="AC41" s="31">
        <f t="shared" ref="AC41:AQ41" si="33">$AB41</f>
        <v>0.38500000000000023</v>
      </c>
      <c r="AD41" s="31">
        <f t="shared" si="33"/>
        <v>0.38500000000000023</v>
      </c>
      <c r="AE41" s="31">
        <f t="shared" si="33"/>
        <v>0.38500000000000023</v>
      </c>
      <c r="AF41" s="31">
        <f t="shared" si="33"/>
        <v>0.38500000000000023</v>
      </c>
      <c r="AG41" s="31">
        <f t="shared" si="33"/>
        <v>0.38500000000000023</v>
      </c>
      <c r="AH41" s="31">
        <f t="shared" si="33"/>
        <v>0.38500000000000023</v>
      </c>
      <c r="AI41" s="31">
        <f t="shared" si="33"/>
        <v>0.38500000000000023</v>
      </c>
      <c r="AJ41" s="31">
        <f t="shared" si="33"/>
        <v>0.38500000000000023</v>
      </c>
      <c r="AK41" s="31">
        <f t="shared" si="33"/>
        <v>0.38500000000000023</v>
      </c>
      <c r="AL41" s="31">
        <f t="shared" si="33"/>
        <v>0.38500000000000023</v>
      </c>
      <c r="AM41" s="31">
        <f t="shared" si="33"/>
        <v>0.38500000000000023</v>
      </c>
      <c r="AN41" s="31">
        <f t="shared" si="33"/>
        <v>0.38500000000000023</v>
      </c>
      <c r="AO41" s="31">
        <f t="shared" si="33"/>
        <v>0.38500000000000023</v>
      </c>
      <c r="AP41" s="31">
        <f t="shared" si="33"/>
        <v>0.38500000000000023</v>
      </c>
      <c r="AQ41" s="31">
        <f t="shared" si="33"/>
        <v>0.38500000000000023</v>
      </c>
    </row>
    <row r="42" spans="1:43">
      <c r="A42" s="54" t="s">
        <v>210</v>
      </c>
      <c r="B42" s="24" t="s">
        <v>104</v>
      </c>
      <c r="C42" s="29"/>
      <c r="D42" s="25"/>
      <c r="E42" s="25"/>
      <c r="F42" s="26">
        <f>SUMIFS('EIA 2020 ESRAP Table 10'!E:E,'EIA 2020 ESRAP Table 10'!B:B,B42)</f>
        <v>156942796</v>
      </c>
      <c r="G42" s="27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</row>
    <row r="43" spans="1:43" ht="16" customHeight="1">
      <c r="A43" s="54" t="s">
        <v>211</v>
      </c>
      <c r="B43" s="24" t="s">
        <v>107</v>
      </c>
      <c r="C43" s="29" t="s">
        <v>204</v>
      </c>
      <c r="D43" s="25"/>
      <c r="E43" s="25"/>
      <c r="F43" s="26">
        <f>SUMIFS('EIA 2020 ESRAP Table 10'!E:E,'EIA 2020 ESRAP Table 10'!B:B,B43)</f>
        <v>25564776</v>
      </c>
      <c r="G43" s="27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</row>
    <row r="44" spans="1:43">
      <c r="A44" s="54" t="s">
        <v>212</v>
      </c>
      <c r="B44" s="24" t="s">
        <v>110</v>
      </c>
      <c r="C44" s="25"/>
      <c r="D44" s="25"/>
      <c r="E44" s="25"/>
      <c r="F44" s="26">
        <f>SUMIFS('EIA 2020 ESRAP Table 10'!E:E,'EIA 2020 ESRAP Table 10'!B:B,B44)</f>
        <v>194742991</v>
      </c>
      <c r="G44" s="27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</row>
    <row r="45" spans="1:43" ht="16" customHeight="1">
      <c r="A45" s="54" t="s">
        <v>213</v>
      </c>
      <c r="B45" s="24" t="s">
        <v>113</v>
      </c>
      <c r="C45" s="25" t="s">
        <v>214</v>
      </c>
      <c r="D45" s="25"/>
      <c r="E45" s="25"/>
      <c r="F45" s="26">
        <f>SUMIFS('EIA 2020 ESRAP Table 10'!E:E,'EIA 2020 ESRAP Table 10'!B:B,B45)</f>
        <v>840977494</v>
      </c>
      <c r="G45" s="27">
        <v>0</v>
      </c>
      <c r="H45" s="35">
        <f>5580/'Extra State Data'!B34</f>
        <v>4.5678173527943088E-2</v>
      </c>
      <c r="I45" s="31">
        <f t="shared" ref="I45:Q45" si="34">$H45+($R45-$H45)*(I$2-$H$2)/($R$2-$H$2)</f>
        <v>4.9296408778722808E-2</v>
      </c>
      <c r="J45" s="31">
        <f t="shared" si="34"/>
        <v>5.2914644029502529E-2</v>
      </c>
      <c r="K45" s="31">
        <f t="shared" si="34"/>
        <v>5.653287928028225E-2</v>
      </c>
      <c r="L45" s="31">
        <f t="shared" si="34"/>
        <v>6.0151114531061978E-2</v>
      </c>
      <c r="M45" s="31">
        <f t="shared" si="34"/>
        <v>6.3769349781841692E-2</v>
      </c>
      <c r="N45" s="31">
        <f t="shared" si="34"/>
        <v>6.7387585032621419E-2</v>
      </c>
      <c r="O45" s="31">
        <f t="shared" si="34"/>
        <v>7.1005820283401133E-2</v>
      </c>
      <c r="P45" s="31">
        <f t="shared" si="34"/>
        <v>7.4624055534180861E-2</v>
      </c>
      <c r="Q45" s="31">
        <f t="shared" si="34"/>
        <v>7.8242290784960589E-2</v>
      </c>
      <c r="R45" s="35">
        <f>10000/'Extra State Data'!B34</f>
        <v>8.1860526035740303E-2</v>
      </c>
      <c r="S45" s="31">
        <f t="shared" ref="S45:AQ45" si="35">$R45</f>
        <v>8.1860526035740303E-2</v>
      </c>
      <c r="T45" s="31">
        <f t="shared" si="35"/>
        <v>8.1860526035740303E-2</v>
      </c>
      <c r="U45" s="31">
        <f t="shared" si="35"/>
        <v>8.1860526035740303E-2</v>
      </c>
      <c r="V45" s="31">
        <f t="shared" si="35"/>
        <v>8.1860526035740303E-2</v>
      </c>
      <c r="W45" s="31">
        <f t="shared" si="35"/>
        <v>8.1860526035740303E-2</v>
      </c>
      <c r="X45" s="31">
        <f t="shared" si="35"/>
        <v>8.1860526035740303E-2</v>
      </c>
      <c r="Y45" s="31">
        <f t="shared" si="35"/>
        <v>8.1860526035740303E-2</v>
      </c>
      <c r="Z45" s="31">
        <f t="shared" si="35"/>
        <v>8.1860526035740303E-2</v>
      </c>
      <c r="AA45" s="31">
        <f t="shared" si="35"/>
        <v>8.1860526035740303E-2</v>
      </c>
      <c r="AB45" s="31">
        <f t="shared" si="35"/>
        <v>8.1860526035740303E-2</v>
      </c>
      <c r="AC45" s="31">
        <f t="shared" si="35"/>
        <v>8.1860526035740303E-2</v>
      </c>
      <c r="AD45" s="31">
        <f t="shared" si="35"/>
        <v>8.1860526035740303E-2</v>
      </c>
      <c r="AE45" s="31">
        <f t="shared" si="35"/>
        <v>8.1860526035740303E-2</v>
      </c>
      <c r="AF45" s="31">
        <f t="shared" si="35"/>
        <v>8.1860526035740303E-2</v>
      </c>
      <c r="AG45" s="31">
        <f t="shared" si="35"/>
        <v>8.1860526035740303E-2</v>
      </c>
      <c r="AH45" s="31">
        <f t="shared" si="35"/>
        <v>8.1860526035740303E-2</v>
      </c>
      <c r="AI45" s="31">
        <f t="shared" si="35"/>
        <v>8.1860526035740303E-2</v>
      </c>
      <c r="AJ45" s="31">
        <f t="shared" si="35"/>
        <v>8.1860526035740303E-2</v>
      </c>
      <c r="AK45" s="31">
        <f t="shared" si="35"/>
        <v>8.1860526035740303E-2</v>
      </c>
      <c r="AL45" s="31">
        <f t="shared" si="35"/>
        <v>8.1860526035740303E-2</v>
      </c>
      <c r="AM45" s="31">
        <f t="shared" si="35"/>
        <v>8.1860526035740303E-2</v>
      </c>
      <c r="AN45" s="31">
        <f t="shared" si="35"/>
        <v>8.1860526035740303E-2</v>
      </c>
      <c r="AO45" s="31">
        <f t="shared" si="35"/>
        <v>8.1860526035740303E-2</v>
      </c>
      <c r="AP45" s="31">
        <f t="shared" si="35"/>
        <v>8.1860526035740303E-2</v>
      </c>
      <c r="AQ45" s="31">
        <f t="shared" si="35"/>
        <v>8.1860526035740303E-2</v>
      </c>
    </row>
    <row r="46" spans="1:43">
      <c r="A46" s="54" t="s">
        <v>215</v>
      </c>
      <c r="B46" s="24" t="s">
        <v>116</v>
      </c>
      <c r="C46" s="29"/>
      <c r="D46" s="25"/>
      <c r="E46" s="25"/>
      <c r="F46" s="26">
        <f>SUMIFS('EIA 2020 ESRAP Table 10'!E:E,'EIA 2020 ESRAP Table 10'!B:B,B46)</f>
        <v>62799219</v>
      </c>
      <c r="G46" s="27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</row>
    <row r="47" spans="1:43" ht="16" customHeight="1">
      <c r="A47" s="54" t="s">
        <v>216</v>
      </c>
      <c r="B47" s="24" t="s">
        <v>119</v>
      </c>
      <c r="C47" s="29" t="s">
        <v>217</v>
      </c>
      <c r="D47" s="25"/>
      <c r="E47" s="25" t="s">
        <v>181</v>
      </c>
      <c r="F47" s="26">
        <f>SUMIFS('EIA 2020 ESRAP Table 10'!E:E,'EIA 2020 ESRAP Table 10'!B:B,B47)</f>
        <v>10745910</v>
      </c>
      <c r="G47" s="27">
        <v>0</v>
      </c>
      <c r="H47" s="28">
        <v>0</v>
      </c>
      <c r="I47" s="28">
        <v>0</v>
      </c>
      <c r="J47" s="33">
        <v>0.55000000000000004</v>
      </c>
      <c r="K47" s="31">
        <f t="shared" ref="K47:X47" si="36">$J47+($Y47-$J47)*(K$2-$J$2)/($Y$2-$J$2)</f>
        <v>0.56333333333333335</v>
      </c>
      <c r="L47" s="31">
        <f t="shared" si="36"/>
        <v>0.57666666666666666</v>
      </c>
      <c r="M47" s="31">
        <f t="shared" si="36"/>
        <v>0.59000000000000008</v>
      </c>
      <c r="N47" s="31">
        <f t="shared" si="36"/>
        <v>0.60333333333333339</v>
      </c>
      <c r="O47" s="31">
        <f t="shared" si="36"/>
        <v>0.6166666666666667</v>
      </c>
      <c r="P47" s="31">
        <f t="shared" si="36"/>
        <v>0.63</v>
      </c>
      <c r="Q47" s="31">
        <f t="shared" si="36"/>
        <v>0.64333333333333331</v>
      </c>
      <c r="R47" s="31">
        <f t="shared" si="36"/>
        <v>0.65666666666666673</v>
      </c>
      <c r="S47" s="31">
        <f t="shared" si="36"/>
        <v>0.67</v>
      </c>
      <c r="T47" s="31">
        <f t="shared" si="36"/>
        <v>0.68333333333333335</v>
      </c>
      <c r="U47" s="31">
        <f t="shared" si="36"/>
        <v>0.69666666666666666</v>
      </c>
      <c r="V47" s="31">
        <f t="shared" si="36"/>
        <v>0.71</v>
      </c>
      <c r="W47" s="31">
        <f t="shared" si="36"/>
        <v>0.72333333333333338</v>
      </c>
      <c r="X47" s="31">
        <f t="shared" si="36"/>
        <v>0.73666666666666669</v>
      </c>
      <c r="Y47" s="33">
        <v>0.75</v>
      </c>
      <c r="Z47" s="28">
        <f t="shared" ref="Z47:AQ47" si="37">$Y47</f>
        <v>0.75</v>
      </c>
      <c r="AA47" s="28">
        <f t="shared" si="37"/>
        <v>0.75</v>
      </c>
      <c r="AB47" s="28">
        <f t="shared" si="37"/>
        <v>0.75</v>
      </c>
      <c r="AC47" s="28">
        <f t="shared" si="37"/>
        <v>0.75</v>
      </c>
      <c r="AD47" s="28">
        <f t="shared" si="37"/>
        <v>0.75</v>
      </c>
      <c r="AE47" s="28">
        <f t="shared" si="37"/>
        <v>0.75</v>
      </c>
      <c r="AF47" s="28">
        <f t="shared" si="37"/>
        <v>0.75</v>
      </c>
      <c r="AG47" s="28">
        <f t="shared" si="37"/>
        <v>0.75</v>
      </c>
      <c r="AH47" s="28">
        <f t="shared" si="37"/>
        <v>0.75</v>
      </c>
      <c r="AI47" s="28">
        <f t="shared" si="37"/>
        <v>0.75</v>
      </c>
      <c r="AJ47" s="28">
        <f t="shared" si="37"/>
        <v>0.75</v>
      </c>
      <c r="AK47" s="28">
        <f t="shared" si="37"/>
        <v>0.75</v>
      </c>
      <c r="AL47" s="28">
        <f t="shared" si="37"/>
        <v>0.75</v>
      </c>
      <c r="AM47" s="28">
        <f t="shared" si="37"/>
        <v>0.75</v>
      </c>
      <c r="AN47" s="28">
        <f t="shared" si="37"/>
        <v>0.75</v>
      </c>
      <c r="AO47" s="28">
        <f t="shared" si="37"/>
        <v>0.75</v>
      </c>
      <c r="AP47" s="28">
        <f t="shared" si="37"/>
        <v>0.75</v>
      </c>
      <c r="AQ47" s="28">
        <f t="shared" si="37"/>
        <v>0.75</v>
      </c>
    </row>
    <row r="48" spans="1:43" ht="96" customHeight="1">
      <c r="A48" s="54" t="s">
        <v>218</v>
      </c>
      <c r="B48" s="24" t="s">
        <v>121</v>
      </c>
      <c r="C48" s="29" t="s">
        <v>219</v>
      </c>
      <c r="D48" s="25" t="s">
        <v>181</v>
      </c>
      <c r="E48" s="25" t="s">
        <v>181</v>
      </c>
      <c r="F48" s="26">
        <f>SUMIFS('EIA 2020 ESRAP Table 10'!E:E,'EIA 2020 ESRAP Table 10'!B:B,B48)</f>
        <v>229641891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8">
        <f>($R$48-$L$48)/COUNT($M$2:$R$2)+L48</f>
        <v>1.9339941160733124E-2</v>
      </c>
      <c r="N48" s="28">
        <f>($R$48-$L$48)/COUNT($M$2:$R$2)+M48</f>
        <v>3.8679882321466248E-2</v>
      </c>
      <c r="O48" s="28">
        <f>($R$48-$L$48)/COUNT($M$2:$R$2)+N48</f>
        <v>5.8019823482199376E-2</v>
      </c>
      <c r="P48" s="28">
        <f>($R$48-$L$48)/COUNT($M$2:$R$2)+O48</f>
        <v>7.7359764642932496E-2</v>
      </c>
      <c r="Q48" s="28">
        <f>($R$48-$L$48)/COUNT($M$2:$R$2)+P48</f>
        <v>9.6699705803665617E-2</v>
      </c>
      <c r="R48" s="34">
        <f>0.14*'Extra State Data'!B61/'Extra State Data'!B62</f>
        <v>0.11603964696439875</v>
      </c>
      <c r="S48" s="28">
        <f>($W$48-$R$48)/COUNT($S$2:$W$2)+R48</f>
        <v>0.1425629948419756</v>
      </c>
      <c r="T48" s="28">
        <f>($W$48-$R$48)/COUNT($S$2:$W$2)+S48</f>
        <v>0.16908634271955245</v>
      </c>
      <c r="U48" s="28">
        <f>($W$48-$R$48)/COUNT($S$2:$W$2)+T48</f>
        <v>0.19560969059712929</v>
      </c>
      <c r="V48" s="28">
        <f>($W$48-$R$48)/COUNT($S$2:$W$2)+U48</f>
        <v>0.22213303847470614</v>
      </c>
      <c r="W48" s="34">
        <f>0.3*'Extra State Data'!B61/'Extra State Data'!B62</f>
        <v>0.24865638635228304</v>
      </c>
      <c r="X48" s="28">
        <f t="shared" ref="X48:AF48" si="38">($AG$48-$W$48)/COUNT($X$2:$AG$2)+W48</f>
        <v>0.27766629809338272</v>
      </c>
      <c r="Y48" s="28">
        <f t="shared" si="38"/>
        <v>0.30667620983448241</v>
      </c>
      <c r="Z48" s="28">
        <f t="shared" si="38"/>
        <v>0.33568612157558209</v>
      </c>
      <c r="AA48" s="28">
        <f t="shared" si="38"/>
        <v>0.36469603331668177</v>
      </c>
      <c r="AB48" s="28">
        <f t="shared" si="38"/>
        <v>0.39370594505778145</v>
      </c>
      <c r="AC48" s="28">
        <f t="shared" si="38"/>
        <v>0.42271585679888113</v>
      </c>
      <c r="AD48" s="28">
        <f t="shared" si="38"/>
        <v>0.45172576853998081</v>
      </c>
      <c r="AE48" s="28">
        <f t="shared" si="38"/>
        <v>0.48073568028108049</v>
      </c>
      <c r="AF48" s="28">
        <f t="shared" si="38"/>
        <v>0.50974559202218017</v>
      </c>
      <c r="AG48" s="34">
        <f>0.65*'Extra State Data'!B61/'Extra State Data'!B62</f>
        <v>0.53875550376327985</v>
      </c>
      <c r="AH48" s="28">
        <f t="shared" ref="AH48:AP48" si="39">($AQ$48-$AG$48)/COUNT($AH$2:$AQ$2)+AG48</f>
        <v>0.56776541550437953</v>
      </c>
      <c r="AI48" s="28">
        <f t="shared" si="39"/>
        <v>0.59677532724547921</v>
      </c>
      <c r="AJ48" s="28">
        <f t="shared" si="39"/>
        <v>0.6257852389865789</v>
      </c>
      <c r="AK48" s="28">
        <f t="shared" si="39"/>
        <v>0.65479515072767858</v>
      </c>
      <c r="AL48" s="28">
        <f t="shared" si="39"/>
        <v>0.68380506246877826</v>
      </c>
      <c r="AM48" s="28">
        <f t="shared" si="39"/>
        <v>0.71281497420987794</v>
      </c>
      <c r="AN48" s="28">
        <f t="shared" si="39"/>
        <v>0.74182488595097762</v>
      </c>
      <c r="AO48" s="28">
        <f t="shared" si="39"/>
        <v>0.7708347976920773</v>
      </c>
      <c r="AP48" s="28">
        <f t="shared" si="39"/>
        <v>0.79984470943317698</v>
      </c>
      <c r="AQ48" s="34">
        <f>1*'Extra State Data'!B61/'Extra State Data'!B62</f>
        <v>0.82885462117427677</v>
      </c>
    </row>
    <row r="49" spans="1:43" ht="64" customHeight="1">
      <c r="A49" s="54" t="s">
        <v>220</v>
      </c>
      <c r="B49" s="24" t="s">
        <v>124</v>
      </c>
      <c r="C49" s="29" t="s">
        <v>221</v>
      </c>
      <c r="D49" s="25" t="s">
        <v>181</v>
      </c>
      <c r="E49" s="25" t="s">
        <v>181</v>
      </c>
      <c r="F49" s="26">
        <f>SUMIFS('EIA 2020 ESRAP Table 10'!E:E,'EIA 2020 ESRAP Table 10'!B:B,B49)</f>
        <v>173216547</v>
      </c>
      <c r="G49" s="30">
        <f>(0.03*2)*'Extra State Data'!$B$57/'Extra State Data'!$B$58</f>
        <v>5.0337282844775115E-2</v>
      </c>
      <c r="H49" s="31">
        <f>$G49+($I49-$G49)*(H$2-$G$2)/($I$2-$G$2)</f>
        <v>6.2921603555968889E-2</v>
      </c>
      <c r="I49" s="30">
        <f>0.09*'Extra State Data'!$B$57/'Extra State Data'!$B$58</f>
        <v>7.5505924267162669E-2</v>
      </c>
      <c r="J49" s="31">
        <f>$I49+($M49-$I49)*(J$2-$I$2)/($M$2-$I$2)</f>
        <v>8.809024497835645E-2</v>
      </c>
      <c r="K49" s="31">
        <f>$I49+($M49-$I49)*(K$2-$I$2)/($M$2-$I$2)</f>
        <v>0.10067456568955022</v>
      </c>
      <c r="L49" s="31">
        <f>$I49+($M49-$I49)*(L$2-$I$2)/($M$2-$I$2)</f>
        <v>0.113258886400744</v>
      </c>
      <c r="M49" s="30">
        <f>0.15*'Extra State Data'!$B$57/'Extra State Data'!$B$58</f>
        <v>0.12584320711193778</v>
      </c>
      <c r="N49" s="28">
        <f t="shared" ref="N49:AK49" si="40">($AL$49-$M$49)/COUNT($N$2:$AL$2)+M49</f>
        <v>0.15436766739064367</v>
      </c>
      <c r="O49" s="28">
        <f t="shared" si="40"/>
        <v>0.18289212766934956</v>
      </c>
      <c r="P49" s="28">
        <f t="shared" si="40"/>
        <v>0.21141658794805546</v>
      </c>
      <c r="Q49" s="28">
        <f t="shared" si="40"/>
        <v>0.23994104822676135</v>
      </c>
      <c r="R49" s="28">
        <f t="shared" si="40"/>
        <v>0.26846550850546724</v>
      </c>
      <c r="S49" s="28">
        <f t="shared" si="40"/>
        <v>0.29698996878417316</v>
      </c>
      <c r="T49" s="28">
        <f t="shared" si="40"/>
        <v>0.32551442906287908</v>
      </c>
      <c r="U49" s="28">
        <f t="shared" si="40"/>
        <v>0.35403888934158501</v>
      </c>
      <c r="V49" s="28">
        <f t="shared" si="40"/>
        <v>0.38256334962029093</v>
      </c>
      <c r="W49" s="28">
        <f t="shared" si="40"/>
        <v>0.41108780989899685</v>
      </c>
      <c r="X49" s="28">
        <f t="shared" si="40"/>
        <v>0.43961227017770277</v>
      </c>
      <c r="Y49" s="28">
        <f t="shared" si="40"/>
        <v>0.46813673045640869</v>
      </c>
      <c r="Z49" s="28">
        <f t="shared" si="40"/>
        <v>0.49666119073511461</v>
      </c>
      <c r="AA49" s="28">
        <f t="shared" si="40"/>
        <v>0.52518565101382053</v>
      </c>
      <c r="AB49" s="28">
        <f t="shared" si="40"/>
        <v>0.55371011129252645</v>
      </c>
      <c r="AC49" s="28">
        <f t="shared" si="40"/>
        <v>0.58223457157123237</v>
      </c>
      <c r="AD49" s="28">
        <f t="shared" si="40"/>
        <v>0.61075903184993829</v>
      </c>
      <c r="AE49" s="28">
        <f t="shared" si="40"/>
        <v>0.63928349212864422</v>
      </c>
      <c r="AF49" s="28">
        <f t="shared" si="40"/>
        <v>0.66780795240735014</v>
      </c>
      <c r="AG49" s="28">
        <f t="shared" si="40"/>
        <v>0.69633241268605606</v>
      </c>
      <c r="AH49" s="28">
        <f t="shared" si="40"/>
        <v>0.72485687296476198</v>
      </c>
      <c r="AI49" s="28">
        <f t="shared" si="40"/>
        <v>0.7533813332434679</v>
      </c>
      <c r="AJ49" s="28">
        <f t="shared" si="40"/>
        <v>0.78190579352217382</v>
      </c>
      <c r="AK49" s="28">
        <f t="shared" si="40"/>
        <v>0.81043025380087974</v>
      </c>
      <c r="AL49" s="33">
        <f>1*'Extra State Data'!$B$57/'Extra State Data'!$B$58</f>
        <v>0.83895471407958522</v>
      </c>
      <c r="AM49" s="28">
        <f>AL49</f>
        <v>0.83895471407958522</v>
      </c>
      <c r="AN49" s="28">
        <f>AM49</f>
        <v>0.83895471407958522</v>
      </c>
      <c r="AO49" s="28">
        <f>AN49</f>
        <v>0.83895471407958522</v>
      </c>
      <c r="AP49" s="28">
        <f>AO49</f>
        <v>0.83895471407958522</v>
      </c>
      <c r="AQ49" s="28">
        <f>AP49</f>
        <v>0.83895471407958522</v>
      </c>
    </row>
    <row r="50" spans="1:43">
      <c r="A50" s="54" t="s">
        <v>222</v>
      </c>
      <c r="B50" s="24" t="s">
        <v>127</v>
      </c>
      <c r="C50" s="25"/>
      <c r="D50" s="25"/>
      <c r="E50" s="25"/>
      <c r="F50" s="26">
        <f>SUMIFS('EIA 2020 ESRAP Table 10'!E:E,'EIA 2020 ESRAP Table 10'!B:B,B50)</f>
        <v>65323596</v>
      </c>
      <c r="G50" s="27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</row>
    <row r="51" spans="1:43" ht="16" customHeight="1">
      <c r="A51" s="54" t="s">
        <v>223</v>
      </c>
      <c r="B51" s="24" t="s">
        <v>129</v>
      </c>
      <c r="C51" s="29" t="s">
        <v>224</v>
      </c>
      <c r="D51" s="25"/>
      <c r="E51" s="25"/>
      <c r="F51" s="26">
        <f>SUMIFS('EIA 2020 ESRAP Table 10'!E:E,'EIA 2020 ESRAP Table 10'!B:B,B51)</f>
        <v>136605901</v>
      </c>
      <c r="G51" s="27">
        <v>0</v>
      </c>
      <c r="H51" s="33">
        <v>0.1</v>
      </c>
      <c r="I51" s="28">
        <f t="shared" ref="I51:AQ51" si="41">$H51</f>
        <v>0.1</v>
      </c>
      <c r="J51" s="28">
        <f t="shared" si="41"/>
        <v>0.1</v>
      </c>
      <c r="K51" s="28">
        <f t="shared" si="41"/>
        <v>0.1</v>
      </c>
      <c r="L51" s="28">
        <f t="shared" si="41"/>
        <v>0.1</v>
      </c>
      <c r="M51" s="28">
        <f t="shared" si="41"/>
        <v>0.1</v>
      </c>
      <c r="N51" s="28">
        <f t="shared" si="41"/>
        <v>0.1</v>
      </c>
      <c r="O51" s="28">
        <f t="shared" si="41"/>
        <v>0.1</v>
      </c>
      <c r="P51" s="28">
        <f t="shared" si="41"/>
        <v>0.1</v>
      </c>
      <c r="Q51" s="28">
        <f t="shared" si="41"/>
        <v>0.1</v>
      </c>
      <c r="R51" s="28">
        <f t="shared" si="41"/>
        <v>0.1</v>
      </c>
      <c r="S51" s="28">
        <f t="shared" si="41"/>
        <v>0.1</v>
      </c>
      <c r="T51" s="28">
        <f t="shared" si="41"/>
        <v>0.1</v>
      </c>
      <c r="U51" s="28">
        <f t="shared" si="41"/>
        <v>0.1</v>
      </c>
      <c r="V51" s="28">
        <f t="shared" si="41"/>
        <v>0.1</v>
      </c>
      <c r="W51" s="28">
        <f t="shared" si="41"/>
        <v>0.1</v>
      </c>
      <c r="X51" s="28">
        <f t="shared" si="41"/>
        <v>0.1</v>
      </c>
      <c r="Y51" s="28">
        <f t="shared" si="41"/>
        <v>0.1</v>
      </c>
      <c r="Z51" s="28">
        <f t="shared" si="41"/>
        <v>0.1</v>
      </c>
      <c r="AA51" s="28">
        <f t="shared" si="41"/>
        <v>0.1</v>
      </c>
      <c r="AB51" s="28">
        <f t="shared" si="41"/>
        <v>0.1</v>
      </c>
      <c r="AC51" s="28">
        <f t="shared" si="41"/>
        <v>0.1</v>
      </c>
      <c r="AD51" s="28">
        <f t="shared" si="41"/>
        <v>0.1</v>
      </c>
      <c r="AE51" s="28">
        <f t="shared" si="41"/>
        <v>0.1</v>
      </c>
      <c r="AF51" s="28">
        <f t="shared" si="41"/>
        <v>0.1</v>
      </c>
      <c r="AG51" s="28">
        <f t="shared" si="41"/>
        <v>0.1</v>
      </c>
      <c r="AH51" s="28">
        <f t="shared" si="41"/>
        <v>0.1</v>
      </c>
      <c r="AI51" s="28">
        <f t="shared" si="41"/>
        <v>0.1</v>
      </c>
      <c r="AJ51" s="28">
        <f t="shared" si="41"/>
        <v>0.1</v>
      </c>
      <c r="AK51" s="28">
        <f t="shared" si="41"/>
        <v>0.1</v>
      </c>
      <c r="AL51" s="28">
        <f t="shared" si="41"/>
        <v>0.1</v>
      </c>
      <c r="AM51" s="28">
        <f t="shared" si="41"/>
        <v>0.1</v>
      </c>
      <c r="AN51" s="28">
        <f t="shared" si="41"/>
        <v>0.1</v>
      </c>
      <c r="AO51" s="28">
        <f t="shared" si="41"/>
        <v>0.1</v>
      </c>
      <c r="AP51" s="28">
        <f t="shared" si="41"/>
        <v>0.1</v>
      </c>
      <c r="AQ51" s="28">
        <f t="shared" si="41"/>
        <v>0.1</v>
      </c>
    </row>
    <row r="52" spans="1:43">
      <c r="A52" s="54" t="s">
        <v>132</v>
      </c>
      <c r="B52" s="24" t="s">
        <v>133</v>
      </c>
      <c r="C52" s="25"/>
      <c r="D52" s="25"/>
      <c r="E52" s="25"/>
      <c r="F52" s="26">
        <f>SUMIFS('EIA 2020 ESRAP Table 10'!E:E,'EIA 2020 ESRAP Table 10'!B:B,B52)</f>
        <v>32094514</v>
      </c>
      <c r="G52" s="27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</row>
    <row r="53" spans="1:43" ht="29" customHeight="1">
      <c r="A53" s="54" t="s">
        <v>148</v>
      </c>
      <c r="B53" s="24" t="s">
        <v>225</v>
      </c>
      <c r="C53" s="29" t="s">
        <v>226</v>
      </c>
      <c r="D53" s="25"/>
      <c r="E53" s="25" t="s">
        <v>181</v>
      </c>
      <c r="F53" s="26">
        <f>SUMIFS('EIA 2020 ESRAP Table 10'!E:E,'EIA 2020 ESRAP Table 10'!B:B,B53)</f>
        <v>2846305</v>
      </c>
      <c r="G53" s="33">
        <v>0.08</v>
      </c>
      <c r="H53" s="30">
        <v>9.5000000000000001E-2</v>
      </c>
      <c r="I53" s="30">
        <v>0.115</v>
      </c>
      <c r="J53" s="30">
        <v>0.13500000000000001</v>
      </c>
      <c r="K53" s="30">
        <v>0.155</v>
      </c>
      <c r="L53" s="30">
        <v>0.17499999999999999</v>
      </c>
      <c r="M53" s="33">
        <v>0.2</v>
      </c>
      <c r="N53" s="33">
        <v>0.26250000000000001</v>
      </c>
      <c r="O53" s="33">
        <v>0.32500000000000001</v>
      </c>
      <c r="P53" s="33">
        <v>0.38750000000000001</v>
      </c>
      <c r="Q53" s="33">
        <v>0.45</v>
      </c>
      <c r="R53" s="33">
        <v>0.52</v>
      </c>
      <c r="S53" s="33">
        <v>0.59</v>
      </c>
      <c r="T53" s="33">
        <v>0.66</v>
      </c>
      <c r="U53" s="33">
        <v>0.73</v>
      </c>
      <c r="V53" s="33">
        <v>0.8</v>
      </c>
      <c r="W53" s="33">
        <v>0.87</v>
      </c>
      <c r="X53" s="33">
        <v>0.94</v>
      </c>
      <c r="Y53" s="33">
        <v>1</v>
      </c>
      <c r="Z53" s="28">
        <f t="shared" ref="Z53:AQ53" si="42">$Y53</f>
        <v>1</v>
      </c>
      <c r="AA53" s="28">
        <f t="shared" si="42"/>
        <v>1</v>
      </c>
      <c r="AB53" s="28">
        <f t="shared" si="42"/>
        <v>1</v>
      </c>
      <c r="AC53" s="28">
        <f t="shared" si="42"/>
        <v>1</v>
      </c>
      <c r="AD53" s="28">
        <f t="shared" si="42"/>
        <v>1</v>
      </c>
      <c r="AE53" s="28">
        <f t="shared" si="42"/>
        <v>1</v>
      </c>
      <c r="AF53" s="28">
        <f t="shared" si="42"/>
        <v>1</v>
      </c>
      <c r="AG53" s="28">
        <f t="shared" si="42"/>
        <v>1</v>
      </c>
      <c r="AH53" s="28">
        <f t="shared" si="42"/>
        <v>1</v>
      </c>
      <c r="AI53" s="28">
        <f t="shared" si="42"/>
        <v>1</v>
      </c>
      <c r="AJ53" s="28">
        <f t="shared" si="42"/>
        <v>1</v>
      </c>
      <c r="AK53" s="28">
        <f t="shared" si="42"/>
        <v>1</v>
      </c>
      <c r="AL53" s="28">
        <f t="shared" si="42"/>
        <v>1</v>
      </c>
      <c r="AM53" s="28">
        <f t="shared" si="42"/>
        <v>1</v>
      </c>
      <c r="AN53" s="28">
        <f t="shared" si="42"/>
        <v>1</v>
      </c>
      <c r="AO53" s="28">
        <f t="shared" si="42"/>
        <v>1</v>
      </c>
      <c r="AP53" s="28">
        <f t="shared" si="42"/>
        <v>1</v>
      </c>
      <c r="AQ53" s="28">
        <f t="shared" si="42"/>
        <v>1</v>
      </c>
    </row>
    <row r="54" spans="1:43" s="42" customFormat="1">
      <c r="A54" s="45" t="s">
        <v>2461</v>
      </c>
      <c r="B54" s="39"/>
      <c r="C54" s="40"/>
      <c r="D54" s="40"/>
      <c r="E54" s="40"/>
      <c r="F54" s="4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1:43" s="42" customFormat="1">
      <c r="A55" s="39"/>
      <c r="B55" s="39"/>
      <c r="C55" s="40"/>
      <c r="D55" s="40"/>
      <c r="E55" s="40"/>
      <c r="F55" s="4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1:43" s="45" customFormat="1">
      <c r="B56" s="43"/>
      <c r="C56" s="44"/>
      <c r="D56" s="44"/>
      <c r="E56" s="44"/>
      <c r="F56" s="43" t="s">
        <v>227</v>
      </c>
      <c r="G56" s="43">
        <v>0</v>
      </c>
      <c r="H56" s="66">
        <f>0.15*('Extra State Data'!$B$8/'Extra State Data'!$B$10)</f>
        <v>0.10240658096212971</v>
      </c>
      <c r="I56" s="43">
        <f>0.16*('Extra State Data'!$B$8/'Extra State Data'!$B$10)</f>
        <v>0.10923368635960502</v>
      </c>
      <c r="J56" s="43">
        <f>0.17*('Extra State Data'!$B$8/'Extra State Data'!$B$10)</f>
        <v>0.11606079175708034</v>
      </c>
      <c r="K56" s="43">
        <f>0.18*('Extra State Data'!$B$8/'Extra State Data'!$B$10)</f>
        <v>0.12288789715455564</v>
      </c>
      <c r="L56" s="43">
        <f>0.19*('Extra State Data'!$B$8/'Extra State Data'!$B$10)</f>
        <v>0.12971500255203097</v>
      </c>
      <c r="M56" s="66">
        <f>0.2*('Extra State Data'!$B$8/'Extra State Data'!$B$10)</f>
        <v>0.13654210794950628</v>
      </c>
      <c r="N56" s="43">
        <f>M56+(($R$56-$M$56)/5)</f>
        <v>0.16385052953940754</v>
      </c>
      <c r="O56" s="43">
        <f t="shared" ref="O56:Q56" si="43">N56+(($R$56-$M$56)/5)</f>
        <v>0.19115895112930881</v>
      </c>
      <c r="P56" s="43">
        <f t="shared" si="43"/>
        <v>0.21846737271921007</v>
      </c>
      <c r="Q56" s="43">
        <f t="shared" si="43"/>
        <v>0.24577579430911134</v>
      </c>
      <c r="R56" s="66">
        <f>0.4*('Extra State Data'!$B$8/'Extra State Data'!$B$10)</f>
        <v>0.27308421589901255</v>
      </c>
      <c r="S56" s="43">
        <f>(($W$56-$R$56)/5)+R56</f>
        <v>0.28673842669396316</v>
      </c>
      <c r="T56" s="43">
        <f t="shared" ref="T56:V56" si="44">(($W$56-$R$56)/5)+S56</f>
        <v>0.30039263748891376</v>
      </c>
      <c r="U56" s="43">
        <f t="shared" si="44"/>
        <v>0.31404684828386437</v>
      </c>
      <c r="V56" s="43">
        <f t="shared" si="44"/>
        <v>0.32770105907881497</v>
      </c>
      <c r="W56" s="66">
        <f>0.5*('Extra State Data'!$B$8/'Extra State Data'!$B$10)</f>
        <v>0.34135526987376569</v>
      </c>
      <c r="X56" s="43">
        <f>W56+(($AG$56-$W$56)/10)</f>
        <v>0.36183658606619162</v>
      </c>
      <c r="Y56" s="43">
        <f t="shared" ref="Y56:AF56" si="45">X56+(($AG$56-$W$56)/10)</f>
        <v>0.38231790225861756</v>
      </c>
      <c r="Z56" s="43">
        <f t="shared" si="45"/>
        <v>0.40279921845104349</v>
      </c>
      <c r="AA56" s="43">
        <f t="shared" si="45"/>
        <v>0.42328053464346943</v>
      </c>
      <c r="AB56" s="43">
        <f t="shared" si="45"/>
        <v>0.44376185083589537</v>
      </c>
      <c r="AC56" s="43">
        <f t="shared" si="45"/>
        <v>0.4642431670283213</v>
      </c>
      <c r="AD56" s="43">
        <f t="shared" si="45"/>
        <v>0.48472448322074724</v>
      </c>
      <c r="AE56" s="43">
        <f t="shared" si="45"/>
        <v>0.50520579941317323</v>
      </c>
      <c r="AF56" s="43">
        <f t="shared" si="45"/>
        <v>0.52568711560559922</v>
      </c>
      <c r="AG56" s="66">
        <f>0.8*('Extra State Data'!$B$8/'Extra State Data'!$B$10)</f>
        <v>0.5461684317980251</v>
      </c>
      <c r="AH56" s="43">
        <f>($AL$56-$W$56)/COUNT($X$2:$AL$2)+AG56</f>
        <v>0.56892544978960946</v>
      </c>
      <c r="AI56" s="43">
        <f t="shared" ref="AI56:AK56" si="46">($AL$56-$W$56)/COUNT($X$2:$AL$2)+AH56</f>
        <v>0.59168246778119382</v>
      </c>
      <c r="AJ56" s="43">
        <f t="shared" si="46"/>
        <v>0.61443948577277818</v>
      </c>
      <c r="AK56" s="43">
        <f t="shared" si="46"/>
        <v>0.63719650376436254</v>
      </c>
      <c r="AL56" s="66">
        <f>1*('Extra State Data'!B8/'Extra State Data'!B10)</f>
        <v>0.68271053974753138</v>
      </c>
      <c r="AM56" s="43">
        <f t="shared" ref="AM56:AQ57" si="47">AL56</f>
        <v>0.68271053974753138</v>
      </c>
      <c r="AN56" s="43">
        <f t="shared" si="47"/>
        <v>0.68271053974753138</v>
      </c>
      <c r="AO56" s="43">
        <f t="shared" si="47"/>
        <v>0.68271053974753138</v>
      </c>
      <c r="AP56" s="43">
        <f t="shared" si="47"/>
        <v>0.68271053974753138</v>
      </c>
      <c r="AQ56" s="43">
        <f t="shared" si="47"/>
        <v>0.68271053974753138</v>
      </c>
    </row>
    <row r="57" spans="1:43" s="45" customFormat="1">
      <c r="B57" s="43"/>
      <c r="C57" s="44"/>
      <c r="D57" s="44"/>
      <c r="E57" s="44"/>
      <c r="F57" s="43" t="s">
        <v>228</v>
      </c>
      <c r="G57" s="43">
        <v>0</v>
      </c>
      <c r="H57" s="43">
        <f>0.05*('Extra State Data'!B9/'Extra State Data'!B10)</f>
        <v>1.0526737981886129E-2</v>
      </c>
      <c r="I57" s="43">
        <f>0.06*('Extra State Data'!B9/'Extra State Data'!B10)</f>
        <v>1.2632085578263355E-2</v>
      </c>
      <c r="J57" s="43">
        <f>0.07*('Extra State Data'!B9/'Extra State Data'!B10)</f>
        <v>1.4737433174640583E-2</v>
      </c>
      <c r="K57" s="43">
        <f>0.08*('Extra State Data'!B9/'Extra State Data'!B10)</f>
        <v>1.6842780771017807E-2</v>
      </c>
      <c r="L57" s="43">
        <f>0.09*('Extra State Data'!B9/'Extra State Data'!B10)</f>
        <v>1.8948128367395033E-2</v>
      </c>
      <c r="M57" s="43">
        <f>($W$57-$L$57)/COUNT($M$2:$W$2)+L57</f>
        <v>2.6795333044801056E-2</v>
      </c>
      <c r="N57" s="43">
        <f>(($R$57-$M$57)/5)+M57</f>
        <v>3.8279047206858652E-2</v>
      </c>
      <c r="O57" s="43">
        <f t="shared" ref="O57:Q57" si="48">(($R$57-$M$57)/5)+N57</f>
        <v>4.9762761368916247E-2</v>
      </c>
      <c r="P57" s="43">
        <f t="shared" si="48"/>
        <v>6.1246475530973843E-2</v>
      </c>
      <c r="Q57" s="43">
        <f t="shared" si="48"/>
        <v>7.2730189693031438E-2</v>
      </c>
      <c r="R57" s="66">
        <f>0.4*('Extra State Data'!$B$9/'Extra State Data'!$B$10)</f>
        <v>8.4213903855089034E-2</v>
      </c>
      <c r="S57" s="43">
        <f>(($W$57-$R$57)/5)+R57</f>
        <v>8.8424599047843486E-2</v>
      </c>
      <c r="T57" s="43">
        <f t="shared" ref="T57:V57" si="49">(($W$57-$R$57)/5)+S57</f>
        <v>9.2635294240597937E-2</v>
      </c>
      <c r="U57" s="43">
        <f t="shared" si="49"/>
        <v>9.6845989433352389E-2</v>
      </c>
      <c r="V57" s="43">
        <f t="shared" si="49"/>
        <v>0.10105668462610684</v>
      </c>
      <c r="W57" s="66">
        <f>0.5*('Extra State Data'!$B$9/'Extra State Data'!$B$10)</f>
        <v>0.10526737981886129</v>
      </c>
      <c r="X57" s="43">
        <f>W57</f>
        <v>0.10526737981886129</v>
      </c>
      <c r="Y57" s="43">
        <f t="shared" ref="Y57:AL57" si="50">X57</f>
        <v>0.10526737981886129</v>
      </c>
      <c r="Z57" s="43">
        <f t="shared" si="50"/>
        <v>0.10526737981886129</v>
      </c>
      <c r="AA57" s="43">
        <f t="shared" si="50"/>
        <v>0.10526737981886129</v>
      </c>
      <c r="AB57" s="43">
        <f t="shared" si="50"/>
        <v>0.10526737981886129</v>
      </c>
      <c r="AC57" s="43">
        <f t="shared" si="50"/>
        <v>0.10526737981886129</v>
      </c>
      <c r="AD57" s="43">
        <f t="shared" si="50"/>
        <v>0.10526737981886129</v>
      </c>
      <c r="AE57" s="43">
        <f t="shared" si="50"/>
        <v>0.10526737981886129</v>
      </c>
      <c r="AF57" s="43">
        <f t="shared" si="50"/>
        <v>0.10526737981886129</v>
      </c>
      <c r="AG57" s="43">
        <f t="shared" si="50"/>
        <v>0.10526737981886129</v>
      </c>
      <c r="AH57" s="43">
        <f t="shared" si="50"/>
        <v>0.10526737981886129</v>
      </c>
      <c r="AI57" s="43">
        <f t="shared" si="50"/>
        <v>0.10526737981886129</v>
      </c>
      <c r="AJ57" s="43">
        <f t="shared" si="50"/>
        <v>0.10526737981886129</v>
      </c>
      <c r="AK57" s="43">
        <f t="shared" si="50"/>
        <v>0.10526737981886129</v>
      </c>
      <c r="AL57" s="43">
        <f t="shared" si="50"/>
        <v>0.10526737981886129</v>
      </c>
      <c r="AM57" s="43">
        <f t="shared" si="47"/>
        <v>0.10526737981886129</v>
      </c>
      <c r="AN57" s="43">
        <f t="shared" si="47"/>
        <v>0.10526737981886129</v>
      </c>
      <c r="AO57" s="43">
        <f t="shared" si="47"/>
        <v>0.10526737981886129</v>
      </c>
      <c r="AP57" s="43">
        <f t="shared" si="47"/>
        <v>0.10526737981886129</v>
      </c>
      <c r="AQ57" s="43">
        <f t="shared" si="47"/>
        <v>0.10526737981886129</v>
      </c>
    </row>
    <row r="58" spans="1:43"/>
    <row r="59" spans="1:43">
      <c r="F59" s="18" t="s">
        <v>2</v>
      </c>
    </row>
    <row r="60" spans="1:43">
      <c r="A60" s="1"/>
      <c r="F60" s="13" t="str">
        <f>About!B2</f>
        <v>NE</v>
      </c>
      <c r="G60">
        <f>SUMIFS(G3:G53,$B$3:$B$53,$F$60)</f>
        <v>0</v>
      </c>
      <c r="H60" s="15">
        <f t="shared" ref="H60:AQ60" si="51">SUMIFS(H3:H53,$B$3:$B$53,$F$60)</f>
        <v>0</v>
      </c>
      <c r="I60" s="15">
        <f t="shared" si="51"/>
        <v>0</v>
      </c>
      <c r="J60" s="15">
        <f t="shared" si="51"/>
        <v>0</v>
      </c>
      <c r="K60" s="15">
        <f t="shared" si="51"/>
        <v>0</v>
      </c>
      <c r="L60" s="15">
        <f t="shared" si="51"/>
        <v>0</v>
      </c>
      <c r="M60" s="15">
        <f t="shared" si="51"/>
        <v>0</v>
      </c>
      <c r="N60" s="15">
        <f t="shared" si="51"/>
        <v>0</v>
      </c>
      <c r="O60" s="15">
        <f t="shared" si="51"/>
        <v>0</v>
      </c>
      <c r="P60" s="15">
        <f t="shared" si="51"/>
        <v>0</v>
      </c>
      <c r="Q60" s="15">
        <f t="shared" si="51"/>
        <v>0</v>
      </c>
      <c r="R60" s="15">
        <f t="shared" si="51"/>
        <v>0</v>
      </c>
      <c r="S60" s="15">
        <f t="shared" si="51"/>
        <v>0</v>
      </c>
      <c r="T60" s="15">
        <f t="shared" si="51"/>
        <v>0</v>
      </c>
      <c r="U60" s="15">
        <f t="shared" si="51"/>
        <v>0</v>
      </c>
      <c r="V60" s="15">
        <f t="shared" si="51"/>
        <v>0</v>
      </c>
      <c r="W60" s="15">
        <f t="shared" si="51"/>
        <v>0</v>
      </c>
      <c r="X60" s="15">
        <f t="shared" si="51"/>
        <v>0</v>
      </c>
      <c r="Y60" s="15">
        <f t="shared" si="51"/>
        <v>0</v>
      </c>
      <c r="Z60" s="15">
        <f t="shared" si="51"/>
        <v>0</v>
      </c>
      <c r="AA60" s="15">
        <f t="shared" si="51"/>
        <v>0</v>
      </c>
      <c r="AB60" s="15">
        <f t="shared" si="51"/>
        <v>0</v>
      </c>
      <c r="AC60" s="15">
        <f t="shared" si="51"/>
        <v>0</v>
      </c>
      <c r="AD60" s="15">
        <f t="shared" si="51"/>
        <v>0</v>
      </c>
      <c r="AE60" s="15">
        <f t="shared" si="51"/>
        <v>0</v>
      </c>
      <c r="AF60" s="15">
        <f t="shared" si="51"/>
        <v>0</v>
      </c>
      <c r="AG60" s="15">
        <f t="shared" si="51"/>
        <v>0</v>
      </c>
      <c r="AH60" s="15">
        <f t="shared" si="51"/>
        <v>0</v>
      </c>
      <c r="AI60" s="15">
        <f t="shared" si="51"/>
        <v>0</v>
      </c>
      <c r="AJ60" s="15">
        <f t="shared" si="51"/>
        <v>0</v>
      </c>
      <c r="AK60" s="15">
        <f t="shared" si="51"/>
        <v>0</v>
      </c>
      <c r="AL60" s="15">
        <f t="shared" si="51"/>
        <v>0</v>
      </c>
      <c r="AM60" s="15">
        <f t="shared" si="51"/>
        <v>0</v>
      </c>
      <c r="AN60" s="15">
        <f t="shared" si="51"/>
        <v>0</v>
      </c>
      <c r="AO60" s="15">
        <f t="shared" si="51"/>
        <v>0</v>
      </c>
      <c r="AP60" s="15">
        <f t="shared" si="51"/>
        <v>0</v>
      </c>
      <c r="AQ60" s="15">
        <f t="shared" si="51"/>
        <v>0</v>
      </c>
    </row>
    <row r="61" spans="1:43"/>
    <row r="62" spans="1:43"/>
    <row r="63" spans="1:43"/>
    <row r="64" spans="1:43"/>
    <row r="65"/>
    <row r="66"/>
    <row r="67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9A51-0080-C547-A912-FA346265C890}">
  <dimension ref="A3:D54"/>
  <sheetViews>
    <sheetView workbookViewId="0">
      <selection activeCell="C35" sqref="C35"/>
    </sheetView>
  </sheetViews>
  <sheetFormatPr baseColWidth="10" defaultColWidth="10.83203125" defaultRowHeight="15"/>
  <sheetData>
    <row r="3" spans="1:4" ht="16">
      <c r="A3" s="60"/>
      <c r="B3" s="61" t="s">
        <v>2373</v>
      </c>
      <c r="C3" s="62" t="s">
        <v>2374</v>
      </c>
      <c r="D3" s="61" t="s">
        <v>2375</v>
      </c>
    </row>
    <row r="4" spans="1:4">
      <c r="A4" s="59" t="s">
        <v>4</v>
      </c>
      <c r="B4" s="63">
        <f>'RPS by State'!M3</f>
        <v>0</v>
      </c>
      <c r="C4" s="64">
        <f>'RPS by State'!W3</f>
        <v>0</v>
      </c>
      <c r="D4" s="64">
        <f>'RPS by State'!AQ3</f>
        <v>0</v>
      </c>
    </row>
    <row r="5" spans="1:4">
      <c r="A5" s="59" t="s">
        <v>8</v>
      </c>
      <c r="B5" s="63">
        <f>'RPS by State'!M4</f>
        <v>0</v>
      </c>
      <c r="C5" s="64">
        <f>'RPS by State'!W4</f>
        <v>0</v>
      </c>
      <c r="D5" s="64">
        <f>'RPS by State'!AQ4</f>
        <v>0</v>
      </c>
    </row>
    <row r="6" spans="1:4">
      <c r="A6" s="59" t="s">
        <v>11</v>
      </c>
      <c r="B6" s="63">
        <f>'RPS by State'!M5</f>
        <v>0.1</v>
      </c>
      <c r="C6" s="64">
        <f>'RPS by State'!W5</f>
        <v>0.15</v>
      </c>
      <c r="D6" s="64">
        <f>'RPS by State'!AQ5</f>
        <v>0.15</v>
      </c>
    </row>
    <row r="7" spans="1:4">
      <c r="A7" s="59" t="s">
        <v>13</v>
      </c>
      <c r="B7" s="63">
        <f>'RPS by State'!M6</f>
        <v>0</v>
      </c>
      <c r="C7" s="64">
        <f>'RPS by State'!W6</f>
        <v>0</v>
      </c>
      <c r="D7" s="64">
        <f>'RPS by State'!AQ6</f>
        <v>0</v>
      </c>
    </row>
    <row r="8" spans="1:4">
      <c r="A8" s="59" t="s">
        <v>16</v>
      </c>
      <c r="B8" s="63">
        <f>'RPS by State'!M7</f>
        <v>0.29025288971966112</v>
      </c>
      <c r="C8" s="64">
        <f>'RPS by State'!W7</f>
        <v>0.52773252676302018</v>
      </c>
      <c r="D8" s="64">
        <f>'RPS by State'!AQ7</f>
        <v>0.87955421127170041</v>
      </c>
    </row>
    <row r="9" spans="1:4">
      <c r="A9" s="59" t="s">
        <v>19</v>
      </c>
      <c r="B9" s="63">
        <f>'RPS by State'!M8</f>
        <v>0.2349729033434573</v>
      </c>
      <c r="C9" s="64">
        <f>'RPS by State'!W8</f>
        <v>0.33122435107308507</v>
      </c>
      <c r="D9" s="64">
        <f>'RPS by State'!AQ8</f>
        <v>0.52372724653233993</v>
      </c>
    </row>
    <row r="10" spans="1:4">
      <c r="A10" s="59" t="s">
        <v>21</v>
      </c>
      <c r="B10" s="63">
        <f>'RPS by State'!M9</f>
        <v>0.28999999999999998</v>
      </c>
      <c r="C10" s="64">
        <f>'RPS by State'!W9</f>
        <v>0.48</v>
      </c>
      <c r="D10" s="64">
        <f>'RPS by State'!AQ9</f>
        <v>0.28999999999999998</v>
      </c>
    </row>
    <row r="11" spans="1:4">
      <c r="A11" s="59" t="s">
        <v>24</v>
      </c>
      <c r="B11" s="63">
        <f>'RPS by State'!M10</f>
        <v>0.2</v>
      </c>
      <c r="C11" s="64">
        <f>'RPS by State'!W10</f>
        <v>0.25</v>
      </c>
      <c r="D11" s="64">
        <f>'RPS by State'!AQ10</f>
        <v>0.25</v>
      </c>
    </row>
    <row r="12" spans="1:4">
      <c r="A12" s="59" t="s">
        <v>225</v>
      </c>
      <c r="B12" s="63">
        <f>'RPS by State'!M53</f>
        <v>0.2</v>
      </c>
      <c r="C12" s="64">
        <f>'RPS by State'!W53</f>
        <v>0.87</v>
      </c>
      <c r="D12" s="64">
        <f>'RPS by State'!AQ53</f>
        <v>1</v>
      </c>
    </row>
    <row r="13" spans="1:4">
      <c r="A13" s="59" t="s">
        <v>26</v>
      </c>
      <c r="B13" s="63">
        <f>'RPS by State'!M11</f>
        <v>7.4721224994711045E-3</v>
      </c>
      <c r="C13" s="64">
        <f>'RPS by State'!W11</f>
        <v>7.4721224994711045E-3</v>
      </c>
      <c r="D13" s="64">
        <f>'RPS by State'!AQ11</f>
        <v>7.4721224994711045E-3</v>
      </c>
    </row>
    <row r="14" spans="1:4">
      <c r="A14" s="59" t="s">
        <v>29</v>
      </c>
      <c r="B14" s="63">
        <f>'RPS by State'!M12</f>
        <v>0</v>
      </c>
      <c r="C14" s="64">
        <f>'RPS by State'!W12</f>
        <v>0</v>
      </c>
      <c r="D14" s="64">
        <f>'RPS by State'!AQ12</f>
        <v>0</v>
      </c>
    </row>
    <row r="15" spans="1:4">
      <c r="A15" s="59" t="s">
        <v>31</v>
      </c>
      <c r="B15" s="63">
        <f>'RPS by State'!M13</f>
        <v>0.3</v>
      </c>
      <c r="C15" s="64">
        <f>'RPS by State'!W13</f>
        <v>0.4</v>
      </c>
      <c r="D15" s="64">
        <f>'RPS by State'!AQ13</f>
        <v>1</v>
      </c>
    </row>
    <row r="16" spans="1:4">
      <c r="A16" s="59" t="s">
        <v>33</v>
      </c>
      <c r="B16" s="63">
        <f>'RPS by State'!M14</f>
        <v>0</v>
      </c>
      <c r="C16" s="64">
        <f>'RPS by State'!W14</f>
        <v>0</v>
      </c>
      <c r="D16" s="64">
        <f>'RPS by State'!AQ14</f>
        <v>0</v>
      </c>
    </row>
    <row r="17" spans="1:4">
      <c r="A17" s="59" t="s">
        <v>36</v>
      </c>
      <c r="B17" s="63">
        <f>'RPS by State'!M15</f>
        <v>0.16</v>
      </c>
      <c r="C17" s="64">
        <f>'RPS by State'!W15</f>
        <v>0.4</v>
      </c>
      <c r="D17" s="64">
        <f>'RPS by State'!AQ15</f>
        <v>0.5</v>
      </c>
    </row>
    <row r="18" spans="1:4">
      <c r="A18" s="59" t="s">
        <v>39</v>
      </c>
      <c r="B18" s="63">
        <f>'RPS by State'!M16</f>
        <v>7.5000000000000011E-2</v>
      </c>
      <c r="C18" s="64">
        <f>'RPS by State'!W16</f>
        <v>0.1</v>
      </c>
      <c r="D18" s="64">
        <f>'RPS by State'!AQ16</f>
        <v>0.1</v>
      </c>
    </row>
    <row r="19" spans="1:4">
      <c r="A19" s="59" t="s">
        <v>41</v>
      </c>
      <c r="B19" s="63">
        <f>'RPS by State'!M17</f>
        <v>0</v>
      </c>
      <c r="C19" s="64">
        <f>'RPS by State'!W17</f>
        <v>0</v>
      </c>
      <c r="D19" s="64">
        <f>'RPS by State'!AQ17</f>
        <v>0</v>
      </c>
    </row>
    <row r="20" spans="1:4">
      <c r="A20" s="59" t="s">
        <v>44</v>
      </c>
      <c r="B20" s="63">
        <f>'RPS by State'!M18</f>
        <v>0</v>
      </c>
      <c r="C20" s="64">
        <f>'RPS by State'!W18</f>
        <v>0</v>
      </c>
      <c r="D20" s="64">
        <f>'RPS by State'!AQ18</f>
        <v>0</v>
      </c>
    </row>
    <row r="21" spans="1:4">
      <c r="A21" s="59" t="s">
        <v>47</v>
      </c>
      <c r="B21" s="63">
        <f>'RPS by State'!M19</f>
        <v>0</v>
      </c>
      <c r="C21" s="64">
        <f>'RPS by State'!W19</f>
        <v>0</v>
      </c>
      <c r="D21" s="64">
        <f>'RPS by State'!AQ19</f>
        <v>0</v>
      </c>
    </row>
    <row r="22" spans="1:4">
      <c r="A22" s="59" t="s">
        <v>50</v>
      </c>
      <c r="B22" s="63">
        <f>'RPS by State'!M20</f>
        <v>0</v>
      </c>
      <c r="C22" s="64">
        <f>'RPS by State'!W20</f>
        <v>0</v>
      </c>
      <c r="D22" s="64">
        <f>'RPS by State'!AQ20</f>
        <v>0</v>
      </c>
    </row>
    <row r="23" spans="1:4">
      <c r="A23" s="59" t="s">
        <v>52</v>
      </c>
      <c r="B23" s="63">
        <f>'RPS by State'!M21</f>
        <v>0.49230769230769234</v>
      </c>
      <c r="C23" s="64">
        <f>'RPS by State'!W21</f>
        <v>0.8</v>
      </c>
      <c r="D23" s="64">
        <f>'RPS by State'!AQ21</f>
        <v>1</v>
      </c>
    </row>
    <row r="24" spans="1:4">
      <c r="A24" s="59" t="s">
        <v>54</v>
      </c>
      <c r="B24" s="63">
        <f>'RPS by State'!M22</f>
        <v>0.30499999999999999</v>
      </c>
      <c r="C24" s="64">
        <f>'RPS by State'!W22</f>
        <v>0.5</v>
      </c>
      <c r="D24" s="64">
        <f>'RPS by State'!AQ22</f>
        <v>0.5</v>
      </c>
    </row>
    <row r="25" spans="1:4">
      <c r="A25" s="59" t="s">
        <v>56</v>
      </c>
      <c r="B25" s="63">
        <f>'RPS by State'!M23</f>
        <v>0.18333333333333332</v>
      </c>
      <c r="C25" s="64">
        <f>'RPS by State'!W23</f>
        <v>0.35</v>
      </c>
      <c r="D25" s="64">
        <f>'RPS by State'!AQ23</f>
        <v>0.55000000000000016</v>
      </c>
    </row>
    <row r="26" spans="1:4">
      <c r="A26" s="59" t="s">
        <v>58</v>
      </c>
      <c r="B26" s="63">
        <f>'RPS by State'!M24</f>
        <v>0.125</v>
      </c>
      <c r="C26" s="64">
        <f>'RPS by State'!W24</f>
        <v>0.15</v>
      </c>
      <c r="D26" s="64">
        <f>'RPS by State'!AQ24</f>
        <v>0.15</v>
      </c>
    </row>
    <row r="27" spans="1:4">
      <c r="A27" s="59" t="s">
        <v>60</v>
      </c>
      <c r="B27" s="63">
        <f>'RPS by State'!M25</f>
        <v>0.20952979192838181</v>
      </c>
      <c r="C27" s="64">
        <f>'RPS by State'!W25</f>
        <v>0.25945006710281737</v>
      </c>
      <c r="D27" s="64">
        <f>'RPS by State'!AQ25</f>
        <v>0.25945006710281737</v>
      </c>
    </row>
    <row r="28" spans="1:4">
      <c r="A28" s="59" t="s">
        <v>62</v>
      </c>
      <c r="B28" s="63">
        <f>'RPS by State'!M26</f>
        <v>0</v>
      </c>
      <c r="C28" s="64">
        <f>'RPS by State'!W26</f>
        <v>0</v>
      </c>
      <c r="D28" s="64">
        <f>'RPS by State'!AQ26</f>
        <v>0</v>
      </c>
    </row>
    <row r="29" spans="1:4">
      <c r="A29" s="59" t="s">
        <v>64</v>
      </c>
      <c r="B29" s="63">
        <f>'RPS by State'!M27</f>
        <v>8.4674628520823025E-2</v>
      </c>
      <c r="C29" s="64">
        <f>'RPS by State'!W27</f>
        <v>0.10160955422498763</v>
      </c>
      <c r="D29" s="64">
        <f>'RPS by State'!AQ27</f>
        <v>0.10160955422498763</v>
      </c>
    </row>
    <row r="30" spans="1:4">
      <c r="A30" s="59" t="s">
        <v>67</v>
      </c>
      <c r="B30" s="63">
        <f>'RPS by State'!M28</f>
        <v>0.15</v>
      </c>
      <c r="C30" s="64">
        <f>'RPS by State'!W28</f>
        <v>0.15</v>
      </c>
      <c r="D30" s="64">
        <f>'RPS by State'!AQ28</f>
        <v>0.15</v>
      </c>
    </row>
    <row r="31" spans="1:4">
      <c r="A31" s="59" t="s">
        <v>69</v>
      </c>
      <c r="B31" s="63">
        <f>'RPS by State'!M29</f>
        <v>0</v>
      </c>
      <c r="C31" s="64">
        <f>'RPS by State'!W29</f>
        <v>0</v>
      </c>
      <c r="D31" s="64">
        <f>'RPS by State'!AQ29</f>
        <v>0</v>
      </c>
    </row>
    <row r="32" spans="1:4">
      <c r="A32" s="59" t="s">
        <v>71</v>
      </c>
      <c r="B32" s="63">
        <f>'RPS by State'!M30</f>
        <v>0.19556581396429618</v>
      </c>
      <c r="C32" s="64">
        <f>'RPS by State'!W30</f>
        <v>0.44446775900976404</v>
      </c>
      <c r="D32" s="64">
        <f>'RPS by State'!AQ30</f>
        <v>0.32001678648703008</v>
      </c>
    </row>
    <row r="33" spans="1:4">
      <c r="A33" s="59" t="s">
        <v>74</v>
      </c>
      <c r="B33" s="63">
        <f>'RPS by State'!M31</f>
        <v>0.192</v>
      </c>
      <c r="C33" s="64">
        <f>'RPS by State'!W31</f>
        <v>0.23699999999999999</v>
      </c>
      <c r="D33" s="64">
        <f>'RPS by State'!AQ31</f>
        <v>0.23699999999999999</v>
      </c>
    </row>
    <row r="34" spans="1:4">
      <c r="A34" s="59" t="s">
        <v>77</v>
      </c>
      <c r="B34" s="63">
        <f>'RPS by State'!M32</f>
        <v>0.16028999999999999</v>
      </c>
      <c r="C34" s="64">
        <f>'RPS by State'!W32</f>
        <v>0.5</v>
      </c>
      <c r="D34" s="64">
        <f>'RPS by State'!AQ32</f>
        <v>0.5</v>
      </c>
    </row>
    <row r="35" spans="1:4">
      <c r="A35" s="59" t="s">
        <v>80</v>
      </c>
      <c r="B35" s="63">
        <f>'RPS by State'!M33</f>
        <v>0.16333744099430733</v>
      </c>
      <c r="C35" s="64">
        <f>'RPS by State'!W33</f>
        <v>0.44662264969262699</v>
      </c>
      <c r="D35" s="64">
        <f>'RPS by State'!AQ33</f>
        <v>0.78797791956639263</v>
      </c>
    </row>
    <row r="36" spans="1:4">
      <c r="A36" s="59" t="s">
        <v>82</v>
      </c>
      <c r="B36" s="63">
        <f>'RPS by State'!M34</f>
        <v>0.42666666666666664</v>
      </c>
      <c r="C36" s="64">
        <f>'RPS by State'!W34</f>
        <v>0.7</v>
      </c>
      <c r="D36" s="64">
        <f>'RPS by State'!AQ34</f>
        <v>1</v>
      </c>
    </row>
    <row r="37" spans="1:4">
      <c r="A37" s="59" t="s">
        <v>85</v>
      </c>
      <c r="B37" s="63">
        <f>'RPS by State'!M35</f>
        <v>0.11383661154747186</v>
      </c>
      <c r="C37" s="64">
        <f>'RPS by State'!W35</f>
        <v>0.12075491732120779</v>
      </c>
      <c r="D37" s="64">
        <f>'RPS by State'!AQ35</f>
        <v>0.12075491732120779</v>
      </c>
    </row>
    <row r="38" spans="1:4">
      <c r="A38" s="59" t="s">
        <v>88</v>
      </c>
      <c r="B38" s="63">
        <f>'RPS by State'!M36</f>
        <v>0</v>
      </c>
      <c r="C38" s="64">
        <f>'RPS by State'!W36</f>
        <v>0</v>
      </c>
      <c r="D38" s="64">
        <f>'RPS by State'!AQ36</f>
        <v>0</v>
      </c>
    </row>
    <row r="39" spans="1:4">
      <c r="A39" s="59" t="s">
        <v>91</v>
      </c>
      <c r="B39" s="63">
        <f>'RPS by State'!M37</f>
        <v>3.1944865751420234E-2</v>
      </c>
      <c r="C39" s="64">
        <f>'RPS by State'!W37</f>
        <v>0</v>
      </c>
      <c r="D39" s="64">
        <f>'RPS by State'!AQ37</f>
        <v>0</v>
      </c>
    </row>
    <row r="40" spans="1:4">
      <c r="A40" s="59" t="s">
        <v>94</v>
      </c>
      <c r="B40" s="63">
        <f>'RPS by State'!M38</f>
        <v>0</v>
      </c>
      <c r="C40" s="64">
        <f>'RPS by State'!W38</f>
        <v>0</v>
      </c>
      <c r="D40" s="64">
        <f>'RPS by State'!AQ38</f>
        <v>0</v>
      </c>
    </row>
    <row r="41" spans="1:4">
      <c r="A41" s="59" t="s">
        <v>96</v>
      </c>
      <c r="B41" s="63">
        <f>'RPS by State'!M39</f>
        <v>0.12995561777578707</v>
      </c>
      <c r="C41" s="64">
        <f>'RPS by State'!W39</f>
        <v>0.26838830733865832</v>
      </c>
      <c r="D41" s="64">
        <f>'RPS by State'!AQ39</f>
        <v>0.36585502067049863</v>
      </c>
    </row>
    <row r="42" spans="1:4">
      <c r="A42" s="59" t="s">
        <v>99</v>
      </c>
      <c r="B42" s="63">
        <f>'RPS by State'!M40</f>
        <v>0.157</v>
      </c>
      <c r="C42" s="64">
        <f>'RPS by State'!W40</f>
        <v>0.18</v>
      </c>
      <c r="D42" s="64">
        <f>'RPS by State'!AQ40</f>
        <v>0.18</v>
      </c>
    </row>
    <row r="43" spans="1:4">
      <c r="A43" s="59" t="s">
        <v>102</v>
      </c>
      <c r="B43" s="63">
        <f>'RPS by State'!M41</f>
        <v>0.16000000000000003</v>
      </c>
      <c r="C43" s="64">
        <f>'RPS by State'!W41</f>
        <v>0.31000000000000016</v>
      </c>
      <c r="D43" s="64">
        <f>'RPS by State'!AQ41</f>
        <v>0.38500000000000023</v>
      </c>
    </row>
    <row r="44" spans="1:4">
      <c r="A44" s="59" t="s">
        <v>104</v>
      </c>
      <c r="B44" s="63">
        <f>'RPS by State'!M42</f>
        <v>0</v>
      </c>
      <c r="C44" s="64">
        <f>'RPS by State'!W42</f>
        <v>0</v>
      </c>
      <c r="D44" s="64">
        <f>'RPS by State'!AQ42</f>
        <v>0</v>
      </c>
    </row>
    <row r="45" spans="1:4">
      <c r="A45" s="59" t="s">
        <v>107</v>
      </c>
      <c r="B45" s="63">
        <f>'RPS by State'!M43</f>
        <v>0</v>
      </c>
      <c r="C45" s="64">
        <f>'RPS by State'!W43</f>
        <v>0</v>
      </c>
      <c r="D45" s="64">
        <f>'RPS by State'!AQ43</f>
        <v>0</v>
      </c>
    </row>
    <row r="46" spans="1:4">
      <c r="A46" s="59" t="s">
        <v>110</v>
      </c>
      <c r="B46" s="63">
        <f>'RPS by State'!M44</f>
        <v>0</v>
      </c>
      <c r="C46" s="64">
        <f>'RPS by State'!W44</f>
        <v>0</v>
      </c>
      <c r="D46" s="64">
        <f>'RPS by State'!AQ44</f>
        <v>0</v>
      </c>
    </row>
    <row r="47" spans="1:4">
      <c r="A47" s="59" t="s">
        <v>113</v>
      </c>
      <c r="B47" s="63">
        <f>'RPS by State'!M45</f>
        <v>6.3769349781841692E-2</v>
      </c>
      <c r="C47" s="64">
        <f>'RPS by State'!W45</f>
        <v>8.1860526035740303E-2</v>
      </c>
      <c r="D47" s="64">
        <f>'RPS by State'!AQ45</f>
        <v>8.1860526035740303E-2</v>
      </c>
    </row>
    <row r="48" spans="1:4">
      <c r="A48" s="59" t="s">
        <v>116</v>
      </c>
      <c r="B48" s="63">
        <f>'RPS by State'!M46</f>
        <v>0</v>
      </c>
      <c r="C48" s="64">
        <f>'RPS by State'!W46</f>
        <v>0</v>
      </c>
      <c r="D48" s="64">
        <f>'RPS by State'!AQ46</f>
        <v>0</v>
      </c>
    </row>
    <row r="49" spans="1:4">
      <c r="A49" s="59" t="s">
        <v>119</v>
      </c>
      <c r="B49" s="63">
        <f>'RPS by State'!M47</f>
        <v>0.59000000000000008</v>
      </c>
      <c r="C49" s="64">
        <f>'RPS by State'!W47</f>
        <v>0.72333333333333338</v>
      </c>
      <c r="D49" s="64">
        <f>'RPS by State'!AQ47</f>
        <v>0.75</v>
      </c>
    </row>
    <row r="50" spans="1:4">
      <c r="A50" s="59" t="s">
        <v>121</v>
      </c>
      <c r="B50" s="63">
        <f>'RPS by State'!M48</f>
        <v>1.9339941160733124E-2</v>
      </c>
      <c r="C50" s="64">
        <f>'RPS by State'!W48</f>
        <v>0.24865638635228304</v>
      </c>
      <c r="D50" s="64">
        <f>'RPS by State'!AQ48</f>
        <v>0.82885462117427677</v>
      </c>
    </row>
    <row r="51" spans="1:4">
      <c r="A51" s="59" t="s">
        <v>124</v>
      </c>
      <c r="B51" s="63">
        <f>'RPS by State'!M49</f>
        <v>0.12584320711193778</v>
      </c>
      <c r="C51" s="64">
        <f>'RPS by State'!W49</f>
        <v>0.41108780989899685</v>
      </c>
      <c r="D51" s="64">
        <f>'RPS by State'!AQ49</f>
        <v>0.83895471407958522</v>
      </c>
    </row>
    <row r="52" spans="1:4">
      <c r="A52" s="59" t="s">
        <v>127</v>
      </c>
      <c r="B52" s="63">
        <f>'RPS by State'!M50</f>
        <v>0</v>
      </c>
      <c r="C52" s="64">
        <f>'RPS by State'!W50</f>
        <v>0</v>
      </c>
      <c r="D52" s="64">
        <f>'RPS by State'!AQ50</f>
        <v>0</v>
      </c>
    </row>
    <row r="53" spans="1:4">
      <c r="A53" s="59" t="s">
        <v>129</v>
      </c>
      <c r="B53" s="63">
        <f>'RPS by State'!M51</f>
        <v>0.1</v>
      </c>
      <c r="C53" s="64">
        <f>'RPS by State'!W51</f>
        <v>0.1</v>
      </c>
      <c r="D53" s="64">
        <f>'RPS by State'!AQ51</f>
        <v>0.1</v>
      </c>
    </row>
    <row r="54" spans="1:4">
      <c r="A54" s="59" t="s">
        <v>133</v>
      </c>
      <c r="B54" s="63">
        <f>'RPS by State'!M52</f>
        <v>0</v>
      </c>
      <c r="C54" s="64">
        <f>'RPS by State'!W52</f>
        <v>0</v>
      </c>
      <c r="D54" s="64">
        <f>'RPS by State'!AQ52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O3356"/>
  <sheetViews>
    <sheetView topLeftCell="A88" workbookViewId="0">
      <selection activeCell="D129" sqref="D129"/>
    </sheetView>
  </sheetViews>
  <sheetFormatPr baseColWidth="10" defaultColWidth="0" defaultRowHeight="15" zeroHeight="1"/>
  <cols>
    <col min="1" max="1" width="42.83203125" style="2" bestFit="1" customWidth="1"/>
    <col min="2" max="2" width="10.5" style="2" bestFit="1" customWidth="1"/>
    <col min="3" max="3" width="20.5" style="2" bestFit="1" customWidth="1"/>
    <col min="4" max="4" width="17.1640625" style="2" bestFit="1" customWidth="1"/>
    <col min="5" max="7" width="20.5" style="2" bestFit="1" customWidth="1"/>
    <col min="8" max="9" width="9.1640625" style="2" customWidth="1"/>
    <col min="10" max="256" width="9.1640625" style="2" hidden="1"/>
    <col min="257" max="257" width="42.83203125" style="2" hidden="1"/>
    <col min="258" max="258" width="10.5" style="2" hidden="1"/>
    <col min="259" max="259" width="20.5" style="2" hidden="1"/>
    <col min="260" max="260" width="17.1640625" style="2" hidden="1"/>
    <col min="261" max="263" width="20.5" style="2" hidden="1"/>
    <col min="264" max="512" width="9.1640625" style="2" hidden="1"/>
    <col min="513" max="513" width="42.83203125" style="2" hidden="1"/>
    <col min="514" max="514" width="10.5" style="2" hidden="1"/>
    <col min="515" max="515" width="20.5" style="2" hidden="1"/>
    <col min="516" max="516" width="17.1640625" style="2" hidden="1"/>
    <col min="517" max="519" width="20.5" style="2" hidden="1"/>
    <col min="520" max="768" width="9.1640625" style="2" hidden="1"/>
    <col min="769" max="769" width="42.83203125" style="2" hidden="1"/>
    <col min="770" max="770" width="10.5" style="2" hidden="1"/>
    <col min="771" max="771" width="20.5" style="2" hidden="1"/>
    <col min="772" max="772" width="17.1640625" style="2" hidden="1"/>
    <col min="773" max="775" width="20.5" style="2" hidden="1"/>
    <col min="776" max="1024" width="9.1640625" style="2" hidden="1"/>
    <col min="1025" max="1025" width="42.83203125" style="2" hidden="1"/>
    <col min="1026" max="1026" width="10.5" style="2" hidden="1"/>
    <col min="1027" max="1027" width="20.5" style="2" hidden="1"/>
    <col min="1028" max="1028" width="17.1640625" style="2" hidden="1"/>
    <col min="1029" max="1031" width="20.5" style="2" hidden="1"/>
    <col min="1032" max="1280" width="9.1640625" style="2" hidden="1"/>
    <col min="1281" max="1281" width="42.83203125" style="2" hidden="1"/>
    <col min="1282" max="1282" width="10.5" style="2" hidden="1"/>
    <col min="1283" max="1283" width="20.5" style="2" hidden="1"/>
    <col min="1284" max="1284" width="17.1640625" style="2" hidden="1"/>
    <col min="1285" max="1287" width="20.5" style="2" hidden="1"/>
    <col min="1288" max="1536" width="9.1640625" style="2" hidden="1"/>
    <col min="1537" max="1537" width="42.83203125" style="2" hidden="1"/>
    <col min="1538" max="1538" width="10.5" style="2" hidden="1"/>
    <col min="1539" max="1539" width="20.5" style="2" hidden="1"/>
    <col min="1540" max="1540" width="17.1640625" style="2" hidden="1"/>
    <col min="1541" max="1543" width="20.5" style="2" hidden="1"/>
    <col min="1544" max="1792" width="9.1640625" style="2" hidden="1"/>
    <col min="1793" max="1793" width="42.83203125" style="2" hidden="1"/>
    <col min="1794" max="1794" width="10.5" style="2" hidden="1"/>
    <col min="1795" max="1795" width="20.5" style="2" hidden="1"/>
    <col min="1796" max="1796" width="17.1640625" style="2" hidden="1"/>
    <col min="1797" max="1799" width="20.5" style="2" hidden="1"/>
    <col min="1800" max="2048" width="9.1640625" style="2" hidden="1"/>
    <col min="2049" max="2049" width="42.83203125" style="2" hidden="1"/>
    <col min="2050" max="2050" width="10.5" style="2" hidden="1"/>
    <col min="2051" max="2051" width="20.5" style="2" hidden="1"/>
    <col min="2052" max="2052" width="17.1640625" style="2" hidden="1"/>
    <col min="2053" max="2055" width="20.5" style="2" hidden="1"/>
    <col min="2056" max="2304" width="9.1640625" style="2" hidden="1"/>
    <col min="2305" max="2305" width="42.83203125" style="2" hidden="1"/>
    <col min="2306" max="2306" width="10.5" style="2" hidden="1"/>
    <col min="2307" max="2307" width="20.5" style="2" hidden="1"/>
    <col min="2308" max="2308" width="17.1640625" style="2" hidden="1"/>
    <col min="2309" max="2311" width="20.5" style="2" hidden="1"/>
    <col min="2312" max="2560" width="9.1640625" style="2" hidden="1"/>
    <col min="2561" max="2561" width="42.83203125" style="2" hidden="1"/>
    <col min="2562" max="2562" width="10.5" style="2" hidden="1"/>
    <col min="2563" max="2563" width="20.5" style="2" hidden="1"/>
    <col min="2564" max="2564" width="17.1640625" style="2" hidden="1"/>
    <col min="2565" max="2567" width="20.5" style="2" hidden="1"/>
    <col min="2568" max="2816" width="9.1640625" style="2" hidden="1"/>
    <col min="2817" max="2817" width="42.83203125" style="2" hidden="1"/>
    <col min="2818" max="2818" width="10.5" style="2" hidden="1"/>
    <col min="2819" max="2819" width="20.5" style="2" hidden="1"/>
    <col min="2820" max="2820" width="17.1640625" style="2" hidden="1"/>
    <col min="2821" max="2823" width="20.5" style="2" hidden="1"/>
    <col min="2824" max="3072" width="9.1640625" style="2" hidden="1"/>
    <col min="3073" max="3073" width="42.83203125" style="2" hidden="1"/>
    <col min="3074" max="3074" width="10.5" style="2" hidden="1"/>
    <col min="3075" max="3075" width="20.5" style="2" hidden="1"/>
    <col min="3076" max="3076" width="17.1640625" style="2" hidden="1"/>
    <col min="3077" max="3079" width="20.5" style="2" hidden="1"/>
    <col min="3080" max="3328" width="9.1640625" style="2" hidden="1"/>
    <col min="3329" max="3329" width="42.83203125" style="2" hidden="1"/>
    <col min="3330" max="3330" width="10.5" style="2" hidden="1"/>
    <col min="3331" max="3331" width="20.5" style="2" hidden="1"/>
    <col min="3332" max="3332" width="17.1640625" style="2" hidden="1"/>
    <col min="3333" max="3335" width="20.5" style="2" hidden="1"/>
    <col min="3336" max="3584" width="9.1640625" style="2" hidden="1"/>
    <col min="3585" max="3585" width="42.83203125" style="2" hidden="1"/>
    <col min="3586" max="3586" width="10.5" style="2" hidden="1"/>
    <col min="3587" max="3587" width="20.5" style="2" hidden="1"/>
    <col min="3588" max="3588" width="17.1640625" style="2" hidden="1"/>
    <col min="3589" max="3591" width="20.5" style="2" hidden="1"/>
    <col min="3592" max="3840" width="9.1640625" style="2" hidden="1"/>
    <col min="3841" max="3841" width="42.83203125" style="2" hidden="1"/>
    <col min="3842" max="3842" width="10.5" style="2" hidden="1"/>
    <col min="3843" max="3843" width="20.5" style="2" hidden="1"/>
    <col min="3844" max="3844" width="17.1640625" style="2" hidden="1"/>
    <col min="3845" max="3847" width="20.5" style="2" hidden="1"/>
    <col min="3848" max="4096" width="9.1640625" style="2" hidden="1"/>
    <col min="4097" max="4097" width="42.83203125" style="2" hidden="1"/>
    <col min="4098" max="4098" width="10.5" style="2" hidden="1"/>
    <col min="4099" max="4099" width="20.5" style="2" hidden="1"/>
    <col min="4100" max="4100" width="17.1640625" style="2" hidden="1"/>
    <col min="4101" max="4103" width="20.5" style="2" hidden="1"/>
    <col min="4104" max="4352" width="9.1640625" style="2" hidden="1"/>
    <col min="4353" max="4353" width="42.83203125" style="2" hidden="1"/>
    <col min="4354" max="4354" width="10.5" style="2" hidden="1"/>
    <col min="4355" max="4355" width="20.5" style="2" hidden="1"/>
    <col min="4356" max="4356" width="17.1640625" style="2" hidden="1"/>
    <col min="4357" max="4359" width="20.5" style="2" hidden="1"/>
    <col min="4360" max="4608" width="9.1640625" style="2" hidden="1"/>
    <col min="4609" max="4609" width="42.83203125" style="2" hidden="1"/>
    <col min="4610" max="4610" width="10.5" style="2" hidden="1"/>
    <col min="4611" max="4611" width="20.5" style="2" hidden="1"/>
    <col min="4612" max="4612" width="17.1640625" style="2" hidden="1"/>
    <col min="4613" max="4615" width="20.5" style="2" hidden="1"/>
    <col min="4616" max="4864" width="9.1640625" style="2" hidden="1"/>
    <col min="4865" max="4865" width="42.83203125" style="2" hidden="1"/>
    <col min="4866" max="4866" width="10.5" style="2" hidden="1"/>
    <col min="4867" max="4867" width="20.5" style="2" hidden="1"/>
    <col min="4868" max="4868" width="17.1640625" style="2" hidden="1"/>
    <col min="4869" max="4871" width="20.5" style="2" hidden="1"/>
    <col min="4872" max="5120" width="9.1640625" style="2" hidden="1"/>
    <col min="5121" max="5121" width="42.83203125" style="2" hidden="1"/>
    <col min="5122" max="5122" width="10.5" style="2" hidden="1"/>
    <col min="5123" max="5123" width="20.5" style="2" hidden="1"/>
    <col min="5124" max="5124" width="17.1640625" style="2" hidden="1"/>
    <col min="5125" max="5127" width="20.5" style="2" hidden="1"/>
    <col min="5128" max="5376" width="9.1640625" style="2" hidden="1"/>
    <col min="5377" max="5377" width="42.83203125" style="2" hidden="1"/>
    <col min="5378" max="5378" width="10.5" style="2" hidden="1"/>
    <col min="5379" max="5379" width="20.5" style="2" hidden="1"/>
    <col min="5380" max="5380" width="17.1640625" style="2" hidden="1"/>
    <col min="5381" max="5383" width="20.5" style="2" hidden="1"/>
    <col min="5384" max="5632" width="9.1640625" style="2" hidden="1"/>
    <col min="5633" max="5633" width="42.83203125" style="2" hidden="1"/>
    <col min="5634" max="5634" width="10.5" style="2" hidden="1"/>
    <col min="5635" max="5635" width="20.5" style="2" hidden="1"/>
    <col min="5636" max="5636" width="17.1640625" style="2" hidden="1"/>
    <col min="5637" max="5639" width="20.5" style="2" hidden="1"/>
    <col min="5640" max="5888" width="9.1640625" style="2" hidden="1"/>
    <col min="5889" max="5889" width="42.83203125" style="2" hidden="1"/>
    <col min="5890" max="5890" width="10.5" style="2" hidden="1"/>
    <col min="5891" max="5891" width="20.5" style="2" hidden="1"/>
    <col min="5892" max="5892" width="17.1640625" style="2" hidden="1"/>
    <col min="5893" max="5895" width="20.5" style="2" hidden="1"/>
    <col min="5896" max="6144" width="9.1640625" style="2" hidden="1"/>
    <col min="6145" max="6145" width="42.83203125" style="2" hidden="1"/>
    <col min="6146" max="6146" width="10.5" style="2" hidden="1"/>
    <col min="6147" max="6147" width="20.5" style="2" hidden="1"/>
    <col min="6148" max="6148" width="17.1640625" style="2" hidden="1"/>
    <col min="6149" max="6151" width="20.5" style="2" hidden="1"/>
    <col min="6152" max="6400" width="9.1640625" style="2" hidden="1"/>
    <col min="6401" max="6401" width="42.83203125" style="2" hidden="1"/>
    <col min="6402" max="6402" width="10.5" style="2" hidden="1"/>
    <col min="6403" max="6403" width="20.5" style="2" hidden="1"/>
    <col min="6404" max="6404" width="17.1640625" style="2" hidden="1"/>
    <col min="6405" max="6407" width="20.5" style="2" hidden="1"/>
    <col min="6408" max="6656" width="9.1640625" style="2" hidden="1"/>
    <col min="6657" max="6657" width="42.83203125" style="2" hidden="1"/>
    <col min="6658" max="6658" width="10.5" style="2" hidden="1"/>
    <col min="6659" max="6659" width="20.5" style="2" hidden="1"/>
    <col min="6660" max="6660" width="17.1640625" style="2" hidden="1"/>
    <col min="6661" max="6663" width="20.5" style="2" hidden="1"/>
    <col min="6664" max="6912" width="9.1640625" style="2" hidden="1"/>
    <col min="6913" max="6913" width="42.83203125" style="2" hidden="1"/>
    <col min="6914" max="6914" width="10.5" style="2" hidden="1"/>
    <col min="6915" max="6915" width="20.5" style="2" hidden="1"/>
    <col min="6916" max="6916" width="17.1640625" style="2" hidden="1"/>
    <col min="6917" max="6919" width="20.5" style="2" hidden="1"/>
    <col min="6920" max="7168" width="9.1640625" style="2" hidden="1"/>
    <col min="7169" max="7169" width="42.83203125" style="2" hidden="1"/>
    <col min="7170" max="7170" width="10.5" style="2" hidden="1"/>
    <col min="7171" max="7171" width="20.5" style="2" hidden="1"/>
    <col min="7172" max="7172" width="17.1640625" style="2" hidden="1"/>
    <col min="7173" max="7175" width="20.5" style="2" hidden="1"/>
    <col min="7176" max="7424" width="9.1640625" style="2" hidden="1"/>
    <col min="7425" max="7425" width="42.83203125" style="2" hidden="1"/>
    <col min="7426" max="7426" width="10.5" style="2" hidden="1"/>
    <col min="7427" max="7427" width="20.5" style="2" hidden="1"/>
    <col min="7428" max="7428" width="17.1640625" style="2" hidden="1"/>
    <col min="7429" max="7431" width="20.5" style="2" hidden="1"/>
    <col min="7432" max="7680" width="9.1640625" style="2" hidden="1"/>
    <col min="7681" max="7681" width="42.83203125" style="2" hidden="1"/>
    <col min="7682" max="7682" width="10.5" style="2" hidden="1"/>
    <col min="7683" max="7683" width="20.5" style="2" hidden="1"/>
    <col min="7684" max="7684" width="17.1640625" style="2" hidden="1"/>
    <col min="7685" max="7687" width="20.5" style="2" hidden="1"/>
    <col min="7688" max="7936" width="9.1640625" style="2" hidden="1"/>
    <col min="7937" max="7937" width="42.83203125" style="2" hidden="1"/>
    <col min="7938" max="7938" width="10.5" style="2" hidden="1"/>
    <col min="7939" max="7939" width="20.5" style="2" hidden="1"/>
    <col min="7940" max="7940" width="17.1640625" style="2" hidden="1"/>
    <col min="7941" max="7943" width="20.5" style="2" hidden="1"/>
    <col min="7944" max="8192" width="9.1640625" style="2" hidden="1"/>
    <col min="8193" max="8193" width="42.83203125" style="2" hidden="1"/>
    <col min="8194" max="8194" width="10.5" style="2" hidden="1"/>
    <col min="8195" max="8195" width="20.5" style="2" hidden="1"/>
    <col min="8196" max="8196" width="17.1640625" style="2" hidden="1"/>
    <col min="8197" max="8199" width="20.5" style="2" hidden="1"/>
    <col min="8200" max="8448" width="9.1640625" style="2" hidden="1"/>
    <col min="8449" max="8449" width="42.83203125" style="2" hidden="1"/>
    <col min="8450" max="8450" width="10.5" style="2" hidden="1"/>
    <col min="8451" max="8451" width="20.5" style="2" hidden="1"/>
    <col min="8452" max="8452" width="17.1640625" style="2" hidden="1"/>
    <col min="8453" max="8455" width="20.5" style="2" hidden="1"/>
    <col min="8456" max="8704" width="9.1640625" style="2" hidden="1"/>
    <col min="8705" max="8705" width="42.83203125" style="2" hidden="1"/>
    <col min="8706" max="8706" width="10.5" style="2" hidden="1"/>
    <col min="8707" max="8707" width="20.5" style="2" hidden="1"/>
    <col min="8708" max="8708" width="17.1640625" style="2" hidden="1"/>
    <col min="8709" max="8711" width="20.5" style="2" hidden="1"/>
    <col min="8712" max="8960" width="9.1640625" style="2" hidden="1"/>
    <col min="8961" max="8961" width="42.83203125" style="2" hidden="1"/>
    <col min="8962" max="8962" width="10.5" style="2" hidden="1"/>
    <col min="8963" max="8963" width="20.5" style="2" hidden="1"/>
    <col min="8964" max="8964" width="17.1640625" style="2" hidden="1"/>
    <col min="8965" max="8967" width="20.5" style="2" hidden="1"/>
    <col min="8968" max="9216" width="9.1640625" style="2" hidden="1"/>
    <col min="9217" max="9217" width="42.83203125" style="2" hidden="1"/>
    <col min="9218" max="9218" width="10.5" style="2" hidden="1"/>
    <col min="9219" max="9219" width="20.5" style="2" hidden="1"/>
    <col min="9220" max="9220" width="17.1640625" style="2" hidden="1"/>
    <col min="9221" max="9223" width="20.5" style="2" hidden="1"/>
    <col min="9224" max="9472" width="9.1640625" style="2" hidden="1"/>
    <col min="9473" max="9473" width="42.83203125" style="2" hidden="1"/>
    <col min="9474" max="9474" width="10.5" style="2" hidden="1"/>
    <col min="9475" max="9475" width="20.5" style="2" hidden="1"/>
    <col min="9476" max="9476" width="17.1640625" style="2" hidden="1"/>
    <col min="9477" max="9479" width="20.5" style="2" hidden="1"/>
    <col min="9480" max="9728" width="9.1640625" style="2" hidden="1"/>
    <col min="9729" max="9729" width="42.83203125" style="2" hidden="1"/>
    <col min="9730" max="9730" width="10.5" style="2" hidden="1"/>
    <col min="9731" max="9731" width="20.5" style="2" hidden="1"/>
    <col min="9732" max="9732" width="17.1640625" style="2" hidden="1"/>
    <col min="9733" max="9735" width="20.5" style="2" hidden="1"/>
    <col min="9736" max="9984" width="9.1640625" style="2" hidden="1"/>
    <col min="9985" max="9985" width="42.83203125" style="2" hidden="1"/>
    <col min="9986" max="9986" width="10.5" style="2" hidden="1"/>
    <col min="9987" max="9987" width="20.5" style="2" hidden="1"/>
    <col min="9988" max="9988" width="17.1640625" style="2" hidden="1"/>
    <col min="9989" max="9991" width="20.5" style="2" hidden="1"/>
    <col min="9992" max="10240" width="9.1640625" style="2" hidden="1"/>
    <col min="10241" max="10241" width="42.83203125" style="2" hidden="1"/>
    <col min="10242" max="10242" width="10.5" style="2" hidden="1"/>
    <col min="10243" max="10243" width="20.5" style="2" hidden="1"/>
    <col min="10244" max="10244" width="17.1640625" style="2" hidden="1"/>
    <col min="10245" max="10247" width="20.5" style="2" hidden="1"/>
    <col min="10248" max="10496" width="9.1640625" style="2" hidden="1"/>
    <col min="10497" max="10497" width="42.83203125" style="2" hidden="1"/>
    <col min="10498" max="10498" width="10.5" style="2" hidden="1"/>
    <col min="10499" max="10499" width="20.5" style="2" hidden="1"/>
    <col min="10500" max="10500" width="17.1640625" style="2" hidden="1"/>
    <col min="10501" max="10503" width="20.5" style="2" hidden="1"/>
    <col min="10504" max="10752" width="9.1640625" style="2" hidden="1"/>
    <col min="10753" max="10753" width="42.83203125" style="2" hidden="1"/>
    <col min="10754" max="10754" width="10.5" style="2" hidden="1"/>
    <col min="10755" max="10755" width="20.5" style="2" hidden="1"/>
    <col min="10756" max="10756" width="17.1640625" style="2" hidden="1"/>
    <col min="10757" max="10759" width="20.5" style="2" hidden="1"/>
    <col min="10760" max="11008" width="9.1640625" style="2" hidden="1"/>
    <col min="11009" max="11009" width="42.83203125" style="2" hidden="1"/>
    <col min="11010" max="11010" width="10.5" style="2" hidden="1"/>
    <col min="11011" max="11011" width="20.5" style="2" hidden="1"/>
    <col min="11012" max="11012" width="17.1640625" style="2" hidden="1"/>
    <col min="11013" max="11015" width="20.5" style="2" hidden="1"/>
    <col min="11016" max="11264" width="9.1640625" style="2" hidden="1"/>
    <col min="11265" max="11265" width="42.83203125" style="2" hidden="1"/>
    <col min="11266" max="11266" width="10.5" style="2" hidden="1"/>
    <col min="11267" max="11267" width="20.5" style="2" hidden="1"/>
    <col min="11268" max="11268" width="17.1640625" style="2" hidden="1"/>
    <col min="11269" max="11271" width="20.5" style="2" hidden="1"/>
    <col min="11272" max="11520" width="9.1640625" style="2" hidden="1"/>
    <col min="11521" max="11521" width="42.83203125" style="2" hidden="1"/>
    <col min="11522" max="11522" width="10.5" style="2" hidden="1"/>
    <col min="11523" max="11523" width="20.5" style="2" hidden="1"/>
    <col min="11524" max="11524" width="17.1640625" style="2" hidden="1"/>
    <col min="11525" max="11527" width="20.5" style="2" hidden="1"/>
    <col min="11528" max="11776" width="9.1640625" style="2" hidden="1"/>
    <col min="11777" max="11777" width="42.83203125" style="2" hidden="1"/>
    <col min="11778" max="11778" width="10.5" style="2" hidden="1"/>
    <col min="11779" max="11779" width="20.5" style="2" hidden="1"/>
    <col min="11780" max="11780" width="17.1640625" style="2" hidden="1"/>
    <col min="11781" max="11783" width="20.5" style="2" hidden="1"/>
    <col min="11784" max="12032" width="9.1640625" style="2" hidden="1"/>
    <col min="12033" max="12033" width="42.83203125" style="2" hidden="1"/>
    <col min="12034" max="12034" width="10.5" style="2" hidden="1"/>
    <col min="12035" max="12035" width="20.5" style="2" hidden="1"/>
    <col min="12036" max="12036" width="17.1640625" style="2" hidden="1"/>
    <col min="12037" max="12039" width="20.5" style="2" hidden="1"/>
    <col min="12040" max="12288" width="9.1640625" style="2" hidden="1"/>
    <col min="12289" max="12289" width="42.83203125" style="2" hidden="1"/>
    <col min="12290" max="12290" width="10.5" style="2" hidden="1"/>
    <col min="12291" max="12291" width="20.5" style="2" hidden="1"/>
    <col min="12292" max="12292" width="17.1640625" style="2" hidden="1"/>
    <col min="12293" max="12295" width="20.5" style="2" hidden="1"/>
    <col min="12296" max="12544" width="9.1640625" style="2" hidden="1"/>
    <col min="12545" max="12545" width="42.83203125" style="2" hidden="1"/>
    <col min="12546" max="12546" width="10.5" style="2" hidden="1"/>
    <col min="12547" max="12547" width="20.5" style="2" hidden="1"/>
    <col min="12548" max="12548" width="17.1640625" style="2" hidden="1"/>
    <col min="12549" max="12551" width="20.5" style="2" hidden="1"/>
    <col min="12552" max="12800" width="9.1640625" style="2" hidden="1"/>
    <col min="12801" max="12801" width="42.83203125" style="2" hidden="1"/>
    <col min="12802" max="12802" width="10.5" style="2" hidden="1"/>
    <col min="12803" max="12803" width="20.5" style="2" hidden="1"/>
    <col min="12804" max="12804" width="17.1640625" style="2" hidden="1"/>
    <col min="12805" max="12807" width="20.5" style="2" hidden="1"/>
    <col min="12808" max="13056" width="9.1640625" style="2" hidden="1"/>
    <col min="13057" max="13057" width="42.83203125" style="2" hidden="1"/>
    <col min="13058" max="13058" width="10.5" style="2" hidden="1"/>
    <col min="13059" max="13059" width="20.5" style="2" hidden="1"/>
    <col min="13060" max="13060" width="17.1640625" style="2" hidden="1"/>
    <col min="13061" max="13063" width="20.5" style="2" hidden="1"/>
    <col min="13064" max="13312" width="9.1640625" style="2" hidden="1"/>
    <col min="13313" max="13313" width="42.83203125" style="2" hidden="1"/>
    <col min="13314" max="13314" width="10.5" style="2" hidden="1"/>
    <col min="13315" max="13315" width="20.5" style="2" hidden="1"/>
    <col min="13316" max="13316" width="17.1640625" style="2" hidden="1"/>
    <col min="13317" max="13319" width="20.5" style="2" hidden="1"/>
    <col min="13320" max="13568" width="9.1640625" style="2" hidden="1"/>
    <col min="13569" max="13569" width="42.83203125" style="2" hidden="1"/>
    <col min="13570" max="13570" width="10.5" style="2" hidden="1"/>
    <col min="13571" max="13571" width="20.5" style="2" hidden="1"/>
    <col min="13572" max="13572" width="17.1640625" style="2" hidden="1"/>
    <col min="13573" max="13575" width="20.5" style="2" hidden="1"/>
    <col min="13576" max="13824" width="9.1640625" style="2" hidden="1"/>
    <col min="13825" max="13825" width="42.83203125" style="2" hidden="1"/>
    <col min="13826" max="13826" width="10.5" style="2" hidden="1"/>
    <col min="13827" max="13827" width="20.5" style="2" hidden="1"/>
    <col min="13828" max="13828" width="17.1640625" style="2" hidden="1"/>
    <col min="13829" max="13831" width="20.5" style="2" hidden="1"/>
    <col min="13832" max="14080" width="9.1640625" style="2" hidden="1"/>
    <col min="14081" max="14081" width="42.83203125" style="2" hidden="1"/>
    <col min="14082" max="14082" width="10.5" style="2" hidden="1"/>
    <col min="14083" max="14083" width="20.5" style="2" hidden="1"/>
    <col min="14084" max="14084" width="17.1640625" style="2" hidden="1"/>
    <col min="14085" max="14087" width="20.5" style="2" hidden="1"/>
    <col min="14088" max="14336" width="9.1640625" style="2" hidden="1"/>
    <col min="14337" max="14337" width="42.83203125" style="2" hidden="1"/>
    <col min="14338" max="14338" width="10.5" style="2" hidden="1"/>
    <col min="14339" max="14339" width="20.5" style="2" hidden="1"/>
    <col min="14340" max="14340" width="17.1640625" style="2" hidden="1"/>
    <col min="14341" max="14343" width="20.5" style="2" hidden="1"/>
    <col min="14344" max="14592" width="9.1640625" style="2" hidden="1"/>
    <col min="14593" max="14593" width="42.83203125" style="2" hidden="1"/>
    <col min="14594" max="14594" width="10.5" style="2" hidden="1"/>
    <col min="14595" max="14595" width="20.5" style="2" hidden="1"/>
    <col min="14596" max="14596" width="17.1640625" style="2" hidden="1"/>
    <col min="14597" max="14599" width="20.5" style="2" hidden="1"/>
    <col min="14600" max="14848" width="9.1640625" style="2" hidden="1"/>
    <col min="14849" max="14849" width="42.83203125" style="2" hidden="1"/>
    <col min="14850" max="14850" width="10.5" style="2" hidden="1"/>
    <col min="14851" max="14851" width="20.5" style="2" hidden="1"/>
    <col min="14852" max="14852" width="17.1640625" style="2" hidden="1"/>
    <col min="14853" max="14855" width="20.5" style="2" hidden="1"/>
    <col min="14856" max="15104" width="9.1640625" style="2" hidden="1"/>
    <col min="15105" max="15105" width="42.83203125" style="2" hidden="1"/>
    <col min="15106" max="15106" width="10.5" style="2" hidden="1"/>
    <col min="15107" max="15107" width="20.5" style="2" hidden="1"/>
    <col min="15108" max="15108" width="17.1640625" style="2" hidden="1"/>
    <col min="15109" max="15111" width="20.5" style="2" hidden="1"/>
    <col min="15112" max="15360" width="9.1640625" style="2" hidden="1"/>
    <col min="15361" max="15361" width="42.83203125" style="2" hidden="1"/>
    <col min="15362" max="15362" width="10.5" style="2" hidden="1"/>
    <col min="15363" max="15363" width="20.5" style="2" hidden="1"/>
    <col min="15364" max="15364" width="17.1640625" style="2" hidden="1"/>
    <col min="15365" max="15367" width="20.5" style="2" hidden="1"/>
    <col min="15368" max="15616" width="9.1640625" style="2" hidden="1"/>
    <col min="15617" max="15617" width="42.83203125" style="2" hidden="1"/>
    <col min="15618" max="15618" width="10.5" style="2" hidden="1"/>
    <col min="15619" max="15619" width="20.5" style="2" hidden="1"/>
    <col min="15620" max="15620" width="17.1640625" style="2" hidden="1"/>
    <col min="15621" max="15623" width="20.5" style="2" hidden="1"/>
    <col min="15624" max="15872" width="9.1640625" style="2" hidden="1"/>
    <col min="15873" max="15873" width="42.83203125" style="2" hidden="1"/>
    <col min="15874" max="15874" width="10.5" style="2" hidden="1"/>
    <col min="15875" max="15875" width="20.5" style="2" hidden="1"/>
    <col min="15876" max="15876" width="17.1640625" style="2" hidden="1"/>
    <col min="15877" max="15879" width="20.5" style="2" hidden="1"/>
    <col min="15880" max="16128" width="9.1640625" style="2" hidden="1"/>
    <col min="16129" max="16129" width="42.83203125" style="2" hidden="1"/>
    <col min="16130" max="16130" width="10.5" style="2" hidden="1"/>
    <col min="16131" max="16131" width="20.5" style="2" hidden="1"/>
    <col min="16132" max="16132" width="17.1640625" style="2" hidden="1"/>
    <col min="16133" max="16135" width="20.5" style="2" hidden="1"/>
    <col min="16136" max="16384" width="9.1640625" style="2" hidden="1"/>
  </cols>
  <sheetData>
    <row r="1" spans="1:7" s="6" customFormat="1" ht="20" customHeight="1">
      <c r="A1" s="6" t="s">
        <v>2463</v>
      </c>
    </row>
    <row r="2" spans="1:7" s="7" customFormat="1" ht="20" customHeight="1">
      <c r="A2" s="7" t="s">
        <v>229</v>
      </c>
    </row>
    <row r="3" spans="1:7" ht="28">
      <c r="A3" s="49" t="s">
        <v>230</v>
      </c>
      <c r="B3" s="49" t="s">
        <v>2</v>
      </c>
      <c r="C3" s="49" t="s">
        <v>231</v>
      </c>
      <c r="D3" s="49" t="s">
        <v>232</v>
      </c>
      <c r="E3" s="49" t="s">
        <v>233</v>
      </c>
      <c r="F3" s="49" t="s">
        <v>234</v>
      </c>
      <c r="G3" s="49" t="s">
        <v>235</v>
      </c>
    </row>
    <row r="4" spans="1:7">
      <c r="A4" s="50" t="s">
        <v>236</v>
      </c>
      <c r="B4" s="50" t="s">
        <v>8</v>
      </c>
      <c r="C4" s="50" t="s">
        <v>237</v>
      </c>
      <c r="D4" s="51">
        <v>17403</v>
      </c>
      <c r="E4" s="51">
        <v>384981</v>
      </c>
      <c r="F4" s="52">
        <v>44688.6</v>
      </c>
      <c r="G4" s="53">
        <v>11.608001</v>
      </c>
    </row>
    <row r="5" spans="1:7">
      <c r="A5" s="50" t="s">
        <v>238</v>
      </c>
      <c r="B5" s="50" t="s">
        <v>8</v>
      </c>
      <c r="C5" s="50" t="s">
        <v>237</v>
      </c>
      <c r="D5" s="51">
        <v>8168</v>
      </c>
      <c r="E5" s="51">
        <v>64407</v>
      </c>
      <c r="F5" s="52">
        <v>17068</v>
      </c>
      <c r="G5" s="53">
        <v>26.500225</v>
      </c>
    </row>
    <row r="6" spans="1:7">
      <c r="A6" s="50" t="s">
        <v>239</v>
      </c>
      <c r="B6" s="50" t="s">
        <v>8</v>
      </c>
      <c r="C6" s="50" t="s">
        <v>240</v>
      </c>
      <c r="D6" s="51">
        <v>11513</v>
      </c>
      <c r="E6" s="51">
        <v>120835</v>
      </c>
      <c r="F6" s="52">
        <v>53906.3</v>
      </c>
      <c r="G6" s="53">
        <v>44.611494999999998</v>
      </c>
    </row>
    <row r="7" spans="1:7">
      <c r="A7" s="50" t="s">
        <v>241</v>
      </c>
      <c r="B7" s="50" t="s">
        <v>8</v>
      </c>
      <c r="C7" s="50" t="s">
        <v>242</v>
      </c>
      <c r="D7" s="51">
        <v>31291</v>
      </c>
      <c r="E7" s="51">
        <v>732828</v>
      </c>
      <c r="F7" s="52">
        <v>121486.1</v>
      </c>
      <c r="G7" s="53">
        <v>16.57771</v>
      </c>
    </row>
    <row r="8" spans="1:7">
      <c r="A8" s="50" t="s">
        <v>243</v>
      </c>
      <c r="B8" s="50" t="s">
        <v>8</v>
      </c>
      <c r="C8" s="50" t="s">
        <v>240</v>
      </c>
      <c r="D8" s="51">
        <v>112593</v>
      </c>
      <c r="E8" s="51">
        <v>1212687</v>
      </c>
      <c r="F8" s="52">
        <v>226490.8</v>
      </c>
      <c r="G8" s="53">
        <v>18.676773000000001</v>
      </c>
    </row>
    <row r="9" spans="1:7">
      <c r="A9" s="50" t="s">
        <v>244</v>
      </c>
      <c r="B9" s="50" t="s">
        <v>8</v>
      </c>
      <c r="C9" s="50" t="s">
        <v>240</v>
      </c>
      <c r="D9" s="51">
        <v>47059</v>
      </c>
      <c r="E9" s="51">
        <v>1221811</v>
      </c>
      <c r="F9" s="52">
        <v>236609</v>
      </c>
      <c r="G9" s="53">
        <v>19.365434</v>
      </c>
    </row>
    <row r="10" spans="1:7">
      <c r="A10" s="50" t="s">
        <v>245</v>
      </c>
      <c r="B10" s="50" t="s">
        <v>8</v>
      </c>
      <c r="C10" s="50" t="s">
        <v>240</v>
      </c>
      <c r="D10" s="51">
        <v>32511</v>
      </c>
      <c r="E10" s="51">
        <v>437105</v>
      </c>
      <c r="F10" s="52">
        <v>103146.7</v>
      </c>
      <c r="G10" s="53">
        <v>23.597694000000001</v>
      </c>
    </row>
    <row r="11" spans="1:7">
      <c r="A11" s="50" t="s">
        <v>246</v>
      </c>
      <c r="B11" s="50" t="s">
        <v>8</v>
      </c>
      <c r="C11" s="50" t="s">
        <v>242</v>
      </c>
      <c r="D11" s="51">
        <v>7856</v>
      </c>
      <c r="E11" s="51">
        <v>166832</v>
      </c>
      <c r="F11" s="52">
        <v>18488.7</v>
      </c>
      <c r="G11" s="53">
        <v>11.082226</v>
      </c>
    </row>
    <row r="12" spans="1:7">
      <c r="A12" s="50" t="s">
        <v>247</v>
      </c>
      <c r="B12" s="50" t="s">
        <v>8</v>
      </c>
      <c r="C12" s="50" t="s">
        <v>240</v>
      </c>
      <c r="D12" s="51">
        <v>6086</v>
      </c>
      <c r="E12" s="51">
        <v>139401</v>
      </c>
      <c r="F12" s="52">
        <v>22998</v>
      </c>
      <c r="G12" s="53">
        <v>16.497730000000001</v>
      </c>
    </row>
    <row r="13" spans="1:7">
      <c r="A13" s="50" t="s">
        <v>248</v>
      </c>
      <c r="B13" s="50" t="s">
        <v>8</v>
      </c>
      <c r="C13" s="50" t="s">
        <v>240</v>
      </c>
      <c r="D13" s="51">
        <v>1293</v>
      </c>
      <c r="E13" s="51">
        <v>18915</v>
      </c>
      <c r="F13" s="52">
        <v>7374.6</v>
      </c>
      <c r="G13" s="53">
        <v>38.988104999999997</v>
      </c>
    </row>
    <row r="14" spans="1:7">
      <c r="A14" s="50" t="s">
        <v>249</v>
      </c>
      <c r="B14" s="50" t="s">
        <v>8</v>
      </c>
      <c r="C14" s="50" t="s">
        <v>240</v>
      </c>
      <c r="D14" s="51">
        <v>66667</v>
      </c>
      <c r="E14" s="51">
        <v>751476</v>
      </c>
      <c r="F14" s="52">
        <v>153435.20000000001</v>
      </c>
      <c r="G14" s="53">
        <v>20.417843999999999</v>
      </c>
    </row>
    <row r="15" spans="1:7">
      <c r="A15" s="50" t="s">
        <v>250</v>
      </c>
      <c r="B15" s="50" t="s">
        <v>8</v>
      </c>
      <c r="C15" s="50" t="s">
        <v>237</v>
      </c>
      <c r="D15" s="51">
        <v>165</v>
      </c>
      <c r="E15" s="51">
        <v>53030</v>
      </c>
      <c r="F15" s="52">
        <v>11562</v>
      </c>
      <c r="G15" s="53">
        <v>21.802752999999999</v>
      </c>
    </row>
    <row r="16" spans="1:7">
      <c r="A16" s="50" t="s">
        <v>251</v>
      </c>
      <c r="B16" s="50" t="s">
        <v>4</v>
      </c>
      <c r="C16" s="50" t="s">
        <v>237</v>
      </c>
      <c r="D16" s="51">
        <v>1504744</v>
      </c>
      <c r="E16" s="51">
        <v>50603071</v>
      </c>
      <c r="F16" s="52">
        <v>5212950.3</v>
      </c>
      <c r="G16" s="53">
        <v>10.301648</v>
      </c>
    </row>
    <row r="17" spans="1:7">
      <c r="A17" s="50" t="s">
        <v>252</v>
      </c>
      <c r="B17" s="50" t="s">
        <v>4</v>
      </c>
      <c r="C17" s="50" t="s">
        <v>242</v>
      </c>
      <c r="D17" s="51">
        <v>10395</v>
      </c>
      <c r="E17" s="51">
        <v>593337</v>
      </c>
      <c r="F17" s="52">
        <v>45079</v>
      </c>
      <c r="G17" s="53">
        <v>7.5975372999999999</v>
      </c>
    </row>
    <row r="18" spans="1:7">
      <c r="A18" s="50" t="s">
        <v>253</v>
      </c>
      <c r="B18" s="50" t="s">
        <v>4</v>
      </c>
      <c r="C18" s="50" t="s">
        <v>240</v>
      </c>
      <c r="D18" s="51">
        <v>15843</v>
      </c>
      <c r="E18" s="51">
        <v>293501</v>
      </c>
      <c r="F18" s="52">
        <v>31773</v>
      </c>
      <c r="G18" s="53">
        <v>10.825517</v>
      </c>
    </row>
    <row r="19" spans="1:7">
      <c r="A19" s="50" t="s">
        <v>254</v>
      </c>
      <c r="B19" s="50" t="s">
        <v>4</v>
      </c>
      <c r="C19" s="50" t="s">
        <v>240</v>
      </c>
      <c r="D19" s="51">
        <v>80079</v>
      </c>
      <c r="E19" s="51">
        <v>1441005</v>
      </c>
      <c r="F19" s="52">
        <v>157176</v>
      </c>
      <c r="G19" s="53">
        <v>10.907387999999999</v>
      </c>
    </row>
    <row r="20" spans="1:7">
      <c r="A20" s="50" t="s">
        <v>255</v>
      </c>
      <c r="B20" s="50" t="s">
        <v>4</v>
      </c>
      <c r="C20" s="50" t="s">
        <v>240</v>
      </c>
      <c r="D20" s="51">
        <v>26593</v>
      </c>
      <c r="E20" s="51">
        <v>366205</v>
      </c>
      <c r="F20" s="52">
        <v>40250</v>
      </c>
      <c r="G20" s="53">
        <v>10.991111999999999</v>
      </c>
    </row>
    <row r="21" spans="1:7">
      <c r="A21" s="50" t="s">
        <v>256</v>
      </c>
      <c r="B21" s="50" t="s">
        <v>4</v>
      </c>
      <c r="C21" s="50" t="s">
        <v>240</v>
      </c>
      <c r="D21" s="51">
        <v>43959</v>
      </c>
      <c r="E21" s="51">
        <v>683698</v>
      </c>
      <c r="F21" s="52">
        <v>90124</v>
      </c>
      <c r="G21" s="53">
        <v>13.181843000000001</v>
      </c>
    </row>
    <row r="22" spans="1:7">
      <c r="A22" s="50" t="s">
        <v>257</v>
      </c>
      <c r="B22" s="50" t="s">
        <v>4</v>
      </c>
      <c r="C22" s="50" t="s">
        <v>240</v>
      </c>
      <c r="D22" s="51">
        <v>24715</v>
      </c>
      <c r="E22" s="51">
        <v>446666</v>
      </c>
      <c r="F22" s="52">
        <v>54638</v>
      </c>
      <c r="G22" s="53">
        <v>12.232405999999999</v>
      </c>
    </row>
    <row r="23" spans="1:7">
      <c r="A23" s="50" t="s">
        <v>258</v>
      </c>
      <c r="B23" s="50" t="s">
        <v>4</v>
      </c>
      <c r="C23" s="50" t="s">
        <v>242</v>
      </c>
      <c r="D23" s="51">
        <v>4699</v>
      </c>
      <c r="E23" s="51">
        <v>377860</v>
      </c>
      <c r="F23" s="52">
        <v>27881</v>
      </c>
      <c r="G23" s="53">
        <v>7.3786588000000002</v>
      </c>
    </row>
    <row r="24" spans="1:7">
      <c r="A24" s="50" t="s">
        <v>259</v>
      </c>
      <c r="B24" s="50" t="s">
        <v>4</v>
      </c>
      <c r="C24" s="50" t="s">
        <v>242</v>
      </c>
      <c r="D24" s="51">
        <v>50301</v>
      </c>
      <c r="E24" s="51">
        <v>1211084</v>
      </c>
      <c r="F24" s="52">
        <v>114938</v>
      </c>
      <c r="G24" s="53">
        <v>9.4905059999999999</v>
      </c>
    </row>
    <row r="25" spans="1:7">
      <c r="A25" s="50" t="s">
        <v>260</v>
      </c>
      <c r="B25" s="50" t="s">
        <v>4</v>
      </c>
      <c r="C25" s="50" t="s">
        <v>242</v>
      </c>
      <c r="D25" s="51">
        <v>11231</v>
      </c>
      <c r="E25" s="51">
        <v>274731</v>
      </c>
      <c r="F25" s="52">
        <v>29423</v>
      </c>
      <c r="G25" s="53">
        <v>10.709749</v>
      </c>
    </row>
    <row r="26" spans="1:7">
      <c r="A26" s="50" t="s">
        <v>261</v>
      </c>
      <c r="B26" s="50" t="s">
        <v>4</v>
      </c>
      <c r="C26" s="50" t="s">
        <v>242</v>
      </c>
      <c r="D26" s="51">
        <v>775</v>
      </c>
      <c r="E26" s="51">
        <v>21523</v>
      </c>
      <c r="F26" s="52">
        <v>2154</v>
      </c>
      <c r="G26" s="53">
        <v>10.007899</v>
      </c>
    </row>
    <row r="27" spans="1:7">
      <c r="A27" s="50" t="s">
        <v>262</v>
      </c>
      <c r="B27" s="50" t="s">
        <v>4</v>
      </c>
      <c r="C27" s="50" t="s">
        <v>242</v>
      </c>
      <c r="D27" s="51">
        <v>31092</v>
      </c>
      <c r="E27" s="51">
        <v>943498</v>
      </c>
      <c r="F27" s="52">
        <v>87121.1</v>
      </c>
      <c r="G27" s="53">
        <v>9.2338404999999995</v>
      </c>
    </row>
    <row r="28" spans="1:7">
      <c r="A28" s="50" t="s">
        <v>263</v>
      </c>
      <c r="B28" s="50" t="s">
        <v>4</v>
      </c>
      <c r="C28" s="50" t="s">
        <v>242</v>
      </c>
      <c r="D28" s="51">
        <v>50466</v>
      </c>
      <c r="E28" s="51">
        <v>1098482</v>
      </c>
      <c r="F28" s="52">
        <v>114304</v>
      </c>
      <c r="G28" s="53">
        <v>10.405633</v>
      </c>
    </row>
    <row r="29" spans="1:7">
      <c r="A29" s="50" t="s">
        <v>264</v>
      </c>
      <c r="B29" s="50" t="s">
        <v>4</v>
      </c>
      <c r="C29" s="50" t="s">
        <v>242</v>
      </c>
      <c r="D29" s="51">
        <v>5606</v>
      </c>
      <c r="E29" s="51">
        <v>139404</v>
      </c>
      <c r="F29" s="52">
        <v>13941</v>
      </c>
      <c r="G29" s="53">
        <v>10.00043</v>
      </c>
    </row>
    <row r="30" spans="1:7">
      <c r="A30" s="50" t="s">
        <v>265</v>
      </c>
      <c r="B30" s="50" t="s">
        <v>4</v>
      </c>
      <c r="C30" s="50" t="s">
        <v>242</v>
      </c>
      <c r="D30" s="51">
        <v>190013</v>
      </c>
      <c r="E30" s="51">
        <v>4920917</v>
      </c>
      <c r="F30" s="52">
        <v>478456</v>
      </c>
      <c r="G30" s="53">
        <v>9.7229033000000005</v>
      </c>
    </row>
    <row r="31" spans="1:7">
      <c r="A31" s="50" t="s">
        <v>266</v>
      </c>
      <c r="B31" s="50" t="s">
        <v>4</v>
      </c>
      <c r="C31" s="50" t="s">
        <v>242</v>
      </c>
      <c r="D31" s="51">
        <v>8604</v>
      </c>
      <c r="E31" s="51">
        <v>284314</v>
      </c>
      <c r="F31" s="52">
        <v>27695</v>
      </c>
      <c r="G31" s="53">
        <v>9.7409905999999999</v>
      </c>
    </row>
    <row r="32" spans="1:7">
      <c r="A32" s="50" t="s">
        <v>267</v>
      </c>
      <c r="B32" s="50" t="s">
        <v>4</v>
      </c>
      <c r="C32" s="50" t="s">
        <v>242</v>
      </c>
      <c r="D32" s="51">
        <v>13548</v>
      </c>
      <c r="E32" s="51">
        <v>428618</v>
      </c>
      <c r="F32" s="52">
        <v>44052</v>
      </c>
      <c r="G32" s="53">
        <v>10.277683</v>
      </c>
    </row>
    <row r="33" spans="1:7">
      <c r="A33" s="50" t="s">
        <v>268</v>
      </c>
      <c r="B33" s="50" t="s">
        <v>4</v>
      </c>
      <c r="C33" s="50" t="s">
        <v>242</v>
      </c>
      <c r="D33" s="51">
        <v>5084</v>
      </c>
      <c r="E33" s="51">
        <v>126095</v>
      </c>
      <c r="F33" s="52">
        <v>14029</v>
      </c>
      <c r="G33" s="53">
        <v>11.125738999999999</v>
      </c>
    </row>
    <row r="34" spans="1:7">
      <c r="A34" s="50" t="s">
        <v>269</v>
      </c>
      <c r="B34" s="50" t="s">
        <v>4</v>
      </c>
      <c r="C34" s="50" t="s">
        <v>242</v>
      </c>
      <c r="D34" s="51">
        <v>8377</v>
      </c>
      <c r="E34" s="51">
        <v>304375</v>
      </c>
      <c r="F34" s="52">
        <v>29106</v>
      </c>
      <c r="G34" s="53">
        <v>9.5625461999999999</v>
      </c>
    </row>
    <row r="35" spans="1:7">
      <c r="A35" s="50" t="s">
        <v>270</v>
      </c>
      <c r="B35" s="50" t="s">
        <v>4</v>
      </c>
      <c r="C35" s="50" t="s">
        <v>242</v>
      </c>
      <c r="D35" s="51">
        <v>2743</v>
      </c>
      <c r="E35" s="51">
        <v>63731</v>
      </c>
      <c r="F35" s="52">
        <v>7626</v>
      </c>
      <c r="G35" s="53">
        <v>11.965919</v>
      </c>
    </row>
    <row r="36" spans="1:7">
      <c r="A36" s="50" t="s">
        <v>271</v>
      </c>
      <c r="B36" s="50" t="s">
        <v>4</v>
      </c>
      <c r="C36" s="50" t="s">
        <v>242</v>
      </c>
      <c r="D36" s="51">
        <v>8074</v>
      </c>
      <c r="E36" s="51">
        <v>416264</v>
      </c>
      <c r="F36" s="52">
        <v>30294</v>
      </c>
      <c r="G36" s="53">
        <v>7.2775930999999998</v>
      </c>
    </row>
    <row r="37" spans="1:7">
      <c r="A37" s="50" t="s">
        <v>272</v>
      </c>
      <c r="B37" s="50" t="s">
        <v>4</v>
      </c>
      <c r="C37" s="50" t="s">
        <v>242</v>
      </c>
      <c r="D37" s="51">
        <v>4903</v>
      </c>
      <c r="E37" s="51">
        <v>91528</v>
      </c>
      <c r="F37" s="52">
        <v>10152</v>
      </c>
      <c r="G37" s="53">
        <v>11.091688</v>
      </c>
    </row>
    <row r="38" spans="1:7">
      <c r="A38" s="50" t="s">
        <v>273</v>
      </c>
      <c r="B38" s="50" t="s">
        <v>4</v>
      </c>
      <c r="C38" s="50" t="s">
        <v>240</v>
      </c>
      <c r="D38" s="51">
        <v>20399</v>
      </c>
      <c r="E38" s="51">
        <v>260209</v>
      </c>
      <c r="F38" s="52">
        <v>33341</v>
      </c>
      <c r="G38" s="53">
        <v>12.813162</v>
      </c>
    </row>
    <row r="39" spans="1:7">
      <c r="A39" s="50" t="s">
        <v>274</v>
      </c>
      <c r="B39" s="50" t="s">
        <v>4</v>
      </c>
      <c r="C39" s="50" t="s">
        <v>240</v>
      </c>
      <c r="D39" s="51">
        <v>17248</v>
      </c>
      <c r="E39" s="51">
        <v>299581</v>
      </c>
      <c r="F39" s="52">
        <v>39050</v>
      </c>
      <c r="G39" s="53">
        <v>13.034872</v>
      </c>
    </row>
    <row r="40" spans="1:7">
      <c r="A40" s="50" t="s">
        <v>275</v>
      </c>
      <c r="B40" s="50" t="s">
        <v>4</v>
      </c>
      <c r="C40" s="50" t="s">
        <v>240</v>
      </c>
      <c r="D40" s="51">
        <v>23613</v>
      </c>
      <c r="E40" s="51">
        <v>382184</v>
      </c>
      <c r="F40" s="52">
        <v>53004</v>
      </c>
      <c r="G40" s="53">
        <v>13.868712</v>
      </c>
    </row>
    <row r="41" spans="1:7">
      <c r="A41" s="50" t="s">
        <v>276</v>
      </c>
      <c r="B41" s="50" t="s">
        <v>4</v>
      </c>
      <c r="C41" s="50" t="s">
        <v>240</v>
      </c>
      <c r="D41" s="51">
        <v>45117</v>
      </c>
      <c r="E41" s="51">
        <v>1006172</v>
      </c>
      <c r="F41" s="52">
        <v>106480</v>
      </c>
      <c r="G41" s="53">
        <v>10.582684</v>
      </c>
    </row>
    <row r="42" spans="1:7">
      <c r="A42" s="50" t="s">
        <v>277</v>
      </c>
      <c r="B42" s="50" t="s">
        <v>4</v>
      </c>
      <c r="C42" s="50" t="s">
        <v>242</v>
      </c>
      <c r="D42" s="51">
        <v>8820</v>
      </c>
      <c r="E42" s="51">
        <v>259490</v>
      </c>
      <c r="F42" s="52">
        <v>28478</v>
      </c>
      <c r="G42" s="53">
        <v>10.974603999999999</v>
      </c>
    </row>
    <row r="43" spans="1:7">
      <c r="A43" s="50" t="s">
        <v>278</v>
      </c>
      <c r="B43" s="50" t="s">
        <v>4</v>
      </c>
      <c r="C43" s="50" t="s">
        <v>242</v>
      </c>
      <c r="D43" s="51">
        <v>26705</v>
      </c>
      <c r="E43" s="51">
        <v>1157831</v>
      </c>
      <c r="F43" s="52">
        <v>86398</v>
      </c>
      <c r="G43" s="53">
        <v>7.4620562000000001</v>
      </c>
    </row>
    <row r="44" spans="1:7">
      <c r="A44" s="50" t="s">
        <v>279</v>
      </c>
      <c r="B44" s="50" t="s">
        <v>4</v>
      </c>
      <c r="C44" s="50" t="s">
        <v>240</v>
      </c>
      <c r="D44" s="51">
        <v>672</v>
      </c>
      <c r="E44" s="51">
        <v>8674</v>
      </c>
      <c r="F44" s="52">
        <v>1418.3</v>
      </c>
      <c r="G44" s="53">
        <v>16.351164000000001</v>
      </c>
    </row>
    <row r="45" spans="1:7">
      <c r="A45" s="50" t="s">
        <v>280</v>
      </c>
      <c r="B45" s="50" t="s">
        <v>4</v>
      </c>
      <c r="C45" s="50" t="s">
        <v>240</v>
      </c>
      <c r="D45" s="51">
        <v>24922</v>
      </c>
      <c r="E45" s="51">
        <v>516126</v>
      </c>
      <c r="F45" s="52">
        <v>60854</v>
      </c>
      <c r="G45" s="53">
        <v>11.790532000000001</v>
      </c>
    </row>
    <row r="46" spans="1:7">
      <c r="A46" s="50" t="s">
        <v>281</v>
      </c>
      <c r="B46" s="50" t="s">
        <v>4</v>
      </c>
      <c r="C46" s="50" t="s">
        <v>242</v>
      </c>
      <c r="D46" s="51">
        <v>51168</v>
      </c>
      <c r="E46" s="51">
        <v>1081365</v>
      </c>
      <c r="F46" s="52">
        <v>121411</v>
      </c>
      <c r="G46" s="53">
        <v>11.227569000000001</v>
      </c>
    </row>
    <row r="47" spans="1:7">
      <c r="A47" s="50" t="s">
        <v>282</v>
      </c>
      <c r="B47" s="50" t="s">
        <v>4</v>
      </c>
      <c r="C47" s="50" t="s">
        <v>242</v>
      </c>
      <c r="D47" s="51">
        <v>8739</v>
      </c>
      <c r="E47" s="51">
        <v>305542</v>
      </c>
      <c r="F47" s="52">
        <v>29006</v>
      </c>
      <c r="G47" s="53">
        <v>9.4932938999999994</v>
      </c>
    </row>
    <row r="48" spans="1:7">
      <c r="A48" s="50" t="s">
        <v>283</v>
      </c>
      <c r="B48" s="50" t="s">
        <v>4</v>
      </c>
      <c r="C48" s="50" t="s">
        <v>240</v>
      </c>
      <c r="D48" s="51">
        <v>7780</v>
      </c>
      <c r="E48" s="51">
        <v>265174</v>
      </c>
      <c r="F48" s="52">
        <v>26453</v>
      </c>
      <c r="G48" s="53">
        <v>9.9757140999999994</v>
      </c>
    </row>
    <row r="49" spans="1:7">
      <c r="A49" s="50" t="s">
        <v>284</v>
      </c>
      <c r="B49" s="50" t="s">
        <v>4</v>
      </c>
      <c r="C49" s="50" t="s">
        <v>242</v>
      </c>
      <c r="D49" s="51">
        <v>6599</v>
      </c>
      <c r="E49" s="51">
        <v>237297</v>
      </c>
      <c r="F49" s="52">
        <v>22629</v>
      </c>
      <c r="G49" s="53">
        <v>9.5361509000000009</v>
      </c>
    </row>
    <row r="50" spans="1:7">
      <c r="A50" s="50" t="s">
        <v>285</v>
      </c>
      <c r="B50" s="50" t="s">
        <v>4</v>
      </c>
      <c r="C50" s="50" t="s">
        <v>240</v>
      </c>
      <c r="D50" s="51">
        <v>44003</v>
      </c>
      <c r="E50" s="51">
        <v>1562081</v>
      </c>
      <c r="F50" s="52">
        <v>139980</v>
      </c>
      <c r="G50" s="53">
        <v>8.9611230000000006</v>
      </c>
    </row>
    <row r="51" spans="1:7">
      <c r="A51" s="50" t="s">
        <v>286</v>
      </c>
      <c r="B51" s="50" t="s">
        <v>4</v>
      </c>
      <c r="C51" s="50" t="s">
        <v>240</v>
      </c>
      <c r="D51" s="51">
        <v>20363</v>
      </c>
      <c r="E51" s="51">
        <v>420001</v>
      </c>
      <c r="F51" s="52">
        <v>46823</v>
      </c>
      <c r="G51" s="53">
        <v>11.148307000000001</v>
      </c>
    </row>
    <row r="52" spans="1:7">
      <c r="A52" s="50" t="s">
        <v>287</v>
      </c>
      <c r="B52" s="50" t="s">
        <v>4</v>
      </c>
      <c r="C52" s="50" t="s">
        <v>240</v>
      </c>
      <c r="D52" s="51">
        <v>18666</v>
      </c>
      <c r="E52" s="51">
        <v>413456</v>
      </c>
      <c r="F52" s="52">
        <v>38874</v>
      </c>
      <c r="G52" s="53">
        <v>9.4022097000000002</v>
      </c>
    </row>
    <row r="53" spans="1:7">
      <c r="A53" s="50" t="s">
        <v>288</v>
      </c>
      <c r="B53" s="50" t="s">
        <v>4</v>
      </c>
      <c r="C53" s="50" t="s">
        <v>240</v>
      </c>
      <c r="D53" s="51">
        <v>19262</v>
      </c>
      <c r="E53" s="51">
        <v>313825</v>
      </c>
      <c r="F53" s="52">
        <v>38732.699999999997</v>
      </c>
      <c r="G53" s="53">
        <v>12.342133</v>
      </c>
    </row>
    <row r="54" spans="1:7">
      <c r="A54" s="50" t="s">
        <v>289</v>
      </c>
      <c r="B54" s="50" t="s">
        <v>4</v>
      </c>
      <c r="C54" s="50" t="s">
        <v>240</v>
      </c>
      <c r="D54" s="51">
        <v>31911</v>
      </c>
      <c r="E54" s="51">
        <v>591356</v>
      </c>
      <c r="F54" s="52">
        <v>66354</v>
      </c>
      <c r="G54" s="53">
        <v>11.220651999999999</v>
      </c>
    </row>
    <row r="55" spans="1:7">
      <c r="A55" s="50" t="s">
        <v>290</v>
      </c>
      <c r="B55" s="50" t="s">
        <v>4</v>
      </c>
      <c r="C55" s="50" t="s">
        <v>242</v>
      </c>
      <c r="D55" s="51">
        <v>19144</v>
      </c>
      <c r="E55" s="51">
        <v>690091</v>
      </c>
      <c r="F55" s="52">
        <v>57000</v>
      </c>
      <c r="G55" s="53">
        <v>8.2597801999999998</v>
      </c>
    </row>
    <row r="56" spans="1:7">
      <c r="A56" s="50" t="s">
        <v>1817</v>
      </c>
      <c r="B56" s="50" t="s">
        <v>4</v>
      </c>
      <c r="C56" s="50" t="s">
        <v>240</v>
      </c>
      <c r="D56" s="51">
        <v>338</v>
      </c>
      <c r="E56" s="51">
        <v>5194</v>
      </c>
      <c r="F56" s="52">
        <v>584.29999999999995</v>
      </c>
      <c r="G56" s="53">
        <v>11.249518999999999</v>
      </c>
    </row>
    <row r="57" spans="1:7">
      <c r="A57" s="50" t="s">
        <v>291</v>
      </c>
      <c r="B57" s="50" t="s">
        <v>4</v>
      </c>
      <c r="C57" s="50" t="s">
        <v>240</v>
      </c>
      <c r="D57" s="51">
        <v>16853</v>
      </c>
      <c r="E57" s="51">
        <v>367891</v>
      </c>
      <c r="F57" s="52">
        <v>43533</v>
      </c>
      <c r="G57" s="53">
        <v>11.833124</v>
      </c>
    </row>
    <row r="58" spans="1:7">
      <c r="A58" s="50" t="s">
        <v>292</v>
      </c>
      <c r="B58" s="50" t="s">
        <v>4</v>
      </c>
      <c r="C58" s="50" t="s">
        <v>240</v>
      </c>
      <c r="D58" s="51">
        <v>22034</v>
      </c>
      <c r="E58" s="51">
        <v>462386</v>
      </c>
      <c r="F58" s="52">
        <v>49261</v>
      </c>
      <c r="G58" s="53">
        <v>10.653653</v>
      </c>
    </row>
    <row r="59" spans="1:7">
      <c r="A59" s="50" t="s">
        <v>293</v>
      </c>
      <c r="B59" s="50" t="s">
        <v>4</v>
      </c>
      <c r="C59" s="50" t="s">
        <v>240</v>
      </c>
      <c r="D59" s="51">
        <v>28112</v>
      </c>
      <c r="E59" s="51">
        <v>556876</v>
      </c>
      <c r="F59" s="52">
        <v>60055.6</v>
      </c>
      <c r="G59" s="53">
        <v>10.784376</v>
      </c>
    </row>
    <row r="60" spans="1:7">
      <c r="A60" s="50" t="s">
        <v>294</v>
      </c>
      <c r="B60" s="50" t="s">
        <v>4</v>
      </c>
      <c r="C60" s="50" t="s">
        <v>295</v>
      </c>
      <c r="D60" s="51">
        <v>11</v>
      </c>
      <c r="E60" s="51">
        <v>5337980</v>
      </c>
      <c r="F60" s="52">
        <v>190093.2</v>
      </c>
      <c r="G60" s="53">
        <v>3.5611448999999999</v>
      </c>
    </row>
    <row r="61" spans="1:7">
      <c r="A61" s="50" t="s">
        <v>296</v>
      </c>
      <c r="B61" s="50" t="s">
        <v>4</v>
      </c>
      <c r="C61" s="50" t="s">
        <v>240</v>
      </c>
      <c r="D61" s="51">
        <v>25127</v>
      </c>
      <c r="E61" s="51">
        <v>375642</v>
      </c>
      <c r="F61" s="52">
        <v>48403</v>
      </c>
      <c r="G61" s="53">
        <v>12.885407000000001</v>
      </c>
    </row>
    <row r="62" spans="1:7">
      <c r="A62" s="50" t="s">
        <v>297</v>
      </c>
      <c r="B62" s="50" t="s">
        <v>13</v>
      </c>
      <c r="C62" s="50" t="s">
        <v>240</v>
      </c>
      <c r="D62" s="51">
        <v>55793</v>
      </c>
      <c r="E62" s="51">
        <v>1079110</v>
      </c>
      <c r="F62" s="52">
        <v>102795.6</v>
      </c>
      <c r="G62" s="53">
        <v>9.5259611999999994</v>
      </c>
    </row>
    <row r="63" spans="1:7">
      <c r="A63" s="50" t="s">
        <v>298</v>
      </c>
      <c r="B63" s="50" t="s">
        <v>13</v>
      </c>
      <c r="C63" s="50" t="s">
        <v>240</v>
      </c>
      <c r="D63" s="51">
        <v>22252</v>
      </c>
      <c r="E63" s="51">
        <v>335195</v>
      </c>
      <c r="F63" s="52">
        <v>37464</v>
      </c>
      <c r="G63" s="53">
        <v>11.176778000000001</v>
      </c>
    </row>
    <row r="64" spans="1:7">
      <c r="A64" s="50" t="s">
        <v>299</v>
      </c>
      <c r="B64" s="50" t="s">
        <v>13</v>
      </c>
      <c r="C64" s="50" t="s">
        <v>240</v>
      </c>
      <c r="D64" s="51">
        <v>92776</v>
      </c>
      <c r="E64" s="51">
        <v>1936843</v>
      </c>
      <c r="F64" s="52">
        <v>170179</v>
      </c>
      <c r="G64" s="53">
        <v>8.7864117000000004</v>
      </c>
    </row>
    <row r="65" spans="1:7">
      <c r="A65" s="50" t="s">
        <v>300</v>
      </c>
      <c r="B65" s="50" t="s">
        <v>13</v>
      </c>
      <c r="C65" s="50" t="s">
        <v>242</v>
      </c>
      <c r="D65" s="51">
        <v>38452</v>
      </c>
      <c r="E65" s="51">
        <v>1325306</v>
      </c>
      <c r="F65" s="52">
        <v>74882</v>
      </c>
      <c r="G65" s="53">
        <v>5.6501668</v>
      </c>
    </row>
    <row r="66" spans="1:7">
      <c r="A66" s="50" t="s">
        <v>301</v>
      </c>
      <c r="B66" s="50" t="s">
        <v>13</v>
      </c>
      <c r="C66" s="50" t="s">
        <v>242</v>
      </c>
      <c r="D66" s="51">
        <v>14251</v>
      </c>
      <c r="E66" s="51">
        <v>258084</v>
      </c>
      <c r="F66" s="52">
        <v>24650.7</v>
      </c>
      <c r="G66" s="53">
        <v>9.5514250999999994</v>
      </c>
    </row>
    <row r="67" spans="1:7">
      <c r="A67" s="50" t="s">
        <v>302</v>
      </c>
      <c r="B67" s="50" t="s">
        <v>13</v>
      </c>
      <c r="C67" s="50" t="s">
        <v>242</v>
      </c>
      <c r="D67" s="51">
        <v>25872</v>
      </c>
      <c r="E67" s="51">
        <v>641726</v>
      </c>
      <c r="F67" s="52">
        <v>64601</v>
      </c>
      <c r="G67" s="53">
        <v>10.066757000000001</v>
      </c>
    </row>
    <row r="68" spans="1:7">
      <c r="A68" s="50" t="s">
        <v>303</v>
      </c>
      <c r="B68" s="50" t="s">
        <v>13</v>
      </c>
      <c r="C68" s="50" t="s">
        <v>242</v>
      </c>
      <c r="D68" s="51">
        <v>6863</v>
      </c>
      <c r="E68" s="51">
        <v>205600</v>
      </c>
      <c r="F68" s="52">
        <v>19885.099999999999</v>
      </c>
      <c r="G68" s="53">
        <v>9.6717411999999996</v>
      </c>
    </row>
    <row r="69" spans="1:7">
      <c r="A69" s="50" t="s">
        <v>304</v>
      </c>
      <c r="B69" s="50" t="s">
        <v>13</v>
      </c>
      <c r="C69" s="50" t="s">
        <v>242</v>
      </c>
      <c r="D69" s="51">
        <v>39164</v>
      </c>
      <c r="E69" s="51">
        <v>851303</v>
      </c>
      <c r="F69" s="52">
        <v>86257</v>
      </c>
      <c r="G69" s="53">
        <v>10.132350000000001</v>
      </c>
    </row>
    <row r="70" spans="1:7">
      <c r="A70" s="50" t="s">
        <v>305</v>
      </c>
      <c r="B70" s="50" t="s">
        <v>13</v>
      </c>
      <c r="C70" s="50" t="s">
        <v>242</v>
      </c>
      <c r="D70" s="51">
        <v>8283</v>
      </c>
      <c r="E70" s="51">
        <v>265392</v>
      </c>
      <c r="F70" s="52">
        <v>22333</v>
      </c>
      <c r="G70" s="53">
        <v>8.4150992000000002</v>
      </c>
    </row>
    <row r="71" spans="1:7">
      <c r="A71" s="50" t="s">
        <v>306</v>
      </c>
      <c r="B71" s="50" t="s">
        <v>13</v>
      </c>
      <c r="C71" s="50" t="s">
        <v>242</v>
      </c>
      <c r="D71" s="51">
        <v>11783</v>
      </c>
      <c r="E71" s="51">
        <v>358817</v>
      </c>
      <c r="F71" s="52">
        <v>22729</v>
      </c>
      <c r="G71" s="53">
        <v>6.3344266999999999</v>
      </c>
    </row>
    <row r="72" spans="1:7">
      <c r="A72" s="50" t="s">
        <v>307</v>
      </c>
      <c r="B72" s="50" t="s">
        <v>13</v>
      </c>
      <c r="C72" s="50" t="s">
        <v>242</v>
      </c>
      <c r="D72" s="51">
        <v>4520</v>
      </c>
      <c r="E72" s="51">
        <v>213457</v>
      </c>
      <c r="F72" s="52">
        <v>15606</v>
      </c>
      <c r="G72" s="53">
        <v>7.3110743999999999</v>
      </c>
    </row>
    <row r="73" spans="1:7">
      <c r="A73" s="50" t="s">
        <v>308</v>
      </c>
      <c r="B73" s="50" t="s">
        <v>13</v>
      </c>
      <c r="C73" s="50" t="s">
        <v>240</v>
      </c>
      <c r="D73" s="51">
        <v>13070</v>
      </c>
      <c r="E73" s="51">
        <v>279805</v>
      </c>
      <c r="F73" s="52">
        <v>31384.1</v>
      </c>
      <c r="G73" s="53">
        <v>11.216419</v>
      </c>
    </row>
    <row r="74" spans="1:7">
      <c r="A74" s="50" t="s">
        <v>309</v>
      </c>
      <c r="B74" s="50" t="s">
        <v>13</v>
      </c>
      <c r="C74" s="50" t="s">
        <v>242</v>
      </c>
      <c r="D74" s="51">
        <v>31510</v>
      </c>
      <c r="E74" s="51">
        <v>891076</v>
      </c>
      <c r="F74" s="52">
        <v>54559.4</v>
      </c>
      <c r="G74" s="53">
        <v>6.1228672</v>
      </c>
    </row>
    <row r="75" spans="1:7">
      <c r="A75" s="50" t="s">
        <v>310</v>
      </c>
      <c r="B75" s="50" t="s">
        <v>13</v>
      </c>
      <c r="C75" s="50" t="s">
        <v>240</v>
      </c>
      <c r="D75" s="51">
        <v>31562</v>
      </c>
      <c r="E75" s="51">
        <v>563805</v>
      </c>
      <c r="F75" s="52">
        <v>58458</v>
      </c>
      <c r="G75" s="53">
        <v>10.368478</v>
      </c>
    </row>
    <row r="76" spans="1:7">
      <c r="A76" s="50" t="s">
        <v>311</v>
      </c>
      <c r="B76" s="50" t="s">
        <v>13</v>
      </c>
      <c r="C76" s="50" t="s">
        <v>237</v>
      </c>
      <c r="D76" s="51">
        <v>4933</v>
      </c>
      <c r="E76" s="51">
        <v>165330</v>
      </c>
      <c r="F76" s="52">
        <v>15845.6</v>
      </c>
      <c r="G76" s="53">
        <v>9.5842255000000005</v>
      </c>
    </row>
    <row r="77" spans="1:7">
      <c r="A77" s="50" t="s">
        <v>1818</v>
      </c>
      <c r="B77" s="50" t="s">
        <v>13</v>
      </c>
      <c r="C77" s="50" t="s">
        <v>237</v>
      </c>
      <c r="D77" s="51">
        <v>718279</v>
      </c>
      <c r="E77" s="51">
        <v>20748145</v>
      </c>
      <c r="F77" s="52">
        <v>1781014.1</v>
      </c>
      <c r="G77" s="53">
        <v>8.5839678999999993</v>
      </c>
    </row>
    <row r="78" spans="1:7">
      <c r="A78" s="50" t="s">
        <v>312</v>
      </c>
      <c r="B78" s="50" t="s">
        <v>13</v>
      </c>
      <c r="C78" s="50" t="s">
        <v>240</v>
      </c>
      <c r="D78" s="51">
        <v>97020</v>
      </c>
      <c r="E78" s="51">
        <v>1915703</v>
      </c>
      <c r="F78" s="52">
        <v>174832.2</v>
      </c>
      <c r="G78" s="53">
        <v>9.1262685000000001</v>
      </c>
    </row>
    <row r="79" spans="1:7">
      <c r="A79" s="50" t="s">
        <v>1819</v>
      </c>
      <c r="B79" s="50" t="s">
        <v>13</v>
      </c>
      <c r="C79" s="50" t="s">
        <v>240</v>
      </c>
      <c r="D79" s="51">
        <v>4838</v>
      </c>
      <c r="E79" s="51">
        <v>3104601</v>
      </c>
      <c r="F79" s="52">
        <v>137482</v>
      </c>
      <c r="G79" s="53">
        <v>4.4283307000000001</v>
      </c>
    </row>
    <row r="80" spans="1:7">
      <c r="A80" s="50" t="s">
        <v>313</v>
      </c>
      <c r="B80" s="50" t="s">
        <v>13</v>
      </c>
      <c r="C80" s="50" t="s">
        <v>240</v>
      </c>
      <c r="D80" s="51">
        <v>37358</v>
      </c>
      <c r="E80" s="51">
        <v>601516</v>
      </c>
      <c r="F80" s="52">
        <v>62619.7</v>
      </c>
      <c r="G80" s="53">
        <v>10.410313</v>
      </c>
    </row>
    <row r="81" spans="1:7">
      <c r="A81" s="50" t="s">
        <v>314</v>
      </c>
      <c r="B81" s="50" t="s">
        <v>13</v>
      </c>
      <c r="C81" s="50" t="s">
        <v>237</v>
      </c>
      <c r="D81" s="51">
        <v>68225</v>
      </c>
      <c r="E81" s="51">
        <v>2442826</v>
      </c>
      <c r="F81" s="52">
        <v>162229.6</v>
      </c>
      <c r="G81" s="53">
        <v>6.6410624</v>
      </c>
    </row>
    <row r="82" spans="1:7">
      <c r="A82" s="50" t="s">
        <v>315</v>
      </c>
      <c r="B82" s="50" t="s">
        <v>13</v>
      </c>
      <c r="C82" s="50" t="s">
        <v>240</v>
      </c>
      <c r="D82" s="51">
        <v>9408</v>
      </c>
      <c r="E82" s="51">
        <v>212914</v>
      </c>
      <c r="F82" s="52">
        <v>23618</v>
      </c>
      <c r="G82" s="53">
        <v>11.092741999999999</v>
      </c>
    </row>
    <row r="83" spans="1:7">
      <c r="A83" s="50" t="s">
        <v>316</v>
      </c>
      <c r="B83" s="50" t="s">
        <v>13</v>
      </c>
      <c r="C83" s="50" t="s">
        <v>240</v>
      </c>
      <c r="D83" s="51">
        <v>68004</v>
      </c>
      <c r="E83" s="51">
        <v>1222098</v>
      </c>
      <c r="F83" s="52">
        <v>124305</v>
      </c>
      <c r="G83" s="53">
        <v>10.171443</v>
      </c>
    </row>
    <row r="84" spans="1:7">
      <c r="A84" s="50" t="s">
        <v>317</v>
      </c>
      <c r="B84" s="50" t="s">
        <v>13</v>
      </c>
      <c r="C84" s="50" t="s">
        <v>242</v>
      </c>
      <c r="D84" s="51">
        <v>13995</v>
      </c>
      <c r="E84" s="51">
        <v>559343</v>
      </c>
      <c r="F84" s="52">
        <v>38733</v>
      </c>
      <c r="G84" s="53">
        <v>6.9247313000000004</v>
      </c>
    </row>
    <row r="85" spans="1:7">
      <c r="A85" s="50" t="s">
        <v>318</v>
      </c>
      <c r="B85" s="50" t="s">
        <v>13</v>
      </c>
      <c r="C85" s="50" t="s">
        <v>240</v>
      </c>
      <c r="D85" s="51">
        <v>20381</v>
      </c>
      <c r="E85" s="51">
        <v>288799</v>
      </c>
      <c r="F85" s="52">
        <v>31543.7</v>
      </c>
      <c r="G85" s="53">
        <v>10.922371999999999</v>
      </c>
    </row>
    <row r="86" spans="1:7">
      <c r="A86" s="50" t="s">
        <v>320</v>
      </c>
      <c r="B86" s="50" t="s">
        <v>13</v>
      </c>
      <c r="C86" s="50" t="s">
        <v>240</v>
      </c>
      <c r="D86" s="51">
        <v>10306</v>
      </c>
      <c r="E86" s="51">
        <v>247303</v>
      </c>
      <c r="F86" s="52">
        <v>23213</v>
      </c>
      <c r="G86" s="53">
        <v>9.3864611</v>
      </c>
    </row>
    <row r="87" spans="1:7">
      <c r="A87" s="50" t="s">
        <v>321</v>
      </c>
      <c r="B87" s="50" t="s">
        <v>13</v>
      </c>
      <c r="C87" s="50" t="s">
        <v>240</v>
      </c>
      <c r="D87" s="51">
        <v>27155</v>
      </c>
      <c r="E87" s="51">
        <v>658341</v>
      </c>
      <c r="F87" s="52">
        <v>58913.1</v>
      </c>
      <c r="G87" s="53">
        <v>8.9487211000000002</v>
      </c>
    </row>
    <row r="88" spans="1:7">
      <c r="A88" s="50" t="s">
        <v>322</v>
      </c>
      <c r="B88" s="50" t="s">
        <v>13</v>
      </c>
      <c r="C88" s="50" t="s">
        <v>237</v>
      </c>
      <c r="D88" s="51">
        <v>122805</v>
      </c>
      <c r="E88" s="51">
        <v>3443343</v>
      </c>
      <c r="F88" s="52">
        <v>284884.8</v>
      </c>
      <c r="G88" s="53">
        <v>8.2734947000000005</v>
      </c>
    </row>
    <row r="89" spans="1:7">
      <c r="A89" s="50" t="s">
        <v>323</v>
      </c>
      <c r="B89" s="50" t="s">
        <v>13</v>
      </c>
      <c r="C89" s="50" t="s">
        <v>240</v>
      </c>
      <c r="D89" s="51">
        <v>19866</v>
      </c>
      <c r="E89" s="51">
        <v>394642</v>
      </c>
      <c r="F89" s="52">
        <v>43126.1</v>
      </c>
      <c r="G89" s="53">
        <v>10.927904</v>
      </c>
    </row>
    <row r="90" spans="1:7">
      <c r="A90" s="50" t="s">
        <v>326</v>
      </c>
      <c r="B90" s="50" t="s">
        <v>11</v>
      </c>
      <c r="C90" s="50" t="s">
        <v>237</v>
      </c>
      <c r="D90" s="51">
        <v>1038</v>
      </c>
      <c r="E90" s="51">
        <v>8847</v>
      </c>
      <c r="F90" s="52">
        <v>812</v>
      </c>
      <c r="G90" s="53">
        <v>9.1782524999999993</v>
      </c>
    </row>
    <row r="91" spans="1:7">
      <c r="A91" s="50" t="s">
        <v>327</v>
      </c>
      <c r="B91" s="50" t="s">
        <v>11</v>
      </c>
      <c r="C91" s="50" t="s">
        <v>2</v>
      </c>
      <c r="D91" s="51">
        <v>473</v>
      </c>
      <c r="E91" s="51">
        <v>39595</v>
      </c>
      <c r="F91" s="52">
        <v>3194.5</v>
      </c>
      <c r="G91" s="53">
        <v>8.0679379000000004</v>
      </c>
    </row>
    <row r="92" spans="1:7">
      <c r="A92" s="50" t="s">
        <v>328</v>
      </c>
      <c r="B92" s="50" t="s">
        <v>11</v>
      </c>
      <c r="C92" s="50" t="s">
        <v>237</v>
      </c>
      <c r="D92" s="51">
        <v>1288703</v>
      </c>
      <c r="E92" s="51">
        <v>29344407</v>
      </c>
      <c r="F92" s="52">
        <v>3439273.7</v>
      </c>
      <c r="G92" s="53">
        <v>11.720371999999999</v>
      </c>
    </row>
    <row r="93" spans="1:7">
      <c r="A93" s="50" t="s">
        <v>329</v>
      </c>
      <c r="B93" s="50" t="s">
        <v>11</v>
      </c>
      <c r="C93" s="50" t="s">
        <v>242</v>
      </c>
      <c r="D93" s="51">
        <v>17011</v>
      </c>
      <c r="E93" s="51">
        <v>326386</v>
      </c>
      <c r="F93" s="52">
        <v>29380.2</v>
      </c>
      <c r="G93" s="53">
        <v>9.0016729000000009</v>
      </c>
    </row>
    <row r="94" spans="1:7">
      <c r="A94" s="50" t="s">
        <v>331</v>
      </c>
      <c r="B94" s="50" t="s">
        <v>11</v>
      </c>
      <c r="C94" s="50" t="s">
        <v>332</v>
      </c>
      <c r="D94" s="51">
        <v>10</v>
      </c>
      <c r="E94" s="51">
        <v>82354</v>
      </c>
      <c r="F94" s="52">
        <v>8513.4</v>
      </c>
      <c r="G94" s="53">
        <v>10.337567</v>
      </c>
    </row>
    <row r="95" spans="1:7">
      <c r="A95" s="50" t="s">
        <v>333</v>
      </c>
      <c r="B95" s="50" t="s">
        <v>11</v>
      </c>
      <c r="C95" s="50" t="s">
        <v>240</v>
      </c>
      <c r="D95" s="51">
        <v>2687</v>
      </c>
      <c r="E95" s="51">
        <v>39581</v>
      </c>
      <c r="F95" s="52">
        <v>3226.4</v>
      </c>
      <c r="G95" s="53">
        <v>8.1513857999999999</v>
      </c>
    </row>
    <row r="96" spans="1:7">
      <c r="A96" s="50" t="s">
        <v>334</v>
      </c>
      <c r="B96" s="50" t="s">
        <v>11</v>
      </c>
      <c r="C96" s="50" t="s">
        <v>325</v>
      </c>
      <c r="D96" s="51">
        <v>5371</v>
      </c>
      <c r="E96" s="51">
        <v>252219</v>
      </c>
      <c r="F96" s="52">
        <v>22277</v>
      </c>
      <c r="G96" s="53">
        <v>8.8324035999999992</v>
      </c>
    </row>
    <row r="97" spans="1:7">
      <c r="A97" s="50" t="s">
        <v>335</v>
      </c>
      <c r="B97" s="50" t="s">
        <v>11</v>
      </c>
      <c r="C97" s="50" t="s">
        <v>325</v>
      </c>
      <c r="D97" s="51">
        <v>27201</v>
      </c>
      <c r="E97" s="51">
        <v>719132</v>
      </c>
      <c r="F97" s="52">
        <v>72524</v>
      </c>
      <c r="G97" s="53">
        <v>10.084936000000001</v>
      </c>
    </row>
    <row r="98" spans="1:7">
      <c r="A98" s="50" t="s">
        <v>336</v>
      </c>
      <c r="B98" s="50" t="s">
        <v>11</v>
      </c>
      <c r="C98" s="50" t="s">
        <v>325</v>
      </c>
      <c r="D98" s="51">
        <v>651</v>
      </c>
      <c r="E98" s="51">
        <v>404532</v>
      </c>
      <c r="F98" s="52">
        <v>21416</v>
      </c>
      <c r="G98" s="53">
        <v>5.2940187999999999</v>
      </c>
    </row>
    <row r="99" spans="1:7">
      <c r="A99" s="50" t="s">
        <v>337</v>
      </c>
      <c r="B99" s="50" t="s">
        <v>11</v>
      </c>
      <c r="C99" s="50" t="s">
        <v>240</v>
      </c>
      <c r="D99" s="51">
        <v>1521</v>
      </c>
      <c r="E99" s="51">
        <v>36334</v>
      </c>
      <c r="F99" s="52">
        <v>3747.2</v>
      </c>
      <c r="G99" s="53">
        <v>10.313205</v>
      </c>
    </row>
    <row r="100" spans="1:7">
      <c r="A100" s="50" t="s">
        <v>338</v>
      </c>
      <c r="B100" s="50" t="s">
        <v>11</v>
      </c>
      <c r="C100" s="50" t="s">
        <v>332</v>
      </c>
      <c r="D100" s="51">
        <v>86</v>
      </c>
      <c r="E100" s="51">
        <v>2594</v>
      </c>
      <c r="F100" s="52">
        <v>241.3</v>
      </c>
      <c r="G100" s="53">
        <v>9.3022358999999994</v>
      </c>
    </row>
    <row r="101" spans="1:7">
      <c r="A101" s="50" t="s">
        <v>1821</v>
      </c>
      <c r="B101" s="50" t="s">
        <v>11</v>
      </c>
      <c r="C101" s="50" t="s">
        <v>332</v>
      </c>
      <c r="D101" s="51">
        <v>1</v>
      </c>
      <c r="E101" s="51">
        <v>14697</v>
      </c>
      <c r="F101" s="52">
        <v>912.7</v>
      </c>
      <c r="G101" s="53">
        <v>6.2101109000000001</v>
      </c>
    </row>
    <row r="102" spans="1:7">
      <c r="A102" s="50" t="s">
        <v>339</v>
      </c>
      <c r="B102" s="50" t="s">
        <v>11</v>
      </c>
      <c r="C102" s="50" t="s">
        <v>332</v>
      </c>
      <c r="D102" s="51">
        <v>16</v>
      </c>
      <c r="E102" s="51">
        <v>8566</v>
      </c>
      <c r="F102" s="52">
        <v>693.1</v>
      </c>
      <c r="G102" s="53">
        <v>8.0912912000000006</v>
      </c>
    </row>
    <row r="103" spans="1:7">
      <c r="A103" s="50" t="s">
        <v>1822</v>
      </c>
      <c r="B103" s="50" t="s">
        <v>11</v>
      </c>
      <c r="C103" s="50" t="s">
        <v>240</v>
      </c>
      <c r="D103" s="51">
        <v>42119</v>
      </c>
      <c r="E103" s="51">
        <v>734082</v>
      </c>
      <c r="F103" s="52">
        <v>70812.2</v>
      </c>
      <c r="G103" s="53">
        <v>9.6463610000000006</v>
      </c>
    </row>
    <row r="104" spans="1:7">
      <c r="A104" s="50" t="s">
        <v>1823</v>
      </c>
      <c r="B104" s="50" t="s">
        <v>11</v>
      </c>
      <c r="C104" s="50" t="s">
        <v>237</v>
      </c>
      <c r="D104" s="51">
        <v>2696</v>
      </c>
      <c r="E104" s="51">
        <v>2668638</v>
      </c>
      <c r="F104" s="52">
        <v>106055.9</v>
      </c>
      <c r="G104" s="53">
        <v>3.9741583999999999</v>
      </c>
    </row>
    <row r="105" spans="1:7">
      <c r="A105" s="50" t="s">
        <v>340</v>
      </c>
      <c r="B105" s="50" t="s">
        <v>11</v>
      </c>
      <c r="C105" s="50" t="s">
        <v>2</v>
      </c>
      <c r="D105" s="51">
        <v>29059</v>
      </c>
      <c r="E105" s="51">
        <v>419318</v>
      </c>
      <c r="F105" s="52">
        <v>54291</v>
      </c>
      <c r="G105" s="53">
        <v>12.947452999999999</v>
      </c>
    </row>
    <row r="106" spans="1:7">
      <c r="A106" s="50" t="s">
        <v>341</v>
      </c>
      <c r="B106" s="50" t="s">
        <v>11</v>
      </c>
      <c r="C106" s="50" t="s">
        <v>240</v>
      </c>
      <c r="D106" s="51">
        <v>40973</v>
      </c>
      <c r="E106" s="51">
        <v>435571</v>
      </c>
      <c r="F106" s="52">
        <v>51888.1</v>
      </c>
      <c r="G106" s="53">
        <v>11.912661999999999</v>
      </c>
    </row>
    <row r="107" spans="1:7">
      <c r="A107" s="50" t="s">
        <v>342</v>
      </c>
      <c r="B107" s="50" t="s">
        <v>11</v>
      </c>
      <c r="C107" s="50" t="s">
        <v>325</v>
      </c>
      <c r="D107" s="51">
        <v>1080214</v>
      </c>
      <c r="E107" s="51">
        <v>30505673</v>
      </c>
      <c r="F107" s="52">
        <v>2968067.7</v>
      </c>
      <c r="G107" s="53">
        <v>9.7295598000000005</v>
      </c>
    </row>
    <row r="108" spans="1:7">
      <c r="A108" s="50" t="s">
        <v>343</v>
      </c>
      <c r="B108" s="50" t="s">
        <v>11</v>
      </c>
      <c r="C108" s="50" t="s">
        <v>332</v>
      </c>
      <c r="D108" s="51">
        <v>41061</v>
      </c>
      <c r="E108" s="51">
        <v>542635</v>
      </c>
      <c r="F108" s="52">
        <v>62057</v>
      </c>
      <c r="G108" s="53">
        <v>11.436232</v>
      </c>
    </row>
    <row r="109" spans="1:7">
      <c r="A109" s="50" t="s">
        <v>344</v>
      </c>
      <c r="B109" s="50" t="s">
        <v>11</v>
      </c>
      <c r="C109" s="50" t="s">
        <v>332</v>
      </c>
      <c r="D109" s="51">
        <v>1472</v>
      </c>
      <c r="E109" s="51">
        <v>16277</v>
      </c>
      <c r="F109" s="52">
        <v>2091</v>
      </c>
      <c r="G109" s="53">
        <v>12.846348000000001</v>
      </c>
    </row>
    <row r="110" spans="1:7">
      <c r="A110" s="50" t="s">
        <v>345</v>
      </c>
      <c r="B110" s="50" t="s">
        <v>11</v>
      </c>
      <c r="C110" s="50" t="s">
        <v>240</v>
      </c>
      <c r="D110" s="51">
        <v>52577</v>
      </c>
      <c r="E110" s="51">
        <v>916784</v>
      </c>
      <c r="F110" s="52">
        <v>105192</v>
      </c>
      <c r="G110" s="53">
        <v>11.474022</v>
      </c>
    </row>
    <row r="111" spans="1:7">
      <c r="A111" s="50" t="s">
        <v>348</v>
      </c>
      <c r="B111" s="50" t="s">
        <v>11</v>
      </c>
      <c r="C111" s="50" t="s">
        <v>332</v>
      </c>
      <c r="D111" s="51">
        <v>11267</v>
      </c>
      <c r="E111" s="51">
        <v>178917</v>
      </c>
      <c r="F111" s="52">
        <v>17240.400000000001</v>
      </c>
      <c r="G111" s="53">
        <v>9.6359764999999999</v>
      </c>
    </row>
    <row r="112" spans="1:7">
      <c r="A112" s="50" t="s">
        <v>349</v>
      </c>
      <c r="B112" s="50" t="s">
        <v>11</v>
      </c>
      <c r="C112" s="50" t="s">
        <v>332</v>
      </c>
      <c r="D112" s="51">
        <v>1572</v>
      </c>
      <c r="E112" s="51">
        <v>17690</v>
      </c>
      <c r="F112" s="52">
        <v>3138.2</v>
      </c>
      <c r="G112" s="53">
        <v>17.739965999999999</v>
      </c>
    </row>
    <row r="113" spans="1:7">
      <c r="A113" s="50" t="s">
        <v>350</v>
      </c>
      <c r="B113" s="50" t="s">
        <v>11</v>
      </c>
      <c r="C113" s="50" t="s">
        <v>332</v>
      </c>
      <c r="D113" s="51">
        <v>25777</v>
      </c>
      <c r="E113" s="51">
        <v>324824</v>
      </c>
      <c r="F113" s="52">
        <v>43918.2</v>
      </c>
      <c r="G113" s="53">
        <v>13.520614</v>
      </c>
    </row>
    <row r="114" spans="1:7">
      <c r="A114" s="50" t="s">
        <v>351</v>
      </c>
      <c r="B114" s="50" t="s">
        <v>11</v>
      </c>
      <c r="C114" s="50" t="s">
        <v>332</v>
      </c>
      <c r="D114" s="51">
        <v>29</v>
      </c>
      <c r="E114" s="51">
        <v>15220</v>
      </c>
      <c r="F114" s="52">
        <v>1736.5</v>
      </c>
      <c r="G114" s="53">
        <v>11.409330000000001</v>
      </c>
    </row>
    <row r="115" spans="1:7">
      <c r="A115" s="50" t="s">
        <v>352</v>
      </c>
      <c r="B115" s="50" t="s">
        <v>11</v>
      </c>
      <c r="C115" s="50" t="s">
        <v>240</v>
      </c>
      <c r="D115" s="51">
        <v>49480</v>
      </c>
      <c r="E115" s="51">
        <v>819276</v>
      </c>
      <c r="F115" s="52">
        <v>108315.8</v>
      </c>
      <c r="G115" s="53">
        <v>13.220917</v>
      </c>
    </row>
    <row r="116" spans="1:7">
      <c r="A116" s="50" t="s">
        <v>353</v>
      </c>
      <c r="B116" s="50" t="s">
        <v>11</v>
      </c>
      <c r="C116" s="50" t="s">
        <v>237</v>
      </c>
      <c r="D116" s="51">
        <v>436303</v>
      </c>
      <c r="E116" s="51">
        <v>9110858</v>
      </c>
      <c r="F116" s="52">
        <v>1002922.2</v>
      </c>
      <c r="G116" s="53">
        <v>11.007987999999999</v>
      </c>
    </row>
    <row r="117" spans="1:7">
      <c r="A117" s="50" t="s">
        <v>354</v>
      </c>
      <c r="B117" s="50" t="s">
        <v>11</v>
      </c>
      <c r="C117" s="50" t="s">
        <v>237</v>
      </c>
      <c r="D117" s="51">
        <v>100998</v>
      </c>
      <c r="E117" s="51">
        <v>1808947</v>
      </c>
      <c r="F117" s="52">
        <v>177896</v>
      </c>
      <c r="G117" s="53">
        <v>9.8342294999999993</v>
      </c>
    </row>
    <row r="118" spans="1:7">
      <c r="A118" s="50" t="s">
        <v>355</v>
      </c>
      <c r="B118" s="50" t="s">
        <v>11</v>
      </c>
      <c r="C118" s="50" t="s">
        <v>295</v>
      </c>
      <c r="D118" s="51">
        <v>12652</v>
      </c>
      <c r="E118" s="51">
        <v>228752</v>
      </c>
      <c r="F118" s="52">
        <v>25943</v>
      </c>
      <c r="G118" s="53">
        <v>11.341103</v>
      </c>
    </row>
    <row r="119" spans="1:7">
      <c r="A119" s="50" t="s">
        <v>356</v>
      </c>
      <c r="B119" s="50" t="s">
        <v>11</v>
      </c>
      <c r="C119" s="50" t="s">
        <v>332</v>
      </c>
      <c r="D119" s="51">
        <v>5257</v>
      </c>
      <c r="E119" s="51">
        <v>58698</v>
      </c>
      <c r="F119" s="52">
        <v>5398.6</v>
      </c>
      <c r="G119" s="53">
        <v>9.1972468999999997</v>
      </c>
    </row>
    <row r="120" spans="1:7">
      <c r="A120" s="50" t="s">
        <v>357</v>
      </c>
      <c r="B120" s="50" t="s">
        <v>11</v>
      </c>
      <c r="C120" s="50" t="s">
        <v>295</v>
      </c>
      <c r="D120" s="51">
        <v>20</v>
      </c>
      <c r="E120" s="51">
        <v>328755</v>
      </c>
      <c r="F120" s="52">
        <v>5564.4</v>
      </c>
      <c r="G120" s="53">
        <v>1.6925673999999999</v>
      </c>
    </row>
    <row r="121" spans="1:7">
      <c r="A121" s="50" t="s">
        <v>358</v>
      </c>
      <c r="B121" s="50" t="s">
        <v>16</v>
      </c>
      <c r="C121" s="50" t="s">
        <v>332</v>
      </c>
      <c r="D121" s="51">
        <v>25</v>
      </c>
      <c r="E121" s="51">
        <v>9981</v>
      </c>
      <c r="F121" s="52">
        <v>2125.1</v>
      </c>
      <c r="G121" s="53">
        <v>21.291454000000002</v>
      </c>
    </row>
    <row r="122" spans="1:7">
      <c r="A122" s="50" t="s">
        <v>2464</v>
      </c>
      <c r="B122" s="50" t="s">
        <v>16</v>
      </c>
      <c r="C122" s="50" t="s">
        <v>242</v>
      </c>
      <c r="D122" s="51">
        <v>36296</v>
      </c>
      <c r="E122" s="51">
        <v>339583</v>
      </c>
      <c r="F122" s="52">
        <v>62941.2</v>
      </c>
      <c r="G122" s="53">
        <v>18.534849999999999</v>
      </c>
    </row>
    <row r="123" spans="1:7">
      <c r="A123" s="50" t="s">
        <v>359</v>
      </c>
      <c r="B123" s="50" t="s">
        <v>16</v>
      </c>
      <c r="C123" s="50" t="s">
        <v>237</v>
      </c>
      <c r="D123" s="51">
        <v>24474</v>
      </c>
      <c r="E123" s="51">
        <v>136299</v>
      </c>
      <c r="F123" s="52">
        <v>36753.300000000003</v>
      </c>
      <c r="G123" s="53">
        <v>26.965202000000001</v>
      </c>
    </row>
    <row r="124" spans="1:7">
      <c r="A124" s="50" t="s">
        <v>360</v>
      </c>
      <c r="B124" s="50" t="s">
        <v>16</v>
      </c>
      <c r="C124" s="50" t="s">
        <v>242</v>
      </c>
      <c r="D124" s="51">
        <v>1539</v>
      </c>
      <c r="E124" s="51">
        <v>850971</v>
      </c>
      <c r="F124" s="52">
        <v>120255.3</v>
      </c>
      <c r="G124" s="53">
        <v>14.131539</v>
      </c>
    </row>
    <row r="125" spans="1:7">
      <c r="A125" s="50" t="s">
        <v>361</v>
      </c>
      <c r="B125" s="50" t="s">
        <v>16</v>
      </c>
      <c r="C125" s="50" t="s">
        <v>242</v>
      </c>
      <c r="D125" s="51">
        <v>121102</v>
      </c>
      <c r="E125" s="51">
        <v>2085895</v>
      </c>
      <c r="F125" s="52">
        <v>351449</v>
      </c>
      <c r="G125" s="53">
        <v>16.848835000000001</v>
      </c>
    </row>
    <row r="126" spans="1:7">
      <c r="A126" s="50" t="s">
        <v>362</v>
      </c>
      <c r="B126" s="50" t="s">
        <v>16</v>
      </c>
      <c r="C126" s="50" t="s">
        <v>242</v>
      </c>
      <c r="D126" s="51">
        <v>16988</v>
      </c>
      <c r="E126" s="51">
        <v>242612</v>
      </c>
      <c r="F126" s="52">
        <v>35474</v>
      </c>
      <c r="G126" s="53">
        <v>14.621700000000001</v>
      </c>
    </row>
    <row r="127" spans="1:7">
      <c r="A127" s="50" t="s">
        <v>363</v>
      </c>
      <c r="B127" s="50" t="s">
        <v>16</v>
      </c>
      <c r="C127" s="50" t="s">
        <v>242</v>
      </c>
      <c r="D127" s="51">
        <v>53030</v>
      </c>
      <c r="E127" s="51">
        <v>1019371</v>
      </c>
      <c r="F127" s="52">
        <v>157616.1</v>
      </c>
      <c r="G127" s="53">
        <v>15.462094</v>
      </c>
    </row>
    <row r="128" spans="1:7">
      <c r="A128" s="50" t="s">
        <v>364</v>
      </c>
      <c r="B128" s="50" t="s">
        <v>16</v>
      </c>
      <c r="C128" s="50" t="s">
        <v>242</v>
      </c>
      <c r="D128" s="51">
        <v>19842</v>
      </c>
      <c r="E128" s="51">
        <v>344177</v>
      </c>
      <c r="F128" s="52">
        <v>55944</v>
      </c>
      <c r="G128" s="53">
        <v>16.254427</v>
      </c>
    </row>
    <row r="129" spans="1:7">
      <c r="A129" s="50" t="s">
        <v>365</v>
      </c>
      <c r="B129" s="50" t="s">
        <v>16</v>
      </c>
      <c r="C129" s="50" t="s">
        <v>242</v>
      </c>
      <c r="D129" s="51">
        <v>1833</v>
      </c>
      <c r="E129" s="51">
        <v>79307</v>
      </c>
      <c r="F129" s="52">
        <v>10704.1</v>
      </c>
      <c r="G129" s="53">
        <v>13.497043</v>
      </c>
    </row>
    <row r="130" spans="1:7">
      <c r="A130" s="50" t="s">
        <v>366</v>
      </c>
      <c r="B130" s="50" t="s">
        <v>16</v>
      </c>
      <c r="C130" s="50" t="s">
        <v>242</v>
      </c>
      <c r="D130" s="51">
        <v>90030</v>
      </c>
      <c r="E130" s="51">
        <v>982761</v>
      </c>
      <c r="F130" s="52">
        <v>192547.3</v>
      </c>
      <c r="G130" s="53">
        <v>19.592485</v>
      </c>
    </row>
    <row r="131" spans="1:7">
      <c r="A131" s="50" t="s">
        <v>367</v>
      </c>
      <c r="B131" s="50" t="s">
        <v>16</v>
      </c>
      <c r="C131" s="50" t="s">
        <v>242</v>
      </c>
      <c r="D131" s="51">
        <v>25008</v>
      </c>
      <c r="E131" s="51">
        <v>429591</v>
      </c>
      <c r="F131" s="52">
        <v>74502</v>
      </c>
      <c r="G131" s="53">
        <v>17.342542000000002</v>
      </c>
    </row>
    <row r="132" spans="1:7">
      <c r="A132" s="50" t="s">
        <v>368</v>
      </c>
      <c r="B132" s="50" t="s">
        <v>16</v>
      </c>
      <c r="C132" s="50" t="s">
        <v>242</v>
      </c>
      <c r="D132" s="51">
        <v>6973</v>
      </c>
      <c r="E132" s="51">
        <v>204004</v>
      </c>
      <c r="F132" s="52">
        <v>33173.699999999997</v>
      </c>
      <c r="G132" s="53">
        <v>16.261299000000001</v>
      </c>
    </row>
    <row r="133" spans="1:7">
      <c r="A133" s="50" t="s">
        <v>369</v>
      </c>
      <c r="B133" s="50" t="s">
        <v>16</v>
      </c>
      <c r="C133" s="50" t="s">
        <v>242</v>
      </c>
      <c r="D133" s="51">
        <v>28958</v>
      </c>
      <c r="E133" s="51">
        <v>825469</v>
      </c>
      <c r="F133" s="52">
        <v>131097</v>
      </c>
      <c r="G133" s="53">
        <v>15.881517000000001</v>
      </c>
    </row>
    <row r="134" spans="1:7">
      <c r="A134" s="50" t="s">
        <v>370</v>
      </c>
      <c r="B134" s="50" t="s">
        <v>16</v>
      </c>
      <c r="C134" s="50" t="s">
        <v>242</v>
      </c>
      <c r="D134" s="51">
        <v>64949</v>
      </c>
      <c r="E134" s="51">
        <v>977575</v>
      </c>
      <c r="F134" s="52">
        <v>191148.5</v>
      </c>
      <c r="G134" s="53">
        <v>19.553334</v>
      </c>
    </row>
    <row r="135" spans="1:7">
      <c r="A135" s="50" t="s">
        <v>371</v>
      </c>
      <c r="B135" s="50" t="s">
        <v>16</v>
      </c>
      <c r="C135" s="50" t="s">
        <v>242</v>
      </c>
      <c r="D135" s="51">
        <v>44305</v>
      </c>
      <c r="E135" s="51">
        <v>736519</v>
      </c>
      <c r="F135" s="52">
        <v>120915</v>
      </c>
      <c r="G135" s="53">
        <v>16.417092</v>
      </c>
    </row>
    <row r="136" spans="1:7">
      <c r="A136" s="50" t="s">
        <v>372</v>
      </c>
      <c r="B136" s="50" t="s">
        <v>16</v>
      </c>
      <c r="C136" s="50" t="s">
        <v>242</v>
      </c>
      <c r="D136" s="51">
        <v>111157</v>
      </c>
      <c r="E136" s="51">
        <v>2144679</v>
      </c>
      <c r="F136" s="52">
        <v>322584</v>
      </c>
      <c r="G136" s="53">
        <v>15.041131999999999</v>
      </c>
    </row>
    <row r="137" spans="1:7">
      <c r="A137" s="50" t="s">
        <v>373</v>
      </c>
      <c r="B137" s="50" t="s">
        <v>16</v>
      </c>
      <c r="C137" s="50" t="s">
        <v>242</v>
      </c>
      <c r="D137" s="51">
        <v>63507</v>
      </c>
      <c r="E137" s="51">
        <v>1150099</v>
      </c>
      <c r="F137" s="52">
        <v>159949.79999999999</v>
      </c>
      <c r="G137" s="53">
        <v>13.907481000000001</v>
      </c>
    </row>
    <row r="138" spans="1:7">
      <c r="A138" s="50" t="s">
        <v>374</v>
      </c>
      <c r="B138" s="50" t="s">
        <v>16</v>
      </c>
      <c r="C138" s="50" t="s">
        <v>242</v>
      </c>
      <c r="D138" s="51">
        <v>58395</v>
      </c>
      <c r="E138" s="51">
        <v>3741014</v>
      </c>
      <c r="F138" s="52">
        <v>432838.6</v>
      </c>
      <c r="G138" s="53">
        <v>11.570088</v>
      </c>
    </row>
    <row r="139" spans="1:7">
      <c r="A139" s="50" t="s">
        <v>375</v>
      </c>
      <c r="B139" s="50" t="s">
        <v>16</v>
      </c>
      <c r="C139" s="50" t="s">
        <v>242</v>
      </c>
      <c r="D139" s="51">
        <v>1899</v>
      </c>
      <c r="E139" s="51">
        <v>1120840</v>
      </c>
      <c r="F139" s="52">
        <v>169801.4</v>
      </c>
      <c r="G139" s="53">
        <v>15.149476999999999</v>
      </c>
    </row>
    <row r="140" spans="1:7">
      <c r="A140" s="50" t="s">
        <v>331</v>
      </c>
      <c r="B140" s="50" t="s">
        <v>16</v>
      </c>
      <c r="C140" s="50" t="s">
        <v>332</v>
      </c>
      <c r="D140" s="51">
        <v>20</v>
      </c>
      <c r="E140" s="51">
        <v>70766</v>
      </c>
      <c r="F140" s="52">
        <v>11616.9</v>
      </c>
      <c r="G140" s="53">
        <v>16.415934</v>
      </c>
    </row>
    <row r="141" spans="1:7">
      <c r="A141" s="50" t="s">
        <v>338</v>
      </c>
      <c r="B141" s="50" t="s">
        <v>16</v>
      </c>
      <c r="C141" s="50" t="s">
        <v>332</v>
      </c>
      <c r="D141" s="51">
        <v>216</v>
      </c>
      <c r="E141" s="51">
        <v>3203</v>
      </c>
      <c r="F141" s="52">
        <v>509.1</v>
      </c>
      <c r="G141" s="53">
        <v>15.894474000000001</v>
      </c>
    </row>
    <row r="142" spans="1:7">
      <c r="A142" s="50" t="s">
        <v>1821</v>
      </c>
      <c r="B142" s="50" t="s">
        <v>16</v>
      </c>
      <c r="C142" s="50" t="s">
        <v>332</v>
      </c>
      <c r="D142" s="51">
        <v>2</v>
      </c>
      <c r="E142" s="51">
        <v>58625</v>
      </c>
      <c r="F142" s="52">
        <v>4607.3</v>
      </c>
      <c r="G142" s="53">
        <v>7.8589339000000002</v>
      </c>
    </row>
    <row r="143" spans="1:7">
      <c r="A143" s="50" t="s">
        <v>376</v>
      </c>
      <c r="B143" s="50" t="s">
        <v>16</v>
      </c>
      <c r="C143" s="50" t="s">
        <v>325</v>
      </c>
      <c r="D143" s="51">
        <v>157889</v>
      </c>
      <c r="E143" s="51">
        <v>3492394</v>
      </c>
      <c r="F143" s="52">
        <v>434111</v>
      </c>
      <c r="G143" s="53">
        <v>12.430184000000001</v>
      </c>
    </row>
    <row r="144" spans="1:7">
      <c r="A144" s="50" t="s">
        <v>377</v>
      </c>
      <c r="B144" s="50" t="s">
        <v>16</v>
      </c>
      <c r="C144" s="50" t="s">
        <v>325</v>
      </c>
      <c r="D144" s="51">
        <v>1</v>
      </c>
      <c r="E144" s="51">
        <v>240148</v>
      </c>
      <c r="F144" s="52">
        <v>1834</v>
      </c>
      <c r="G144" s="53">
        <v>0.76369569999999998</v>
      </c>
    </row>
    <row r="145" spans="1:7">
      <c r="A145" s="50" t="s">
        <v>378</v>
      </c>
      <c r="B145" s="50" t="s">
        <v>16</v>
      </c>
      <c r="C145" s="50" t="s">
        <v>237</v>
      </c>
      <c r="D145" s="51">
        <v>50210</v>
      </c>
      <c r="E145" s="51">
        <v>554358</v>
      </c>
      <c r="F145" s="52">
        <v>79224.399999999994</v>
      </c>
      <c r="G145" s="53">
        <v>14.291198</v>
      </c>
    </row>
    <row r="146" spans="1:7">
      <c r="A146" s="50" t="s">
        <v>339</v>
      </c>
      <c r="B146" s="50" t="s">
        <v>16</v>
      </c>
      <c r="C146" s="50" t="s">
        <v>332</v>
      </c>
      <c r="D146" s="51">
        <v>156</v>
      </c>
      <c r="E146" s="51">
        <v>54057</v>
      </c>
      <c r="F146" s="52">
        <v>8907.7000000000007</v>
      </c>
      <c r="G146" s="53">
        <v>16.478346999999999</v>
      </c>
    </row>
    <row r="147" spans="1:7">
      <c r="A147" s="50" t="s">
        <v>379</v>
      </c>
      <c r="B147" s="50" t="s">
        <v>16</v>
      </c>
      <c r="C147" s="50" t="s">
        <v>242</v>
      </c>
      <c r="D147" s="51">
        <v>1452907</v>
      </c>
      <c r="E147" s="51">
        <v>20960389</v>
      </c>
      <c r="F147" s="52">
        <v>4086338.3</v>
      </c>
      <c r="G147" s="53">
        <v>19.495526999999999</v>
      </c>
    </row>
    <row r="148" spans="1:7">
      <c r="A148" s="50" t="s">
        <v>380</v>
      </c>
      <c r="B148" s="50" t="s">
        <v>16</v>
      </c>
      <c r="C148" s="50" t="s">
        <v>325</v>
      </c>
      <c r="D148" s="51">
        <v>10814</v>
      </c>
      <c r="E148" s="51">
        <v>515863</v>
      </c>
      <c r="F148" s="52">
        <v>65800.3</v>
      </c>
      <c r="G148" s="53">
        <v>12.755383</v>
      </c>
    </row>
    <row r="149" spans="1:7">
      <c r="A149" s="50" t="s">
        <v>381</v>
      </c>
      <c r="B149" s="50" t="s">
        <v>16</v>
      </c>
      <c r="C149" s="50" t="s">
        <v>325</v>
      </c>
      <c r="D149" s="51">
        <v>129911</v>
      </c>
      <c r="E149" s="51">
        <v>2588108</v>
      </c>
      <c r="F149" s="52">
        <v>371982.5</v>
      </c>
      <c r="G149" s="53">
        <v>14.372757999999999</v>
      </c>
    </row>
    <row r="150" spans="1:7">
      <c r="A150" s="50" t="s">
        <v>382</v>
      </c>
      <c r="B150" s="50" t="s">
        <v>16</v>
      </c>
      <c r="C150" s="50" t="s">
        <v>237</v>
      </c>
      <c r="D150" s="51">
        <v>45679</v>
      </c>
      <c r="E150" s="51">
        <v>758823</v>
      </c>
      <c r="F150" s="52">
        <v>91774.399999999994</v>
      </c>
      <c r="G150" s="53">
        <v>12.094309000000001</v>
      </c>
    </row>
    <row r="151" spans="1:7">
      <c r="A151" s="50" t="s">
        <v>383</v>
      </c>
      <c r="B151" s="50" t="s">
        <v>16</v>
      </c>
      <c r="C151" s="50" t="s">
        <v>237</v>
      </c>
      <c r="D151" s="51">
        <v>2463331</v>
      </c>
      <c r="E151" s="51">
        <v>36233951</v>
      </c>
      <c r="F151" s="52">
        <v>8351402</v>
      </c>
      <c r="G151" s="53">
        <v>23.048555</v>
      </c>
    </row>
    <row r="152" spans="1:7">
      <c r="A152" s="50" t="s">
        <v>385</v>
      </c>
      <c r="B152" s="50" t="s">
        <v>16</v>
      </c>
      <c r="C152" s="50" t="s">
        <v>325</v>
      </c>
      <c r="D152" s="51">
        <v>638769</v>
      </c>
      <c r="E152" s="51">
        <v>10415276</v>
      </c>
      <c r="F152" s="52">
        <v>1474886.7</v>
      </c>
      <c r="G152" s="53">
        <v>14.160803</v>
      </c>
    </row>
    <row r="153" spans="1:7">
      <c r="A153" s="50" t="s">
        <v>386</v>
      </c>
      <c r="B153" s="50" t="s">
        <v>16</v>
      </c>
      <c r="C153" s="50" t="s">
        <v>237</v>
      </c>
      <c r="D153" s="51">
        <v>1464831</v>
      </c>
      <c r="E153" s="51">
        <v>14398115</v>
      </c>
      <c r="F153" s="52">
        <v>3460841.4</v>
      </c>
      <c r="G153" s="53">
        <v>24.036767000000001</v>
      </c>
    </row>
    <row r="154" spans="1:7">
      <c r="A154" s="50" t="s">
        <v>343</v>
      </c>
      <c r="B154" s="50" t="s">
        <v>16</v>
      </c>
      <c r="C154" s="50" t="s">
        <v>332</v>
      </c>
      <c r="D154" s="51">
        <v>152880</v>
      </c>
      <c r="E154" s="51">
        <v>1326512</v>
      </c>
      <c r="F154" s="52">
        <v>220895.9</v>
      </c>
      <c r="G154" s="53">
        <v>16.652386</v>
      </c>
    </row>
    <row r="155" spans="1:7">
      <c r="A155" s="50" t="s">
        <v>387</v>
      </c>
      <c r="B155" s="50" t="s">
        <v>16</v>
      </c>
      <c r="C155" s="50" t="s">
        <v>237</v>
      </c>
      <c r="D155" s="51">
        <v>3921820</v>
      </c>
      <c r="E155" s="51">
        <v>58845770</v>
      </c>
      <c r="F155" s="52">
        <v>9504361</v>
      </c>
      <c r="G155" s="53">
        <v>16.151306999999999</v>
      </c>
    </row>
    <row r="156" spans="1:7">
      <c r="A156" s="50" t="s">
        <v>344</v>
      </c>
      <c r="B156" s="50" t="s">
        <v>16</v>
      </c>
      <c r="C156" s="50" t="s">
        <v>332</v>
      </c>
      <c r="D156" s="51">
        <v>16819</v>
      </c>
      <c r="E156" s="51">
        <v>138034</v>
      </c>
      <c r="F156" s="52">
        <v>27126</v>
      </c>
      <c r="G156" s="53">
        <v>19.651679999999999</v>
      </c>
    </row>
    <row r="157" spans="1:7">
      <c r="A157" s="50" t="s">
        <v>348</v>
      </c>
      <c r="B157" s="50" t="s">
        <v>16</v>
      </c>
      <c r="C157" s="50" t="s">
        <v>332</v>
      </c>
      <c r="D157" s="51">
        <v>49132</v>
      </c>
      <c r="E157" s="51">
        <v>442615</v>
      </c>
      <c r="F157" s="52">
        <v>77431</v>
      </c>
      <c r="G157" s="53">
        <v>17.493984999999999</v>
      </c>
    </row>
    <row r="158" spans="1:7">
      <c r="A158" s="50" t="s">
        <v>349</v>
      </c>
      <c r="B158" s="50" t="s">
        <v>16</v>
      </c>
      <c r="C158" s="50" t="s">
        <v>332</v>
      </c>
      <c r="D158" s="51">
        <v>18976</v>
      </c>
      <c r="E158" s="51">
        <v>156439</v>
      </c>
      <c r="F158" s="52">
        <v>34195</v>
      </c>
      <c r="G158" s="53">
        <v>21.858360000000001</v>
      </c>
    </row>
    <row r="159" spans="1:7">
      <c r="A159" s="50" t="s">
        <v>350</v>
      </c>
      <c r="B159" s="50" t="s">
        <v>16</v>
      </c>
      <c r="C159" s="50" t="s">
        <v>332</v>
      </c>
      <c r="D159" s="51">
        <v>113982</v>
      </c>
      <c r="E159" s="51">
        <v>868281</v>
      </c>
      <c r="F159" s="52">
        <v>198608.7</v>
      </c>
      <c r="G159" s="53">
        <v>22.873781999999999</v>
      </c>
    </row>
    <row r="160" spans="1:7">
      <c r="A160" s="50" t="s">
        <v>388</v>
      </c>
      <c r="B160" s="50" t="s">
        <v>16</v>
      </c>
      <c r="C160" s="50" t="s">
        <v>240</v>
      </c>
      <c r="D160" s="51">
        <v>4346</v>
      </c>
      <c r="E160" s="51">
        <v>112990</v>
      </c>
      <c r="F160" s="52">
        <v>10385.700000000001</v>
      </c>
      <c r="G160" s="53">
        <v>9.1916983999999999</v>
      </c>
    </row>
    <row r="161" spans="1:7">
      <c r="A161" s="50" t="s">
        <v>351</v>
      </c>
      <c r="B161" s="50" t="s">
        <v>16</v>
      </c>
      <c r="C161" s="50" t="s">
        <v>332</v>
      </c>
      <c r="D161" s="51">
        <v>82</v>
      </c>
      <c r="E161" s="51">
        <v>34402</v>
      </c>
      <c r="F161" s="52">
        <v>5571.6</v>
      </c>
      <c r="G161" s="53">
        <v>16.19557</v>
      </c>
    </row>
    <row r="162" spans="1:7">
      <c r="A162" s="50" t="s">
        <v>389</v>
      </c>
      <c r="B162" s="50" t="s">
        <v>16</v>
      </c>
      <c r="C162" s="50" t="s">
        <v>325</v>
      </c>
      <c r="D162" s="51">
        <v>103980</v>
      </c>
      <c r="E162" s="51">
        <v>2163508</v>
      </c>
      <c r="F162" s="52">
        <v>300974</v>
      </c>
      <c r="G162" s="53">
        <v>13.911388000000001</v>
      </c>
    </row>
    <row r="163" spans="1:7">
      <c r="A163" s="50" t="s">
        <v>390</v>
      </c>
      <c r="B163" s="50" t="s">
        <v>16</v>
      </c>
      <c r="C163" s="50" t="s">
        <v>240</v>
      </c>
      <c r="D163" s="51">
        <v>44</v>
      </c>
      <c r="E163" s="51">
        <v>10019</v>
      </c>
      <c r="F163" s="52">
        <v>994.1</v>
      </c>
      <c r="G163" s="53">
        <v>9.9221479000000006</v>
      </c>
    </row>
    <row r="164" spans="1:7">
      <c r="A164" s="50" t="s">
        <v>356</v>
      </c>
      <c r="B164" s="50" t="s">
        <v>16</v>
      </c>
      <c r="C164" s="50" t="s">
        <v>332</v>
      </c>
      <c r="D164" s="51">
        <v>81166</v>
      </c>
      <c r="E164" s="51">
        <v>472760</v>
      </c>
      <c r="F164" s="52">
        <v>81821.399999999994</v>
      </c>
      <c r="G164" s="53">
        <v>17.307175000000001</v>
      </c>
    </row>
    <row r="165" spans="1:7">
      <c r="A165" s="50" t="s">
        <v>357</v>
      </c>
      <c r="B165" s="50" t="s">
        <v>16</v>
      </c>
      <c r="C165" s="50" t="s">
        <v>295</v>
      </c>
      <c r="D165" s="51">
        <v>94</v>
      </c>
      <c r="E165" s="51">
        <v>3315964</v>
      </c>
      <c r="F165" s="52">
        <v>90851.1</v>
      </c>
      <c r="G165" s="53">
        <v>2.7398096000000001</v>
      </c>
    </row>
    <row r="166" spans="1:7">
      <c r="A166" s="50" t="s">
        <v>1824</v>
      </c>
      <c r="B166" s="50" t="s">
        <v>19</v>
      </c>
      <c r="C166" s="50" t="s">
        <v>237</v>
      </c>
      <c r="D166" s="51">
        <v>98407</v>
      </c>
      <c r="E166" s="51">
        <v>1911627</v>
      </c>
      <c r="F166" s="52">
        <v>241191</v>
      </c>
      <c r="G166" s="53">
        <v>12.617053</v>
      </c>
    </row>
    <row r="167" spans="1:7">
      <c r="A167" s="50" t="s">
        <v>391</v>
      </c>
      <c r="B167" s="50" t="s">
        <v>19</v>
      </c>
      <c r="C167" s="50" t="s">
        <v>242</v>
      </c>
      <c r="D167" s="51">
        <v>239446</v>
      </c>
      <c r="E167" s="51">
        <v>4639120</v>
      </c>
      <c r="F167" s="52">
        <v>428332.5</v>
      </c>
      <c r="G167" s="53">
        <v>9.2330550000000002</v>
      </c>
    </row>
    <row r="168" spans="1:7">
      <c r="A168" s="50" t="s">
        <v>392</v>
      </c>
      <c r="B168" s="50" t="s">
        <v>19</v>
      </c>
      <c r="C168" s="50" t="s">
        <v>242</v>
      </c>
      <c r="D168" s="51">
        <v>76821</v>
      </c>
      <c r="E168" s="51">
        <v>1457336</v>
      </c>
      <c r="F168" s="52">
        <v>139243</v>
      </c>
      <c r="G168" s="53">
        <v>9.5546257000000008</v>
      </c>
    </row>
    <row r="169" spans="1:7">
      <c r="A169" s="50" t="s">
        <v>393</v>
      </c>
      <c r="B169" s="50" t="s">
        <v>19</v>
      </c>
      <c r="C169" s="50" t="s">
        <v>242</v>
      </c>
      <c r="D169" s="51">
        <v>6076</v>
      </c>
      <c r="E169" s="51">
        <v>257964</v>
      </c>
      <c r="F169" s="52">
        <v>19575.900000000001</v>
      </c>
      <c r="G169" s="53">
        <v>7.5886170000000002</v>
      </c>
    </row>
    <row r="170" spans="1:7">
      <c r="A170" s="50" t="s">
        <v>394</v>
      </c>
      <c r="B170" s="50" t="s">
        <v>19</v>
      </c>
      <c r="C170" s="50" t="s">
        <v>242</v>
      </c>
      <c r="D170" s="51">
        <v>17628</v>
      </c>
      <c r="E170" s="51">
        <v>227161</v>
      </c>
      <c r="F170" s="52">
        <v>20090</v>
      </c>
      <c r="G170" s="53">
        <v>8.8439476999999993</v>
      </c>
    </row>
    <row r="171" spans="1:7">
      <c r="A171" s="50" t="s">
        <v>395</v>
      </c>
      <c r="B171" s="50" t="s">
        <v>19</v>
      </c>
      <c r="C171" s="50" t="s">
        <v>242</v>
      </c>
      <c r="D171" s="51">
        <v>42047</v>
      </c>
      <c r="E171" s="51">
        <v>808133</v>
      </c>
      <c r="F171" s="52">
        <v>72938.100000000006</v>
      </c>
      <c r="G171" s="53">
        <v>9.0255068999999999</v>
      </c>
    </row>
    <row r="172" spans="1:7">
      <c r="A172" s="50" t="s">
        <v>396</v>
      </c>
      <c r="B172" s="50" t="s">
        <v>19</v>
      </c>
      <c r="C172" s="50" t="s">
        <v>242</v>
      </c>
      <c r="D172" s="51">
        <v>38282</v>
      </c>
      <c r="E172" s="51">
        <v>685364</v>
      </c>
      <c r="F172" s="52">
        <v>69718</v>
      </c>
      <c r="G172" s="53">
        <v>10.172404999999999</v>
      </c>
    </row>
    <row r="173" spans="1:7">
      <c r="A173" s="50" t="s">
        <v>397</v>
      </c>
      <c r="B173" s="50" t="s">
        <v>19</v>
      </c>
      <c r="C173" s="50" t="s">
        <v>240</v>
      </c>
      <c r="D173" s="51">
        <v>34656</v>
      </c>
      <c r="E173" s="51">
        <v>518637</v>
      </c>
      <c r="F173" s="52">
        <v>67085.899999999994</v>
      </c>
      <c r="G173" s="53">
        <v>12.935039</v>
      </c>
    </row>
    <row r="174" spans="1:7">
      <c r="A174" s="50" t="s">
        <v>398</v>
      </c>
      <c r="B174" s="50" t="s">
        <v>19</v>
      </c>
      <c r="C174" s="50" t="s">
        <v>240</v>
      </c>
      <c r="D174" s="51">
        <v>15236</v>
      </c>
      <c r="E174" s="51">
        <v>575715</v>
      </c>
      <c r="F174" s="52">
        <v>55802</v>
      </c>
      <c r="G174" s="53">
        <v>9.6926430999999997</v>
      </c>
    </row>
    <row r="175" spans="1:7">
      <c r="A175" s="50" t="s">
        <v>399</v>
      </c>
      <c r="B175" s="50" t="s">
        <v>19</v>
      </c>
      <c r="C175" s="50" t="s">
        <v>240</v>
      </c>
      <c r="D175" s="51">
        <v>18295</v>
      </c>
      <c r="E175" s="51">
        <v>260359</v>
      </c>
      <c r="F175" s="52">
        <v>33514</v>
      </c>
      <c r="G175" s="53">
        <v>12.872226</v>
      </c>
    </row>
    <row r="176" spans="1:7">
      <c r="A176" s="50" t="s">
        <v>338</v>
      </c>
      <c r="B176" s="50" t="s">
        <v>19</v>
      </c>
      <c r="C176" s="50" t="s">
        <v>332</v>
      </c>
      <c r="D176" s="51">
        <v>93</v>
      </c>
      <c r="E176" s="51">
        <v>4433</v>
      </c>
      <c r="F176" s="52">
        <v>230.3</v>
      </c>
      <c r="G176" s="53">
        <v>5.1951274999999999</v>
      </c>
    </row>
    <row r="177" spans="1:7">
      <c r="A177" s="50" t="s">
        <v>400</v>
      </c>
      <c r="B177" s="50" t="s">
        <v>19</v>
      </c>
      <c r="C177" s="50" t="s">
        <v>240</v>
      </c>
      <c r="D177" s="51">
        <v>1009</v>
      </c>
      <c r="E177" s="51">
        <v>114324</v>
      </c>
      <c r="F177" s="52">
        <v>13472</v>
      </c>
      <c r="G177" s="53">
        <v>11.784052000000001</v>
      </c>
    </row>
    <row r="178" spans="1:7">
      <c r="A178" s="50" t="s">
        <v>401</v>
      </c>
      <c r="B178" s="50" t="s">
        <v>19</v>
      </c>
      <c r="C178" s="50" t="s">
        <v>240</v>
      </c>
      <c r="D178" s="51">
        <v>8403</v>
      </c>
      <c r="E178" s="51">
        <v>380858</v>
      </c>
      <c r="F178" s="52">
        <v>42969.599999999999</v>
      </c>
      <c r="G178" s="53">
        <v>11.282315000000001</v>
      </c>
    </row>
    <row r="179" spans="1:7">
      <c r="A179" s="50" t="s">
        <v>402</v>
      </c>
      <c r="B179" s="50" t="s">
        <v>19</v>
      </c>
      <c r="C179" s="50" t="s">
        <v>240</v>
      </c>
      <c r="D179" s="51">
        <v>58570</v>
      </c>
      <c r="E179" s="51">
        <v>1205645</v>
      </c>
      <c r="F179" s="52">
        <v>130815.5</v>
      </c>
      <c r="G179" s="53">
        <v>10.850250000000001</v>
      </c>
    </row>
    <row r="180" spans="1:7">
      <c r="A180" s="50" t="s">
        <v>403</v>
      </c>
      <c r="B180" s="50" t="s">
        <v>19</v>
      </c>
      <c r="C180" s="50" t="s">
        <v>240</v>
      </c>
      <c r="D180" s="51">
        <v>165422</v>
      </c>
      <c r="E180" s="51">
        <v>2508998</v>
      </c>
      <c r="F180" s="52">
        <v>307832</v>
      </c>
      <c r="G180" s="53">
        <v>12.269121</v>
      </c>
    </row>
    <row r="181" spans="1:7">
      <c r="A181" s="50" t="s">
        <v>404</v>
      </c>
      <c r="B181" s="50" t="s">
        <v>19</v>
      </c>
      <c r="C181" s="50" t="s">
        <v>240</v>
      </c>
      <c r="D181" s="51">
        <v>6570</v>
      </c>
      <c r="E181" s="51">
        <v>226164</v>
      </c>
      <c r="F181" s="52">
        <v>26824</v>
      </c>
      <c r="G181" s="53">
        <v>11.86042</v>
      </c>
    </row>
    <row r="182" spans="1:7">
      <c r="A182" s="50" t="s">
        <v>405</v>
      </c>
      <c r="B182" s="50" t="s">
        <v>19</v>
      </c>
      <c r="C182" s="50" t="s">
        <v>240</v>
      </c>
      <c r="D182" s="51">
        <v>44831</v>
      </c>
      <c r="E182" s="51">
        <v>907682</v>
      </c>
      <c r="F182" s="52">
        <v>104333</v>
      </c>
      <c r="G182" s="53">
        <v>11.494444</v>
      </c>
    </row>
    <row r="183" spans="1:7">
      <c r="A183" s="50" t="s">
        <v>339</v>
      </c>
      <c r="B183" s="50" t="s">
        <v>19</v>
      </c>
      <c r="C183" s="50" t="s">
        <v>332</v>
      </c>
      <c r="D183" s="51">
        <v>16</v>
      </c>
      <c r="E183" s="51">
        <v>6865</v>
      </c>
      <c r="F183" s="52">
        <v>477.8</v>
      </c>
      <c r="G183" s="53">
        <v>6.9599416999999999</v>
      </c>
    </row>
    <row r="184" spans="1:7">
      <c r="A184" s="50" t="s">
        <v>406</v>
      </c>
      <c r="B184" s="50" t="s">
        <v>19</v>
      </c>
      <c r="C184" s="50" t="s">
        <v>240</v>
      </c>
      <c r="D184" s="51">
        <v>2259</v>
      </c>
      <c r="E184" s="51">
        <v>507341</v>
      </c>
      <c r="F184" s="52">
        <v>34961.5</v>
      </c>
      <c r="G184" s="53">
        <v>6.8911245000000001</v>
      </c>
    </row>
    <row r="185" spans="1:7">
      <c r="A185" s="50" t="s">
        <v>407</v>
      </c>
      <c r="B185" s="50" t="s">
        <v>19</v>
      </c>
      <c r="C185" s="50" t="s">
        <v>240</v>
      </c>
      <c r="D185" s="51">
        <v>8801</v>
      </c>
      <c r="E185" s="51">
        <v>372911</v>
      </c>
      <c r="F185" s="52">
        <v>43535.7</v>
      </c>
      <c r="G185" s="53">
        <v>11.674555</v>
      </c>
    </row>
    <row r="186" spans="1:7">
      <c r="A186" s="50" t="s">
        <v>408</v>
      </c>
      <c r="B186" s="50" t="s">
        <v>19</v>
      </c>
      <c r="C186" s="50" t="s">
        <v>240</v>
      </c>
      <c r="D186" s="51">
        <v>21150</v>
      </c>
      <c r="E186" s="51">
        <v>295341</v>
      </c>
      <c r="F186" s="52">
        <v>38272.699999999997</v>
      </c>
      <c r="G186" s="53">
        <v>12.958817</v>
      </c>
    </row>
    <row r="187" spans="1:7">
      <c r="A187" s="50" t="s">
        <v>409</v>
      </c>
      <c r="B187" s="50" t="s">
        <v>19</v>
      </c>
      <c r="C187" s="50" t="s">
        <v>240</v>
      </c>
      <c r="D187" s="51">
        <v>56491</v>
      </c>
      <c r="E187" s="51">
        <v>911481</v>
      </c>
      <c r="F187" s="52">
        <v>120025.9</v>
      </c>
      <c r="G187" s="53">
        <v>13.168227999999999</v>
      </c>
    </row>
    <row r="188" spans="1:7">
      <c r="A188" s="50" t="s">
        <v>410</v>
      </c>
      <c r="B188" s="50" t="s">
        <v>19</v>
      </c>
      <c r="C188" s="50" t="s">
        <v>240</v>
      </c>
      <c r="D188" s="51">
        <v>45869</v>
      </c>
      <c r="E188" s="51">
        <v>1344270</v>
      </c>
      <c r="F188" s="52">
        <v>133995</v>
      </c>
      <c r="G188" s="53">
        <v>9.9678635999999994</v>
      </c>
    </row>
    <row r="189" spans="1:7">
      <c r="A189" s="50" t="s">
        <v>411</v>
      </c>
      <c r="B189" s="50" t="s">
        <v>19</v>
      </c>
      <c r="C189" s="50" t="s">
        <v>237</v>
      </c>
      <c r="D189" s="51">
        <v>1517920</v>
      </c>
      <c r="E189" s="51">
        <v>28847908</v>
      </c>
      <c r="F189" s="52">
        <v>2803598.8</v>
      </c>
      <c r="G189" s="53">
        <v>9.7185515000000002</v>
      </c>
    </row>
    <row r="190" spans="1:7">
      <c r="A190" s="50" t="s">
        <v>412</v>
      </c>
      <c r="B190" s="50" t="s">
        <v>19</v>
      </c>
      <c r="C190" s="50" t="s">
        <v>240</v>
      </c>
      <c r="D190" s="51">
        <v>24748</v>
      </c>
      <c r="E190" s="51">
        <v>424985</v>
      </c>
      <c r="F190" s="52">
        <v>55604.7</v>
      </c>
      <c r="G190" s="53">
        <v>13.083921</v>
      </c>
    </row>
    <row r="191" spans="1:7">
      <c r="A191" s="50" t="s">
        <v>413</v>
      </c>
      <c r="B191" s="50" t="s">
        <v>19</v>
      </c>
      <c r="C191" s="50" t="s">
        <v>240</v>
      </c>
      <c r="D191" s="51">
        <v>12765</v>
      </c>
      <c r="E191" s="51">
        <v>229733</v>
      </c>
      <c r="F191" s="52">
        <v>35463</v>
      </c>
      <c r="G191" s="53">
        <v>15.436616000000001</v>
      </c>
    </row>
    <row r="192" spans="1:7">
      <c r="A192" s="50" t="s">
        <v>414</v>
      </c>
      <c r="B192" s="50" t="s">
        <v>19</v>
      </c>
      <c r="C192" s="50" t="s">
        <v>240</v>
      </c>
      <c r="D192" s="51">
        <v>13972</v>
      </c>
      <c r="E192" s="51">
        <v>197786</v>
      </c>
      <c r="F192" s="52">
        <v>29245.7</v>
      </c>
      <c r="G192" s="53">
        <v>14.786536999999999</v>
      </c>
    </row>
    <row r="193" spans="1:7">
      <c r="A193" s="50" t="s">
        <v>343</v>
      </c>
      <c r="B193" s="50" t="s">
        <v>19</v>
      </c>
      <c r="C193" s="50" t="s">
        <v>332</v>
      </c>
      <c r="D193" s="51">
        <v>13905</v>
      </c>
      <c r="E193" s="51">
        <v>103066</v>
      </c>
      <c r="F193" s="52">
        <v>11411.9</v>
      </c>
      <c r="G193" s="53">
        <v>11.072419999999999</v>
      </c>
    </row>
    <row r="194" spans="1:7">
      <c r="A194" s="50" t="s">
        <v>415</v>
      </c>
      <c r="B194" s="50" t="s">
        <v>19</v>
      </c>
      <c r="C194" s="50" t="s">
        <v>240</v>
      </c>
      <c r="D194" s="51">
        <v>10565</v>
      </c>
      <c r="E194" s="51">
        <v>237674</v>
      </c>
      <c r="F194" s="52">
        <v>32875.199999999997</v>
      </c>
      <c r="G194" s="53">
        <v>13.832056</v>
      </c>
    </row>
    <row r="195" spans="1:7">
      <c r="A195" s="50" t="s">
        <v>416</v>
      </c>
      <c r="B195" s="50" t="s">
        <v>19</v>
      </c>
      <c r="C195" s="50" t="s">
        <v>240</v>
      </c>
      <c r="D195" s="51">
        <v>7</v>
      </c>
      <c r="E195" s="51">
        <v>106</v>
      </c>
      <c r="F195" s="52">
        <v>19.600000000000001</v>
      </c>
      <c r="G195" s="53">
        <v>18.490566000000001</v>
      </c>
    </row>
    <row r="196" spans="1:7">
      <c r="A196" s="50" t="s">
        <v>344</v>
      </c>
      <c r="B196" s="50" t="s">
        <v>19</v>
      </c>
      <c r="C196" s="50" t="s">
        <v>332</v>
      </c>
      <c r="D196" s="51">
        <v>869</v>
      </c>
      <c r="E196" s="51">
        <v>7783</v>
      </c>
      <c r="F196" s="52">
        <v>739</v>
      </c>
      <c r="G196" s="53">
        <v>9.4950533000000004</v>
      </c>
    </row>
    <row r="197" spans="1:7">
      <c r="A197" s="50" t="s">
        <v>348</v>
      </c>
      <c r="B197" s="50" t="s">
        <v>19</v>
      </c>
      <c r="C197" s="50" t="s">
        <v>332</v>
      </c>
      <c r="D197" s="51">
        <v>1136</v>
      </c>
      <c r="E197" s="51">
        <v>10492</v>
      </c>
      <c r="F197" s="52">
        <v>822.8</v>
      </c>
      <c r="G197" s="53">
        <v>7.8421655000000001</v>
      </c>
    </row>
    <row r="198" spans="1:7">
      <c r="A198" s="50" t="s">
        <v>349</v>
      </c>
      <c r="B198" s="50" t="s">
        <v>19</v>
      </c>
      <c r="C198" s="50" t="s">
        <v>332</v>
      </c>
      <c r="D198" s="51">
        <v>29</v>
      </c>
      <c r="E198" s="51">
        <v>140</v>
      </c>
      <c r="F198" s="52">
        <v>13.1</v>
      </c>
      <c r="G198" s="53">
        <v>9.3571428999999995</v>
      </c>
    </row>
    <row r="199" spans="1:7">
      <c r="A199" s="50" t="s">
        <v>350</v>
      </c>
      <c r="B199" s="50" t="s">
        <v>19</v>
      </c>
      <c r="C199" s="50" t="s">
        <v>332</v>
      </c>
      <c r="D199" s="51">
        <v>4795</v>
      </c>
      <c r="E199" s="51">
        <v>37519</v>
      </c>
      <c r="F199" s="52">
        <v>5203</v>
      </c>
      <c r="G199" s="53">
        <v>13.86764</v>
      </c>
    </row>
    <row r="200" spans="1:7">
      <c r="A200" s="50" t="s">
        <v>351</v>
      </c>
      <c r="B200" s="50" t="s">
        <v>19</v>
      </c>
      <c r="C200" s="50" t="s">
        <v>332</v>
      </c>
      <c r="D200" s="51">
        <v>13</v>
      </c>
      <c r="E200" s="51">
        <v>1479</v>
      </c>
      <c r="F200" s="52">
        <v>77.099999999999994</v>
      </c>
      <c r="G200" s="53">
        <v>5.2129817000000003</v>
      </c>
    </row>
    <row r="201" spans="1:7">
      <c r="A201" s="50" t="s">
        <v>1825</v>
      </c>
      <c r="B201" s="50" t="s">
        <v>19</v>
      </c>
      <c r="C201" s="50" t="s">
        <v>240</v>
      </c>
      <c r="D201" s="51">
        <v>48</v>
      </c>
      <c r="E201" s="51">
        <v>170</v>
      </c>
      <c r="F201" s="52">
        <v>34.1</v>
      </c>
      <c r="G201" s="53">
        <v>20.058824000000001</v>
      </c>
    </row>
    <row r="202" spans="1:7">
      <c r="A202" s="50" t="s">
        <v>417</v>
      </c>
      <c r="B202" s="50" t="s">
        <v>19</v>
      </c>
      <c r="C202" s="50" t="s">
        <v>240</v>
      </c>
      <c r="D202" s="51">
        <v>95616</v>
      </c>
      <c r="E202" s="51">
        <v>2871674</v>
      </c>
      <c r="F202" s="52">
        <v>299593.90000000002</v>
      </c>
      <c r="G202" s="53">
        <v>10.432727</v>
      </c>
    </row>
    <row r="203" spans="1:7">
      <c r="A203" s="50" t="s">
        <v>356</v>
      </c>
      <c r="B203" s="50" t="s">
        <v>19</v>
      </c>
      <c r="C203" s="50" t="s">
        <v>332</v>
      </c>
      <c r="D203" s="51">
        <v>54</v>
      </c>
      <c r="E203" s="51">
        <v>220</v>
      </c>
      <c r="F203" s="52">
        <v>21.1</v>
      </c>
      <c r="G203" s="53">
        <v>9.5909090999999993</v>
      </c>
    </row>
    <row r="204" spans="1:7">
      <c r="A204" s="50" t="s">
        <v>357</v>
      </c>
      <c r="B204" s="50" t="s">
        <v>19</v>
      </c>
      <c r="C204" s="50" t="s">
        <v>295</v>
      </c>
      <c r="D204" s="51">
        <v>10</v>
      </c>
      <c r="E204" s="51">
        <v>72671</v>
      </c>
      <c r="F204" s="52">
        <v>1864.2</v>
      </c>
      <c r="G204" s="53">
        <v>2.5652599</v>
      </c>
    </row>
    <row r="205" spans="1:7">
      <c r="A205" s="50" t="s">
        <v>418</v>
      </c>
      <c r="B205" s="50" t="s">
        <v>19</v>
      </c>
      <c r="C205" s="50" t="s">
        <v>240</v>
      </c>
      <c r="D205" s="51">
        <v>62</v>
      </c>
      <c r="E205" s="51">
        <v>1582</v>
      </c>
      <c r="F205" s="52">
        <v>199.5</v>
      </c>
      <c r="G205" s="53">
        <v>12.610619</v>
      </c>
    </row>
    <row r="206" spans="1:7">
      <c r="A206" s="50" t="s">
        <v>419</v>
      </c>
      <c r="B206" s="50" t="s">
        <v>19</v>
      </c>
      <c r="C206" s="50" t="s">
        <v>240</v>
      </c>
      <c r="D206" s="51">
        <v>3408</v>
      </c>
      <c r="E206" s="51">
        <v>763847</v>
      </c>
      <c r="F206" s="52">
        <v>57436.4</v>
      </c>
      <c r="G206" s="53">
        <v>7.5193592000000002</v>
      </c>
    </row>
    <row r="207" spans="1:7">
      <c r="A207" s="50" t="s">
        <v>420</v>
      </c>
      <c r="B207" s="50" t="s">
        <v>19</v>
      </c>
      <c r="C207" s="50" t="s">
        <v>240</v>
      </c>
      <c r="D207" s="51">
        <v>8382</v>
      </c>
      <c r="E207" s="51">
        <v>346789</v>
      </c>
      <c r="F207" s="52">
        <v>43049</v>
      </c>
      <c r="G207" s="53">
        <v>12.413600000000001</v>
      </c>
    </row>
    <row r="208" spans="1:7">
      <c r="A208" s="50" t="s">
        <v>421</v>
      </c>
      <c r="B208" s="50" t="s">
        <v>19</v>
      </c>
      <c r="C208" s="50" t="s">
        <v>240</v>
      </c>
      <c r="D208" s="51">
        <v>26816</v>
      </c>
      <c r="E208" s="51">
        <v>522714</v>
      </c>
      <c r="F208" s="52">
        <v>58078.3</v>
      </c>
      <c r="G208" s="53">
        <v>11.110913</v>
      </c>
    </row>
    <row r="209" spans="1:7">
      <c r="A209" s="50" t="s">
        <v>422</v>
      </c>
      <c r="B209" s="50" t="s">
        <v>21</v>
      </c>
      <c r="C209" s="50" t="s">
        <v>242</v>
      </c>
      <c r="D209" s="51">
        <v>2807</v>
      </c>
      <c r="E209" s="51">
        <v>215694</v>
      </c>
      <c r="F209" s="52">
        <v>17987.7</v>
      </c>
      <c r="G209" s="53">
        <v>8.3394531000000001</v>
      </c>
    </row>
    <row r="210" spans="1:7">
      <c r="A210" s="50" t="s">
        <v>423</v>
      </c>
      <c r="B210" s="50" t="s">
        <v>21</v>
      </c>
      <c r="C210" s="50" t="s">
        <v>242</v>
      </c>
      <c r="D210" s="51">
        <v>20564</v>
      </c>
      <c r="E210" s="51">
        <v>285100</v>
      </c>
      <c r="F210" s="52">
        <v>51047</v>
      </c>
      <c r="G210" s="53">
        <v>17.904945999999999</v>
      </c>
    </row>
    <row r="211" spans="1:7">
      <c r="A211" s="50" t="s">
        <v>424</v>
      </c>
      <c r="B211" s="50" t="s">
        <v>21</v>
      </c>
      <c r="C211" s="50" t="s">
        <v>237</v>
      </c>
      <c r="D211" s="51">
        <v>936524</v>
      </c>
      <c r="E211" s="51">
        <v>9933299</v>
      </c>
      <c r="F211" s="52">
        <v>1976916.4</v>
      </c>
      <c r="G211" s="53">
        <v>19.901911999999999</v>
      </c>
    </row>
    <row r="212" spans="1:7">
      <c r="A212" s="50" t="s">
        <v>331</v>
      </c>
      <c r="B212" s="50" t="s">
        <v>21</v>
      </c>
      <c r="C212" s="50" t="s">
        <v>332</v>
      </c>
      <c r="D212" s="51">
        <v>1</v>
      </c>
      <c r="E212" s="51">
        <v>575</v>
      </c>
      <c r="F212" s="52">
        <v>69</v>
      </c>
      <c r="G212" s="53">
        <v>12</v>
      </c>
    </row>
    <row r="213" spans="1:7">
      <c r="A213" s="50" t="s">
        <v>338</v>
      </c>
      <c r="B213" s="50" t="s">
        <v>21</v>
      </c>
      <c r="C213" s="50" t="s">
        <v>332</v>
      </c>
      <c r="D213" s="51">
        <v>102</v>
      </c>
      <c r="E213" s="51">
        <v>1370</v>
      </c>
      <c r="F213" s="52">
        <v>234.2</v>
      </c>
      <c r="G213" s="53">
        <v>17.094891000000001</v>
      </c>
    </row>
    <row r="214" spans="1:7">
      <c r="A214" s="50" t="s">
        <v>1821</v>
      </c>
      <c r="B214" s="50" t="s">
        <v>21</v>
      </c>
      <c r="C214" s="50" t="s">
        <v>332</v>
      </c>
      <c r="D214" s="51">
        <v>5</v>
      </c>
      <c r="E214" s="51">
        <v>31209</v>
      </c>
      <c r="F214" s="52">
        <v>2654.4</v>
      </c>
      <c r="G214" s="53">
        <v>8.5052389000000002</v>
      </c>
    </row>
    <row r="215" spans="1:7">
      <c r="A215" s="50" t="s">
        <v>425</v>
      </c>
      <c r="B215" s="50" t="s">
        <v>21</v>
      </c>
      <c r="C215" s="50" t="s">
        <v>242</v>
      </c>
      <c r="D215" s="51">
        <v>13840</v>
      </c>
      <c r="E215" s="51">
        <v>424481</v>
      </c>
      <c r="F215" s="52">
        <v>54446.6</v>
      </c>
      <c r="G215" s="53">
        <v>12.826627999999999</v>
      </c>
    </row>
    <row r="216" spans="1:7">
      <c r="A216" s="50" t="s">
        <v>339</v>
      </c>
      <c r="B216" s="50" t="s">
        <v>21</v>
      </c>
      <c r="C216" s="50" t="s">
        <v>332</v>
      </c>
      <c r="D216" s="51">
        <v>8</v>
      </c>
      <c r="E216" s="51">
        <v>1804</v>
      </c>
      <c r="F216" s="52">
        <v>240.7</v>
      </c>
      <c r="G216" s="53">
        <v>13.342572000000001</v>
      </c>
    </row>
    <row r="217" spans="1:7">
      <c r="A217" s="50" t="s">
        <v>343</v>
      </c>
      <c r="B217" s="50" t="s">
        <v>21</v>
      </c>
      <c r="C217" s="50" t="s">
        <v>332</v>
      </c>
      <c r="D217" s="51">
        <v>9307</v>
      </c>
      <c r="E217" s="51">
        <v>73156</v>
      </c>
      <c r="F217" s="52">
        <v>10707.6</v>
      </c>
      <c r="G217" s="53">
        <v>14.636666999999999</v>
      </c>
    </row>
    <row r="218" spans="1:7">
      <c r="A218" s="50" t="s">
        <v>344</v>
      </c>
      <c r="B218" s="50" t="s">
        <v>21</v>
      </c>
      <c r="C218" s="50" t="s">
        <v>332</v>
      </c>
      <c r="D218" s="51">
        <v>429</v>
      </c>
      <c r="E218" s="51">
        <v>2628</v>
      </c>
      <c r="F218" s="52">
        <v>465</v>
      </c>
      <c r="G218" s="53">
        <v>17.694064000000001</v>
      </c>
    </row>
    <row r="219" spans="1:7">
      <c r="A219" s="50" t="s">
        <v>348</v>
      </c>
      <c r="B219" s="50" t="s">
        <v>21</v>
      </c>
      <c r="C219" s="50" t="s">
        <v>332</v>
      </c>
      <c r="D219" s="51">
        <v>1886</v>
      </c>
      <c r="E219" s="51">
        <v>11427</v>
      </c>
      <c r="F219" s="52">
        <v>2722</v>
      </c>
      <c r="G219" s="53">
        <v>23.820775000000001</v>
      </c>
    </row>
    <row r="220" spans="1:7">
      <c r="A220" s="50" t="s">
        <v>349</v>
      </c>
      <c r="B220" s="50" t="s">
        <v>21</v>
      </c>
      <c r="C220" s="50" t="s">
        <v>332</v>
      </c>
      <c r="D220" s="51">
        <v>7805</v>
      </c>
      <c r="E220" s="51">
        <v>58390</v>
      </c>
      <c r="F220" s="52">
        <v>9995.7000000000007</v>
      </c>
      <c r="G220" s="53">
        <v>17.118856000000001</v>
      </c>
    </row>
    <row r="221" spans="1:7">
      <c r="A221" s="50" t="s">
        <v>350</v>
      </c>
      <c r="B221" s="50" t="s">
        <v>21</v>
      </c>
      <c r="C221" s="50" t="s">
        <v>332</v>
      </c>
      <c r="D221" s="51">
        <v>7016</v>
      </c>
      <c r="E221" s="51">
        <v>50316</v>
      </c>
      <c r="F221" s="52">
        <v>9753.7999999999993</v>
      </c>
      <c r="G221" s="53">
        <v>19.385086000000001</v>
      </c>
    </row>
    <row r="222" spans="1:7">
      <c r="A222" s="50" t="s">
        <v>351</v>
      </c>
      <c r="B222" s="50" t="s">
        <v>21</v>
      </c>
      <c r="C222" s="50" t="s">
        <v>332</v>
      </c>
      <c r="D222" s="51">
        <v>7</v>
      </c>
      <c r="E222" s="51">
        <v>996</v>
      </c>
      <c r="F222" s="52">
        <v>169.3</v>
      </c>
      <c r="G222" s="53">
        <v>16.997992</v>
      </c>
    </row>
    <row r="223" spans="1:7">
      <c r="A223" s="50" t="s">
        <v>426</v>
      </c>
      <c r="B223" s="50" t="s">
        <v>21</v>
      </c>
      <c r="C223" s="50" t="s">
        <v>242</v>
      </c>
      <c r="D223" s="51">
        <v>25328</v>
      </c>
      <c r="E223" s="51">
        <v>561259</v>
      </c>
      <c r="F223" s="52">
        <v>62779</v>
      </c>
      <c r="G223" s="53">
        <v>11.185389000000001</v>
      </c>
    </row>
    <row r="224" spans="1:7">
      <c r="A224" s="50" t="s">
        <v>427</v>
      </c>
      <c r="B224" s="50" t="s">
        <v>21</v>
      </c>
      <c r="C224" s="50" t="s">
        <v>237</v>
      </c>
      <c r="D224" s="51">
        <v>244527</v>
      </c>
      <c r="E224" s="51">
        <v>2032003</v>
      </c>
      <c r="F224" s="52">
        <v>492635.7</v>
      </c>
      <c r="G224" s="53">
        <v>24.243846999999999</v>
      </c>
    </row>
    <row r="225" spans="1:7">
      <c r="A225" s="50" t="s">
        <v>356</v>
      </c>
      <c r="B225" s="50" t="s">
        <v>21</v>
      </c>
      <c r="C225" s="50" t="s">
        <v>332</v>
      </c>
      <c r="D225" s="51">
        <v>4109</v>
      </c>
      <c r="E225" s="51">
        <v>25777</v>
      </c>
      <c r="F225" s="52">
        <v>4115.6000000000004</v>
      </c>
      <c r="G225" s="53">
        <v>15.966170999999999</v>
      </c>
    </row>
    <row r="226" spans="1:7">
      <c r="A226" s="50" t="s">
        <v>331</v>
      </c>
      <c r="B226" s="50" t="s">
        <v>225</v>
      </c>
      <c r="C226" s="50" t="s">
        <v>332</v>
      </c>
      <c r="D226" s="51">
        <v>2</v>
      </c>
      <c r="E226" s="51">
        <v>1149</v>
      </c>
      <c r="F226" s="52">
        <v>81.3</v>
      </c>
      <c r="G226" s="53">
        <v>7.0757180000000002</v>
      </c>
    </row>
    <row r="227" spans="1:7">
      <c r="A227" s="50" t="s">
        <v>428</v>
      </c>
      <c r="B227" s="50" t="s">
        <v>225</v>
      </c>
      <c r="C227" s="50" t="s">
        <v>237</v>
      </c>
      <c r="D227" s="51">
        <v>265760</v>
      </c>
      <c r="E227" s="51">
        <v>2842831</v>
      </c>
      <c r="F227" s="52">
        <v>340877.8</v>
      </c>
      <c r="G227" s="53">
        <v>11.990786999999999</v>
      </c>
    </row>
    <row r="228" spans="1:7">
      <c r="A228" s="50" t="s">
        <v>343</v>
      </c>
      <c r="B228" s="50" t="s">
        <v>225</v>
      </c>
      <c r="C228" s="50" t="s">
        <v>332</v>
      </c>
      <c r="D228" s="51">
        <v>505</v>
      </c>
      <c r="E228" s="51">
        <v>2170</v>
      </c>
      <c r="F228" s="52">
        <v>244.2</v>
      </c>
      <c r="G228" s="53">
        <v>11.253456</v>
      </c>
    </row>
    <row r="229" spans="1:7">
      <c r="A229" s="50" t="s">
        <v>350</v>
      </c>
      <c r="B229" s="50" t="s">
        <v>225</v>
      </c>
      <c r="C229" s="50" t="s">
        <v>332</v>
      </c>
      <c r="D229" s="51">
        <v>29</v>
      </c>
      <c r="E229" s="51">
        <v>155</v>
      </c>
      <c r="F229" s="52">
        <v>16.5</v>
      </c>
      <c r="G229" s="53">
        <v>10.645161</v>
      </c>
    </row>
    <row r="230" spans="1:7">
      <c r="A230" s="50" t="s">
        <v>429</v>
      </c>
      <c r="B230" s="50" t="s">
        <v>24</v>
      </c>
      <c r="C230" s="50" t="s">
        <v>242</v>
      </c>
      <c r="D230" s="51">
        <v>24597</v>
      </c>
      <c r="E230" s="51">
        <v>731771</v>
      </c>
      <c r="F230" s="52">
        <v>74093</v>
      </c>
      <c r="G230" s="53">
        <v>10.125162</v>
      </c>
    </row>
    <row r="231" spans="1:7">
      <c r="A231" s="50" t="s">
        <v>430</v>
      </c>
      <c r="B231" s="50" t="s">
        <v>24</v>
      </c>
      <c r="C231" s="50" t="s">
        <v>242</v>
      </c>
      <c r="D231" s="51">
        <v>7731</v>
      </c>
      <c r="E231" s="51">
        <v>220106</v>
      </c>
      <c r="F231" s="52">
        <v>24325.5</v>
      </c>
      <c r="G231" s="53">
        <v>11.051721000000001</v>
      </c>
    </row>
    <row r="232" spans="1:7">
      <c r="A232" s="50" t="s">
        <v>431</v>
      </c>
      <c r="B232" s="50" t="s">
        <v>24</v>
      </c>
      <c r="C232" s="50" t="s">
        <v>242</v>
      </c>
      <c r="D232" s="51">
        <v>12679</v>
      </c>
      <c r="E232" s="51">
        <v>402097</v>
      </c>
      <c r="F232" s="52">
        <v>50236.3</v>
      </c>
      <c r="G232" s="53">
        <v>12.493577</v>
      </c>
    </row>
    <row r="233" spans="1:7">
      <c r="A233" s="50" t="s">
        <v>432</v>
      </c>
      <c r="B233" s="50" t="s">
        <v>24</v>
      </c>
      <c r="C233" s="50" t="s">
        <v>240</v>
      </c>
      <c r="D233" s="51">
        <v>105306</v>
      </c>
      <c r="E233" s="51">
        <v>1443643</v>
      </c>
      <c r="F233" s="52">
        <v>173766</v>
      </c>
      <c r="G233" s="53">
        <v>12.036632000000001</v>
      </c>
    </row>
    <row r="234" spans="1:7">
      <c r="A234" s="50" t="s">
        <v>433</v>
      </c>
      <c r="B234" s="50" t="s">
        <v>24</v>
      </c>
      <c r="C234" s="50" t="s">
        <v>237</v>
      </c>
      <c r="D234" s="51">
        <v>284249</v>
      </c>
      <c r="E234" s="51">
        <v>3606855</v>
      </c>
      <c r="F234" s="52">
        <v>437429.2</v>
      </c>
      <c r="G234" s="53">
        <v>12.127718</v>
      </c>
    </row>
    <row r="235" spans="1:7">
      <c r="A235" s="50" t="s">
        <v>343</v>
      </c>
      <c r="B235" s="50" t="s">
        <v>24</v>
      </c>
      <c r="C235" s="50" t="s">
        <v>332</v>
      </c>
      <c r="D235" s="51">
        <v>3328</v>
      </c>
      <c r="E235" s="51">
        <v>31425</v>
      </c>
      <c r="F235" s="52">
        <v>4569.1000000000004</v>
      </c>
      <c r="G235" s="53">
        <v>14.539698</v>
      </c>
    </row>
    <row r="236" spans="1:7">
      <c r="A236" s="50" t="s">
        <v>349</v>
      </c>
      <c r="B236" s="50" t="s">
        <v>24</v>
      </c>
      <c r="C236" s="50" t="s">
        <v>332</v>
      </c>
      <c r="D236" s="51">
        <v>5</v>
      </c>
      <c r="E236" s="51">
        <v>25</v>
      </c>
      <c r="F236" s="52">
        <v>4.0999999999999996</v>
      </c>
      <c r="G236" s="53">
        <v>16.399999999999999</v>
      </c>
    </row>
    <row r="237" spans="1:7">
      <c r="A237" s="50" t="s">
        <v>350</v>
      </c>
      <c r="B237" s="50" t="s">
        <v>24</v>
      </c>
      <c r="C237" s="50" t="s">
        <v>332</v>
      </c>
      <c r="D237" s="51">
        <v>417</v>
      </c>
      <c r="E237" s="51">
        <v>3542</v>
      </c>
      <c r="F237" s="52">
        <v>405.8</v>
      </c>
      <c r="G237" s="53">
        <v>11.456804</v>
      </c>
    </row>
    <row r="238" spans="1:7">
      <c r="A238" s="50" t="s">
        <v>435</v>
      </c>
      <c r="B238" s="50" t="s">
        <v>24</v>
      </c>
      <c r="C238" s="50" t="s">
        <v>242</v>
      </c>
      <c r="D238" s="51">
        <v>9337</v>
      </c>
      <c r="E238" s="51">
        <v>242170</v>
      </c>
      <c r="F238" s="52">
        <v>27714</v>
      </c>
      <c r="G238" s="53">
        <v>11.444027</v>
      </c>
    </row>
    <row r="239" spans="1:7">
      <c r="A239" s="50" t="s">
        <v>436</v>
      </c>
      <c r="B239" s="50" t="s">
        <v>26</v>
      </c>
      <c r="C239" s="50" t="s">
        <v>242</v>
      </c>
      <c r="D239" s="51">
        <v>35747</v>
      </c>
      <c r="E239" s="51">
        <v>701053</v>
      </c>
      <c r="F239" s="52">
        <v>75919.5</v>
      </c>
      <c r="G239" s="53">
        <v>10.829352</v>
      </c>
    </row>
    <row r="240" spans="1:7">
      <c r="A240" s="50" t="s">
        <v>437</v>
      </c>
      <c r="B240" s="50" t="s">
        <v>26</v>
      </c>
      <c r="C240" s="50" t="s">
        <v>240</v>
      </c>
      <c r="D240" s="51">
        <v>34339</v>
      </c>
      <c r="E240" s="51">
        <v>526666</v>
      </c>
      <c r="F240" s="52">
        <v>63555.5</v>
      </c>
      <c r="G240" s="53">
        <v>12.067515</v>
      </c>
    </row>
    <row r="241" spans="1:7">
      <c r="A241" s="50" t="s">
        <v>438</v>
      </c>
      <c r="B241" s="50" t="s">
        <v>26</v>
      </c>
      <c r="C241" s="50" t="s">
        <v>240</v>
      </c>
      <c r="D241" s="51">
        <v>55664</v>
      </c>
      <c r="E241" s="51">
        <v>938843</v>
      </c>
      <c r="F241" s="52">
        <v>102724</v>
      </c>
      <c r="G241" s="53">
        <v>10.941553000000001</v>
      </c>
    </row>
    <row r="242" spans="1:7">
      <c r="A242" s="50" t="s">
        <v>439</v>
      </c>
      <c r="B242" s="50" t="s">
        <v>26</v>
      </c>
      <c r="C242" s="50" t="s">
        <v>242</v>
      </c>
      <c r="D242" s="51">
        <v>12538</v>
      </c>
      <c r="E242" s="51">
        <v>289701</v>
      </c>
      <c r="F242" s="52">
        <v>27368.1</v>
      </c>
      <c r="G242" s="53">
        <v>9.4470161000000008</v>
      </c>
    </row>
    <row r="243" spans="1:7">
      <c r="A243" s="50" t="s">
        <v>440</v>
      </c>
      <c r="B243" s="50" t="s">
        <v>26</v>
      </c>
      <c r="C243" s="50" t="s">
        <v>242</v>
      </c>
      <c r="D243" s="51">
        <v>27954</v>
      </c>
      <c r="E243" s="51">
        <v>588673</v>
      </c>
      <c r="F243" s="52">
        <v>62337.8</v>
      </c>
      <c r="G243" s="53">
        <v>10.589546</v>
      </c>
    </row>
    <row r="244" spans="1:7">
      <c r="A244" s="50" t="s">
        <v>441</v>
      </c>
      <c r="B244" s="50" t="s">
        <v>26</v>
      </c>
      <c r="C244" s="50" t="s">
        <v>242</v>
      </c>
      <c r="D244" s="51">
        <v>27606</v>
      </c>
      <c r="E244" s="51">
        <v>438403</v>
      </c>
      <c r="F244" s="52">
        <v>40189</v>
      </c>
      <c r="G244" s="53">
        <v>9.1671361999999998</v>
      </c>
    </row>
    <row r="245" spans="1:7">
      <c r="A245" s="50" t="s">
        <v>442</v>
      </c>
      <c r="B245" s="50" t="s">
        <v>26</v>
      </c>
      <c r="C245" s="50" t="s">
        <v>242</v>
      </c>
      <c r="D245" s="51">
        <v>134243</v>
      </c>
      <c r="E245" s="51">
        <v>3163310</v>
      </c>
      <c r="F245" s="52">
        <v>274458.90000000002</v>
      </c>
      <c r="G245" s="53">
        <v>8.6763200999999999</v>
      </c>
    </row>
    <row r="246" spans="1:7">
      <c r="A246" s="50" t="s">
        <v>443</v>
      </c>
      <c r="B246" s="50" t="s">
        <v>26</v>
      </c>
      <c r="C246" s="50" t="s">
        <v>242</v>
      </c>
      <c r="D246" s="51">
        <v>26667</v>
      </c>
      <c r="E246" s="51">
        <v>495081</v>
      </c>
      <c r="F246" s="52">
        <v>53205.4</v>
      </c>
      <c r="G246" s="53">
        <v>10.746807</v>
      </c>
    </row>
    <row r="247" spans="1:7">
      <c r="A247" s="50" t="s">
        <v>444</v>
      </c>
      <c r="B247" s="50" t="s">
        <v>26</v>
      </c>
      <c r="C247" s="50" t="s">
        <v>242</v>
      </c>
      <c r="D247" s="51">
        <v>54666</v>
      </c>
      <c r="E247" s="51">
        <v>1306441</v>
      </c>
      <c r="F247" s="52">
        <v>121253.7</v>
      </c>
      <c r="G247" s="53">
        <v>9.2812228000000001</v>
      </c>
    </row>
    <row r="248" spans="1:7">
      <c r="A248" s="50" t="s">
        <v>445</v>
      </c>
      <c r="B248" s="50" t="s">
        <v>26</v>
      </c>
      <c r="C248" s="50" t="s">
        <v>242</v>
      </c>
      <c r="D248" s="51">
        <v>120929</v>
      </c>
      <c r="E248" s="51">
        <v>2581037</v>
      </c>
      <c r="F248" s="52">
        <v>248546.3</v>
      </c>
      <c r="G248" s="53">
        <v>9.6297069999999998</v>
      </c>
    </row>
    <row r="249" spans="1:7">
      <c r="A249" s="50" t="s">
        <v>446</v>
      </c>
      <c r="B249" s="50" t="s">
        <v>26</v>
      </c>
      <c r="C249" s="50" t="s">
        <v>242</v>
      </c>
      <c r="D249" s="51">
        <v>14728</v>
      </c>
      <c r="E249" s="51">
        <v>419474</v>
      </c>
      <c r="F249" s="52">
        <v>38620.300000000003</v>
      </c>
      <c r="G249" s="53">
        <v>9.2068399999999997</v>
      </c>
    </row>
    <row r="250" spans="1:7">
      <c r="A250" s="50" t="s">
        <v>447</v>
      </c>
      <c r="B250" s="50" t="s">
        <v>26</v>
      </c>
      <c r="C250" s="50" t="s">
        <v>240</v>
      </c>
      <c r="D250" s="51">
        <v>180503</v>
      </c>
      <c r="E250" s="51">
        <v>3416339</v>
      </c>
      <c r="F250" s="52">
        <v>362087.1</v>
      </c>
      <c r="G250" s="53">
        <v>10.598687999999999</v>
      </c>
    </row>
    <row r="251" spans="1:7">
      <c r="A251" s="50" t="s">
        <v>448</v>
      </c>
      <c r="B251" s="50" t="s">
        <v>26</v>
      </c>
      <c r="C251" s="50" t="s">
        <v>237</v>
      </c>
      <c r="D251" s="51">
        <v>1863801</v>
      </c>
      <c r="E251" s="51">
        <v>39230213</v>
      </c>
      <c r="F251" s="52">
        <v>4563926.7</v>
      </c>
      <c r="G251" s="53">
        <v>11.633704</v>
      </c>
    </row>
    <row r="252" spans="1:7">
      <c r="A252" s="50" t="s">
        <v>449</v>
      </c>
      <c r="B252" s="50" t="s">
        <v>26</v>
      </c>
      <c r="C252" s="50" t="s">
        <v>240</v>
      </c>
      <c r="D252" s="51">
        <v>33102</v>
      </c>
      <c r="E252" s="51">
        <v>735664</v>
      </c>
      <c r="F252" s="52">
        <v>82767</v>
      </c>
      <c r="G252" s="53">
        <v>11.250652000000001</v>
      </c>
    </row>
    <row r="253" spans="1:7">
      <c r="A253" s="50" t="s">
        <v>450</v>
      </c>
      <c r="B253" s="50" t="s">
        <v>26</v>
      </c>
      <c r="C253" s="50" t="s">
        <v>237</v>
      </c>
      <c r="D253" s="51">
        <v>5136952</v>
      </c>
      <c r="E253" s="51">
        <v>113663998</v>
      </c>
      <c r="F253" s="52">
        <v>10653802</v>
      </c>
      <c r="G253" s="53">
        <v>9.3730664000000008</v>
      </c>
    </row>
    <row r="254" spans="1:7">
      <c r="A254" s="50" t="s">
        <v>451</v>
      </c>
      <c r="B254" s="50" t="s">
        <v>26</v>
      </c>
      <c r="C254" s="50" t="s">
        <v>237</v>
      </c>
      <c r="D254" s="51">
        <v>32334</v>
      </c>
      <c r="E254" s="51">
        <v>645164</v>
      </c>
      <c r="F254" s="52">
        <v>86948.2</v>
      </c>
      <c r="G254" s="53">
        <v>13.476914000000001</v>
      </c>
    </row>
    <row r="255" spans="1:7">
      <c r="A255" s="50" t="s">
        <v>452</v>
      </c>
      <c r="B255" s="50" t="s">
        <v>26</v>
      </c>
      <c r="C255" s="50" t="s">
        <v>242</v>
      </c>
      <c r="D255" s="51">
        <v>28784</v>
      </c>
      <c r="E255" s="51">
        <v>575481</v>
      </c>
      <c r="F255" s="52">
        <v>63515</v>
      </c>
      <c r="G255" s="53">
        <v>11.036854</v>
      </c>
    </row>
    <row r="256" spans="1:7">
      <c r="A256" s="50" t="s">
        <v>453</v>
      </c>
      <c r="B256" s="50" t="s">
        <v>26</v>
      </c>
      <c r="C256" s="50" t="s">
        <v>242</v>
      </c>
      <c r="D256" s="51">
        <v>99665</v>
      </c>
      <c r="E256" s="51">
        <v>1790570</v>
      </c>
      <c r="F256" s="52">
        <v>237636.2</v>
      </c>
      <c r="G256" s="53">
        <v>13.271539000000001</v>
      </c>
    </row>
    <row r="257" spans="1:7">
      <c r="A257" s="50" t="s">
        <v>454</v>
      </c>
      <c r="B257" s="50" t="s">
        <v>26</v>
      </c>
      <c r="C257" s="50" t="s">
        <v>240</v>
      </c>
      <c r="D257" s="51">
        <v>17025</v>
      </c>
      <c r="E257" s="51">
        <v>331722</v>
      </c>
      <c r="F257" s="52">
        <v>44980</v>
      </c>
      <c r="G257" s="53">
        <v>13.559547</v>
      </c>
    </row>
    <row r="258" spans="1:7">
      <c r="A258" s="50" t="s">
        <v>338</v>
      </c>
      <c r="B258" s="50" t="s">
        <v>26</v>
      </c>
      <c r="C258" s="50" t="s">
        <v>332</v>
      </c>
      <c r="D258" s="51">
        <v>1</v>
      </c>
      <c r="E258" s="51">
        <v>504</v>
      </c>
      <c r="F258" s="52">
        <v>98.3</v>
      </c>
      <c r="G258" s="53">
        <v>19.503968</v>
      </c>
    </row>
    <row r="259" spans="1:7">
      <c r="A259" s="50" t="s">
        <v>455</v>
      </c>
      <c r="B259" s="50" t="s">
        <v>26</v>
      </c>
      <c r="C259" s="50" t="s">
        <v>240</v>
      </c>
      <c r="D259" s="51">
        <v>20833</v>
      </c>
      <c r="E259" s="51">
        <v>344000</v>
      </c>
      <c r="F259" s="52">
        <v>43839.9</v>
      </c>
      <c r="G259" s="53">
        <v>12.744157</v>
      </c>
    </row>
    <row r="260" spans="1:7">
      <c r="A260" s="50" t="s">
        <v>456</v>
      </c>
      <c r="B260" s="50" t="s">
        <v>26</v>
      </c>
      <c r="C260" s="50" t="s">
        <v>237</v>
      </c>
      <c r="D260" s="51">
        <v>470680</v>
      </c>
      <c r="E260" s="51">
        <v>10767926</v>
      </c>
      <c r="F260" s="52">
        <v>1233113</v>
      </c>
      <c r="G260" s="53">
        <v>11.451722</v>
      </c>
    </row>
    <row r="261" spans="1:7">
      <c r="A261" s="50" t="s">
        <v>457</v>
      </c>
      <c r="B261" s="50" t="s">
        <v>26</v>
      </c>
      <c r="C261" s="50" t="s">
        <v>242</v>
      </c>
      <c r="D261" s="51">
        <v>487412</v>
      </c>
      <c r="E261" s="51">
        <v>12076440</v>
      </c>
      <c r="F261" s="52">
        <v>1192084.3999999999</v>
      </c>
      <c r="G261" s="53">
        <v>9.8711573999999995</v>
      </c>
    </row>
    <row r="262" spans="1:7">
      <c r="A262" s="50" t="s">
        <v>458</v>
      </c>
      <c r="B262" s="50" t="s">
        <v>26</v>
      </c>
      <c r="C262" s="50" t="s">
        <v>242</v>
      </c>
      <c r="D262" s="51">
        <v>79761</v>
      </c>
      <c r="E262" s="51">
        <v>1627518</v>
      </c>
      <c r="F262" s="52">
        <v>174717</v>
      </c>
      <c r="G262" s="53">
        <v>10.735181000000001</v>
      </c>
    </row>
    <row r="263" spans="1:7">
      <c r="A263" s="50" t="s">
        <v>459</v>
      </c>
      <c r="B263" s="50" t="s">
        <v>26</v>
      </c>
      <c r="C263" s="50" t="s">
        <v>240</v>
      </c>
      <c r="D263" s="51">
        <v>224324</v>
      </c>
      <c r="E263" s="51">
        <v>4279635</v>
      </c>
      <c r="F263" s="52">
        <v>429208</v>
      </c>
      <c r="G263" s="53">
        <v>10.02908</v>
      </c>
    </row>
    <row r="264" spans="1:7">
      <c r="A264" s="50" t="s">
        <v>339</v>
      </c>
      <c r="B264" s="50" t="s">
        <v>26</v>
      </c>
      <c r="C264" s="50" t="s">
        <v>332</v>
      </c>
      <c r="D264" s="51">
        <v>1</v>
      </c>
      <c r="E264" s="51">
        <v>320</v>
      </c>
      <c r="F264" s="52">
        <v>90</v>
      </c>
      <c r="G264" s="53">
        <v>28.125</v>
      </c>
    </row>
    <row r="265" spans="1:7">
      <c r="A265" s="50" t="s">
        <v>460</v>
      </c>
      <c r="B265" s="50" t="s">
        <v>26</v>
      </c>
      <c r="C265" s="50" t="s">
        <v>242</v>
      </c>
      <c r="D265" s="51">
        <v>29659</v>
      </c>
      <c r="E265" s="51">
        <v>443326</v>
      </c>
      <c r="F265" s="52">
        <v>43209</v>
      </c>
      <c r="G265" s="53">
        <v>9.7465522</v>
      </c>
    </row>
    <row r="266" spans="1:7">
      <c r="A266" s="50" t="s">
        <v>461</v>
      </c>
      <c r="B266" s="50" t="s">
        <v>26</v>
      </c>
      <c r="C266" s="50" t="s">
        <v>240</v>
      </c>
      <c r="D266" s="51">
        <v>10890</v>
      </c>
      <c r="E266" s="51">
        <v>173437</v>
      </c>
      <c r="F266" s="52">
        <v>21337.5</v>
      </c>
      <c r="G266" s="53">
        <v>12.302738</v>
      </c>
    </row>
    <row r="267" spans="1:7">
      <c r="A267" s="50" t="s">
        <v>462</v>
      </c>
      <c r="B267" s="50" t="s">
        <v>26</v>
      </c>
      <c r="C267" s="50" t="s">
        <v>242</v>
      </c>
      <c r="D267" s="51">
        <v>253449</v>
      </c>
      <c r="E267" s="51">
        <v>6750618</v>
      </c>
      <c r="F267" s="52">
        <v>647043</v>
      </c>
      <c r="G267" s="53">
        <v>9.5849446999999994</v>
      </c>
    </row>
    <row r="268" spans="1:7">
      <c r="A268" s="50" t="s">
        <v>463</v>
      </c>
      <c r="B268" s="50" t="s">
        <v>26</v>
      </c>
      <c r="C268" s="50" t="s">
        <v>240</v>
      </c>
      <c r="D268" s="51">
        <v>50392</v>
      </c>
      <c r="E268" s="51">
        <v>934732</v>
      </c>
      <c r="F268" s="52">
        <v>108288.3</v>
      </c>
      <c r="G268" s="53">
        <v>11.584956999999999</v>
      </c>
    </row>
    <row r="269" spans="1:7">
      <c r="A269" s="50" t="s">
        <v>464</v>
      </c>
      <c r="B269" s="50" t="s">
        <v>26</v>
      </c>
      <c r="C269" s="50" t="s">
        <v>242</v>
      </c>
      <c r="D269" s="51">
        <v>1532</v>
      </c>
      <c r="E269" s="51">
        <v>1081168</v>
      </c>
      <c r="F269" s="52">
        <v>88744</v>
      </c>
      <c r="G269" s="53">
        <v>8.2081601000000006</v>
      </c>
    </row>
    <row r="270" spans="1:7">
      <c r="A270" s="50" t="s">
        <v>343</v>
      </c>
      <c r="B270" s="50" t="s">
        <v>26</v>
      </c>
      <c r="C270" s="50" t="s">
        <v>332</v>
      </c>
      <c r="D270" s="51">
        <v>946</v>
      </c>
      <c r="E270" s="51">
        <v>6438</v>
      </c>
      <c r="F270" s="52">
        <v>694.4</v>
      </c>
      <c r="G270" s="53">
        <v>10.785958000000001</v>
      </c>
    </row>
    <row r="271" spans="1:7">
      <c r="A271" s="50" t="s">
        <v>465</v>
      </c>
      <c r="B271" s="50" t="s">
        <v>26</v>
      </c>
      <c r="C271" s="50" t="s">
        <v>240</v>
      </c>
      <c r="D271" s="51">
        <v>216477</v>
      </c>
      <c r="E271" s="51">
        <v>3635263</v>
      </c>
      <c r="F271" s="52">
        <v>413794</v>
      </c>
      <c r="G271" s="53">
        <v>11.38278</v>
      </c>
    </row>
    <row r="272" spans="1:7">
      <c r="A272" s="50" t="s">
        <v>349</v>
      </c>
      <c r="B272" s="50" t="s">
        <v>26</v>
      </c>
      <c r="C272" s="50" t="s">
        <v>332</v>
      </c>
      <c r="D272" s="51">
        <v>980</v>
      </c>
      <c r="E272" s="51">
        <v>9540</v>
      </c>
      <c r="F272" s="52">
        <v>1394.9</v>
      </c>
      <c r="G272" s="53">
        <v>14.621593000000001</v>
      </c>
    </row>
    <row r="273" spans="1:7">
      <c r="A273" s="50" t="s">
        <v>350</v>
      </c>
      <c r="B273" s="50" t="s">
        <v>26</v>
      </c>
      <c r="C273" s="50" t="s">
        <v>332</v>
      </c>
      <c r="D273" s="51">
        <v>1730</v>
      </c>
      <c r="E273" s="51">
        <v>19041</v>
      </c>
      <c r="F273" s="52">
        <v>3346.2</v>
      </c>
      <c r="G273" s="53">
        <v>17.573657000000001</v>
      </c>
    </row>
    <row r="274" spans="1:7">
      <c r="A274" s="50" t="s">
        <v>466</v>
      </c>
      <c r="B274" s="50" t="s">
        <v>26</v>
      </c>
      <c r="C274" s="50" t="s">
        <v>240</v>
      </c>
      <c r="D274" s="51">
        <v>27388</v>
      </c>
      <c r="E274" s="51">
        <v>530063</v>
      </c>
      <c r="F274" s="52">
        <v>56912</v>
      </c>
      <c r="G274" s="53">
        <v>10.736837</v>
      </c>
    </row>
    <row r="275" spans="1:7">
      <c r="A275" s="50" t="s">
        <v>467</v>
      </c>
      <c r="B275" s="50" t="s">
        <v>26</v>
      </c>
      <c r="C275" s="50" t="s">
        <v>240</v>
      </c>
      <c r="D275" s="51">
        <v>55018</v>
      </c>
      <c r="E275" s="51">
        <v>1023580</v>
      </c>
      <c r="F275" s="52">
        <v>125381</v>
      </c>
      <c r="G275" s="53">
        <v>12.249262</v>
      </c>
    </row>
    <row r="276" spans="1:7">
      <c r="A276" s="50" t="s">
        <v>468</v>
      </c>
      <c r="B276" s="50" t="s">
        <v>26</v>
      </c>
      <c r="C276" s="50" t="s">
        <v>237</v>
      </c>
      <c r="D276" s="51">
        <v>786047</v>
      </c>
      <c r="E276" s="51">
        <v>19953730</v>
      </c>
      <c r="F276" s="52">
        <v>1826439.5</v>
      </c>
      <c r="G276" s="53">
        <v>9.1533738000000007</v>
      </c>
    </row>
    <row r="277" spans="1:7">
      <c r="A277" s="50" t="s">
        <v>351</v>
      </c>
      <c r="B277" s="50" t="s">
        <v>26</v>
      </c>
      <c r="C277" s="50" t="s">
        <v>332</v>
      </c>
      <c r="D277" s="51">
        <v>3</v>
      </c>
      <c r="E277" s="51">
        <v>757</v>
      </c>
      <c r="F277" s="52">
        <v>274</v>
      </c>
      <c r="G277" s="53">
        <v>36.195509000000001</v>
      </c>
    </row>
    <row r="278" spans="1:7">
      <c r="A278" s="50" t="s">
        <v>1826</v>
      </c>
      <c r="B278" s="50" t="s">
        <v>26</v>
      </c>
      <c r="C278" s="50" t="s">
        <v>240</v>
      </c>
      <c r="D278" s="51">
        <v>19081</v>
      </c>
      <c r="E278" s="51">
        <v>317797</v>
      </c>
      <c r="F278" s="52">
        <v>38609.199999999997</v>
      </c>
      <c r="G278" s="53">
        <v>12.149013</v>
      </c>
    </row>
    <row r="279" spans="1:7">
      <c r="A279" s="50" t="s">
        <v>1827</v>
      </c>
      <c r="B279" s="50" t="s">
        <v>26</v>
      </c>
      <c r="C279" s="50" t="s">
        <v>242</v>
      </c>
      <c r="D279" s="51">
        <v>30908</v>
      </c>
      <c r="E279" s="51">
        <v>723134</v>
      </c>
      <c r="F279" s="52">
        <v>96843</v>
      </c>
      <c r="G279" s="53">
        <v>13.392124000000001</v>
      </c>
    </row>
    <row r="280" spans="1:7">
      <c r="A280" s="50" t="s">
        <v>356</v>
      </c>
      <c r="B280" s="50" t="s">
        <v>26</v>
      </c>
      <c r="C280" s="50" t="s">
        <v>332</v>
      </c>
      <c r="D280" s="51">
        <v>629</v>
      </c>
      <c r="E280" s="51">
        <v>4913</v>
      </c>
      <c r="F280" s="52">
        <v>591.79999999999995</v>
      </c>
      <c r="G280" s="53">
        <v>12.045593</v>
      </c>
    </row>
    <row r="281" spans="1:7">
      <c r="A281" s="50" t="s">
        <v>469</v>
      </c>
      <c r="B281" s="50" t="s">
        <v>26</v>
      </c>
      <c r="C281" s="50" t="s">
        <v>240</v>
      </c>
      <c r="D281" s="51">
        <v>28358</v>
      </c>
      <c r="E281" s="51">
        <v>498614</v>
      </c>
      <c r="F281" s="52">
        <v>57724</v>
      </c>
      <c r="G281" s="53">
        <v>11.576891</v>
      </c>
    </row>
    <row r="282" spans="1:7">
      <c r="A282" s="50" t="s">
        <v>470</v>
      </c>
      <c r="B282" s="50" t="s">
        <v>26</v>
      </c>
      <c r="C282" s="50" t="s">
        <v>240</v>
      </c>
      <c r="D282" s="51">
        <v>226696</v>
      </c>
      <c r="E282" s="51">
        <v>4247097</v>
      </c>
      <c r="F282" s="52">
        <v>453417.6</v>
      </c>
      <c r="G282" s="53">
        <v>10.675941999999999</v>
      </c>
    </row>
    <row r="283" spans="1:7">
      <c r="A283" s="50" t="s">
        <v>1828</v>
      </c>
      <c r="B283" s="50" t="s">
        <v>29</v>
      </c>
      <c r="C283" s="50" t="s">
        <v>242</v>
      </c>
      <c r="D283" s="51">
        <v>37083</v>
      </c>
      <c r="E283" s="51">
        <v>883218</v>
      </c>
      <c r="F283" s="52">
        <v>94635</v>
      </c>
      <c r="G283" s="53">
        <v>10.714795000000001</v>
      </c>
    </row>
    <row r="284" spans="1:7">
      <c r="A284" s="50" t="s">
        <v>471</v>
      </c>
      <c r="B284" s="50" t="s">
        <v>29</v>
      </c>
      <c r="C284" s="50" t="s">
        <v>240</v>
      </c>
      <c r="D284" s="51">
        <v>20936</v>
      </c>
      <c r="E284" s="51">
        <v>403701</v>
      </c>
      <c r="F284" s="52">
        <v>51248</v>
      </c>
      <c r="G284" s="53">
        <v>12.694544</v>
      </c>
    </row>
    <row r="285" spans="1:7">
      <c r="A285" s="50" t="s">
        <v>472</v>
      </c>
      <c r="B285" s="50" t="s">
        <v>29</v>
      </c>
      <c r="C285" s="50" t="s">
        <v>240</v>
      </c>
      <c r="D285" s="51">
        <v>50829</v>
      </c>
      <c r="E285" s="51">
        <v>750747</v>
      </c>
      <c r="F285" s="52">
        <v>86788.800000000003</v>
      </c>
      <c r="G285" s="53">
        <v>11.560326</v>
      </c>
    </row>
    <row r="286" spans="1:7">
      <c r="A286" s="50" t="s">
        <v>473</v>
      </c>
      <c r="B286" s="50" t="s">
        <v>29</v>
      </c>
      <c r="C286" s="50" t="s">
        <v>240</v>
      </c>
      <c r="D286" s="51">
        <v>36210</v>
      </c>
      <c r="E286" s="51">
        <v>463883</v>
      </c>
      <c r="F286" s="52">
        <v>59625</v>
      </c>
      <c r="G286" s="53">
        <v>12.853457000000001</v>
      </c>
    </row>
    <row r="287" spans="1:7">
      <c r="A287" s="50" t="s">
        <v>474</v>
      </c>
      <c r="B287" s="50" t="s">
        <v>29</v>
      </c>
      <c r="C287" s="50" t="s">
        <v>240</v>
      </c>
      <c r="D287" s="51">
        <v>22586</v>
      </c>
      <c r="E287" s="51">
        <v>442556</v>
      </c>
      <c r="F287" s="52">
        <v>49528.6</v>
      </c>
      <c r="G287" s="53">
        <v>11.191488</v>
      </c>
    </row>
    <row r="288" spans="1:7">
      <c r="A288" s="50" t="s">
        <v>475</v>
      </c>
      <c r="B288" s="50" t="s">
        <v>29</v>
      </c>
      <c r="C288" s="50" t="s">
        <v>240</v>
      </c>
      <c r="D288" s="51">
        <v>52460</v>
      </c>
      <c r="E288" s="51">
        <v>1055494</v>
      </c>
      <c r="F288" s="52">
        <v>112792</v>
      </c>
      <c r="G288" s="53">
        <v>10.686180999999999</v>
      </c>
    </row>
    <row r="289" spans="1:7">
      <c r="A289" s="50" t="s">
        <v>476</v>
      </c>
      <c r="B289" s="50" t="s">
        <v>29</v>
      </c>
      <c r="C289" s="50" t="s">
        <v>240</v>
      </c>
      <c r="D289" s="51">
        <v>60555</v>
      </c>
      <c r="E289" s="51">
        <v>1258391</v>
      </c>
      <c r="F289" s="52">
        <v>119779</v>
      </c>
      <c r="G289" s="53">
        <v>9.5184247000000006</v>
      </c>
    </row>
    <row r="290" spans="1:7">
      <c r="A290" s="50" t="s">
        <v>477</v>
      </c>
      <c r="B290" s="50" t="s">
        <v>29</v>
      </c>
      <c r="C290" s="50" t="s">
        <v>242</v>
      </c>
      <c r="D290" s="51">
        <v>3771</v>
      </c>
      <c r="E290" s="51">
        <v>206493</v>
      </c>
      <c r="F290" s="52">
        <v>21496.9</v>
      </c>
      <c r="G290" s="53">
        <v>10.410474000000001</v>
      </c>
    </row>
    <row r="291" spans="1:7">
      <c r="A291" s="50" t="s">
        <v>478</v>
      </c>
      <c r="B291" s="50" t="s">
        <v>29</v>
      </c>
      <c r="C291" s="50" t="s">
        <v>242</v>
      </c>
      <c r="D291" s="51">
        <v>5505</v>
      </c>
      <c r="E291" s="51">
        <v>358795</v>
      </c>
      <c r="F291" s="52">
        <v>31950.5</v>
      </c>
      <c r="G291" s="53">
        <v>8.9049457000000007</v>
      </c>
    </row>
    <row r="292" spans="1:7">
      <c r="A292" s="50" t="s">
        <v>479</v>
      </c>
      <c r="B292" s="50" t="s">
        <v>29</v>
      </c>
      <c r="C292" s="50" t="s">
        <v>242</v>
      </c>
      <c r="D292" s="51">
        <v>7982</v>
      </c>
      <c r="E292" s="51">
        <v>556369</v>
      </c>
      <c r="F292" s="52">
        <v>46189.4</v>
      </c>
      <c r="G292" s="53">
        <v>8.3019362999999995</v>
      </c>
    </row>
    <row r="293" spans="1:7">
      <c r="A293" s="50" t="s">
        <v>480</v>
      </c>
      <c r="B293" s="50" t="s">
        <v>29</v>
      </c>
      <c r="C293" s="50" t="s">
        <v>242</v>
      </c>
      <c r="D293" s="51">
        <v>10964</v>
      </c>
      <c r="E293" s="51">
        <v>184749</v>
      </c>
      <c r="F293" s="52">
        <v>20182</v>
      </c>
      <c r="G293" s="53">
        <v>10.924010000000001</v>
      </c>
    </row>
    <row r="294" spans="1:7">
      <c r="A294" s="50" t="s">
        <v>481</v>
      </c>
      <c r="B294" s="50" t="s">
        <v>29</v>
      </c>
      <c r="C294" s="50" t="s">
        <v>242</v>
      </c>
      <c r="D294" s="51">
        <v>981</v>
      </c>
      <c r="E294" s="51">
        <v>23212</v>
      </c>
      <c r="F294" s="52">
        <v>2567</v>
      </c>
      <c r="G294" s="53">
        <v>11.058935</v>
      </c>
    </row>
    <row r="295" spans="1:7">
      <c r="A295" s="50" t="s">
        <v>482</v>
      </c>
      <c r="B295" s="50" t="s">
        <v>29</v>
      </c>
      <c r="C295" s="50" t="s">
        <v>242</v>
      </c>
      <c r="D295" s="51">
        <v>8132</v>
      </c>
      <c r="E295" s="51">
        <v>315722</v>
      </c>
      <c r="F295" s="52">
        <v>31321.5</v>
      </c>
      <c r="G295" s="53">
        <v>9.9205947000000005</v>
      </c>
    </row>
    <row r="296" spans="1:7">
      <c r="A296" s="50" t="s">
        <v>483</v>
      </c>
      <c r="B296" s="50" t="s">
        <v>29</v>
      </c>
      <c r="C296" s="50" t="s">
        <v>242</v>
      </c>
      <c r="D296" s="51">
        <v>12414</v>
      </c>
      <c r="E296" s="51">
        <v>423749</v>
      </c>
      <c r="F296" s="52">
        <v>37813.5</v>
      </c>
      <c r="G296" s="53">
        <v>8.9235609</v>
      </c>
    </row>
    <row r="297" spans="1:7">
      <c r="A297" s="50" t="s">
        <v>484</v>
      </c>
      <c r="B297" s="50" t="s">
        <v>29</v>
      </c>
      <c r="C297" s="50" t="s">
        <v>242</v>
      </c>
      <c r="D297" s="51">
        <v>5739</v>
      </c>
      <c r="E297" s="51">
        <v>258624</v>
      </c>
      <c r="F297" s="52">
        <v>27977</v>
      </c>
      <c r="G297" s="53">
        <v>10.817634999999999</v>
      </c>
    </row>
    <row r="298" spans="1:7">
      <c r="A298" s="50" t="s">
        <v>485</v>
      </c>
      <c r="B298" s="50" t="s">
        <v>29</v>
      </c>
      <c r="C298" s="50" t="s">
        <v>242</v>
      </c>
      <c r="D298" s="51">
        <v>16525</v>
      </c>
      <c r="E298" s="51">
        <v>384190</v>
      </c>
      <c r="F298" s="52">
        <v>47029.1</v>
      </c>
      <c r="G298" s="53">
        <v>12.241104999999999</v>
      </c>
    </row>
    <row r="299" spans="1:7">
      <c r="A299" s="50" t="s">
        <v>1829</v>
      </c>
      <c r="B299" s="50" t="s">
        <v>29</v>
      </c>
      <c r="C299" s="50" t="s">
        <v>242</v>
      </c>
      <c r="D299" s="51">
        <v>15727</v>
      </c>
      <c r="E299" s="51">
        <v>393356</v>
      </c>
      <c r="F299" s="52">
        <v>48055</v>
      </c>
      <c r="G299" s="53">
        <v>12.216669</v>
      </c>
    </row>
    <row r="300" spans="1:7">
      <c r="A300" s="50" t="s">
        <v>486</v>
      </c>
      <c r="B300" s="50" t="s">
        <v>29</v>
      </c>
      <c r="C300" s="50" t="s">
        <v>242</v>
      </c>
      <c r="D300" s="51">
        <v>13453</v>
      </c>
      <c r="E300" s="51">
        <v>517963</v>
      </c>
      <c r="F300" s="52">
        <v>44513</v>
      </c>
      <c r="G300" s="53">
        <v>8.5938570999999992</v>
      </c>
    </row>
    <row r="301" spans="1:7">
      <c r="A301" s="50" t="s">
        <v>487</v>
      </c>
      <c r="B301" s="50" t="s">
        <v>29</v>
      </c>
      <c r="C301" s="50" t="s">
        <v>242</v>
      </c>
      <c r="D301" s="51">
        <v>11997</v>
      </c>
      <c r="E301" s="51">
        <v>297430</v>
      </c>
      <c r="F301" s="52">
        <v>32864</v>
      </c>
      <c r="G301" s="53">
        <v>11.049322999999999</v>
      </c>
    </row>
    <row r="302" spans="1:7">
      <c r="A302" s="50" t="s">
        <v>488</v>
      </c>
      <c r="B302" s="50" t="s">
        <v>29</v>
      </c>
      <c r="C302" s="50" t="s">
        <v>242</v>
      </c>
      <c r="D302" s="51">
        <v>42076</v>
      </c>
      <c r="E302" s="51">
        <v>968373</v>
      </c>
      <c r="F302" s="52">
        <v>110680</v>
      </c>
      <c r="G302" s="53">
        <v>11.42948</v>
      </c>
    </row>
    <row r="303" spans="1:7">
      <c r="A303" s="50" t="s">
        <v>489</v>
      </c>
      <c r="B303" s="50" t="s">
        <v>29</v>
      </c>
      <c r="C303" s="50" t="s">
        <v>242</v>
      </c>
      <c r="D303" s="51">
        <v>2414</v>
      </c>
      <c r="E303" s="51">
        <v>693425</v>
      </c>
      <c r="F303" s="52">
        <v>23051.3</v>
      </c>
      <c r="G303" s="53">
        <v>3.3242672</v>
      </c>
    </row>
    <row r="304" spans="1:7">
      <c r="A304" s="50" t="s">
        <v>490</v>
      </c>
      <c r="B304" s="50" t="s">
        <v>29</v>
      </c>
      <c r="C304" s="50" t="s">
        <v>242</v>
      </c>
      <c r="D304" s="51">
        <v>15990</v>
      </c>
      <c r="E304" s="51">
        <v>469400</v>
      </c>
      <c r="F304" s="52">
        <v>53023.9</v>
      </c>
      <c r="G304" s="53">
        <v>11.296101</v>
      </c>
    </row>
    <row r="305" spans="1:7">
      <c r="A305" s="50" t="s">
        <v>491</v>
      </c>
      <c r="B305" s="50" t="s">
        <v>29</v>
      </c>
      <c r="C305" s="50" t="s">
        <v>240</v>
      </c>
      <c r="D305" s="51">
        <v>21127</v>
      </c>
      <c r="E305" s="51">
        <v>507092</v>
      </c>
      <c r="F305" s="52">
        <v>59854</v>
      </c>
      <c r="G305" s="53">
        <v>11.803381</v>
      </c>
    </row>
    <row r="306" spans="1:7">
      <c r="A306" s="50" t="s">
        <v>492</v>
      </c>
      <c r="B306" s="50" t="s">
        <v>29</v>
      </c>
      <c r="C306" s="50" t="s">
        <v>240</v>
      </c>
      <c r="D306" s="51">
        <v>214156</v>
      </c>
      <c r="E306" s="51">
        <v>3880652</v>
      </c>
      <c r="F306" s="52">
        <v>421554.3</v>
      </c>
      <c r="G306" s="53">
        <v>10.862976</v>
      </c>
    </row>
    <row r="307" spans="1:7">
      <c r="A307" s="50" t="s">
        <v>493</v>
      </c>
      <c r="B307" s="50" t="s">
        <v>29</v>
      </c>
      <c r="C307" s="50" t="s">
        <v>240</v>
      </c>
      <c r="D307" s="51">
        <v>68792</v>
      </c>
      <c r="E307" s="51">
        <v>1251259</v>
      </c>
      <c r="F307" s="52">
        <v>126442.1</v>
      </c>
      <c r="G307" s="53">
        <v>10.10519</v>
      </c>
    </row>
    <row r="308" spans="1:7">
      <c r="A308" s="50" t="s">
        <v>494</v>
      </c>
      <c r="B308" s="50" t="s">
        <v>29</v>
      </c>
      <c r="C308" s="50" t="s">
        <v>240</v>
      </c>
      <c r="D308" s="51">
        <v>83323</v>
      </c>
      <c r="E308" s="51">
        <v>1555184</v>
      </c>
      <c r="F308" s="52">
        <v>167666.9</v>
      </c>
      <c r="G308" s="53">
        <v>10.781162</v>
      </c>
    </row>
    <row r="309" spans="1:7">
      <c r="A309" s="50" t="s">
        <v>495</v>
      </c>
      <c r="B309" s="50" t="s">
        <v>29</v>
      </c>
      <c r="C309" s="50" t="s">
        <v>325</v>
      </c>
      <c r="D309" s="51">
        <v>11995</v>
      </c>
      <c r="E309" s="51">
        <v>397652</v>
      </c>
      <c r="F309" s="52">
        <v>41615.599999999999</v>
      </c>
      <c r="G309" s="53">
        <v>10.465331000000001</v>
      </c>
    </row>
    <row r="310" spans="1:7">
      <c r="A310" s="50" t="s">
        <v>496</v>
      </c>
      <c r="B310" s="50" t="s">
        <v>29</v>
      </c>
      <c r="C310" s="50" t="s">
        <v>242</v>
      </c>
      <c r="D310" s="51">
        <v>16832</v>
      </c>
      <c r="E310" s="51">
        <v>1812787</v>
      </c>
      <c r="F310" s="52">
        <v>113230</v>
      </c>
      <c r="G310" s="53">
        <v>6.2461833999999996</v>
      </c>
    </row>
    <row r="311" spans="1:7">
      <c r="A311" s="50" t="s">
        <v>279</v>
      </c>
      <c r="B311" s="50" t="s">
        <v>29</v>
      </c>
      <c r="C311" s="50" t="s">
        <v>240</v>
      </c>
      <c r="D311" s="51">
        <v>34959</v>
      </c>
      <c r="E311" s="51">
        <v>674130</v>
      </c>
      <c r="F311" s="52">
        <v>87997.5</v>
      </c>
      <c r="G311" s="53">
        <v>13.053490999999999</v>
      </c>
    </row>
    <row r="312" spans="1:7">
      <c r="A312" s="50" t="s">
        <v>497</v>
      </c>
      <c r="B312" s="50" t="s">
        <v>29</v>
      </c>
      <c r="C312" s="50" t="s">
        <v>240</v>
      </c>
      <c r="D312" s="51">
        <v>23824</v>
      </c>
      <c r="E312" s="51">
        <v>393075</v>
      </c>
      <c r="F312" s="52">
        <v>41003.4</v>
      </c>
      <c r="G312" s="53">
        <v>10.431444000000001</v>
      </c>
    </row>
    <row r="313" spans="1:7">
      <c r="A313" s="50" t="s">
        <v>498</v>
      </c>
      <c r="B313" s="50" t="s">
        <v>29</v>
      </c>
      <c r="C313" s="50" t="s">
        <v>240</v>
      </c>
      <c r="D313" s="51">
        <v>89509</v>
      </c>
      <c r="E313" s="51">
        <v>1808495</v>
      </c>
      <c r="F313" s="52">
        <v>212294.1</v>
      </c>
      <c r="G313" s="53">
        <v>11.738716</v>
      </c>
    </row>
    <row r="314" spans="1:7">
      <c r="A314" s="50" t="s">
        <v>499</v>
      </c>
      <c r="B314" s="50" t="s">
        <v>29</v>
      </c>
      <c r="C314" s="50" t="s">
        <v>237</v>
      </c>
      <c r="D314" s="51">
        <v>2614431</v>
      </c>
      <c r="E314" s="51">
        <v>80814387</v>
      </c>
      <c r="F314" s="52">
        <v>7610499.7999999998</v>
      </c>
      <c r="G314" s="53">
        <v>9.4172586000000003</v>
      </c>
    </row>
    <row r="315" spans="1:7">
      <c r="A315" s="50" t="s">
        <v>500</v>
      </c>
      <c r="B315" s="50" t="s">
        <v>29</v>
      </c>
      <c r="C315" s="50" t="s">
        <v>240</v>
      </c>
      <c r="D315" s="51">
        <v>19898</v>
      </c>
      <c r="E315" s="51">
        <v>303065</v>
      </c>
      <c r="F315" s="52">
        <v>41034</v>
      </c>
      <c r="G315" s="53">
        <v>13.539669999999999</v>
      </c>
    </row>
    <row r="316" spans="1:7">
      <c r="A316" s="50" t="s">
        <v>501</v>
      </c>
      <c r="B316" s="50" t="s">
        <v>29</v>
      </c>
      <c r="C316" s="50" t="s">
        <v>240</v>
      </c>
      <c r="D316" s="51">
        <v>138200</v>
      </c>
      <c r="E316" s="51">
        <v>2778290</v>
      </c>
      <c r="F316" s="52">
        <v>281386</v>
      </c>
      <c r="G316" s="53">
        <v>10.128028</v>
      </c>
    </row>
    <row r="317" spans="1:7">
      <c r="A317" s="50" t="s">
        <v>502</v>
      </c>
      <c r="B317" s="50" t="s">
        <v>29</v>
      </c>
      <c r="C317" s="50" t="s">
        <v>240</v>
      </c>
      <c r="D317" s="51">
        <v>35287</v>
      </c>
      <c r="E317" s="51">
        <v>506453</v>
      </c>
      <c r="F317" s="52">
        <v>64767.9</v>
      </c>
      <c r="G317" s="53">
        <v>12.788531000000001</v>
      </c>
    </row>
    <row r="318" spans="1:7">
      <c r="A318" s="50" t="s">
        <v>503</v>
      </c>
      <c r="B318" s="50" t="s">
        <v>29</v>
      </c>
      <c r="C318" s="50" t="s">
        <v>240</v>
      </c>
      <c r="D318" s="51">
        <v>37243</v>
      </c>
      <c r="E318" s="51">
        <v>579120</v>
      </c>
      <c r="F318" s="52">
        <v>69152</v>
      </c>
      <c r="G318" s="53">
        <v>11.940875999999999</v>
      </c>
    </row>
    <row r="319" spans="1:7">
      <c r="A319" s="50" t="s">
        <v>504</v>
      </c>
      <c r="B319" s="50" t="s">
        <v>29</v>
      </c>
      <c r="C319" s="50" t="s">
        <v>240</v>
      </c>
      <c r="D319" s="51">
        <v>407</v>
      </c>
      <c r="E319" s="51">
        <v>3468</v>
      </c>
      <c r="F319" s="52">
        <v>550</v>
      </c>
      <c r="G319" s="53">
        <v>15.859285</v>
      </c>
    </row>
    <row r="320" spans="1:7">
      <c r="A320" s="50" t="s">
        <v>505</v>
      </c>
      <c r="B320" s="50" t="s">
        <v>29</v>
      </c>
      <c r="C320" s="50" t="s">
        <v>240</v>
      </c>
      <c r="D320" s="51">
        <v>12539</v>
      </c>
      <c r="E320" s="51">
        <v>197393</v>
      </c>
      <c r="F320" s="52">
        <v>26869</v>
      </c>
      <c r="G320" s="53">
        <v>13.611931999999999</v>
      </c>
    </row>
    <row r="321" spans="1:7">
      <c r="A321" s="50" t="s">
        <v>506</v>
      </c>
      <c r="B321" s="50" t="s">
        <v>29</v>
      </c>
      <c r="C321" s="50" t="s">
        <v>240</v>
      </c>
      <c r="D321" s="51">
        <v>237817</v>
      </c>
      <c r="E321" s="51">
        <v>5339689</v>
      </c>
      <c r="F321" s="52">
        <v>578260.30000000005</v>
      </c>
      <c r="G321" s="53">
        <v>10.829475</v>
      </c>
    </row>
    <row r="322" spans="1:7">
      <c r="A322" s="50" t="s">
        <v>507</v>
      </c>
      <c r="B322" s="50" t="s">
        <v>29</v>
      </c>
      <c r="C322" s="50" t="s">
        <v>240</v>
      </c>
      <c r="D322" s="51">
        <v>34926</v>
      </c>
      <c r="E322" s="51">
        <v>579344</v>
      </c>
      <c r="F322" s="52">
        <v>68921</v>
      </c>
      <c r="G322" s="53">
        <v>11.896386</v>
      </c>
    </row>
    <row r="323" spans="1:7">
      <c r="A323" s="50" t="s">
        <v>339</v>
      </c>
      <c r="B323" s="50" t="s">
        <v>29</v>
      </c>
      <c r="C323" s="50" t="s">
        <v>332</v>
      </c>
      <c r="D323" s="51">
        <v>2</v>
      </c>
      <c r="E323" s="51">
        <v>1398</v>
      </c>
      <c r="F323" s="52">
        <v>181.8</v>
      </c>
      <c r="G323" s="53">
        <v>13.004292</v>
      </c>
    </row>
    <row r="324" spans="1:7">
      <c r="A324" s="50" t="s">
        <v>508</v>
      </c>
      <c r="B324" s="50" t="s">
        <v>29</v>
      </c>
      <c r="C324" s="50" t="s">
        <v>240</v>
      </c>
      <c r="D324" s="51">
        <v>25163</v>
      </c>
      <c r="E324" s="51">
        <v>436503</v>
      </c>
      <c r="F324" s="52">
        <v>60888.3</v>
      </c>
      <c r="G324" s="53">
        <v>13.949114</v>
      </c>
    </row>
    <row r="325" spans="1:7">
      <c r="A325" s="50" t="s">
        <v>509</v>
      </c>
      <c r="B325" s="50" t="s">
        <v>29</v>
      </c>
      <c r="C325" s="50" t="s">
        <v>242</v>
      </c>
      <c r="D325" s="51">
        <v>10367</v>
      </c>
      <c r="E325" s="51">
        <v>305923</v>
      </c>
      <c r="F325" s="52">
        <v>34079</v>
      </c>
      <c r="G325" s="53">
        <v>11.139730999999999</v>
      </c>
    </row>
    <row r="326" spans="1:7">
      <c r="A326" s="50" t="s">
        <v>510</v>
      </c>
      <c r="B326" s="50" t="s">
        <v>29</v>
      </c>
      <c r="C326" s="50" t="s">
        <v>240</v>
      </c>
      <c r="D326" s="51">
        <v>102229</v>
      </c>
      <c r="E326" s="51">
        <v>2293510</v>
      </c>
      <c r="F326" s="52">
        <v>225125</v>
      </c>
      <c r="G326" s="53">
        <v>9.8157408999999998</v>
      </c>
    </row>
    <row r="327" spans="1:7">
      <c r="A327" s="50" t="s">
        <v>511</v>
      </c>
      <c r="B327" s="50" t="s">
        <v>29</v>
      </c>
      <c r="C327" s="50" t="s">
        <v>240</v>
      </c>
      <c r="D327" s="51">
        <v>12890</v>
      </c>
      <c r="E327" s="51">
        <v>257378</v>
      </c>
      <c r="F327" s="52">
        <v>29468.2</v>
      </c>
      <c r="G327" s="53">
        <v>11.449386000000001</v>
      </c>
    </row>
    <row r="328" spans="1:7">
      <c r="A328" s="50" t="s">
        <v>461</v>
      </c>
      <c r="B328" s="50" t="s">
        <v>29</v>
      </c>
      <c r="C328" s="50" t="s">
        <v>240</v>
      </c>
      <c r="D328" s="51">
        <v>27288</v>
      </c>
      <c r="E328" s="51">
        <v>433682</v>
      </c>
      <c r="F328" s="52">
        <v>52262.7</v>
      </c>
      <c r="G328" s="53">
        <v>12.050927</v>
      </c>
    </row>
    <row r="329" spans="1:7">
      <c r="A329" s="50" t="s">
        <v>512</v>
      </c>
      <c r="B329" s="50" t="s">
        <v>29</v>
      </c>
      <c r="C329" s="50" t="s">
        <v>240</v>
      </c>
      <c r="D329" s="51">
        <v>17405</v>
      </c>
      <c r="E329" s="51">
        <v>283832</v>
      </c>
      <c r="F329" s="52">
        <v>37129</v>
      </c>
      <c r="G329" s="53">
        <v>13.081329999999999</v>
      </c>
    </row>
    <row r="330" spans="1:7">
      <c r="A330" s="50" t="s">
        <v>513</v>
      </c>
      <c r="B330" s="50" t="s">
        <v>29</v>
      </c>
      <c r="C330" s="50" t="s">
        <v>240</v>
      </c>
      <c r="D330" s="51">
        <v>18762</v>
      </c>
      <c r="E330" s="51">
        <v>269210</v>
      </c>
      <c r="F330" s="52">
        <v>34780.5</v>
      </c>
      <c r="G330" s="53">
        <v>12.919468</v>
      </c>
    </row>
    <row r="331" spans="1:7">
      <c r="A331" s="50" t="s">
        <v>514</v>
      </c>
      <c r="B331" s="50" t="s">
        <v>29</v>
      </c>
      <c r="C331" s="50" t="s">
        <v>240</v>
      </c>
      <c r="D331" s="51">
        <v>56822</v>
      </c>
      <c r="E331" s="51">
        <v>1096270</v>
      </c>
      <c r="F331" s="52">
        <v>109259.5</v>
      </c>
      <c r="G331" s="53">
        <v>9.9664771999999999</v>
      </c>
    </row>
    <row r="332" spans="1:7">
      <c r="A332" s="50" t="s">
        <v>515</v>
      </c>
      <c r="B332" s="50" t="s">
        <v>29</v>
      </c>
      <c r="C332" s="50" t="s">
        <v>240</v>
      </c>
      <c r="D332" s="51">
        <v>188447</v>
      </c>
      <c r="E332" s="51">
        <v>3504212</v>
      </c>
      <c r="F332" s="52">
        <v>382712</v>
      </c>
      <c r="G332" s="53">
        <v>10.921485000000001</v>
      </c>
    </row>
    <row r="333" spans="1:7">
      <c r="A333" s="50" t="s">
        <v>516</v>
      </c>
      <c r="B333" s="50" t="s">
        <v>29</v>
      </c>
      <c r="C333" s="50" t="s">
        <v>240</v>
      </c>
      <c r="D333" s="51">
        <v>102518</v>
      </c>
      <c r="E333" s="51">
        <v>1920371</v>
      </c>
      <c r="F333" s="52">
        <v>185189</v>
      </c>
      <c r="G333" s="53">
        <v>9.6433970000000002</v>
      </c>
    </row>
    <row r="334" spans="1:7">
      <c r="A334" s="50" t="s">
        <v>517</v>
      </c>
      <c r="B334" s="50" t="s">
        <v>29</v>
      </c>
      <c r="C334" s="50" t="s">
        <v>240</v>
      </c>
      <c r="D334" s="51">
        <v>19958</v>
      </c>
      <c r="E334" s="51">
        <v>335978</v>
      </c>
      <c r="F334" s="52">
        <v>41977</v>
      </c>
      <c r="G334" s="53">
        <v>12.493973</v>
      </c>
    </row>
    <row r="335" spans="1:7">
      <c r="A335" s="50" t="s">
        <v>518</v>
      </c>
      <c r="B335" s="50" t="s">
        <v>29</v>
      </c>
      <c r="C335" s="50" t="s">
        <v>240</v>
      </c>
      <c r="D335" s="51">
        <v>20707</v>
      </c>
      <c r="E335" s="51">
        <v>348838</v>
      </c>
      <c r="F335" s="52">
        <v>47251.199999999997</v>
      </c>
      <c r="G335" s="53">
        <v>13.545313</v>
      </c>
    </row>
    <row r="336" spans="1:7">
      <c r="A336" s="50" t="s">
        <v>351</v>
      </c>
      <c r="B336" s="50" t="s">
        <v>29</v>
      </c>
      <c r="C336" s="50" t="s">
        <v>332</v>
      </c>
      <c r="D336" s="51">
        <v>5</v>
      </c>
      <c r="E336" s="51">
        <v>5847</v>
      </c>
      <c r="F336" s="52">
        <v>731.4</v>
      </c>
      <c r="G336" s="53">
        <v>12.508979</v>
      </c>
    </row>
    <row r="337" spans="1:7">
      <c r="A337" s="50" t="s">
        <v>519</v>
      </c>
      <c r="B337" s="50" t="s">
        <v>29</v>
      </c>
      <c r="C337" s="50" t="s">
        <v>240</v>
      </c>
      <c r="D337" s="51">
        <v>14993</v>
      </c>
      <c r="E337" s="51">
        <v>220178</v>
      </c>
      <c r="F337" s="52">
        <v>32795</v>
      </c>
      <c r="G337" s="53">
        <v>14.894767</v>
      </c>
    </row>
    <row r="338" spans="1:7">
      <c r="A338" s="50" t="s">
        <v>1830</v>
      </c>
      <c r="B338" s="50" t="s">
        <v>29</v>
      </c>
      <c r="C338" s="50" t="s">
        <v>240</v>
      </c>
      <c r="D338" s="51">
        <v>22206</v>
      </c>
      <c r="E338" s="51">
        <v>378921</v>
      </c>
      <c r="F338" s="52">
        <v>45155.3</v>
      </c>
      <c r="G338" s="53">
        <v>11.916810999999999</v>
      </c>
    </row>
    <row r="339" spans="1:7">
      <c r="A339" s="50" t="s">
        <v>520</v>
      </c>
      <c r="B339" s="50" t="s">
        <v>29</v>
      </c>
      <c r="C339" s="50" t="s">
        <v>240</v>
      </c>
      <c r="D339" s="51">
        <v>15181</v>
      </c>
      <c r="E339" s="51">
        <v>224131</v>
      </c>
      <c r="F339" s="52">
        <v>28049</v>
      </c>
      <c r="G339" s="53">
        <v>12.514556000000001</v>
      </c>
    </row>
    <row r="340" spans="1:7">
      <c r="A340" s="50" t="s">
        <v>521</v>
      </c>
      <c r="B340" s="50" t="s">
        <v>29</v>
      </c>
      <c r="C340" s="50" t="s">
        <v>240</v>
      </c>
      <c r="D340" s="51">
        <v>132341</v>
      </c>
      <c r="E340" s="51">
        <v>2572342</v>
      </c>
      <c r="F340" s="52">
        <v>288543.5</v>
      </c>
      <c r="G340" s="53">
        <v>11.217152</v>
      </c>
    </row>
    <row r="341" spans="1:7">
      <c r="A341" s="50" t="s">
        <v>522</v>
      </c>
      <c r="B341" s="50" t="s">
        <v>29</v>
      </c>
      <c r="C341" s="50" t="s">
        <v>240</v>
      </c>
      <c r="D341" s="51">
        <v>15744</v>
      </c>
      <c r="E341" s="51">
        <v>343198</v>
      </c>
      <c r="F341" s="52">
        <v>35648</v>
      </c>
      <c r="G341" s="53">
        <v>10.387007000000001</v>
      </c>
    </row>
    <row r="342" spans="1:7">
      <c r="A342" s="50" t="s">
        <v>338</v>
      </c>
      <c r="B342" s="50" t="s">
        <v>31</v>
      </c>
      <c r="C342" s="50" t="s">
        <v>332</v>
      </c>
      <c r="D342" s="51">
        <v>22</v>
      </c>
      <c r="E342" s="51">
        <v>163</v>
      </c>
      <c r="F342" s="52">
        <v>45.7</v>
      </c>
      <c r="G342" s="53">
        <v>28.036809999999999</v>
      </c>
    </row>
    <row r="343" spans="1:7">
      <c r="A343" s="50" t="s">
        <v>523</v>
      </c>
      <c r="B343" s="50" t="s">
        <v>31</v>
      </c>
      <c r="C343" s="50" t="s">
        <v>237</v>
      </c>
      <c r="D343" s="51">
        <v>87357</v>
      </c>
      <c r="E343" s="51">
        <v>978428</v>
      </c>
      <c r="F343" s="52">
        <v>329194.7</v>
      </c>
      <c r="G343" s="53">
        <v>33.645265999999999</v>
      </c>
    </row>
    <row r="344" spans="1:7">
      <c r="A344" s="50" t="s">
        <v>524</v>
      </c>
      <c r="B344" s="50" t="s">
        <v>31</v>
      </c>
      <c r="C344" s="50" t="s">
        <v>237</v>
      </c>
      <c r="D344" s="51">
        <v>307378</v>
      </c>
      <c r="E344" s="51">
        <v>6183094</v>
      </c>
      <c r="F344" s="52">
        <v>1592463.2</v>
      </c>
      <c r="G344" s="53">
        <v>25.755119000000001</v>
      </c>
    </row>
    <row r="345" spans="1:7">
      <c r="A345" s="50" t="s">
        <v>525</v>
      </c>
      <c r="B345" s="50" t="s">
        <v>31</v>
      </c>
      <c r="C345" s="50" t="s">
        <v>240</v>
      </c>
      <c r="D345" s="51">
        <v>34495</v>
      </c>
      <c r="E345" s="51">
        <v>415291</v>
      </c>
      <c r="F345" s="52">
        <v>135958.1</v>
      </c>
      <c r="G345" s="53">
        <v>32.738031999999997</v>
      </c>
    </row>
    <row r="346" spans="1:7">
      <c r="A346" s="50" t="s">
        <v>339</v>
      </c>
      <c r="B346" s="50" t="s">
        <v>31</v>
      </c>
      <c r="C346" s="50" t="s">
        <v>332</v>
      </c>
      <c r="D346" s="51">
        <v>9</v>
      </c>
      <c r="E346" s="51">
        <v>2567</v>
      </c>
      <c r="F346" s="52">
        <v>520.79999999999995</v>
      </c>
      <c r="G346" s="53">
        <v>20.288274000000001</v>
      </c>
    </row>
    <row r="347" spans="1:7">
      <c r="A347" s="50" t="s">
        <v>526</v>
      </c>
      <c r="B347" s="50" t="s">
        <v>31</v>
      </c>
      <c r="C347" s="50" t="s">
        <v>237</v>
      </c>
      <c r="D347" s="51">
        <v>73304</v>
      </c>
      <c r="E347" s="51">
        <v>958689</v>
      </c>
      <c r="F347" s="52">
        <v>317871.59999999998</v>
      </c>
      <c r="G347" s="53">
        <v>33.156905000000002</v>
      </c>
    </row>
    <row r="348" spans="1:7">
      <c r="A348" s="50" t="s">
        <v>343</v>
      </c>
      <c r="B348" s="50" t="s">
        <v>31</v>
      </c>
      <c r="C348" s="50" t="s">
        <v>332</v>
      </c>
      <c r="D348" s="51">
        <v>5067</v>
      </c>
      <c r="E348" s="51">
        <v>64405</v>
      </c>
      <c r="F348" s="52">
        <v>8183</v>
      </c>
      <c r="G348" s="53">
        <v>12.705534999999999</v>
      </c>
    </row>
    <row r="349" spans="1:7">
      <c r="A349" s="50" t="s">
        <v>344</v>
      </c>
      <c r="B349" s="50" t="s">
        <v>31</v>
      </c>
      <c r="C349" s="50" t="s">
        <v>332</v>
      </c>
      <c r="D349" s="51">
        <v>199</v>
      </c>
      <c r="E349" s="51">
        <v>2126</v>
      </c>
      <c r="F349" s="52">
        <v>422</v>
      </c>
      <c r="G349" s="53">
        <v>19.849482999999999</v>
      </c>
    </row>
    <row r="350" spans="1:7">
      <c r="A350" s="50" t="s">
        <v>348</v>
      </c>
      <c r="B350" s="50" t="s">
        <v>31</v>
      </c>
      <c r="C350" s="50" t="s">
        <v>332</v>
      </c>
      <c r="D350" s="51">
        <v>1156</v>
      </c>
      <c r="E350" s="51">
        <v>11881</v>
      </c>
      <c r="F350" s="52">
        <v>2531.5</v>
      </c>
      <c r="G350" s="53">
        <v>21.307129</v>
      </c>
    </row>
    <row r="351" spans="1:7">
      <c r="A351" s="50" t="s">
        <v>349</v>
      </c>
      <c r="B351" s="50" t="s">
        <v>31</v>
      </c>
      <c r="C351" s="50" t="s">
        <v>332</v>
      </c>
      <c r="D351" s="51">
        <v>658</v>
      </c>
      <c r="E351" s="51">
        <v>6596</v>
      </c>
      <c r="F351" s="52">
        <v>1552.5</v>
      </c>
      <c r="G351" s="53">
        <v>23.536992000000001</v>
      </c>
    </row>
    <row r="352" spans="1:7">
      <c r="A352" s="50" t="s">
        <v>350</v>
      </c>
      <c r="B352" s="50" t="s">
        <v>31</v>
      </c>
      <c r="C352" s="50" t="s">
        <v>332</v>
      </c>
      <c r="D352" s="51">
        <v>7827</v>
      </c>
      <c r="E352" s="51">
        <v>66866</v>
      </c>
      <c r="F352" s="52">
        <v>16414.3</v>
      </c>
      <c r="G352" s="53">
        <v>24.548051000000001</v>
      </c>
    </row>
    <row r="353" spans="1:7">
      <c r="A353" s="50" t="s">
        <v>351</v>
      </c>
      <c r="B353" s="50" t="s">
        <v>31</v>
      </c>
      <c r="C353" s="50" t="s">
        <v>332</v>
      </c>
      <c r="D353" s="51">
        <v>6</v>
      </c>
      <c r="E353" s="51">
        <v>2102</v>
      </c>
      <c r="F353" s="52">
        <v>500.1</v>
      </c>
      <c r="G353" s="53">
        <v>23.791626999999998</v>
      </c>
    </row>
    <row r="354" spans="1:7">
      <c r="A354" s="50" t="s">
        <v>356</v>
      </c>
      <c r="B354" s="50" t="s">
        <v>31</v>
      </c>
      <c r="C354" s="50" t="s">
        <v>332</v>
      </c>
      <c r="D354" s="51">
        <v>4871</v>
      </c>
      <c r="E354" s="51">
        <v>31311</v>
      </c>
      <c r="F354" s="52">
        <v>7466.3</v>
      </c>
      <c r="G354" s="53">
        <v>23.845613</v>
      </c>
    </row>
    <row r="355" spans="1:7">
      <c r="A355" s="50" t="s">
        <v>527</v>
      </c>
      <c r="B355" s="50" t="s">
        <v>41</v>
      </c>
      <c r="C355" s="50" t="s">
        <v>240</v>
      </c>
      <c r="D355" s="51">
        <v>8935</v>
      </c>
      <c r="E355" s="51">
        <v>420007</v>
      </c>
      <c r="F355" s="52">
        <v>36281.699999999997</v>
      </c>
      <c r="G355" s="53">
        <v>8.6383559999999999</v>
      </c>
    </row>
    <row r="356" spans="1:7">
      <c r="A356" s="50" t="s">
        <v>528</v>
      </c>
      <c r="B356" s="50" t="s">
        <v>41</v>
      </c>
      <c r="C356" s="50" t="s">
        <v>237</v>
      </c>
      <c r="D356" s="51">
        <v>890</v>
      </c>
      <c r="E356" s="51">
        <v>85371</v>
      </c>
      <c r="F356" s="52">
        <v>7352</v>
      </c>
      <c r="G356" s="53">
        <v>8.6118237000000004</v>
      </c>
    </row>
    <row r="357" spans="1:7">
      <c r="A357" s="50" t="s">
        <v>529</v>
      </c>
      <c r="B357" s="50" t="s">
        <v>41</v>
      </c>
      <c r="C357" s="50" t="s">
        <v>242</v>
      </c>
      <c r="D357" s="51">
        <v>11524</v>
      </c>
      <c r="E357" s="51">
        <v>840939</v>
      </c>
      <c r="F357" s="52">
        <v>58920.2</v>
      </c>
      <c r="G357" s="53">
        <v>7.0064773000000002</v>
      </c>
    </row>
    <row r="358" spans="1:7">
      <c r="A358" s="50" t="s">
        <v>530</v>
      </c>
      <c r="B358" s="50" t="s">
        <v>41</v>
      </c>
      <c r="C358" s="50" t="s">
        <v>240</v>
      </c>
      <c r="D358" s="51">
        <v>5062</v>
      </c>
      <c r="E358" s="51">
        <v>220488</v>
      </c>
      <c r="F358" s="52">
        <v>23776</v>
      </c>
      <c r="G358" s="53">
        <v>10.783353</v>
      </c>
    </row>
    <row r="359" spans="1:7">
      <c r="A359" s="50" t="s">
        <v>531</v>
      </c>
      <c r="B359" s="50" t="s">
        <v>41</v>
      </c>
      <c r="C359" s="50" t="s">
        <v>242</v>
      </c>
      <c r="D359" s="51">
        <v>19630</v>
      </c>
      <c r="E359" s="51">
        <v>466894</v>
      </c>
      <c r="F359" s="52">
        <v>36459.699999999997</v>
      </c>
      <c r="G359" s="53">
        <v>7.8089887999999998</v>
      </c>
    </row>
    <row r="360" spans="1:7">
      <c r="A360" s="50" t="s">
        <v>532</v>
      </c>
      <c r="B360" s="50" t="s">
        <v>41</v>
      </c>
      <c r="C360" s="50" t="s">
        <v>242</v>
      </c>
      <c r="D360" s="51">
        <v>27399</v>
      </c>
      <c r="E360" s="51">
        <v>618595</v>
      </c>
      <c r="F360" s="52">
        <v>55830.8</v>
      </c>
      <c r="G360" s="53">
        <v>9.0254204999999992</v>
      </c>
    </row>
    <row r="361" spans="1:7">
      <c r="A361" s="50" t="s">
        <v>533</v>
      </c>
      <c r="B361" s="50" t="s">
        <v>41</v>
      </c>
      <c r="C361" s="50" t="s">
        <v>242</v>
      </c>
      <c r="D361" s="51">
        <v>3149</v>
      </c>
      <c r="E361" s="51">
        <v>77204</v>
      </c>
      <c r="F361" s="52">
        <v>8267.9</v>
      </c>
      <c r="G361" s="53">
        <v>10.709160000000001</v>
      </c>
    </row>
    <row r="362" spans="1:7">
      <c r="A362" s="50" t="s">
        <v>534</v>
      </c>
      <c r="B362" s="50" t="s">
        <v>41</v>
      </c>
      <c r="C362" s="50" t="s">
        <v>242</v>
      </c>
      <c r="D362" s="51">
        <v>3392</v>
      </c>
      <c r="E362" s="51">
        <v>67677</v>
      </c>
      <c r="F362" s="52">
        <v>7455.1</v>
      </c>
      <c r="G362" s="53">
        <v>11.015707000000001</v>
      </c>
    </row>
    <row r="363" spans="1:7">
      <c r="A363" s="50" t="s">
        <v>535</v>
      </c>
      <c r="B363" s="50" t="s">
        <v>41</v>
      </c>
      <c r="C363" s="50" t="s">
        <v>242</v>
      </c>
      <c r="D363" s="51">
        <v>591</v>
      </c>
      <c r="E363" s="51">
        <v>7110</v>
      </c>
      <c r="F363" s="52">
        <v>999.6</v>
      </c>
      <c r="G363" s="53">
        <v>14.059072</v>
      </c>
    </row>
    <row r="364" spans="1:7">
      <c r="A364" s="50" t="s">
        <v>536</v>
      </c>
      <c r="B364" s="50" t="s">
        <v>41</v>
      </c>
      <c r="C364" s="50" t="s">
        <v>240</v>
      </c>
      <c r="D364" s="51">
        <v>6907</v>
      </c>
      <c r="E364" s="51">
        <v>179283</v>
      </c>
      <c r="F364" s="52">
        <v>19283.900000000001</v>
      </c>
      <c r="G364" s="53">
        <v>10.756123000000001</v>
      </c>
    </row>
    <row r="365" spans="1:7">
      <c r="A365" s="50" t="s">
        <v>537</v>
      </c>
      <c r="B365" s="50" t="s">
        <v>41</v>
      </c>
      <c r="C365" s="50" t="s">
        <v>240</v>
      </c>
      <c r="D365" s="51">
        <v>8987</v>
      </c>
      <c r="E365" s="51">
        <v>205477</v>
      </c>
      <c r="F365" s="52">
        <v>21385</v>
      </c>
      <c r="G365" s="53">
        <v>10.407491</v>
      </c>
    </row>
    <row r="366" spans="1:7">
      <c r="A366" s="50" t="s">
        <v>538</v>
      </c>
      <c r="B366" s="50" t="s">
        <v>41</v>
      </c>
      <c r="C366" s="50" t="s">
        <v>240</v>
      </c>
      <c r="D366" s="51">
        <v>23781</v>
      </c>
      <c r="E366" s="51">
        <v>545184</v>
      </c>
      <c r="F366" s="52">
        <v>57415.4</v>
      </c>
      <c r="G366" s="53">
        <v>10.53138</v>
      </c>
    </row>
    <row r="367" spans="1:7">
      <c r="A367" s="50" t="s">
        <v>539</v>
      </c>
      <c r="B367" s="50" t="s">
        <v>41</v>
      </c>
      <c r="C367" s="50" t="s">
        <v>240</v>
      </c>
      <c r="D367" s="51">
        <v>61</v>
      </c>
      <c r="E367" s="51">
        <v>1138</v>
      </c>
      <c r="F367" s="52">
        <v>118</v>
      </c>
      <c r="G367" s="53">
        <v>10.369069</v>
      </c>
    </row>
    <row r="368" spans="1:7">
      <c r="A368" s="50" t="s">
        <v>2465</v>
      </c>
      <c r="B368" s="50" t="s">
        <v>41</v>
      </c>
      <c r="C368" s="50" t="s">
        <v>240</v>
      </c>
      <c r="D368" s="51">
        <v>6</v>
      </c>
      <c r="E368" s="51">
        <v>75</v>
      </c>
      <c r="F368" s="52">
        <v>10.9</v>
      </c>
      <c r="G368" s="53">
        <v>14.533333000000001</v>
      </c>
    </row>
    <row r="369" spans="1:7">
      <c r="A369" s="50" t="s">
        <v>540</v>
      </c>
      <c r="B369" s="50" t="s">
        <v>41</v>
      </c>
      <c r="C369" s="50" t="s">
        <v>240</v>
      </c>
      <c r="D369" s="51">
        <v>5253</v>
      </c>
      <c r="E369" s="51">
        <v>294621</v>
      </c>
      <c r="F369" s="52">
        <v>26828.7</v>
      </c>
      <c r="G369" s="53">
        <v>9.1061736999999994</v>
      </c>
    </row>
    <row r="370" spans="1:7">
      <c r="A370" s="50" t="s">
        <v>541</v>
      </c>
      <c r="B370" s="50" t="s">
        <v>41</v>
      </c>
      <c r="C370" s="50" t="s">
        <v>237</v>
      </c>
      <c r="D370" s="51">
        <v>494552</v>
      </c>
      <c r="E370" s="51">
        <v>13864405</v>
      </c>
      <c r="F370" s="52">
        <v>1576372</v>
      </c>
      <c r="G370" s="53">
        <v>11.369922000000001</v>
      </c>
    </row>
    <row r="371" spans="1:7">
      <c r="A371" s="50" t="s">
        <v>542</v>
      </c>
      <c r="B371" s="50" t="s">
        <v>41</v>
      </c>
      <c r="C371" s="50" t="s">
        <v>240</v>
      </c>
      <c r="D371" s="51">
        <v>12902</v>
      </c>
      <c r="E371" s="51">
        <v>535596</v>
      </c>
      <c r="F371" s="52">
        <v>53997.3</v>
      </c>
      <c r="G371" s="53">
        <v>10.081721999999999</v>
      </c>
    </row>
    <row r="372" spans="1:7">
      <c r="A372" s="50" t="s">
        <v>543</v>
      </c>
      <c r="B372" s="50" t="s">
        <v>41</v>
      </c>
      <c r="C372" s="50" t="s">
        <v>240</v>
      </c>
      <c r="D372" s="51">
        <v>31029</v>
      </c>
      <c r="E372" s="51">
        <v>499393</v>
      </c>
      <c r="F372" s="52">
        <v>53549</v>
      </c>
      <c r="G372" s="53">
        <v>10.722818</v>
      </c>
    </row>
    <row r="373" spans="1:7">
      <c r="A373" s="50" t="s">
        <v>544</v>
      </c>
      <c r="B373" s="50" t="s">
        <v>41</v>
      </c>
      <c r="C373" s="50" t="s">
        <v>240</v>
      </c>
      <c r="D373" s="51">
        <v>16487</v>
      </c>
      <c r="E373" s="51">
        <v>289962</v>
      </c>
      <c r="F373" s="52">
        <v>32354.400000000001</v>
      </c>
      <c r="G373" s="53">
        <v>11.158151999999999</v>
      </c>
    </row>
    <row r="374" spans="1:7">
      <c r="A374" s="50" t="s">
        <v>545</v>
      </c>
      <c r="B374" s="50" t="s">
        <v>41</v>
      </c>
      <c r="C374" s="50" t="s">
        <v>240</v>
      </c>
      <c r="D374" s="51">
        <v>7078</v>
      </c>
      <c r="E374" s="51">
        <v>214474</v>
      </c>
      <c r="F374" s="52">
        <v>25589.4</v>
      </c>
      <c r="G374" s="53">
        <v>11.931236</v>
      </c>
    </row>
    <row r="375" spans="1:7">
      <c r="A375" s="50" t="s">
        <v>546</v>
      </c>
      <c r="B375" s="50" t="s">
        <v>41</v>
      </c>
      <c r="C375" s="50" t="s">
        <v>237</v>
      </c>
      <c r="D375" s="51">
        <v>704560</v>
      </c>
      <c r="E375" s="51">
        <v>24424675</v>
      </c>
      <c r="F375" s="52">
        <v>1757305</v>
      </c>
      <c r="G375" s="53">
        <v>7.1947938000000002</v>
      </c>
    </row>
    <row r="376" spans="1:7">
      <c r="A376" s="50" t="s">
        <v>547</v>
      </c>
      <c r="B376" s="50" t="s">
        <v>41</v>
      </c>
      <c r="C376" s="50" t="s">
        <v>240</v>
      </c>
      <c r="D376" s="51">
        <v>11996</v>
      </c>
      <c r="E376" s="51">
        <v>460756</v>
      </c>
      <c r="F376" s="52">
        <v>45788</v>
      </c>
      <c r="G376" s="53">
        <v>9.9375807999999992</v>
      </c>
    </row>
    <row r="377" spans="1:7">
      <c r="A377" s="50" t="s">
        <v>548</v>
      </c>
      <c r="B377" s="50" t="s">
        <v>41</v>
      </c>
      <c r="C377" s="50" t="s">
        <v>240</v>
      </c>
      <c r="D377" s="51">
        <v>10155</v>
      </c>
      <c r="E377" s="51">
        <v>655341</v>
      </c>
      <c r="F377" s="52">
        <v>52036.3</v>
      </c>
      <c r="G377" s="53">
        <v>7.9403395000000003</v>
      </c>
    </row>
    <row r="378" spans="1:7">
      <c r="A378" s="50" t="s">
        <v>549</v>
      </c>
      <c r="B378" s="50" t="s">
        <v>41</v>
      </c>
      <c r="C378" s="50" t="s">
        <v>240</v>
      </c>
      <c r="D378" s="51">
        <v>4311</v>
      </c>
      <c r="E378" s="51">
        <v>340336</v>
      </c>
      <c r="F378" s="52">
        <v>31415.9</v>
      </c>
      <c r="G378" s="53">
        <v>9.2308482999999999</v>
      </c>
    </row>
    <row r="379" spans="1:7">
      <c r="A379" s="50" t="s">
        <v>550</v>
      </c>
      <c r="B379" s="50" t="s">
        <v>33</v>
      </c>
      <c r="C379" s="50" t="s">
        <v>237</v>
      </c>
      <c r="D379" s="51">
        <v>137010</v>
      </c>
      <c r="E379" s="51">
        <v>3412403</v>
      </c>
      <c r="F379" s="52">
        <v>267855</v>
      </c>
      <c r="G379" s="53">
        <v>7.8494539000000003</v>
      </c>
    </row>
    <row r="380" spans="1:7">
      <c r="A380" s="50" t="s">
        <v>551</v>
      </c>
      <c r="B380" s="50" t="s">
        <v>33</v>
      </c>
      <c r="C380" s="50" t="s">
        <v>242</v>
      </c>
      <c r="D380" s="51">
        <v>29174</v>
      </c>
      <c r="E380" s="51">
        <v>705735</v>
      </c>
      <c r="F380" s="52">
        <v>49895.7</v>
      </c>
      <c r="G380" s="53">
        <v>7.0700333999999998</v>
      </c>
    </row>
    <row r="381" spans="1:7">
      <c r="A381" s="50" t="s">
        <v>553</v>
      </c>
      <c r="B381" s="50" t="s">
        <v>33</v>
      </c>
      <c r="C381" s="50" t="s">
        <v>240</v>
      </c>
      <c r="D381" s="51">
        <v>15581</v>
      </c>
      <c r="E381" s="51">
        <v>276152</v>
      </c>
      <c r="F381" s="52">
        <v>26055</v>
      </c>
      <c r="G381" s="53">
        <v>9.4350213000000007</v>
      </c>
    </row>
    <row r="382" spans="1:7">
      <c r="A382" s="50" t="s">
        <v>554</v>
      </c>
      <c r="B382" s="50" t="s">
        <v>33</v>
      </c>
      <c r="C382" s="50" t="s">
        <v>237</v>
      </c>
      <c r="D382" s="51">
        <v>560394</v>
      </c>
      <c r="E382" s="51">
        <v>14160175</v>
      </c>
      <c r="F382" s="52">
        <v>1128710.5</v>
      </c>
      <c r="G382" s="53">
        <v>7.9710207999999998</v>
      </c>
    </row>
    <row r="383" spans="1:7">
      <c r="A383" s="50" t="s">
        <v>555</v>
      </c>
      <c r="B383" s="50" t="s">
        <v>33</v>
      </c>
      <c r="C383" s="50" t="s">
        <v>240</v>
      </c>
      <c r="D383" s="51">
        <v>2001</v>
      </c>
      <c r="E383" s="51">
        <v>34714</v>
      </c>
      <c r="F383" s="52">
        <v>2955.5</v>
      </c>
      <c r="G383" s="53">
        <v>8.5138560999999999</v>
      </c>
    </row>
    <row r="384" spans="1:7">
      <c r="A384" s="50" t="s">
        <v>1831</v>
      </c>
      <c r="B384" s="50" t="s">
        <v>33</v>
      </c>
      <c r="C384" s="50" t="s">
        <v>240</v>
      </c>
      <c r="D384" s="51">
        <v>28034</v>
      </c>
      <c r="E384" s="51">
        <v>495044</v>
      </c>
      <c r="F384" s="52">
        <v>47536</v>
      </c>
      <c r="G384" s="53">
        <v>9.6023788000000003</v>
      </c>
    </row>
    <row r="385" spans="1:7">
      <c r="A385" s="50" t="s">
        <v>556</v>
      </c>
      <c r="B385" s="50" t="s">
        <v>33</v>
      </c>
      <c r="C385" s="50" t="s">
        <v>240</v>
      </c>
      <c r="D385" s="51">
        <v>1805</v>
      </c>
      <c r="E385" s="51">
        <v>71672</v>
      </c>
      <c r="F385" s="52">
        <v>4065</v>
      </c>
      <c r="G385" s="53">
        <v>5.6716708999999996</v>
      </c>
    </row>
    <row r="386" spans="1:7">
      <c r="A386" s="50" t="s">
        <v>557</v>
      </c>
      <c r="B386" s="50" t="s">
        <v>33</v>
      </c>
      <c r="C386" s="50" t="s">
        <v>240</v>
      </c>
      <c r="D386" s="51">
        <v>60</v>
      </c>
      <c r="E386" s="51">
        <v>1332</v>
      </c>
      <c r="F386" s="52">
        <v>128.4</v>
      </c>
      <c r="G386" s="53">
        <v>9.6396396000000006</v>
      </c>
    </row>
    <row r="387" spans="1:7">
      <c r="A387" s="50" t="s">
        <v>558</v>
      </c>
      <c r="B387" s="50" t="s">
        <v>33</v>
      </c>
      <c r="C387" s="50" t="s">
        <v>240</v>
      </c>
      <c r="D387" s="51">
        <v>17323</v>
      </c>
      <c r="E387" s="51">
        <v>269904</v>
      </c>
      <c r="F387" s="52">
        <v>29253</v>
      </c>
      <c r="G387" s="53">
        <v>10.838298</v>
      </c>
    </row>
    <row r="388" spans="1:7">
      <c r="A388" s="50" t="s">
        <v>382</v>
      </c>
      <c r="B388" s="50" t="s">
        <v>33</v>
      </c>
      <c r="C388" s="50" t="s">
        <v>237</v>
      </c>
      <c r="D388" s="51">
        <v>83421</v>
      </c>
      <c r="E388" s="51">
        <v>3534206</v>
      </c>
      <c r="F388" s="52">
        <v>287075.3</v>
      </c>
      <c r="G388" s="53">
        <v>8.1227664999999991</v>
      </c>
    </row>
    <row r="389" spans="1:7">
      <c r="A389" s="50" t="s">
        <v>1832</v>
      </c>
      <c r="B389" s="50" t="s">
        <v>33</v>
      </c>
      <c r="C389" s="50" t="s">
        <v>240</v>
      </c>
      <c r="D389" s="51">
        <v>2650</v>
      </c>
      <c r="E389" s="51">
        <v>234357</v>
      </c>
      <c r="F389" s="52">
        <v>13284</v>
      </c>
      <c r="G389" s="53">
        <v>5.6682753000000003</v>
      </c>
    </row>
    <row r="390" spans="1:7">
      <c r="A390" s="50" t="s">
        <v>559</v>
      </c>
      <c r="B390" s="50" t="s">
        <v>33</v>
      </c>
      <c r="C390" s="50" t="s">
        <v>240</v>
      </c>
      <c r="D390" s="51">
        <v>2841</v>
      </c>
      <c r="E390" s="51">
        <v>97418</v>
      </c>
      <c r="F390" s="52">
        <v>7066</v>
      </c>
      <c r="G390" s="53">
        <v>7.2532797000000002</v>
      </c>
    </row>
    <row r="391" spans="1:7">
      <c r="A391" s="50" t="s">
        <v>560</v>
      </c>
      <c r="B391" s="50" t="s">
        <v>33</v>
      </c>
      <c r="C391" s="50" t="s">
        <v>240</v>
      </c>
      <c r="D391" s="51">
        <v>7059</v>
      </c>
      <c r="E391" s="51">
        <v>294682</v>
      </c>
      <c r="F391" s="52">
        <v>17697</v>
      </c>
      <c r="G391" s="53">
        <v>6.0054566999999999</v>
      </c>
    </row>
    <row r="392" spans="1:7">
      <c r="A392" s="50" t="s">
        <v>562</v>
      </c>
      <c r="B392" s="50" t="s">
        <v>36</v>
      </c>
      <c r="C392" s="50" t="s">
        <v>237</v>
      </c>
      <c r="D392" s="51">
        <v>525887</v>
      </c>
      <c r="E392" s="51">
        <v>7824543</v>
      </c>
      <c r="F392" s="52">
        <v>720542.4</v>
      </c>
      <c r="G392" s="53">
        <v>9.2087474</v>
      </c>
    </row>
    <row r="393" spans="1:7">
      <c r="A393" s="50" t="s">
        <v>563</v>
      </c>
      <c r="B393" s="50" t="s">
        <v>36</v>
      </c>
      <c r="C393" s="50" t="s">
        <v>242</v>
      </c>
      <c r="D393" s="51">
        <v>11111</v>
      </c>
      <c r="E393" s="51">
        <v>406824</v>
      </c>
      <c r="F393" s="52">
        <v>45052</v>
      </c>
      <c r="G393" s="53">
        <v>11.074076</v>
      </c>
    </row>
    <row r="394" spans="1:7">
      <c r="A394" s="50" t="s">
        <v>564</v>
      </c>
      <c r="B394" s="50" t="s">
        <v>36</v>
      </c>
      <c r="C394" s="50" t="s">
        <v>242</v>
      </c>
      <c r="D394" s="51">
        <v>10329</v>
      </c>
      <c r="E394" s="51">
        <v>361622</v>
      </c>
      <c r="F394" s="52">
        <v>34756</v>
      </c>
      <c r="G394" s="53">
        <v>9.6111409000000005</v>
      </c>
    </row>
    <row r="395" spans="1:7">
      <c r="A395" s="50" t="s">
        <v>565</v>
      </c>
      <c r="B395" s="50" t="s">
        <v>36</v>
      </c>
      <c r="C395" s="50" t="s">
        <v>242</v>
      </c>
      <c r="D395" s="51">
        <v>60958</v>
      </c>
      <c r="E395" s="51">
        <v>1257854</v>
      </c>
      <c r="F395" s="52">
        <v>152508.29999999999</v>
      </c>
      <c r="G395" s="53">
        <v>12.124483</v>
      </c>
    </row>
    <row r="396" spans="1:7">
      <c r="A396" s="50" t="s">
        <v>566</v>
      </c>
      <c r="B396" s="50" t="s">
        <v>36</v>
      </c>
      <c r="C396" s="50" t="s">
        <v>242</v>
      </c>
      <c r="D396" s="51">
        <v>5892</v>
      </c>
      <c r="E396" s="51">
        <v>233630</v>
      </c>
      <c r="F396" s="52">
        <v>25749</v>
      </c>
      <c r="G396" s="53">
        <v>11.021273000000001</v>
      </c>
    </row>
    <row r="397" spans="1:7">
      <c r="A397" s="50" t="s">
        <v>567</v>
      </c>
      <c r="B397" s="50" t="s">
        <v>36</v>
      </c>
      <c r="C397" s="50" t="s">
        <v>242</v>
      </c>
      <c r="D397" s="51">
        <v>71448</v>
      </c>
      <c r="E397" s="51">
        <v>1594158</v>
      </c>
      <c r="F397" s="52">
        <v>201454.9</v>
      </c>
      <c r="G397" s="53">
        <v>12.637072</v>
      </c>
    </row>
    <row r="398" spans="1:7">
      <c r="A398" s="50" t="s">
        <v>568</v>
      </c>
      <c r="B398" s="50" t="s">
        <v>36</v>
      </c>
      <c r="C398" s="50" t="s">
        <v>242</v>
      </c>
      <c r="D398" s="51">
        <v>16048</v>
      </c>
      <c r="E398" s="51">
        <v>484546</v>
      </c>
      <c r="F398" s="52">
        <v>58858.3</v>
      </c>
      <c r="G398" s="53">
        <v>12.147103</v>
      </c>
    </row>
    <row r="399" spans="1:7">
      <c r="A399" s="50" t="s">
        <v>569</v>
      </c>
      <c r="B399" s="50" t="s">
        <v>36</v>
      </c>
      <c r="C399" s="50" t="s">
        <v>240</v>
      </c>
      <c r="D399" s="51">
        <v>9570</v>
      </c>
      <c r="E399" s="51">
        <v>199663</v>
      </c>
      <c r="F399" s="52">
        <v>26709</v>
      </c>
      <c r="G399" s="53">
        <v>13.377039999999999</v>
      </c>
    </row>
    <row r="400" spans="1:7">
      <c r="A400" s="50" t="s">
        <v>570</v>
      </c>
      <c r="B400" s="50" t="s">
        <v>36</v>
      </c>
      <c r="C400" s="50" t="s">
        <v>237</v>
      </c>
      <c r="D400" s="51">
        <v>2852357</v>
      </c>
      <c r="E400" s="51">
        <v>27950626</v>
      </c>
      <c r="F400" s="52">
        <v>3388892.2</v>
      </c>
      <c r="G400" s="53">
        <v>12.124566</v>
      </c>
    </row>
    <row r="401" spans="1:7">
      <c r="A401" s="50" t="s">
        <v>571</v>
      </c>
      <c r="B401" s="50" t="s">
        <v>36</v>
      </c>
      <c r="C401" s="50" t="s">
        <v>240</v>
      </c>
      <c r="D401" s="51">
        <v>36395</v>
      </c>
      <c r="E401" s="51">
        <v>629129</v>
      </c>
      <c r="F401" s="52">
        <v>77335.899999999994</v>
      </c>
      <c r="G401" s="53">
        <v>12.292535000000001</v>
      </c>
    </row>
    <row r="402" spans="1:7">
      <c r="A402" s="50" t="s">
        <v>572</v>
      </c>
      <c r="B402" s="50" t="s">
        <v>36</v>
      </c>
      <c r="C402" s="50" t="s">
        <v>240</v>
      </c>
      <c r="D402" s="51">
        <v>13520</v>
      </c>
      <c r="E402" s="51">
        <v>240148</v>
      </c>
      <c r="F402" s="52">
        <v>33192</v>
      </c>
      <c r="G402" s="53">
        <v>13.821477</v>
      </c>
    </row>
    <row r="403" spans="1:7">
      <c r="A403" s="50" t="s">
        <v>573</v>
      </c>
      <c r="B403" s="50" t="s">
        <v>36</v>
      </c>
      <c r="C403" s="50" t="s">
        <v>240</v>
      </c>
      <c r="D403" s="51">
        <v>15387</v>
      </c>
      <c r="E403" s="51">
        <v>311730</v>
      </c>
      <c r="F403" s="52">
        <v>40113.800000000003</v>
      </c>
      <c r="G403" s="53">
        <v>12.868123000000001</v>
      </c>
    </row>
    <row r="404" spans="1:7">
      <c r="A404" s="50" t="s">
        <v>574</v>
      </c>
      <c r="B404" s="50" t="s">
        <v>36</v>
      </c>
      <c r="C404" s="50" t="s">
        <v>240</v>
      </c>
      <c r="D404" s="51">
        <v>20528</v>
      </c>
      <c r="E404" s="51">
        <v>335951</v>
      </c>
      <c r="F404" s="52">
        <v>46718.400000000001</v>
      </c>
      <c r="G404" s="53">
        <v>13.906314</v>
      </c>
    </row>
    <row r="405" spans="1:7">
      <c r="A405" s="50" t="s">
        <v>575</v>
      </c>
      <c r="B405" s="50" t="s">
        <v>36</v>
      </c>
      <c r="C405" s="50" t="s">
        <v>240</v>
      </c>
      <c r="D405" s="51">
        <v>10940</v>
      </c>
      <c r="E405" s="51">
        <v>199542</v>
      </c>
      <c r="F405" s="52">
        <v>28628.1</v>
      </c>
      <c r="G405" s="53">
        <v>14.346904</v>
      </c>
    </row>
    <row r="406" spans="1:7">
      <c r="A406" s="50" t="s">
        <v>546</v>
      </c>
      <c r="B406" s="50" t="s">
        <v>36</v>
      </c>
      <c r="C406" s="50" t="s">
        <v>237</v>
      </c>
      <c r="D406" s="51">
        <v>85367</v>
      </c>
      <c r="E406" s="51">
        <v>1847508</v>
      </c>
      <c r="F406" s="52">
        <v>132919.70000000001</v>
      </c>
      <c r="G406" s="53">
        <v>7.1945398999999997</v>
      </c>
    </row>
    <row r="407" spans="1:7">
      <c r="A407" s="50" t="s">
        <v>576</v>
      </c>
      <c r="B407" s="50" t="s">
        <v>36</v>
      </c>
      <c r="C407" s="50" t="s">
        <v>237</v>
      </c>
      <c r="D407" s="51">
        <v>5263</v>
      </c>
      <c r="E407" s="51">
        <v>86220</v>
      </c>
      <c r="F407" s="52">
        <v>12344</v>
      </c>
      <c r="G407" s="53">
        <v>14.316864000000001</v>
      </c>
    </row>
    <row r="408" spans="1:7">
      <c r="A408" s="50" t="s">
        <v>577</v>
      </c>
      <c r="B408" s="50" t="s">
        <v>36</v>
      </c>
      <c r="C408" s="50" t="s">
        <v>240</v>
      </c>
      <c r="D408" s="51">
        <v>20056</v>
      </c>
      <c r="E408" s="51">
        <v>350904</v>
      </c>
      <c r="F408" s="52">
        <v>39577</v>
      </c>
      <c r="G408" s="53">
        <v>11.278582999999999</v>
      </c>
    </row>
    <row r="409" spans="1:7">
      <c r="A409" s="50" t="s">
        <v>578</v>
      </c>
      <c r="B409" s="50" t="s">
        <v>36</v>
      </c>
      <c r="C409" s="50" t="s">
        <v>242</v>
      </c>
      <c r="D409" s="51">
        <v>6899</v>
      </c>
      <c r="E409" s="51">
        <v>378366</v>
      </c>
      <c r="F409" s="52">
        <v>34624</v>
      </c>
      <c r="G409" s="53">
        <v>9.1509278999999992</v>
      </c>
    </row>
    <row r="410" spans="1:7">
      <c r="A410" s="50" t="s">
        <v>579</v>
      </c>
      <c r="B410" s="50" t="s">
        <v>36</v>
      </c>
      <c r="C410" s="50" t="s">
        <v>240</v>
      </c>
      <c r="D410" s="51">
        <v>10312</v>
      </c>
      <c r="E410" s="51">
        <v>219767</v>
      </c>
      <c r="F410" s="52">
        <v>24451</v>
      </c>
      <c r="G410" s="53">
        <v>11.125874</v>
      </c>
    </row>
    <row r="411" spans="1:7">
      <c r="A411" s="50" t="s">
        <v>580</v>
      </c>
      <c r="B411" s="50" t="s">
        <v>36</v>
      </c>
      <c r="C411" s="50" t="s">
        <v>240</v>
      </c>
      <c r="D411" s="51">
        <v>12</v>
      </c>
      <c r="E411" s="51">
        <v>218</v>
      </c>
      <c r="F411" s="52">
        <v>26.6</v>
      </c>
      <c r="G411" s="53">
        <v>12.201835000000001</v>
      </c>
    </row>
    <row r="412" spans="1:7">
      <c r="A412" s="50" t="s">
        <v>581</v>
      </c>
      <c r="B412" s="50" t="s">
        <v>36</v>
      </c>
      <c r="C412" s="50" t="s">
        <v>240</v>
      </c>
      <c r="D412" s="51">
        <v>9892</v>
      </c>
      <c r="E412" s="51">
        <v>241955</v>
      </c>
      <c r="F412" s="52">
        <v>33247.300000000003</v>
      </c>
      <c r="G412" s="53">
        <v>13.741109</v>
      </c>
    </row>
    <row r="413" spans="1:7">
      <c r="A413" s="50" t="s">
        <v>343</v>
      </c>
      <c r="B413" s="50" t="s">
        <v>36</v>
      </c>
      <c r="C413" s="50" t="s">
        <v>332</v>
      </c>
      <c r="D413" s="51">
        <v>3</v>
      </c>
      <c r="E413" s="51">
        <v>23</v>
      </c>
      <c r="F413" s="52">
        <v>1.9</v>
      </c>
      <c r="G413" s="53">
        <v>8.2608695999999995</v>
      </c>
    </row>
    <row r="414" spans="1:7">
      <c r="A414" s="50" t="s">
        <v>582</v>
      </c>
      <c r="B414" s="50" t="s">
        <v>36</v>
      </c>
      <c r="C414" s="50" t="s">
        <v>240</v>
      </c>
      <c r="D414" s="51">
        <v>24559</v>
      </c>
      <c r="E414" s="51">
        <v>739951</v>
      </c>
      <c r="F414" s="52">
        <v>89863</v>
      </c>
      <c r="G414" s="53">
        <v>12.144453</v>
      </c>
    </row>
    <row r="415" spans="1:7">
      <c r="A415" s="50" t="s">
        <v>583</v>
      </c>
      <c r="B415" s="50" t="s">
        <v>36</v>
      </c>
      <c r="C415" s="50" t="s">
        <v>240</v>
      </c>
      <c r="D415" s="51">
        <v>23618</v>
      </c>
      <c r="E415" s="51">
        <v>430071</v>
      </c>
      <c r="F415" s="52">
        <v>58130.9</v>
      </c>
      <c r="G415" s="53">
        <v>13.516582</v>
      </c>
    </row>
    <row r="416" spans="1:7">
      <c r="A416" s="50" t="s">
        <v>349</v>
      </c>
      <c r="B416" s="50" t="s">
        <v>36</v>
      </c>
      <c r="C416" s="50" t="s">
        <v>332</v>
      </c>
      <c r="D416" s="51">
        <v>83</v>
      </c>
      <c r="E416" s="51">
        <v>587</v>
      </c>
      <c r="F416" s="52">
        <v>93.8</v>
      </c>
      <c r="G416" s="53">
        <v>15.979557</v>
      </c>
    </row>
    <row r="417" spans="1:7">
      <c r="A417" s="50" t="s">
        <v>350</v>
      </c>
      <c r="B417" s="50" t="s">
        <v>36</v>
      </c>
      <c r="C417" s="50" t="s">
        <v>332</v>
      </c>
      <c r="D417" s="51">
        <v>5338</v>
      </c>
      <c r="E417" s="51">
        <v>37556</v>
      </c>
      <c r="F417" s="52">
        <v>4928.6000000000004</v>
      </c>
      <c r="G417" s="53">
        <v>13.123336</v>
      </c>
    </row>
    <row r="418" spans="1:7">
      <c r="A418" s="50" t="s">
        <v>1833</v>
      </c>
      <c r="B418" s="50" t="s">
        <v>36</v>
      </c>
      <c r="C418" s="50" t="s">
        <v>240</v>
      </c>
      <c r="D418" s="51">
        <v>16374</v>
      </c>
      <c r="E418" s="51">
        <v>374910</v>
      </c>
      <c r="F418" s="52">
        <v>46569.5</v>
      </c>
      <c r="G418" s="53">
        <v>12.421514</v>
      </c>
    </row>
    <row r="419" spans="1:7">
      <c r="A419" s="50" t="s">
        <v>356</v>
      </c>
      <c r="B419" s="50" t="s">
        <v>36</v>
      </c>
      <c r="C419" s="50" t="s">
        <v>332</v>
      </c>
      <c r="D419" s="51">
        <v>1649</v>
      </c>
      <c r="E419" s="51">
        <v>12118</v>
      </c>
      <c r="F419" s="52">
        <v>1101.3</v>
      </c>
      <c r="G419" s="53">
        <v>9.0881334000000003</v>
      </c>
    </row>
    <row r="420" spans="1:7">
      <c r="A420" s="50" t="s">
        <v>584</v>
      </c>
      <c r="B420" s="50" t="s">
        <v>36</v>
      </c>
      <c r="C420" s="50" t="s">
        <v>240</v>
      </c>
      <c r="D420" s="51">
        <v>13627</v>
      </c>
      <c r="E420" s="51">
        <v>333735</v>
      </c>
      <c r="F420" s="52">
        <v>39327</v>
      </c>
      <c r="G420" s="53">
        <v>11.783899999999999</v>
      </c>
    </row>
    <row r="421" spans="1:7">
      <c r="A421" s="50" t="s">
        <v>585</v>
      </c>
      <c r="B421" s="50" t="s">
        <v>39</v>
      </c>
      <c r="C421" s="50" t="s">
        <v>237</v>
      </c>
      <c r="D421" s="51">
        <v>1</v>
      </c>
      <c r="E421" s="51">
        <v>3204302</v>
      </c>
      <c r="F421" s="52">
        <v>144014.1</v>
      </c>
      <c r="G421" s="53">
        <v>4.4943985</v>
      </c>
    </row>
    <row r="422" spans="1:7">
      <c r="A422" s="50" t="s">
        <v>586</v>
      </c>
      <c r="B422" s="50" t="s">
        <v>39</v>
      </c>
      <c r="C422" s="50" t="s">
        <v>240</v>
      </c>
      <c r="D422" s="51">
        <v>11753</v>
      </c>
      <c r="E422" s="51">
        <v>388400</v>
      </c>
      <c r="F422" s="52">
        <v>43821.3</v>
      </c>
      <c r="G422" s="53">
        <v>11.282518</v>
      </c>
    </row>
    <row r="423" spans="1:7">
      <c r="A423" s="50" t="s">
        <v>587</v>
      </c>
      <c r="B423" s="50" t="s">
        <v>39</v>
      </c>
      <c r="C423" s="50" t="s">
        <v>240</v>
      </c>
      <c r="D423" s="51">
        <v>15489</v>
      </c>
      <c r="E423" s="51">
        <v>417840</v>
      </c>
      <c r="F423" s="52">
        <v>52112</v>
      </c>
      <c r="G423" s="53">
        <v>12.47176</v>
      </c>
    </row>
    <row r="424" spans="1:7">
      <c r="A424" s="50" t="s">
        <v>588</v>
      </c>
      <c r="B424" s="50" t="s">
        <v>39</v>
      </c>
      <c r="C424" s="50" t="s">
        <v>240</v>
      </c>
      <c r="D424" s="51">
        <v>14770</v>
      </c>
      <c r="E424" s="51">
        <v>383726</v>
      </c>
      <c r="F424" s="52">
        <v>44365</v>
      </c>
      <c r="G424" s="53">
        <v>11.561635000000001</v>
      </c>
    </row>
    <row r="425" spans="1:7">
      <c r="A425" s="50" t="s">
        <v>589</v>
      </c>
      <c r="B425" s="50" t="s">
        <v>39</v>
      </c>
      <c r="C425" s="50" t="s">
        <v>242</v>
      </c>
      <c r="D425" s="51">
        <v>33413</v>
      </c>
      <c r="E425" s="51">
        <v>834696</v>
      </c>
      <c r="F425" s="52">
        <v>81987.7</v>
      </c>
      <c r="G425" s="53">
        <v>9.8224622999999998</v>
      </c>
    </row>
    <row r="426" spans="1:7">
      <c r="A426" s="50" t="s">
        <v>590</v>
      </c>
      <c r="B426" s="50" t="s">
        <v>39</v>
      </c>
      <c r="C426" s="50" t="s">
        <v>242</v>
      </c>
      <c r="D426" s="51">
        <v>7674</v>
      </c>
      <c r="E426" s="51">
        <v>400677</v>
      </c>
      <c r="F426" s="52">
        <v>38401.4</v>
      </c>
      <c r="G426" s="53">
        <v>9.5841288999999996</v>
      </c>
    </row>
    <row r="427" spans="1:7">
      <c r="A427" s="50" t="s">
        <v>591</v>
      </c>
      <c r="B427" s="50" t="s">
        <v>39</v>
      </c>
      <c r="C427" s="50" t="s">
        <v>242</v>
      </c>
      <c r="D427" s="51">
        <v>5910</v>
      </c>
      <c r="E427" s="51">
        <v>226949</v>
      </c>
      <c r="F427" s="52">
        <v>20173</v>
      </c>
      <c r="G427" s="53">
        <v>8.8887812000000004</v>
      </c>
    </row>
    <row r="428" spans="1:7">
      <c r="A428" s="50" t="s">
        <v>592</v>
      </c>
      <c r="B428" s="50" t="s">
        <v>39</v>
      </c>
      <c r="C428" s="50" t="s">
        <v>242</v>
      </c>
      <c r="D428" s="51">
        <v>9371</v>
      </c>
      <c r="E428" s="51">
        <v>349641</v>
      </c>
      <c r="F428" s="52">
        <v>29450</v>
      </c>
      <c r="G428" s="53">
        <v>8.4229251999999999</v>
      </c>
    </row>
    <row r="429" spans="1:7">
      <c r="A429" s="50" t="s">
        <v>593</v>
      </c>
      <c r="B429" s="50" t="s">
        <v>39</v>
      </c>
      <c r="C429" s="50" t="s">
        <v>242</v>
      </c>
      <c r="D429" s="51">
        <v>11295</v>
      </c>
      <c r="E429" s="51">
        <v>335915</v>
      </c>
      <c r="F429" s="52">
        <v>31298</v>
      </c>
      <c r="G429" s="53">
        <v>9.3172379999999997</v>
      </c>
    </row>
    <row r="430" spans="1:7">
      <c r="A430" s="50" t="s">
        <v>594</v>
      </c>
      <c r="B430" s="50" t="s">
        <v>39</v>
      </c>
      <c r="C430" s="50" t="s">
        <v>242</v>
      </c>
      <c r="D430" s="51">
        <v>7542</v>
      </c>
      <c r="E430" s="51">
        <v>278652</v>
      </c>
      <c r="F430" s="52">
        <v>26020.2</v>
      </c>
      <c r="G430" s="53">
        <v>9.3378838000000002</v>
      </c>
    </row>
    <row r="431" spans="1:7">
      <c r="A431" s="50" t="s">
        <v>595</v>
      </c>
      <c r="B431" s="50" t="s">
        <v>39</v>
      </c>
      <c r="C431" s="50" t="s">
        <v>242</v>
      </c>
      <c r="D431" s="51">
        <v>8818</v>
      </c>
      <c r="E431" s="51">
        <v>226195</v>
      </c>
      <c r="F431" s="52">
        <v>22195.4</v>
      </c>
      <c r="G431" s="53">
        <v>9.8125069000000007</v>
      </c>
    </row>
    <row r="432" spans="1:7">
      <c r="A432" s="50" t="s">
        <v>596</v>
      </c>
      <c r="B432" s="50" t="s">
        <v>39</v>
      </c>
      <c r="C432" s="50" t="s">
        <v>242</v>
      </c>
      <c r="D432" s="51">
        <v>12622</v>
      </c>
      <c r="E432" s="51">
        <v>398525</v>
      </c>
      <c r="F432" s="52">
        <v>35370</v>
      </c>
      <c r="G432" s="53">
        <v>8.8752274</v>
      </c>
    </row>
    <row r="433" spans="1:7">
      <c r="A433" s="50" t="s">
        <v>597</v>
      </c>
      <c r="B433" s="50" t="s">
        <v>39</v>
      </c>
      <c r="C433" s="50" t="s">
        <v>242</v>
      </c>
      <c r="D433" s="51">
        <v>27774</v>
      </c>
      <c r="E433" s="51">
        <v>536541</v>
      </c>
      <c r="F433" s="52">
        <v>58784.6</v>
      </c>
      <c r="G433" s="53">
        <v>10.956218</v>
      </c>
    </row>
    <row r="434" spans="1:7">
      <c r="A434" s="50" t="s">
        <v>598</v>
      </c>
      <c r="B434" s="50" t="s">
        <v>39</v>
      </c>
      <c r="C434" s="50" t="s">
        <v>242</v>
      </c>
      <c r="D434" s="51">
        <v>10604</v>
      </c>
      <c r="E434" s="51">
        <v>224783</v>
      </c>
      <c r="F434" s="52">
        <v>22269</v>
      </c>
      <c r="G434" s="53">
        <v>9.9068880000000004</v>
      </c>
    </row>
    <row r="435" spans="1:7">
      <c r="A435" s="50" t="s">
        <v>599</v>
      </c>
      <c r="B435" s="50" t="s">
        <v>39</v>
      </c>
      <c r="C435" s="50" t="s">
        <v>242</v>
      </c>
      <c r="D435" s="51">
        <v>21076</v>
      </c>
      <c r="E435" s="51">
        <v>866288</v>
      </c>
      <c r="F435" s="52">
        <v>77516.2</v>
      </c>
      <c r="G435" s="53">
        <v>8.9480865000000005</v>
      </c>
    </row>
    <row r="436" spans="1:7">
      <c r="A436" s="50" t="s">
        <v>600</v>
      </c>
      <c r="B436" s="50" t="s">
        <v>39</v>
      </c>
      <c r="C436" s="50" t="s">
        <v>240</v>
      </c>
      <c r="D436" s="51">
        <v>25527</v>
      </c>
      <c r="E436" s="51">
        <v>476075</v>
      </c>
      <c r="F436" s="52">
        <v>58184.3</v>
      </c>
      <c r="G436" s="53">
        <v>12.221667</v>
      </c>
    </row>
    <row r="437" spans="1:7">
      <c r="A437" s="50" t="s">
        <v>601</v>
      </c>
      <c r="B437" s="50" t="s">
        <v>39</v>
      </c>
      <c r="C437" s="50" t="s">
        <v>242</v>
      </c>
      <c r="D437" s="51">
        <v>9919</v>
      </c>
      <c r="E437" s="51">
        <v>373026</v>
      </c>
      <c r="F437" s="52">
        <v>33550.699999999997</v>
      </c>
      <c r="G437" s="53">
        <v>8.9941987999999995</v>
      </c>
    </row>
    <row r="438" spans="1:7">
      <c r="A438" s="50" t="s">
        <v>602</v>
      </c>
      <c r="B438" s="50" t="s">
        <v>39</v>
      </c>
      <c r="C438" s="50" t="s">
        <v>240</v>
      </c>
      <c r="D438" s="51">
        <v>8287</v>
      </c>
      <c r="E438" s="51">
        <v>404690</v>
      </c>
      <c r="F438" s="52">
        <v>34756</v>
      </c>
      <c r="G438" s="53">
        <v>8.5883021999999993</v>
      </c>
    </row>
    <row r="439" spans="1:7">
      <c r="A439" s="50" t="s">
        <v>603</v>
      </c>
      <c r="B439" s="50" t="s">
        <v>39</v>
      </c>
      <c r="C439" s="50" t="s">
        <v>240</v>
      </c>
      <c r="D439" s="51">
        <v>8096</v>
      </c>
      <c r="E439" s="51">
        <v>343370</v>
      </c>
      <c r="F439" s="52">
        <v>33701.599999999999</v>
      </c>
      <c r="G439" s="53">
        <v>9.8149517999999993</v>
      </c>
    </row>
    <row r="440" spans="1:7">
      <c r="A440" s="50" t="s">
        <v>604</v>
      </c>
      <c r="B440" s="50" t="s">
        <v>39</v>
      </c>
      <c r="C440" s="50" t="s">
        <v>240</v>
      </c>
      <c r="D440" s="51">
        <v>13972</v>
      </c>
      <c r="E440" s="51">
        <v>280288</v>
      </c>
      <c r="F440" s="52">
        <v>31203</v>
      </c>
      <c r="G440" s="53">
        <v>11.132478000000001</v>
      </c>
    </row>
    <row r="441" spans="1:7">
      <c r="A441" s="50" t="s">
        <v>605</v>
      </c>
      <c r="B441" s="50" t="s">
        <v>39</v>
      </c>
      <c r="C441" s="50" t="s">
        <v>237</v>
      </c>
      <c r="D441" s="51">
        <v>852004</v>
      </c>
      <c r="E441" s="51">
        <v>26322902</v>
      </c>
      <c r="F441" s="52">
        <v>2479080</v>
      </c>
      <c r="G441" s="53">
        <v>9.4179586000000004</v>
      </c>
    </row>
    <row r="442" spans="1:7">
      <c r="A442" s="50" t="s">
        <v>606</v>
      </c>
      <c r="B442" s="50" t="s">
        <v>39</v>
      </c>
      <c r="C442" s="50" t="s">
        <v>240</v>
      </c>
      <c r="D442" s="51">
        <v>23626</v>
      </c>
      <c r="E442" s="51">
        <v>494989</v>
      </c>
      <c r="F442" s="52">
        <v>55907.4</v>
      </c>
      <c r="G442" s="53">
        <v>11.294675</v>
      </c>
    </row>
    <row r="443" spans="1:7">
      <c r="A443" s="50" t="s">
        <v>607</v>
      </c>
      <c r="B443" s="50" t="s">
        <v>39</v>
      </c>
      <c r="C443" s="50" t="s">
        <v>240</v>
      </c>
      <c r="D443" s="51">
        <v>17832</v>
      </c>
      <c r="E443" s="51">
        <v>627350</v>
      </c>
      <c r="F443" s="52">
        <v>66906</v>
      </c>
      <c r="G443" s="53">
        <v>10.664859999999999</v>
      </c>
    </row>
    <row r="444" spans="1:7">
      <c r="A444" s="50" t="s">
        <v>608</v>
      </c>
      <c r="B444" s="50" t="s">
        <v>39</v>
      </c>
      <c r="C444" s="50" t="s">
        <v>240</v>
      </c>
      <c r="D444" s="51">
        <v>34289</v>
      </c>
      <c r="E444" s="51">
        <v>771175</v>
      </c>
      <c r="F444" s="52">
        <v>87030.7</v>
      </c>
      <c r="G444" s="53">
        <v>11.285467000000001</v>
      </c>
    </row>
    <row r="445" spans="1:7">
      <c r="A445" s="50" t="s">
        <v>609</v>
      </c>
      <c r="B445" s="50" t="s">
        <v>39</v>
      </c>
      <c r="C445" s="50" t="s">
        <v>237</v>
      </c>
      <c r="D445" s="51">
        <v>470992</v>
      </c>
      <c r="E445" s="51">
        <v>14520575</v>
      </c>
      <c r="F445" s="52">
        <v>1501014</v>
      </c>
      <c r="G445" s="53">
        <v>10.337153000000001</v>
      </c>
    </row>
    <row r="446" spans="1:7">
      <c r="A446" s="50" t="s">
        <v>610</v>
      </c>
      <c r="B446" s="50" t="s">
        <v>39</v>
      </c>
      <c r="C446" s="50" t="s">
        <v>237</v>
      </c>
      <c r="D446" s="51">
        <v>509910</v>
      </c>
      <c r="E446" s="51">
        <v>12693227</v>
      </c>
      <c r="F446" s="52">
        <v>1299930</v>
      </c>
      <c r="G446" s="53">
        <v>10.241130999999999</v>
      </c>
    </row>
    <row r="447" spans="1:7">
      <c r="A447" s="50" t="s">
        <v>611</v>
      </c>
      <c r="B447" s="50" t="s">
        <v>39</v>
      </c>
      <c r="C447" s="50" t="s">
        <v>240</v>
      </c>
      <c r="D447" s="51">
        <v>24792</v>
      </c>
      <c r="E447" s="51">
        <v>455443</v>
      </c>
      <c r="F447" s="52">
        <v>56416</v>
      </c>
      <c r="G447" s="53">
        <v>12.387060999999999</v>
      </c>
    </row>
    <row r="448" spans="1:7">
      <c r="A448" s="50" t="s">
        <v>612</v>
      </c>
      <c r="B448" s="50" t="s">
        <v>39</v>
      </c>
      <c r="C448" s="50" t="s">
        <v>240</v>
      </c>
      <c r="D448" s="51">
        <v>8262</v>
      </c>
      <c r="E448" s="51">
        <v>250771</v>
      </c>
      <c r="F448" s="52">
        <v>26936.1</v>
      </c>
      <c r="G448" s="53">
        <v>10.741313999999999</v>
      </c>
    </row>
    <row r="449" spans="1:7">
      <c r="A449" s="50" t="s">
        <v>613</v>
      </c>
      <c r="B449" s="50" t="s">
        <v>39</v>
      </c>
      <c r="C449" s="50" t="s">
        <v>240</v>
      </c>
      <c r="D449" s="51">
        <v>28396</v>
      </c>
      <c r="E449" s="51">
        <v>519244</v>
      </c>
      <c r="F449" s="52">
        <v>59926.2</v>
      </c>
      <c r="G449" s="53">
        <v>11.541048</v>
      </c>
    </row>
    <row r="450" spans="1:7">
      <c r="A450" s="50" t="s">
        <v>614</v>
      </c>
      <c r="B450" s="50" t="s">
        <v>39</v>
      </c>
      <c r="C450" s="50" t="s">
        <v>240</v>
      </c>
      <c r="D450" s="51">
        <v>21167</v>
      </c>
      <c r="E450" s="51">
        <v>291669</v>
      </c>
      <c r="F450" s="52">
        <v>36626.699999999997</v>
      </c>
      <c r="G450" s="53">
        <v>12.557625</v>
      </c>
    </row>
    <row r="451" spans="1:7">
      <c r="A451" s="50" t="s">
        <v>615</v>
      </c>
      <c r="B451" s="50" t="s">
        <v>39</v>
      </c>
      <c r="C451" s="50" t="s">
        <v>240</v>
      </c>
      <c r="D451" s="51">
        <v>18493</v>
      </c>
      <c r="E451" s="51">
        <v>456720</v>
      </c>
      <c r="F451" s="52">
        <v>47156.2</v>
      </c>
      <c r="G451" s="53">
        <v>10.324968999999999</v>
      </c>
    </row>
    <row r="452" spans="1:7">
      <c r="A452" s="50" t="s">
        <v>616</v>
      </c>
      <c r="B452" s="50" t="s">
        <v>39</v>
      </c>
      <c r="C452" s="50" t="s">
        <v>240</v>
      </c>
      <c r="D452" s="51">
        <v>356</v>
      </c>
      <c r="E452" s="51">
        <v>5325</v>
      </c>
      <c r="F452" s="52">
        <v>806.3</v>
      </c>
      <c r="G452" s="53">
        <v>15.141783999999999</v>
      </c>
    </row>
    <row r="453" spans="1:7">
      <c r="A453" s="50" t="s">
        <v>617</v>
      </c>
      <c r="B453" s="50" t="s">
        <v>39</v>
      </c>
      <c r="C453" s="50" t="s">
        <v>240</v>
      </c>
      <c r="D453" s="51">
        <v>16353</v>
      </c>
      <c r="E453" s="51">
        <v>290865</v>
      </c>
      <c r="F453" s="52">
        <v>38422</v>
      </c>
      <c r="G453" s="53">
        <v>13.209565</v>
      </c>
    </row>
    <row r="454" spans="1:7">
      <c r="A454" s="50" t="s">
        <v>618</v>
      </c>
      <c r="B454" s="50" t="s">
        <v>39</v>
      </c>
      <c r="C454" s="50" t="s">
        <v>240</v>
      </c>
      <c r="D454" s="51">
        <v>11457</v>
      </c>
      <c r="E454" s="51">
        <v>204947</v>
      </c>
      <c r="F454" s="52">
        <v>24077.4</v>
      </c>
      <c r="G454" s="53">
        <v>11.74811</v>
      </c>
    </row>
    <row r="455" spans="1:7">
      <c r="A455" s="50" t="s">
        <v>619</v>
      </c>
      <c r="B455" s="50" t="s">
        <v>39</v>
      </c>
      <c r="C455" s="50" t="s">
        <v>240</v>
      </c>
      <c r="D455" s="51">
        <v>31978</v>
      </c>
      <c r="E455" s="51">
        <v>1717202</v>
      </c>
      <c r="F455" s="52">
        <v>107304.6</v>
      </c>
      <c r="G455" s="53">
        <v>6.2488047</v>
      </c>
    </row>
    <row r="456" spans="1:7">
      <c r="A456" s="50" t="s">
        <v>620</v>
      </c>
      <c r="B456" s="50" t="s">
        <v>39</v>
      </c>
      <c r="C456" s="50" t="s">
        <v>237</v>
      </c>
      <c r="D456" s="51">
        <v>479184</v>
      </c>
      <c r="E456" s="51">
        <v>14620306</v>
      </c>
      <c r="F456" s="52">
        <v>1439067.2</v>
      </c>
      <c r="G456" s="53">
        <v>9.8429348999999995</v>
      </c>
    </row>
    <row r="457" spans="1:7">
      <c r="A457" s="50" t="s">
        <v>621</v>
      </c>
      <c r="B457" s="50" t="s">
        <v>39</v>
      </c>
      <c r="C457" s="50" t="s">
        <v>240</v>
      </c>
      <c r="D457" s="51">
        <v>3665</v>
      </c>
      <c r="E457" s="51">
        <v>98676</v>
      </c>
      <c r="F457" s="52">
        <v>11154.4</v>
      </c>
      <c r="G457" s="53">
        <v>11.304066000000001</v>
      </c>
    </row>
    <row r="458" spans="1:7">
      <c r="A458" s="50" t="s">
        <v>622</v>
      </c>
      <c r="B458" s="50" t="s">
        <v>39</v>
      </c>
      <c r="C458" s="50" t="s">
        <v>240</v>
      </c>
      <c r="D458" s="51">
        <v>14661</v>
      </c>
      <c r="E458" s="51">
        <v>398804</v>
      </c>
      <c r="F458" s="52">
        <v>46186</v>
      </c>
      <c r="G458" s="53">
        <v>11.581128</v>
      </c>
    </row>
    <row r="459" spans="1:7">
      <c r="A459" s="50" t="s">
        <v>623</v>
      </c>
      <c r="B459" s="50" t="s">
        <v>39</v>
      </c>
      <c r="C459" s="50" t="s">
        <v>240</v>
      </c>
      <c r="D459" s="51">
        <v>34155</v>
      </c>
      <c r="E459" s="51">
        <v>559777</v>
      </c>
      <c r="F459" s="52">
        <v>79953</v>
      </c>
      <c r="G459" s="53">
        <v>14.283009</v>
      </c>
    </row>
    <row r="460" spans="1:7">
      <c r="A460" s="50" t="s">
        <v>624</v>
      </c>
      <c r="B460" s="50" t="s">
        <v>39</v>
      </c>
      <c r="C460" s="50" t="s">
        <v>240</v>
      </c>
      <c r="D460" s="51">
        <v>27495</v>
      </c>
      <c r="E460" s="51">
        <v>508533</v>
      </c>
      <c r="F460" s="52">
        <v>65848</v>
      </c>
      <c r="G460" s="53">
        <v>12.948619000000001</v>
      </c>
    </row>
    <row r="461" spans="1:7">
      <c r="A461" s="50" t="s">
        <v>625</v>
      </c>
      <c r="B461" s="50" t="s">
        <v>39</v>
      </c>
      <c r="C461" s="50" t="s">
        <v>237</v>
      </c>
      <c r="D461" s="51">
        <v>148707</v>
      </c>
      <c r="E461" s="51">
        <v>4495185</v>
      </c>
      <c r="F461" s="52">
        <v>522215.5</v>
      </c>
      <c r="G461" s="53">
        <v>11.617219</v>
      </c>
    </row>
    <row r="462" spans="1:7">
      <c r="A462" s="50" t="s">
        <v>626</v>
      </c>
      <c r="B462" s="50" t="s">
        <v>39</v>
      </c>
      <c r="C462" s="50" t="s">
        <v>240</v>
      </c>
      <c r="D462" s="51">
        <v>9362</v>
      </c>
      <c r="E462" s="51">
        <v>412723</v>
      </c>
      <c r="F462" s="52">
        <v>33820</v>
      </c>
      <c r="G462" s="53">
        <v>8.1943579999999994</v>
      </c>
    </row>
    <row r="463" spans="1:7">
      <c r="A463" s="50" t="s">
        <v>349</v>
      </c>
      <c r="B463" s="50" t="s">
        <v>39</v>
      </c>
      <c r="C463" s="50" t="s">
        <v>332</v>
      </c>
      <c r="D463" s="51">
        <v>2</v>
      </c>
      <c r="E463" s="51">
        <v>20</v>
      </c>
      <c r="F463" s="52">
        <v>4.0999999999999996</v>
      </c>
      <c r="G463" s="53">
        <v>20.5</v>
      </c>
    </row>
    <row r="464" spans="1:7">
      <c r="A464" s="50" t="s">
        <v>627</v>
      </c>
      <c r="B464" s="50" t="s">
        <v>39</v>
      </c>
      <c r="C464" s="50" t="s">
        <v>240</v>
      </c>
      <c r="D464" s="51">
        <v>28392</v>
      </c>
      <c r="E464" s="51">
        <v>516992</v>
      </c>
      <c r="F464" s="52">
        <v>65620.399999999994</v>
      </c>
      <c r="G464" s="53">
        <v>12.692729999999999</v>
      </c>
    </row>
    <row r="465" spans="1:7">
      <c r="A465" s="50" t="s">
        <v>628</v>
      </c>
      <c r="B465" s="50" t="s">
        <v>39</v>
      </c>
      <c r="C465" s="50" t="s">
        <v>240</v>
      </c>
      <c r="D465" s="51">
        <v>19250</v>
      </c>
      <c r="E465" s="51">
        <v>316653</v>
      </c>
      <c r="F465" s="52">
        <v>43796</v>
      </c>
      <c r="G465" s="53">
        <v>13.830913000000001</v>
      </c>
    </row>
    <row r="466" spans="1:7">
      <c r="A466" s="50" t="s">
        <v>629</v>
      </c>
      <c r="B466" s="50" t="s">
        <v>39</v>
      </c>
      <c r="C466" s="50" t="s">
        <v>240</v>
      </c>
      <c r="D466" s="51">
        <v>17052</v>
      </c>
      <c r="E466" s="51">
        <v>587855</v>
      </c>
      <c r="F466" s="52">
        <v>62291.8</v>
      </c>
      <c r="G466" s="53">
        <v>10.596456999999999</v>
      </c>
    </row>
    <row r="467" spans="1:7">
      <c r="A467" s="50" t="s">
        <v>630</v>
      </c>
      <c r="B467" s="50" t="s">
        <v>39</v>
      </c>
      <c r="C467" s="50" t="s">
        <v>240</v>
      </c>
      <c r="D467" s="51">
        <v>12002</v>
      </c>
      <c r="E467" s="51">
        <v>228642</v>
      </c>
      <c r="F467" s="52">
        <v>28662</v>
      </c>
      <c r="G467" s="53">
        <v>12.535755</v>
      </c>
    </row>
    <row r="468" spans="1:7">
      <c r="A468" s="50" t="s">
        <v>631</v>
      </c>
      <c r="B468" s="50" t="s">
        <v>44</v>
      </c>
      <c r="C468" s="50" t="s">
        <v>240</v>
      </c>
      <c r="D468" s="51">
        <v>926</v>
      </c>
      <c r="E468" s="51">
        <v>18778</v>
      </c>
      <c r="F468" s="52">
        <v>1928</v>
      </c>
      <c r="G468" s="53">
        <v>10.267334</v>
      </c>
    </row>
    <row r="469" spans="1:7">
      <c r="A469" s="50" t="s">
        <v>632</v>
      </c>
      <c r="B469" s="50" t="s">
        <v>44</v>
      </c>
      <c r="C469" s="50" t="s">
        <v>240</v>
      </c>
      <c r="D469" s="51">
        <v>5847</v>
      </c>
      <c r="E469" s="51">
        <v>183519</v>
      </c>
      <c r="F469" s="52">
        <v>21465.5</v>
      </c>
      <c r="G469" s="53">
        <v>11.696609</v>
      </c>
    </row>
    <row r="470" spans="1:7">
      <c r="A470" s="50" t="s">
        <v>633</v>
      </c>
      <c r="B470" s="50" t="s">
        <v>44</v>
      </c>
      <c r="C470" s="50" t="s">
        <v>242</v>
      </c>
      <c r="D470" s="51">
        <v>5610</v>
      </c>
      <c r="E470" s="51">
        <v>279862</v>
      </c>
      <c r="F470" s="52">
        <v>18436</v>
      </c>
      <c r="G470" s="53">
        <v>6.5875323999999997</v>
      </c>
    </row>
    <row r="471" spans="1:7">
      <c r="A471" s="50" t="s">
        <v>634</v>
      </c>
      <c r="B471" s="50" t="s">
        <v>44</v>
      </c>
      <c r="C471" s="50" t="s">
        <v>242</v>
      </c>
      <c r="D471" s="51">
        <v>5964</v>
      </c>
      <c r="E471" s="51">
        <v>768171</v>
      </c>
      <c r="F471" s="52">
        <v>46654.1</v>
      </c>
      <c r="G471" s="53">
        <v>6.0734003000000003</v>
      </c>
    </row>
    <row r="472" spans="1:7">
      <c r="A472" s="50" t="s">
        <v>635</v>
      </c>
      <c r="B472" s="50" t="s">
        <v>44</v>
      </c>
      <c r="C472" s="50" t="s">
        <v>242</v>
      </c>
      <c r="D472" s="51">
        <v>11573</v>
      </c>
      <c r="E472" s="51">
        <v>303821</v>
      </c>
      <c r="F472" s="52">
        <v>28400</v>
      </c>
      <c r="G472" s="53">
        <v>9.3476093000000002</v>
      </c>
    </row>
    <row r="473" spans="1:7">
      <c r="A473" s="50" t="s">
        <v>636</v>
      </c>
      <c r="B473" s="50" t="s">
        <v>44</v>
      </c>
      <c r="C473" s="50" t="s">
        <v>242</v>
      </c>
      <c r="D473" s="51">
        <v>66249</v>
      </c>
      <c r="E473" s="51">
        <v>2065050</v>
      </c>
      <c r="F473" s="52">
        <v>226824</v>
      </c>
      <c r="G473" s="53">
        <v>10.983947000000001</v>
      </c>
    </row>
    <row r="474" spans="1:7">
      <c r="A474" s="50" t="s">
        <v>637</v>
      </c>
      <c r="B474" s="50" t="s">
        <v>44</v>
      </c>
      <c r="C474" s="50" t="s">
        <v>242</v>
      </c>
      <c r="D474" s="51">
        <v>8804</v>
      </c>
      <c r="E474" s="51">
        <v>983113</v>
      </c>
      <c r="F474" s="52">
        <v>53717.3</v>
      </c>
      <c r="G474" s="53">
        <v>5.4640006000000003</v>
      </c>
    </row>
    <row r="475" spans="1:7">
      <c r="A475" s="50" t="s">
        <v>638</v>
      </c>
      <c r="B475" s="50" t="s">
        <v>44</v>
      </c>
      <c r="C475" s="50" t="s">
        <v>242</v>
      </c>
      <c r="D475" s="51">
        <v>7102</v>
      </c>
      <c r="E475" s="51">
        <v>284756</v>
      </c>
      <c r="F475" s="52">
        <v>23475</v>
      </c>
      <c r="G475" s="53">
        <v>8.2439</v>
      </c>
    </row>
    <row r="476" spans="1:7">
      <c r="A476" s="50" t="s">
        <v>311</v>
      </c>
      <c r="B476" s="50" t="s">
        <v>44</v>
      </c>
      <c r="C476" s="50" t="s">
        <v>237</v>
      </c>
      <c r="D476" s="51">
        <v>9670</v>
      </c>
      <c r="E476" s="51">
        <v>217299</v>
      </c>
      <c r="F476" s="52">
        <v>24927.8</v>
      </c>
      <c r="G476" s="53">
        <v>11.471659000000001</v>
      </c>
    </row>
    <row r="477" spans="1:7">
      <c r="A477" s="50" t="s">
        <v>1834</v>
      </c>
      <c r="B477" s="50" t="s">
        <v>44</v>
      </c>
      <c r="C477" s="50" t="s">
        <v>237</v>
      </c>
      <c r="D477" s="51">
        <v>385961</v>
      </c>
      <c r="E477" s="51">
        <v>9467474</v>
      </c>
      <c r="F477" s="52">
        <v>989892.5</v>
      </c>
      <c r="G477" s="53">
        <v>10.455719</v>
      </c>
    </row>
    <row r="478" spans="1:7">
      <c r="A478" s="50" t="s">
        <v>1835</v>
      </c>
      <c r="B478" s="50" t="s">
        <v>44</v>
      </c>
      <c r="C478" s="50" t="s">
        <v>237</v>
      </c>
      <c r="D478" s="51">
        <v>334500</v>
      </c>
      <c r="E478" s="51">
        <v>9181326</v>
      </c>
      <c r="F478" s="52">
        <v>901137.4</v>
      </c>
      <c r="G478" s="53">
        <v>9.8148938000000001</v>
      </c>
    </row>
    <row r="479" spans="1:7">
      <c r="A479" s="50" t="s">
        <v>1836</v>
      </c>
      <c r="B479" s="50" t="s">
        <v>44</v>
      </c>
      <c r="C479" s="50" t="s">
        <v>237</v>
      </c>
      <c r="D479" s="51">
        <v>265631</v>
      </c>
      <c r="E479" s="51">
        <v>6170121</v>
      </c>
      <c r="F479" s="52">
        <v>711575.6</v>
      </c>
      <c r="G479" s="53">
        <v>11.532603999999999</v>
      </c>
    </row>
    <row r="480" spans="1:7">
      <c r="A480" s="50" t="s">
        <v>639</v>
      </c>
      <c r="B480" s="50" t="s">
        <v>44</v>
      </c>
      <c r="C480" s="50" t="s">
        <v>240</v>
      </c>
      <c r="D480" s="51">
        <v>18451</v>
      </c>
      <c r="E480" s="51">
        <v>270021</v>
      </c>
      <c r="F480" s="52">
        <v>37520</v>
      </c>
      <c r="G480" s="53">
        <v>13.895216</v>
      </c>
    </row>
    <row r="481" spans="1:7">
      <c r="A481" s="50" t="s">
        <v>640</v>
      </c>
      <c r="B481" s="50" t="s">
        <v>44</v>
      </c>
      <c r="C481" s="50" t="s">
        <v>240</v>
      </c>
      <c r="D481" s="51">
        <v>49931</v>
      </c>
      <c r="E481" s="51">
        <v>1392109</v>
      </c>
      <c r="F481" s="52">
        <v>142654.29999999999</v>
      </c>
      <c r="G481" s="53">
        <v>10.247351</v>
      </c>
    </row>
    <row r="482" spans="1:7">
      <c r="A482" s="50" t="s">
        <v>641</v>
      </c>
      <c r="B482" s="50" t="s">
        <v>44</v>
      </c>
      <c r="C482" s="50" t="s">
        <v>240</v>
      </c>
      <c r="D482" s="51">
        <v>16562</v>
      </c>
      <c r="E482" s="51">
        <v>848290</v>
      </c>
      <c r="F482" s="52">
        <v>67175</v>
      </c>
      <c r="G482" s="53">
        <v>7.9188720999999997</v>
      </c>
    </row>
    <row r="483" spans="1:7">
      <c r="A483" s="50" t="s">
        <v>642</v>
      </c>
      <c r="B483" s="50" t="s">
        <v>44</v>
      </c>
      <c r="C483" s="50" t="s">
        <v>240</v>
      </c>
      <c r="D483" s="51">
        <v>24586</v>
      </c>
      <c r="E483" s="51">
        <v>490121</v>
      </c>
      <c r="F483" s="52">
        <v>54120.3</v>
      </c>
      <c r="G483" s="53">
        <v>11.042232</v>
      </c>
    </row>
    <row r="484" spans="1:7">
      <c r="A484" s="50" t="s">
        <v>643</v>
      </c>
      <c r="B484" s="50" t="s">
        <v>44</v>
      </c>
      <c r="C484" s="50" t="s">
        <v>240</v>
      </c>
      <c r="D484" s="51">
        <v>16926</v>
      </c>
      <c r="E484" s="51">
        <v>763871</v>
      </c>
      <c r="F484" s="52">
        <v>65075</v>
      </c>
      <c r="G484" s="53">
        <v>8.5191085999999991</v>
      </c>
    </row>
    <row r="485" spans="1:7">
      <c r="A485" s="50" t="s">
        <v>1825</v>
      </c>
      <c r="B485" s="50" t="s">
        <v>44</v>
      </c>
      <c r="C485" s="50" t="s">
        <v>240</v>
      </c>
      <c r="D485" s="51">
        <v>1475</v>
      </c>
      <c r="E485" s="51">
        <v>20621</v>
      </c>
      <c r="F485" s="52">
        <v>2796.6</v>
      </c>
      <c r="G485" s="53">
        <v>13.561902999999999</v>
      </c>
    </row>
    <row r="486" spans="1:7">
      <c r="A486" s="50" t="s">
        <v>644</v>
      </c>
      <c r="B486" s="50" t="s">
        <v>44</v>
      </c>
      <c r="C486" s="50" t="s">
        <v>240</v>
      </c>
      <c r="D486" s="51">
        <v>19854</v>
      </c>
      <c r="E486" s="51">
        <v>708014</v>
      </c>
      <c r="F486" s="52">
        <v>66344</v>
      </c>
      <c r="G486" s="53">
        <v>9.3704362000000003</v>
      </c>
    </row>
    <row r="487" spans="1:7">
      <c r="A487" s="50" t="s">
        <v>357</v>
      </c>
      <c r="B487" s="50" t="s">
        <v>44</v>
      </c>
      <c r="C487" s="50" t="s">
        <v>295</v>
      </c>
      <c r="D487" s="51">
        <v>1</v>
      </c>
      <c r="E487" s="51">
        <v>263</v>
      </c>
      <c r="F487" s="52">
        <v>0.7</v>
      </c>
      <c r="G487" s="53">
        <v>0.2661597</v>
      </c>
    </row>
    <row r="488" spans="1:7">
      <c r="A488" s="50" t="s">
        <v>645</v>
      </c>
      <c r="B488" s="50" t="s">
        <v>44</v>
      </c>
      <c r="C488" s="50" t="s">
        <v>240</v>
      </c>
      <c r="D488" s="51">
        <v>12248</v>
      </c>
      <c r="E488" s="51">
        <v>312773</v>
      </c>
      <c r="F488" s="52">
        <v>31830</v>
      </c>
      <c r="G488" s="53">
        <v>10.17671</v>
      </c>
    </row>
    <row r="489" spans="1:7">
      <c r="A489" s="50" t="s">
        <v>418</v>
      </c>
      <c r="B489" s="50" t="s">
        <v>44</v>
      </c>
      <c r="C489" s="50" t="s">
        <v>240</v>
      </c>
      <c r="D489" s="51">
        <v>32713</v>
      </c>
      <c r="E489" s="51">
        <v>776946</v>
      </c>
      <c r="F489" s="52">
        <v>84682.3</v>
      </c>
      <c r="G489" s="53">
        <v>10.899380000000001</v>
      </c>
    </row>
    <row r="490" spans="1:7">
      <c r="A490" s="50" t="s">
        <v>646</v>
      </c>
      <c r="B490" s="50" t="s">
        <v>47</v>
      </c>
      <c r="C490" s="50" t="s">
        <v>240</v>
      </c>
      <c r="D490" s="51">
        <v>12789</v>
      </c>
      <c r="E490" s="51">
        <v>209322</v>
      </c>
      <c r="F490" s="52">
        <v>22362</v>
      </c>
      <c r="G490" s="53">
        <v>10.683062</v>
      </c>
    </row>
    <row r="491" spans="1:7">
      <c r="A491" s="50" t="s">
        <v>647</v>
      </c>
      <c r="B491" s="50" t="s">
        <v>47</v>
      </c>
      <c r="C491" s="50" t="s">
        <v>240</v>
      </c>
      <c r="D491" s="51">
        <v>59889</v>
      </c>
      <c r="E491" s="51">
        <v>1268519</v>
      </c>
      <c r="F491" s="52">
        <v>115900</v>
      </c>
      <c r="G491" s="53">
        <v>9.1366388999999995</v>
      </c>
    </row>
    <row r="492" spans="1:7">
      <c r="A492" s="50" t="s">
        <v>648</v>
      </c>
      <c r="B492" s="50" t="s">
        <v>47</v>
      </c>
      <c r="C492" s="50" t="s">
        <v>242</v>
      </c>
      <c r="D492" s="51">
        <v>4676</v>
      </c>
      <c r="E492" s="51">
        <v>172317</v>
      </c>
      <c r="F492" s="52">
        <v>13504</v>
      </c>
      <c r="G492" s="53">
        <v>7.8367195000000001</v>
      </c>
    </row>
    <row r="493" spans="1:7">
      <c r="A493" s="50" t="s">
        <v>649</v>
      </c>
      <c r="B493" s="50" t="s">
        <v>47</v>
      </c>
      <c r="C493" s="50" t="s">
        <v>242</v>
      </c>
      <c r="D493" s="51">
        <v>2539</v>
      </c>
      <c r="E493" s="51">
        <v>64733</v>
      </c>
      <c r="F493" s="52">
        <v>7198</v>
      </c>
      <c r="G493" s="53">
        <v>11.119522</v>
      </c>
    </row>
    <row r="494" spans="1:7">
      <c r="A494" s="50" t="s">
        <v>650</v>
      </c>
      <c r="B494" s="50" t="s">
        <v>47</v>
      </c>
      <c r="C494" s="50" t="s">
        <v>242</v>
      </c>
      <c r="D494" s="51">
        <v>5294</v>
      </c>
      <c r="E494" s="51">
        <v>117515</v>
      </c>
      <c r="F494" s="52">
        <v>9792.4</v>
      </c>
      <c r="G494" s="53">
        <v>8.3328936999999996</v>
      </c>
    </row>
    <row r="495" spans="1:7">
      <c r="A495" s="50" t="s">
        <v>651</v>
      </c>
      <c r="B495" s="50" t="s">
        <v>47</v>
      </c>
      <c r="C495" s="50" t="s">
        <v>242</v>
      </c>
      <c r="D495" s="51">
        <v>30994</v>
      </c>
      <c r="E495" s="51">
        <v>815113</v>
      </c>
      <c r="F495" s="52">
        <v>76592</v>
      </c>
      <c r="G495" s="53">
        <v>9.3964885999999996</v>
      </c>
    </row>
    <row r="496" spans="1:7">
      <c r="A496" s="50" t="s">
        <v>652</v>
      </c>
      <c r="B496" s="50" t="s">
        <v>47</v>
      </c>
      <c r="C496" s="50" t="s">
        <v>242</v>
      </c>
      <c r="D496" s="51">
        <v>21052</v>
      </c>
      <c r="E496" s="51">
        <v>615321</v>
      </c>
      <c r="F496" s="52">
        <v>59044</v>
      </c>
      <c r="G496" s="53">
        <v>9.5956419000000004</v>
      </c>
    </row>
    <row r="497" spans="1:7">
      <c r="A497" s="50" t="s">
        <v>653</v>
      </c>
      <c r="B497" s="50" t="s">
        <v>47</v>
      </c>
      <c r="C497" s="50" t="s">
        <v>242</v>
      </c>
      <c r="D497" s="51">
        <v>5340</v>
      </c>
      <c r="E497" s="51">
        <v>149689</v>
      </c>
      <c r="F497" s="52">
        <v>14019</v>
      </c>
      <c r="G497" s="53">
        <v>9.3654176000000007</v>
      </c>
    </row>
    <row r="498" spans="1:7">
      <c r="A498" s="50" t="s">
        <v>654</v>
      </c>
      <c r="B498" s="50" t="s">
        <v>47</v>
      </c>
      <c r="C498" s="50" t="s">
        <v>242</v>
      </c>
      <c r="D498" s="51">
        <v>1632</v>
      </c>
      <c r="E498" s="51">
        <v>47974</v>
      </c>
      <c r="F498" s="52">
        <v>4852</v>
      </c>
      <c r="G498" s="53">
        <v>10.113811999999999</v>
      </c>
    </row>
    <row r="499" spans="1:7">
      <c r="A499" s="50" t="s">
        <v>655</v>
      </c>
      <c r="B499" s="50" t="s">
        <v>47</v>
      </c>
      <c r="C499" s="50" t="s">
        <v>242</v>
      </c>
      <c r="D499" s="51">
        <v>7429</v>
      </c>
      <c r="E499" s="51">
        <v>224218</v>
      </c>
      <c r="F499" s="52">
        <v>24570</v>
      </c>
      <c r="G499" s="53">
        <v>10.958085000000001</v>
      </c>
    </row>
    <row r="500" spans="1:7">
      <c r="A500" s="50" t="s">
        <v>656</v>
      </c>
      <c r="B500" s="50" t="s">
        <v>47</v>
      </c>
      <c r="C500" s="50" t="s">
        <v>242</v>
      </c>
      <c r="D500" s="51">
        <v>1092</v>
      </c>
      <c r="E500" s="51">
        <v>16405</v>
      </c>
      <c r="F500" s="52">
        <v>2237</v>
      </c>
      <c r="G500" s="53">
        <v>13.636087</v>
      </c>
    </row>
    <row r="501" spans="1:7">
      <c r="A501" s="50" t="s">
        <v>657</v>
      </c>
      <c r="B501" s="50" t="s">
        <v>47</v>
      </c>
      <c r="C501" s="50" t="s">
        <v>242</v>
      </c>
      <c r="D501" s="51">
        <v>12990</v>
      </c>
      <c r="E501" s="51">
        <v>296775</v>
      </c>
      <c r="F501" s="52">
        <v>29263</v>
      </c>
      <c r="G501" s="53">
        <v>9.8603319000000003</v>
      </c>
    </row>
    <row r="502" spans="1:7">
      <c r="A502" s="50" t="s">
        <v>658</v>
      </c>
      <c r="B502" s="50" t="s">
        <v>47</v>
      </c>
      <c r="C502" s="50" t="s">
        <v>242</v>
      </c>
      <c r="D502" s="51">
        <v>2156</v>
      </c>
      <c r="E502" s="51">
        <v>28242</v>
      </c>
      <c r="F502" s="52">
        <v>3026</v>
      </c>
      <c r="G502" s="53">
        <v>10.714539</v>
      </c>
    </row>
    <row r="503" spans="1:7">
      <c r="A503" s="50" t="s">
        <v>659</v>
      </c>
      <c r="B503" s="50" t="s">
        <v>47</v>
      </c>
      <c r="C503" s="50" t="s">
        <v>242</v>
      </c>
      <c r="D503" s="51">
        <v>5426</v>
      </c>
      <c r="E503" s="51">
        <v>131060</v>
      </c>
      <c r="F503" s="52">
        <v>14506</v>
      </c>
      <c r="G503" s="53">
        <v>11.068213</v>
      </c>
    </row>
    <row r="504" spans="1:7">
      <c r="A504" s="50" t="s">
        <v>660</v>
      </c>
      <c r="B504" s="50" t="s">
        <v>47</v>
      </c>
      <c r="C504" s="50" t="s">
        <v>242</v>
      </c>
      <c r="D504" s="51">
        <v>7935</v>
      </c>
      <c r="E504" s="51">
        <v>245921</v>
      </c>
      <c r="F504" s="52">
        <v>23872</v>
      </c>
      <c r="G504" s="53">
        <v>9.7071824000000007</v>
      </c>
    </row>
    <row r="505" spans="1:7">
      <c r="A505" s="50" t="s">
        <v>661</v>
      </c>
      <c r="B505" s="50" t="s">
        <v>47</v>
      </c>
      <c r="C505" s="50" t="s">
        <v>242</v>
      </c>
      <c r="D505" s="51">
        <v>26505</v>
      </c>
      <c r="E505" s="51">
        <v>757542</v>
      </c>
      <c r="F505" s="52">
        <v>91979</v>
      </c>
      <c r="G505" s="53">
        <v>12.141769</v>
      </c>
    </row>
    <row r="506" spans="1:7">
      <c r="A506" s="50" t="s">
        <v>662</v>
      </c>
      <c r="B506" s="50" t="s">
        <v>47</v>
      </c>
      <c r="C506" s="50" t="s">
        <v>242</v>
      </c>
      <c r="D506" s="51">
        <v>22649</v>
      </c>
      <c r="E506" s="51">
        <v>528380</v>
      </c>
      <c r="F506" s="52">
        <v>70456.2</v>
      </c>
      <c r="G506" s="53">
        <v>13.334381</v>
      </c>
    </row>
    <row r="507" spans="1:7">
      <c r="A507" s="50" t="s">
        <v>663</v>
      </c>
      <c r="B507" s="50" t="s">
        <v>47</v>
      </c>
      <c r="C507" s="50" t="s">
        <v>242</v>
      </c>
      <c r="D507" s="51">
        <v>4249</v>
      </c>
      <c r="E507" s="51">
        <v>113959</v>
      </c>
      <c r="F507" s="52">
        <v>10987</v>
      </c>
      <c r="G507" s="53">
        <v>9.6411867000000004</v>
      </c>
    </row>
    <row r="508" spans="1:7">
      <c r="A508" s="50" t="s">
        <v>664</v>
      </c>
      <c r="B508" s="50" t="s">
        <v>47</v>
      </c>
      <c r="C508" s="50" t="s">
        <v>240</v>
      </c>
      <c r="D508" s="51">
        <v>27201</v>
      </c>
      <c r="E508" s="51">
        <v>414722</v>
      </c>
      <c r="F508" s="52">
        <v>44578</v>
      </c>
      <c r="G508" s="53">
        <v>10.748887</v>
      </c>
    </row>
    <row r="509" spans="1:7">
      <c r="A509" s="50" t="s">
        <v>665</v>
      </c>
      <c r="B509" s="50" t="s">
        <v>47</v>
      </c>
      <c r="C509" s="50" t="s">
        <v>240</v>
      </c>
      <c r="D509" s="51">
        <v>23763</v>
      </c>
      <c r="E509" s="51">
        <v>401755</v>
      </c>
      <c r="F509" s="52">
        <v>38908</v>
      </c>
      <c r="G509" s="53">
        <v>9.6845092000000008</v>
      </c>
    </row>
    <row r="510" spans="1:7">
      <c r="A510" s="50" t="s">
        <v>1837</v>
      </c>
      <c r="B510" s="50" t="s">
        <v>47</v>
      </c>
      <c r="C510" s="50" t="s">
        <v>237</v>
      </c>
      <c r="D510" s="51">
        <v>145957</v>
      </c>
      <c r="E510" s="51">
        <v>3850451</v>
      </c>
      <c r="F510" s="52">
        <v>332239.59999999998</v>
      </c>
      <c r="G510" s="53">
        <v>8.6285892000000004</v>
      </c>
    </row>
    <row r="511" spans="1:7">
      <c r="A511" s="50" t="s">
        <v>666</v>
      </c>
      <c r="B511" s="50" t="s">
        <v>47</v>
      </c>
      <c r="C511" s="50" t="s">
        <v>240</v>
      </c>
      <c r="D511" s="51">
        <v>25970</v>
      </c>
      <c r="E511" s="51">
        <v>471667</v>
      </c>
      <c r="F511" s="52">
        <v>45615</v>
      </c>
      <c r="G511" s="53">
        <v>9.6710179000000007</v>
      </c>
    </row>
    <row r="512" spans="1:7">
      <c r="A512" s="50" t="s">
        <v>667</v>
      </c>
      <c r="B512" s="50" t="s">
        <v>47</v>
      </c>
      <c r="C512" s="50" t="s">
        <v>240</v>
      </c>
      <c r="D512" s="51">
        <v>25157</v>
      </c>
      <c r="E512" s="51">
        <v>988189</v>
      </c>
      <c r="F512" s="52">
        <v>65942</v>
      </c>
      <c r="G512" s="53">
        <v>6.6730150000000004</v>
      </c>
    </row>
    <row r="513" spans="1:7">
      <c r="A513" s="50" t="s">
        <v>1402</v>
      </c>
      <c r="B513" s="50" t="s">
        <v>47</v>
      </c>
      <c r="C513" s="50" t="s">
        <v>240</v>
      </c>
      <c r="D513" s="51">
        <v>3419</v>
      </c>
      <c r="E513" s="51">
        <v>67410</v>
      </c>
      <c r="F513" s="52">
        <v>7319</v>
      </c>
      <c r="G513" s="53">
        <v>10.85744</v>
      </c>
    </row>
    <row r="514" spans="1:7">
      <c r="A514" s="50" t="s">
        <v>668</v>
      </c>
      <c r="B514" s="50" t="s">
        <v>47</v>
      </c>
      <c r="C514" s="50" t="s">
        <v>240</v>
      </c>
      <c r="D514" s="51">
        <v>15349</v>
      </c>
      <c r="E514" s="51">
        <v>240323</v>
      </c>
      <c r="F514" s="52">
        <v>29719</v>
      </c>
      <c r="G514" s="53">
        <v>12.366274000000001</v>
      </c>
    </row>
    <row r="515" spans="1:7">
      <c r="A515" s="50" t="s">
        <v>669</v>
      </c>
      <c r="B515" s="50" t="s">
        <v>47</v>
      </c>
      <c r="C515" s="50" t="s">
        <v>242</v>
      </c>
      <c r="D515" s="51">
        <v>12000</v>
      </c>
      <c r="E515" s="51">
        <v>533876</v>
      </c>
      <c r="F515" s="52">
        <v>36815</v>
      </c>
      <c r="G515" s="53">
        <v>6.8957959999999998</v>
      </c>
    </row>
    <row r="516" spans="1:7">
      <c r="A516" s="50" t="s">
        <v>670</v>
      </c>
      <c r="B516" s="50" t="s">
        <v>47</v>
      </c>
      <c r="C516" s="50" t="s">
        <v>240</v>
      </c>
      <c r="D516" s="51">
        <v>27091</v>
      </c>
      <c r="E516" s="51">
        <v>456353</v>
      </c>
      <c r="F516" s="52">
        <v>48425</v>
      </c>
      <c r="G516" s="53">
        <v>10.611302999999999</v>
      </c>
    </row>
    <row r="517" spans="1:7">
      <c r="A517" s="50" t="s">
        <v>671</v>
      </c>
      <c r="B517" s="50" t="s">
        <v>47</v>
      </c>
      <c r="C517" s="50" t="s">
        <v>240</v>
      </c>
      <c r="D517" s="51">
        <v>51904</v>
      </c>
      <c r="E517" s="51">
        <v>872602</v>
      </c>
      <c r="F517" s="52">
        <v>94262.3</v>
      </c>
      <c r="G517" s="53">
        <v>10.802439</v>
      </c>
    </row>
    <row r="518" spans="1:7">
      <c r="A518" s="50" t="s">
        <v>672</v>
      </c>
      <c r="B518" s="50" t="s">
        <v>47</v>
      </c>
      <c r="C518" s="50" t="s">
        <v>240</v>
      </c>
      <c r="D518" s="51">
        <v>30199</v>
      </c>
      <c r="E518" s="51">
        <v>575139</v>
      </c>
      <c r="F518" s="52">
        <v>64264.1</v>
      </c>
      <c r="G518" s="53">
        <v>11.173664</v>
      </c>
    </row>
    <row r="519" spans="1:7">
      <c r="A519" s="50" t="s">
        <v>673</v>
      </c>
      <c r="B519" s="50" t="s">
        <v>47</v>
      </c>
      <c r="C519" s="50" t="s">
        <v>240</v>
      </c>
      <c r="D519" s="51">
        <v>58309</v>
      </c>
      <c r="E519" s="51">
        <v>8254577</v>
      </c>
      <c r="F519" s="52">
        <v>356795</v>
      </c>
      <c r="G519" s="53">
        <v>4.3223899000000001</v>
      </c>
    </row>
    <row r="520" spans="1:7">
      <c r="A520" s="50" t="s">
        <v>674</v>
      </c>
      <c r="B520" s="50" t="s">
        <v>47</v>
      </c>
      <c r="C520" s="50" t="s">
        <v>237</v>
      </c>
      <c r="D520" s="51">
        <v>165763</v>
      </c>
      <c r="E520" s="51">
        <v>5116478</v>
      </c>
      <c r="F520" s="52">
        <v>501279</v>
      </c>
      <c r="G520" s="53">
        <v>9.797345</v>
      </c>
    </row>
    <row r="521" spans="1:7">
      <c r="A521" s="50" t="s">
        <v>675</v>
      </c>
      <c r="B521" s="50" t="s">
        <v>47</v>
      </c>
      <c r="C521" s="50" t="s">
        <v>237</v>
      </c>
      <c r="D521" s="51">
        <v>533117</v>
      </c>
      <c r="E521" s="51">
        <v>16807541</v>
      </c>
      <c r="F521" s="52">
        <v>1536018</v>
      </c>
      <c r="G521" s="53">
        <v>9.1388621000000008</v>
      </c>
    </row>
    <row r="522" spans="1:7">
      <c r="A522" s="50" t="s">
        <v>676</v>
      </c>
      <c r="B522" s="50" t="s">
        <v>47</v>
      </c>
      <c r="C522" s="50" t="s">
        <v>240</v>
      </c>
      <c r="D522" s="51">
        <v>17397</v>
      </c>
      <c r="E522" s="51">
        <v>237899</v>
      </c>
      <c r="F522" s="52">
        <v>26181</v>
      </c>
      <c r="G522" s="53">
        <v>11.005089999999999</v>
      </c>
    </row>
    <row r="523" spans="1:7">
      <c r="A523" s="50" t="s">
        <v>677</v>
      </c>
      <c r="B523" s="50" t="s">
        <v>47</v>
      </c>
      <c r="C523" s="50" t="s">
        <v>237</v>
      </c>
      <c r="D523" s="51">
        <v>421842</v>
      </c>
      <c r="E523" s="51">
        <v>11008049</v>
      </c>
      <c r="F523" s="52">
        <v>1093999.7</v>
      </c>
      <c r="G523" s="53">
        <v>9.9381798000000003</v>
      </c>
    </row>
    <row r="524" spans="1:7">
      <c r="A524" s="50" t="s">
        <v>678</v>
      </c>
      <c r="B524" s="50" t="s">
        <v>47</v>
      </c>
      <c r="C524" s="50" t="s">
        <v>242</v>
      </c>
      <c r="D524" s="51">
        <v>8356</v>
      </c>
      <c r="E524" s="51">
        <v>241249</v>
      </c>
      <c r="F524" s="52">
        <v>24258</v>
      </c>
      <c r="G524" s="53">
        <v>10.055171</v>
      </c>
    </row>
    <row r="525" spans="1:7">
      <c r="A525" s="50" t="s">
        <v>679</v>
      </c>
      <c r="B525" s="50" t="s">
        <v>47</v>
      </c>
      <c r="C525" s="50" t="s">
        <v>240</v>
      </c>
      <c r="D525" s="51">
        <v>30178</v>
      </c>
      <c r="E525" s="51">
        <v>431674</v>
      </c>
      <c r="F525" s="52">
        <v>51575</v>
      </c>
      <c r="G525" s="53">
        <v>11.947673</v>
      </c>
    </row>
    <row r="526" spans="1:7">
      <c r="A526" s="50" t="s">
        <v>680</v>
      </c>
      <c r="B526" s="50" t="s">
        <v>47</v>
      </c>
      <c r="C526" s="50" t="s">
        <v>240</v>
      </c>
      <c r="D526" s="51">
        <v>35939</v>
      </c>
      <c r="E526" s="51">
        <v>705265</v>
      </c>
      <c r="F526" s="52">
        <v>66889</v>
      </c>
      <c r="G526" s="53">
        <v>9.4842364000000003</v>
      </c>
    </row>
    <row r="527" spans="1:7">
      <c r="A527" s="50" t="s">
        <v>681</v>
      </c>
      <c r="B527" s="50" t="s">
        <v>47</v>
      </c>
      <c r="C527" s="50" t="s">
        <v>240</v>
      </c>
      <c r="D527" s="51">
        <v>63141</v>
      </c>
      <c r="E527" s="51">
        <v>2307841</v>
      </c>
      <c r="F527" s="52">
        <v>158700</v>
      </c>
      <c r="G527" s="53">
        <v>6.8765568999999998</v>
      </c>
    </row>
    <row r="528" spans="1:7">
      <c r="A528" s="50" t="s">
        <v>682</v>
      </c>
      <c r="B528" s="50" t="s">
        <v>47</v>
      </c>
      <c r="C528" s="50" t="s">
        <v>240</v>
      </c>
      <c r="D528" s="51">
        <v>44827</v>
      </c>
      <c r="E528" s="51">
        <v>1154699</v>
      </c>
      <c r="F528" s="52">
        <v>119931</v>
      </c>
      <c r="G528" s="53">
        <v>10.386343</v>
      </c>
    </row>
    <row r="529" spans="1:7">
      <c r="A529" s="50" t="s">
        <v>683</v>
      </c>
      <c r="B529" s="50" t="s">
        <v>47</v>
      </c>
      <c r="C529" s="50" t="s">
        <v>240</v>
      </c>
      <c r="D529" s="51">
        <v>53975</v>
      </c>
      <c r="E529" s="51">
        <v>1183288</v>
      </c>
      <c r="F529" s="52">
        <v>97406</v>
      </c>
      <c r="G529" s="53">
        <v>8.2318083000000009</v>
      </c>
    </row>
    <row r="530" spans="1:7">
      <c r="A530" s="50" t="s">
        <v>684</v>
      </c>
      <c r="B530" s="50" t="s">
        <v>47</v>
      </c>
      <c r="C530" s="50" t="s">
        <v>240</v>
      </c>
      <c r="D530" s="51">
        <v>16931</v>
      </c>
      <c r="E530" s="51">
        <v>474097</v>
      </c>
      <c r="F530" s="52">
        <v>41797</v>
      </c>
      <c r="G530" s="53">
        <v>8.8161283000000008</v>
      </c>
    </row>
    <row r="531" spans="1:7">
      <c r="A531" s="50" t="s">
        <v>1838</v>
      </c>
      <c r="B531" s="50" t="s">
        <v>47</v>
      </c>
      <c r="C531" s="50" t="s">
        <v>240</v>
      </c>
      <c r="D531" s="51">
        <v>68586</v>
      </c>
      <c r="E531" s="51">
        <v>1214163</v>
      </c>
      <c r="F531" s="52">
        <v>115614</v>
      </c>
      <c r="G531" s="53">
        <v>9.5221152</v>
      </c>
    </row>
    <row r="532" spans="1:7">
      <c r="A532" s="50" t="s">
        <v>685</v>
      </c>
      <c r="B532" s="50" t="s">
        <v>47</v>
      </c>
      <c r="C532" s="50" t="s">
        <v>240</v>
      </c>
      <c r="D532" s="51">
        <v>27070</v>
      </c>
      <c r="E532" s="51">
        <v>547771</v>
      </c>
      <c r="F532" s="52">
        <v>43280</v>
      </c>
      <c r="G532" s="53">
        <v>7.9011120000000004</v>
      </c>
    </row>
    <row r="533" spans="1:7">
      <c r="A533" s="50" t="s">
        <v>294</v>
      </c>
      <c r="B533" s="50" t="s">
        <v>47</v>
      </c>
      <c r="C533" s="50" t="s">
        <v>295</v>
      </c>
      <c r="D533" s="51">
        <v>17</v>
      </c>
      <c r="E533" s="51">
        <v>3368149</v>
      </c>
      <c r="F533" s="52">
        <v>137373.4</v>
      </c>
      <c r="G533" s="53">
        <v>4.0786021999999997</v>
      </c>
    </row>
    <row r="534" spans="1:7">
      <c r="A534" s="50" t="s">
        <v>1839</v>
      </c>
      <c r="B534" s="50" t="s">
        <v>47</v>
      </c>
      <c r="C534" s="50" t="s">
        <v>240</v>
      </c>
      <c r="D534" s="51">
        <v>25204</v>
      </c>
      <c r="E534" s="51">
        <v>599261</v>
      </c>
      <c r="F534" s="52">
        <v>59972</v>
      </c>
      <c r="G534" s="53">
        <v>10.007659</v>
      </c>
    </row>
    <row r="535" spans="1:7">
      <c r="A535" s="50" t="s">
        <v>686</v>
      </c>
      <c r="B535" s="50" t="s">
        <v>47</v>
      </c>
      <c r="C535" s="50" t="s">
        <v>240</v>
      </c>
      <c r="D535" s="51">
        <v>69149</v>
      </c>
      <c r="E535" s="51">
        <v>2043603</v>
      </c>
      <c r="F535" s="52">
        <v>182433</v>
      </c>
      <c r="G535" s="53">
        <v>8.9270274000000001</v>
      </c>
    </row>
    <row r="536" spans="1:7">
      <c r="A536" s="50" t="s">
        <v>687</v>
      </c>
      <c r="B536" s="50" t="s">
        <v>47</v>
      </c>
      <c r="C536" s="50" t="s">
        <v>240</v>
      </c>
      <c r="D536" s="51">
        <v>39090</v>
      </c>
      <c r="E536" s="51">
        <v>661973</v>
      </c>
      <c r="F536" s="52">
        <v>77426</v>
      </c>
      <c r="G536" s="53">
        <v>11.696247</v>
      </c>
    </row>
    <row r="537" spans="1:7">
      <c r="A537" s="50" t="s">
        <v>688</v>
      </c>
      <c r="B537" s="50" t="s">
        <v>50</v>
      </c>
      <c r="C537" s="50" t="s">
        <v>240</v>
      </c>
      <c r="D537" s="51">
        <v>43461</v>
      </c>
      <c r="E537" s="51">
        <v>1268527</v>
      </c>
      <c r="F537" s="52">
        <v>104671</v>
      </c>
      <c r="G537" s="53">
        <v>8.2513813000000003</v>
      </c>
    </row>
    <row r="538" spans="1:7">
      <c r="A538" s="50" t="s">
        <v>689</v>
      </c>
      <c r="B538" s="50" t="s">
        <v>50</v>
      </c>
      <c r="C538" s="50" t="s">
        <v>242</v>
      </c>
      <c r="D538" s="51">
        <v>23931</v>
      </c>
      <c r="E538" s="51">
        <v>645218</v>
      </c>
      <c r="F538" s="52">
        <v>59284</v>
      </c>
      <c r="G538" s="53">
        <v>9.1882123999999994</v>
      </c>
    </row>
    <row r="539" spans="1:7">
      <c r="A539" s="50" t="s">
        <v>690</v>
      </c>
      <c r="B539" s="50" t="s">
        <v>50</v>
      </c>
      <c r="C539" s="50" t="s">
        <v>242</v>
      </c>
      <c r="D539" s="51">
        <v>69366</v>
      </c>
      <c r="E539" s="51">
        <v>1917039</v>
      </c>
      <c r="F539" s="52">
        <v>162996</v>
      </c>
      <c r="G539" s="53">
        <v>8.5024873999999997</v>
      </c>
    </row>
    <row r="540" spans="1:7">
      <c r="A540" s="50" t="s">
        <v>691</v>
      </c>
      <c r="B540" s="50" t="s">
        <v>50</v>
      </c>
      <c r="C540" s="50" t="s">
        <v>242</v>
      </c>
      <c r="D540" s="51">
        <v>8600</v>
      </c>
      <c r="E540" s="51">
        <v>271848</v>
      </c>
      <c r="F540" s="52">
        <v>18942.900000000001</v>
      </c>
      <c r="G540" s="53">
        <v>6.9681955000000002</v>
      </c>
    </row>
    <row r="541" spans="1:7">
      <c r="A541" s="50" t="s">
        <v>692</v>
      </c>
      <c r="B541" s="50" t="s">
        <v>50</v>
      </c>
      <c r="C541" s="50" t="s">
        <v>242</v>
      </c>
      <c r="D541" s="51">
        <v>10959</v>
      </c>
      <c r="E541" s="51">
        <v>246042</v>
      </c>
      <c r="F541" s="52">
        <v>10494</v>
      </c>
      <c r="G541" s="53">
        <v>4.2651254999999999</v>
      </c>
    </row>
    <row r="542" spans="1:7">
      <c r="A542" s="50" t="s">
        <v>693</v>
      </c>
      <c r="B542" s="50" t="s">
        <v>50</v>
      </c>
      <c r="C542" s="50" t="s">
        <v>240</v>
      </c>
      <c r="D542" s="51">
        <v>23888</v>
      </c>
      <c r="E542" s="51">
        <v>598333</v>
      </c>
      <c r="F542" s="52">
        <v>51492.6</v>
      </c>
      <c r="G542" s="53">
        <v>8.6060104000000006</v>
      </c>
    </row>
    <row r="543" spans="1:7">
      <c r="A543" s="50" t="s">
        <v>694</v>
      </c>
      <c r="B543" s="50" t="s">
        <v>50</v>
      </c>
      <c r="C543" s="50" t="s">
        <v>237</v>
      </c>
      <c r="D543" s="51">
        <v>290021</v>
      </c>
      <c r="E543" s="51">
        <v>8258863</v>
      </c>
      <c r="F543" s="52">
        <v>814673</v>
      </c>
      <c r="G543" s="53">
        <v>9.8642271000000008</v>
      </c>
    </row>
    <row r="544" spans="1:7">
      <c r="A544" s="50" t="s">
        <v>695</v>
      </c>
      <c r="B544" s="50" t="s">
        <v>50</v>
      </c>
      <c r="C544" s="50" t="s">
        <v>240</v>
      </c>
      <c r="D544" s="51">
        <v>13747</v>
      </c>
      <c r="E544" s="51">
        <v>191576</v>
      </c>
      <c r="F544" s="52">
        <v>21164</v>
      </c>
      <c r="G544" s="53">
        <v>11.047313000000001</v>
      </c>
    </row>
    <row r="545" spans="1:7">
      <c r="A545" s="50" t="s">
        <v>696</v>
      </c>
      <c r="B545" s="50" t="s">
        <v>50</v>
      </c>
      <c r="C545" s="50" t="s">
        <v>240</v>
      </c>
      <c r="D545" s="51">
        <v>113371</v>
      </c>
      <c r="E545" s="51">
        <v>2096928</v>
      </c>
      <c r="F545" s="52">
        <v>197125</v>
      </c>
      <c r="G545" s="53">
        <v>9.4006565999999996</v>
      </c>
    </row>
    <row r="546" spans="1:7">
      <c r="A546" s="50" t="s">
        <v>697</v>
      </c>
      <c r="B546" s="50" t="s">
        <v>50</v>
      </c>
      <c r="C546" s="50" t="s">
        <v>237</v>
      </c>
      <c r="D546" s="51">
        <v>1098249</v>
      </c>
      <c r="E546" s="51">
        <v>53896350</v>
      </c>
      <c r="F546" s="52">
        <v>3515860.3</v>
      </c>
      <c r="G546" s="53">
        <v>6.5233736999999996</v>
      </c>
    </row>
    <row r="547" spans="1:7">
      <c r="A547" s="50" t="s">
        <v>698</v>
      </c>
      <c r="B547" s="50" t="s">
        <v>50</v>
      </c>
      <c r="C547" s="50" t="s">
        <v>237</v>
      </c>
      <c r="D547" s="51">
        <v>206965</v>
      </c>
      <c r="E547" s="51">
        <v>5449556</v>
      </c>
      <c r="F547" s="52">
        <v>491129.3</v>
      </c>
      <c r="G547" s="53">
        <v>9.0122809999999998</v>
      </c>
    </row>
    <row r="548" spans="1:7">
      <c r="A548" s="50" t="s">
        <v>699</v>
      </c>
      <c r="B548" s="50" t="s">
        <v>50</v>
      </c>
      <c r="C548" s="50" t="s">
        <v>240</v>
      </c>
      <c r="D548" s="51">
        <v>10185</v>
      </c>
      <c r="E548" s="51">
        <v>234564</v>
      </c>
      <c r="F548" s="52">
        <v>23052</v>
      </c>
      <c r="G548" s="53">
        <v>9.8275950000000005</v>
      </c>
    </row>
    <row r="549" spans="1:7">
      <c r="A549" s="50" t="s">
        <v>700</v>
      </c>
      <c r="B549" s="50" t="s">
        <v>50</v>
      </c>
      <c r="C549" s="50" t="s">
        <v>240</v>
      </c>
      <c r="D549" s="51">
        <v>17345</v>
      </c>
      <c r="E549" s="51">
        <v>267038</v>
      </c>
      <c r="F549" s="52">
        <v>24157</v>
      </c>
      <c r="G549" s="53">
        <v>9.0462781000000003</v>
      </c>
    </row>
    <row r="550" spans="1:7">
      <c r="A550" s="50" t="s">
        <v>701</v>
      </c>
      <c r="B550" s="50" t="s">
        <v>50</v>
      </c>
      <c r="C550" s="50" t="s">
        <v>240</v>
      </c>
      <c r="D550" s="51">
        <v>9342</v>
      </c>
      <c r="E550" s="51">
        <v>178532</v>
      </c>
      <c r="F550" s="52">
        <v>15198.8</v>
      </c>
      <c r="G550" s="53">
        <v>8.5132077000000006</v>
      </c>
    </row>
    <row r="551" spans="1:7">
      <c r="A551" s="50" t="s">
        <v>702</v>
      </c>
      <c r="B551" s="50" t="s">
        <v>50</v>
      </c>
      <c r="C551" s="50" t="s">
        <v>240</v>
      </c>
      <c r="D551" s="51">
        <v>10468</v>
      </c>
      <c r="E551" s="51">
        <v>214077</v>
      </c>
      <c r="F551" s="52">
        <v>21920</v>
      </c>
      <c r="G551" s="53">
        <v>10.239305999999999</v>
      </c>
    </row>
    <row r="552" spans="1:7">
      <c r="A552" s="50" t="s">
        <v>703</v>
      </c>
      <c r="B552" s="50" t="s">
        <v>50</v>
      </c>
      <c r="C552" s="50" t="s">
        <v>240</v>
      </c>
      <c r="D552" s="51">
        <v>21727</v>
      </c>
      <c r="E552" s="51">
        <v>511072</v>
      </c>
      <c r="F552" s="52">
        <v>47931</v>
      </c>
      <c r="G552" s="53">
        <v>9.3785220000000002</v>
      </c>
    </row>
    <row r="553" spans="1:7">
      <c r="A553" s="50" t="s">
        <v>704</v>
      </c>
      <c r="B553" s="50" t="s">
        <v>50</v>
      </c>
      <c r="C553" s="50" t="s">
        <v>240</v>
      </c>
      <c r="D553" s="51">
        <v>111131</v>
      </c>
      <c r="E553" s="51">
        <v>2346754</v>
      </c>
      <c r="F553" s="52">
        <v>217062</v>
      </c>
      <c r="G553" s="53">
        <v>9.2494569000000002</v>
      </c>
    </row>
    <row r="554" spans="1:7">
      <c r="A554" s="50" t="s">
        <v>322</v>
      </c>
      <c r="B554" s="50" t="s">
        <v>50</v>
      </c>
      <c r="C554" s="50" t="s">
        <v>237</v>
      </c>
      <c r="D554" s="51">
        <v>232814</v>
      </c>
      <c r="E554" s="51">
        <v>6075106</v>
      </c>
      <c r="F554" s="52">
        <v>583476.1</v>
      </c>
      <c r="G554" s="53">
        <v>9.6043772999999995</v>
      </c>
    </row>
    <row r="555" spans="1:7">
      <c r="A555" s="50" t="s">
        <v>344</v>
      </c>
      <c r="B555" s="50" t="s">
        <v>50</v>
      </c>
      <c r="C555" s="50" t="s">
        <v>332</v>
      </c>
      <c r="D555" s="51">
        <v>66</v>
      </c>
      <c r="E555" s="51">
        <v>514</v>
      </c>
      <c r="F555" s="52">
        <v>38</v>
      </c>
      <c r="G555" s="53">
        <v>7.3929961000000004</v>
      </c>
    </row>
    <row r="556" spans="1:7">
      <c r="A556" s="50" t="s">
        <v>349</v>
      </c>
      <c r="B556" s="50" t="s">
        <v>50</v>
      </c>
      <c r="C556" s="50" t="s">
        <v>332</v>
      </c>
      <c r="D556" s="51">
        <v>28</v>
      </c>
      <c r="E556" s="51">
        <v>167</v>
      </c>
      <c r="F556" s="52">
        <v>27.7</v>
      </c>
      <c r="G556" s="53">
        <v>16.586825999999999</v>
      </c>
    </row>
    <row r="557" spans="1:7">
      <c r="A557" s="50" t="s">
        <v>705</v>
      </c>
      <c r="B557" s="50" t="s">
        <v>50</v>
      </c>
      <c r="C557" s="50" t="s">
        <v>242</v>
      </c>
      <c r="D557" s="51">
        <v>13935</v>
      </c>
      <c r="E557" s="51">
        <v>338204</v>
      </c>
      <c r="F557" s="52">
        <v>26019</v>
      </c>
      <c r="G557" s="53">
        <v>7.6932856999999997</v>
      </c>
    </row>
    <row r="558" spans="1:7">
      <c r="A558" s="50" t="s">
        <v>706</v>
      </c>
      <c r="B558" s="50" t="s">
        <v>50</v>
      </c>
      <c r="C558" s="50" t="s">
        <v>325</v>
      </c>
      <c r="D558" s="51">
        <v>3</v>
      </c>
      <c r="E558" s="51">
        <v>2189098</v>
      </c>
      <c r="F558" s="52">
        <v>104679</v>
      </c>
      <c r="G558" s="53">
        <v>4.7818325000000002</v>
      </c>
    </row>
    <row r="559" spans="1:7">
      <c r="A559" s="50" t="s">
        <v>707</v>
      </c>
      <c r="B559" s="50" t="s">
        <v>50</v>
      </c>
      <c r="C559" s="50" t="s">
        <v>240</v>
      </c>
      <c r="D559" s="51">
        <v>53392</v>
      </c>
      <c r="E559" s="51">
        <v>980282</v>
      </c>
      <c r="F559" s="52">
        <v>88934.5</v>
      </c>
      <c r="G559" s="53">
        <v>9.0723383999999996</v>
      </c>
    </row>
    <row r="560" spans="1:7">
      <c r="A560" s="50" t="s">
        <v>358</v>
      </c>
      <c r="B560" s="50" t="s">
        <v>56</v>
      </c>
      <c r="C560" s="50" t="s">
        <v>332</v>
      </c>
      <c r="D560" s="51">
        <v>6</v>
      </c>
      <c r="E560" s="51">
        <v>881</v>
      </c>
      <c r="F560" s="52">
        <v>122.4</v>
      </c>
      <c r="G560" s="53">
        <v>13.893303</v>
      </c>
    </row>
    <row r="561" spans="1:7">
      <c r="A561" s="50" t="s">
        <v>708</v>
      </c>
      <c r="B561" s="50" t="s">
        <v>56</v>
      </c>
      <c r="C561" s="50" t="s">
        <v>242</v>
      </c>
      <c r="D561" s="51">
        <v>26383</v>
      </c>
      <c r="E561" s="51">
        <v>441639</v>
      </c>
      <c r="F561" s="52">
        <v>54167.1</v>
      </c>
      <c r="G561" s="53">
        <v>12.265017</v>
      </c>
    </row>
    <row r="562" spans="1:7">
      <c r="A562" s="50" t="s">
        <v>709</v>
      </c>
      <c r="B562" s="50" t="s">
        <v>56</v>
      </c>
      <c r="C562" s="50" t="s">
        <v>242</v>
      </c>
      <c r="D562" s="51">
        <v>17752</v>
      </c>
      <c r="E562" s="51">
        <v>356827</v>
      </c>
      <c r="F562" s="52">
        <v>44816</v>
      </c>
      <c r="G562" s="53">
        <v>12.559588</v>
      </c>
    </row>
    <row r="563" spans="1:7">
      <c r="A563" s="50" t="s">
        <v>710</v>
      </c>
      <c r="B563" s="50" t="s">
        <v>56</v>
      </c>
      <c r="C563" s="50" t="s">
        <v>242</v>
      </c>
      <c r="D563" s="51">
        <v>16184</v>
      </c>
      <c r="E563" s="51">
        <v>315196</v>
      </c>
      <c r="F563" s="52">
        <v>56448</v>
      </c>
      <c r="G563" s="53">
        <v>17.908857000000001</v>
      </c>
    </row>
    <row r="564" spans="1:7">
      <c r="A564" s="50" t="s">
        <v>711</v>
      </c>
      <c r="B564" s="50" t="s">
        <v>56</v>
      </c>
      <c r="C564" s="50" t="s">
        <v>242</v>
      </c>
      <c r="D564" s="51">
        <v>26575</v>
      </c>
      <c r="E564" s="51">
        <v>465760</v>
      </c>
      <c r="F564" s="52">
        <v>51990.400000000001</v>
      </c>
      <c r="G564" s="53">
        <v>11.162487</v>
      </c>
    </row>
    <row r="565" spans="1:7">
      <c r="A565" s="50" t="s">
        <v>712</v>
      </c>
      <c r="B565" s="50" t="s">
        <v>56</v>
      </c>
      <c r="C565" s="50" t="s">
        <v>242</v>
      </c>
      <c r="D565" s="51">
        <v>38393</v>
      </c>
      <c r="E565" s="51">
        <v>636298</v>
      </c>
      <c r="F565" s="52">
        <v>95533</v>
      </c>
      <c r="G565" s="53">
        <v>15.013877000000001</v>
      </c>
    </row>
    <row r="566" spans="1:7">
      <c r="A566" s="50" t="s">
        <v>713</v>
      </c>
      <c r="B566" s="50" t="s">
        <v>56</v>
      </c>
      <c r="C566" s="50" t="s">
        <v>242</v>
      </c>
      <c r="D566" s="51">
        <v>18129</v>
      </c>
      <c r="E566" s="51">
        <v>354594</v>
      </c>
      <c r="F566" s="52">
        <v>50884</v>
      </c>
      <c r="G566" s="53">
        <v>14.349933</v>
      </c>
    </row>
    <row r="567" spans="1:7">
      <c r="A567" s="50" t="s">
        <v>331</v>
      </c>
      <c r="B567" s="50" t="s">
        <v>56</v>
      </c>
      <c r="C567" s="50" t="s">
        <v>332</v>
      </c>
      <c r="D567" s="51">
        <v>3</v>
      </c>
      <c r="E567" s="51">
        <v>3611</v>
      </c>
      <c r="F567" s="52">
        <v>405.2</v>
      </c>
      <c r="G567" s="53">
        <v>11.221268</v>
      </c>
    </row>
    <row r="568" spans="1:7">
      <c r="A568" s="50" t="s">
        <v>1840</v>
      </c>
      <c r="B568" s="50" t="s">
        <v>56</v>
      </c>
      <c r="C568" s="50" t="s">
        <v>237</v>
      </c>
      <c r="D568" s="51">
        <v>21511</v>
      </c>
      <c r="E568" s="51">
        <v>162643</v>
      </c>
      <c r="F568" s="52">
        <v>38223.300000000003</v>
      </c>
      <c r="G568" s="53">
        <v>23.501349999999999</v>
      </c>
    </row>
    <row r="569" spans="1:7">
      <c r="A569" s="50" t="s">
        <v>338</v>
      </c>
      <c r="B569" s="50" t="s">
        <v>56</v>
      </c>
      <c r="C569" s="50" t="s">
        <v>332</v>
      </c>
      <c r="D569" s="51">
        <v>76</v>
      </c>
      <c r="E569" s="51">
        <v>401</v>
      </c>
      <c r="F569" s="52">
        <v>60.1</v>
      </c>
      <c r="G569" s="53">
        <v>14.987531000000001</v>
      </c>
    </row>
    <row r="570" spans="1:7">
      <c r="A570" s="50" t="s">
        <v>1821</v>
      </c>
      <c r="B570" s="50" t="s">
        <v>56</v>
      </c>
      <c r="C570" s="50" t="s">
        <v>332</v>
      </c>
      <c r="D570" s="51">
        <v>2</v>
      </c>
      <c r="E570" s="51">
        <v>15758</v>
      </c>
      <c r="F570" s="52">
        <v>1077.4000000000001</v>
      </c>
      <c r="G570" s="53">
        <v>6.8371620999999996</v>
      </c>
    </row>
    <row r="571" spans="1:7">
      <c r="A571" s="50" t="s">
        <v>339</v>
      </c>
      <c r="B571" s="50" t="s">
        <v>56</v>
      </c>
      <c r="C571" s="50" t="s">
        <v>332</v>
      </c>
      <c r="D571" s="51">
        <v>8</v>
      </c>
      <c r="E571" s="51">
        <v>4375</v>
      </c>
      <c r="F571" s="52">
        <v>747.6</v>
      </c>
      <c r="G571" s="53">
        <v>17.088000000000001</v>
      </c>
    </row>
    <row r="572" spans="1:7">
      <c r="A572" s="50" t="s">
        <v>714</v>
      </c>
      <c r="B572" s="50" t="s">
        <v>56</v>
      </c>
      <c r="C572" s="50" t="s">
        <v>237</v>
      </c>
      <c r="D572" s="51">
        <v>689702</v>
      </c>
      <c r="E572" s="51">
        <v>5694934</v>
      </c>
      <c r="F572" s="52">
        <v>1197599.3999999999</v>
      </c>
      <c r="G572" s="53">
        <v>21.029205999999999</v>
      </c>
    </row>
    <row r="573" spans="1:7">
      <c r="A573" s="50" t="s">
        <v>715</v>
      </c>
      <c r="B573" s="50" t="s">
        <v>56</v>
      </c>
      <c r="C573" s="50" t="s">
        <v>237</v>
      </c>
      <c r="D573" s="51">
        <v>669580</v>
      </c>
      <c r="E573" s="51">
        <v>5750221</v>
      </c>
      <c r="F573" s="52">
        <v>1213341</v>
      </c>
      <c r="G573" s="53">
        <v>21.100771999999999</v>
      </c>
    </row>
    <row r="574" spans="1:7">
      <c r="A574" s="50" t="s">
        <v>716</v>
      </c>
      <c r="B574" s="50" t="s">
        <v>56</v>
      </c>
      <c r="C574" s="50" t="s">
        <v>237</v>
      </c>
      <c r="D574" s="51">
        <v>2291</v>
      </c>
      <c r="E574" s="51">
        <v>23365</v>
      </c>
      <c r="F574" s="52">
        <v>5560.4</v>
      </c>
      <c r="G574" s="53">
        <v>23.797988</v>
      </c>
    </row>
    <row r="575" spans="1:7">
      <c r="A575" s="50" t="s">
        <v>343</v>
      </c>
      <c r="B575" s="50" t="s">
        <v>56</v>
      </c>
      <c r="C575" s="50" t="s">
        <v>332</v>
      </c>
      <c r="D575" s="51">
        <v>19271</v>
      </c>
      <c r="E575" s="51">
        <v>114037</v>
      </c>
      <c r="F575" s="52">
        <v>17293.5</v>
      </c>
      <c r="G575" s="53">
        <v>15.164815000000001</v>
      </c>
    </row>
    <row r="576" spans="1:7">
      <c r="A576" s="50" t="s">
        <v>344</v>
      </c>
      <c r="B576" s="50" t="s">
        <v>56</v>
      </c>
      <c r="C576" s="50" t="s">
        <v>332</v>
      </c>
      <c r="D576" s="51">
        <v>878</v>
      </c>
      <c r="E576" s="51">
        <v>4930</v>
      </c>
      <c r="F576" s="52">
        <v>867</v>
      </c>
      <c r="G576" s="53">
        <v>17.586207000000002</v>
      </c>
    </row>
    <row r="577" spans="1:7">
      <c r="A577" s="50" t="s">
        <v>348</v>
      </c>
      <c r="B577" s="50" t="s">
        <v>56</v>
      </c>
      <c r="C577" s="50" t="s">
        <v>332</v>
      </c>
      <c r="D577" s="51">
        <v>842</v>
      </c>
      <c r="E577" s="51">
        <v>5313</v>
      </c>
      <c r="F577" s="52">
        <v>977.2</v>
      </c>
      <c r="G577" s="53">
        <v>18.392621999999999</v>
      </c>
    </row>
    <row r="578" spans="1:7">
      <c r="A578" s="50" t="s">
        <v>349</v>
      </c>
      <c r="B578" s="50" t="s">
        <v>56</v>
      </c>
      <c r="C578" s="50" t="s">
        <v>332</v>
      </c>
      <c r="D578" s="51">
        <v>6569</v>
      </c>
      <c r="E578" s="51">
        <v>45807</v>
      </c>
      <c r="F578" s="52">
        <v>8352.4</v>
      </c>
      <c r="G578" s="53">
        <v>18.233893999999999</v>
      </c>
    </row>
    <row r="579" spans="1:7">
      <c r="A579" s="50" t="s">
        <v>350</v>
      </c>
      <c r="B579" s="50" t="s">
        <v>56</v>
      </c>
      <c r="C579" s="50" t="s">
        <v>332</v>
      </c>
      <c r="D579" s="51">
        <v>16072</v>
      </c>
      <c r="E579" s="51">
        <v>96206</v>
      </c>
      <c r="F579" s="52">
        <v>15755.6</v>
      </c>
      <c r="G579" s="53">
        <v>16.376940999999999</v>
      </c>
    </row>
    <row r="580" spans="1:7">
      <c r="A580" s="50" t="s">
        <v>351</v>
      </c>
      <c r="B580" s="50" t="s">
        <v>56</v>
      </c>
      <c r="C580" s="50" t="s">
        <v>332</v>
      </c>
      <c r="D580" s="51">
        <v>25</v>
      </c>
      <c r="E580" s="51">
        <v>17413</v>
      </c>
      <c r="F580" s="52">
        <v>2212.4</v>
      </c>
      <c r="G580" s="53">
        <v>12.705450000000001</v>
      </c>
    </row>
    <row r="581" spans="1:7">
      <c r="A581" s="50" t="s">
        <v>717</v>
      </c>
      <c r="B581" s="50" t="s">
        <v>56</v>
      </c>
      <c r="C581" s="50" t="s">
        <v>242</v>
      </c>
      <c r="D581" s="51">
        <v>16766</v>
      </c>
      <c r="E581" s="51">
        <v>312638</v>
      </c>
      <c r="F581" s="52">
        <v>46389</v>
      </c>
      <c r="G581" s="53">
        <v>14.837928</v>
      </c>
    </row>
    <row r="582" spans="1:7">
      <c r="A582" s="50" t="s">
        <v>718</v>
      </c>
      <c r="B582" s="50" t="s">
        <v>56</v>
      </c>
      <c r="C582" s="50" t="s">
        <v>242</v>
      </c>
      <c r="D582" s="51">
        <v>13347</v>
      </c>
      <c r="E582" s="51">
        <v>284979</v>
      </c>
      <c r="F582" s="52">
        <v>38620.6</v>
      </c>
      <c r="G582" s="53">
        <v>13.552085999999999</v>
      </c>
    </row>
    <row r="583" spans="1:7">
      <c r="A583" s="50" t="s">
        <v>719</v>
      </c>
      <c r="B583" s="50" t="s">
        <v>56</v>
      </c>
      <c r="C583" s="50" t="s">
        <v>242</v>
      </c>
      <c r="D583" s="51">
        <v>13341</v>
      </c>
      <c r="E583" s="51">
        <v>220294</v>
      </c>
      <c r="F583" s="52">
        <v>25374.9</v>
      </c>
      <c r="G583" s="53">
        <v>11.518651999999999</v>
      </c>
    </row>
    <row r="584" spans="1:7">
      <c r="A584" s="50" t="s">
        <v>720</v>
      </c>
      <c r="B584" s="50" t="s">
        <v>56</v>
      </c>
      <c r="C584" s="50" t="s">
        <v>242</v>
      </c>
      <c r="D584" s="51">
        <v>7496</v>
      </c>
      <c r="E584" s="51">
        <v>231892</v>
      </c>
      <c r="F584" s="52">
        <v>29310.5</v>
      </c>
      <c r="G584" s="53">
        <v>12.639720000000001</v>
      </c>
    </row>
    <row r="585" spans="1:7">
      <c r="A585" s="50" t="s">
        <v>721</v>
      </c>
      <c r="B585" s="50" t="s">
        <v>56</v>
      </c>
      <c r="C585" s="50" t="s">
        <v>242</v>
      </c>
      <c r="D585" s="51">
        <v>10362</v>
      </c>
      <c r="E585" s="51">
        <v>205578</v>
      </c>
      <c r="F585" s="52">
        <v>25590</v>
      </c>
      <c r="G585" s="53">
        <v>12.44783</v>
      </c>
    </row>
    <row r="586" spans="1:7">
      <c r="A586" s="50" t="s">
        <v>722</v>
      </c>
      <c r="B586" s="50" t="s">
        <v>56</v>
      </c>
      <c r="C586" s="50" t="s">
        <v>242</v>
      </c>
      <c r="D586" s="51">
        <v>17369</v>
      </c>
      <c r="E586" s="51">
        <v>276282</v>
      </c>
      <c r="F586" s="52">
        <v>38835</v>
      </c>
      <c r="G586" s="53">
        <v>14.056290000000001</v>
      </c>
    </row>
    <row r="587" spans="1:7">
      <c r="A587" s="50" t="s">
        <v>723</v>
      </c>
      <c r="B587" s="50" t="s">
        <v>56</v>
      </c>
      <c r="C587" s="50" t="s">
        <v>242</v>
      </c>
      <c r="D587" s="51">
        <v>13534</v>
      </c>
      <c r="E587" s="51">
        <v>209666</v>
      </c>
      <c r="F587" s="52">
        <v>31051</v>
      </c>
      <c r="G587" s="53">
        <v>14.809744999999999</v>
      </c>
    </row>
    <row r="588" spans="1:7">
      <c r="A588" s="50" t="s">
        <v>724</v>
      </c>
      <c r="B588" s="50" t="s">
        <v>56</v>
      </c>
      <c r="C588" s="50" t="s">
        <v>242</v>
      </c>
      <c r="D588" s="51">
        <v>29951</v>
      </c>
      <c r="E588" s="51">
        <v>647886</v>
      </c>
      <c r="F588" s="52">
        <v>84102</v>
      </c>
      <c r="G588" s="53">
        <v>12.980987000000001</v>
      </c>
    </row>
    <row r="589" spans="1:7">
      <c r="A589" s="50" t="s">
        <v>725</v>
      </c>
      <c r="B589" s="50" t="s">
        <v>56</v>
      </c>
      <c r="C589" s="50" t="s">
        <v>242</v>
      </c>
      <c r="D589" s="51">
        <v>16341</v>
      </c>
      <c r="E589" s="51">
        <v>277720</v>
      </c>
      <c r="F589" s="52">
        <v>32288</v>
      </c>
      <c r="G589" s="53">
        <v>11.626098000000001</v>
      </c>
    </row>
    <row r="590" spans="1:7">
      <c r="A590" s="50" t="s">
        <v>726</v>
      </c>
      <c r="B590" s="50" t="s">
        <v>56</v>
      </c>
      <c r="C590" s="50" t="s">
        <v>242</v>
      </c>
      <c r="D590" s="51">
        <v>3904</v>
      </c>
      <c r="E590" s="51">
        <v>62521</v>
      </c>
      <c r="F590" s="52">
        <v>9165</v>
      </c>
      <c r="G590" s="53">
        <v>14.659075</v>
      </c>
    </row>
    <row r="591" spans="1:7">
      <c r="A591" s="50" t="s">
        <v>727</v>
      </c>
      <c r="B591" s="50" t="s">
        <v>56</v>
      </c>
      <c r="C591" s="50" t="s">
        <v>242</v>
      </c>
      <c r="D591" s="51">
        <v>10141</v>
      </c>
      <c r="E591" s="51">
        <v>237361</v>
      </c>
      <c r="F591" s="52">
        <v>32807</v>
      </c>
      <c r="G591" s="53">
        <v>13.821562999999999</v>
      </c>
    </row>
    <row r="592" spans="1:7">
      <c r="A592" s="50" t="s">
        <v>356</v>
      </c>
      <c r="B592" s="50" t="s">
        <v>56</v>
      </c>
      <c r="C592" s="50" t="s">
        <v>332</v>
      </c>
      <c r="D592" s="51">
        <v>20592</v>
      </c>
      <c r="E592" s="51">
        <v>115825</v>
      </c>
      <c r="F592" s="52">
        <v>16539.8</v>
      </c>
      <c r="G592" s="53">
        <v>14.279991000000001</v>
      </c>
    </row>
    <row r="593" spans="1:7">
      <c r="A593" s="50" t="s">
        <v>728</v>
      </c>
      <c r="B593" s="50" t="s">
        <v>54</v>
      </c>
      <c r="C593" s="50" t="s">
        <v>240</v>
      </c>
      <c r="D593" s="51">
        <v>313</v>
      </c>
      <c r="E593" s="51">
        <v>2619</v>
      </c>
      <c r="F593" s="52">
        <v>333</v>
      </c>
      <c r="G593" s="53">
        <v>12.714777</v>
      </c>
    </row>
    <row r="594" spans="1:7">
      <c r="A594" s="50" t="s">
        <v>729</v>
      </c>
      <c r="B594" s="50" t="s">
        <v>54</v>
      </c>
      <c r="C594" s="50" t="s">
        <v>237</v>
      </c>
      <c r="D594" s="51">
        <v>987982</v>
      </c>
      <c r="E594" s="51">
        <v>12382526</v>
      </c>
      <c r="F594" s="52">
        <v>1486227.6</v>
      </c>
      <c r="G594" s="53">
        <v>12.00262</v>
      </c>
    </row>
    <row r="595" spans="1:7">
      <c r="A595" s="50" t="s">
        <v>1841</v>
      </c>
      <c r="B595" s="50" t="s">
        <v>54</v>
      </c>
      <c r="C595" s="50" t="s">
        <v>240</v>
      </c>
      <c r="D595" s="51">
        <v>55188</v>
      </c>
      <c r="E595" s="51">
        <v>979362</v>
      </c>
      <c r="F595" s="52">
        <v>133829.4</v>
      </c>
      <c r="G595" s="53">
        <v>13.664956999999999</v>
      </c>
    </row>
    <row r="596" spans="1:7">
      <c r="A596" s="50" t="s">
        <v>331</v>
      </c>
      <c r="B596" s="50" t="s">
        <v>54</v>
      </c>
      <c r="C596" s="50" t="s">
        <v>332</v>
      </c>
      <c r="D596" s="51">
        <v>15</v>
      </c>
      <c r="E596" s="51">
        <v>14423</v>
      </c>
      <c r="F596" s="52">
        <v>1023.3</v>
      </c>
      <c r="G596" s="53">
        <v>7.0949178000000002</v>
      </c>
    </row>
    <row r="597" spans="1:7">
      <c r="A597" s="50" t="s">
        <v>433</v>
      </c>
      <c r="B597" s="50" t="s">
        <v>54</v>
      </c>
      <c r="C597" s="50" t="s">
        <v>237</v>
      </c>
      <c r="D597" s="51">
        <v>175771</v>
      </c>
      <c r="E597" s="51">
        <v>2221627</v>
      </c>
      <c r="F597" s="52">
        <v>320570.90000000002</v>
      </c>
      <c r="G597" s="53">
        <v>14.429555000000001</v>
      </c>
    </row>
    <row r="598" spans="1:7">
      <c r="A598" s="50" t="s">
        <v>730</v>
      </c>
      <c r="B598" s="50" t="s">
        <v>54</v>
      </c>
      <c r="C598" s="50" t="s">
        <v>242</v>
      </c>
      <c r="D598" s="51">
        <v>10849</v>
      </c>
      <c r="E598" s="51">
        <v>237106</v>
      </c>
      <c r="F598" s="52">
        <v>23505.8</v>
      </c>
      <c r="G598" s="53">
        <v>9.9136251000000009</v>
      </c>
    </row>
    <row r="599" spans="1:7">
      <c r="A599" s="50" t="s">
        <v>338</v>
      </c>
      <c r="B599" s="50" t="s">
        <v>54</v>
      </c>
      <c r="C599" s="50" t="s">
        <v>332</v>
      </c>
      <c r="D599" s="51">
        <v>40</v>
      </c>
      <c r="E599" s="51">
        <v>469</v>
      </c>
      <c r="F599" s="52">
        <v>55.2</v>
      </c>
      <c r="G599" s="53">
        <v>11.769723000000001</v>
      </c>
    </row>
    <row r="600" spans="1:7">
      <c r="A600" s="50" t="s">
        <v>1821</v>
      </c>
      <c r="B600" s="50" t="s">
        <v>54</v>
      </c>
      <c r="C600" s="50" t="s">
        <v>332</v>
      </c>
      <c r="D600" s="51">
        <v>1</v>
      </c>
      <c r="E600" s="51">
        <v>3781</v>
      </c>
      <c r="F600" s="52">
        <v>316</v>
      </c>
      <c r="G600" s="53">
        <v>8.3575774000000003</v>
      </c>
    </row>
    <row r="601" spans="1:7">
      <c r="A601" s="50" t="s">
        <v>731</v>
      </c>
      <c r="B601" s="50" t="s">
        <v>54</v>
      </c>
      <c r="C601" s="50" t="s">
        <v>242</v>
      </c>
      <c r="D601" s="51">
        <v>17521</v>
      </c>
      <c r="E601" s="51">
        <v>301778</v>
      </c>
      <c r="F601" s="52">
        <v>23405.7</v>
      </c>
      <c r="G601" s="53">
        <v>7.7559332000000003</v>
      </c>
    </row>
    <row r="602" spans="1:7">
      <c r="A602" s="50" t="s">
        <v>339</v>
      </c>
      <c r="B602" s="50" t="s">
        <v>54</v>
      </c>
      <c r="C602" s="50" t="s">
        <v>332</v>
      </c>
      <c r="D602" s="51">
        <v>28</v>
      </c>
      <c r="E602" s="51">
        <v>7300</v>
      </c>
      <c r="F602" s="52">
        <v>875.5</v>
      </c>
      <c r="G602" s="53">
        <v>11.993150999999999</v>
      </c>
    </row>
    <row r="603" spans="1:7">
      <c r="A603" s="50" t="s">
        <v>428</v>
      </c>
      <c r="B603" s="50" t="s">
        <v>54</v>
      </c>
      <c r="C603" s="50" t="s">
        <v>237</v>
      </c>
      <c r="D603" s="51">
        <v>465919</v>
      </c>
      <c r="E603" s="51">
        <v>5822484</v>
      </c>
      <c r="F603" s="52">
        <v>805197.5</v>
      </c>
      <c r="G603" s="53">
        <v>13.829105999999999</v>
      </c>
    </row>
    <row r="604" spans="1:7">
      <c r="A604" s="50" t="s">
        <v>343</v>
      </c>
      <c r="B604" s="50" t="s">
        <v>54</v>
      </c>
      <c r="C604" s="50" t="s">
        <v>332</v>
      </c>
      <c r="D604" s="51">
        <v>27133</v>
      </c>
      <c r="E604" s="51">
        <v>243243</v>
      </c>
      <c r="F604" s="52">
        <v>32891.1</v>
      </c>
      <c r="G604" s="53">
        <v>13.52191</v>
      </c>
    </row>
    <row r="605" spans="1:7">
      <c r="A605" s="50" t="s">
        <v>732</v>
      </c>
      <c r="B605" s="50" t="s">
        <v>54</v>
      </c>
      <c r="C605" s="50" t="s">
        <v>240</v>
      </c>
      <c r="D605" s="51">
        <v>164316</v>
      </c>
      <c r="E605" s="51">
        <v>3241824</v>
      </c>
      <c r="F605" s="52">
        <v>358871.8</v>
      </c>
      <c r="G605" s="53">
        <v>11.070058</v>
      </c>
    </row>
    <row r="606" spans="1:7">
      <c r="A606" s="50" t="s">
        <v>344</v>
      </c>
      <c r="B606" s="50" t="s">
        <v>54</v>
      </c>
      <c r="C606" s="50" t="s">
        <v>332</v>
      </c>
      <c r="D606" s="51">
        <v>218</v>
      </c>
      <c r="E606" s="51">
        <v>1586</v>
      </c>
      <c r="F606" s="52">
        <v>210</v>
      </c>
      <c r="G606" s="53">
        <v>13.240857999999999</v>
      </c>
    </row>
    <row r="607" spans="1:7">
      <c r="A607" s="50" t="s">
        <v>349</v>
      </c>
      <c r="B607" s="50" t="s">
        <v>54</v>
      </c>
      <c r="C607" s="50" t="s">
        <v>332</v>
      </c>
      <c r="D607" s="51">
        <v>2693</v>
      </c>
      <c r="E607" s="51">
        <v>26183</v>
      </c>
      <c r="F607" s="52">
        <v>4220.8999999999996</v>
      </c>
      <c r="G607" s="53">
        <v>16.120764999999999</v>
      </c>
    </row>
    <row r="608" spans="1:7">
      <c r="A608" s="50" t="s">
        <v>350</v>
      </c>
      <c r="B608" s="50" t="s">
        <v>54</v>
      </c>
      <c r="C608" s="50" t="s">
        <v>332</v>
      </c>
      <c r="D608" s="51">
        <v>10125</v>
      </c>
      <c r="E608" s="51">
        <v>87304</v>
      </c>
      <c r="F608" s="52">
        <v>12191</v>
      </c>
      <c r="G608" s="53">
        <v>13.963850000000001</v>
      </c>
    </row>
    <row r="609" spans="1:7">
      <c r="A609" s="50" t="s">
        <v>351</v>
      </c>
      <c r="B609" s="50" t="s">
        <v>54</v>
      </c>
      <c r="C609" s="50" t="s">
        <v>332</v>
      </c>
      <c r="D609" s="51">
        <v>7</v>
      </c>
      <c r="E609" s="51">
        <v>3032</v>
      </c>
      <c r="F609" s="52">
        <v>230.4</v>
      </c>
      <c r="G609" s="53">
        <v>7.5989446000000003</v>
      </c>
    </row>
    <row r="610" spans="1:7">
      <c r="A610" s="50" t="s">
        <v>1842</v>
      </c>
      <c r="B610" s="50" t="s">
        <v>54</v>
      </c>
      <c r="C610" s="50" t="s">
        <v>237</v>
      </c>
      <c r="D610" s="51">
        <v>236244</v>
      </c>
      <c r="E610" s="51">
        <v>3475341</v>
      </c>
      <c r="F610" s="52">
        <v>374635.4</v>
      </c>
      <c r="G610" s="53">
        <v>10.779817</v>
      </c>
    </row>
    <row r="611" spans="1:7">
      <c r="A611" s="50" t="s">
        <v>356</v>
      </c>
      <c r="B611" s="50" t="s">
        <v>54</v>
      </c>
      <c r="C611" s="50" t="s">
        <v>332</v>
      </c>
      <c r="D611" s="51">
        <v>18581</v>
      </c>
      <c r="E611" s="51">
        <v>138824</v>
      </c>
      <c r="F611" s="52">
        <v>16074.3</v>
      </c>
      <c r="G611" s="53">
        <v>11.578906</v>
      </c>
    </row>
    <row r="612" spans="1:7">
      <c r="A612" s="50" t="s">
        <v>733</v>
      </c>
      <c r="B612" s="50" t="s">
        <v>52</v>
      </c>
      <c r="C612" s="50" t="s">
        <v>237</v>
      </c>
      <c r="D612" s="51">
        <v>545256</v>
      </c>
      <c r="E612" s="51">
        <v>4671939</v>
      </c>
      <c r="F612" s="52">
        <v>729045.6</v>
      </c>
      <c r="G612" s="53">
        <v>15.604775999999999</v>
      </c>
    </row>
    <row r="613" spans="1:7">
      <c r="A613" s="50" t="s">
        <v>734</v>
      </c>
      <c r="B613" s="50" t="s">
        <v>52</v>
      </c>
      <c r="C613" s="50" t="s">
        <v>240</v>
      </c>
      <c r="D613" s="51">
        <v>12788</v>
      </c>
      <c r="E613" s="51">
        <v>94634</v>
      </c>
      <c r="F613" s="52">
        <v>15394.4</v>
      </c>
      <c r="G613" s="53">
        <v>16.267303999999999</v>
      </c>
    </row>
    <row r="614" spans="1:7">
      <c r="A614" s="50" t="s">
        <v>1821</v>
      </c>
      <c r="B614" s="50" t="s">
        <v>52</v>
      </c>
      <c r="C614" s="50" t="s">
        <v>332</v>
      </c>
      <c r="D614" s="51">
        <v>1</v>
      </c>
      <c r="E614" s="51">
        <v>2421</v>
      </c>
      <c r="F614" s="52">
        <v>209.2</v>
      </c>
      <c r="G614" s="53">
        <v>8.6410573999999993</v>
      </c>
    </row>
    <row r="615" spans="1:7">
      <c r="A615" s="50" t="s">
        <v>735</v>
      </c>
      <c r="B615" s="50" t="s">
        <v>52</v>
      </c>
      <c r="C615" s="50" t="s">
        <v>242</v>
      </c>
      <c r="D615" s="51">
        <v>5560</v>
      </c>
      <c r="E615" s="51">
        <v>75832</v>
      </c>
      <c r="F615" s="52">
        <v>8695</v>
      </c>
      <c r="G615" s="53">
        <v>11.466136000000001</v>
      </c>
    </row>
    <row r="616" spans="1:7">
      <c r="A616" s="50" t="s">
        <v>343</v>
      </c>
      <c r="B616" s="50" t="s">
        <v>52</v>
      </c>
      <c r="C616" s="50" t="s">
        <v>332</v>
      </c>
      <c r="D616" s="51">
        <v>4</v>
      </c>
      <c r="E616" s="51">
        <v>1313</v>
      </c>
      <c r="F616" s="52">
        <v>154.19999999999999</v>
      </c>
      <c r="G616" s="53">
        <v>11.744097</v>
      </c>
    </row>
    <row r="617" spans="1:7">
      <c r="A617" s="50" t="s">
        <v>736</v>
      </c>
      <c r="B617" s="50" t="s">
        <v>52</v>
      </c>
      <c r="C617" s="50" t="s">
        <v>242</v>
      </c>
      <c r="D617" s="51">
        <v>2555</v>
      </c>
      <c r="E617" s="51">
        <v>26521</v>
      </c>
      <c r="F617" s="52">
        <v>3906</v>
      </c>
      <c r="G617" s="53">
        <v>14.727950999999999</v>
      </c>
    </row>
    <row r="618" spans="1:7">
      <c r="A618" s="50" t="s">
        <v>1843</v>
      </c>
      <c r="B618" s="50" t="s">
        <v>52</v>
      </c>
      <c r="C618" s="50" t="s">
        <v>237</v>
      </c>
      <c r="D618" s="51">
        <v>149256</v>
      </c>
      <c r="E618" s="51">
        <v>1254824</v>
      </c>
      <c r="F618" s="52">
        <v>193350.39999999999</v>
      </c>
      <c r="G618" s="53">
        <v>15.408567</v>
      </c>
    </row>
    <row r="619" spans="1:7">
      <c r="A619" s="50" t="s">
        <v>737</v>
      </c>
      <c r="B619" s="50" t="s">
        <v>58</v>
      </c>
      <c r="C619" s="50" t="s">
        <v>240</v>
      </c>
      <c r="D619" s="51">
        <v>10208</v>
      </c>
      <c r="E619" s="51">
        <v>80410</v>
      </c>
      <c r="F619" s="52">
        <v>15351.5</v>
      </c>
      <c r="G619" s="53">
        <v>19.091531</v>
      </c>
    </row>
    <row r="620" spans="1:7">
      <c r="A620" s="50" t="s">
        <v>738</v>
      </c>
      <c r="B620" s="50" t="s">
        <v>58</v>
      </c>
      <c r="C620" s="50" t="s">
        <v>237</v>
      </c>
      <c r="D620" s="51">
        <v>16554</v>
      </c>
      <c r="E620" s="51">
        <v>360874</v>
      </c>
      <c r="F620" s="52">
        <v>34706.800000000003</v>
      </c>
      <c r="G620" s="53">
        <v>9.6174288000000008</v>
      </c>
    </row>
    <row r="621" spans="1:7">
      <c r="A621" s="50" t="s">
        <v>740</v>
      </c>
      <c r="B621" s="50" t="s">
        <v>58</v>
      </c>
      <c r="C621" s="50" t="s">
        <v>240</v>
      </c>
      <c r="D621" s="51">
        <v>36487</v>
      </c>
      <c r="E621" s="51">
        <v>403739</v>
      </c>
      <c r="F621" s="52">
        <v>51105</v>
      </c>
      <c r="G621" s="53">
        <v>12.65793</v>
      </c>
    </row>
    <row r="622" spans="1:7">
      <c r="A622" s="50" t="s">
        <v>741</v>
      </c>
      <c r="B622" s="50" t="s">
        <v>58</v>
      </c>
      <c r="C622" s="50" t="s">
        <v>242</v>
      </c>
      <c r="D622" s="51">
        <v>20159</v>
      </c>
      <c r="E622" s="51">
        <v>297744</v>
      </c>
      <c r="F622" s="52">
        <v>38226</v>
      </c>
      <c r="G622" s="53">
        <v>12.838545999999999</v>
      </c>
    </row>
    <row r="623" spans="1:7">
      <c r="A623" s="50" t="s">
        <v>742</v>
      </c>
      <c r="B623" s="50" t="s">
        <v>58</v>
      </c>
      <c r="C623" s="50" t="s">
        <v>242</v>
      </c>
      <c r="D623" s="51">
        <v>1603</v>
      </c>
      <c r="E623" s="51">
        <v>16285</v>
      </c>
      <c r="F623" s="52">
        <v>2470</v>
      </c>
      <c r="G623" s="53">
        <v>15.167332</v>
      </c>
    </row>
    <row r="624" spans="1:7">
      <c r="A624" s="50" t="s">
        <v>743</v>
      </c>
      <c r="B624" s="50" t="s">
        <v>58</v>
      </c>
      <c r="C624" s="50" t="s">
        <v>242</v>
      </c>
      <c r="D624" s="51">
        <v>2934</v>
      </c>
      <c r="E624" s="51">
        <v>30622</v>
      </c>
      <c r="F624" s="52">
        <v>3731.7</v>
      </c>
      <c r="G624" s="53">
        <v>12.186337</v>
      </c>
    </row>
    <row r="625" spans="1:7">
      <c r="A625" s="50" t="s">
        <v>744</v>
      </c>
      <c r="B625" s="50" t="s">
        <v>58</v>
      </c>
      <c r="C625" s="50" t="s">
        <v>242</v>
      </c>
      <c r="D625" s="51">
        <v>14642</v>
      </c>
      <c r="E625" s="51">
        <v>280904</v>
      </c>
      <c r="F625" s="52">
        <v>35424.1</v>
      </c>
      <c r="G625" s="53">
        <v>12.610749999999999</v>
      </c>
    </row>
    <row r="626" spans="1:7">
      <c r="A626" s="50" t="s">
        <v>745</v>
      </c>
      <c r="B626" s="50" t="s">
        <v>58</v>
      </c>
      <c r="C626" s="50" t="s">
        <v>242</v>
      </c>
      <c r="D626" s="51">
        <v>29423</v>
      </c>
      <c r="E626" s="51">
        <v>1053776</v>
      </c>
      <c r="F626" s="52">
        <v>101468</v>
      </c>
      <c r="G626" s="53">
        <v>9.6289914000000003</v>
      </c>
    </row>
    <row r="627" spans="1:7">
      <c r="A627" s="50" t="s">
        <v>746</v>
      </c>
      <c r="B627" s="50" t="s">
        <v>58</v>
      </c>
      <c r="C627" s="50" t="s">
        <v>242</v>
      </c>
      <c r="D627" s="51">
        <v>99274</v>
      </c>
      <c r="E627" s="51">
        <v>1979877</v>
      </c>
      <c r="F627" s="52">
        <v>281469</v>
      </c>
      <c r="G627" s="53">
        <v>14.216488999999999</v>
      </c>
    </row>
    <row r="628" spans="1:7">
      <c r="A628" s="50" t="s">
        <v>747</v>
      </c>
      <c r="B628" s="50" t="s">
        <v>58</v>
      </c>
      <c r="C628" s="50" t="s">
        <v>242</v>
      </c>
      <c r="D628" s="51">
        <v>17264</v>
      </c>
      <c r="E628" s="51">
        <v>274344</v>
      </c>
      <c r="F628" s="52">
        <v>40286.5</v>
      </c>
      <c r="G628" s="53">
        <v>14.684666</v>
      </c>
    </row>
    <row r="629" spans="1:7">
      <c r="A629" s="50" t="s">
        <v>748</v>
      </c>
      <c r="B629" s="50" t="s">
        <v>58</v>
      </c>
      <c r="C629" s="50" t="s">
        <v>242</v>
      </c>
      <c r="D629" s="51">
        <v>2250</v>
      </c>
      <c r="E629" s="51">
        <v>21007</v>
      </c>
      <c r="F629" s="52">
        <v>3164.5</v>
      </c>
      <c r="G629" s="53">
        <v>15.064026</v>
      </c>
    </row>
    <row r="630" spans="1:7">
      <c r="A630" s="50" t="s">
        <v>749</v>
      </c>
      <c r="B630" s="50" t="s">
        <v>58</v>
      </c>
      <c r="C630" s="50" t="s">
        <v>242</v>
      </c>
      <c r="D630" s="51">
        <v>2088</v>
      </c>
      <c r="E630" s="51">
        <v>23287</v>
      </c>
      <c r="F630" s="52">
        <v>3390.1</v>
      </c>
      <c r="G630" s="53">
        <v>14.557907999999999</v>
      </c>
    </row>
    <row r="631" spans="1:7">
      <c r="A631" s="50" t="s">
        <v>750</v>
      </c>
      <c r="B631" s="50" t="s">
        <v>58</v>
      </c>
      <c r="C631" s="50" t="s">
        <v>242</v>
      </c>
      <c r="D631" s="51">
        <v>7048</v>
      </c>
      <c r="E631" s="51">
        <v>205148</v>
      </c>
      <c r="F631" s="52">
        <v>25671</v>
      </c>
      <c r="G631" s="53">
        <v>12.513405000000001</v>
      </c>
    </row>
    <row r="632" spans="1:7">
      <c r="A632" s="50" t="s">
        <v>751</v>
      </c>
      <c r="B632" s="50" t="s">
        <v>58</v>
      </c>
      <c r="C632" s="50" t="s">
        <v>242</v>
      </c>
      <c r="D632" s="51">
        <v>12812</v>
      </c>
      <c r="E632" s="51">
        <v>316168</v>
      </c>
      <c r="F632" s="52">
        <v>29190</v>
      </c>
      <c r="G632" s="53">
        <v>9.2324333999999997</v>
      </c>
    </row>
    <row r="633" spans="1:7">
      <c r="A633" s="50" t="s">
        <v>752</v>
      </c>
      <c r="B633" s="50" t="s">
        <v>58</v>
      </c>
      <c r="C633" s="50" t="s">
        <v>242</v>
      </c>
      <c r="D633" s="51">
        <v>6857</v>
      </c>
      <c r="E633" s="51">
        <v>397148</v>
      </c>
      <c r="F633" s="52">
        <v>28601</v>
      </c>
      <c r="G633" s="53">
        <v>7.2015973999999998</v>
      </c>
    </row>
    <row r="634" spans="1:7">
      <c r="A634" s="50" t="s">
        <v>753</v>
      </c>
      <c r="B634" s="50" t="s">
        <v>58</v>
      </c>
      <c r="C634" s="50" t="s">
        <v>240</v>
      </c>
      <c r="D634" s="51">
        <v>42852</v>
      </c>
      <c r="E634" s="51">
        <v>681506</v>
      </c>
      <c r="F634" s="52">
        <v>76892.3</v>
      </c>
      <c r="G634" s="53">
        <v>11.282703</v>
      </c>
    </row>
    <row r="635" spans="1:7">
      <c r="A635" s="50" t="s">
        <v>754</v>
      </c>
      <c r="B635" s="50" t="s">
        <v>58</v>
      </c>
      <c r="C635" s="50" t="s">
        <v>242</v>
      </c>
      <c r="D635" s="51">
        <v>7324</v>
      </c>
      <c r="E635" s="51">
        <v>450741</v>
      </c>
      <c r="F635" s="52">
        <v>38679</v>
      </c>
      <c r="G635" s="53">
        <v>8.5812030000000004</v>
      </c>
    </row>
    <row r="636" spans="1:7">
      <c r="A636" s="50" t="s">
        <v>755</v>
      </c>
      <c r="B636" s="50" t="s">
        <v>58</v>
      </c>
      <c r="C636" s="50" t="s">
        <v>237</v>
      </c>
      <c r="D636" s="51">
        <v>1855672</v>
      </c>
      <c r="E636" s="51">
        <v>31446240</v>
      </c>
      <c r="F636" s="52">
        <v>4117784.4</v>
      </c>
      <c r="G636" s="53">
        <v>13.09468</v>
      </c>
    </row>
    <row r="637" spans="1:7">
      <c r="A637" s="50" t="s">
        <v>756</v>
      </c>
      <c r="B637" s="50" t="s">
        <v>58</v>
      </c>
      <c r="C637" s="50" t="s">
        <v>237</v>
      </c>
      <c r="D637" s="51">
        <v>2226500</v>
      </c>
      <c r="E637" s="51">
        <v>40629495</v>
      </c>
      <c r="F637" s="52">
        <v>5215247.5999999996</v>
      </c>
      <c r="G637" s="53">
        <v>12.836112</v>
      </c>
    </row>
    <row r="638" spans="1:7">
      <c r="A638" s="50" t="s">
        <v>757</v>
      </c>
      <c r="B638" s="50" t="s">
        <v>58</v>
      </c>
      <c r="C638" s="50" t="s">
        <v>240</v>
      </c>
      <c r="D638" s="51">
        <v>126956</v>
      </c>
      <c r="E638" s="51">
        <v>1564325</v>
      </c>
      <c r="F638" s="52">
        <v>203032.5</v>
      </c>
      <c r="G638" s="53">
        <v>12.978921</v>
      </c>
    </row>
    <row r="639" spans="1:7">
      <c r="A639" s="50" t="s">
        <v>1821</v>
      </c>
      <c r="B639" s="50" t="s">
        <v>58</v>
      </c>
      <c r="C639" s="50" t="s">
        <v>332</v>
      </c>
      <c r="D639" s="51">
        <v>1</v>
      </c>
      <c r="E639" s="51">
        <v>4030</v>
      </c>
      <c r="F639" s="52">
        <v>330.2</v>
      </c>
      <c r="G639" s="53">
        <v>8.1935483999999992</v>
      </c>
    </row>
    <row r="640" spans="1:7">
      <c r="A640" s="50" t="s">
        <v>609</v>
      </c>
      <c r="B640" s="50" t="s">
        <v>58</v>
      </c>
      <c r="C640" s="50" t="s">
        <v>237</v>
      </c>
      <c r="D640" s="51">
        <v>129886</v>
      </c>
      <c r="E640" s="51">
        <v>2447346</v>
      </c>
      <c r="F640" s="52">
        <v>326845</v>
      </c>
      <c r="G640" s="53">
        <v>13.355079</v>
      </c>
    </row>
    <row r="641" spans="1:7">
      <c r="A641" s="50" t="s">
        <v>616</v>
      </c>
      <c r="B641" s="50" t="s">
        <v>58</v>
      </c>
      <c r="C641" s="50" t="s">
        <v>240</v>
      </c>
      <c r="D641" s="51">
        <v>34919</v>
      </c>
      <c r="E641" s="51">
        <v>568598</v>
      </c>
      <c r="F641" s="52">
        <v>84457.9</v>
      </c>
      <c r="G641" s="53">
        <v>14.85371</v>
      </c>
    </row>
    <row r="642" spans="1:7">
      <c r="A642" s="50" t="s">
        <v>1844</v>
      </c>
      <c r="B642" s="50" t="s">
        <v>58</v>
      </c>
      <c r="C642" s="50" t="s">
        <v>237</v>
      </c>
      <c r="D642" s="51">
        <v>8913</v>
      </c>
      <c r="E642" s="51">
        <v>132502</v>
      </c>
      <c r="F642" s="52">
        <v>14259.6</v>
      </c>
      <c r="G642" s="53">
        <v>10.761799999999999</v>
      </c>
    </row>
    <row r="643" spans="1:7">
      <c r="A643" s="50" t="s">
        <v>758</v>
      </c>
      <c r="B643" s="50" t="s">
        <v>58</v>
      </c>
      <c r="C643" s="50" t="s">
        <v>240</v>
      </c>
      <c r="D643" s="51">
        <v>33769</v>
      </c>
      <c r="E643" s="51">
        <v>246589</v>
      </c>
      <c r="F643" s="52">
        <v>34938.6</v>
      </c>
      <c r="G643" s="53">
        <v>14.168759</v>
      </c>
    </row>
    <row r="644" spans="1:7">
      <c r="A644" s="50" t="s">
        <v>1845</v>
      </c>
      <c r="B644" s="50" t="s">
        <v>58</v>
      </c>
      <c r="C644" s="50" t="s">
        <v>240</v>
      </c>
      <c r="D644" s="51">
        <v>26349</v>
      </c>
      <c r="E644" s="51">
        <v>362838</v>
      </c>
      <c r="F644" s="52">
        <v>48971.6</v>
      </c>
      <c r="G644" s="53">
        <v>13.496822</v>
      </c>
    </row>
    <row r="645" spans="1:7">
      <c r="A645" s="50" t="s">
        <v>759</v>
      </c>
      <c r="B645" s="50" t="s">
        <v>58</v>
      </c>
      <c r="C645" s="50" t="s">
        <v>237</v>
      </c>
      <c r="D645" s="51">
        <v>36896</v>
      </c>
      <c r="E645" s="51">
        <v>1708477</v>
      </c>
      <c r="F645" s="52">
        <v>124500.3</v>
      </c>
      <c r="G645" s="53">
        <v>7.2872095999999997</v>
      </c>
    </row>
    <row r="646" spans="1:7">
      <c r="A646" s="50" t="s">
        <v>760</v>
      </c>
      <c r="B646" s="50" t="s">
        <v>58</v>
      </c>
      <c r="C646" s="50" t="s">
        <v>237</v>
      </c>
      <c r="D646" s="51">
        <v>53159</v>
      </c>
      <c r="E646" s="51">
        <v>778348</v>
      </c>
      <c r="F646" s="52">
        <v>103315.8</v>
      </c>
      <c r="G646" s="53">
        <v>13.273728</v>
      </c>
    </row>
    <row r="647" spans="1:7">
      <c r="A647" s="50" t="s">
        <v>761</v>
      </c>
      <c r="B647" s="50" t="s">
        <v>58</v>
      </c>
      <c r="C647" s="50" t="s">
        <v>242</v>
      </c>
      <c r="D647" s="51">
        <v>738</v>
      </c>
      <c r="E647" s="51">
        <v>17567</v>
      </c>
      <c r="F647" s="52">
        <v>2286.6999999999998</v>
      </c>
      <c r="G647" s="53">
        <v>13.017021</v>
      </c>
    </row>
    <row r="648" spans="1:7">
      <c r="A648" s="50" t="s">
        <v>762</v>
      </c>
      <c r="B648" s="50" t="s">
        <v>58</v>
      </c>
      <c r="C648" s="50" t="s">
        <v>242</v>
      </c>
      <c r="D648" s="51">
        <v>1132</v>
      </c>
      <c r="E648" s="51">
        <v>11556</v>
      </c>
      <c r="F648" s="52">
        <v>1490.3</v>
      </c>
      <c r="G648" s="53">
        <v>12.896331</v>
      </c>
    </row>
    <row r="649" spans="1:7">
      <c r="A649" s="50" t="s">
        <v>764</v>
      </c>
      <c r="B649" s="50" t="s">
        <v>58</v>
      </c>
      <c r="C649" s="50" t="s">
        <v>242</v>
      </c>
      <c r="D649" s="51">
        <v>12635</v>
      </c>
      <c r="E649" s="51">
        <v>278477</v>
      </c>
      <c r="F649" s="52">
        <v>31032.2</v>
      </c>
      <c r="G649" s="53">
        <v>11.143541000000001</v>
      </c>
    </row>
    <row r="650" spans="1:7">
      <c r="A650" s="50" t="s">
        <v>765</v>
      </c>
      <c r="B650" s="50" t="s">
        <v>60</v>
      </c>
      <c r="C650" s="50" t="s">
        <v>237</v>
      </c>
      <c r="D650" s="51">
        <v>148332</v>
      </c>
      <c r="E650" s="51">
        <v>7889945</v>
      </c>
      <c r="F650" s="52">
        <v>634675.69999999995</v>
      </c>
      <c r="G650" s="53">
        <v>8.0441079999999996</v>
      </c>
    </row>
    <row r="651" spans="1:7">
      <c r="A651" s="50" t="s">
        <v>766</v>
      </c>
      <c r="B651" s="50" t="s">
        <v>60</v>
      </c>
      <c r="C651" s="50" t="s">
        <v>240</v>
      </c>
      <c r="D651" s="51">
        <v>5267</v>
      </c>
      <c r="E651" s="51">
        <v>233020</v>
      </c>
      <c r="F651" s="52">
        <v>22581</v>
      </c>
      <c r="G651" s="53">
        <v>9.6905844999999999</v>
      </c>
    </row>
    <row r="652" spans="1:7">
      <c r="A652" s="50" t="s">
        <v>767</v>
      </c>
      <c r="B652" s="50" t="s">
        <v>60</v>
      </c>
      <c r="C652" s="50" t="s">
        <v>240</v>
      </c>
      <c r="D652" s="51">
        <v>18976</v>
      </c>
      <c r="E652" s="51">
        <v>341043</v>
      </c>
      <c r="F652" s="52">
        <v>44474</v>
      </c>
      <c r="G652" s="53">
        <v>13.040584000000001</v>
      </c>
    </row>
    <row r="653" spans="1:7">
      <c r="A653" s="50" t="s">
        <v>768</v>
      </c>
      <c r="B653" s="50" t="s">
        <v>60</v>
      </c>
      <c r="C653" s="50" t="s">
        <v>240</v>
      </c>
      <c r="D653" s="51">
        <v>21497</v>
      </c>
      <c r="E653" s="51">
        <v>360904</v>
      </c>
      <c r="F653" s="52">
        <v>48779.3</v>
      </c>
      <c r="G653" s="53">
        <v>13.515866000000001</v>
      </c>
    </row>
    <row r="654" spans="1:7">
      <c r="A654" s="50" t="s">
        <v>769</v>
      </c>
      <c r="B654" s="50" t="s">
        <v>60</v>
      </c>
      <c r="C654" s="50" t="s">
        <v>242</v>
      </c>
      <c r="D654" s="51">
        <v>10263</v>
      </c>
      <c r="E654" s="51">
        <v>273321</v>
      </c>
      <c r="F654" s="52">
        <v>24853.1</v>
      </c>
      <c r="G654" s="53">
        <v>9.0930078999999999</v>
      </c>
    </row>
    <row r="655" spans="1:7">
      <c r="A655" s="50" t="s">
        <v>770</v>
      </c>
      <c r="B655" s="50" t="s">
        <v>60</v>
      </c>
      <c r="C655" s="50" t="s">
        <v>242</v>
      </c>
      <c r="D655" s="51">
        <v>12284</v>
      </c>
      <c r="E655" s="51">
        <v>270004</v>
      </c>
      <c r="F655" s="52">
        <v>29270</v>
      </c>
      <c r="G655" s="53">
        <v>10.840579999999999</v>
      </c>
    </row>
    <row r="656" spans="1:7">
      <c r="A656" s="50" t="s">
        <v>771</v>
      </c>
      <c r="B656" s="50" t="s">
        <v>60</v>
      </c>
      <c r="C656" s="50" t="s">
        <v>242</v>
      </c>
      <c r="D656" s="51">
        <v>11836</v>
      </c>
      <c r="E656" s="51">
        <v>336408</v>
      </c>
      <c r="F656" s="52">
        <v>35315</v>
      </c>
      <c r="G656" s="53">
        <v>10.497669</v>
      </c>
    </row>
    <row r="657" spans="1:7">
      <c r="A657" s="50" t="s">
        <v>772</v>
      </c>
      <c r="B657" s="50" t="s">
        <v>60</v>
      </c>
      <c r="C657" s="50" t="s">
        <v>242</v>
      </c>
      <c r="D657" s="51">
        <v>10618</v>
      </c>
      <c r="E657" s="51">
        <v>383969</v>
      </c>
      <c r="F657" s="52">
        <v>43466.9</v>
      </c>
      <c r="G657" s="53">
        <v>11.320418999999999</v>
      </c>
    </row>
    <row r="658" spans="1:7">
      <c r="A658" s="50" t="s">
        <v>773</v>
      </c>
      <c r="B658" s="50" t="s">
        <v>60</v>
      </c>
      <c r="C658" s="50" t="s">
        <v>242</v>
      </c>
      <c r="D658" s="51">
        <v>12365</v>
      </c>
      <c r="E658" s="51">
        <v>324469</v>
      </c>
      <c r="F658" s="52">
        <v>36525</v>
      </c>
      <c r="G658" s="53">
        <v>11.256854000000001</v>
      </c>
    </row>
    <row r="659" spans="1:7">
      <c r="A659" s="50" t="s">
        <v>774</v>
      </c>
      <c r="B659" s="50" t="s">
        <v>60</v>
      </c>
      <c r="C659" s="50" t="s">
        <v>242</v>
      </c>
      <c r="D659" s="51">
        <v>1223</v>
      </c>
      <c r="E659" s="51">
        <v>15298</v>
      </c>
      <c r="F659" s="52">
        <v>2835.6</v>
      </c>
      <c r="G659" s="53">
        <v>18.535755999999999</v>
      </c>
    </row>
    <row r="660" spans="1:7">
      <c r="A660" s="50" t="s">
        <v>775</v>
      </c>
      <c r="B660" s="50" t="s">
        <v>60</v>
      </c>
      <c r="C660" s="50" t="s">
        <v>242</v>
      </c>
      <c r="D660" s="51">
        <v>6759</v>
      </c>
      <c r="E660" s="51">
        <v>531121</v>
      </c>
      <c r="F660" s="52">
        <v>35101</v>
      </c>
      <c r="G660" s="53">
        <v>6.6088518000000001</v>
      </c>
    </row>
    <row r="661" spans="1:7">
      <c r="A661" s="50" t="s">
        <v>776</v>
      </c>
      <c r="B661" s="50" t="s">
        <v>60</v>
      </c>
      <c r="C661" s="50" t="s">
        <v>242</v>
      </c>
      <c r="D661" s="51">
        <v>20011</v>
      </c>
      <c r="E661" s="51">
        <v>421235</v>
      </c>
      <c r="F661" s="52">
        <v>39930.800000000003</v>
      </c>
      <c r="G661" s="53">
        <v>9.4794592000000009</v>
      </c>
    </row>
    <row r="662" spans="1:7">
      <c r="A662" s="50" t="s">
        <v>777</v>
      </c>
      <c r="B662" s="50" t="s">
        <v>60</v>
      </c>
      <c r="C662" s="50" t="s">
        <v>242</v>
      </c>
      <c r="D662" s="51">
        <v>11911</v>
      </c>
      <c r="E662" s="51">
        <v>404325</v>
      </c>
      <c r="F662" s="52">
        <v>38129</v>
      </c>
      <c r="G662" s="53">
        <v>9.4302849999999996</v>
      </c>
    </row>
    <row r="663" spans="1:7">
      <c r="A663" s="50" t="s">
        <v>778</v>
      </c>
      <c r="B663" s="50" t="s">
        <v>60</v>
      </c>
      <c r="C663" s="50" t="s">
        <v>242</v>
      </c>
      <c r="D663" s="51">
        <v>5465</v>
      </c>
      <c r="E663" s="51">
        <v>216639</v>
      </c>
      <c r="F663" s="52">
        <v>18729.2</v>
      </c>
      <c r="G663" s="53">
        <v>8.6453500999999999</v>
      </c>
    </row>
    <row r="664" spans="1:7">
      <c r="A664" s="50" t="s">
        <v>779</v>
      </c>
      <c r="B664" s="50" t="s">
        <v>60</v>
      </c>
      <c r="C664" s="50" t="s">
        <v>240</v>
      </c>
      <c r="D664" s="51">
        <v>137055</v>
      </c>
      <c r="E664" s="51">
        <v>1991732</v>
      </c>
      <c r="F664" s="52">
        <v>245373.6</v>
      </c>
      <c r="G664" s="53">
        <v>12.319609</v>
      </c>
    </row>
    <row r="665" spans="1:7">
      <c r="A665" s="50" t="s">
        <v>780</v>
      </c>
      <c r="B665" s="50" t="s">
        <v>60</v>
      </c>
      <c r="C665" s="50" t="s">
        <v>240</v>
      </c>
      <c r="D665" s="51">
        <v>45356</v>
      </c>
      <c r="E665" s="51">
        <v>627123</v>
      </c>
      <c r="F665" s="52">
        <v>72744.3</v>
      </c>
      <c r="G665" s="53">
        <v>11.599686</v>
      </c>
    </row>
    <row r="666" spans="1:7">
      <c r="A666" s="50" t="s">
        <v>781</v>
      </c>
      <c r="B666" s="50" t="s">
        <v>60</v>
      </c>
      <c r="C666" s="50" t="s">
        <v>240</v>
      </c>
      <c r="D666" s="51">
        <v>109963</v>
      </c>
      <c r="E666" s="51">
        <v>1787745</v>
      </c>
      <c r="F666" s="52">
        <v>207319</v>
      </c>
      <c r="G666" s="53">
        <v>11.596676</v>
      </c>
    </row>
    <row r="667" spans="1:7">
      <c r="A667" s="50" t="s">
        <v>782</v>
      </c>
      <c r="B667" s="50" t="s">
        <v>60</v>
      </c>
      <c r="C667" s="50" t="s">
        <v>240</v>
      </c>
      <c r="D667" s="51">
        <v>57074</v>
      </c>
      <c r="E667" s="51">
        <v>883203</v>
      </c>
      <c r="F667" s="52">
        <v>115829</v>
      </c>
      <c r="G667" s="53">
        <v>13.114652</v>
      </c>
    </row>
    <row r="668" spans="1:7">
      <c r="A668" s="50" t="s">
        <v>539</v>
      </c>
      <c r="B668" s="50" t="s">
        <v>60</v>
      </c>
      <c r="C668" s="50" t="s">
        <v>240</v>
      </c>
      <c r="D668" s="51">
        <v>6921</v>
      </c>
      <c r="E668" s="51">
        <v>382581</v>
      </c>
      <c r="F668" s="52">
        <v>32601</v>
      </c>
      <c r="G668" s="53">
        <v>8.5213327000000003</v>
      </c>
    </row>
    <row r="669" spans="1:7">
      <c r="A669" s="50" t="s">
        <v>2465</v>
      </c>
      <c r="B669" s="50" t="s">
        <v>60</v>
      </c>
      <c r="C669" s="50" t="s">
        <v>240</v>
      </c>
      <c r="D669" s="51">
        <v>21039</v>
      </c>
      <c r="E669" s="51">
        <v>478785</v>
      </c>
      <c r="F669" s="52">
        <v>53640</v>
      </c>
      <c r="G669" s="53">
        <v>11.203359000000001</v>
      </c>
    </row>
    <row r="670" spans="1:7">
      <c r="A670" s="50" t="s">
        <v>540</v>
      </c>
      <c r="B670" s="50" t="s">
        <v>60</v>
      </c>
      <c r="C670" s="50" t="s">
        <v>240</v>
      </c>
      <c r="D670" s="51">
        <v>39</v>
      </c>
      <c r="E670" s="51">
        <v>1033</v>
      </c>
      <c r="F670" s="52">
        <v>115.3</v>
      </c>
      <c r="G670" s="53">
        <v>11.161664999999999</v>
      </c>
    </row>
    <row r="671" spans="1:7">
      <c r="A671" s="50" t="s">
        <v>784</v>
      </c>
      <c r="B671" s="50" t="s">
        <v>60</v>
      </c>
      <c r="C671" s="50" t="s">
        <v>242</v>
      </c>
      <c r="D671" s="51">
        <v>7469</v>
      </c>
      <c r="E671" s="51">
        <v>268831</v>
      </c>
      <c r="F671" s="52">
        <v>23430</v>
      </c>
      <c r="G671" s="53">
        <v>8.7155126999999997</v>
      </c>
    </row>
    <row r="672" spans="1:7">
      <c r="A672" s="50" t="s">
        <v>785</v>
      </c>
      <c r="B672" s="50" t="s">
        <v>60</v>
      </c>
      <c r="C672" s="50" t="s">
        <v>240</v>
      </c>
      <c r="D672" s="51">
        <v>12141</v>
      </c>
      <c r="E672" s="51">
        <v>214909</v>
      </c>
      <c r="F672" s="52">
        <v>24239.200000000001</v>
      </c>
      <c r="G672" s="53">
        <v>11.27882</v>
      </c>
    </row>
    <row r="673" spans="1:7">
      <c r="A673" s="50" t="s">
        <v>786</v>
      </c>
      <c r="B673" s="50" t="s">
        <v>60</v>
      </c>
      <c r="C673" s="50" t="s">
        <v>240</v>
      </c>
      <c r="D673" s="51">
        <v>49878</v>
      </c>
      <c r="E673" s="51">
        <v>613337</v>
      </c>
      <c r="F673" s="52">
        <v>89364.5</v>
      </c>
      <c r="G673" s="53">
        <v>14.570212</v>
      </c>
    </row>
    <row r="674" spans="1:7">
      <c r="A674" s="50" t="s">
        <v>787</v>
      </c>
      <c r="B674" s="50" t="s">
        <v>60</v>
      </c>
      <c r="C674" s="50" t="s">
        <v>240</v>
      </c>
      <c r="D674" s="51">
        <v>28925</v>
      </c>
      <c r="E674" s="51">
        <v>453034</v>
      </c>
      <c r="F674" s="52">
        <v>52935.9</v>
      </c>
      <c r="G674" s="53">
        <v>11.684752</v>
      </c>
    </row>
    <row r="675" spans="1:7">
      <c r="A675" s="50" t="s">
        <v>788</v>
      </c>
      <c r="B675" s="50" t="s">
        <v>60</v>
      </c>
      <c r="C675" s="50" t="s">
        <v>240</v>
      </c>
      <c r="D675" s="51">
        <v>9163</v>
      </c>
      <c r="E675" s="51">
        <v>197593</v>
      </c>
      <c r="F675" s="52">
        <v>21741.8</v>
      </c>
      <c r="G675" s="53">
        <v>11.003325</v>
      </c>
    </row>
    <row r="676" spans="1:7">
      <c r="A676" s="50" t="s">
        <v>545</v>
      </c>
      <c r="B676" s="50" t="s">
        <v>60</v>
      </c>
      <c r="C676" s="50" t="s">
        <v>240</v>
      </c>
      <c r="D676" s="51">
        <v>16003</v>
      </c>
      <c r="E676" s="51">
        <v>317744</v>
      </c>
      <c r="F676" s="52">
        <v>40340</v>
      </c>
      <c r="G676" s="53">
        <v>12.695755</v>
      </c>
    </row>
    <row r="677" spans="1:7">
      <c r="A677" s="50" t="s">
        <v>789</v>
      </c>
      <c r="B677" s="50" t="s">
        <v>60</v>
      </c>
      <c r="C677" s="50" t="s">
        <v>240</v>
      </c>
      <c r="D677" s="51">
        <v>15414</v>
      </c>
      <c r="E677" s="51">
        <v>199345</v>
      </c>
      <c r="F677" s="52">
        <v>27522</v>
      </c>
      <c r="G677" s="53">
        <v>13.806215</v>
      </c>
    </row>
    <row r="678" spans="1:7">
      <c r="A678" s="50" t="s">
        <v>790</v>
      </c>
      <c r="B678" s="50" t="s">
        <v>60</v>
      </c>
      <c r="C678" s="50" t="s">
        <v>240</v>
      </c>
      <c r="D678" s="51">
        <v>5288</v>
      </c>
      <c r="E678" s="51">
        <v>194347</v>
      </c>
      <c r="F678" s="52">
        <v>19832.599999999999</v>
      </c>
      <c r="G678" s="53">
        <v>10.204737</v>
      </c>
    </row>
    <row r="679" spans="1:7">
      <c r="A679" s="50" t="s">
        <v>791</v>
      </c>
      <c r="B679" s="50" t="s">
        <v>60</v>
      </c>
      <c r="C679" s="50" t="s">
        <v>240</v>
      </c>
      <c r="D679" s="51">
        <v>44020</v>
      </c>
      <c r="E679" s="51">
        <v>852797</v>
      </c>
      <c r="F679" s="52">
        <v>90942</v>
      </c>
      <c r="G679" s="53">
        <v>10.663968000000001</v>
      </c>
    </row>
    <row r="680" spans="1:7">
      <c r="A680" s="50" t="s">
        <v>792</v>
      </c>
      <c r="B680" s="50" t="s">
        <v>60</v>
      </c>
      <c r="C680" s="50" t="s">
        <v>237</v>
      </c>
      <c r="D680" s="51">
        <v>1313454</v>
      </c>
      <c r="E680" s="51">
        <v>28141222</v>
      </c>
      <c r="F680" s="52">
        <v>3069756.5</v>
      </c>
      <c r="G680" s="53">
        <v>10.908398</v>
      </c>
    </row>
    <row r="681" spans="1:7">
      <c r="A681" s="50" t="s">
        <v>793</v>
      </c>
      <c r="B681" s="50" t="s">
        <v>60</v>
      </c>
      <c r="C681" s="50" t="s">
        <v>237</v>
      </c>
      <c r="D681" s="51">
        <v>102</v>
      </c>
      <c r="E681" s="51">
        <v>593</v>
      </c>
      <c r="F681" s="52">
        <v>84.8</v>
      </c>
      <c r="G681" s="53">
        <v>14.300169</v>
      </c>
    </row>
    <row r="682" spans="1:7">
      <c r="A682" s="50" t="s">
        <v>794</v>
      </c>
      <c r="B682" s="50" t="s">
        <v>60</v>
      </c>
      <c r="C682" s="50" t="s">
        <v>237</v>
      </c>
      <c r="D682" s="51">
        <v>62465</v>
      </c>
      <c r="E682" s="51">
        <v>2559957</v>
      </c>
      <c r="F682" s="52">
        <v>202007.2</v>
      </c>
      <c r="G682" s="53">
        <v>7.8910387999999996</v>
      </c>
    </row>
    <row r="683" spans="1:7">
      <c r="A683" s="50" t="s">
        <v>795</v>
      </c>
      <c r="B683" s="50" t="s">
        <v>60</v>
      </c>
      <c r="C683" s="50" t="s">
        <v>240</v>
      </c>
      <c r="D683" s="51">
        <v>23120</v>
      </c>
      <c r="E683" s="51">
        <v>357724</v>
      </c>
      <c r="F683" s="52">
        <v>48259.8</v>
      </c>
      <c r="G683" s="53">
        <v>13.490792000000001</v>
      </c>
    </row>
    <row r="684" spans="1:7">
      <c r="A684" s="50" t="s">
        <v>796</v>
      </c>
      <c r="B684" s="50" t="s">
        <v>60</v>
      </c>
      <c r="C684" s="50" t="s">
        <v>242</v>
      </c>
      <c r="D684" s="51">
        <v>57120</v>
      </c>
      <c r="E684" s="51">
        <v>1127968</v>
      </c>
      <c r="F684" s="52">
        <v>141923.70000000001</v>
      </c>
      <c r="G684" s="53">
        <v>12.582245</v>
      </c>
    </row>
    <row r="685" spans="1:7">
      <c r="A685" s="50" t="s">
        <v>797</v>
      </c>
      <c r="B685" s="50" t="s">
        <v>60</v>
      </c>
      <c r="C685" s="50" t="s">
        <v>240</v>
      </c>
      <c r="D685" s="51">
        <v>14748</v>
      </c>
      <c r="E685" s="51">
        <v>235434</v>
      </c>
      <c r="F685" s="52">
        <v>28856</v>
      </c>
      <c r="G685" s="53">
        <v>12.256513999999999</v>
      </c>
    </row>
    <row r="686" spans="1:7">
      <c r="A686" s="50" t="s">
        <v>798</v>
      </c>
      <c r="B686" s="50" t="s">
        <v>60</v>
      </c>
      <c r="C686" s="50" t="s">
        <v>242</v>
      </c>
      <c r="D686" s="51">
        <v>18562</v>
      </c>
      <c r="E686" s="51">
        <v>430760</v>
      </c>
      <c r="F686" s="52">
        <v>46902</v>
      </c>
      <c r="G686" s="53">
        <v>10.888197999999999</v>
      </c>
    </row>
    <row r="687" spans="1:7">
      <c r="A687" s="50" t="s">
        <v>799</v>
      </c>
      <c r="B687" s="50" t="s">
        <v>60</v>
      </c>
      <c r="C687" s="50" t="s">
        <v>240</v>
      </c>
      <c r="D687" s="51">
        <v>3868</v>
      </c>
      <c r="E687" s="51">
        <v>135491</v>
      </c>
      <c r="F687" s="52">
        <v>14631.1</v>
      </c>
      <c r="G687" s="53">
        <v>10.798577</v>
      </c>
    </row>
    <row r="688" spans="1:7">
      <c r="A688" s="50" t="s">
        <v>800</v>
      </c>
      <c r="B688" s="50" t="s">
        <v>60</v>
      </c>
      <c r="C688" s="50" t="s">
        <v>240</v>
      </c>
      <c r="D688" s="51">
        <v>5887</v>
      </c>
      <c r="E688" s="51">
        <v>223067</v>
      </c>
      <c r="F688" s="52">
        <v>22663</v>
      </c>
      <c r="G688" s="53">
        <v>10.159727999999999</v>
      </c>
    </row>
    <row r="689" spans="1:7">
      <c r="A689" s="50" t="s">
        <v>801</v>
      </c>
      <c r="B689" s="50" t="s">
        <v>60</v>
      </c>
      <c r="C689" s="50" t="s">
        <v>240</v>
      </c>
      <c r="D689" s="51">
        <v>27411</v>
      </c>
      <c r="E689" s="51">
        <v>525486</v>
      </c>
      <c r="F689" s="52">
        <v>59947.1</v>
      </c>
      <c r="G689" s="53">
        <v>11.407935</v>
      </c>
    </row>
    <row r="690" spans="1:7">
      <c r="A690" s="50" t="s">
        <v>802</v>
      </c>
      <c r="B690" s="50" t="s">
        <v>60</v>
      </c>
      <c r="C690" s="50" t="s">
        <v>240</v>
      </c>
      <c r="D690" s="51">
        <v>11595</v>
      </c>
      <c r="E690" s="51">
        <v>291116</v>
      </c>
      <c r="F690" s="52">
        <v>36017.5</v>
      </c>
      <c r="G690" s="53">
        <v>12.372216</v>
      </c>
    </row>
    <row r="691" spans="1:7">
      <c r="A691" s="50" t="s">
        <v>357</v>
      </c>
      <c r="B691" s="50" t="s">
        <v>60</v>
      </c>
      <c r="C691" s="50" t="s">
        <v>295</v>
      </c>
      <c r="D691" s="51">
        <v>4</v>
      </c>
      <c r="E691" s="51">
        <v>56507</v>
      </c>
      <c r="F691" s="52">
        <v>1294.8</v>
      </c>
      <c r="G691" s="53">
        <v>2.2913975</v>
      </c>
    </row>
    <row r="692" spans="1:7">
      <c r="A692" s="50" t="s">
        <v>804</v>
      </c>
      <c r="B692" s="50" t="s">
        <v>60</v>
      </c>
      <c r="C692" s="50" t="s">
        <v>240</v>
      </c>
      <c r="D692" s="51">
        <v>14378</v>
      </c>
      <c r="E692" s="51">
        <v>262999</v>
      </c>
      <c r="F692" s="52">
        <v>33308.199999999997</v>
      </c>
      <c r="G692" s="53">
        <v>12.664763000000001</v>
      </c>
    </row>
    <row r="693" spans="1:7">
      <c r="A693" s="50" t="s">
        <v>805</v>
      </c>
      <c r="B693" s="50" t="s">
        <v>60</v>
      </c>
      <c r="C693" s="50" t="s">
        <v>242</v>
      </c>
      <c r="D693" s="51">
        <v>9705</v>
      </c>
      <c r="E693" s="51">
        <v>266976</v>
      </c>
      <c r="F693" s="52">
        <v>26725</v>
      </c>
      <c r="G693" s="53">
        <v>10.010263</v>
      </c>
    </row>
    <row r="694" spans="1:7">
      <c r="A694" s="50" t="s">
        <v>806</v>
      </c>
      <c r="B694" s="50" t="s">
        <v>60</v>
      </c>
      <c r="C694" s="50" t="s">
        <v>240</v>
      </c>
      <c r="D694" s="51">
        <v>55152</v>
      </c>
      <c r="E694" s="51">
        <v>911750</v>
      </c>
      <c r="F694" s="52">
        <v>105974.5</v>
      </c>
      <c r="G694" s="53">
        <v>11.623196999999999</v>
      </c>
    </row>
    <row r="695" spans="1:7">
      <c r="A695" s="50" t="s">
        <v>807</v>
      </c>
      <c r="B695" s="50" t="s">
        <v>64</v>
      </c>
      <c r="C695" s="50" t="s">
        <v>240</v>
      </c>
      <c r="D695" s="51">
        <v>24748</v>
      </c>
      <c r="E695" s="51">
        <v>464689</v>
      </c>
      <c r="F695" s="52">
        <v>45977</v>
      </c>
      <c r="G695" s="53">
        <v>9.8941443000000007</v>
      </c>
    </row>
    <row r="696" spans="1:7">
      <c r="A696" s="50" t="s">
        <v>808</v>
      </c>
      <c r="B696" s="50" t="s">
        <v>64</v>
      </c>
      <c r="C696" s="50" t="s">
        <v>240</v>
      </c>
      <c r="D696" s="51">
        <v>33303</v>
      </c>
      <c r="E696" s="51">
        <v>552300</v>
      </c>
      <c r="F696" s="52">
        <v>61479</v>
      </c>
      <c r="G696" s="53">
        <v>11.131449999999999</v>
      </c>
    </row>
    <row r="697" spans="1:7">
      <c r="A697" s="50" t="s">
        <v>809</v>
      </c>
      <c r="B697" s="50" t="s">
        <v>64</v>
      </c>
      <c r="C697" s="50" t="s">
        <v>240</v>
      </c>
      <c r="D697" s="51">
        <v>13063</v>
      </c>
      <c r="E697" s="51">
        <v>217097</v>
      </c>
      <c r="F697" s="52">
        <v>29247.7</v>
      </c>
      <c r="G697" s="53">
        <v>13.472181000000001</v>
      </c>
    </row>
    <row r="698" spans="1:7">
      <c r="A698" s="50" t="s">
        <v>299</v>
      </c>
      <c r="B698" s="50" t="s">
        <v>64</v>
      </c>
      <c r="C698" s="50" t="s">
        <v>240</v>
      </c>
      <c r="D698" s="51">
        <v>12339</v>
      </c>
      <c r="E698" s="51">
        <v>143364</v>
      </c>
      <c r="F698" s="52">
        <v>14228</v>
      </c>
      <c r="G698" s="53">
        <v>9.9243883000000004</v>
      </c>
    </row>
    <row r="699" spans="1:7">
      <c r="A699" s="50" t="s">
        <v>810</v>
      </c>
      <c r="B699" s="50" t="s">
        <v>64</v>
      </c>
      <c r="C699" s="50" t="s">
        <v>240</v>
      </c>
      <c r="D699" s="51">
        <v>11040</v>
      </c>
      <c r="E699" s="51">
        <v>324589</v>
      </c>
      <c r="F699" s="52">
        <v>29119</v>
      </c>
      <c r="G699" s="53">
        <v>8.9710371999999996</v>
      </c>
    </row>
    <row r="700" spans="1:7">
      <c r="A700" s="50" t="s">
        <v>811</v>
      </c>
      <c r="B700" s="50" t="s">
        <v>64</v>
      </c>
      <c r="C700" s="50" t="s">
        <v>240</v>
      </c>
      <c r="D700" s="51">
        <v>27660</v>
      </c>
      <c r="E700" s="51">
        <v>1675140</v>
      </c>
      <c r="F700" s="52">
        <v>112246</v>
      </c>
      <c r="G700" s="53">
        <v>6.7006937000000004</v>
      </c>
    </row>
    <row r="701" spans="1:7">
      <c r="A701" s="50" t="s">
        <v>812</v>
      </c>
      <c r="B701" s="50" t="s">
        <v>64</v>
      </c>
      <c r="C701" s="50" t="s">
        <v>242</v>
      </c>
      <c r="D701" s="51">
        <v>117302</v>
      </c>
      <c r="E701" s="51">
        <v>2913253</v>
      </c>
      <c r="F701" s="52">
        <v>255412</v>
      </c>
      <c r="G701" s="53">
        <v>8.7672439999999998</v>
      </c>
    </row>
    <row r="702" spans="1:7">
      <c r="A702" s="50" t="s">
        <v>813</v>
      </c>
      <c r="B702" s="50" t="s">
        <v>64</v>
      </c>
      <c r="C702" s="50" t="s">
        <v>242</v>
      </c>
      <c r="D702" s="51">
        <v>7909</v>
      </c>
      <c r="E702" s="51">
        <v>283822</v>
      </c>
      <c r="F702" s="52">
        <v>25529</v>
      </c>
      <c r="G702" s="53">
        <v>8.9947219999999994</v>
      </c>
    </row>
    <row r="703" spans="1:7">
      <c r="A703" s="50" t="s">
        <v>814</v>
      </c>
      <c r="B703" s="50" t="s">
        <v>64</v>
      </c>
      <c r="C703" s="50" t="s">
        <v>242</v>
      </c>
      <c r="D703" s="51">
        <v>51307</v>
      </c>
      <c r="E703" s="51">
        <v>1127707</v>
      </c>
      <c r="F703" s="52">
        <v>117913</v>
      </c>
      <c r="G703" s="53">
        <v>10.455996000000001</v>
      </c>
    </row>
    <row r="704" spans="1:7">
      <c r="A704" s="50" t="s">
        <v>815</v>
      </c>
      <c r="B704" s="50" t="s">
        <v>64</v>
      </c>
      <c r="C704" s="50" t="s">
        <v>242</v>
      </c>
      <c r="D704" s="51">
        <v>7781</v>
      </c>
      <c r="E704" s="51">
        <v>219999</v>
      </c>
      <c r="F704" s="52">
        <v>21172.7</v>
      </c>
      <c r="G704" s="53">
        <v>9.6239983000000002</v>
      </c>
    </row>
    <row r="705" spans="1:7">
      <c r="A705" s="50" t="s">
        <v>816</v>
      </c>
      <c r="B705" s="50" t="s">
        <v>64</v>
      </c>
      <c r="C705" s="50" t="s">
        <v>242</v>
      </c>
      <c r="D705" s="51">
        <v>8771</v>
      </c>
      <c r="E705" s="51">
        <v>227505</v>
      </c>
      <c r="F705" s="52">
        <v>22198.2</v>
      </c>
      <c r="G705" s="53">
        <v>9.7572361000000001</v>
      </c>
    </row>
    <row r="706" spans="1:7">
      <c r="A706" s="50" t="s">
        <v>817</v>
      </c>
      <c r="B706" s="50" t="s">
        <v>64</v>
      </c>
      <c r="C706" s="50" t="s">
        <v>242</v>
      </c>
      <c r="D706" s="51">
        <v>59709</v>
      </c>
      <c r="E706" s="51">
        <v>951368</v>
      </c>
      <c r="F706" s="52">
        <v>116378.9</v>
      </c>
      <c r="G706" s="53">
        <v>12.232794999999999</v>
      </c>
    </row>
    <row r="707" spans="1:7">
      <c r="A707" s="50" t="s">
        <v>818</v>
      </c>
      <c r="B707" s="50" t="s">
        <v>64</v>
      </c>
      <c r="C707" s="50" t="s">
        <v>242</v>
      </c>
      <c r="D707" s="51">
        <v>10095</v>
      </c>
      <c r="E707" s="51">
        <v>187043</v>
      </c>
      <c r="F707" s="52">
        <v>20130.599999999999</v>
      </c>
      <c r="G707" s="53">
        <v>10.762551999999999</v>
      </c>
    </row>
    <row r="708" spans="1:7">
      <c r="A708" s="50" t="s">
        <v>819</v>
      </c>
      <c r="B708" s="50" t="s">
        <v>64</v>
      </c>
      <c r="C708" s="50" t="s">
        <v>242</v>
      </c>
      <c r="D708" s="51">
        <v>7212</v>
      </c>
      <c r="E708" s="51">
        <v>237690</v>
      </c>
      <c r="F708" s="52">
        <v>23940</v>
      </c>
      <c r="G708" s="53">
        <v>10.071942</v>
      </c>
    </row>
    <row r="709" spans="1:7">
      <c r="A709" s="50" t="s">
        <v>820</v>
      </c>
      <c r="B709" s="50" t="s">
        <v>64</v>
      </c>
      <c r="C709" s="50" t="s">
        <v>242</v>
      </c>
      <c r="D709" s="51">
        <v>4738</v>
      </c>
      <c r="E709" s="51">
        <v>213517</v>
      </c>
      <c r="F709" s="52">
        <v>19392.5</v>
      </c>
      <c r="G709" s="53">
        <v>9.0824149999999992</v>
      </c>
    </row>
    <row r="710" spans="1:7">
      <c r="A710" s="50" t="s">
        <v>821</v>
      </c>
      <c r="B710" s="50" t="s">
        <v>64</v>
      </c>
      <c r="C710" s="50" t="s">
        <v>242</v>
      </c>
      <c r="D710" s="51">
        <v>9592</v>
      </c>
      <c r="E710" s="51">
        <v>332032</v>
      </c>
      <c r="F710" s="52">
        <v>30221</v>
      </c>
      <c r="G710" s="53">
        <v>9.1018336000000009</v>
      </c>
    </row>
    <row r="711" spans="1:7">
      <c r="A711" s="50" t="s">
        <v>822</v>
      </c>
      <c r="B711" s="50" t="s">
        <v>64</v>
      </c>
      <c r="C711" s="50" t="s">
        <v>242</v>
      </c>
      <c r="D711" s="51">
        <v>9622</v>
      </c>
      <c r="E711" s="51">
        <v>291302</v>
      </c>
      <c r="F711" s="52">
        <v>25782</v>
      </c>
      <c r="G711" s="53">
        <v>8.8506085999999993</v>
      </c>
    </row>
    <row r="712" spans="1:7">
      <c r="A712" s="50" t="s">
        <v>823</v>
      </c>
      <c r="B712" s="50" t="s">
        <v>64</v>
      </c>
      <c r="C712" s="50" t="s">
        <v>242</v>
      </c>
      <c r="D712" s="51">
        <v>8676</v>
      </c>
      <c r="E712" s="51">
        <v>352828</v>
      </c>
      <c r="F712" s="52">
        <v>27280</v>
      </c>
      <c r="G712" s="53">
        <v>7.7318126999999999</v>
      </c>
    </row>
    <row r="713" spans="1:7">
      <c r="A713" s="50" t="s">
        <v>308</v>
      </c>
      <c r="B713" s="50" t="s">
        <v>64</v>
      </c>
      <c r="C713" s="50" t="s">
        <v>240</v>
      </c>
      <c r="D713" s="51">
        <v>53</v>
      </c>
      <c r="E713" s="51">
        <v>713</v>
      </c>
      <c r="F713" s="52">
        <v>92.2</v>
      </c>
      <c r="G713" s="53">
        <v>12.931276</v>
      </c>
    </row>
    <row r="714" spans="1:7">
      <c r="A714" s="50" t="s">
        <v>824</v>
      </c>
      <c r="B714" s="50" t="s">
        <v>64</v>
      </c>
      <c r="C714" s="50" t="s">
        <v>240</v>
      </c>
      <c r="D714" s="51">
        <v>31889</v>
      </c>
      <c r="E714" s="51">
        <v>444549</v>
      </c>
      <c r="F714" s="52">
        <v>52982</v>
      </c>
      <c r="G714" s="53">
        <v>11.918146</v>
      </c>
    </row>
    <row r="715" spans="1:7">
      <c r="A715" s="50" t="s">
        <v>825</v>
      </c>
      <c r="B715" s="50" t="s">
        <v>64</v>
      </c>
      <c r="C715" s="50" t="s">
        <v>240</v>
      </c>
      <c r="D715" s="51">
        <v>8129</v>
      </c>
      <c r="E715" s="51">
        <v>236130</v>
      </c>
      <c r="F715" s="52">
        <v>23190.2</v>
      </c>
      <c r="G715" s="53">
        <v>9.8209461000000005</v>
      </c>
    </row>
    <row r="716" spans="1:7">
      <c r="A716" s="50" t="s">
        <v>826</v>
      </c>
      <c r="B716" s="50" t="s">
        <v>64</v>
      </c>
      <c r="C716" s="50" t="s">
        <v>240</v>
      </c>
      <c r="D716" s="51">
        <v>20422</v>
      </c>
      <c r="E716" s="51">
        <v>302599</v>
      </c>
      <c r="F716" s="52">
        <v>33616.300000000003</v>
      </c>
      <c r="G716" s="53">
        <v>11.109190999999999</v>
      </c>
    </row>
    <row r="717" spans="1:7">
      <c r="A717" s="50" t="s">
        <v>827</v>
      </c>
      <c r="B717" s="50" t="s">
        <v>64</v>
      </c>
      <c r="C717" s="50" t="s">
        <v>240</v>
      </c>
      <c r="D717" s="51">
        <v>68214</v>
      </c>
      <c r="E717" s="51">
        <v>1323719</v>
      </c>
      <c r="F717" s="52">
        <v>119747</v>
      </c>
      <c r="G717" s="53">
        <v>9.0462553000000003</v>
      </c>
    </row>
    <row r="718" spans="1:7">
      <c r="A718" s="50" t="s">
        <v>311</v>
      </c>
      <c r="B718" s="50" t="s">
        <v>64</v>
      </c>
      <c r="C718" s="50" t="s">
        <v>237</v>
      </c>
      <c r="D718" s="51">
        <v>157395</v>
      </c>
      <c r="E718" s="51">
        <v>3975534</v>
      </c>
      <c r="F718" s="52">
        <v>453846.2</v>
      </c>
      <c r="G718" s="53">
        <v>11.415981</v>
      </c>
    </row>
    <row r="719" spans="1:7">
      <c r="A719" s="50" t="s">
        <v>1836</v>
      </c>
      <c r="B719" s="50" t="s">
        <v>64</v>
      </c>
      <c r="C719" s="50" t="s">
        <v>237</v>
      </c>
      <c r="D719" s="51">
        <v>296549</v>
      </c>
      <c r="E719" s="51">
        <v>8053771</v>
      </c>
      <c r="F719" s="52">
        <v>860861.2</v>
      </c>
      <c r="G719" s="53">
        <v>10.688921000000001</v>
      </c>
    </row>
    <row r="720" spans="1:7">
      <c r="A720" s="50" t="s">
        <v>1846</v>
      </c>
      <c r="B720" s="50" t="s">
        <v>64</v>
      </c>
      <c r="C720" s="50" t="s">
        <v>237</v>
      </c>
      <c r="D720" s="51">
        <v>331947</v>
      </c>
      <c r="E720" s="51">
        <v>7979927</v>
      </c>
      <c r="F720" s="52">
        <v>757429.6</v>
      </c>
      <c r="G720" s="53">
        <v>9.4916858000000008</v>
      </c>
    </row>
    <row r="721" spans="1:7">
      <c r="A721" s="50" t="s">
        <v>828</v>
      </c>
      <c r="B721" s="50" t="s">
        <v>64</v>
      </c>
      <c r="C721" s="50" t="s">
        <v>240</v>
      </c>
      <c r="D721" s="51">
        <v>13330</v>
      </c>
      <c r="E721" s="51">
        <v>285273</v>
      </c>
      <c r="F721" s="52">
        <v>29168.1</v>
      </c>
      <c r="G721" s="53">
        <v>10.224627</v>
      </c>
    </row>
    <row r="722" spans="1:7">
      <c r="A722" s="50" t="s">
        <v>829</v>
      </c>
      <c r="B722" s="50" t="s">
        <v>64</v>
      </c>
      <c r="C722" s="50" t="s">
        <v>240</v>
      </c>
      <c r="D722" s="51">
        <v>9902</v>
      </c>
      <c r="E722" s="51">
        <v>186853</v>
      </c>
      <c r="F722" s="52">
        <v>18169</v>
      </c>
      <c r="G722" s="53">
        <v>9.7236864999999995</v>
      </c>
    </row>
    <row r="723" spans="1:7">
      <c r="A723" s="50" t="s">
        <v>830</v>
      </c>
      <c r="B723" s="50" t="s">
        <v>64</v>
      </c>
      <c r="C723" s="50" t="s">
        <v>240</v>
      </c>
      <c r="D723" s="51">
        <v>24669</v>
      </c>
      <c r="E723" s="51">
        <v>396748</v>
      </c>
      <c r="F723" s="52">
        <v>43461.3</v>
      </c>
      <c r="G723" s="53">
        <v>10.954383999999999</v>
      </c>
    </row>
    <row r="724" spans="1:7">
      <c r="A724" s="50" t="s">
        <v>831</v>
      </c>
      <c r="B724" s="50" t="s">
        <v>64</v>
      </c>
      <c r="C724" s="50" t="s">
        <v>240</v>
      </c>
      <c r="D724" s="51">
        <v>30666</v>
      </c>
      <c r="E724" s="51">
        <v>535059</v>
      </c>
      <c r="F724" s="52">
        <v>58526.7</v>
      </c>
      <c r="G724" s="53">
        <v>10.938364</v>
      </c>
    </row>
    <row r="725" spans="1:7">
      <c r="A725" s="50" t="s">
        <v>832</v>
      </c>
      <c r="B725" s="50" t="s">
        <v>64</v>
      </c>
      <c r="C725" s="50" t="s">
        <v>240</v>
      </c>
      <c r="D725" s="51">
        <v>37531</v>
      </c>
      <c r="E725" s="51">
        <v>631731</v>
      </c>
      <c r="F725" s="52">
        <v>65689</v>
      </c>
      <c r="G725" s="53">
        <v>10.398255000000001</v>
      </c>
    </row>
    <row r="726" spans="1:7">
      <c r="A726" s="50" t="s">
        <v>833</v>
      </c>
      <c r="B726" s="50" t="s">
        <v>64</v>
      </c>
      <c r="C726" s="50" t="s">
        <v>240</v>
      </c>
      <c r="D726" s="51">
        <v>11374</v>
      </c>
      <c r="E726" s="51">
        <v>239510</v>
      </c>
      <c r="F726" s="52">
        <v>24612.5</v>
      </c>
      <c r="G726" s="53">
        <v>10.276189</v>
      </c>
    </row>
    <row r="727" spans="1:7">
      <c r="A727" s="50" t="s">
        <v>834</v>
      </c>
      <c r="B727" s="50" t="s">
        <v>64</v>
      </c>
      <c r="C727" s="50" t="s">
        <v>240</v>
      </c>
      <c r="D727" s="51">
        <v>5430</v>
      </c>
      <c r="E727" s="51">
        <v>227116</v>
      </c>
      <c r="F727" s="52">
        <v>18187</v>
      </c>
      <c r="G727" s="53">
        <v>8.0078022000000004</v>
      </c>
    </row>
    <row r="728" spans="1:7">
      <c r="A728" s="50" t="s">
        <v>835</v>
      </c>
      <c r="B728" s="50" t="s">
        <v>64</v>
      </c>
      <c r="C728" s="50" t="s">
        <v>240</v>
      </c>
      <c r="D728" s="51">
        <v>18131</v>
      </c>
      <c r="E728" s="51">
        <v>395081</v>
      </c>
      <c r="F728" s="52">
        <v>43124</v>
      </c>
      <c r="G728" s="53">
        <v>10.915229999999999</v>
      </c>
    </row>
    <row r="729" spans="1:7">
      <c r="A729" s="50" t="s">
        <v>836</v>
      </c>
      <c r="B729" s="50" t="s">
        <v>64</v>
      </c>
      <c r="C729" s="50" t="s">
        <v>240</v>
      </c>
      <c r="D729" s="51">
        <v>16476</v>
      </c>
      <c r="E729" s="51">
        <v>289622</v>
      </c>
      <c r="F729" s="52">
        <v>34582</v>
      </c>
      <c r="G729" s="53">
        <v>11.940391</v>
      </c>
    </row>
    <row r="730" spans="1:7">
      <c r="A730" s="50" t="s">
        <v>837</v>
      </c>
      <c r="B730" s="50" t="s">
        <v>64</v>
      </c>
      <c r="C730" s="50" t="s">
        <v>240</v>
      </c>
      <c r="D730" s="51">
        <v>40179</v>
      </c>
      <c r="E730" s="51">
        <v>681472</v>
      </c>
      <c r="F730" s="52">
        <v>68823</v>
      </c>
      <c r="G730" s="53">
        <v>10.099168000000001</v>
      </c>
    </row>
    <row r="731" spans="1:7">
      <c r="A731" s="50" t="s">
        <v>838</v>
      </c>
      <c r="B731" s="50" t="s">
        <v>64</v>
      </c>
      <c r="C731" s="50" t="s">
        <v>240</v>
      </c>
      <c r="D731" s="51">
        <v>34066</v>
      </c>
      <c r="E731" s="51">
        <v>504752</v>
      </c>
      <c r="F731" s="52">
        <v>58549.5</v>
      </c>
      <c r="G731" s="53">
        <v>11.599657000000001</v>
      </c>
    </row>
    <row r="732" spans="1:7">
      <c r="A732" s="50" t="s">
        <v>839</v>
      </c>
      <c r="B732" s="50" t="s">
        <v>64</v>
      </c>
      <c r="C732" s="50" t="s">
        <v>240</v>
      </c>
      <c r="D732" s="51">
        <v>25226</v>
      </c>
      <c r="E732" s="51">
        <v>461253</v>
      </c>
      <c r="F732" s="52">
        <v>53121</v>
      </c>
      <c r="G732" s="53">
        <v>11.516673000000001</v>
      </c>
    </row>
    <row r="733" spans="1:7">
      <c r="A733" s="50" t="s">
        <v>840</v>
      </c>
      <c r="B733" s="50" t="s">
        <v>64</v>
      </c>
      <c r="C733" s="50" t="s">
        <v>240</v>
      </c>
      <c r="D733" s="51">
        <v>16019</v>
      </c>
      <c r="E733" s="51">
        <v>329759</v>
      </c>
      <c r="F733" s="52">
        <v>36166.9</v>
      </c>
      <c r="G733" s="53">
        <v>10.967676000000001</v>
      </c>
    </row>
    <row r="734" spans="1:7">
      <c r="A734" s="50" t="s">
        <v>841</v>
      </c>
      <c r="B734" s="50" t="s">
        <v>64</v>
      </c>
      <c r="C734" s="50" t="s">
        <v>240</v>
      </c>
      <c r="D734" s="51">
        <v>42447</v>
      </c>
      <c r="E734" s="51">
        <v>579109</v>
      </c>
      <c r="F734" s="52">
        <v>62903</v>
      </c>
      <c r="G734" s="53">
        <v>10.862031</v>
      </c>
    </row>
    <row r="735" spans="1:7">
      <c r="A735" s="50" t="s">
        <v>349</v>
      </c>
      <c r="B735" s="50" t="s">
        <v>64</v>
      </c>
      <c r="C735" s="50" t="s">
        <v>332</v>
      </c>
      <c r="D735" s="51">
        <v>1</v>
      </c>
      <c r="E735" s="51">
        <v>8</v>
      </c>
      <c r="F735" s="52">
        <v>1.3</v>
      </c>
      <c r="G735" s="53">
        <v>16.25</v>
      </c>
    </row>
    <row r="736" spans="1:7">
      <c r="A736" s="50" t="s">
        <v>842</v>
      </c>
      <c r="B736" s="50" t="s">
        <v>64</v>
      </c>
      <c r="C736" s="50" t="s">
        <v>240</v>
      </c>
      <c r="D736" s="51">
        <v>23314</v>
      </c>
      <c r="E736" s="51">
        <v>393450</v>
      </c>
      <c r="F736" s="52">
        <v>40549</v>
      </c>
      <c r="G736" s="53">
        <v>10.306011</v>
      </c>
    </row>
    <row r="737" spans="1:7">
      <c r="A737" s="50" t="s">
        <v>843</v>
      </c>
      <c r="B737" s="50" t="s">
        <v>64</v>
      </c>
      <c r="C737" s="50" t="s">
        <v>237</v>
      </c>
      <c r="D737" s="51">
        <v>1235266</v>
      </c>
      <c r="E737" s="51">
        <v>30601887</v>
      </c>
      <c r="F737" s="52">
        <v>2674841</v>
      </c>
      <c r="G737" s="53">
        <v>8.7407713999999999</v>
      </c>
    </row>
    <row r="738" spans="1:7">
      <c r="A738" s="50" t="s">
        <v>844</v>
      </c>
      <c r="B738" s="50" t="s">
        <v>64</v>
      </c>
      <c r="C738" s="50" t="s">
        <v>240</v>
      </c>
      <c r="D738" s="51">
        <v>18615</v>
      </c>
      <c r="E738" s="51">
        <v>372528</v>
      </c>
      <c r="F738" s="52">
        <v>31500</v>
      </c>
      <c r="G738" s="53">
        <v>8.4557401999999993</v>
      </c>
    </row>
    <row r="739" spans="1:7">
      <c r="A739" s="50" t="s">
        <v>845</v>
      </c>
      <c r="B739" s="50" t="s">
        <v>64</v>
      </c>
      <c r="C739" s="50" t="s">
        <v>240</v>
      </c>
      <c r="D739" s="51">
        <v>14419</v>
      </c>
      <c r="E739" s="51">
        <v>267338</v>
      </c>
      <c r="F739" s="52">
        <v>28555</v>
      </c>
      <c r="G739" s="53">
        <v>10.681234999999999</v>
      </c>
    </row>
    <row r="740" spans="1:7">
      <c r="A740" s="50" t="s">
        <v>846</v>
      </c>
      <c r="B740" s="50" t="s">
        <v>64</v>
      </c>
      <c r="C740" s="50" t="s">
        <v>240</v>
      </c>
      <c r="D740" s="51">
        <v>45252</v>
      </c>
      <c r="E740" s="51">
        <v>735483</v>
      </c>
      <c r="F740" s="52">
        <v>92839</v>
      </c>
      <c r="G740" s="53">
        <v>12.622861</v>
      </c>
    </row>
    <row r="741" spans="1:7">
      <c r="A741" s="50" t="s">
        <v>847</v>
      </c>
      <c r="B741" s="50" t="s">
        <v>62</v>
      </c>
      <c r="C741" s="50" t="s">
        <v>240</v>
      </c>
      <c r="D741" s="51">
        <v>49215</v>
      </c>
      <c r="E741" s="51">
        <v>1017732</v>
      </c>
      <c r="F741" s="52">
        <v>113613</v>
      </c>
      <c r="G741" s="53">
        <v>11.163351</v>
      </c>
    </row>
    <row r="742" spans="1:7">
      <c r="A742" s="50" t="s">
        <v>848</v>
      </c>
      <c r="B742" s="50" t="s">
        <v>62</v>
      </c>
      <c r="C742" s="50" t="s">
        <v>240</v>
      </c>
      <c r="D742" s="51">
        <v>18872</v>
      </c>
      <c r="E742" s="51">
        <v>561493</v>
      </c>
      <c r="F742" s="52">
        <v>51515</v>
      </c>
      <c r="G742" s="53">
        <v>9.1746469000000008</v>
      </c>
    </row>
    <row r="743" spans="1:7">
      <c r="A743" s="50" t="s">
        <v>849</v>
      </c>
      <c r="B743" s="50" t="s">
        <v>62</v>
      </c>
      <c r="C743" s="50" t="s">
        <v>240</v>
      </c>
      <c r="D743" s="51">
        <v>37431</v>
      </c>
      <c r="E743" s="51">
        <v>838912</v>
      </c>
      <c r="F743" s="52">
        <v>85660</v>
      </c>
      <c r="G743" s="53">
        <v>10.210845000000001</v>
      </c>
    </row>
    <row r="744" spans="1:7">
      <c r="A744" s="50" t="s">
        <v>850</v>
      </c>
      <c r="B744" s="50" t="s">
        <v>62</v>
      </c>
      <c r="C744" s="50" t="s">
        <v>242</v>
      </c>
      <c r="D744" s="51">
        <v>3306</v>
      </c>
      <c r="E744" s="51">
        <v>161870</v>
      </c>
      <c r="F744" s="52">
        <v>11973</v>
      </c>
      <c r="G744" s="53">
        <v>7.3966763000000002</v>
      </c>
    </row>
    <row r="745" spans="1:7">
      <c r="A745" s="50" t="s">
        <v>851</v>
      </c>
      <c r="B745" s="50" t="s">
        <v>62</v>
      </c>
      <c r="C745" s="50" t="s">
        <v>242</v>
      </c>
      <c r="D745" s="51">
        <v>4002</v>
      </c>
      <c r="E745" s="51">
        <v>120030</v>
      </c>
      <c r="F745" s="52">
        <v>12065</v>
      </c>
      <c r="G745" s="53">
        <v>10.051653999999999</v>
      </c>
    </row>
    <row r="746" spans="1:7">
      <c r="A746" s="50" t="s">
        <v>852</v>
      </c>
      <c r="B746" s="50" t="s">
        <v>62</v>
      </c>
      <c r="C746" s="50" t="s">
        <v>242</v>
      </c>
      <c r="D746" s="51">
        <v>12752</v>
      </c>
      <c r="E746" s="51">
        <v>337559</v>
      </c>
      <c r="F746" s="52">
        <v>34970</v>
      </c>
      <c r="G746" s="53">
        <v>10.359669999999999</v>
      </c>
    </row>
    <row r="747" spans="1:7">
      <c r="A747" s="50" t="s">
        <v>853</v>
      </c>
      <c r="B747" s="50" t="s">
        <v>62</v>
      </c>
      <c r="C747" s="50" t="s">
        <v>242</v>
      </c>
      <c r="D747" s="51">
        <v>11811</v>
      </c>
      <c r="E747" s="51">
        <v>214171</v>
      </c>
      <c r="F747" s="52">
        <v>24257</v>
      </c>
      <c r="G747" s="53">
        <v>11.325996999999999</v>
      </c>
    </row>
    <row r="748" spans="1:7">
      <c r="A748" s="50" t="s">
        <v>854</v>
      </c>
      <c r="B748" s="50" t="s">
        <v>62</v>
      </c>
      <c r="C748" s="50" t="s">
        <v>242</v>
      </c>
      <c r="D748" s="51">
        <v>1204</v>
      </c>
      <c r="E748" s="51">
        <v>23187</v>
      </c>
      <c r="F748" s="52">
        <v>2819</v>
      </c>
      <c r="G748" s="53">
        <v>12.157674999999999</v>
      </c>
    </row>
    <row r="749" spans="1:7">
      <c r="A749" s="50" t="s">
        <v>855</v>
      </c>
      <c r="B749" s="50" t="s">
        <v>62</v>
      </c>
      <c r="C749" s="50" t="s">
        <v>242</v>
      </c>
      <c r="D749" s="51">
        <v>10978</v>
      </c>
      <c r="E749" s="51">
        <v>307096</v>
      </c>
      <c r="F749" s="52">
        <v>28429</v>
      </c>
      <c r="G749" s="53">
        <v>9.2573658000000005</v>
      </c>
    </row>
    <row r="750" spans="1:7">
      <c r="A750" s="50" t="s">
        <v>856</v>
      </c>
      <c r="B750" s="50" t="s">
        <v>62</v>
      </c>
      <c r="C750" s="50" t="s">
        <v>242</v>
      </c>
      <c r="D750" s="51">
        <v>5334</v>
      </c>
      <c r="E750" s="51">
        <v>85658</v>
      </c>
      <c r="F750" s="52">
        <v>9741</v>
      </c>
      <c r="G750" s="53">
        <v>11.371968000000001</v>
      </c>
    </row>
    <row r="751" spans="1:7">
      <c r="A751" s="50" t="s">
        <v>857</v>
      </c>
      <c r="B751" s="50" t="s">
        <v>62</v>
      </c>
      <c r="C751" s="50" t="s">
        <v>242</v>
      </c>
      <c r="D751" s="51">
        <v>9870</v>
      </c>
      <c r="E751" s="51">
        <v>203360</v>
      </c>
      <c r="F751" s="52">
        <v>21236</v>
      </c>
      <c r="G751" s="53">
        <v>10.442565</v>
      </c>
    </row>
    <row r="752" spans="1:7">
      <c r="A752" s="50" t="s">
        <v>858</v>
      </c>
      <c r="B752" s="50" t="s">
        <v>62</v>
      </c>
      <c r="C752" s="50" t="s">
        <v>242</v>
      </c>
      <c r="D752" s="51">
        <v>3839</v>
      </c>
      <c r="E752" s="51">
        <v>103273</v>
      </c>
      <c r="F752" s="52">
        <v>10365</v>
      </c>
      <c r="G752" s="53">
        <v>10.036505</v>
      </c>
    </row>
    <row r="753" spans="1:7">
      <c r="A753" s="50" t="s">
        <v>859</v>
      </c>
      <c r="B753" s="50" t="s">
        <v>62</v>
      </c>
      <c r="C753" s="50" t="s">
        <v>242</v>
      </c>
      <c r="D753" s="51">
        <v>14058</v>
      </c>
      <c r="E753" s="51">
        <v>411604</v>
      </c>
      <c r="F753" s="52">
        <v>38363</v>
      </c>
      <c r="G753" s="53">
        <v>9.3203662000000005</v>
      </c>
    </row>
    <row r="754" spans="1:7">
      <c r="A754" s="50" t="s">
        <v>860</v>
      </c>
      <c r="B754" s="50" t="s">
        <v>62</v>
      </c>
      <c r="C754" s="50" t="s">
        <v>242</v>
      </c>
      <c r="D754" s="51">
        <v>15376</v>
      </c>
      <c r="E754" s="51">
        <v>577420</v>
      </c>
      <c r="F754" s="52">
        <v>48945</v>
      </c>
      <c r="G754" s="53">
        <v>8.4764988999999993</v>
      </c>
    </row>
    <row r="755" spans="1:7">
      <c r="A755" s="50" t="s">
        <v>861</v>
      </c>
      <c r="B755" s="50" t="s">
        <v>62</v>
      </c>
      <c r="C755" s="50" t="s">
        <v>242</v>
      </c>
      <c r="D755" s="51">
        <v>2044</v>
      </c>
      <c r="E755" s="51">
        <v>60938</v>
      </c>
      <c r="F755" s="52">
        <v>5049</v>
      </c>
      <c r="G755" s="53">
        <v>8.2854705000000006</v>
      </c>
    </row>
    <row r="756" spans="1:7">
      <c r="A756" s="50" t="s">
        <v>862</v>
      </c>
      <c r="B756" s="50" t="s">
        <v>62</v>
      </c>
      <c r="C756" s="50" t="s">
        <v>242</v>
      </c>
      <c r="D756" s="51">
        <v>3880</v>
      </c>
      <c r="E756" s="51">
        <v>81162</v>
      </c>
      <c r="F756" s="52">
        <v>9405</v>
      </c>
      <c r="G756" s="53">
        <v>11.587935</v>
      </c>
    </row>
    <row r="757" spans="1:7">
      <c r="A757" s="50" t="s">
        <v>865</v>
      </c>
      <c r="B757" s="50" t="s">
        <v>62</v>
      </c>
      <c r="C757" s="50" t="s">
        <v>240</v>
      </c>
      <c r="D757" s="51">
        <v>84605</v>
      </c>
      <c r="E757" s="51">
        <v>1735021</v>
      </c>
      <c r="F757" s="52">
        <v>190774</v>
      </c>
      <c r="G757" s="53">
        <v>10.995487000000001</v>
      </c>
    </row>
    <row r="758" spans="1:7">
      <c r="A758" s="50" t="s">
        <v>866</v>
      </c>
      <c r="B758" s="50" t="s">
        <v>62</v>
      </c>
      <c r="C758" s="50" t="s">
        <v>240</v>
      </c>
      <c r="D758" s="51">
        <v>28327</v>
      </c>
      <c r="E758" s="51">
        <v>455355</v>
      </c>
      <c r="F758" s="52">
        <v>57072</v>
      </c>
      <c r="G758" s="53">
        <v>12.533518000000001</v>
      </c>
    </row>
    <row r="759" spans="1:7">
      <c r="A759" s="50" t="s">
        <v>867</v>
      </c>
      <c r="B759" s="50" t="s">
        <v>62</v>
      </c>
      <c r="C759" s="50" t="s">
        <v>240</v>
      </c>
      <c r="D759" s="51">
        <v>39727</v>
      </c>
      <c r="E759" s="51">
        <v>774288</v>
      </c>
      <c r="F759" s="52">
        <v>87886.7</v>
      </c>
      <c r="G759" s="53">
        <v>11.350647</v>
      </c>
    </row>
    <row r="760" spans="1:7">
      <c r="A760" s="50" t="s">
        <v>868</v>
      </c>
      <c r="B760" s="50" t="s">
        <v>62</v>
      </c>
      <c r="C760" s="50" t="s">
        <v>240</v>
      </c>
      <c r="D760" s="51">
        <v>12947</v>
      </c>
      <c r="E760" s="51">
        <v>209480</v>
      </c>
      <c r="F760" s="52">
        <v>26477</v>
      </c>
      <c r="G760" s="53">
        <v>12.639393</v>
      </c>
    </row>
    <row r="761" spans="1:7">
      <c r="A761" s="50" t="s">
        <v>1847</v>
      </c>
      <c r="B761" s="50" t="s">
        <v>62</v>
      </c>
      <c r="C761" s="50" t="s">
        <v>237</v>
      </c>
      <c r="D761" s="51">
        <v>453497</v>
      </c>
      <c r="E761" s="51">
        <v>12401873</v>
      </c>
      <c r="F761" s="52">
        <v>1106309.3999999999</v>
      </c>
      <c r="G761" s="53">
        <v>8.9205026000000007</v>
      </c>
    </row>
    <row r="762" spans="1:7">
      <c r="A762" s="50" t="s">
        <v>869</v>
      </c>
      <c r="B762" s="50" t="s">
        <v>62</v>
      </c>
      <c r="C762" s="50" t="s">
        <v>242</v>
      </c>
      <c r="D762" s="51">
        <v>9230</v>
      </c>
      <c r="E762" s="51">
        <v>262828</v>
      </c>
      <c r="F762" s="52">
        <v>24752.2</v>
      </c>
      <c r="G762" s="53">
        <v>9.4176420000000007</v>
      </c>
    </row>
    <row r="763" spans="1:7">
      <c r="A763" s="50" t="s">
        <v>870</v>
      </c>
      <c r="B763" s="50" t="s">
        <v>62</v>
      </c>
      <c r="C763" s="50" t="s">
        <v>242</v>
      </c>
      <c r="D763" s="51">
        <v>3432</v>
      </c>
      <c r="E763" s="51">
        <v>120573</v>
      </c>
      <c r="F763" s="52">
        <v>10309</v>
      </c>
      <c r="G763" s="53">
        <v>8.5500070000000008</v>
      </c>
    </row>
    <row r="764" spans="1:7">
      <c r="A764" s="50" t="s">
        <v>871</v>
      </c>
      <c r="B764" s="50" t="s">
        <v>62</v>
      </c>
      <c r="C764" s="50" t="s">
        <v>240</v>
      </c>
      <c r="D764" s="51">
        <v>32466</v>
      </c>
      <c r="E764" s="51">
        <v>621544</v>
      </c>
      <c r="F764" s="52">
        <v>72959</v>
      </c>
      <c r="G764" s="53">
        <v>11.738348</v>
      </c>
    </row>
    <row r="765" spans="1:7">
      <c r="A765" s="50" t="s">
        <v>872</v>
      </c>
      <c r="B765" s="50" t="s">
        <v>62</v>
      </c>
      <c r="C765" s="50" t="s">
        <v>237</v>
      </c>
      <c r="D765" s="51">
        <v>189483</v>
      </c>
      <c r="E765" s="51">
        <v>9128910</v>
      </c>
      <c r="F765" s="52">
        <v>820568</v>
      </c>
      <c r="G765" s="53">
        <v>8.9886744000000007</v>
      </c>
    </row>
    <row r="766" spans="1:7">
      <c r="A766" s="50" t="s">
        <v>873</v>
      </c>
      <c r="B766" s="50" t="s">
        <v>62</v>
      </c>
      <c r="C766" s="50" t="s">
        <v>240</v>
      </c>
      <c r="D766" s="51">
        <v>11366</v>
      </c>
      <c r="E766" s="51">
        <v>195495</v>
      </c>
      <c r="F766" s="52">
        <v>22495</v>
      </c>
      <c r="G766" s="53">
        <v>11.506688</v>
      </c>
    </row>
    <row r="767" spans="1:7">
      <c r="A767" s="50" t="s">
        <v>874</v>
      </c>
      <c r="B767" s="50" t="s">
        <v>62</v>
      </c>
      <c r="C767" s="50" t="s">
        <v>240</v>
      </c>
      <c r="D767" s="51">
        <v>15973</v>
      </c>
      <c r="E767" s="51">
        <v>296087</v>
      </c>
      <c r="F767" s="52">
        <v>34028</v>
      </c>
      <c r="G767" s="53">
        <v>11.492568</v>
      </c>
    </row>
    <row r="768" spans="1:7">
      <c r="A768" s="50" t="s">
        <v>875</v>
      </c>
      <c r="B768" s="50" t="s">
        <v>62</v>
      </c>
      <c r="C768" s="50" t="s">
        <v>240</v>
      </c>
      <c r="D768" s="51">
        <v>27704</v>
      </c>
      <c r="E768" s="51">
        <v>628235</v>
      </c>
      <c r="F768" s="52">
        <v>64536</v>
      </c>
      <c r="G768" s="53">
        <v>10.272589</v>
      </c>
    </row>
    <row r="769" spans="1:7">
      <c r="A769" s="50" t="s">
        <v>876</v>
      </c>
      <c r="B769" s="50" t="s">
        <v>62</v>
      </c>
      <c r="C769" s="50" t="s">
        <v>240</v>
      </c>
      <c r="D769" s="51">
        <v>33138</v>
      </c>
      <c r="E769" s="51">
        <v>1061075</v>
      </c>
      <c r="F769" s="52">
        <v>104144</v>
      </c>
      <c r="G769" s="53">
        <v>9.8149517999999993</v>
      </c>
    </row>
    <row r="770" spans="1:7">
      <c r="A770" s="50" t="s">
        <v>877</v>
      </c>
      <c r="B770" s="50" t="s">
        <v>62</v>
      </c>
      <c r="C770" s="50" t="s">
        <v>240</v>
      </c>
      <c r="D770" s="51">
        <v>51145</v>
      </c>
      <c r="E770" s="51">
        <v>1004192</v>
      </c>
      <c r="F770" s="52">
        <v>120637</v>
      </c>
      <c r="G770" s="53">
        <v>12.013339999999999</v>
      </c>
    </row>
    <row r="771" spans="1:7">
      <c r="A771" s="50" t="s">
        <v>878</v>
      </c>
      <c r="B771" s="50" t="s">
        <v>62</v>
      </c>
      <c r="C771" s="50" t="s">
        <v>240</v>
      </c>
      <c r="D771" s="51">
        <v>19868</v>
      </c>
      <c r="E771" s="51">
        <v>402731</v>
      </c>
      <c r="F771" s="52">
        <v>44747</v>
      </c>
      <c r="G771" s="53">
        <v>11.110889999999999</v>
      </c>
    </row>
    <row r="772" spans="1:7">
      <c r="A772" s="50" t="s">
        <v>879</v>
      </c>
      <c r="B772" s="50" t="s">
        <v>62</v>
      </c>
      <c r="C772" s="50" t="s">
        <v>240</v>
      </c>
      <c r="D772" s="51">
        <v>13901</v>
      </c>
      <c r="E772" s="51">
        <v>325089</v>
      </c>
      <c r="F772" s="52">
        <v>29966</v>
      </c>
      <c r="G772" s="53">
        <v>9.2177834000000001</v>
      </c>
    </row>
    <row r="773" spans="1:7">
      <c r="A773" s="50" t="s">
        <v>1817</v>
      </c>
      <c r="B773" s="50" t="s">
        <v>62</v>
      </c>
      <c r="C773" s="50" t="s">
        <v>240</v>
      </c>
      <c r="D773" s="51">
        <v>75645</v>
      </c>
      <c r="E773" s="51">
        <v>1354954</v>
      </c>
      <c r="F773" s="52">
        <v>151785.70000000001</v>
      </c>
      <c r="G773" s="53">
        <v>11.202277</v>
      </c>
    </row>
    <row r="774" spans="1:7">
      <c r="A774" s="50" t="s">
        <v>1848</v>
      </c>
      <c r="B774" s="50" t="s">
        <v>62</v>
      </c>
      <c r="C774" s="50" t="s">
        <v>240</v>
      </c>
      <c r="D774" s="51">
        <v>68427</v>
      </c>
      <c r="E774" s="51">
        <v>1780932</v>
      </c>
      <c r="F774" s="52">
        <v>188862</v>
      </c>
      <c r="G774" s="53">
        <v>10.604672000000001</v>
      </c>
    </row>
    <row r="775" spans="1:7">
      <c r="A775" s="50" t="s">
        <v>881</v>
      </c>
      <c r="B775" s="50" t="s">
        <v>62</v>
      </c>
      <c r="C775" s="50" t="s">
        <v>240</v>
      </c>
      <c r="D775" s="51">
        <v>25289</v>
      </c>
      <c r="E775" s="51">
        <v>448277</v>
      </c>
      <c r="F775" s="52">
        <v>52161.9</v>
      </c>
      <c r="G775" s="53">
        <v>11.636087</v>
      </c>
    </row>
    <row r="776" spans="1:7">
      <c r="A776" s="50" t="s">
        <v>882</v>
      </c>
      <c r="B776" s="50" t="s">
        <v>62</v>
      </c>
      <c r="C776" s="50" t="s">
        <v>240</v>
      </c>
      <c r="D776" s="51">
        <v>27806</v>
      </c>
      <c r="E776" s="51">
        <v>641334</v>
      </c>
      <c r="F776" s="52">
        <v>68583</v>
      </c>
      <c r="G776" s="53">
        <v>10.693804</v>
      </c>
    </row>
    <row r="777" spans="1:7">
      <c r="A777" s="50" t="s">
        <v>294</v>
      </c>
      <c r="B777" s="50" t="s">
        <v>62</v>
      </c>
      <c r="C777" s="50" t="s">
        <v>295</v>
      </c>
      <c r="D777" s="51">
        <v>8</v>
      </c>
      <c r="E777" s="51">
        <v>4438883</v>
      </c>
      <c r="F777" s="52">
        <v>136781.6</v>
      </c>
      <c r="G777" s="53">
        <v>3.0814419000000002</v>
      </c>
    </row>
    <row r="778" spans="1:7">
      <c r="A778" s="50" t="s">
        <v>883</v>
      </c>
      <c r="B778" s="50" t="s">
        <v>62</v>
      </c>
      <c r="C778" s="50" t="s">
        <v>240</v>
      </c>
      <c r="D778" s="51">
        <v>13925</v>
      </c>
      <c r="E778" s="51">
        <v>324268</v>
      </c>
      <c r="F778" s="52">
        <v>34076</v>
      </c>
      <c r="G778" s="53">
        <v>10.508592</v>
      </c>
    </row>
    <row r="779" spans="1:7">
      <c r="A779" s="50" t="s">
        <v>884</v>
      </c>
      <c r="B779" s="50" t="s">
        <v>62</v>
      </c>
      <c r="C779" s="50" t="s">
        <v>240</v>
      </c>
      <c r="D779" s="51">
        <v>13619</v>
      </c>
      <c r="E779" s="51">
        <v>269347</v>
      </c>
      <c r="F779" s="52">
        <v>29165</v>
      </c>
      <c r="G779" s="53">
        <v>10.82804</v>
      </c>
    </row>
    <row r="780" spans="1:7">
      <c r="A780" s="50" t="s">
        <v>885</v>
      </c>
      <c r="B780" s="50" t="s">
        <v>62</v>
      </c>
      <c r="C780" s="50" t="s">
        <v>240</v>
      </c>
      <c r="D780" s="51">
        <v>44565</v>
      </c>
      <c r="E780" s="51">
        <v>1069463</v>
      </c>
      <c r="F780" s="52">
        <v>107922</v>
      </c>
      <c r="G780" s="53">
        <v>10.091233000000001</v>
      </c>
    </row>
    <row r="781" spans="1:7">
      <c r="A781" s="50" t="s">
        <v>887</v>
      </c>
      <c r="B781" s="50" t="s">
        <v>62</v>
      </c>
      <c r="C781" s="50" t="s">
        <v>240</v>
      </c>
      <c r="D781" s="51">
        <v>10309</v>
      </c>
      <c r="E781" s="51">
        <v>560721</v>
      </c>
      <c r="F781" s="52">
        <v>48332</v>
      </c>
      <c r="G781" s="53">
        <v>8.6196164999999993</v>
      </c>
    </row>
    <row r="782" spans="1:7">
      <c r="A782" s="50" t="s">
        <v>550</v>
      </c>
      <c r="B782" s="50" t="s">
        <v>67</v>
      </c>
      <c r="C782" s="50" t="s">
        <v>237</v>
      </c>
      <c r="D782" s="51">
        <v>31</v>
      </c>
      <c r="E782" s="51">
        <v>1023</v>
      </c>
      <c r="F782" s="52">
        <v>88.1</v>
      </c>
      <c r="G782" s="53">
        <v>8.6119257000000005</v>
      </c>
    </row>
    <row r="783" spans="1:7">
      <c r="A783" s="50" t="s">
        <v>891</v>
      </c>
      <c r="B783" s="50" t="s">
        <v>67</v>
      </c>
      <c r="C783" s="50" t="s">
        <v>237</v>
      </c>
      <c r="D783" s="51">
        <v>40</v>
      </c>
      <c r="E783" s="51">
        <v>146403</v>
      </c>
      <c r="F783" s="52">
        <v>9634</v>
      </c>
      <c r="G783" s="53">
        <v>6.5804662</v>
      </c>
    </row>
    <row r="784" spans="1:7">
      <c r="A784" s="50" t="s">
        <v>553</v>
      </c>
      <c r="B784" s="50" t="s">
        <v>67</v>
      </c>
      <c r="C784" s="50" t="s">
        <v>240</v>
      </c>
      <c r="D784" s="51">
        <v>1999</v>
      </c>
      <c r="E784" s="51">
        <v>52976</v>
      </c>
      <c r="F784" s="52">
        <v>4641</v>
      </c>
      <c r="G784" s="53">
        <v>8.7605708</v>
      </c>
    </row>
    <row r="785" spans="1:7">
      <c r="A785" s="50" t="s">
        <v>892</v>
      </c>
      <c r="B785" s="50" t="s">
        <v>67</v>
      </c>
      <c r="C785" s="50" t="s">
        <v>240</v>
      </c>
      <c r="D785" s="51">
        <v>6531</v>
      </c>
      <c r="E785" s="51">
        <v>232808</v>
      </c>
      <c r="F785" s="52">
        <v>26489.9</v>
      </c>
      <c r="G785" s="53">
        <v>11.378432</v>
      </c>
    </row>
    <row r="786" spans="1:7">
      <c r="A786" s="50" t="s">
        <v>893</v>
      </c>
      <c r="B786" s="50" t="s">
        <v>67</v>
      </c>
      <c r="C786" s="50" t="s">
        <v>240</v>
      </c>
      <c r="D786" s="51">
        <v>68923</v>
      </c>
      <c r="E786" s="51">
        <v>1430840</v>
      </c>
      <c r="F786" s="52">
        <v>118868.3</v>
      </c>
      <c r="G786" s="53">
        <v>8.3075884999999996</v>
      </c>
    </row>
    <row r="787" spans="1:7">
      <c r="A787" s="50" t="s">
        <v>898</v>
      </c>
      <c r="B787" s="50" t="s">
        <v>67</v>
      </c>
      <c r="C787" s="50" t="s">
        <v>240</v>
      </c>
      <c r="D787" s="51">
        <v>5093</v>
      </c>
      <c r="E787" s="51">
        <v>186077</v>
      </c>
      <c r="F787" s="52">
        <v>19603</v>
      </c>
      <c r="G787" s="53">
        <v>10.534886</v>
      </c>
    </row>
    <row r="788" spans="1:7">
      <c r="A788" s="50" t="s">
        <v>901</v>
      </c>
      <c r="B788" s="50" t="s">
        <v>67</v>
      </c>
      <c r="C788" s="50" t="s">
        <v>240</v>
      </c>
      <c r="D788" s="51">
        <v>116</v>
      </c>
      <c r="E788" s="51">
        <v>711</v>
      </c>
      <c r="F788" s="52">
        <v>83.7</v>
      </c>
      <c r="G788" s="53">
        <v>11.772152</v>
      </c>
    </row>
    <row r="789" spans="1:7">
      <c r="A789" s="50" t="s">
        <v>557</v>
      </c>
      <c r="B789" s="50" t="s">
        <v>67</v>
      </c>
      <c r="C789" s="50" t="s">
        <v>240</v>
      </c>
      <c r="D789" s="51">
        <v>15459</v>
      </c>
      <c r="E789" s="51">
        <v>238302</v>
      </c>
      <c r="F789" s="52">
        <v>23155.5</v>
      </c>
      <c r="G789" s="53">
        <v>9.7168718999999992</v>
      </c>
    </row>
    <row r="790" spans="1:7">
      <c r="A790" s="50" t="s">
        <v>903</v>
      </c>
      <c r="B790" s="50" t="s">
        <v>67</v>
      </c>
      <c r="C790" s="50" t="s">
        <v>237</v>
      </c>
      <c r="D790" s="51">
        <v>25616</v>
      </c>
      <c r="E790" s="51">
        <v>738083</v>
      </c>
      <c r="F790" s="52">
        <v>65729</v>
      </c>
      <c r="G790" s="53">
        <v>8.905367</v>
      </c>
    </row>
    <row r="791" spans="1:7">
      <c r="A791" s="50" t="s">
        <v>904</v>
      </c>
      <c r="B791" s="50" t="s">
        <v>67</v>
      </c>
      <c r="C791" s="50" t="s">
        <v>237</v>
      </c>
      <c r="D791" s="51">
        <v>382555</v>
      </c>
      <c r="E791" s="51">
        <v>5946918</v>
      </c>
      <c r="F791" s="52">
        <v>702441.4</v>
      </c>
      <c r="G791" s="53">
        <v>11.811856000000001</v>
      </c>
    </row>
    <row r="792" spans="1:7">
      <c r="A792" s="50" t="s">
        <v>558</v>
      </c>
      <c r="B792" s="50" t="s">
        <v>67</v>
      </c>
      <c r="C792" s="50" t="s">
        <v>240</v>
      </c>
      <c r="D792" s="51">
        <v>4694</v>
      </c>
      <c r="E792" s="51">
        <v>57423</v>
      </c>
      <c r="F792" s="52">
        <v>6745</v>
      </c>
      <c r="G792" s="53">
        <v>11.746164</v>
      </c>
    </row>
    <row r="793" spans="1:7">
      <c r="A793" s="50" t="s">
        <v>1853</v>
      </c>
      <c r="B793" s="50" t="s">
        <v>67</v>
      </c>
      <c r="C793" s="50" t="s">
        <v>240</v>
      </c>
      <c r="D793" s="51">
        <v>174</v>
      </c>
      <c r="E793" s="51">
        <v>85482</v>
      </c>
      <c r="F793" s="52">
        <v>5620.7</v>
      </c>
      <c r="G793" s="53">
        <v>6.5753024</v>
      </c>
    </row>
    <row r="794" spans="1:7">
      <c r="A794" s="50" t="s">
        <v>910</v>
      </c>
      <c r="B794" s="50" t="s">
        <v>67</v>
      </c>
      <c r="C794" s="50" t="s">
        <v>295</v>
      </c>
      <c r="D794" s="51">
        <v>21669</v>
      </c>
      <c r="E794" s="51">
        <v>375037</v>
      </c>
      <c r="F794" s="52">
        <v>24696.799999999999</v>
      </c>
      <c r="G794" s="53">
        <v>6.5851635999999996</v>
      </c>
    </row>
    <row r="795" spans="1:7">
      <c r="A795" s="50" t="s">
        <v>357</v>
      </c>
      <c r="B795" s="50" t="s">
        <v>67</v>
      </c>
      <c r="C795" s="50" t="s">
        <v>295</v>
      </c>
      <c r="D795" s="51">
        <v>15</v>
      </c>
      <c r="E795" s="51">
        <v>128306</v>
      </c>
      <c r="F795" s="52">
        <v>2458.4</v>
      </c>
      <c r="G795" s="53">
        <v>1.9160444999999999</v>
      </c>
    </row>
    <row r="796" spans="1:7">
      <c r="A796" s="50" t="s">
        <v>1855</v>
      </c>
      <c r="B796" s="50" t="s">
        <v>67</v>
      </c>
      <c r="C796" s="50" t="s">
        <v>240</v>
      </c>
      <c r="D796" s="51">
        <v>21103</v>
      </c>
      <c r="E796" s="51">
        <v>289405</v>
      </c>
      <c r="F796" s="52">
        <v>36063</v>
      </c>
      <c r="G796" s="53">
        <v>12.461084</v>
      </c>
    </row>
    <row r="797" spans="1:7">
      <c r="A797" s="50" t="s">
        <v>911</v>
      </c>
      <c r="B797" s="50" t="s">
        <v>85</v>
      </c>
      <c r="C797" s="50" t="s">
        <v>240</v>
      </c>
      <c r="D797" s="51">
        <v>13259</v>
      </c>
      <c r="E797" s="51">
        <v>213955</v>
      </c>
      <c r="F797" s="52">
        <v>28479</v>
      </c>
      <c r="G797" s="53">
        <v>13.310743</v>
      </c>
    </row>
    <row r="798" spans="1:7">
      <c r="A798" s="50" t="s">
        <v>912</v>
      </c>
      <c r="B798" s="50" t="s">
        <v>85</v>
      </c>
      <c r="C798" s="50" t="s">
        <v>240</v>
      </c>
      <c r="D798" s="51">
        <v>77549</v>
      </c>
      <c r="E798" s="51">
        <v>1076189</v>
      </c>
      <c r="F798" s="52">
        <v>129559</v>
      </c>
      <c r="G798" s="53">
        <v>12.038684999999999</v>
      </c>
    </row>
    <row r="799" spans="1:7">
      <c r="A799" s="50" t="s">
        <v>473</v>
      </c>
      <c r="B799" s="50" t="s">
        <v>85</v>
      </c>
      <c r="C799" s="50" t="s">
        <v>240</v>
      </c>
      <c r="D799" s="51">
        <v>18596</v>
      </c>
      <c r="E799" s="51">
        <v>201990</v>
      </c>
      <c r="F799" s="52">
        <v>26617</v>
      </c>
      <c r="G799" s="53">
        <v>13.177384999999999</v>
      </c>
    </row>
    <row r="800" spans="1:7">
      <c r="A800" s="50" t="s">
        <v>913</v>
      </c>
      <c r="B800" s="50" t="s">
        <v>85</v>
      </c>
      <c r="C800" s="50" t="s">
        <v>240</v>
      </c>
      <c r="D800" s="51">
        <v>443</v>
      </c>
      <c r="E800" s="51">
        <v>5664</v>
      </c>
      <c r="F800" s="52">
        <v>792</v>
      </c>
      <c r="G800" s="53">
        <v>13.983051</v>
      </c>
    </row>
    <row r="801" spans="1:7">
      <c r="A801" s="50" t="s">
        <v>914</v>
      </c>
      <c r="B801" s="50" t="s">
        <v>85</v>
      </c>
      <c r="C801" s="50" t="s">
        <v>240</v>
      </c>
      <c r="D801" s="51">
        <v>97505</v>
      </c>
      <c r="E801" s="51">
        <v>1390006</v>
      </c>
      <c r="F801" s="52">
        <v>180344.6</v>
      </c>
      <c r="G801" s="53">
        <v>12.974375999999999</v>
      </c>
    </row>
    <row r="802" spans="1:7">
      <c r="A802" s="50" t="s">
        <v>916</v>
      </c>
      <c r="B802" s="50" t="s">
        <v>85</v>
      </c>
      <c r="C802" s="50" t="s">
        <v>240</v>
      </c>
      <c r="D802" s="51">
        <v>41362</v>
      </c>
      <c r="E802" s="51">
        <v>579057</v>
      </c>
      <c r="F802" s="52">
        <v>65188.3</v>
      </c>
      <c r="G802" s="53">
        <v>11.257664999999999</v>
      </c>
    </row>
    <row r="803" spans="1:7">
      <c r="A803" s="50" t="s">
        <v>917</v>
      </c>
      <c r="B803" s="50" t="s">
        <v>85</v>
      </c>
      <c r="C803" s="50" t="s">
        <v>240</v>
      </c>
      <c r="D803" s="51">
        <v>23394</v>
      </c>
      <c r="E803" s="51">
        <v>414666</v>
      </c>
      <c r="F803" s="52">
        <v>52759</v>
      </c>
      <c r="G803" s="53">
        <v>12.723252</v>
      </c>
    </row>
    <row r="804" spans="1:7">
      <c r="A804" s="50" t="s">
        <v>918</v>
      </c>
      <c r="B804" s="50" t="s">
        <v>85</v>
      </c>
      <c r="C804" s="50" t="s">
        <v>242</v>
      </c>
      <c r="D804" s="51">
        <v>12314</v>
      </c>
      <c r="E804" s="51">
        <v>261018</v>
      </c>
      <c r="F804" s="52">
        <v>29687.8</v>
      </c>
      <c r="G804" s="53">
        <v>11.373851999999999</v>
      </c>
    </row>
    <row r="805" spans="1:7">
      <c r="A805" s="50" t="s">
        <v>919</v>
      </c>
      <c r="B805" s="50" t="s">
        <v>85</v>
      </c>
      <c r="C805" s="50" t="s">
        <v>242</v>
      </c>
      <c r="D805" s="51">
        <v>32737</v>
      </c>
      <c r="E805" s="51">
        <v>856136</v>
      </c>
      <c r="F805" s="52">
        <v>79097.3</v>
      </c>
      <c r="G805" s="53">
        <v>9.2388709000000002</v>
      </c>
    </row>
    <row r="806" spans="1:7">
      <c r="A806" s="50" t="s">
        <v>920</v>
      </c>
      <c r="B806" s="50" t="s">
        <v>85</v>
      </c>
      <c r="C806" s="50" t="s">
        <v>242</v>
      </c>
      <c r="D806" s="51">
        <v>13967</v>
      </c>
      <c r="E806" s="51">
        <v>279813</v>
      </c>
      <c r="F806" s="52">
        <v>29043.1</v>
      </c>
      <c r="G806" s="53">
        <v>10.379467999999999</v>
      </c>
    </row>
    <row r="807" spans="1:7">
      <c r="A807" s="50" t="s">
        <v>921</v>
      </c>
      <c r="B807" s="50" t="s">
        <v>85</v>
      </c>
      <c r="C807" s="50" t="s">
        <v>242</v>
      </c>
      <c r="D807" s="51">
        <v>29120</v>
      </c>
      <c r="E807" s="51">
        <v>683193</v>
      </c>
      <c r="F807" s="52">
        <v>75016</v>
      </c>
      <c r="G807" s="53">
        <v>10.980206000000001</v>
      </c>
    </row>
    <row r="808" spans="1:7">
      <c r="A808" s="50" t="s">
        <v>923</v>
      </c>
      <c r="B808" s="50" t="s">
        <v>85</v>
      </c>
      <c r="C808" s="50" t="s">
        <v>242</v>
      </c>
      <c r="D808" s="51">
        <v>11801</v>
      </c>
      <c r="E808" s="51">
        <v>419553</v>
      </c>
      <c r="F808" s="52">
        <v>43939.7</v>
      </c>
      <c r="G808" s="53">
        <v>10.47298</v>
      </c>
    </row>
    <row r="809" spans="1:7">
      <c r="A809" s="50" t="s">
        <v>925</v>
      </c>
      <c r="B809" s="50" t="s">
        <v>85</v>
      </c>
      <c r="C809" s="50" t="s">
        <v>242</v>
      </c>
      <c r="D809" s="51">
        <v>19319</v>
      </c>
      <c r="E809" s="51">
        <v>375647</v>
      </c>
      <c r="F809" s="52">
        <v>45837.4</v>
      </c>
      <c r="G809" s="53">
        <v>12.202254</v>
      </c>
    </row>
    <row r="810" spans="1:7">
      <c r="A810" s="50" t="s">
        <v>926</v>
      </c>
      <c r="B810" s="50" t="s">
        <v>85</v>
      </c>
      <c r="C810" s="50" t="s">
        <v>242</v>
      </c>
      <c r="D810" s="51">
        <v>11253</v>
      </c>
      <c r="E810" s="51">
        <v>229989</v>
      </c>
      <c r="F810" s="52">
        <v>27287</v>
      </c>
      <c r="G810" s="53">
        <v>11.86448</v>
      </c>
    </row>
    <row r="811" spans="1:7">
      <c r="A811" s="50" t="s">
        <v>927</v>
      </c>
      <c r="B811" s="50" t="s">
        <v>85</v>
      </c>
      <c r="C811" s="50" t="s">
        <v>242</v>
      </c>
      <c r="D811" s="51">
        <v>11079</v>
      </c>
      <c r="E811" s="51">
        <v>590393</v>
      </c>
      <c r="F811" s="52">
        <v>53928</v>
      </c>
      <c r="G811" s="53">
        <v>9.1342546000000002</v>
      </c>
    </row>
    <row r="812" spans="1:7">
      <c r="A812" s="50" t="s">
        <v>928</v>
      </c>
      <c r="B812" s="50" t="s">
        <v>85</v>
      </c>
      <c r="C812" s="50" t="s">
        <v>242</v>
      </c>
      <c r="D812" s="51">
        <v>8465</v>
      </c>
      <c r="E812" s="51">
        <v>305115</v>
      </c>
      <c r="F812" s="52">
        <v>28092.400000000001</v>
      </c>
      <c r="G812" s="53">
        <v>9.2071514000000008</v>
      </c>
    </row>
    <row r="813" spans="1:7">
      <c r="A813" s="50" t="s">
        <v>929</v>
      </c>
      <c r="B813" s="50" t="s">
        <v>85</v>
      </c>
      <c r="C813" s="50" t="s">
        <v>242</v>
      </c>
      <c r="D813" s="51">
        <v>23011</v>
      </c>
      <c r="E813" s="51">
        <v>432340</v>
      </c>
      <c r="F813" s="52">
        <v>49346</v>
      </c>
      <c r="G813" s="53">
        <v>11.413702000000001</v>
      </c>
    </row>
    <row r="814" spans="1:7">
      <c r="A814" s="50" t="s">
        <v>931</v>
      </c>
      <c r="B814" s="50" t="s">
        <v>85</v>
      </c>
      <c r="C814" s="50" t="s">
        <v>242</v>
      </c>
      <c r="D814" s="51">
        <v>28657</v>
      </c>
      <c r="E814" s="51">
        <v>661436</v>
      </c>
      <c r="F814" s="52">
        <v>72045</v>
      </c>
      <c r="G814" s="53">
        <v>10.89221</v>
      </c>
    </row>
    <row r="815" spans="1:7">
      <c r="A815" s="50" t="s">
        <v>933</v>
      </c>
      <c r="B815" s="50" t="s">
        <v>85</v>
      </c>
      <c r="C815" s="50" t="s">
        <v>242</v>
      </c>
      <c r="D815" s="51">
        <v>13902</v>
      </c>
      <c r="E815" s="51">
        <v>443718</v>
      </c>
      <c r="F815" s="52">
        <v>42837.9</v>
      </c>
      <c r="G815" s="53">
        <v>9.6543074999999998</v>
      </c>
    </row>
    <row r="816" spans="1:7">
      <c r="A816" s="50" t="s">
        <v>934</v>
      </c>
      <c r="B816" s="50" t="s">
        <v>85</v>
      </c>
      <c r="C816" s="50" t="s">
        <v>242</v>
      </c>
      <c r="D816" s="51">
        <v>13872</v>
      </c>
      <c r="E816" s="51">
        <v>254070</v>
      </c>
      <c r="F816" s="52">
        <v>31717.599999999999</v>
      </c>
      <c r="G816" s="53">
        <v>12.483803999999999</v>
      </c>
    </row>
    <row r="817" spans="1:7">
      <c r="A817" s="50" t="s">
        <v>935</v>
      </c>
      <c r="B817" s="50" t="s">
        <v>85</v>
      </c>
      <c r="C817" s="50" t="s">
        <v>242</v>
      </c>
      <c r="D817" s="51">
        <v>35218</v>
      </c>
      <c r="E817" s="51">
        <v>1181851</v>
      </c>
      <c r="F817" s="52">
        <v>115900</v>
      </c>
      <c r="G817" s="53">
        <v>9.8066507999999999</v>
      </c>
    </row>
    <row r="818" spans="1:7">
      <c r="A818" s="50" t="s">
        <v>936</v>
      </c>
      <c r="B818" s="50" t="s">
        <v>85</v>
      </c>
      <c r="C818" s="50" t="s">
        <v>237</v>
      </c>
      <c r="D818" s="51">
        <v>2084380</v>
      </c>
      <c r="E818" s="51">
        <v>55703047</v>
      </c>
      <c r="F818" s="52">
        <v>4653435.5999999996</v>
      </c>
      <c r="G818" s="53">
        <v>8.3540054999999995</v>
      </c>
    </row>
    <row r="819" spans="1:7">
      <c r="A819" s="50" t="s">
        <v>937</v>
      </c>
      <c r="B819" s="50" t="s">
        <v>85</v>
      </c>
      <c r="C819" s="50" t="s">
        <v>237</v>
      </c>
      <c r="D819" s="51">
        <v>1448325</v>
      </c>
      <c r="E819" s="51">
        <v>36297536</v>
      </c>
      <c r="F819" s="52">
        <v>3470054</v>
      </c>
      <c r="G819" s="53">
        <v>9.5600263000000005</v>
      </c>
    </row>
    <row r="820" spans="1:7">
      <c r="A820" s="50" t="s">
        <v>938</v>
      </c>
      <c r="B820" s="50" t="s">
        <v>85</v>
      </c>
      <c r="C820" s="50" t="s">
        <v>240</v>
      </c>
      <c r="D820" s="51">
        <v>11453</v>
      </c>
      <c r="E820" s="51">
        <v>213292</v>
      </c>
      <c r="F820" s="52">
        <v>26629</v>
      </c>
      <c r="G820" s="53">
        <v>12.484762999999999</v>
      </c>
    </row>
    <row r="821" spans="1:7">
      <c r="A821" s="50" t="s">
        <v>939</v>
      </c>
      <c r="B821" s="50" t="s">
        <v>85</v>
      </c>
      <c r="C821" s="50" t="s">
        <v>240</v>
      </c>
      <c r="D821" s="51">
        <v>132141</v>
      </c>
      <c r="E821" s="51">
        <v>2594534</v>
      </c>
      <c r="F821" s="52">
        <v>265547</v>
      </c>
      <c r="G821" s="53">
        <v>10.234863000000001</v>
      </c>
    </row>
    <row r="822" spans="1:7">
      <c r="A822" s="50" t="s">
        <v>940</v>
      </c>
      <c r="B822" s="50" t="s">
        <v>85</v>
      </c>
      <c r="C822" s="50" t="s">
        <v>242</v>
      </c>
      <c r="D822" s="51">
        <v>83906</v>
      </c>
      <c r="E822" s="51">
        <v>1915980</v>
      </c>
      <c r="F822" s="52">
        <v>197986</v>
      </c>
      <c r="G822" s="53">
        <v>10.333406</v>
      </c>
    </row>
    <row r="823" spans="1:7">
      <c r="A823" s="50" t="s">
        <v>941</v>
      </c>
      <c r="B823" s="50" t="s">
        <v>85</v>
      </c>
      <c r="C823" s="50" t="s">
        <v>240</v>
      </c>
      <c r="D823" s="51">
        <v>33234</v>
      </c>
      <c r="E823" s="51">
        <v>957198</v>
      </c>
      <c r="F823" s="52">
        <v>95678.1</v>
      </c>
      <c r="G823" s="53">
        <v>9.9956434999999999</v>
      </c>
    </row>
    <row r="824" spans="1:7">
      <c r="A824" s="50" t="s">
        <v>942</v>
      </c>
      <c r="B824" s="50" t="s">
        <v>85</v>
      </c>
      <c r="C824" s="50" t="s">
        <v>240</v>
      </c>
      <c r="D824" s="51">
        <v>37919</v>
      </c>
      <c r="E824" s="51">
        <v>513913</v>
      </c>
      <c r="F824" s="52">
        <v>55507</v>
      </c>
      <c r="G824" s="53">
        <v>10.800855</v>
      </c>
    </row>
    <row r="825" spans="1:7">
      <c r="A825" s="50" t="s">
        <v>943</v>
      </c>
      <c r="B825" s="50" t="s">
        <v>85</v>
      </c>
      <c r="C825" s="50" t="s">
        <v>242</v>
      </c>
      <c r="D825" s="51">
        <v>69981</v>
      </c>
      <c r="E825" s="51">
        <v>1685002</v>
      </c>
      <c r="F825" s="52">
        <v>165798.29999999999</v>
      </c>
      <c r="G825" s="53">
        <v>9.8396500000000007</v>
      </c>
    </row>
    <row r="826" spans="1:7">
      <c r="A826" s="50" t="s">
        <v>504</v>
      </c>
      <c r="B826" s="50" t="s">
        <v>85</v>
      </c>
      <c r="C826" s="50" t="s">
        <v>240</v>
      </c>
      <c r="D826" s="51">
        <v>26621</v>
      </c>
      <c r="E826" s="51">
        <v>296397</v>
      </c>
      <c r="F826" s="52">
        <v>42581.3</v>
      </c>
      <c r="G826" s="53">
        <v>14.366306</v>
      </c>
    </row>
    <row r="827" spans="1:7">
      <c r="A827" s="50" t="s">
        <v>945</v>
      </c>
      <c r="B827" s="50" t="s">
        <v>85</v>
      </c>
      <c r="C827" s="50" t="s">
        <v>240</v>
      </c>
      <c r="D827" s="51">
        <v>77844</v>
      </c>
      <c r="E827" s="51">
        <v>1211614</v>
      </c>
      <c r="F827" s="52">
        <v>137317.29999999999</v>
      </c>
      <c r="G827" s="53">
        <v>11.33342</v>
      </c>
    </row>
    <row r="828" spans="1:7">
      <c r="A828" s="50" t="s">
        <v>946</v>
      </c>
      <c r="B828" s="50" t="s">
        <v>85</v>
      </c>
      <c r="C828" s="50" t="s">
        <v>240</v>
      </c>
      <c r="D828" s="51">
        <v>63439</v>
      </c>
      <c r="E828" s="51">
        <v>1272993</v>
      </c>
      <c r="F828" s="52">
        <v>137059.6</v>
      </c>
      <c r="G828" s="53">
        <v>10.766721</v>
      </c>
    </row>
    <row r="829" spans="1:7">
      <c r="A829" s="50" t="s">
        <v>947</v>
      </c>
      <c r="B829" s="50" t="s">
        <v>85</v>
      </c>
      <c r="C829" s="50" t="s">
        <v>240</v>
      </c>
      <c r="D829" s="51">
        <v>130</v>
      </c>
      <c r="E829" s="51">
        <v>1778</v>
      </c>
      <c r="F829" s="52">
        <v>228.2</v>
      </c>
      <c r="G829" s="53">
        <v>12.834645999999999</v>
      </c>
    </row>
    <row r="830" spans="1:7">
      <c r="A830" s="50" t="s">
        <v>948</v>
      </c>
      <c r="B830" s="50" t="s">
        <v>85</v>
      </c>
      <c r="C830" s="50" t="s">
        <v>240</v>
      </c>
      <c r="D830" s="51">
        <v>19304</v>
      </c>
      <c r="E830" s="51">
        <v>266633</v>
      </c>
      <c r="F830" s="52">
        <v>29581</v>
      </c>
      <c r="G830" s="53">
        <v>11.094276000000001</v>
      </c>
    </row>
    <row r="831" spans="1:7">
      <c r="A831" s="50" t="s">
        <v>949</v>
      </c>
      <c r="B831" s="50" t="s">
        <v>85</v>
      </c>
      <c r="C831" s="50" t="s">
        <v>2</v>
      </c>
      <c r="D831" s="51">
        <v>8538</v>
      </c>
      <c r="E831" s="51">
        <v>191618</v>
      </c>
      <c r="F831" s="52">
        <v>17784.2</v>
      </c>
      <c r="G831" s="53">
        <v>9.2810696000000004</v>
      </c>
    </row>
    <row r="832" spans="1:7">
      <c r="A832" s="50" t="s">
        <v>950</v>
      </c>
      <c r="B832" s="50" t="s">
        <v>85</v>
      </c>
      <c r="C832" s="50" t="s">
        <v>240</v>
      </c>
      <c r="D832" s="51">
        <v>21264</v>
      </c>
      <c r="E832" s="51">
        <v>374046</v>
      </c>
      <c r="F832" s="52">
        <v>45400</v>
      </c>
      <c r="G832" s="53">
        <v>12.137544999999999</v>
      </c>
    </row>
    <row r="833" spans="1:7">
      <c r="A833" s="50" t="s">
        <v>951</v>
      </c>
      <c r="B833" s="50" t="s">
        <v>85</v>
      </c>
      <c r="C833" s="50" t="s">
        <v>240</v>
      </c>
      <c r="D833" s="51">
        <v>32923</v>
      </c>
      <c r="E833" s="51">
        <v>466482</v>
      </c>
      <c r="F833" s="52">
        <v>64691.4</v>
      </c>
      <c r="G833" s="53">
        <v>13.867931</v>
      </c>
    </row>
    <row r="834" spans="1:7">
      <c r="A834" s="50" t="s">
        <v>953</v>
      </c>
      <c r="B834" s="50" t="s">
        <v>85</v>
      </c>
      <c r="C834" s="50" t="s">
        <v>240</v>
      </c>
      <c r="D834" s="51">
        <v>32554</v>
      </c>
      <c r="E834" s="51">
        <v>498788</v>
      </c>
      <c r="F834" s="52">
        <v>62369.599999999999</v>
      </c>
      <c r="G834" s="53">
        <v>12.50423</v>
      </c>
    </row>
    <row r="835" spans="1:7">
      <c r="A835" s="50" t="s">
        <v>954</v>
      </c>
      <c r="B835" s="50" t="s">
        <v>85</v>
      </c>
      <c r="C835" s="50" t="s">
        <v>240</v>
      </c>
      <c r="D835" s="51">
        <v>14169</v>
      </c>
      <c r="E835" s="51">
        <v>256835</v>
      </c>
      <c r="F835" s="52">
        <v>38709</v>
      </c>
      <c r="G835" s="53">
        <v>15.071543999999999</v>
      </c>
    </row>
    <row r="836" spans="1:7">
      <c r="A836" s="50" t="s">
        <v>955</v>
      </c>
      <c r="B836" s="50" t="s">
        <v>85</v>
      </c>
      <c r="C836" s="50" t="s">
        <v>240</v>
      </c>
      <c r="D836" s="51">
        <v>71036</v>
      </c>
      <c r="E836" s="51">
        <v>1268637</v>
      </c>
      <c r="F836" s="52">
        <v>136836.5</v>
      </c>
      <c r="G836" s="53">
        <v>10.786104</v>
      </c>
    </row>
    <row r="837" spans="1:7">
      <c r="A837" s="50" t="s">
        <v>956</v>
      </c>
      <c r="B837" s="50" t="s">
        <v>85</v>
      </c>
      <c r="C837" s="50" t="s">
        <v>240</v>
      </c>
      <c r="D837" s="51">
        <v>45526</v>
      </c>
      <c r="E837" s="51">
        <v>788668</v>
      </c>
      <c r="F837" s="52">
        <v>95690</v>
      </c>
      <c r="G837" s="53">
        <v>12.133115999999999</v>
      </c>
    </row>
    <row r="838" spans="1:7">
      <c r="A838" s="50" t="s">
        <v>957</v>
      </c>
      <c r="B838" s="50" t="s">
        <v>85</v>
      </c>
      <c r="C838" s="50" t="s">
        <v>240</v>
      </c>
      <c r="D838" s="51">
        <v>27215</v>
      </c>
      <c r="E838" s="51">
        <v>355074</v>
      </c>
      <c r="F838" s="52">
        <v>53115.1</v>
      </c>
      <c r="G838" s="53">
        <v>14.958881999999999</v>
      </c>
    </row>
    <row r="839" spans="1:7">
      <c r="A839" s="50" t="s">
        <v>294</v>
      </c>
      <c r="B839" s="50" t="s">
        <v>85</v>
      </c>
      <c r="C839" s="50" t="s">
        <v>295</v>
      </c>
      <c r="D839" s="51">
        <v>1</v>
      </c>
      <c r="E839" s="51">
        <v>1968</v>
      </c>
      <c r="F839" s="52">
        <v>197.3</v>
      </c>
      <c r="G839" s="53">
        <v>10.025407</v>
      </c>
    </row>
    <row r="840" spans="1:7">
      <c r="A840" s="50" t="s">
        <v>958</v>
      </c>
      <c r="B840" s="50" t="s">
        <v>85</v>
      </c>
      <c r="C840" s="50" t="s">
        <v>240</v>
      </c>
      <c r="D840" s="51">
        <v>23146</v>
      </c>
      <c r="E840" s="51">
        <v>331012</v>
      </c>
      <c r="F840" s="52">
        <v>46605</v>
      </c>
      <c r="G840" s="53">
        <v>14.079549999999999</v>
      </c>
    </row>
    <row r="841" spans="1:7">
      <c r="A841" s="50" t="s">
        <v>959</v>
      </c>
      <c r="B841" s="50" t="s">
        <v>85</v>
      </c>
      <c r="C841" s="50" t="s">
        <v>242</v>
      </c>
      <c r="D841" s="51">
        <v>25135</v>
      </c>
      <c r="E841" s="51">
        <v>347491</v>
      </c>
      <c r="F841" s="52">
        <v>34109.699999999997</v>
      </c>
      <c r="G841" s="53">
        <v>9.8159951999999997</v>
      </c>
    </row>
    <row r="842" spans="1:7">
      <c r="A842" s="50" t="s">
        <v>963</v>
      </c>
      <c r="B842" s="50" t="s">
        <v>85</v>
      </c>
      <c r="C842" s="50" t="s">
        <v>242</v>
      </c>
      <c r="D842" s="51">
        <v>41905</v>
      </c>
      <c r="E842" s="51">
        <v>1137103</v>
      </c>
      <c r="F842" s="52">
        <v>125849</v>
      </c>
      <c r="G842" s="53">
        <v>11.067511</v>
      </c>
    </row>
    <row r="843" spans="1:7">
      <c r="A843" s="50" t="s">
        <v>964</v>
      </c>
      <c r="B843" s="50" t="s">
        <v>85</v>
      </c>
      <c r="C843" s="50" t="s">
        <v>242</v>
      </c>
      <c r="D843" s="51">
        <v>7265</v>
      </c>
      <c r="E843" s="51">
        <v>232432</v>
      </c>
      <c r="F843" s="52">
        <v>19560.3</v>
      </c>
      <c r="G843" s="53">
        <v>8.4154935999999996</v>
      </c>
    </row>
    <row r="844" spans="1:7">
      <c r="A844" s="50" t="s">
        <v>965</v>
      </c>
      <c r="B844" s="50" t="s">
        <v>85</v>
      </c>
      <c r="C844" s="50" t="s">
        <v>242</v>
      </c>
      <c r="D844" s="51">
        <v>5149</v>
      </c>
      <c r="E844" s="51">
        <v>306190</v>
      </c>
      <c r="F844" s="52">
        <v>20518</v>
      </c>
      <c r="G844" s="53">
        <v>6.7010680000000002</v>
      </c>
    </row>
    <row r="845" spans="1:7">
      <c r="A845" s="50" t="s">
        <v>968</v>
      </c>
      <c r="B845" s="50" t="s">
        <v>85</v>
      </c>
      <c r="C845" s="50" t="s">
        <v>242</v>
      </c>
      <c r="D845" s="51">
        <v>6255</v>
      </c>
      <c r="E845" s="51">
        <v>216239</v>
      </c>
      <c r="F845" s="52">
        <v>21040</v>
      </c>
      <c r="G845" s="53">
        <v>9.7299746999999996</v>
      </c>
    </row>
    <row r="846" spans="1:7">
      <c r="A846" s="50" t="s">
        <v>1894</v>
      </c>
      <c r="B846" s="50" t="s">
        <v>85</v>
      </c>
      <c r="C846" s="50" t="s">
        <v>240</v>
      </c>
      <c r="D846" s="51">
        <v>25772</v>
      </c>
      <c r="E846" s="51">
        <v>535517</v>
      </c>
      <c r="F846" s="52">
        <v>57464.800000000003</v>
      </c>
      <c r="G846" s="53">
        <v>10.730714000000001</v>
      </c>
    </row>
    <row r="847" spans="1:7">
      <c r="A847" s="50" t="s">
        <v>520</v>
      </c>
      <c r="B847" s="50" t="s">
        <v>85</v>
      </c>
      <c r="C847" s="50" t="s">
        <v>240</v>
      </c>
      <c r="D847" s="51">
        <v>1574</v>
      </c>
      <c r="E847" s="51">
        <v>14178</v>
      </c>
      <c r="F847" s="52">
        <v>1866</v>
      </c>
      <c r="G847" s="53">
        <v>13.161236000000001</v>
      </c>
    </row>
    <row r="848" spans="1:7">
      <c r="A848" s="50" t="s">
        <v>970</v>
      </c>
      <c r="B848" s="50" t="s">
        <v>85</v>
      </c>
      <c r="C848" s="50" t="s">
        <v>240</v>
      </c>
      <c r="D848" s="51">
        <v>79348</v>
      </c>
      <c r="E848" s="51">
        <v>1311706</v>
      </c>
      <c r="F848" s="52">
        <v>156112</v>
      </c>
      <c r="G848" s="53">
        <v>11.901446999999999</v>
      </c>
    </row>
    <row r="849" spans="1:7">
      <c r="A849" s="50" t="s">
        <v>971</v>
      </c>
      <c r="B849" s="50" t="s">
        <v>85</v>
      </c>
      <c r="C849" s="50" t="s">
        <v>237</v>
      </c>
      <c r="D849" s="51">
        <v>122878</v>
      </c>
      <c r="E849" s="51">
        <v>4168871</v>
      </c>
      <c r="F849" s="52">
        <v>370398.8</v>
      </c>
      <c r="G849" s="53">
        <v>8.8848707000000005</v>
      </c>
    </row>
    <row r="850" spans="1:7">
      <c r="A850" s="50" t="s">
        <v>972</v>
      </c>
      <c r="B850" s="50" t="s">
        <v>85</v>
      </c>
      <c r="C850" s="50" t="s">
        <v>240</v>
      </c>
      <c r="D850" s="51">
        <v>48093</v>
      </c>
      <c r="E850" s="51">
        <v>793517</v>
      </c>
      <c r="F850" s="52">
        <v>91981.3</v>
      </c>
      <c r="G850" s="53">
        <v>11.591597999999999</v>
      </c>
    </row>
    <row r="851" spans="1:7">
      <c r="A851" s="50" t="s">
        <v>973</v>
      </c>
      <c r="B851" s="50" t="s">
        <v>85</v>
      </c>
      <c r="C851" s="50" t="s">
        <v>240</v>
      </c>
      <c r="D851" s="51">
        <v>17</v>
      </c>
      <c r="E851" s="51">
        <v>355</v>
      </c>
      <c r="F851" s="52">
        <v>41</v>
      </c>
      <c r="G851" s="53">
        <v>11.549296</v>
      </c>
    </row>
    <row r="852" spans="1:7">
      <c r="A852" s="50" t="s">
        <v>974</v>
      </c>
      <c r="B852" s="50" t="s">
        <v>88</v>
      </c>
      <c r="C852" s="50" t="s">
        <v>240</v>
      </c>
      <c r="D852" s="51">
        <v>1</v>
      </c>
      <c r="E852" s="51">
        <v>1103767</v>
      </c>
      <c r="F852" s="52">
        <v>34168.699999999997</v>
      </c>
      <c r="G852" s="53">
        <v>3.0956443</v>
      </c>
    </row>
    <row r="853" spans="1:7">
      <c r="A853" s="50" t="s">
        <v>975</v>
      </c>
      <c r="B853" s="50" t="s">
        <v>88</v>
      </c>
      <c r="C853" s="50" t="s">
        <v>240</v>
      </c>
      <c r="D853" s="51">
        <v>3415</v>
      </c>
      <c r="E853" s="51">
        <v>190184</v>
      </c>
      <c r="F853" s="52">
        <v>21812</v>
      </c>
      <c r="G853" s="53">
        <v>11.468893</v>
      </c>
    </row>
    <row r="854" spans="1:7">
      <c r="A854" s="50" t="s">
        <v>976</v>
      </c>
      <c r="B854" s="50" t="s">
        <v>88</v>
      </c>
      <c r="C854" s="50" t="s">
        <v>240</v>
      </c>
      <c r="D854" s="51">
        <v>21305</v>
      </c>
      <c r="E854" s="51">
        <v>369943</v>
      </c>
      <c r="F854" s="52">
        <v>38935.800000000003</v>
      </c>
      <c r="G854" s="53">
        <v>10.524811</v>
      </c>
    </row>
    <row r="855" spans="1:7">
      <c r="A855" s="50" t="s">
        <v>1895</v>
      </c>
      <c r="B855" s="50" t="s">
        <v>88</v>
      </c>
      <c r="C855" s="50" t="s">
        <v>240</v>
      </c>
      <c r="D855" s="51">
        <v>53421</v>
      </c>
      <c r="E855" s="51">
        <v>1256561</v>
      </c>
      <c r="F855" s="52">
        <v>136561</v>
      </c>
      <c r="G855" s="53">
        <v>10.867837</v>
      </c>
    </row>
    <row r="856" spans="1:7">
      <c r="A856" s="50" t="s">
        <v>979</v>
      </c>
      <c r="B856" s="50" t="s">
        <v>88</v>
      </c>
      <c r="C856" s="50" t="s">
        <v>240</v>
      </c>
      <c r="D856" s="51">
        <v>6680</v>
      </c>
      <c r="E856" s="51">
        <v>638536</v>
      </c>
      <c r="F856" s="52">
        <v>53039.199999999997</v>
      </c>
      <c r="G856" s="53">
        <v>8.3063757999999996</v>
      </c>
    </row>
    <row r="857" spans="1:7">
      <c r="A857" s="50" t="s">
        <v>898</v>
      </c>
      <c r="B857" s="50" t="s">
        <v>88</v>
      </c>
      <c r="C857" s="50" t="s">
        <v>240</v>
      </c>
      <c r="D857" s="51">
        <v>1124</v>
      </c>
      <c r="E857" s="51">
        <v>70373</v>
      </c>
      <c r="F857" s="52">
        <v>7246</v>
      </c>
      <c r="G857" s="53">
        <v>10.296563000000001</v>
      </c>
    </row>
    <row r="858" spans="1:7">
      <c r="A858" s="50" t="s">
        <v>901</v>
      </c>
      <c r="B858" s="50" t="s">
        <v>88</v>
      </c>
      <c r="C858" s="50" t="s">
        <v>240</v>
      </c>
      <c r="D858" s="51">
        <v>13192</v>
      </c>
      <c r="E858" s="51">
        <v>4569473</v>
      </c>
      <c r="F858" s="52">
        <v>331723.09999999998</v>
      </c>
      <c r="G858" s="53">
        <v>7.2595482999999996</v>
      </c>
    </row>
    <row r="859" spans="1:7">
      <c r="A859" s="50" t="s">
        <v>981</v>
      </c>
      <c r="B859" s="50" t="s">
        <v>88</v>
      </c>
      <c r="C859" s="50" t="s">
        <v>240</v>
      </c>
      <c r="D859" s="51">
        <v>4087</v>
      </c>
      <c r="E859" s="51">
        <v>131703</v>
      </c>
      <c r="F859" s="52">
        <v>14953</v>
      </c>
      <c r="G859" s="53">
        <v>11.353576</v>
      </c>
    </row>
    <row r="860" spans="1:7">
      <c r="A860" s="50" t="s">
        <v>903</v>
      </c>
      <c r="B860" s="50" t="s">
        <v>88</v>
      </c>
      <c r="C860" s="50" t="s">
        <v>237</v>
      </c>
      <c r="D860" s="51">
        <v>93249</v>
      </c>
      <c r="E860" s="51">
        <v>2039594</v>
      </c>
      <c r="F860" s="52">
        <v>190062</v>
      </c>
      <c r="G860" s="53">
        <v>9.3186192999999999</v>
      </c>
    </row>
    <row r="861" spans="1:7">
      <c r="A861" s="50" t="s">
        <v>983</v>
      </c>
      <c r="B861" s="50" t="s">
        <v>88</v>
      </c>
      <c r="C861" s="50" t="s">
        <v>240</v>
      </c>
      <c r="D861" s="51">
        <v>20950</v>
      </c>
      <c r="E861" s="51">
        <v>3383602</v>
      </c>
      <c r="F861" s="52">
        <v>293342.40000000002</v>
      </c>
      <c r="G861" s="53">
        <v>8.6695302999999999</v>
      </c>
    </row>
    <row r="862" spans="1:7">
      <c r="A862" s="50" t="s">
        <v>984</v>
      </c>
      <c r="B862" s="50" t="s">
        <v>88</v>
      </c>
      <c r="C862" s="50" t="s">
        <v>240</v>
      </c>
      <c r="D862" s="51">
        <v>20451</v>
      </c>
      <c r="E862" s="51">
        <v>1069436</v>
      </c>
      <c r="F862" s="52">
        <v>98918</v>
      </c>
      <c r="G862" s="53">
        <v>9.2495484000000001</v>
      </c>
    </row>
    <row r="863" spans="1:7">
      <c r="A863" s="50" t="s">
        <v>985</v>
      </c>
      <c r="B863" s="50" t="s">
        <v>88</v>
      </c>
      <c r="C863" s="50" t="s">
        <v>240</v>
      </c>
      <c r="D863" s="51">
        <v>7605</v>
      </c>
      <c r="E863" s="51">
        <v>220964</v>
      </c>
      <c r="F863" s="52">
        <v>23674.3</v>
      </c>
      <c r="G863" s="53">
        <v>10.714098</v>
      </c>
    </row>
    <row r="864" spans="1:7">
      <c r="A864" s="50" t="s">
        <v>986</v>
      </c>
      <c r="B864" s="50" t="s">
        <v>88</v>
      </c>
      <c r="C864" s="50" t="s">
        <v>240</v>
      </c>
      <c r="D864" s="51">
        <v>11697</v>
      </c>
      <c r="E864" s="51">
        <v>440879</v>
      </c>
      <c r="F864" s="52">
        <v>42362</v>
      </c>
      <c r="G864" s="53">
        <v>9.6085320000000003</v>
      </c>
    </row>
    <row r="865" spans="1:7">
      <c r="A865" s="50" t="s">
        <v>792</v>
      </c>
      <c r="B865" s="50" t="s">
        <v>88</v>
      </c>
      <c r="C865" s="50" t="s">
        <v>237</v>
      </c>
      <c r="D865" s="51">
        <v>94511</v>
      </c>
      <c r="E865" s="51">
        <v>2127669</v>
      </c>
      <c r="F865" s="52">
        <v>200133.8</v>
      </c>
      <c r="G865" s="53">
        <v>9.4062468999999993</v>
      </c>
    </row>
    <row r="866" spans="1:7">
      <c r="A866" s="50" t="s">
        <v>794</v>
      </c>
      <c r="B866" s="50" t="s">
        <v>88</v>
      </c>
      <c r="C866" s="50" t="s">
        <v>237</v>
      </c>
      <c r="D866" s="51">
        <v>59289</v>
      </c>
      <c r="E866" s="51">
        <v>1737886</v>
      </c>
      <c r="F866" s="52">
        <v>147822.29999999999</v>
      </c>
      <c r="G866" s="53">
        <v>8.5058685999999994</v>
      </c>
    </row>
    <row r="867" spans="1:7">
      <c r="A867" s="50" t="s">
        <v>1904</v>
      </c>
      <c r="B867" s="50" t="s">
        <v>88</v>
      </c>
      <c r="C867" s="50" t="s">
        <v>240</v>
      </c>
      <c r="D867" s="51">
        <v>14849</v>
      </c>
      <c r="E867" s="51">
        <v>716125</v>
      </c>
      <c r="F867" s="52">
        <v>73711</v>
      </c>
      <c r="G867" s="53">
        <v>10.293035</v>
      </c>
    </row>
    <row r="868" spans="1:7">
      <c r="A868" s="50" t="s">
        <v>987</v>
      </c>
      <c r="B868" s="50" t="s">
        <v>88</v>
      </c>
      <c r="C868" s="50" t="s">
        <v>240</v>
      </c>
      <c r="D868" s="51">
        <v>4019</v>
      </c>
      <c r="E868" s="51">
        <v>338152</v>
      </c>
      <c r="F868" s="52">
        <v>28060</v>
      </c>
      <c r="G868" s="53">
        <v>8.2980435000000003</v>
      </c>
    </row>
    <row r="869" spans="1:7">
      <c r="A869" s="50" t="s">
        <v>988</v>
      </c>
      <c r="B869" s="50" t="s">
        <v>88</v>
      </c>
      <c r="C869" s="50" t="s">
        <v>240</v>
      </c>
      <c r="D869" s="51">
        <v>16432</v>
      </c>
      <c r="E869" s="51">
        <v>572327</v>
      </c>
      <c r="F869" s="52">
        <v>51179.9</v>
      </c>
      <c r="G869" s="53">
        <v>8.9424227999999992</v>
      </c>
    </row>
    <row r="870" spans="1:7">
      <c r="A870" s="50" t="s">
        <v>357</v>
      </c>
      <c r="B870" s="50" t="s">
        <v>88</v>
      </c>
      <c r="C870" s="50" t="s">
        <v>295</v>
      </c>
      <c r="D870" s="51">
        <v>21</v>
      </c>
      <c r="E870" s="51">
        <v>199630</v>
      </c>
      <c r="F870" s="52">
        <v>4705.5</v>
      </c>
      <c r="G870" s="53">
        <v>2.3571106999999998</v>
      </c>
    </row>
    <row r="871" spans="1:7">
      <c r="A871" s="50" t="s">
        <v>992</v>
      </c>
      <c r="B871" s="50" t="s">
        <v>69</v>
      </c>
      <c r="C871" s="50" t="s">
        <v>325</v>
      </c>
      <c r="D871" s="51">
        <v>7475</v>
      </c>
      <c r="E871" s="51">
        <v>279076</v>
      </c>
      <c r="F871" s="52">
        <v>23242</v>
      </c>
      <c r="G871" s="53">
        <v>8.3281972999999994</v>
      </c>
    </row>
    <row r="872" spans="1:7">
      <c r="A872" s="50" t="s">
        <v>1004</v>
      </c>
      <c r="B872" s="50" t="s">
        <v>69</v>
      </c>
      <c r="C872" s="50" t="s">
        <v>242</v>
      </c>
      <c r="D872" s="51">
        <v>15565</v>
      </c>
      <c r="E872" s="51">
        <v>471422</v>
      </c>
      <c r="F872" s="52">
        <v>42989.1</v>
      </c>
      <c r="G872" s="53">
        <v>9.1190271000000003</v>
      </c>
    </row>
    <row r="873" spans="1:7">
      <c r="A873" s="50" t="s">
        <v>1007</v>
      </c>
      <c r="B873" s="50" t="s">
        <v>69</v>
      </c>
      <c r="C873" s="50" t="s">
        <v>242</v>
      </c>
      <c r="D873" s="51">
        <v>26331</v>
      </c>
      <c r="E873" s="51">
        <v>698567</v>
      </c>
      <c r="F873" s="52">
        <v>63826</v>
      </c>
      <c r="G873" s="53">
        <v>9.1367040999999993</v>
      </c>
    </row>
    <row r="874" spans="1:7">
      <c r="A874" s="50" t="s">
        <v>1008</v>
      </c>
      <c r="B874" s="50" t="s">
        <v>69</v>
      </c>
      <c r="C874" s="50" t="s">
        <v>242</v>
      </c>
      <c r="D874" s="51">
        <v>13601</v>
      </c>
      <c r="E874" s="51">
        <v>420092</v>
      </c>
      <c r="F874" s="52">
        <v>35785</v>
      </c>
      <c r="G874" s="53">
        <v>8.5183721999999999</v>
      </c>
    </row>
    <row r="875" spans="1:7">
      <c r="A875" s="50" t="s">
        <v>1013</v>
      </c>
      <c r="B875" s="50" t="s">
        <v>69</v>
      </c>
      <c r="C875" s="50" t="s">
        <v>242</v>
      </c>
      <c r="D875" s="51">
        <v>4401</v>
      </c>
      <c r="E875" s="51">
        <v>214044</v>
      </c>
      <c r="F875" s="52">
        <v>17520.099999999999</v>
      </c>
      <c r="G875" s="53">
        <v>8.1852797000000006</v>
      </c>
    </row>
    <row r="876" spans="1:7">
      <c r="A876" s="50" t="s">
        <v>1018</v>
      </c>
      <c r="B876" s="50" t="s">
        <v>69</v>
      </c>
      <c r="C876" s="50" t="s">
        <v>242</v>
      </c>
      <c r="D876" s="51">
        <v>13583</v>
      </c>
      <c r="E876" s="51">
        <v>283699</v>
      </c>
      <c r="F876" s="52">
        <v>26835</v>
      </c>
      <c r="G876" s="53">
        <v>9.4589687999999992</v>
      </c>
    </row>
    <row r="877" spans="1:7">
      <c r="A877" s="50" t="s">
        <v>1024</v>
      </c>
      <c r="B877" s="50" t="s">
        <v>69</v>
      </c>
      <c r="C877" s="50" t="s">
        <v>242</v>
      </c>
      <c r="D877" s="51">
        <v>5757</v>
      </c>
      <c r="E877" s="51">
        <v>204976</v>
      </c>
      <c r="F877" s="52">
        <v>19696.3</v>
      </c>
      <c r="G877" s="53">
        <v>9.6090762000000005</v>
      </c>
    </row>
    <row r="878" spans="1:7">
      <c r="A878" s="50" t="s">
        <v>1034</v>
      </c>
      <c r="B878" s="50" t="s">
        <v>69</v>
      </c>
      <c r="C878" s="50" t="s">
        <v>325</v>
      </c>
      <c r="D878" s="51">
        <v>10129</v>
      </c>
      <c r="E878" s="51">
        <v>419806</v>
      </c>
      <c r="F878" s="52">
        <v>38037.9</v>
      </c>
      <c r="G878" s="53">
        <v>9.0608281000000002</v>
      </c>
    </row>
    <row r="879" spans="1:7">
      <c r="A879" s="50" t="s">
        <v>1038</v>
      </c>
      <c r="B879" s="50" t="s">
        <v>69</v>
      </c>
      <c r="C879" s="50" t="s">
        <v>325</v>
      </c>
      <c r="D879" s="51">
        <v>23152</v>
      </c>
      <c r="E879" s="51">
        <v>573853</v>
      </c>
      <c r="F879" s="52">
        <v>52883.9</v>
      </c>
      <c r="G879" s="53">
        <v>9.2155830999999999</v>
      </c>
    </row>
    <row r="880" spans="1:7">
      <c r="A880" s="50" t="s">
        <v>1039</v>
      </c>
      <c r="B880" s="50" t="s">
        <v>69</v>
      </c>
      <c r="C880" s="50" t="s">
        <v>325</v>
      </c>
      <c r="D880" s="51">
        <v>9871</v>
      </c>
      <c r="E880" s="51">
        <v>305244</v>
      </c>
      <c r="F880" s="52">
        <v>31038</v>
      </c>
      <c r="G880" s="53">
        <v>10.168259000000001</v>
      </c>
    </row>
    <row r="881" spans="1:7">
      <c r="A881" s="50" t="s">
        <v>400</v>
      </c>
      <c r="B881" s="50" t="s">
        <v>69</v>
      </c>
      <c r="C881" s="50" t="s">
        <v>240</v>
      </c>
      <c r="D881" s="51">
        <v>2935</v>
      </c>
      <c r="E881" s="51">
        <v>114086</v>
      </c>
      <c r="F881" s="52">
        <v>13797</v>
      </c>
      <c r="G881" s="53">
        <v>12.093508</v>
      </c>
    </row>
    <row r="882" spans="1:7">
      <c r="A882" s="50" t="s">
        <v>401</v>
      </c>
      <c r="B882" s="50" t="s">
        <v>69</v>
      </c>
      <c r="C882" s="50" t="s">
        <v>240</v>
      </c>
      <c r="D882" s="51">
        <v>1984</v>
      </c>
      <c r="E882" s="51">
        <v>91043</v>
      </c>
      <c r="F882" s="52">
        <v>11446.3</v>
      </c>
      <c r="G882" s="53">
        <v>12.572411000000001</v>
      </c>
    </row>
    <row r="883" spans="1:7">
      <c r="A883" s="50" t="s">
        <v>1043</v>
      </c>
      <c r="B883" s="50" t="s">
        <v>69</v>
      </c>
      <c r="C883" s="50" t="s">
        <v>242</v>
      </c>
      <c r="D883" s="51">
        <v>143788</v>
      </c>
      <c r="E883" s="51">
        <v>3085705</v>
      </c>
      <c r="F883" s="52">
        <v>262878.09999999998</v>
      </c>
      <c r="G883" s="53">
        <v>8.5192233000000002</v>
      </c>
    </row>
    <row r="884" spans="1:7">
      <c r="A884" s="50" t="s">
        <v>1044</v>
      </c>
      <c r="B884" s="50" t="s">
        <v>69</v>
      </c>
      <c r="C884" s="50" t="s">
        <v>325</v>
      </c>
      <c r="D884" s="51">
        <v>19955</v>
      </c>
      <c r="E884" s="51">
        <v>1058989</v>
      </c>
      <c r="F884" s="52">
        <v>83928.1</v>
      </c>
      <c r="G884" s="53">
        <v>7.9253042000000002</v>
      </c>
    </row>
    <row r="885" spans="1:7">
      <c r="A885" s="50" t="s">
        <v>1047</v>
      </c>
      <c r="B885" s="50" t="s">
        <v>69</v>
      </c>
      <c r="C885" s="50" t="s">
        <v>240</v>
      </c>
      <c r="D885" s="51">
        <v>6607</v>
      </c>
      <c r="E885" s="51">
        <v>265681</v>
      </c>
      <c r="F885" s="52">
        <v>30695.4</v>
      </c>
      <c r="G885" s="53">
        <v>11.55348</v>
      </c>
    </row>
    <row r="886" spans="1:7">
      <c r="A886" s="50" t="s">
        <v>1048</v>
      </c>
      <c r="B886" s="50" t="s">
        <v>69</v>
      </c>
      <c r="C886" s="50" t="s">
        <v>325</v>
      </c>
      <c r="D886" s="51">
        <v>90951</v>
      </c>
      <c r="E886" s="51">
        <v>3234624</v>
      </c>
      <c r="F886" s="52">
        <v>236653</v>
      </c>
      <c r="G886" s="53">
        <v>7.3162444999999998</v>
      </c>
    </row>
    <row r="887" spans="1:7">
      <c r="A887" s="50" t="s">
        <v>1050</v>
      </c>
      <c r="B887" s="50" t="s">
        <v>69</v>
      </c>
      <c r="C887" s="50" t="s">
        <v>325</v>
      </c>
      <c r="D887" s="51">
        <v>24580</v>
      </c>
      <c r="E887" s="51">
        <v>944039</v>
      </c>
      <c r="F887" s="52">
        <v>75786.5</v>
      </c>
      <c r="G887" s="53">
        <v>8.0278992999999996</v>
      </c>
    </row>
    <row r="888" spans="1:7">
      <c r="A888" s="50" t="s">
        <v>1052</v>
      </c>
      <c r="B888" s="50" t="s">
        <v>69</v>
      </c>
      <c r="C888" s="50" t="s">
        <v>325</v>
      </c>
      <c r="D888" s="51">
        <v>8403</v>
      </c>
      <c r="E888" s="51">
        <v>362568</v>
      </c>
      <c r="F888" s="52">
        <v>29214</v>
      </c>
      <c r="G888" s="53">
        <v>8.0575229999999998</v>
      </c>
    </row>
    <row r="889" spans="1:7">
      <c r="A889" s="50" t="s">
        <v>1054</v>
      </c>
      <c r="B889" s="50" t="s">
        <v>69</v>
      </c>
      <c r="C889" s="50" t="s">
        <v>325</v>
      </c>
      <c r="D889" s="51">
        <v>390321</v>
      </c>
      <c r="E889" s="51">
        <v>11088938</v>
      </c>
      <c r="F889" s="52">
        <v>980478</v>
      </c>
      <c r="G889" s="53">
        <v>8.8419468000000006</v>
      </c>
    </row>
    <row r="890" spans="1:7">
      <c r="A890" s="50" t="s">
        <v>1056</v>
      </c>
      <c r="B890" s="50" t="s">
        <v>69</v>
      </c>
      <c r="C890" s="50" t="s">
        <v>325</v>
      </c>
      <c r="D890" s="51">
        <v>7596</v>
      </c>
      <c r="E890" s="51">
        <v>365792</v>
      </c>
      <c r="F890" s="52">
        <v>28992</v>
      </c>
      <c r="G890" s="53">
        <v>7.9258157999999996</v>
      </c>
    </row>
    <row r="891" spans="1:7">
      <c r="A891" s="50" t="s">
        <v>1060</v>
      </c>
      <c r="B891" s="50" t="s">
        <v>69</v>
      </c>
      <c r="C891" s="50" t="s">
        <v>325</v>
      </c>
      <c r="D891" s="51">
        <v>27263</v>
      </c>
      <c r="E891" s="51">
        <v>1059601</v>
      </c>
      <c r="F891" s="52">
        <v>91529.3</v>
      </c>
      <c r="G891" s="53">
        <v>8.6380911000000005</v>
      </c>
    </row>
    <row r="892" spans="1:7">
      <c r="A892" s="50" t="s">
        <v>1061</v>
      </c>
      <c r="B892" s="50" t="s">
        <v>69</v>
      </c>
      <c r="C892" s="50" t="s">
        <v>325</v>
      </c>
      <c r="D892" s="51">
        <v>6196</v>
      </c>
      <c r="E892" s="51">
        <v>227996</v>
      </c>
      <c r="F892" s="52">
        <v>22220</v>
      </c>
      <c r="G892" s="53">
        <v>9.7457849999999997</v>
      </c>
    </row>
    <row r="893" spans="1:7">
      <c r="A893" s="50" t="s">
        <v>357</v>
      </c>
      <c r="B893" s="50" t="s">
        <v>69</v>
      </c>
      <c r="C893" s="50" t="s">
        <v>295</v>
      </c>
      <c r="D893" s="51">
        <v>15</v>
      </c>
      <c r="E893" s="51">
        <v>161520</v>
      </c>
      <c r="F893" s="52">
        <v>3625.8</v>
      </c>
      <c r="G893" s="53">
        <v>2.2447993999999998</v>
      </c>
    </row>
    <row r="894" spans="1:7">
      <c r="A894" s="50" t="s">
        <v>420</v>
      </c>
      <c r="B894" s="50" t="s">
        <v>69</v>
      </c>
      <c r="C894" s="50" t="s">
        <v>240</v>
      </c>
      <c r="D894" s="51">
        <v>72</v>
      </c>
      <c r="E894" s="51">
        <v>5996</v>
      </c>
      <c r="F894" s="52">
        <v>873</v>
      </c>
      <c r="G894" s="53">
        <v>14.559706</v>
      </c>
    </row>
    <row r="895" spans="1:7">
      <c r="A895" s="50" t="s">
        <v>1821</v>
      </c>
      <c r="B895" s="50" t="s">
        <v>74</v>
      </c>
      <c r="C895" s="50" t="s">
        <v>332</v>
      </c>
      <c r="D895" s="51">
        <v>1</v>
      </c>
      <c r="E895" s="51">
        <v>2754</v>
      </c>
      <c r="F895" s="52">
        <v>239.4</v>
      </c>
      <c r="G895" s="53">
        <v>8.6928105000000002</v>
      </c>
    </row>
    <row r="896" spans="1:7">
      <c r="A896" s="50" t="s">
        <v>1976</v>
      </c>
      <c r="B896" s="50" t="s">
        <v>74</v>
      </c>
      <c r="C896" s="50" t="s">
        <v>237</v>
      </c>
      <c r="D896" s="51">
        <v>39733</v>
      </c>
      <c r="E896" s="51">
        <v>445902</v>
      </c>
      <c r="F896" s="52">
        <v>72163.100000000006</v>
      </c>
      <c r="G896" s="53">
        <v>16.183623000000001</v>
      </c>
    </row>
    <row r="897" spans="1:7">
      <c r="A897" s="50" t="s">
        <v>1066</v>
      </c>
      <c r="B897" s="50" t="s">
        <v>74</v>
      </c>
      <c r="C897" s="50" t="s">
        <v>240</v>
      </c>
      <c r="D897" s="51">
        <v>80355</v>
      </c>
      <c r="E897" s="51">
        <v>655657</v>
      </c>
      <c r="F897" s="52">
        <v>126491.9</v>
      </c>
      <c r="G897" s="53">
        <v>19.292389</v>
      </c>
    </row>
    <row r="898" spans="1:7">
      <c r="A898" s="50" t="s">
        <v>1067</v>
      </c>
      <c r="B898" s="50" t="s">
        <v>74</v>
      </c>
      <c r="C898" s="50" t="s">
        <v>237</v>
      </c>
      <c r="D898" s="51">
        <v>416372</v>
      </c>
      <c r="E898" s="51">
        <v>3577689</v>
      </c>
      <c r="F898" s="52">
        <v>629691</v>
      </c>
      <c r="G898" s="53">
        <v>17.600496</v>
      </c>
    </row>
    <row r="899" spans="1:7">
      <c r="A899" s="50" t="s">
        <v>343</v>
      </c>
      <c r="B899" s="50" t="s">
        <v>74</v>
      </c>
      <c r="C899" s="50" t="s">
        <v>332</v>
      </c>
      <c r="D899" s="51">
        <v>1205</v>
      </c>
      <c r="E899" s="51">
        <v>7618</v>
      </c>
      <c r="F899" s="52">
        <v>1266.2</v>
      </c>
      <c r="G899" s="53">
        <v>16.62116</v>
      </c>
    </row>
    <row r="900" spans="1:7">
      <c r="A900" s="50" t="s">
        <v>349</v>
      </c>
      <c r="B900" s="50" t="s">
        <v>74</v>
      </c>
      <c r="C900" s="50" t="s">
        <v>332</v>
      </c>
      <c r="D900" s="51">
        <v>1</v>
      </c>
      <c r="E900" s="51">
        <v>1</v>
      </c>
      <c r="F900" s="52">
        <v>0.1</v>
      </c>
      <c r="G900" s="53">
        <v>10</v>
      </c>
    </row>
    <row r="901" spans="1:7">
      <c r="A901" s="50" t="s">
        <v>350</v>
      </c>
      <c r="B901" s="50" t="s">
        <v>74</v>
      </c>
      <c r="C901" s="50" t="s">
        <v>332</v>
      </c>
      <c r="D901" s="51">
        <v>623</v>
      </c>
      <c r="E901" s="51">
        <v>4794</v>
      </c>
      <c r="F901" s="52">
        <v>872.6</v>
      </c>
      <c r="G901" s="53">
        <v>18.201919</v>
      </c>
    </row>
    <row r="902" spans="1:7">
      <c r="A902" s="50" t="s">
        <v>351</v>
      </c>
      <c r="B902" s="50" t="s">
        <v>74</v>
      </c>
      <c r="C902" s="50" t="s">
        <v>332</v>
      </c>
      <c r="D902" s="51">
        <v>1</v>
      </c>
      <c r="E902" s="51">
        <v>1156</v>
      </c>
      <c r="F902" s="52">
        <v>96.1</v>
      </c>
      <c r="G902" s="53">
        <v>8.3131488000000004</v>
      </c>
    </row>
    <row r="903" spans="1:7">
      <c r="A903" s="50" t="s">
        <v>1068</v>
      </c>
      <c r="B903" s="50" t="s">
        <v>74</v>
      </c>
      <c r="C903" s="50" t="s">
        <v>237</v>
      </c>
      <c r="D903" s="51">
        <v>70968</v>
      </c>
      <c r="E903" s="51">
        <v>690890</v>
      </c>
      <c r="F903" s="52">
        <v>122334</v>
      </c>
      <c r="G903" s="53">
        <v>17.706726</v>
      </c>
    </row>
    <row r="904" spans="1:7">
      <c r="A904" s="50" t="s">
        <v>358</v>
      </c>
      <c r="B904" s="50" t="s">
        <v>77</v>
      </c>
      <c r="C904" s="50" t="s">
        <v>332</v>
      </c>
      <c r="D904" s="51">
        <v>10</v>
      </c>
      <c r="E904" s="51">
        <v>1628</v>
      </c>
      <c r="F904" s="52">
        <v>124.2</v>
      </c>
      <c r="G904" s="53">
        <v>7.6289926000000001</v>
      </c>
    </row>
    <row r="905" spans="1:7">
      <c r="A905" s="50" t="s">
        <v>1069</v>
      </c>
      <c r="B905" s="50" t="s">
        <v>77</v>
      </c>
      <c r="C905" s="50" t="s">
        <v>237</v>
      </c>
      <c r="D905" s="51">
        <v>490831</v>
      </c>
      <c r="E905" s="51">
        <v>4804403</v>
      </c>
      <c r="F905" s="52">
        <v>827156</v>
      </c>
      <c r="G905" s="53">
        <v>17.216623999999999</v>
      </c>
    </row>
    <row r="906" spans="1:7">
      <c r="A906" s="50" t="s">
        <v>1072</v>
      </c>
      <c r="B906" s="50" t="s">
        <v>77</v>
      </c>
      <c r="C906" s="50" t="s">
        <v>242</v>
      </c>
      <c r="D906" s="51">
        <v>25659</v>
      </c>
      <c r="E906" s="51">
        <v>643210</v>
      </c>
      <c r="F906" s="52">
        <v>97659.1</v>
      </c>
      <c r="G906" s="53">
        <v>15.183082000000001</v>
      </c>
    </row>
    <row r="907" spans="1:7">
      <c r="A907" s="50" t="s">
        <v>331</v>
      </c>
      <c r="B907" s="50" t="s">
        <v>77</v>
      </c>
      <c r="C907" s="50" t="s">
        <v>332</v>
      </c>
      <c r="D907" s="51">
        <v>1</v>
      </c>
      <c r="E907" s="51">
        <v>1741</v>
      </c>
      <c r="F907" s="52">
        <v>222.2</v>
      </c>
      <c r="G907" s="53">
        <v>12.762779999999999</v>
      </c>
    </row>
    <row r="908" spans="1:7">
      <c r="A908" s="50" t="s">
        <v>338</v>
      </c>
      <c r="B908" s="50" t="s">
        <v>77</v>
      </c>
      <c r="C908" s="50" t="s">
        <v>332</v>
      </c>
      <c r="D908" s="51">
        <v>53</v>
      </c>
      <c r="E908" s="51">
        <v>940</v>
      </c>
      <c r="F908" s="52">
        <v>94.2</v>
      </c>
      <c r="G908" s="53">
        <v>10.021277</v>
      </c>
    </row>
    <row r="909" spans="1:7">
      <c r="A909" s="50" t="s">
        <v>1821</v>
      </c>
      <c r="B909" s="50" t="s">
        <v>77</v>
      </c>
      <c r="C909" s="50" t="s">
        <v>332</v>
      </c>
      <c r="D909" s="51">
        <v>3</v>
      </c>
      <c r="E909" s="51">
        <v>14962</v>
      </c>
      <c r="F909" s="52">
        <v>1224.5999999999999</v>
      </c>
      <c r="G909" s="53">
        <v>8.1847346999999999</v>
      </c>
    </row>
    <row r="910" spans="1:7">
      <c r="A910" s="50" t="s">
        <v>1073</v>
      </c>
      <c r="B910" s="50" t="s">
        <v>77</v>
      </c>
      <c r="C910" s="50" t="s">
        <v>237</v>
      </c>
      <c r="D910" s="51">
        <v>922521</v>
      </c>
      <c r="E910" s="51">
        <v>10443211</v>
      </c>
      <c r="F910" s="52">
        <v>1325478.3999999999</v>
      </c>
      <c r="G910" s="53">
        <v>12.69225</v>
      </c>
    </row>
    <row r="911" spans="1:7">
      <c r="A911" s="50" t="s">
        <v>339</v>
      </c>
      <c r="B911" s="50" t="s">
        <v>77</v>
      </c>
      <c r="C911" s="50" t="s">
        <v>332</v>
      </c>
      <c r="D911" s="51">
        <v>76</v>
      </c>
      <c r="E911" s="51">
        <v>9824</v>
      </c>
      <c r="F911" s="52">
        <v>1286.5999999999999</v>
      </c>
      <c r="G911" s="53">
        <v>13.096498</v>
      </c>
    </row>
    <row r="912" spans="1:7">
      <c r="A912" s="50" t="s">
        <v>1074</v>
      </c>
      <c r="B912" s="50" t="s">
        <v>77</v>
      </c>
      <c r="C912" s="50" t="s">
        <v>237</v>
      </c>
      <c r="D912" s="51">
        <v>2033058</v>
      </c>
      <c r="E912" s="51">
        <v>21835878</v>
      </c>
      <c r="F912" s="52">
        <v>3252673</v>
      </c>
      <c r="G912" s="53">
        <v>14.896003</v>
      </c>
    </row>
    <row r="913" spans="1:7">
      <c r="A913" s="50" t="s">
        <v>1075</v>
      </c>
      <c r="B913" s="50" t="s">
        <v>77</v>
      </c>
      <c r="C913" s="50" t="s">
        <v>237</v>
      </c>
      <c r="D913" s="51">
        <v>68395</v>
      </c>
      <c r="E913" s="51">
        <v>971606</v>
      </c>
      <c r="F913" s="52">
        <v>153600.1</v>
      </c>
      <c r="G913" s="53">
        <v>15.808888</v>
      </c>
    </row>
    <row r="914" spans="1:7">
      <c r="A914" s="50" t="s">
        <v>343</v>
      </c>
      <c r="B914" s="50" t="s">
        <v>77</v>
      </c>
      <c r="C914" s="50" t="s">
        <v>332</v>
      </c>
      <c r="D914" s="51">
        <v>10124</v>
      </c>
      <c r="E914" s="51">
        <v>78710</v>
      </c>
      <c r="F914" s="52">
        <v>12292.6</v>
      </c>
      <c r="G914" s="53">
        <v>15.617584000000001</v>
      </c>
    </row>
    <row r="915" spans="1:7">
      <c r="A915" s="50" t="s">
        <v>344</v>
      </c>
      <c r="B915" s="50" t="s">
        <v>77</v>
      </c>
      <c r="C915" s="50" t="s">
        <v>332</v>
      </c>
      <c r="D915" s="51">
        <v>2729</v>
      </c>
      <c r="E915" s="51">
        <v>22143</v>
      </c>
      <c r="F915" s="52">
        <v>3290</v>
      </c>
      <c r="G915" s="53">
        <v>14.857969000000001</v>
      </c>
    </row>
    <row r="916" spans="1:7">
      <c r="A916" s="50" t="s">
        <v>348</v>
      </c>
      <c r="B916" s="50" t="s">
        <v>77</v>
      </c>
      <c r="C916" s="50" t="s">
        <v>332</v>
      </c>
      <c r="D916" s="51">
        <v>4352</v>
      </c>
      <c r="E916" s="51">
        <v>37855</v>
      </c>
      <c r="F916" s="52">
        <v>6480</v>
      </c>
      <c r="G916" s="53">
        <v>17.11795</v>
      </c>
    </row>
    <row r="917" spans="1:7">
      <c r="A917" s="50" t="s">
        <v>349</v>
      </c>
      <c r="B917" s="50" t="s">
        <v>77</v>
      </c>
      <c r="C917" s="50" t="s">
        <v>332</v>
      </c>
      <c r="D917" s="51">
        <v>19724</v>
      </c>
      <c r="E917" s="51">
        <v>187317</v>
      </c>
      <c r="F917" s="52">
        <v>33605.9</v>
      </c>
      <c r="G917" s="53">
        <v>17.940657000000002</v>
      </c>
    </row>
    <row r="918" spans="1:7">
      <c r="A918" s="50" t="s">
        <v>350</v>
      </c>
      <c r="B918" s="50" t="s">
        <v>77</v>
      </c>
      <c r="C918" s="50" t="s">
        <v>332</v>
      </c>
      <c r="D918" s="51">
        <v>19369</v>
      </c>
      <c r="E918" s="51">
        <v>143942</v>
      </c>
      <c r="F918" s="52">
        <v>23215.8</v>
      </c>
      <c r="G918" s="53">
        <v>16.128579999999999</v>
      </c>
    </row>
    <row r="919" spans="1:7">
      <c r="A919" s="50" t="s">
        <v>351</v>
      </c>
      <c r="B919" s="50" t="s">
        <v>77</v>
      </c>
      <c r="C919" s="50" t="s">
        <v>332</v>
      </c>
      <c r="D919" s="51">
        <v>148</v>
      </c>
      <c r="E919" s="51">
        <v>45195</v>
      </c>
      <c r="F919" s="52">
        <v>5356.2</v>
      </c>
      <c r="G919" s="53">
        <v>11.851311000000001</v>
      </c>
    </row>
    <row r="920" spans="1:7">
      <c r="A920" s="50" t="s">
        <v>356</v>
      </c>
      <c r="B920" s="50" t="s">
        <v>77</v>
      </c>
      <c r="C920" s="50" t="s">
        <v>332</v>
      </c>
      <c r="D920" s="51">
        <v>16967</v>
      </c>
      <c r="E920" s="51">
        <v>100004</v>
      </c>
      <c r="F920" s="52">
        <v>13748.3</v>
      </c>
      <c r="G920" s="53">
        <v>13.74775</v>
      </c>
    </row>
    <row r="921" spans="1:7">
      <c r="A921" s="50" t="s">
        <v>1077</v>
      </c>
      <c r="B921" s="50" t="s">
        <v>80</v>
      </c>
      <c r="C921" s="50" t="s">
        <v>240</v>
      </c>
      <c r="D921" s="51">
        <v>18156</v>
      </c>
      <c r="E921" s="51">
        <v>228012</v>
      </c>
      <c r="F921" s="52">
        <v>36014</v>
      </c>
      <c r="G921" s="53">
        <v>15.794783000000001</v>
      </c>
    </row>
    <row r="922" spans="1:7">
      <c r="A922" s="50" t="s">
        <v>1078</v>
      </c>
      <c r="B922" s="50" t="s">
        <v>80</v>
      </c>
      <c r="C922" s="50" t="s">
        <v>240</v>
      </c>
      <c r="D922" s="51">
        <v>14897</v>
      </c>
      <c r="E922" s="51">
        <v>741215</v>
      </c>
      <c r="F922" s="52">
        <v>55379.4</v>
      </c>
      <c r="G922" s="53">
        <v>7.4714353999999998</v>
      </c>
    </row>
    <row r="923" spans="1:7">
      <c r="A923" s="50" t="s">
        <v>1079</v>
      </c>
      <c r="B923" s="50" t="s">
        <v>80</v>
      </c>
      <c r="C923" s="50" t="s">
        <v>242</v>
      </c>
      <c r="D923" s="51">
        <v>44713</v>
      </c>
      <c r="E923" s="51">
        <v>930019</v>
      </c>
      <c r="F923" s="52">
        <v>84798</v>
      </c>
      <c r="G923" s="53">
        <v>9.1178781999999998</v>
      </c>
    </row>
    <row r="924" spans="1:7">
      <c r="A924" s="50" t="s">
        <v>1081</v>
      </c>
      <c r="B924" s="50" t="s">
        <v>80</v>
      </c>
      <c r="C924" s="50" t="s">
        <v>240</v>
      </c>
      <c r="D924" s="51">
        <v>24559</v>
      </c>
      <c r="E924" s="51">
        <v>619392</v>
      </c>
      <c r="F924" s="52">
        <v>56353</v>
      </c>
      <c r="G924" s="53">
        <v>9.0981155999999999</v>
      </c>
    </row>
    <row r="925" spans="1:7">
      <c r="A925" s="50" t="s">
        <v>1082</v>
      </c>
      <c r="B925" s="50" t="s">
        <v>80</v>
      </c>
      <c r="C925" s="50" t="s">
        <v>237</v>
      </c>
      <c r="D925" s="51">
        <v>102145</v>
      </c>
      <c r="E925" s="51">
        <v>1705968</v>
      </c>
      <c r="F925" s="52">
        <v>166462</v>
      </c>
      <c r="G925" s="53">
        <v>9.7576272999999993</v>
      </c>
    </row>
    <row r="926" spans="1:7">
      <c r="A926" s="50" t="s">
        <v>1083</v>
      </c>
      <c r="B926" s="50" t="s">
        <v>80</v>
      </c>
      <c r="C926" s="50" t="s">
        <v>240</v>
      </c>
      <c r="D926" s="51">
        <v>13285</v>
      </c>
      <c r="E926" s="51">
        <v>401337</v>
      </c>
      <c r="F926" s="52">
        <v>38467.599999999999</v>
      </c>
      <c r="G926" s="53">
        <v>9.5848625999999992</v>
      </c>
    </row>
    <row r="927" spans="1:7">
      <c r="A927" s="50" t="s">
        <v>1084</v>
      </c>
      <c r="B927" s="50" t="s">
        <v>80</v>
      </c>
      <c r="C927" s="50" t="s">
        <v>240</v>
      </c>
      <c r="D927" s="51">
        <v>31163</v>
      </c>
      <c r="E927" s="51">
        <v>345162</v>
      </c>
      <c r="F927" s="52">
        <v>46192</v>
      </c>
      <c r="G927" s="53">
        <v>13.382701000000001</v>
      </c>
    </row>
    <row r="928" spans="1:7">
      <c r="A928" s="50" t="s">
        <v>1085</v>
      </c>
      <c r="B928" s="50" t="s">
        <v>80</v>
      </c>
      <c r="C928" s="50" t="s">
        <v>240</v>
      </c>
      <c r="D928" s="51">
        <v>29696</v>
      </c>
      <c r="E928" s="51">
        <v>264153</v>
      </c>
      <c r="F928" s="52">
        <v>46714</v>
      </c>
      <c r="G928" s="53">
        <v>17.684448</v>
      </c>
    </row>
    <row r="929" spans="1:7">
      <c r="A929" s="50" t="s">
        <v>1086</v>
      </c>
      <c r="B929" s="50" t="s">
        <v>80</v>
      </c>
      <c r="C929" s="50" t="s">
        <v>240</v>
      </c>
      <c r="D929" s="51">
        <v>11156</v>
      </c>
      <c r="E929" s="51">
        <v>709494</v>
      </c>
      <c r="F929" s="52">
        <v>49006</v>
      </c>
      <c r="G929" s="53">
        <v>6.9071761</v>
      </c>
    </row>
    <row r="930" spans="1:7">
      <c r="A930" s="50" t="s">
        <v>1087</v>
      </c>
      <c r="B930" s="50" t="s">
        <v>80</v>
      </c>
      <c r="C930" s="50" t="s">
        <v>242</v>
      </c>
      <c r="D930" s="51">
        <v>8884</v>
      </c>
      <c r="E930" s="51">
        <v>539291</v>
      </c>
      <c r="F930" s="52">
        <v>38912.6</v>
      </c>
      <c r="G930" s="53">
        <v>7.2155107000000003</v>
      </c>
    </row>
    <row r="931" spans="1:7">
      <c r="A931" s="50" t="s">
        <v>340</v>
      </c>
      <c r="B931" s="50" t="s">
        <v>80</v>
      </c>
      <c r="C931" s="50" t="s">
        <v>2</v>
      </c>
      <c r="D931" s="51">
        <v>10743</v>
      </c>
      <c r="E931" s="51">
        <v>134812</v>
      </c>
      <c r="F931" s="52">
        <v>18066</v>
      </c>
      <c r="G931" s="53">
        <v>13.400884</v>
      </c>
    </row>
    <row r="932" spans="1:7">
      <c r="A932" s="50" t="s">
        <v>341</v>
      </c>
      <c r="B932" s="50" t="s">
        <v>80</v>
      </c>
      <c r="C932" s="50" t="s">
        <v>240</v>
      </c>
      <c r="D932" s="51">
        <v>1594</v>
      </c>
      <c r="E932" s="51">
        <v>10942</v>
      </c>
      <c r="F932" s="52">
        <v>1346</v>
      </c>
      <c r="G932" s="53">
        <v>12.301225000000001</v>
      </c>
    </row>
    <row r="933" spans="1:7">
      <c r="A933" s="50" t="s">
        <v>1089</v>
      </c>
      <c r="B933" s="50" t="s">
        <v>80</v>
      </c>
      <c r="C933" s="50" t="s">
        <v>240</v>
      </c>
      <c r="D933" s="51">
        <v>19839</v>
      </c>
      <c r="E933" s="51">
        <v>193009</v>
      </c>
      <c r="F933" s="52">
        <v>34265.300000000003</v>
      </c>
      <c r="G933" s="53">
        <v>17.753214</v>
      </c>
    </row>
    <row r="934" spans="1:7">
      <c r="A934" s="50" t="s">
        <v>1090</v>
      </c>
      <c r="B934" s="50" t="s">
        <v>80</v>
      </c>
      <c r="C934" s="50" t="s">
        <v>237</v>
      </c>
      <c r="D934" s="51">
        <v>535206</v>
      </c>
      <c r="E934" s="51">
        <v>8945883</v>
      </c>
      <c r="F934" s="52">
        <v>1004991.9</v>
      </c>
      <c r="G934" s="53">
        <v>11.234127000000001</v>
      </c>
    </row>
    <row r="935" spans="1:7">
      <c r="A935" s="50" t="s">
        <v>1091</v>
      </c>
      <c r="B935" s="50" t="s">
        <v>80</v>
      </c>
      <c r="C935" s="50" t="s">
        <v>240</v>
      </c>
      <c r="D935" s="51">
        <v>328</v>
      </c>
      <c r="E935" s="51">
        <v>2977</v>
      </c>
      <c r="F935" s="52">
        <v>439.8</v>
      </c>
      <c r="G935" s="53">
        <v>14.773262000000001</v>
      </c>
    </row>
    <row r="936" spans="1:7">
      <c r="A936" s="50" t="s">
        <v>1092</v>
      </c>
      <c r="B936" s="50" t="s">
        <v>80</v>
      </c>
      <c r="C936" s="50" t="s">
        <v>240</v>
      </c>
      <c r="D936" s="51">
        <v>6066</v>
      </c>
      <c r="E936" s="51">
        <v>168171</v>
      </c>
      <c r="F936" s="52">
        <v>17055</v>
      </c>
      <c r="G936" s="53">
        <v>10.141463</v>
      </c>
    </row>
    <row r="937" spans="1:7">
      <c r="A937" s="50" t="s">
        <v>343</v>
      </c>
      <c r="B937" s="50" t="s">
        <v>80</v>
      </c>
      <c r="C937" s="50" t="s">
        <v>332</v>
      </c>
      <c r="D937" s="51">
        <v>1122</v>
      </c>
      <c r="E937" s="51">
        <v>14147</v>
      </c>
      <c r="F937" s="52">
        <v>1545.2</v>
      </c>
      <c r="G937" s="53">
        <v>10.922457</v>
      </c>
    </row>
    <row r="938" spans="1:7">
      <c r="A938" s="50" t="s">
        <v>416</v>
      </c>
      <c r="B938" s="50" t="s">
        <v>80</v>
      </c>
      <c r="C938" s="50" t="s">
        <v>240</v>
      </c>
      <c r="D938" s="51">
        <v>2206</v>
      </c>
      <c r="E938" s="51">
        <v>320233</v>
      </c>
      <c r="F938" s="52">
        <v>26941.7</v>
      </c>
      <c r="G938" s="53">
        <v>8.4131554000000008</v>
      </c>
    </row>
    <row r="939" spans="1:7">
      <c r="A939" s="50" t="s">
        <v>1095</v>
      </c>
      <c r="B939" s="50" t="s">
        <v>80</v>
      </c>
      <c r="C939" s="50" t="s">
        <v>237</v>
      </c>
      <c r="D939" s="51">
        <v>124121</v>
      </c>
      <c r="E939" s="51">
        <v>7287300</v>
      </c>
      <c r="F939" s="52">
        <v>453845.5</v>
      </c>
      <c r="G939" s="53">
        <v>6.2278964999999999</v>
      </c>
    </row>
    <row r="940" spans="1:7">
      <c r="A940" s="50" t="s">
        <v>1096</v>
      </c>
      <c r="B940" s="50" t="s">
        <v>80</v>
      </c>
      <c r="C940" s="50" t="s">
        <v>240</v>
      </c>
      <c r="D940" s="51">
        <v>3047</v>
      </c>
      <c r="E940" s="51">
        <v>228717</v>
      </c>
      <c r="F940" s="52">
        <v>19735</v>
      </c>
      <c r="G940" s="53">
        <v>8.6285672000000009</v>
      </c>
    </row>
    <row r="941" spans="1:7">
      <c r="A941" s="50" t="s">
        <v>349</v>
      </c>
      <c r="B941" s="50" t="s">
        <v>80</v>
      </c>
      <c r="C941" s="50" t="s">
        <v>332</v>
      </c>
      <c r="D941" s="51">
        <v>731</v>
      </c>
      <c r="E941" s="51">
        <v>7090</v>
      </c>
      <c r="F941" s="52">
        <v>1268.3</v>
      </c>
      <c r="G941" s="53">
        <v>17.888574999999999</v>
      </c>
    </row>
    <row r="942" spans="1:7">
      <c r="A942" s="50" t="s">
        <v>350</v>
      </c>
      <c r="B942" s="50" t="s">
        <v>80</v>
      </c>
      <c r="C942" s="50" t="s">
        <v>332</v>
      </c>
      <c r="D942" s="51">
        <v>1244</v>
      </c>
      <c r="E942" s="51">
        <v>9678</v>
      </c>
      <c r="F942" s="52">
        <v>1353.8</v>
      </c>
      <c r="G942" s="53">
        <v>13.988427</v>
      </c>
    </row>
    <row r="943" spans="1:7">
      <c r="A943" s="50" t="s">
        <v>1825</v>
      </c>
      <c r="B943" s="50" t="s">
        <v>80</v>
      </c>
      <c r="C943" s="50" t="s">
        <v>240</v>
      </c>
      <c r="D943" s="51">
        <v>6</v>
      </c>
      <c r="E943" s="51">
        <v>18</v>
      </c>
      <c r="F943" s="52">
        <v>3.9</v>
      </c>
      <c r="G943" s="53">
        <v>21.666667</v>
      </c>
    </row>
    <row r="944" spans="1:7">
      <c r="A944" s="50" t="s">
        <v>356</v>
      </c>
      <c r="B944" s="50" t="s">
        <v>80</v>
      </c>
      <c r="C944" s="50" t="s">
        <v>332</v>
      </c>
      <c r="D944" s="51">
        <v>2445</v>
      </c>
      <c r="E944" s="51">
        <v>17844</v>
      </c>
      <c r="F944" s="52">
        <v>2007.3</v>
      </c>
      <c r="G944" s="53">
        <v>11.249159000000001</v>
      </c>
    </row>
    <row r="945" spans="1:7">
      <c r="A945" s="50" t="s">
        <v>357</v>
      </c>
      <c r="B945" s="50" t="s">
        <v>80</v>
      </c>
      <c r="C945" s="50" t="s">
        <v>295</v>
      </c>
      <c r="D945" s="51">
        <v>5</v>
      </c>
      <c r="E945" s="51">
        <v>187457</v>
      </c>
      <c r="F945" s="52">
        <v>4924.2</v>
      </c>
      <c r="G945" s="53">
        <v>2.6268424000000001</v>
      </c>
    </row>
    <row r="946" spans="1:7">
      <c r="A946" s="50" t="s">
        <v>1097</v>
      </c>
      <c r="B946" s="50" t="s">
        <v>71</v>
      </c>
      <c r="C946" s="50" t="s">
        <v>242</v>
      </c>
      <c r="D946" s="51">
        <v>8102</v>
      </c>
      <c r="E946" s="51">
        <v>154341</v>
      </c>
      <c r="F946" s="52">
        <v>17007</v>
      </c>
      <c r="G946" s="53">
        <v>11.019107</v>
      </c>
    </row>
    <row r="947" spans="1:7">
      <c r="A947" s="50" t="s">
        <v>1098</v>
      </c>
      <c r="B947" s="50" t="s">
        <v>71</v>
      </c>
      <c r="C947" s="50" t="s">
        <v>2</v>
      </c>
      <c r="D947" s="51">
        <v>6</v>
      </c>
      <c r="E947" s="51">
        <v>628164</v>
      </c>
      <c r="F947" s="52">
        <v>16628.3</v>
      </c>
      <c r="G947" s="53">
        <v>2.6471271999999999</v>
      </c>
    </row>
    <row r="948" spans="1:7">
      <c r="A948" s="50" t="s">
        <v>338</v>
      </c>
      <c r="B948" s="50" t="s">
        <v>71</v>
      </c>
      <c r="C948" s="50" t="s">
        <v>332</v>
      </c>
      <c r="D948" s="51">
        <v>8</v>
      </c>
      <c r="E948" s="51">
        <v>43</v>
      </c>
      <c r="F948" s="52">
        <v>4.8</v>
      </c>
      <c r="G948" s="53">
        <v>11.162791</v>
      </c>
    </row>
    <row r="949" spans="1:7">
      <c r="A949" s="50" t="s">
        <v>1821</v>
      </c>
      <c r="B949" s="50" t="s">
        <v>71</v>
      </c>
      <c r="C949" s="50" t="s">
        <v>332</v>
      </c>
      <c r="D949" s="51">
        <v>1</v>
      </c>
      <c r="E949" s="51">
        <v>1689</v>
      </c>
      <c r="F949" s="52">
        <v>205.5</v>
      </c>
      <c r="G949" s="53">
        <v>12.166963000000001</v>
      </c>
    </row>
    <row r="950" spans="1:7">
      <c r="A950" s="50" t="s">
        <v>1100</v>
      </c>
      <c r="B950" s="50" t="s">
        <v>71</v>
      </c>
      <c r="C950" s="50" t="s">
        <v>240</v>
      </c>
      <c r="D950" s="51">
        <v>7519</v>
      </c>
      <c r="E950" s="51">
        <v>577224</v>
      </c>
      <c r="F950" s="52">
        <v>38094</v>
      </c>
      <c r="G950" s="53">
        <v>6.5995176999999998</v>
      </c>
    </row>
    <row r="951" spans="1:7">
      <c r="A951" s="50" t="s">
        <v>1101</v>
      </c>
      <c r="B951" s="50" t="s">
        <v>71</v>
      </c>
      <c r="C951" s="50" t="s">
        <v>237</v>
      </c>
      <c r="D951" s="51">
        <v>967407</v>
      </c>
      <c r="E951" s="51">
        <v>20144059</v>
      </c>
      <c r="F951" s="52">
        <v>2000174</v>
      </c>
      <c r="G951" s="53">
        <v>9.9293493999999995</v>
      </c>
    </row>
    <row r="952" spans="1:7">
      <c r="A952" s="50" t="s">
        <v>1102</v>
      </c>
      <c r="B952" s="50" t="s">
        <v>71</v>
      </c>
      <c r="C952" s="50" t="s">
        <v>325</v>
      </c>
      <c r="D952" s="51">
        <v>16578</v>
      </c>
      <c r="E952" s="51">
        <v>386475</v>
      </c>
      <c r="F952" s="52">
        <v>38154</v>
      </c>
      <c r="G952" s="53">
        <v>9.8723074000000004</v>
      </c>
    </row>
    <row r="953" spans="1:7">
      <c r="A953" s="50" t="s">
        <v>1832</v>
      </c>
      <c r="B953" s="50" t="s">
        <v>71</v>
      </c>
      <c r="C953" s="50" t="s">
        <v>240</v>
      </c>
      <c r="D953" s="51">
        <v>1788</v>
      </c>
      <c r="E953" s="51">
        <v>47648</v>
      </c>
      <c r="F953" s="52">
        <v>3618</v>
      </c>
      <c r="G953" s="53">
        <v>7.5931832999999997</v>
      </c>
    </row>
    <row r="954" spans="1:7">
      <c r="A954" s="50" t="s">
        <v>1103</v>
      </c>
      <c r="B954" s="50" t="s">
        <v>71</v>
      </c>
      <c r="C954" s="50" t="s">
        <v>237</v>
      </c>
      <c r="D954" s="51">
        <v>358669</v>
      </c>
      <c r="E954" s="51">
        <v>9208624</v>
      </c>
      <c r="F954" s="52">
        <v>677918</v>
      </c>
      <c r="G954" s="53">
        <v>7.3617730999999997</v>
      </c>
    </row>
    <row r="955" spans="1:7">
      <c r="A955" s="50" t="s">
        <v>343</v>
      </c>
      <c r="B955" s="50" t="s">
        <v>71</v>
      </c>
      <c r="C955" s="50" t="s">
        <v>332</v>
      </c>
      <c r="D955" s="51">
        <v>12393</v>
      </c>
      <c r="E955" s="51">
        <v>122821</v>
      </c>
      <c r="F955" s="52">
        <v>14178.6</v>
      </c>
      <c r="G955" s="53">
        <v>11.544117</v>
      </c>
    </row>
    <row r="956" spans="1:7">
      <c r="A956" s="50" t="s">
        <v>344</v>
      </c>
      <c r="B956" s="50" t="s">
        <v>71</v>
      </c>
      <c r="C956" s="50" t="s">
        <v>332</v>
      </c>
      <c r="D956" s="51">
        <v>105</v>
      </c>
      <c r="E956" s="51">
        <v>1199</v>
      </c>
      <c r="F956" s="52">
        <v>152</v>
      </c>
      <c r="G956" s="53">
        <v>12.677231000000001</v>
      </c>
    </row>
    <row r="957" spans="1:7">
      <c r="A957" s="50" t="s">
        <v>348</v>
      </c>
      <c r="B957" s="50" t="s">
        <v>71</v>
      </c>
      <c r="C957" s="50" t="s">
        <v>332</v>
      </c>
      <c r="D957" s="51">
        <v>722</v>
      </c>
      <c r="E957" s="51">
        <v>8494</v>
      </c>
      <c r="F957" s="52">
        <v>1198.3</v>
      </c>
      <c r="G957" s="53">
        <v>14.107605</v>
      </c>
    </row>
    <row r="958" spans="1:7">
      <c r="A958" s="50" t="s">
        <v>349</v>
      </c>
      <c r="B958" s="50" t="s">
        <v>71</v>
      </c>
      <c r="C958" s="50" t="s">
        <v>332</v>
      </c>
      <c r="D958" s="51">
        <v>2432</v>
      </c>
      <c r="E958" s="51">
        <v>26446</v>
      </c>
      <c r="F958" s="52">
        <v>4121.8999999999996</v>
      </c>
      <c r="G958" s="53">
        <v>15.5861</v>
      </c>
    </row>
    <row r="959" spans="1:7">
      <c r="A959" s="50" t="s">
        <v>350</v>
      </c>
      <c r="B959" s="50" t="s">
        <v>71</v>
      </c>
      <c r="C959" s="50" t="s">
        <v>332</v>
      </c>
      <c r="D959" s="51">
        <v>8713</v>
      </c>
      <c r="E959" s="51">
        <v>99611</v>
      </c>
      <c r="F959" s="52">
        <v>13192.3</v>
      </c>
      <c r="G959" s="53">
        <v>13.243817999999999</v>
      </c>
    </row>
    <row r="960" spans="1:7">
      <c r="A960" s="50" t="s">
        <v>388</v>
      </c>
      <c r="B960" s="50" t="s">
        <v>71</v>
      </c>
      <c r="C960" s="50" t="s">
        <v>240</v>
      </c>
      <c r="D960" s="51">
        <v>10</v>
      </c>
      <c r="E960" s="51">
        <v>118</v>
      </c>
      <c r="F960" s="52">
        <v>12</v>
      </c>
      <c r="G960" s="53">
        <v>10.169492</v>
      </c>
    </row>
    <row r="961" spans="1:7">
      <c r="A961" s="50" t="s">
        <v>390</v>
      </c>
      <c r="B961" s="50" t="s">
        <v>71</v>
      </c>
      <c r="C961" s="50" t="s">
        <v>240</v>
      </c>
      <c r="D961" s="51">
        <v>23302</v>
      </c>
      <c r="E961" s="51">
        <v>547944</v>
      </c>
      <c r="F961" s="52">
        <v>66214.899999999994</v>
      </c>
      <c r="G961" s="53">
        <v>12.084246</v>
      </c>
    </row>
    <row r="962" spans="1:7">
      <c r="A962" s="50" t="s">
        <v>356</v>
      </c>
      <c r="B962" s="50" t="s">
        <v>71</v>
      </c>
      <c r="C962" s="50" t="s">
        <v>332</v>
      </c>
      <c r="D962" s="51">
        <v>3147</v>
      </c>
      <c r="E962" s="51">
        <v>30108</v>
      </c>
      <c r="F962" s="52">
        <v>3406</v>
      </c>
      <c r="G962" s="53">
        <v>11.312608000000001</v>
      </c>
    </row>
    <row r="963" spans="1:7">
      <c r="A963" s="50" t="s">
        <v>357</v>
      </c>
      <c r="B963" s="50" t="s">
        <v>71</v>
      </c>
      <c r="C963" s="50" t="s">
        <v>295</v>
      </c>
      <c r="D963" s="51">
        <v>3</v>
      </c>
      <c r="E963" s="51">
        <v>26805</v>
      </c>
      <c r="F963" s="52">
        <v>360.5</v>
      </c>
      <c r="G963" s="53">
        <v>1.3448983000000001</v>
      </c>
    </row>
    <row r="964" spans="1:7">
      <c r="A964" s="50" t="s">
        <v>1104</v>
      </c>
      <c r="B964" s="50" t="s">
        <v>71</v>
      </c>
      <c r="C964" s="50" t="s">
        <v>240</v>
      </c>
      <c r="D964" s="51">
        <v>5609</v>
      </c>
      <c r="E964" s="51">
        <v>745297</v>
      </c>
      <c r="F964" s="52">
        <v>41477.300000000003</v>
      </c>
      <c r="G964" s="53">
        <v>5.5652042000000002</v>
      </c>
    </row>
    <row r="965" spans="1:7">
      <c r="A965" s="50" t="s">
        <v>1105</v>
      </c>
      <c r="B965" s="50" t="s">
        <v>82</v>
      </c>
      <c r="C965" s="50" t="s">
        <v>237</v>
      </c>
      <c r="D965" s="51">
        <v>244944</v>
      </c>
      <c r="E965" s="51">
        <v>2584095</v>
      </c>
      <c r="F965" s="52">
        <v>416744</v>
      </c>
      <c r="G965" s="53">
        <v>16.127271</v>
      </c>
    </row>
    <row r="966" spans="1:7">
      <c r="A966" s="50" t="s">
        <v>1106</v>
      </c>
      <c r="B966" s="50" t="s">
        <v>82</v>
      </c>
      <c r="C966" s="50" t="s">
        <v>242</v>
      </c>
      <c r="D966" s="51">
        <v>10141</v>
      </c>
      <c r="E966" s="51">
        <v>469973</v>
      </c>
      <c r="F966" s="52">
        <v>18330.2</v>
      </c>
      <c r="G966" s="53">
        <v>3.9002666000000001</v>
      </c>
    </row>
    <row r="967" spans="1:7">
      <c r="A967" s="50" t="s">
        <v>1108</v>
      </c>
      <c r="B967" s="50" t="s">
        <v>82</v>
      </c>
      <c r="C967" s="50" t="s">
        <v>237</v>
      </c>
      <c r="D967" s="51">
        <v>2827709</v>
      </c>
      <c r="E967" s="51">
        <v>20544059</v>
      </c>
      <c r="F967" s="52">
        <v>4804476</v>
      </c>
      <c r="G967" s="53">
        <v>23.386206000000001</v>
      </c>
    </row>
    <row r="968" spans="1:7">
      <c r="A968" s="50" t="s">
        <v>1109</v>
      </c>
      <c r="B968" s="50" t="s">
        <v>82</v>
      </c>
      <c r="C968" s="50" t="s">
        <v>237</v>
      </c>
      <c r="D968" s="51">
        <v>761</v>
      </c>
      <c r="E968" s="51">
        <v>6675</v>
      </c>
      <c r="F968" s="52">
        <v>1939.7</v>
      </c>
      <c r="G968" s="53">
        <v>29.059176000000001</v>
      </c>
    </row>
    <row r="969" spans="1:7">
      <c r="A969" s="50" t="s">
        <v>338</v>
      </c>
      <c r="B969" s="50" t="s">
        <v>82</v>
      </c>
      <c r="C969" s="50" t="s">
        <v>332</v>
      </c>
      <c r="D969" s="51">
        <v>47</v>
      </c>
      <c r="E969" s="51">
        <v>574</v>
      </c>
      <c r="F969" s="52">
        <v>86.4</v>
      </c>
      <c r="G969" s="53">
        <v>15.052265</v>
      </c>
    </row>
    <row r="970" spans="1:7">
      <c r="A970" s="50" t="s">
        <v>1821</v>
      </c>
      <c r="B970" s="50" t="s">
        <v>82</v>
      </c>
      <c r="C970" s="50" t="s">
        <v>332</v>
      </c>
      <c r="D970" s="51">
        <v>2</v>
      </c>
      <c r="E970" s="51">
        <v>14790</v>
      </c>
      <c r="F970" s="52">
        <v>1520.4</v>
      </c>
      <c r="G970" s="53">
        <v>10.279919</v>
      </c>
    </row>
    <row r="971" spans="1:7">
      <c r="A971" s="50" t="s">
        <v>1110</v>
      </c>
      <c r="B971" s="50" t="s">
        <v>82</v>
      </c>
      <c r="C971" s="50" t="s">
        <v>242</v>
      </c>
      <c r="D971" s="51">
        <v>18976</v>
      </c>
      <c r="E971" s="51">
        <v>404926</v>
      </c>
      <c r="F971" s="52">
        <v>33733</v>
      </c>
      <c r="G971" s="53">
        <v>8.3306579000000003</v>
      </c>
    </row>
    <row r="972" spans="1:7">
      <c r="A972" s="50" t="s">
        <v>1112</v>
      </c>
      <c r="B972" s="50" t="s">
        <v>82</v>
      </c>
      <c r="C972" s="50" t="s">
        <v>2</v>
      </c>
      <c r="D972" s="51">
        <v>1142119</v>
      </c>
      <c r="E972" s="51">
        <v>18080399</v>
      </c>
      <c r="F972" s="52">
        <v>3619477.1</v>
      </c>
      <c r="G972" s="53">
        <v>20.018789999999999</v>
      </c>
    </row>
    <row r="973" spans="1:7">
      <c r="A973" s="50" t="s">
        <v>339</v>
      </c>
      <c r="B973" s="50" t="s">
        <v>82</v>
      </c>
      <c r="C973" s="50" t="s">
        <v>332</v>
      </c>
      <c r="D973" s="51">
        <v>3</v>
      </c>
      <c r="E973" s="51">
        <v>1118</v>
      </c>
      <c r="F973" s="52">
        <v>203.8</v>
      </c>
      <c r="G973" s="53">
        <v>18.22898</v>
      </c>
    </row>
    <row r="974" spans="1:7">
      <c r="A974" s="50" t="s">
        <v>1113</v>
      </c>
      <c r="B974" s="50" t="s">
        <v>82</v>
      </c>
      <c r="C974" s="50" t="s">
        <v>237</v>
      </c>
      <c r="D974" s="51">
        <v>736407</v>
      </c>
      <c r="E974" s="51">
        <v>7459396</v>
      </c>
      <c r="F974" s="52">
        <v>825018</v>
      </c>
      <c r="G974" s="53">
        <v>11.060117999999999</v>
      </c>
    </row>
    <row r="975" spans="1:7">
      <c r="A975" s="50" t="s">
        <v>1114</v>
      </c>
      <c r="B975" s="50" t="s">
        <v>82</v>
      </c>
      <c r="C975" s="50" t="s">
        <v>237</v>
      </c>
      <c r="D975" s="51">
        <v>1421431</v>
      </c>
      <c r="E975" s="51">
        <v>14582571</v>
      </c>
      <c r="F975" s="52">
        <v>1635889.8</v>
      </c>
      <c r="G975" s="53">
        <v>11.218116</v>
      </c>
    </row>
    <row r="976" spans="1:7">
      <c r="A976" s="50" t="s">
        <v>1116</v>
      </c>
      <c r="B976" s="50" t="s">
        <v>82</v>
      </c>
      <c r="C976" s="50" t="s">
        <v>237</v>
      </c>
      <c r="D976" s="51">
        <v>160614</v>
      </c>
      <c r="E976" s="51">
        <v>1742964</v>
      </c>
      <c r="F976" s="52">
        <v>288245</v>
      </c>
      <c r="G976" s="53">
        <v>16.537634000000001</v>
      </c>
    </row>
    <row r="977" spans="1:7">
      <c r="A977" s="50" t="s">
        <v>1117</v>
      </c>
      <c r="B977" s="50" t="s">
        <v>82</v>
      </c>
      <c r="C977" s="50" t="s">
        <v>237</v>
      </c>
      <c r="D977" s="51">
        <v>3680</v>
      </c>
      <c r="E977" s="51">
        <v>49840</v>
      </c>
      <c r="F977" s="52">
        <v>4697.3999999999996</v>
      </c>
      <c r="G977" s="53">
        <v>9.4249598999999993</v>
      </c>
    </row>
    <row r="978" spans="1:7">
      <c r="A978" s="50" t="s">
        <v>1118</v>
      </c>
      <c r="B978" s="50" t="s">
        <v>82</v>
      </c>
      <c r="C978" s="50" t="s">
        <v>237</v>
      </c>
      <c r="D978" s="51">
        <v>326373</v>
      </c>
      <c r="E978" s="51">
        <v>3147878</v>
      </c>
      <c r="F978" s="52">
        <v>384897.4</v>
      </c>
      <c r="G978" s="53">
        <v>12.227202</v>
      </c>
    </row>
    <row r="979" spans="1:7">
      <c r="A979" s="50" t="s">
        <v>343</v>
      </c>
      <c r="B979" s="50" t="s">
        <v>82</v>
      </c>
      <c r="C979" s="50" t="s">
        <v>332</v>
      </c>
      <c r="D979" s="51">
        <v>17155</v>
      </c>
      <c r="E979" s="51">
        <v>137425</v>
      </c>
      <c r="F979" s="52">
        <v>21692</v>
      </c>
      <c r="G979" s="53">
        <v>15.784610000000001</v>
      </c>
    </row>
    <row r="980" spans="1:7">
      <c r="A980" s="50" t="s">
        <v>344</v>
      </c>
      <c r="B980" s="50" t="s">
        <v>82</v>
      </c>
      <c r="C980" s="50" t="s">
        <v>332</v>
      </c>
      <c r="D980" s="51">
        <v>1643</v>
      </c>
      <c r="E980" s="51">
        <v>10772</v>
      </c>
      <c r="F980" s="52">
        <v>1906</v>
      </c>
      <c r="G980" s="53">
        <v>17.694022</v>
      </c>
    </row>
    <row r="981" spans="1:7">
      <c r="A981" s="50" t="s">
        <v>348</v>
      </c>
      <c r="B981" s="50" t="s">
        <v>82</v>
      </c>
      <c r="C981" s="50" t="s">
        <v>332</v>
      </c>
      <c r="D981" s="51">
        <v>8493</v>
      </c>
      <c r="E981" s="51">
        <v>72971</v>
      </c>
      <c r="F981" s="52">
        <v>14388.2</v>
      </c>
      <c r="G981" s="53">
        <v>19.717696</v>
      </c>
    </row>
    <row r="982" spans="1:7">
      <c r="A982" s="50" t="s">
        <v>349</v>
      </c>
      <c r="B982" s="50" t="s">
        <v>82</v>
      </c>
      <c r="C982" s="50" t="s">
        <v>332</v>
      </c>
      <c r="D982" s="51">
        <v>3795</v>
      </c>
      <c r="E982" s="51">
        <v>30668</v>
      </c>
      <c r="F982" s="52">
        <v>7317.5</v>
      </c>
      <c r="G982" s="53">
        <v>23.860375999999999</v>
      </c>
    </row>
    <row r="983" spans="1:7">
      <c r="A983" s="50" t="s">
        <v>350</v>
      </c>
      <c r="B983" s="50" t="s">
        <v>82</v>
      </c>
      <c r="C983" s="50" t="s">
        <v>332</v>
      </c>
      <c r="D983" s="51">
        <v>18873</v>
      </c>
      <c r="E983" s="51">
        <v>117842</v>
      </c>
      <c r="F983" s="52">
        <v>23564.7</v>
      </c>
      <c r="G983" s="53">
        <v>19.996860000000002</v>
      </c>
    </row>
    <row r="984" spans="1:7">
      <c r="A984" s="50" t="s">
        <v>351</v>
      </c>
      <c r="B984" s="50" t="s">
        <v>82</v>
      </c>
      <c r="C984" s="50" t="s">
        <v>332</v>
      </c>
      <c r="D984" s="51">
        <v>6</v>
      </c>
      <c r="E984" s="51">
        <v>1696</v>
      </c>
      <c r="F984" s="52">
        <v>220.5</v>
      </c>
      <c r="G984" s="53">
        <v>13.001179</v>
      </c>
    </row>
    <row r="985" spans="1:7">
      <c r="A985" s="50" t="s">
        <v>1120</v>
      </c>
      <c r="B985" s="50" t="s">
        <v>82</v>
      </c>
      <c r="C985" s="50" t="s">
        <v>242</v>
      </c>
      <c r="D985" s="51">
        <v>9337</v>
      </c>
      <c r="E985" s="51">
        <v>196535</v>
      </c>
      <c r="F985" s="52">
        <v>9996.9</v>
      </c>
      <c r="G985" s="53">
        <v>5.0865748999999996</v>
      </c>
    </row>
    <row r="986" spans="1:7">
      <c r="A986" s="50" t="s">
        <v>1122</v>
      </c>
      <c r="B986" s="50" t="s">
        <v>82</v>
      </c>
      <c r="C986" s="50" t="s">
        <v>242</v>
      </c>
      <c r="D986" s="51">
        <v>17766</v>
      </c>
      <c r="E986" s="51">
        <v>419515</v>
      </c>
      <c r="F986" s="52">
        <v>23454.2</v>
      </c>
      <c r="G986" s="53">
        <v>5.5907894000000002</v>
      </c>
    </row>
    <row r="987" spans="1:7">
      <c r="A987" s="50" t="s">
        <v>1123</v>
      </c>
      <c r="B987" s="50" t="s">
        <v>82</v>
      </c>
      <c r="C987" s="50" t="s">
        <v>242</v>
      </c>
      <c r="D987" s="51">
        <v>15169</v>
      </c>
      <c r="E987" s="51">
        <v>248849</v>
      </c>
      <c r="F987" s="52">
        <v>31193</v>
      </c>
      <c r="G987" s="53">
        <v>12.534910999999999</v>
      </c>
    </row>
    <row r="988" spans="1:7">
      <c r="A988" s="50" t="s">
        <v>1126</v>
      </c>
      <c r="B988" s="50" t="s">
        <v>82</v>
      </c>
      <c r="C988" s="50" t="s">
        <v>242</v>
      </c>
      <c r="D988" s="51">
        <v>5163</v>
      </c>
      <c r="E988" s="51">
        <v>543085</v>
      </c>
      <c r="F988" s="52">
        <v>25632.9</v>
      </c>
      <c r="G988" s="53">
        <v>4.7198688999999998</v>
      </c>
    </row>
    <row r="989" spans="1:7">
      <c r="A989" s="50" t="s">
        <v>356</v>
      </c>
      <c r="B989" s="50" t="s">
        <v>82</v>
      </c>
      <c r="C989" s="50" t="s">
        <v>332</v>
      </c>
      <c r="D989" s="51">
        <v>14007</v>
      </c>
      <c r="E989" s="51">
        <v>88079</v>
      </c>
      <c r="F989" s="52">
        <v>14022.9</v>
      </c>
      <c r="G989" s="53">
        <v>15.920821</v>
      </c>
    </row>
    <row r="990" spans="1:7">
      <c r="A990" s="50" t="s">
        <v>1128</v>
      </c>
      <c r="B990" s="50" t="s">
        <v>91</v>
      </c>
      <c r="C990" s="50" t="s">
        <v>240</v>
      </c>
      <c r="D990" s="51">
        <v>18550</v>
      </c>
      <c r="E990" s="51">
        <v>240795</v>
      </c>
      <c r="F990" s="52">
        <v>38952.5</v>
      </c>
      <c r="G990" s="53">
        <v>16.176622999999999</v>
      </c>
    </row>
    <row r="991" spans="1:7">
      <c r="A991" s="50" t="s">
        <v>1129</v>
      </c>
      <c r="B991" s="50" t="s">
        <v>91</v>
      </c>
      <c r="C991" s="50" t="s">
        <v>240</v>
      </c>
      <c r="D991" s="51">
        <v>11548</v>
      </c>
      <c r="E991" s="51">
        <v>210088</v>
      </c>
      <c r="F991" s="52">
        <v>32977</v>
      </c>
      <c r="G991" s="53">
        <v>15.696756000000001</v>
      </c>
    </row>
    <row r="992" spans="1:7">
      <c r="A992" s="50" t="s">
        <v>1132</v>
      </c>
      <c r="B992" s="50" t="s">
        <v>91</v>
      </c>
      <c r="C992" s="50" t="s">
        <v>242</v>
      </c>
      <c r="D992" s="51">
        <v>14755</v>
      </c>
      <c r="E992" s="51">
        <v>483454</v>
      </c>
      <c r="F992" s="52">
        <v>56697</v>
      </c>
      <c r="G992" s="53">
        <v>11.727486000000001</v>
      </c>
    </row>
    <row r="993" spans="1:7">
      <c r="A993" s="50" t="s">
        <v>1134</v>
      </c>
      <c r="B993" s="50" t="s">
        <v>91</v>
      </c>
      <c r="C993" s="50" t="s">
        <v>242</v>
      </c>
      <c r="D993" s="51">
        <v>7906</v>
      </c>
      <c r="E993" s="51">
        <v>239968</v>
      </c>
      <c r="F993" s="52">
        <v>24384</v>
      </c>
      <c r="G993" s="53">
        <v>10.161355</v>
      </c>
    </row>
    <row r="994" spans="1:7">
      <c r="A994" s="50" t="s">
        <v>1135</v>
      </c>
      <c r="B994" s="50" t="s">
        <v>91</v>
      </c>
      <c r="C994" s="50" t="s">
        <v>242</v>
      </c>
      <c r="D994" s="51">
        <v>74400</v>
      </c>
      <c r="E994" s="51">
        <v>1528964</v>
      </c>
      <c r="F994" s="52">
        <v>195496</v>
      </c>
      <c r="G994" s="53">
        <v>12.786174000000001</v>
      </c>
    </row>
    <row r="995" spans="1:7">
      <c r="A995" s="50" t="s">
        <v>1136</v>
      </c>
      <c r="B995" s="50" t="s">
        <v>91</v>
      </c>
      <c r="C995" s="50" t="s">
        <v>242</v>
      </c>
      <c r="D995" s="51">
        <v>16465</v>
      </c>
      <c r="E995" s="51">
        <v>796873</v>
      </c>
      <c r="F995" s="52">
        <v>85226.4</v>
      </c>
      <c r="G995" s="53">
        <v>10.695104000000001</v>
      </c>
    </row>
    <row r="996" spans="1:7">
      <c r="A996" s="50" t="s">
        <v>1137</v>
      </c>
      <c r="B996" s="50" t="s">
        <v>91</v>
      </c>
      <c r="C996" s="50" t="s">
        <v>242</v>
      </c>
      <c r="D996" s="51">
        <v>26003</v>
      </c>
      <c r="E996" s="51">
        <v>402639</v>
      </c>
      <c r="F996" s="52">
        <v>51249.599999999999</v>
      </c>
      <c r="G996" s="53">
        <v>12.728424</v>
      </c>
    </row>
    <row r="997" spans="1:7">
      <c r="A997" s="50" t="s">
        <v>1138</v>
      </c>
      <c r="B997" s="50" t="s">
        <v>91</v>
      </c>
      <c r="C997" s="50" t="s">
        <v>242</v>
      </c>
      <c r="D997" s="51">
        <v>6829</v>
      </c>
      <c r="E997" s="51">
        <v>216891</v>
      </c>
      <c r="F997" s="52">
        <v>28077</v>
      </c>
      <c r="G997" s="53">
        <v>12.945212</v>
      </c>
    </row>
    <row r="998" spans="1:7">
      <c r="A998" s="50" t="s">
        <v>1140</v>
      </c>
      <c r="B998" s="50" t="s">
        <v>91</v>
      </c>
      <c r="C998" s="50" t="s">
        <v>242</v>
      </c>
      <c r="D998" s="51">
        <v>29491</v>
      </c>
      <c r="E998" s="51">
        <v>547178</v>
      </c>
      <c r="F998" s="52">
        <v>72411</v>
      </c>
      <c r="G998" s="53">
        <v>13.233536000000001</v>
      </c>
    </row>
    <row r="999" spans="1:7">
      <c r="A999" s="50" t="s">
        <v>1143</v>
      </c>
      <c r="B999" s="50" t="s">
        <v>91</v>
      </c>
      <c r="C999" s="50" t="s">
        <v>242</v>
      </c>
      <c r="D999" s="51">
        <v>9392</v>
      </c>
      <c r="E999" s="51">
        <v>349424</v>
      </c>
      <c r="F999" s="52">
        <v>30445</v>
      </c>
      <c r="G999" s="53">
        <v>8.7129104000000002</v>
      </c>
    </row>
    <row r="1000" spans="1:7">
      <c r="A1000" s="50" t="s">
        <v>2038</v>
      </c>
      <c r="B1000" s="50" t="s">
        <v>91</v>
      </c>
      <c r="C1000" s="50" t="s">
        <v>242</v>
      </c>
      <c r="D1000" s="51">
        <v>12694</v>
      </c>
      <c r="E1000" s="51">
        <v>233316</v>
      </c>
      <c r="F1000" s="52">
        <v>18931</v>
      </c>
      <c r="G1000" s="53">
        <v>8.1138884999999998</v>
      </c>
    </row>
    <row r="1001" spans="1:7">
      <c r="A1001" s="50" t="s">
        <v>1146</v>
      </c>
      <c r="B1001" s="50" t="s">
        <v>91</v>
      </c>
      <c r="C1001" s="50" t="s">
        <v>242</v>
      </c>
      <c r="D1001" s="51">
        <v>7444</v>
      </c>
      <c r="E1001" s="51">
        <v>280791</v>
      </c>
      <c r="F1001" s="52">
        <v>28885</v>
      </c>
      <c r="G1001" s="53">
        <v>10.287011</v>
      </c>
    </row>
    <row r="1002" spans="1:7">
      <c r="A1002" s="50" t="s">
        <v>1147</v>
      </c>
      <c r="B1002" s="50" t="s">
        <v>91</v>
      </c>
      <c r="C1002" s="50" t="s">
        <v>242</v>
      </c>
      <c r="D1002" s="51">
        <v>12523</v>
      </c>
      <c r="E1002" s="51">
        <v>218358</v>
      </c>
      <c r="F1002" s="52">
        <v>29106.3</v>
      </c>
      <c r="G1002" s="53">
        <v>13.329624000000001</v>
      </c>
    </row>
    <row r="1003" spans="1:7">
      <c r="A1003" s="50" t="s">
        <v>1148</v>
      </c>
      <c r="B1003" s="50" t="s">
        <v>91</v>
      </c>
      <c r="C1003" s="50" t="s">
        <v>242</v>
      </c>
      <c r="D1003" s="51">
        <v>10809</v>
      </c>
      <c r="E1003" s="51">
        <v>285883</v>
      </c>
      <c r="F1003" s="52">
        <v>27306.9</v>
      </c>
      <c r="G1003" s="53">
        <v>9.5517746999999993</v>
      </c>
    </row>
    <row r="1004" spans="1:7">
      <c r="A1004" s="50" t="s">
        <v>1150</v>
      </c>
      <c r="B1004" s="50" t="s">
        <v>91</v>
      </c>
      <c r="C1004" s="50" t="s">
        <v>242</v>
      </c>
      <c r="D1004" s="51">
        <v>4222</v>
      </c>
      <c r="E1004" s="51">
        <v>187225</v>
      </c>
      <c r="F1004" s="52">
        <v>19166.099999999999</v>
      </c>
      <c r="G1004" s="53">
        <v>10.236934</v>
      </c>
    </row>
    <row r="1005" spans="1:7">
      <c r="A1005" s="50" t="s">
        <v>1152</v>
      </c>
      <c r="B1005" s="50" t="s">
        <v>91</v>
      </c>
      <c r="C1005" s="50" t="s">
        <v>242</v>
      </c>
      <c r="D1005" s="51">
        <v>13214</v>
      </c>
      <c r="E1005" s="51">
        <v>269500</v>
      </c>
      <c r="F1005" s="52">
        <v>25103</v>
      </c>
      <c r="G1005" s="53">
        <v>9.3146567999999998</v>
      </c>
    </row>
    <row r="1006" spans="1:7">
      <c r="A1006" s="50" t="s">
        <v>1153</v>
      </c>
      <c r="B1006" s="50" t="s">
        <v>91</v>
      </c>
      <c r="C1006" s="50" t="s">
        <v>242</v>
      </c>
      <c r="D1006" s="51">
        <v>5861</v>
      </c>
      <c r="E1006" s="51">
        <v>148831</v>
      </c>
      <c r="F1006" s="52">
        <v>18605</v>
      </c>
      <c r="G1006" s="53">
        <v>12.500756000000001</v>
      </c>
    </row>
    <row r="1007" spans="1:7">
      <c r="A1007" s="50" t="s">
        <v>1154</v>
      </c>
      <c r="B1007" s="50" t="s">
        <v>91</v>
      </c>
      <c r="C1007" s="50" t="s">
        <v>242</v>
      </c>
      <c r="D1007" s="51">
        <v>17765</v>
      </c>
      <c r="E1007" s="51">
        <v>467626</v>
      </c>
      <c r="F1007" s="52">
        <v>49446</v>
      </c>
      <c r="G1007" s="53">
        <v>10.573835000000001</v>
      </c>
    </row>
    <row r="1008" spans="1:7">
      <c r="A1008" s="50" t="s">
        <v>1155</v>
      </c>
      <c r="B1008" s="50" t="s">
        <v>91</v>
      </c>
      <c r="C1008" s="50" t="s">
        <v>237</v>
      </c>
      <c r="D1008" s="51">
        <v>182430</v>
      </c>
      <c r="E1008" s="51">
        <v>2046855</v>
      </c>
      <c r="F1008" s="52">
        <v>231335</v>
      </c>
      <c r="G1008" s="53">
        <v>11.301973</v>
      </c>
    </row>
    <row r="1009" spans="1:7">
      <c r="A1009" s="50" t="s">
        <v>1156</v>
      </c>
      <c r="B1009" s="50" t="s">
        <v>91</v>
      </c>
      <c r="C1009" s="50" t="s">
        <v>242</v>
      </c>
      <c r="D1009" s="51">
        <v>3079</v>
      </c>
      <c r="E1009" s="51">
        <v>194949</v>
      </c>
      <c r="F1009" s="52">
        <v>17813</v>
      </c>
      <c r="G1009" s="53">
        <v>9.1372614999999993</v>
      </c>
    </row>
    <row r="1010" spans="1:7">
      <c r="A1010" s="50" t="s">
        <v>1157</v>
      </c>
      <c r="B1010" s="50" t="s">
        <v>91</v>
      </c>
      <c r="C1010" s="50" t="s">
        <v>240</v>
      </c>
      <c r="D1010" s="51">
        <v>17999</v>
      </c>
      <c r="E1010" s="51">
        <v>396527</v>
      </c>
      <c r="F1010" s="52">
        <v>51189</v>
      </c>
      <c r="G1010" s="53">
        <v>12.909335</v>
      </c>
    </row>
    <row r="1011" spans="1:7">
      <c r="A1011" s="50" t="s">
        <v>1159</v>
      </c>
      <c r="B1011" s="50" t="s">
        <v>91</v>
      </c>
      <c r="C1011" s="50" t="s">
        <v>237</v>
      </c>
      <c r="D1011" s="51">
        <v>273970</v>
      </c>
      <c r="E1011" s="51">
        <v>3870133</v>
      </c>
      <c r="F1011" s="52">
        <v>352426</v>
      </c>
      <c r="G1011" s="53">
        <v>9.1063019999999995</v>
      </c>
    </row>
    <row r="1012" spans="1:7">
      <c r="A1012" s="50" t="s">
        <v>1160</v>
      </c>
      <c r="B1012" s="50" t="s">
        <v>91</v>
      </c>
      <c r="C1012" s="50" t="s">
        <v>237</v>
      </c>
      <c r="D1012" s="51">
        <v>281312</v>
      </c>
      <c r="E1012" s="51">
        <v>3707504</v>
      </c>
      <c r="F1012" s="52">
        <v>402430.9</v>
      </c>
      <c r="G1012" s="53">
        <v>10.854497</v>
      </c>
    </row>
    <row r="1013" spans="1:7">
      <c r="A1013" s="50" t="s">
        <v>1163</v>
      </c>
      <c r="B1013" s="50" t="s">
        <v>91</v>
      </c>
      <c r="C1013" s="50" t="s">
        <v>240</v>
      </c>
      <c r="D1013" s="51">
        <v>16904</v>
      </c>
      <c r="E1013" s="51">
        <v>244827</v>
      </c>
      <c r="F1013" s="52">
        <v>34387</v>
      </c>
      <c r="G1013" s="53">
        <v>14.045427999999999</v>
      </c>
    </row>
    <row r="1014" spans="1:7">
      <c r="A1014" s="50" t="s">
        <v>1164</v>
      </c>
      <c r="B1014" s="50" t="s">
        <v>91</v>
      </c>
      <c r="C1014" s="50" t="s">
        <v>240</v>
      </c>
      <c r="D1014" s="51">
        <v>13432</v>
      </c>
      <c r="E1014" s="51">
        <v>346231</v>
      </c>
      <c r="F1014" s="52">
        <v>43957.9</v>
      </c>
      <c r="G1014" s="53">
        <v>12.696118999999999</v>
      </c>
    </row>
    <row r="1015" spans="1:7">
      <c r="A1015" s="50" t="s">
        <v>1165</v>
      </c>
      <c r="B1015" s="50" t="s">
        <v>91</v>
      </c>
      <c r="C1015" s="50" t="s">
        <v>240</v>
      </c>
      <c r="D1015" s="51">
        <v>17557</v>
      </c>
      <c r="E1015" s="51">
        <v>349090</v>
      </c>
      <c r="F1015" s="52">
        <v>43137.9</v>
      </c>
      <c r="G1015" s="53">
        <v>12.357243</v>
      </c>
    </row>
    <row r="1016" spans="1:7">
      <c r="A1016" s="50" t="s">
        <v>1166</v>
      </c>
      <c r="B1016" s="50" t="s">
        <v>91</v>
      </c>
      <c r="C1016" s="50" t="s">
        <v>240</v>
      </c>
      <c r="D1016" s="51">
        <v>26344</v>
      </c>
      <c r="E1016" s="51">
        <v>396185</v>
      </c>
      <c r="F1016" s="52">
        <v>55361.5</v>
      </c>
      <c r="G1016" s="53">
        <v>13.973649</v>
      </c>
    </row>
    <row r="1017" spans="1:7">
      <c r="A1017" s="50" t="s">
        <v>339</v>
      </c>
      <c r="B1017" s="50" t="s">
        <v>91</v>
      </c>
      <c r="C1017" s="50" t="s">
        <v>332</v>
      </c>
      <c r="D1017" s="51">
        <v>1</v>
      </c>
      <c r="E1017" s="51">
        <v>428</v>
      </c>
      <c r="F1017" s="52">
        <v>47.6</v>
      </c>
      <c r="G1017" s="53">
        <v>11.121494999999999</v>
      </c>
    </row>
    <row r="1018" spans="1:7">
      <c r="A1018" s="50" t="s">
        <v>1168</v>
      </c>
      <c r="B1018" s="50" t="s">
        <v>91</v>
      </c>
      <c r="C1018" s="50" t="s">
        <v>240</v>
      </c>
      <c r="D1018" s="51">
        <v>16521</v>
      </c>
      <c r="E1018" s="51">
        <v>319011</v>
      </c>
      <c r="F1018" s="52">
        <v>38140.6</v>
      </c>
      <c r="G1018" s="53">
        <v>11.955889000000001</v>
      </c>
    </row>
    <row r="1019" spans="1:7">
      <c r="A1019" s="50" t="s">
        <v>1170</v>
      </c>
      <c r="B1019" s="50" t="s">
        <v>91</v>
      </c>
      <c r="C1019" s="50" t="s">
        <v>240</v>
      </c>
      <c r="D1019" s="51">
        <v>10892</v>
      </c>
      <c r="E1019" s="51">
        <v>270521</v>
      </c>
      <c r="F1019" s="52">
        <v>30926.3</v>
      </c>
      <c r="G1019" s="53">
        <v>11.432124999999999</v>
      </c>
    </row>
    <row r="1020" spans="1:7">
      <c r="A1020" s="50" t="s">
        <v>616</v>
      </c>
      <c r="B1020" s="50" t="s">
        <v>91</v>
      </c>
      <c r="C1020" s="50" t="s">
        <v>240</v>
      </c>
      <c r="D1020" s="51">
        <v>1060</v>
      </c>
      <c r="E1020" s="51">
        <v>16945</v>
      </c>
      <c r="F1020" s="52">
        <v>2480.5</v>
      </c>
      <c r="G1020" s="53">
        <v>14.638536</v>
      </c>
    </row>
    <row r="1021" spans="1:7">
      <c r="A1021" s="50" t="s">
        <v>985</v>
      </c>
      <c r="B1021" s="50" t="s">
        <v>91</v>
      </c>
      <c r="C1021" s="50" t="s">
        <v>240</v>
      </c>
      <c r="D1021" s="51">
        <v>9653</v>
      </c>
      <c r="E1021" s="51">
        <v>206447</v>
      </c>
      <c r="F1021" s="52">
        <v>25453.200000000001</v>
      </c>
      <c r="G1021" s="53">
        <v>12.329169</v>
      </c>
    </row>
    <row r="1022" spans="1:7">
      <c r="A1022" s="50" t="s">
        <v>1172</v>
      </c>
      <c r="B1022" s="50" t="s">
        <v>91</v>
      </c>
      <c r="C1022" s="50" t="s">
        <v>237</v>
      </c>
      <c r="D1022" s="51">
        <v>330450</v>
      </c>
      <c r="E1022" s="51">
        <v>3963479</v>
      </c>
      <c r="F1022" s="52">
        <v>458412.5</v>
      </c>
      <c r="G1022" s="53">
        <v>11.565912000000001</v>
      </c>
    </row>
    <row r="1023" spans="1:7">
      <c r="A1023" s="50" t="s">
        <v>1173</v>
      </c>
      <c r="B1023" s="50" t="s">
        <v>91</v>
      </c>
      <c r="C1023" s="50" t="s">
        <v>237</v>
      </c>
      <c r="D1023" s="51">
        <v>923769</v>
      </c>
      <c r="E1023" s="51">
        <v>11304989</v>
      </c>
      <c r="F1023" s="52">
        <v>1395177</v>
      </c>
      <c r="G1023" s="53">
        <v>12.34125</v>
      </c>
    </row>
    <row r="1024" spans="1:7">
      <c r="A1024" s="50" t="s">
        <v>1174</v>
      </c>
      <c r="B1024" s="50" t="s">
        <v>91</v>
      </c>
      <c r="C1024" s="50" t="s">
        <v>237</v>
      </c>
      <c r="D1024" s="51">
        <v>1</v>
      </c>
      <c r="E1024" s="51">
        <v>109944</v>
      </c>
      <c r="F1024" s="52">
        <v>3266</v>
      </c>
      <c r="G1024" s="53">
        <v>2.9706032000000002</v>
      </c>
    </row>
    <row r="1025" spans="1:7">
      <c r="A1025" s="50" t="s">
        <v>621</v>
      </c>
      <c r="B1025" s="50" t="s">
        <v>91</v>
      </c>
      <c r="C1025" s="50" t="s">
        <v>240</v>
      </c>
      <c r="D1025" s="51">
        <v>9562</v>
      </c>
      <c r="E1025" s="51">
        <v>254780</v>
      </c>
      <c r="F1025" s="52">
        <v>29484.799999999999</v>
      </c>
      <c r="G1025" s="53">
        <v>11.572651</v>
      </c>
    </row>
    <row r="1026" spans="1:7">
      <c r="A1026" s="50" t="s">
        <v>1175</v>
      </c>
      <c r="B1026" s="50" t="s">
        <v>91</v>
      </c>
      <c r="C1026" s="50" t="s">
        <v>240</v>
      </c>
      <c r="D1026" s="51">
        <v>16885</v>
      </c>
      <c r="E1026" s="51">
        <v>607350</v>
      </c>
      <c r="F1026" s="52">
        <v>66656.3</v>
      </c>
      <c r="G1026" s="53">
        <v>10.97494</v>
      </c>
    </row>
    <row r="1027" spans="1:7">
      <c r="A1027" s="50" t="s">
        <v>343</v>
      </c>
      <c r="B1027" s="50" t="s">
        <v>91</v>
      </c>
      <c r="C1027" s="50" t="s">
        <v>332</v>
      </c>
      <c r="D1027" s="51">
        <v>19</v>
      </c>
      <c r="E1027" s="51">
        <v>6739</v>
      </c>
      <c r="F1027" s="52">
        <v>553.5</v>
      </c>
      <c r="G1027" s="53">
        <v>8.2133848</v>
      </c>
    </row>
    <row r="1028" spans="1:7">
      <c r="A1028" s="50" t="s">
        <v>1176</v>
      </c>
      <c r="B1028" s="50" t="s">
        <v>91</v>
      </c>
      <c r="C1028" s="50" t="s">
        <v>240</v>
      </c>
      <c r="D1028" s="51">
        <v>121608</v>
      </c>
      <c r="E1028" s="51">
        <v>2682081</v>
      </c>
      <c r="F1028" s="52">
        <v>299932.90000000002</v>
      </c>
      <c r="G1028" s="53">
        <v>11.182843</v>
      </c>
    </row>
    <row r="1029" spans="1:7">
      <c r="A1029" s="50" t="s">
        <v>1177</v>
      </c>
      <c r="B1029" s="50" t="s">
        <v>91</v>
      </c>
      <c r="C1029" s="50" t="s">
        <v>237</v>
      </c>
      <c r="D1029" s="51">
        <v>97447</v>
      </c>
      <c r="E1029" s="51">
        <v>1090720</v>
      </c>
      <c r="F1029" s="52">
        <v>133288</v>
      </c>
      <c r="G1029" s="53">
        <v>12.220185000000001</v>
      </c>
    </row>
    <row r="1030" spans="1:7">
      <c r="A1030" s="50" t="s">
        <v>1178</v>
      </c>
      <c r="B1030" s="50" t="s">
        <v>91</v>
      </c>
      <c r="C1030" s="50" t="s">
        <v>240</v>
      </c>
      <c r="D1030" s="51">
        <v>10748</v>
      </c>
      <c r="E1030" s="51">
        <v>502118</v>
      </c>
      <c r="F1030" s="52">
        <v>53556.9</v>
      </c>
      <c r="G1030" s="53">
        <v>10.666198</v>
      </c>
    </row>
    <row r="1031" spans="1:7">
      <c r="A1031" s="50" t="s">
        <v>631</v>
      </c>
      <c r="B1031" s="50" t="s">
        <v>94</v>
      </c>
      <c r="C1031" s="50" t="s">
        <v>240</v>
      </c>
      <c r="D1031" s="51">
        <v>7594</v>
      </c>
      <c r="E1031" s="51">
        <v>505999</v>
      </c>
      <c r="F1031" s="52">
        <v>39545</v>
      </c>
      <c r="G1031" s="53">
        <v>7.8152328000000004</v>
      </c>
    </row>
    <row r="1032" spans="1:7">
      <c r="A1032" s="50" t="s">
        <v>297</v>
      </c>
      <c r="B1032" s="50" t="s">
        <v>94</v>
      </c>
      <c r="C1032" s="50" t="s">
        <v>240</v>
      </c>
      <c r="D1032" s="51">
        <v>4813</v>
      </c>
      <c r="E1032" s="51">
        <v>84888</v>
      </c>
      <c r="F1032" s="52">
        <v>8750.9</v>
      </c>
      <c r="G1032" s="53">
        <v>10.308759999999999</v>
      </c>
    </row>
    <row r="1033" spans="1:7">
      <c r="A1033" s="50" t="s">
        <v>1182</v>
      </c>
      <c r="B1033" s="50" t="s">
        <v>94</v>
      </c>
      <c r="C1033" s="50" t="s">
        <v>240</v>
      </c>
      <c r="D1033" s="51">
        <v>25967</v>
      </c>
      <c r="E1033" s="51">
        <v>619129</v>
      </c>
      <c r="F1033" s="52">
        <v>67922</v>
      </c>
      <c r="G1033" s="53">
        <v>10.970573</v>
      </c>
    </row>
    <row r="1034" spans="1:7">
      <c r="A1034" s="50" t="s">
        <v>1183</v>
      </c>
      <c r="B1034" s="50" t="s">
        <v>94</v>
      </c>
      <c r="C1034" s="50" t="s">
        <v>240</v>
      </c>
      <c r="D1034" s="51">
        <v>25441</v>
      </c>
      <c r="E1034" s="51">
        <v>716346</v>
      </c>
      <c r="F1034" s="52">
        <v>61080.6</v>
      </c>
      <c r="G1034" s="53">
        <v>8.5266895999999992</v>
      </c>
    </row>
    <row r="1035" spans="1:7">
      <c r="A1035" s="50" t="s">
        <v>1184</v>
      </c>
      <c r="B1035" s="50" t="s">
        <v>94</v>
      </c>
      <c r="C1035" s="50" t="s">
        <v>240</v>
      </c>
      <c r="D1035" s="51">
        <v>22319</v>
      </c>
      <c r="E1035" s="51">
        <v>514616</v>
      </c>
      <c r="F1035" s="52">
        <v>53809.8</v>
      </c>
      <c r="G1035" s="53">
        <v>10.456301</v>
      </c>
    </row>
    <row r="1036" spans="1:7">
      <c r="A1036" s="50" t="s">
        <v>1185</v>
      </c>
      <c r="B1036" s="50" t="s">
        <v>94</v>
      </c>
      <c r="C1036" s="50" t="s">
        <v>240</v>
      </c>
      <c r="D1036" s="51">
        <v>19401</v>
      </c>
      <c r="E1036" s="51">
        <v>470023</v>
      </c>
      <c r="F1036" s="52">
        <v>46554.2</v>
      </c>
      <c r="G1036" s="53">
        <v>9.9046641999999991</v>
      </c>
    </row>
    <row r="1037" spans="1:7">
      <c r="A1037" s="50" t="s">
        <v>1186</v>
      </c>
      <c r="B1037" s="50" t="s">
        <v>94</v>
      </c>
      <c r="C1037" s="50" t="s">
        <v>240</v>
      </c>
      <c r="D1037" s="51">
        <v>18029</v>
      </c>
      <c r="E1037" s="51">
        <v>597704</v>
      </c>
      <c r="F1037" s="52">
        <v>58198</v>
      </c>
      <c r="G1037" s="53">
        <v>9.7369266000000003</v>
      </c>
    </row>
    <row r="1038" spans="1:7">
      <c r="A1038" s="50" t="s">
        <v>1188</v>
      </c>
      <c r="B1038" s="50" t="s">
        <v>94</v>
      </c>
      <c r="C1038" s="50" t="s">
        <v>242</v>
      </c>
      <c r="D1038" s="51">
        <v>12719</v>
      </c>
      <c r="E1038" s="51">
        <v>252930</v>
      </c>
      <c r="F1038" s="52">
        <v>25012</v>
      </c>
      <c r="G1038" s="53">
        <v>9.8889020999999993</v>
      </c>
    </row>
    <row r="1039" spans="1:7">
      <c r="A1039" s="50" t="s">
        <v>1191</v>
      </c>
      <c r="B1039" s="50" t="s">
        <v>94</v>
      </c>
      <c r="C1039" s="50" t="s">
        <v>242</v>
      </c>
      <c r="D1039" s="51">
        <v>41932</v>
      </c>
      <c r="E1039" s="51">
        <v>869443</v>
      </c>
      <c r="F1039" s="52">
        <v>90556</v>
      </c>
      <c r="G1039" s="53">
        <v>10.415404000000001</v>
      </c>
    </row>
    <row r="1040" spans="1:7">
      <c r="A1040" s="50" t="s">
        <v>1195</v>
      </c>
      <c r="B1040" s="50" t="s">
        <v>94</v>
      </c>
      <c r="C1040" s="50" t="s">
        <v>242</v>
      </c>
      <c r="D1040" s="51">
        <v>15851</v>
      </c>
      <c r="E1040" s="51">
        <v>348678</v>
      </c>
      <c r="F1040" s="52">
        <v>35200</v>
      </c>
      <c r="G1040" s="53">
        <v>10.095274</v>
      </c>
    </row>
    <row r="1041" spans="1:7">
      <c r="A1041" s="50" t="s">
        <v>1199</v>
      </c>
      <c r="B1041" s="50" t="s">
        <v>94</v>
      </c>
      <c r="C1041" s="50" t="s">
        <v>240</v>
      </c>
      <c r="D1041" s="51">
        <v>18092</v>
      </c>
      <c r="E1041" s="51">
        <v>290214</v>
      </c>
      <c r="F1041" s="52">
        <v>34391</v>
      </c>
      <c r="G1041" s="53">
        <v>11.850220999999999</v>
      </c>
    </row>
    <row r="1042" spans="1:7">
      <c r="A1042" s="50" t="s">
        <v>1200</v>
      </c>
      <c r="B1042" s="50" t="s">
        <v>94</v>
      </c>
      <c r="C1042" s="50" t="s">
        <v>240</v>
      </c>
      <c r="D1042" s="51">
        <v>22580</v>
      </c>
      <c r="E1042" s="51">
        <v>739132</v>
      </c>
      <c r="F1042" s="52">
        <v>64960.4</v>
      </c>
      <c r="G1042" s="53">
        <v>8.7887413999999993</v>
      </c>
    </row>
    <row r="1043" spans="1:7">
      <c r="A1043" s="50" t="s">
        <v>1201</v>
      </c>
      <c r="B1043" s="50" t="s">
        <v>94</v>
      </c>
      <c r="C1043" s="50" t="s">
        <v>240</v>
      </c>
      <c r="D1043" s="51">
        <v>35098</v>
      </c>
      <c r="E1043" s="51">
        <v>516880</v>
      </c>
      <c r="F1043" s="52">
        <v>58341</v>
      </c>
      <c r="G1043" s="53">
        <v>11.287146</v>
      </c>
    </row>
    <row r="1044" spans="1:7">
      <c r="A1044" s="50" t="s">
        <v>311</v>
      </c>
      <c r="B1044" s="50" t="s">
        <v>94</v>
      </c>
      <c r="C1044" s="50" t="s">
        <v>237</v>
      </c>
      <c r="D1044" s="51">
        <v>4730</v>
      </c>
      <c r="E1044" s="51">
        <v>141838</v>
      </c>
      <c r="F1044" s="52">
        <v>13140.4</v>
      </c>
      <c r="G1044" s="53">
        <v>9.2643719999999998</v>
      </c>
    </row>
    <row r="1045" spans="1:7">
      <c r="A1045" s="50" t="s">
        <v>1202</v>
      </c>
      <c r="B1045" s="50" t="s">
        <v>94</v>
      </c>
      <c r="C1045" s="50" t="s">
        <v>2</v>
      </c>
      <c r="D1045" s="51">
        <v>82</v>
      </c>
      <c r="E1045" s="51">
        <v>2970244</v>
      </c>
      <c r="F1045" s="52">
        <v>129847.8</v>
      </c>
      <c r="G1045" s="53">
        <v>4.3716206</v>
      </c>
    </row>
    <row r="1046" spans="1:7">
      <c r="A1046" s="50" t="s">
        <v>1203</v>
      </c>
      <c r="B1046" s="50" t="s">
        <v>94</v>
      </c>
      <c r="C1046" s="50" t="s">
        <v>240</v>
      </c>
      <c r="D1046" s="51">
        <v>19720</v>
      </c>
      <c r="E1046" s="51">
        <v>511013</v>
      </c>
      <c r="F1046" s="52">
        <v>48461</v>
      </c>
      <c r="G1046" s="53">
        <v>9.4833204000000002</v>
      </c>
    </row>
    <row r="1047" spans="1:7">
      <c r="A1047" s="50" t="s">
        <v>1204</v>
      </c>
      <c r="B1047" s="50" t="s">
        <v>94</v>
      </c>
      <c r="C1047" s="50" t="s">
        <v>240</v>
      </c>
      <c r="D1047" s="51">
        <v>5785</v>
      </c>
      <c r="E1047" s="51">
        <v>371371</v>
      </c>
      <c r="F1047" s="52">
        <v>30813</v>
      </c>
      <c r="G1047" s="53">
        <v>8.2970936999999996</v>
      </c>
    </row>
    <row r="1048" spans="1:7">
      <c r="A1048" s="50" t="s">
        <v>1205</v>
      </c>
      <c r="B1048" s="50" t="s">
        <v>94</v>
      </c>
      <c r="C1048" s="50" t="s">
        <v>240</v>
      </c>
      <c r="D1048" s="51">
        <v>22123</v>
      </c>
      <c r="E1048" s="51">
        <v>354460</v>
      </c>
      <c r="F1048" s="52">
        <v>39032</v>
      </c>
      <c r="G1048" s="53">
        <v>11.01168</v>
      </c>
    </row>
    <row r="1049" spans="1:7">
      <c r="A1049" s="50" t="s">
        <v>1206</v>
      </c>
      <c r="B1049" s="50" t="s">
        <v>94</v>
      </c>
      <c r="C1049" s="50" t="s">
        <v>240</v>
      </c>
      <c r="D1049" s="51">
        <v>25075</v>
      </c>
      <c r="E1049" s="51">
        <v>405549</v>
      </c>
      <c r="F1049" s="52">
        <v>42047</v>
      </c>
      <c r="G1049" s="53">
        <v>10.367921000000001</v>
      </c>
    </row>
    <row r="1050" spans="1:7">
      <c r="A1050" s="50" t="s">
        <v>2120</v>
      </c>
      <c r="B1050" s="50" t="s">
        <v>94</v>
      </c>
      <c r="C1050" s="50" t="s">
        <v>240</v>
      </c>
      <c r="D1050" s="51">
        <v>39705</v>
      </c>
      <c r="E1050" s="51">
        <v>655072</v>
      </c>
      <c r="F1050" s="52">
        <v>74282</v>
      </c>
      <c r="G1050" s="53">
        <v>11.339517000000001</v>
      </c>
    </row>
    <row r="1051" spans="1:7">
      <c r="A1051" s="50" t="s">
        <v>1208</v>
      </c>
      <c r="B1051" s="50" t="s">
        <v>94</v>
      </c>
      <c r="C1051" s="50" t="s">
        <v>240</v>
      </c>
      <c r="D1051" s="51">
        <v>11848</v>
      </c>
      <c r="E1051" s="51">
        <v>310936</v>
      </c>
      <c r="F1051" s="52">
        <v>32384</v>
      </c>
      <c r="G1051" s="53">
        <v>10.415005000000001</v>
      </c>
    </row>
    <row r="1052" spans="1:7">
      <c r="A1052" s="50" t="s">
        <v>1209</v>
      </c>
      <c r="B1052" s="50" t="s">
        <v>94</v>
      </c>
      <c r="C1052" s="50" t="s">
        <v>240</v>
      </c>
      <c r="D1052" s="51">
        <v>58478</v>
      </c>
      <c r="E1052" s="51">
        <v>1240913</v>
      </c>
      <c r="F1052" s="52">
        <v>130330</v>
      </c>
      <c r="G1052" s="53">
        <v>10.502751</v>
      </c>
    </row>
    <row r="1053" spans="1:7">
      <c r="A1053" s="50" t="s">
        <v>314</v>
      </c>
      <c r="B1053" s="50" t="s">
        <v>94</v>
      </c>
      <c r="C1053" s="50" t="s">
        <v>237</v>
      </c>
      <c r="D1053" s="51">
        <v>794788</v>
      </c>
      <c r="E1053" s="51">
        <v>24590220</v>
      </c>
      <c r="F1053" s="52">
        <v>1732577.7</v>
      </c>
      <c r="G1053" s="53">
        <v>7.0457998999999996</v>
      </c>
    </row>
    <row r="1054" spans="1:7">
      <c r="A1054" s="50" t="s">
        <v>316</v>
      </c>
      <c r="B1054" s="50" t="s">
        <v>94</v>
      </c>
      <c r="C1054" s="50" t="s">
        <v>240</v>
      </c>
      <c r="D1054" s="51">
        <v>12239</v>
      </c>
      <c r="E1054" s="51">
        <v>192821</v>
      </c>
      <c r="F1054" s="52">
        <v>22363</v>
      </c>
      <c r="G1054" s="53">
        <v>11.597803000000001</v>
      </c>
    </row>
    <row r="1055" spans="1:7">
      <c r="A1055" s="50" t="s">
        <v>1210</v>
      </c>
      <c r="B1055" s="50" t="s">
        <v>94</v>
      </c>
      <c r="C1055" s="50" t="s">
        <v>240</v>
      </c>
      <c r="D1055" s="51">
        <v>22032</v>
      </c>
      <c r="E1055" s="51">
        <v>714524</v>
      </c>
      <c r="F1055" s="52">
        <v>65303.3</v>
      </c>
      <c r="G1055" s="53">
        <v>9.1394131000000005</v>
      </c>
    </row>
    <row r="1056" spans="1:7">
      <c r="A1056" s="50" t="s">
        <v>1212</v>
      </c>
      <c r="B1056" s="50" t="s">
        <v>94</v>
      </c>
      <c r="C1056" s="50" t="s">
        <v>237</v>
      </c>
      <c r="D1056" s="51">
        <v>562618</v>
      </c>
      <c r="E1056" s="51">
        <v>17702245</v>
      </c>
      <c r="F1056" s="52">
        <v>1187464.8</v>
      </c>
      <c r="G1056" s="53">
        <v>6.7079899000000003</v>
      </c>
    </row>
    <row r="1057" spans="1:7">
      <c r="A1057" s="50" t="s">
        <v>1213</v>
      </c>
      <c r="B1057" s="50" t="s">
        <v>94</v>
      </c>
      <c r="C1057" s="50" t="s">
        <v>240</v>
      </c>
      <c r="D1057" s="51">
        <v>16601</v>
      </c>
      <c r="E1057" s="51">
        <v>415851</v>
      </c>
      <c r="F1057" s="52">
        <v>36822</v>
      </c>
      <c r="G1057" s="53">
        <v>8.8546137999999992</v>
      </c>
    </row>
    <row r="1058" spans="1:7">
      <c r="A1058" s="50" t="s">
        <v>1214</v>
      </c>
      <c r="B1058" s="50" t="s">
        <v>94</v>
      </c>
      <c r="C1058" s="50" t="s">
        <v>240</v>
      </c>
      <c r="D1058" s="51">
        <v>11967</v>
      </c>
      <c r="E1058" s="51">
        <v>437242</v>
      </c>
      <c r="F1058" s="52">
        <v>37373.5</v>
      </c>
      <c r="G1058" s="53">
        <v>8.5475548999999997</v>
      </c>
    </row>
    <row r="1059" spans="1:7">
      <c r="A1059" s="50" t="s">
        <v>1215</v>
      </c>
      <c r="B1059" s="50" t="s">
        <v>94</v>
      </c>
      <c r="C1059" s="50" t="s">
        <v>240</v>
      </c>
      <c r="D1059" s="51">
        <v>15535</v>
      </c>
      <c r="E1059" s="51">
        <v>395618</v>
      </c>
      <c r="F1059" s="52">
        <v>34057</v>
      </c>
      <c r="G1059" s="53">
        <v>8.6085566999999994</v>
      </c>
    </row>
    <row r="1060" spans="1:7">
      <c r="A1060" s="50" t="s">
        <v>321</v>
      </c>
      <c r="B1060" s="50" t="s">
        <v>94</v>
      </c>
      <c r="C1060" s="50" t="s">
        <v>240</v>
      </c>
      <c r="D1060" s="51">
        <v>232</v>
      </c>
      <c r="E1060" s="51">
        <v>2769</v>
      </c>
      <c r="F1060" s="52">
        <v>296.10000000000002</v>
      </c>
      <c r="G1060" s="53">
        <v>10.693391</v>
      </c>
    </row>
    <row r="1061" spans="1:7">
      <c r="A1061" s="50" t="s">
        <v>416</v>
      </c>
      <c r="B1061" s="50" t="s">
        <v>94</v>
      </c>
      <c r="C1061" s="50" t="s">
        <v>240</v>
      </c>
      <c r="D1061" s="51">
        <v>17</v>
      </c>
      <c r="E1061" s="51">
        <v>942</v>
      </c>
      <c r="F1061" s="52">
        <v>117</v>
      </c>
      <c r="G1061" s="53">
        <v>12.420382</v>
      </c>
    </row>
    <row r="1062" spans="1:7">
      <c r="A1062" s="50" t="s">
        <v>1217</v>
      </c>
      <c r="B1062" s="50" t="s">
        <v>94</v>
      </c>
      <c r="C1062" s="50" t="s">
        <v>242</v>
      </c>
      <c r="D1062" s="51">
        <v>21567</v>
      </c>
      <c r="E1062" s="51">
        <v>425244</v>
      </c>
      <c r="F1062" s="52">
        <v>43364</v>
      </c>
      <c r="G1062" s="53">
        <v>10.19744</v>
      </c>
    </row>
    <row r="1063" spans="1:7">
      <c r="A1063" s="50" t="s">
        <v>1825</v>
      </c>
      <c r="B1063" s="50" t="s">
        <v>94</v>
      </c>
      <c r="C1063" s="50" t="s">
        <v>240</v>
      </c>
      <c r="D1063" s="51">
        <v>24202</v>
      </c>
      <c r="E1063" s="51">
        <v>765111</v>
      </c>
      <c r="F1063" s="52">
        <v>78144.399999999994</v>
      </c>
      <c r="G1063" s="53">
        <v>10.213471999999999</v>
      </c>
    </row>
    <row r="1064" spans="1:7">
      <c r="A1064" s="50" t="s">
        <v>1219</v>
      </c>
      <c r="B1064" s="50" t="s">
        <v>94</v>
      </c>
      <c r="C1064" s="50" t="s">
        <v>240</v>
      </c>
      <c r="D1064" s="51">
        <v>37534</v>
      </c>
      <c r="E1064" s="51">
        <v>662525</v>
      </c>
      <c r="F1064" s="52">
        <v>69872.600000000006</v>
      </c>
      <c r="G1064" s="53">
        <v>10.54641</v>
      </c>
    </row>
    <row r="1065" spans="1:7">
      <c r="A1065" s="50" t="s">
        <v>1222</v>
      </c>
      <c r="B1065" s="50" t="s">
        <v>96</v>
      </c>
      <c r="C1065" s="50" t="s">
        <v>295</v>
      </c>
      <c r="D1065" s="51">
        <v>1</v>
      </c>
      <c r="E1065" s="51">
        <v>5795</v>
      </c>
      <c r="F1065" s="52">
        <v>224.9</v>
      </c>
      <c r="G1065" s="53">
        <v>3.8809317999999999</v>
      </c>
    </row>
    <row r="1066" spans="1:7">
      <c r="A1066" s="50" t="s">
        <v>1224</v>
      </c>
      <c r="B1066" s="50" t="s">
        <v>96</v>
      </c>
      <c r="C1066" s="50" t="s">
        <v>240</v>
      </c>
      <c r="D1066" s="51">
        <v>35659</v>
      </c>
      <c r="E1066" s="51">
        <v>753497</v>
      </c>
      <c r="F1066" s="52">
        <v>64819</v>
      </c>
      <c r="G1066" s="53">
        <v>8.6024230999999993</v>
      </c>
    </row>
    <row r="1067" spans="1:7">
      <c r="A1067" s="50" t="s">
        <v>1225</v>
      </c>
      <c r="B1067" s="50" t="s">
        <v>96</v>
      </c>
      <c r="C1067" s="50" t="s">
        <v>325</v>
      </c>
      <c r="D1067" s="51">
        <v>40267</v>
      </c>
      <c r="E1067" s="51">
        <v>1254427</v>
      </c>
      <c r="F1067" s="52">
        <v>91740</v>
      </c>
      <c r="G1067" s="53">
        <v>7.3132992000000003</v>
      </c>
    </row>
    <row r="1068" spans="1:7">
      <c r="A1068" s="50" t="s">
        <v>1228</v>
      </c>
      <c r="B1068" s="50" t="s">
        <v>96</v>
      </c>
      <c r="C1068" s="50" t="s">
        <v>242</v>
      </c>
      <c r="D1068" s="51">
        <v>95604</v>
      </c>
      <c r="E1068" s="51">
        <v>2261295</v>
      </c>
      <c r="F1068" s="52">
        <v>204354</v>
      </c>
      <c r="G1068" s="53">
        <v>9.0370340999999996</v>
      </c>
    </row>
    <row r="1069" spans="1:7">
      <c r="A1069" s="50" t="s">
        <v>1229</v>
      </c>
      <c r="B1069" s="50" t="s">
        <v>96</v>
      </c>
      <c r="C1069" s="50" t="s">
        <v>242</v>
      </c>
      <c r="D1069" s="51">
        <v>10465</v>
      </c>
      <c r="E1069" s="51">
        <v>249112</v>
      </c>
      <c r="F1069" s="52">
        <v>19668</v>
      </c>
      <c r="G1069" s="53">
        <v>7.8952438999999996</v>
      </c>
    </row>
    <row r="1070" spans="1:7">
      <c r="A1070" s="50" t="s">
        <v>1231</v>
      </c>
      <c r="B1070" s="50" t="s">
        <v>96</v>
      </c>
      <c r="C1070" s="50" t="s">
        <v>242</v>
      </c>
      <c r="D1070" s="51">
        <v>16917</v>
      </c>
      <c r="E1070" s="51">
        <v>697188</v>
      </c>
      <c r="F1070" s="52">
        <v>44010</v>
      </c>
      <c r="G1070" s="53">
        <v>6.3125011000000004</v>
      </c>
    </row>
    <row r="1071" spans="1:7">
      <c r="A1071" s="50" t="s">
        <v>1234</v>
      </c>
      <c r="B1071" s="50" t="s">
        <v>96</v>
      </c>
      <c r="C1071" s="50" t="s">
        <v>242</v>
      </c>
      <c r="D1071" s="51">
        <v>32483</v>
      </c>
      <c r="E1071" s="51">
        <v>743098</v>
      </c>
      <c r="F1071" s="52">
        <v>52713.9</v>
      </c>
      <c r="G1071" s="53">
        <v>7.0938018999999999</v>
      </c>
    </row>
    <row r="1072" spans="1:7">
      <c r="A1072" s="50" t="s">
        <v>1235</v>
      </c>
      <c r="B1072" s="50" t="s">
        <v>96</v>
      </c>
      <c r="C1072" s="50" t="s">
        <v>325</v>
      </c>
      <c r="D1072" s="51">
        <v>4261</v>
      </c>
      <c r="E1072" s="51">
        <v>984467</v>
      </c>
      <c r="F1072" s="52">
        <v>52681.5</v>
      </c>
      <c r="G1072" s="53">
        <v>5.3512712999999996</v>
      </c>
    </row>
    <row r="1073" spans="1:7">
      <c r="A1073" s="50" t="s">
        <v>1238</v>
      </c>
      <c r="B1073" s="50" t="s">
        <v>96</v>
      </c>
      <c r="C1073" s="50" t="s">
        <v>325</v>
      </c>
      <c r="D1073" s="51">
        <v>16768</v>
      </c>
      <c r="E1073" s="51">
        <v>467178</v>
      </c>
      <c r="F1073" s="52">
        <v>34512</v>
      </c>
      <c r="G1073" s="53">
        <v>7.3873341999999997</v>
      </c>
    </row>
    <row r="1074" spans="1:7">
      <c r="A1074" s="50" t="s">
        <v>1239</v>
      </c>
      <c r="B1074" s="50" t="s">
        <v>96</v>
      </c>
      <c r="C1074" s="50" t="s">
        <v>240</v>
      </c>
      <c r="D1074" s="51">
        <v>135</v>
      </c>
      <c r="E1074" s="51">
        <v>5906</v>
      </c>
      <c r="F1074" s="52">
        <v>571.70000000000005</v>
      </c>
      <c r="G1074" s="53">
        <v>9.6799865</v>
      </c>
    </row>
    <row r="1075" spans="1:7">
      <c r="A1075" s="50" t="s">
        <v>1240</v>
      </c>
      <c r="B1075" s="50" t="s">
        <v>96</v>
      </c>
      <c r="C1075" s="50" t="s">
        <v>240</v>
      </c>
      <c r="D1075" s="51">
        <v>22811</v>
      </c>
      <c r="E1075" s="51">
        <v>400166</v>
      </c>
      <c r="F1075" s="52">
        <v>40858.5</v>
      </c>
      <c r="G1075" s="53">
        <v>10.210388</v>
      </c>
    </row>
    <row r="1076" spans="1:7">
      <c r="A1076" s="50" t="s">
        <v>1241</v>
      </c>
      <c r="B1076" s="50" t="s">
        <v>96</v>
      </c>
      <c r="C1076" s="50" t="s">
        <v>240</v>
      </c>
      <c r="D1076" s="51">
        <v>18203</v>
      </c>
      <c r="E1076" s="51">
        <v>331863</v>
      </c>
      <c r="F1076" s="52">
        <v>37980.800000000003</v>
      </c>
      <c r="G1076" s="53">
        <v>11.444723</v>
      </c>
    </row>
    <row r="1077" spans="1:7">
      <c r="A1077" s="50" t="s">
        <v>1243</v>
      </c>
      <c r="B1077" s="50" t="s">
        <v>96</v>
      </c>
      <c r="C1077" s="50" t="s">
        <v>325</v>
      </c>
      <c r="D1077" s="51">
        <v>21957</v>
      </c>
      <c r="E1077" s="51">
        <v>477134</v>
      </c>
      <c r="F1077" s="52">
        <v>47492.9</v>
      </c>
      <c r="G1077" s="53">
        <v>9.9537866000000008</v>
      </c>
    </row>
    <row r="1078" spans="1:7">
      <c r="A1078" s="50" t="s">
        <v>554</v>
      </c>
      <c r="B1078" s="50" t="s">
        <v>96</v>
      </c>
      <c r="C1078" s="50" t="s">
        <v>237</v>
      </c>
      <c r="D1078" s="51">
        <v>19403</v>
      </c>
      <c r="E1078" s="51">
        <v>668085</v>
      </c>
      <c r="F1078" s="52">
        <v>51246.5</v>
      </c>
      <c r="G1078" s="53">
        <v>7.6706557000000002</v>
      </c>
    </row>
    <row r="1079" spans="1:7">
      <c r="A1079" s="50" t="s">
        <v>1245</v>
      </c>
      <c r="B1079" s="50" t="s">
        <v>96</v>
      </c>
      <c r="C1079" s="50" t="s">
        <v>240</v>
      </c>
      <c r="D1079" s="51">
        <v>12974</v>
      </c>
      <c r="E1079" s="51">
        <v>239069</v>
      </c>
      <c r="F1079" s="52">
        <v>26924</v>
      </c>
      <c r="G1079" s="53">
        <v>11.262021000000001</v>
      </c>
    </row>
    <row r="1080" spans="1:7">
      <c r="A1080" s="50" t="s">
        <v>339</v>
      </c>
      <c r="B1080" s="50" t="s">
        <v>96</v>
      </c>
      <c r="C1080" s="50" t="s">
        <v>332</v>
      </c>
      <c r="D1080" s="51">
        <v>24</v>
      </c>
      <c r="E1080" s="51">
        <v>1744</v>
      </c>
      <c r="F1080" s="52">
        <v>104.6</v>
      </c>
      <c r="G1080" s="53">
        <v>5.9977064000000002</v>
      </c>
    </row>
    <row r="1081" spans="1:7">
      <c r="A1081" s="50" t="s">
        <v>1246</v>
      </c>
      <c r="B1081" s="50" t="s">
        <v>96</v>
      </c>
      <c r="C1081" s="50" t="s">
        <v>240</v>
      </c>
      <c r="D1081" s="51">
        <v>19972</v>
      </c>
      <c r="E1081" s="51">
        <v>418598</v>
      </c>
      <c r="F1081" s="52">
        <v>35451</v>
      </c>
      <c r="G1081" s="53">
        <v>8.4689846000000006</v>
      </c>
    </row>
    <row r="1082" spans="1:7">
      <c r="A1082" s="50" t="s">
        <v>1247</v>
      </c>
      <c r="B1082" s="50" t="s">
        <v>96</v>
      </c>
      <c r="C1082" s="50" t="s">
        <v>325</v>
      </c>
      <c r="D1082" s="51">
        <v>10286</v>
      </c>
      <c r="E1082" s="51">
        <v>981049</v>
      </c>
      <c r="F1082" s="52">
        <v>54038.8</v>
      </c>
      <c r="G1082" s="53">
        <v>5.5082671999999997</v>
      </c>
    </row>
    <row r="1083" spans="1:7">
      <c r="A1083" s="50" t="s">
        <v>1248</v>
      </c>
      <c r="B1083" s="50" t="s">
        <v>96</v>
      </c>
      <c r="C1083" s="50" t="s">
        <v>240</v>
      </c>
      <c r="D1083" s="51">
        <v>31398</v>
      </c>
      <c r="E1083" s="51">
        <v>639533</v>
      </c>
      <c r="F1083" s="52">
        <v>55188.5</v>
      </c>
      <c r="G1083" s="53">
        <v>8.6295000000000002</v>
      </c>
    </row>
    <row r="1084" spans="1:7">
      <c r="A1084" s="50" t="s">
        <v>382</v>
      </c>
      <c r="B1084" s="50" t="s">
        <v>96</v>
      </c>
      <c r="C1084" s="50" t="s">
        <v>237</v>
      </c>
      <c r="D1084" s="51">
        <v>603955</v>
      </c>
      <c r="E1084" s="51">
        <v>12993460</v>
      </c>
      <c r="F1084" s="52">
        <v>1244124.5</v>
      </c>
      <c r="G1084" s="53">
        <v>9.5750054000000002</v>
      </c>
    </row>
    <row r="1085" spans="1:7">
      <c r="A1085" s="50" t="s">
        <v>1249</v>
      </c>
      <c r="B1085" s="50" t="s">
        <v>96</v>
      </c>
      <c r="C1085" s="50" t="s">
        <v>237</v>
      </c>
      <c r="D1085" s="51">
        <v>901603</v>
      </c>
      <c r="E1085" s="51">
        <v>17423803</v>
      </c>
      <c r="F1085" s="52">
        <v>1800113.3</v>
      </c>
      <c r="G1085" s="53">
        <v>10.331346</v>
      </c>
    </row>
    <row r="1086" spans="1:7">
      <c r="A1086" s="50" t="s">
        <v>1250</v>
      </c>
      <c r="B1086" s="50" t="s">
        <v>96</v>
      </c>
      <c r="C1086" s="50" t="s">
        <v>240</v>
      </c>
      <c r="D1086" s="51">
        <v>20412</v>
      </c>
      <c r="E1086" s="51">
        <v>316666</v>
      </c>
      <c r="F1086" s="52">
        <v>29672.799999999999</v>
      </c>
      <c r="G1086" s="53">
        <v>9.3703775999999994</v>
      </c>
    </row>
    <row r="1087" spans="1:7">
      <c r="A1087" s="50" t="s">
        <v>343</v>
      </c>
      <c r="B1087" s="50" t="s">
        <v>96</v>
      </c>
      <c r="C1087" s="50" t="s">
        <v>332</v>
      </c>
      <c r="D1087" s="51">
        <v>3707</v>
      </c>
      <c r="E1087" s="51">
        <v>27862</v>
      </c>
      <c r="F1087" s="52">
        <v>2646.3</v>
      </c>
      <c r="G1087" s="53">
        <v>9.4978823999999999</v>
      </c>
    </row>
    <row r="1088" spans="1:7">
      <c r="A1088" s="50" t="s">
        <v>350</v>
      </c>
      <c r="B1088" s="50" t="s">
        <v>96</v>
      </c>
      <c r="C1088" s="50" t="s">
        <v>332</v>
      </c>
      <c r="D1088" s="51">
        <v>94</v>
      </c>
      <c r="E1088" s="51">
        <v>435</v>
      </c>
      <c r="F1088" s="52">
        <v>55.6</v>
      </c>
      <c r="G1088" s="53">
        <v>12.781609</v>
      </c>
    </row>
    <row r="1089" spans="1:7">
      <c r="A1089" s="50" t="s">
        <v>388</v>
      </c>
      <c r="B1089" s="50" t="s">
        <v>96</v>
      </c>
      <c r="C1089" s="50" t="s">
        <v>240</v>
      </c>
      <c r="D1089" s="51">
        <v>1788</v>
      </c>
      <c r="E1089" s="51">
        <v>39848</v>
      </c>
      <c r="F1089" s="52">
        <v>3724.5</v>
      </c>
      <c r="G1089" s="53">
        <v>9.3467676999999991</v>
      </c>
    </row>
    <row r="1090" spans="1:7">
      <c r="A1090" s="50" t="s">
        <v>351</v>
      </c>
      <c r="B1090" s="50" t="s">
        <v>96</v>
      </c>
      <c r="C1090" s="50" t="s">
        <v>332</v>
      </c>
      <c r="D1090" s="51">
        <v>3</v>
      </c>
      <c r="E1090" s="51">
        <v>1134</v>
      </c>
      <c r="F1090" s="52">
        <v>83.2</v>
      </c>
      <c r="G1090" s="53">
        <v>7.3368606999999999</v>
      </c>
    </row>
    <row r="1091" spans="1:7">
      <c r="A1091" s="50" t="s">
        <v>1251</v>
      </c>
      <c r="B1091" s="50" t="s">
        <v>96</v>
      </c>
      <c r="C1091" s="50" t="s">
        <v>325</v>
      </c>
      <c r="D1091" s="51">
        <v>21564</v>
      </c>
      <c r="E1091" s="51">
        <v>480390</v>
      </c>
      <c r="F1091" s="52">
        <v>41081</v>
      </c>
      <c r="G1091" s="53">
        <v>8.5515934999999992</v>
      </c>
    </row>
    <row r="1092" spans="1:7">
      <c r="A1092" s="50" t="s">
        <v>1252</v>
      </c>
      <c r="B1092" s="50" t="s">
        <v>96</v>
      </c>
      <c r="C1092" s="50" t="s">
        <v>240</v>
      </c>
      <c r="D1092" s="51">
        <v>15797</v>
      </c>
      <c r="E1092" s="51">
        <v>3771463</v>
      </c>
      <c r="F1092" s="52">
        <v>173478.9</v>
      </c>
      <c r="G1092" s="53">
        <v>4.5997773000000004</v>
      </c>
    </row>
    <row r="1093" spans="1:7">
      <c r="A1093" s="50" t="s">
        <v>1254</v>
      </c>
      <c r="B1093" s="50" t="s">
        <v>99</v>
      </c>
      <c r="C1093" s="50" t="s">
        <v>240</v>
      </c>
      <c r="D1093" s="51">
        <v>32951</v>
      </c>
      <c r="E1093" s="51">
        <v>548849</v>
      </c>
      <c r="F1093" s="52">
        <v>66164</v>
      </c>
      <c r="G1093" s="53">
        <v>12.055046000000001</v>
      </c>
    </row>
    <row r="1094" spans="1:7">
      <c r="A1094" s="50" t="s">
        <v>1255</v>
      </c>
      <c r="B1094" s="50" t="s">
        <v>99</v>
      </c>
      <c r="C1094" s="50" t="s">
        <v>240</v>
      </c>
      <c r="D1094" s="51">
        <v>9420</v>
      </c>
      <c r="E1094" s="51">
        <v>348453</v>
      </c>
      <c r="F1094" s="52">
        <v>29047</v>
      </c>
      <c r="G1094" s="53">
        <v>8.3359878999999992</v>
      </c>
    </row>
    <row r="1095" spans="1:7">
      <c r="A1095" s="50" t="s">
        <v>1256</v>
      </c>
      <c r="B1095" s="50" t="s">
        <v>99</v>
      </c>
      <c r="C1095" s="50" t="s">
        <v>242</v>
      </c>
      <c r="D1095" s="51">
        <v>12259</v>
      </c>
      <c r="E1095" s="51">
        <v>298723</v>
      </c>
      <c r="F1095" s="52">
        <v>26879</v>
      </c>
      <c r="G1095" s="53">
        <v>8.9979680000000002</v>
      </c>
    </row>
    <row r="1096" spans="1:7">
      <c r="A1096" s="50" t="s">
        <v>1260</v>
      </c>
      <c r="B1096" s="50" t="s">
        <v>99</v>
      </c>
      <c r="C1096" s="50" t="s">
        <v>240</v>
      </c>
      <c r="D1096" s="51">
        <v>25416</v>
      </c>
      <c r="E1096" s="51">
        <v>300496</v>
      </c>
      <c r="F1096" s="52">
        <v>42195</v>
      </c>
      <c r="G1096" s="53">
        <v>14.041784</v>
      </c>
    </row>
    <row r="1097" spans="1:7">
      <c r="A1097" s="50" t="s">
        <v>1261</v>
      </c>
      <c r="B1097" s="50" t="s">
        <v>99</v>
      </c>
      <c r="C1097" s="50" t="s">
        <v>237</v>
      </c>
      <c r="D1097" s="51">
        <v>6958</v>
      </c>
      <c r="E1097" s="51">
        <v>116315</v>
      </c>
      <c r="F1097" s="52">
        <v>12702</v>
      </c>
      <c r="G1097" s="53">
        <v>10.920346</v>
      </c>
    </row>
    <row r="1098" spans="1:7">
      <c r="A1098" s="50" t="s">
        <v>1262</v>
      </c>
      <c r="B1098" s="50" t="s">
        <v>99</v>
      </c>
      <c r="C1098" s="50" t="s">
        <v>240</v>
      </c>
      <c r="D1098" s="51">
        <v>18831</v>
      </c>
      <c r="E1098" s="51">
        <v>371051</v>
      </c>
      <c r="F1098" s="52">
        <v>37028</v>
      </c>
      <c r="G1098" s="53">
        <v>9.9792211999999996</v>
      </c>
    </row>
    <row r="1099" spans="1:7">
      <c r="A1099" s="50" t="s">
        <v>1263</v>
      </c>
      <c r="B1099" s="50" t="s">
        <v>99</v>
      </c>
      <c r="C1099" s="50" t="s">
        <v>237</v>
      </c>
      <c r="D1099" s="51">
        <v>441239</v>
      </c>
      <c r="E1099" s="51">
        <v>4225254</v>
      </c>
      <c r="F1099" s="52">
        <v>613463.9</v>
      </c>
      <c r="G1099" s="53">
        <v>14.518983</v>
      </c>
    </row>
    <row r="1100" spans="1:7">
      <c r="A1100" s="50" t="s">
        <v>1821</v>
      </c>
      <c r="B1100" s="50" t="s">
        <v>99</v>
      </c>
      <c r="C1100" s="50" t="s">
        <v>332</v>
      </c>
      <c r="D1100" s="51">
        <v>1</v>
      </c>
      <c r="E1100" s="51">
        <v>7617</v>
      </c>
      <c r="F1100" s="52">
        <v>629.79999999999995</v>
      </c>
      <c r="G1100" s="53">
        <v>8.2683470999999997</v>
      </c>
    </row>
    <row r="1101" spans="1:7">
      <c r="A1101" s="50" t="s">
        <v>339</v>
      </c>
      <c r="B1101" s="50" t="s">
        <v>99</v>
      </c>
      <c r="C1101" s="50" t="s">
        <v>332</v>
      </c>
      <c r="D1101" s="51">
        <v>5</v>
      </c>
      <c r="E1101" s="51">
        <v>1986</v>
      </c>
      <c r="F1101" s="52">
        <v>267.5</v>
      </c>
      <c r="G1101" s="53">
        <v>13.469284999999999</v>
      </c>
    </row>
    <row r="1102" spans="1:7">
      <c r="A1102" s="50" t="s">
        <v>1264</v>
      </c>
      <c r="B1102" s="50" t="s">
        <v>99</v>
      </c>
      <c r="C1102" s="50" t="s">
        <v>237</v>
      </c>
      <c r="D1102" s="51">
        <v>412139</v>
      </c>
      <c r="E1102" s="51">
        <v>5026699</v>
      </c>
      <c r="F1102" s="52">
        <v>589001.5</v>
      </c>
      <c r="G1102" s="53">
        <v>11.717461</v>
      </c>
    </row>
    <row r="1103" spans="1:7">
      <c r="A1103" s="50" t="s">
        <v>1265</v>
      </c>
      <c r="B1103" s="50" t="s">
        <v>99</v>
      </c>
      <c r="C1103" s="50" t="s">
        <v>240</v>
      </c>
      <c r="D1103" s="51">
        <v>19537</v>
      </c>
      <c r="E1103" s="51">
        <v>247980</v>
      </c>
      <c r="F1103" s="52">
        <v>32388</v>
      </c>
      <c r="G1103" s="53">
        <v>13.060731000000001</v>
      </c>
    </row>
    <row r="1104" spans="1:7">
      <c r="A1104" s="50" t="s">
        <v>1266</v>
      </c>
      <c r="B1104" s="50" t="s">
        <v>99</v>
      </c>
      <c r="C1104" s="50" t="s">
        <v>237</v>
      </c>
      <c r="D1104" s="51">
        <v>1179727</v>
      </c>
      <c r="E1104" s="51">
        <v>12672004</v>
      </c>
      <c r="F1104" s="52">
        <v>1494034</v>
      </c>
      <c r="G1104" s="53">
        <v>11.790037</v>
      </c>
    </row>
    <row r="1105" spans="1:7">
      <c r="A1105" s="50" t="s">
        <v>1267</v>
      </c>
      <c r="B1105" s="50" t="s">
        <v>99</v>
      </c>
      <c r="C1105" s="50" t="s">
        <v>237</v>
      </c>
      <c r="D1105" s="51">
        <v>881096</v>
      </c>
      <c r="E1105" s="51">
        <v>10559053</v>
      </c>
      <c r="F1105" s="52">
        <v>1328774.3999999999</v>
      </c>
      <c r="G1105" s="53">
        <v>12.584218999999999</v>
      </c>
    </row>
    <row r="1106" spans="1:7">
      <c r="A1106" s="50" t="s">
        <v>1117</v>
      </c>
      <c r="B1106" s="50" t="s">
        <v>99</v>
      </c>
      <c r="C1106" s="50" t="s">
        <v>237</v>
      </c>
      <c r="D1106" s="51">
        <v>431622</v>
      </c>
      <c r="E1106" s="51">
        <v>4139190</v>
      </c>
      <c r="F1106" s="52">
        <v>567883.1</v>
      </c>
      <c r="G1106" s="53">
        <v>13.719666999999999</v>
      </c>
    </row>
    <row r="1107" spans="1:7">
      <c r="A1107" s="50" t="s">
        <v>1268</v>
      </c>
      <c r="B1107" s="50" t="s">
        <v>99</v>
      </c>
      <c r="C1107" s="50" t="s">
        <v>237</v>
      </c>
      <c r="D1107" s="51">
        <v>125449</v>
      </c>
      <c r="E1107" s="51">
        <v>1604844</v>
      </c>
      <c r="F1107" s="52">
        <v>196973.5</v>
      </c>
      <c r="G1107" s="53">
        <v>12.273685</v>
      </c>
    </row>
    <row r="1108" spans="1:7">
      <c r="A1108" s="50" t="s">
        <v>1269</v>
      </c>
      <c r="B1108" s="50" t="s">
        <v>99</v>
      </c>
      <c r="C1108" s="50" t="s">
        <v>237</v>
      </c>
      <c r="D1108" s="51">
        <v>3518</v>
      </c>
      <c r="E1108" s="51">
        <v>52125</v>
      </c>
      <c r="F1108" s="52">
        <v>5793.4</v>
      </c>
      <c r="G1108" s="53">
        <v>11.114436</v>
      </c>
    </row>
    <row r="1109" spans="1:7">
      <c r="A1109" s="50" t="s">
        <v>1270</v>
      </c>
      <c r="B1109" s="50" t="s">
        <v>99</v>
      </c>
      <c r="C1109" s="50" t="s">
        <v>240</v>
      </c>
      <c r="D1109" s="51">
        <v>22691</v>
      </c>
      <c r="E1109" s="51">
        <v>373621</v>
      </c>
      <c r="F1109" s="52">
        <v>44026</v>
      </c>
      <c r="G1109" s="53">
        <v>11.783599000000001</v>
      </c>
    </row>
    <row r="1110" spans="1:7">
      <c r="A1110" s="50" t="s">
        <v>343</v>
      </c>
      <c r="B1110" s="50" t="s">
        <v>99</v>
      </c>
      <c r="C1110" s="50" t="s">
        <v>332</v>
      </c>
      <c r="D1110" s="51">
        <v>6963</v>
      </c>
      <c r="E1110" s="51">
        <v>62444</v>
      </c>
      <c r="F1110" s="52">
        <v>8558.6</v>
      </c>
      <c r="G1110" s="53">
        <v>13.706041000000001</v>
      </c>
    </row>
    <row r="1111" spans="1:7">
      <c r="A1111" s="50" t="s">
        <v>1271</v>
      </c>
      <c r="B1111" s="50" t="s">
        <v>99</v>
      </c>
      <c r="C1111" s="50" t="s">
        <v>240</v>
      </c>
      <c r="D1111" s="51">
        <v>13694</v>
      </c>
      <c r="E1111" s="51">
        <v>195830</v>
      </c>
      <c r="F1111" s="52">
        <v>21447</v>
      </c>
      <c r="G1111" s="53">
        <v>10.951846</v>
      </c>
    </row>
    <row r="1112" spans="1:7">
      <c r="A1112" s="50" t="s">
        <v>348</v>
      </c>
      <c r="B1112" s="50" t="s">
        <v>99</v>
      </c>
      <c r="C1112" s="50" t="s">
        <v>332</v>
      </c>
      <c r="D1112" s="51">
        <v>52</v>
      </c>
      <c r="E1112" s="51">
        <v>508</v>
      </c>
      <c r="F1112" s="52">
        <v>27.8</v>
      </c>
      <c r="G1112" s="53">
        <v>5.4724408999999996</v>
      </c>
    </row>
    <row r="1113" spans="1:7">
      <c r="A1113" s="50" t="s">
        <v>349</v>
      </c>
      <c r="B1113" s="50" t="s">
        <v>99</v>
      </c>
      <c r="C1113" s="50" t="s">
        <v>332</v>
      </c>
      <c r="D1113" s="51">
        <v>2016</v>
      </c>
      <c r="E1113" s="51">
        <v>21606</v>
      </c>
      <c r="F1113" s="52">
        <v>3807.6</v>
      </c>
      <c r="G1113" s="53">
        <v>17.622883000000002</v>
      </c>
    </row>
    <row r="1114" spans="1:7">
      <c r="A1114" s="50" t="s">
        <v>350</v>
      </c>
      <c r="B1114" s="50" t="s">
        <v>99</v>
      </c>
      <c r="C1114" s="50" t="s">
        <v>332</v>
      </c>
      <c r="D1114" s="51">
        <v>1849</v>
      </c>
      <c r="E1114" s="51">
        <v>16224</v>
      </c>
      <c r="F1114" s="52">
        <v>2512.6</v>
      </c>
      <c r="G1114" s="53">
        <v>15.486933000000001</v>
      </c>
    </row>
    <row r="1115" spans="1:7">
      <c r="A1115" s="50" t="s">
        <v>351</v>
      </c>
      <c r="B1115" s="50" t="s">
        <v>99</v>
      </c>
      <c r="C1115" s="50" t="s">
        <v>332</v>
      </c>
      <c r="D1115" s="51">
        <v>19</v>
      </c>
      <c r="E1115" s="51">
        <v>5127</v>
      </c>
      <c r="F1115" s="52">
        <v>459.1</v>
      </c>
      <c r="G1115" s="53">
        <v>8.9545542999999999</v>
      </c>
    </row>
    <row r="1116" spans="1:7">
      <c r="A1116" s="50" t="s">
        <v>2167</v>
      </c>
      <c r="B1116" s="50" t="s">
        <v>99</v>
      </c>
      <c r="C1116" s="50" t="s">
        <v>240</v>
      </c>
      <c r="D1116" s="51">
        <v>19417</v>
      </c>
      <c r="E1116" s="51">
        <v>216077</v>
      </c>
      <c r="F1116" s="52">
        <v>29568</v>
      </c>
      <c r="G1116" s="53">
        <v>13.684011</v>
      </c>
    </row>
    <row r="1117" spans="1:7">
      <c r="A1117" s="50" t="s">
        <v>1272</v>
      </c>
      <c r="B1117" s="50" t="s">
        <v>99</v>
      </c>
      <c r="C1117" s="50" t="s">
        <v>237</v>
      </c>
      <c r="D1117" s="51">
        <v>62796</v>
      </c>
      <c r="E1117" s="51">
        <v>747640</v>
      </c>
      <c r="F1117" s="52">
        <v>79440.399999999994</v>
      </c>
      <c r="G1117" s="53">
        <v>10.625488000000001</v>
      </c>
    </row>
    <row r="1118" spans="1:7">
      <c r="A1118" s="50" t="s">
        <v>1274</v>
      </c>
      <c r="B1118" s="50" t="s">
        <v>99</v>
      </c>
      <c r="C1118" s="50" t="s">
        <v>240</v>
      </c>
      <c r="D1118" s="51">
        <v>22126</v>
      </c>
      <c r="E1118" s="51">
        <v>282552</v>
      </c>
      <c r="F1118" s="52">
        <v>35373</v>
      </c>
      <c r="G1118" s="53">
        <v>12.519112</v>
      </c>
    </row>
    <row r="1119" spans="1:7">
      <c r="A1119" s="50" t="s">
        <v>356</v>
      </c>
      <c r="B1119" s="50" t="s">
        <v>99</v>
      </c>
      <c r="C1119" s="50" t="s">
        <v>332</v>
      </c>
      <c r="D1119" s="51">
        <v>2903</v>
      </c>
      <c r="E1119" s="51">
        <v>18693</v>
      </c>
      <c r="F1119" s="52">
        <v>2479.1999999999998</v>
      </c>
      <c r="G1119" s="53">
        <v>13.262719000000001</v>
      </c>
    </row>
    <row r="1120" spans="1:7">
      <c r="A1120" s="50" t="s">
        <v>1275</v>
      </c>
      <c r="B1120" s="50" t="s">
        <v>99</v>
      </c>
      <c r="C1120" s="50" t="s">
        <v>237</v>
      </c>
      <c r="D1120" s="51">
        <v>6294</v>
      </c>
      <c r="E1120" s="51">
        <v>74855</v>
      </c>
      <c r="F1120" s="52">
        <v>9755</v>
      </c>
      <c r="G1120" s="53">
        <v>13.031862</v>
      </c>
    </row>
    <row r="1121" spans="1:7">
      <c r="A1121" s="50" t="s">
        <v>2169</v>
      </c>
      <c r="B1121" s="50" t="s">
        <v>99</v>
      </c>
      <c r="C1121" s="50" t="s">
        <v>237</v>
      </c>
      <c r="D1121" s="51">
        <v>551474</v>
      </c>
      <c r="E1121" s="51">
        <v>7045020</v>
      </c>
      <c r="F1121" s="52">
        <v>707982.4</v>
      </c>
      <c r="G1121" s="53">
        <v>10.049402000000001</v>
      </c>
    </row>
    <row r="1122" spans="1:7">
      <c r="A1122" s="50" t="s">
        <v>2170</v>
      </c>
      <c r="B1122" s="50" t="s">
        <v>102</v>
      </c>
      <c r="C1122" s="50" t="s">
        <v>325</v>
      </c>
      <c r="D1122" s="51">
        <v>1966</v>
      </c>
      <c r="E1122" s="51">
        <v>13046</v>
      </c>
      <c r="F1122" s="52">
        <v>5292</v>
      </c>
      <c r="G1122" s="53">
        <v>40.564157999999999</v>
      </c>
    </row>
    <row r="1123" spans="1:7">
      <c r="A1123" s="50" t="s">
        <v>1821</v>
      </c>
      <c r="B1123" s="50" t="s">
        <v>102</v>
      </c>
      <c r="C1123" s="50" t="s">
        <v>332</v>
      </c>
      <c r="D1123" s="51">
        <v>1</v>
      </c>
      <c r="E1123" s="51">
        <v>186</v>
      </c>
      <c r="F1123" s="52">
        <v>14.8</v>
      </c>
      <c r="G1123" s="53">
        <v>7.9569891999999998</v>
      </c>
    </row>
    <row r="1124" spans="1:7">
      <c r="A1124" s="50" t="s">
        <v>1276</v>
      </c>
      <c r="B1124" s="50" t="s">
        <v>102</v>
      </c>
      <c r="C1124" s="50" t="s">
        <v>242</v>
      </c>
      <c r="D1124" s="51">
        <v>4896</v>
      </c>
      <c r="E1124" s="51">
        <v>54494</v>
      </c>
      <c r="F1124" s="52">
        <v>7975</v>
      </c>
      <c r="G1124" s="53">
        <v>14.634639</v>
      </c>
    </row>
    <row r="1125" spans="1:7">
      <c r="A1125" s="50" t="s">
        <v>343</v>
      </c>
      <c r="B1125" s="50" t="s">
        <v>102</v>
      </c>
      <c r="C1125" s="50" t="s">
        <v>332</v>
      </c>
      <c r="D1125" s="51">
        <v>309</v>
      </c>
      <c r="E1125" s="51">
        <v>3075</v>
      </c>
      <c r="F1125" s="52">
        <v>392.4</v>
      </c>
      <c r="G1125" s="53">
        <v>12.760975999999999</v>
      </c>
    </row>
    <row r="1126" spans="1:7">
      <c r="A1126" s="50" t="s">
        <v>349</v>
      </c>
      <c r="B1126" s="50" t="s">
        <v>102</v>
      </c>
      <c r="C1126" s="50" t="s">
        <v>332</v>
      </c>
      <c r="D1126" s="51">
        <v>896</v>
      </c>
      <c r="E1126" s="51">
        <v>6216</v>
      </c>
      <c r="F1126" s="52">
        <v>1162</v>
      </c>
      <c r="G1126" s="53">
        <v>18.693694000000001</v>
      </c>
    </row>
    <row r="1127" spans="1:7">
      <c r="A1127" s="50" t="s">
        <v>350</v>
      </c>
      <c r="B1127" s="50" t="s">
        <v>102</v>
      </c>
      <c r="C1127" s="50" t="s">
        <v>332</v>
      </c>
      <c r="D1127" s="51">
        <v>510</v>
      </c>
      <c r="E1127" s="51">
        <v>3394</v>
      </c>
      <c r="F1127" s="52">
        <v>764.7</v>
      </c>
      <c r="G1127" s="53">
        <v>22.530937000000002</v>
      </c>
    </row>
    <row r="1128" spans="1:7">
      <c r="A1128" s="50" t="s">
        <v>1277</v>
      </c>
      <c r="B1128" s="50" t="s">
        <v>102</v>
      </c>
      <c r="C1128" s="50" t="s">
        <v>237</v>
      </c>
      <c r="D1128" s="51">
        <v>437256</v>
      </c>
      <c r="E1128" s="51">
        <v>3986031</v>
      </c>
      <c r="F1128" s="52">
        <v>799214.8</v>
      </c>
      <c r="G1128" s="53">
        <v>20.050391000000001</v>
      </c>
    </row>
    <row r="1129" spans="1:7">
      <c r="A1129" s="50" t="s">
        <v>356</v>
      </c>
      <c r="B1129" s="50" t="s">
        <v>102</v>
      </c>
      <c r="C1129" s="50" t="s">
        <v>332</v>
      </c>
      <c r="D1129" s="51">
        <v>123</v>
      </c>
      <c r="E1129" s="51">
        <v>628</v>
      </c>
      <c r="F1129" s="52">
        <v>114.9</v>
      </c>
      <c r="G1129" s="53">
        <v>18.296178000000001</v>
      </c>
    </row>
    <row r="1130" spans="1:7">
      <c r="A1130" s="50" t="s">
        <v>1278</v>
      </c>
      <c r="B1130" s="50" t="s">
        <v>104</v>
      </c>
      <c r="C1130" s="50" t="s">
        <v>240</v>
      </c>
      <c r="D1130" s="51">
        <v>49307</v>
      </c>
      <c r="E1130" s="51">
        <v>900029</v>
      </c>
      <c r="F1130" s="52">
        <v>109814</v>
      </c>
      <c r="G1130" s="53">
        <v>12.201162</v>
      </c>
    </row>
    <row r="1131" spans="1:7">
      <c r="A1131" s="50" t="s">
        <v>1279</v>
      </c>
      <c r="B1131" s="50" t="s">
        <v>104</v>
      </c>
      <c r="C1131" s="50" t="s">
        <v>240</v>
      </c>
      <c r="D1131" s="51">
        <v>108196</v>
      </c>
      <c r="E1131" s="51">
        <v>3586238</v>
      </c>
      <c r="F1131" s="52">
        <v>333671</v>
      </c>
      <c r="G1131" s="53">
        <v>9.3042067999999993</v>
      </c>
    </row>
    <row r="1132" spans="1:7">
      <c r="A1132" s="50" t="s">
        <v>1280</v>
      </c>
      <c r="B1132" s="50" t="s">
        <v>104</v>
      </c>
      <c r="C1132" s="50" t="s">
        <v>240</v>
      </c>
      <c r="D1132" s="51">
        <v>33136</v>
      </c>
      <c r="E1132" s="51">
        <v>675895</v>
      </c>
      <c r="F1132" s="52">
        <v>75841.8</v>
      </c>
      <c r="G1132" s="53">
        <v>11.220943999999999</v>
      </c>
    </row>
    <row r="1133" spans="1:7">
      <c r="A1133" s="50" t="s">
        <v>1281</v>
      </c>
      <c r="B1133" s="50" t="s">
        <v>104</v>
      </c>
      <c r="C1133" s="50" t="s">
        <v>240</v>
      </c>
      <c r="D1133" s="51">
        <v>67589</v>
      </c>
      <c r="E1133" s="51">
        <v>1050089</v>
      </c>
      <c r="F1133" s="52">
        <v>146566.9</v>
      </c>
      <c r="G1133" s="53">
        <v>13.957568999999999</v>
      </c>
    </row>
    <row r="1134" spans="1:7">
      <c r="A1134" s="50" t="s">
        <v>913</v>
      </c>
      <c r="B1134" s="50" t="s">
        <v>104</v>
      </c>
      <c r="C1134" s="50" t="s">
        <v>240</v>
      </c>
      <c r="D1134" s="51">
        <v>22436</v>
      </c>
      <c r="E1134" s="51">
        <v>374182</v>
      </c>
      <c r="F1134" s="52">
        <v>49744</v>
      </c>
      <c r="G1134" s="53">
        <v>13.294065</v>
      </c>
    </row>
    <row r="1135" spans="1:7">
      <c r="A1135" s="50" t="s">
        <v>1284</v>
      </c>
      <c r="B1135" s="50" t="s">
        <v>104</v>
      </c>
      <c r="C1135" s="50" t="s">
        <v>242</v>
      </c>
      <c r="D1135" s="51">
        <v>6722</v>
      </c>
      <c r="E1135" s="51">
        <v>215155</v>
      </c>
      <c r="F1135" s="52">
        <v>22929</v>
      </c>
      <c r="G1135" s="53">
        <v>10.656968000000001</v>
      </c>
    </row>
    <row r="1136" spans="1:7">
      <c r="A1136" s="50" t="s">
        <v>1287</v>
      </c>
      <c r="B1136" s="50" t="s">
        <v>104</v>
      </c>
      <c r="C1136" s="50" t="s">
        <v>242</v>
      </c>
      <c r="D1136" s="51">
        <v>4967</v>
      </c>
      <c r="E1136" s="51">
        <v>206595</v>
      </c>
      <c r="F1136" s="52">
        <v>24225.1</v>
      </c>
      <c r="G1136" s="53">
        <v>11.725889</v>
      </c>
    </row>
    <row r="1137" spans="1:7">
      <c r="A1137" s="50" t="s">
        <v>1288</v>
      </c>
      <c r="B1137" s="50" t="s">
        <v>104</v>
      </c>
      <c r="C1137" s="50" t="s">
        <v>242</v>
      </c>
      <c r="D1137" s="51">
        <v>24507</v>
      </c>
      <c r="E1137" s="51">
        <v>800411</v>
      </c>
      <c r="F1137" s="52">
        <v>79160.2</v>
      </c>
      <c r="G1137" s="53">
        <v>9.8899439999999998</v>
      </c>
    </row>
    <row r="1138" spans="1:7">
      <c r="A1138" s="50" t="s">
        <v>1289</v>
      </c>
      <c r="B1138" s="50" t="s">
        <v>104</v>
      </c>
      <c r="C1138" s="50" t="s">
        <v>242</v>
      </c>
      <c r="D1138" s="51">
        <v>39933</v>
      </c>
      <c r="E1138" s="51">
        <v>839050</v>
      </c>
      <c r="F1138" s="52">
        <v>109071</v>
      </c>
      <c r="G1138" s="53">
        <v>12.999344000000001</v>
      </c>
    </row>
    <row r="1139" spans="1:7">
      <c r="A1139" s="50" t="s">
        <v>2175</v>
      </c>
      <c r="B1139" s="50" t="s">
        <v>104</v>
      </c>
      <c r="C1139" s="50" t="s">
        <v>237</v>
      </c>
      <c r="D1139" s="51">
        <v>758495</v>
      </c>
      <c r="E1139" s="51">
        <v>21261356</v>
      </c>
      <c r="F1139" s="52">
        <v>2269774.7000000002</v>
      </c>
      <c r="G1139" s="53">
        <v>10.675587999999999</v>
      </c>
    </row>
    <row r="1140" spans="1:7">
      <c r="A1140" s="50" t="s">
        <v>936</v>
      </c>
      <c r="B1140" s="50" t="s">
        <v>104</v>
      </c>
      <c r="C1140" s="50" t="s">
        <v>237</v>
      </c>
      <c r="D1140" s="51">
        <v>617774</v>
      </c>
      <c r="E1140" s="51">
        <v>20013838</v>
      </c>
      <c r="F1140" s="52">
        <v>1705530</v>
      </c>
      <c r="G1140" s="53">
        <v>8.5217538000000008</v>
      </c>
    </row>
    <row r="1141" spans="1:7">
      <c r="A1141" s="50" t="s">
        <v>937</v>
      </c>
      <c r="B1141" s="50" t="s">
        <v>104</v>
      </c>
      <c r="C1141" s="50" t="s">
        <v>237</v>
      </c>
      <c r="D1141" s="51">
        <v>171560</v>
      </c>
      <c r="E1141" s="51">
        <v>5956348</v>
      </c>
      <c r="F1141" s="52">
        <v>544895.69999999995</v>
      </c>
      <c r="G1141" s="53">
        <v>9.1481507999999998</v>
      </c>
    </row>
    <row r="1142" spans="1:7">
      <c r="A1142" s="50" t="s">
        <v>1294</v>
      </c>
      <c r="B1142" s="50" t="s">
        <v>104</v>
      </c>
      <c r="C1142" s="50" t="s">
        <v>242</v>
      </c>
      <c r="D1142" s="51">
        <v>15197</v>
      </c>
      <c r="E1142" s="51">
        <v>279754</v>
      </c>
      <c r="F1142" s="52">
        <v>34874</v>
      </c>
      <c r="G1142" s="53">
        <v>12.465952</v>
      </c>
    </row>
    <row r="1143" spans="1:7">
      <c r="A1143" s="50" t="s">
        <v>1295</v>
      </c>
      <c r="B1143" s="50" t="s">
        <v>104</v>
      </c>
      <c r="C1143" s="50" t="s">
        <v>240</v>
      </c>
      <c r="D1143" s="51">
        <v>20550</v>
      </c>
      <c r="E1143" s="51">
        <v>342833</v>
      </c>
      <c r="F1143" s="52">
        <v>48189.1</v>
      </c>
      <c r="G1143" s="53">
        <v>14.056144</v>
      </c>
    </row>
    <row r="1144" spans="1:7">
      <c r="A1144" s="50" t="s">
        <v>1296</v>
      </c>
      <c r="B1144" s="50" t="s">
        <v>104</v>
      </c>
      <c r="C1144" s="50" t="s">
        <v>240</v>
      </c>
      <c r="D1144" s="51">
        <v>30450</v>
      </c>
      <c r="E1144" s="51">
        <v>630870</v>
      </c>
      <c r="F1144" s="52">
        <v>71579</v>
      </c>
      <c r="G1144" s="53">
        <v>11.346078</v>
      </c>
    </row>
    <row r="1145" spans="1:7">
      <c r="A1145" s="50" t="s">
        <v>1821</v>
      </c>
      <c r="B1145" s="50" t="s">
        <v>104</v>
      </c>
      <c r="C1145" s="50" t="s">
        <v>332</v>
      </c>
      <c r="D1145" s="51">
        <v>1</v>
      </c>
      <c r="E1145" s="51">
        <v>3697</v>
      </c>
      <c r="F1145" s="52">
        <v>342.4</v>
      </c>
      <c r="G1145" s="53">
        <v>9.2615634</v>
      </c>
    </row>
    <row r="1146" spans="1:7">
      <c r="A1146" s="50" t="s">
        <v>1297</v>
      </c>
      <c r="B1146" s="50" t="s">
        <v>104</v>
      </c>
      <c r="C1146" s="50" t="s">
        <v>242</v>
      </c>
      <c r="D1146" s="51">
        <v>14245</v>
      </c>
      <c r="E1146" s="51">
        <v>287042</v>
      </c>
      <c r="F1146" s="52">
        <v>21335</v>
      </c>
      <c r="G1146" s="53">
        <v>7.4327101999999998</v>
      </c>
    </row>
    <row r="1147" spans="1:7">
      <c r="A1147" s="50" t="s">
        <v>1298</v>
      </c>
      <c r="B1147" s="50" t="s">
        <v>104</v>
      </c>
      <c r="C1147" s="50" t="s">
        <v>242</v>
      </c>
      <c r="D1147" s="51">
        <v>33975</v>
      </c>
      <c r="E1147" s="51">
        <v>371667</v>
      </c>
      <c r="F1147" s="52">
        <v>45670</v>
      </c>
      <c r="G1147" s="53">
        <v>12.287881</v>
      </c>
    </row>
    <row r="1148" spans="1:7">
      <c r="A1148" s="50" t="s">
        <v>504</v>
      </c>
      <c r="B1148" s="50" t="s">
        <v>104</v>
      </c>
      <c r="C1148" s="50" t="s">
        <v>240</v>
      </c>
      <c r="D1148" s="51">
        <v>14</v>
      </c>
      <c r="E1148" s="51">
        <v>87</v>
      </c>
      <c r="F1148" s="52">
        <v>15</v>
      </c>
      <c r="G1148" s="53">
        <v>17.241378999999998</v>
      </c>
    </row>
    <row r="1149" spans="1:7">
      <c r="A1149" s="50" t="s">
        <v>1299</v>
      </c>
      <c r="B1149" s="50" t="s">
        <v>104</v>
      </c>
      <c r="C1149" s="50" t="s">
        <v>240</v>
      </c>
      <c r="D1149" s="51">
        <v>84507</v>
      </c>
      <c r="E1149" s="51">
        <v>1206314</v>
      </c>
      <c r="F1149" s="52">
        <v>164067</v>
      </c>
      <c r="G1149" s="53">
        <v>13.600688</v>
      </c>
    </row>
    <row r="1150" spans="1:7">
      <c r="A1150" s="50" t="s">
        <v>1300</v>
      </c>
      <c r="B1150" s="50" t="s">
        <v>104</v>
      </c>
      <c r="C1150" s="50" t="s">
        <v>240</v>
      </c>
      <c r="D1150" s="51">
        <v>60308</v>
      </c>
      <c r="E1150" s="51">
        <v>1066052</v>
      </c>
      <c r="F1150" s="52">
        <v>135223</v>
      </c>
      <c r="G1150" s="53">
        <v>12.684466</v>
      </c>
    </row>
    <row r="1151" spans="1:7">
      <c r="A1151" s="50" t="s">
        <v>1302</v>
      </c>
      <c r="B1151" s="50" t="s">
        <v>104</v>
      </c>
      <c r="C1151" s="50" t="s">
        <v>237</v>
      </c>
      <c r="D1151" s="51">
        <v>6165</v>
      </c>
      <c r="E1151" s="51">
        <v>208175</v>
      </c>
      <c r="F1151" s="52">
        <v>19669.400000000001</v>
      </c>
      <c r="G1151" s="53">
        <v>9.4484928999999998</v>
      </c>
    </row>
    <row r="1152" spans="1:7">
      <c r="A1152" s="50" t="s">
        <v>1303</v>
      </c>
      <c r="B1152" s="50" t="s">
        <v>104</v>
      </c>
      <c r="C1152" s="50" t="s">
        <v>240</v>
      </c>
      <c r="D1152" s="51">
        <v>21324</v>
      </c>
      <c r="E1152" s="51">
        <v>438762</v>
      </c>
      <c r="F1152" s="52">
        <v>50523</v>
      </c>
      <c r="G1152" s="53">
        <v>11.514899</v>
      </c>
    </row>
    <row r="1153" spans="1:7">
      <c r="A1153" s="50" t="s">
        <v>1304</v>
      </c>
      <c r="B1153" s="50" t="s">
        <v>104</v>
      </c>
      <c r="C1153" s="50" t="s">
        <v>240</v>
      </c>
      <c r="D1153" s="51">
        <v>6528</v>
      </c>
      <c r="E1153" s="51">
        <v>810547</v>
      </c>
      <c r="F1153" s="52">
        <v>58130</v>
      </c>
      <c r="G1153" s="53">
        <v>7.1717000999999998</v>
      </c>
    </row>
    <row r="1154" spans="1:7">
      <c r="A1154" s="50" t="s">
        <v>1305</v>
      </c>
      <c r="B1154" s="50" t="s">
        <v>104</v>
      </c>
      <c r="C1154" s="50" t="s">
        <v>240</v>
      </c>
      <c r="D1154" s="51">
        <v>57785</v>
      </c>
      <c r="E1154" s="51">
        <v>1006213</v>
      </c>
      <c r="F1154" s="52">
        <v>126053</v>
      </c>
      <c r="G1154" s="53">
        <v>12.527467</v>
      </c>
    </row>
    <row r="1155" spans="1:7">
      <c r="A1155" s="50" t="s">
        <v>1306</v>
      </c>
      <c r="B1155" s="50" t="s">
        <v>104</v>
      </c>
      <c r="C1155" s="50" t="s">
        <v>240</v>
      </c>
      <c r="D1155" s="51">
        <v>13205</v>
      </c>
      <c r="E1155" s="51">
        <v>348797</v>
      </c>
      <c r="F1155" s="52">
        <v>39419</v>
      </c>
      <c r="G1155" s="53">
        <v>11.301416</v>
      </c>
    </row>
    <row r="1156" spans="1:7">
      <c r="A1156" s="50" t="s">
        <v>1307</v>
      </c>
      <c r="B1156" s="50" t="s">
        <v>104</v>
      </c>
      <c r="C1156" s="50" t="s">
        <v>240</v>
      </c>
      <c r="D1156" s="51">
        <v>75203</v>
      </c>
      <c r="E1156" s="51">
        <v>1478506</v>
      </c>
      <c r="F1156" s="52">
        <v>168134</v>
      </c>
      <c r="G1156" s="53">
        <v>11.371885000000001</v>
      </c>
    </row>
    <row r="1157" spans="1:7">
      <c r="A1157" s="50" t="s">
        <v>1308</v>
      </c>
      <c r="B1157" s="50" t="s">
        <v>104</v>
      </c>
      <c r="C1157" s="50" t="s">
        <v>240</v>
      </c>
      <c r="D1157" s="51">
        <v>30785</v>
      </c>
      <c r="E1157" s="51">
        <v>685201</v>
      </c>
      <c r="F1157" s="52">
        <v>70858</v>
      </c>
      <c r="G1157" s="53">
        <v>10.341199</v>
      </c>
    </row>
    <row r="1158" spans="1:7">
      <c r="A1158" s="50" t="s">
        <v>1309</v>
      </c>
      <c r="B1158" s="50" t="s">
        <v>104</v>
      </c>
      <c r="C1158" s="50" t="s">
        <v>240</v>
      </c>
      <c r="D1158" s="51">
        <v>43664</v>
      </c>
      <c r="E1158" s="51">
        <v>1201329</v>
      </c>
      <c r="F1158" s="52">
        <v>128943.3</v>
      </c>
      <c r="G1158" s="53">
        <v>10.733388</v>
      </c>
    </row>
    <row r="1159" spans="1:7">
      <c r="A1159" s="50" t="s">
        <v>1310</v>
      </c>
      <c r="B1159" s="50" t="s">
        <v>104</v>
      </c>
      <c r="C1159" s="50" t="s">
        <v>2</v>
      </c>
      <c r="D1159" s="51">
        <v>191785</v>
      </c>
      <c r="E1159" s="51">
        <v>7669358</v>
      </c>
      <c r="F1159" s="52">
        <v>580526</v>
      </c>
      <c r="G1159" s="53">
        <v>7.5694210999999996</v>
      </c>
    </row>
    <row r="1160" spans="1:7">
      <c r="A1160" s="50" t="s">
        <v>349</v>
      </c>
      <c r="B1160" s="50" t="s">
        <v>104</v>
      </c>
      <c r="C1160" s="50" t="s">
        <v>332</v>
      </c>
      <c r="D1160" s="51">
        <v>33</v>
      </c>
      <c r="E1160" s="51">
        <v>269</v>
      </c>
      <c r="F1160" s="52">
        <v>36.5</v>
      </c>
      <c r="G1160" s="53">
        <v>13.568773</v>
      </c>
    </row>
    <row r="1161" spans="1:7">
      <c r="A1161" s="50" t="s">
        <v>350</v>
      </c>
      <c r="B1161" s="50" t="s">
        <v>104</v>
      </c>
      <c r="C1161" s="50" t="s">
        <v>332</v>
      </c>
      <c r="D1161" s="51">
        <v>7128</v>
      </c>
      <c r="E1161" s="51">
        <v>68586</v>
      </c>
      <c r="F1161" s="52">
        <v>10787.9</v>
      </c>
      <c r="G1161" s="53">
        <v>15.729012000000001</v>
      </c>
    </row>
    <row r="1162" spans="1:7">
      <c r="A1162" s="50" t="s">
        <v>2179</v>
      </c>
      <c r="B1162" s="50" t="s">
        <v>104</v>
      </c>
      <c r="C1162" s="50" t="s">
        <v>240</v>
      </c>
      <c r="D1162" s="51">
        <v>18278</v>
      </c>
      <c r="E1162" s="51">
        <v>295660</v>
      </c>
      <c r="F1162" s="52">
        <v>43362</v>
      </c>
      <c r="G1162" s="53">
        <v>14.666171</v>
      </c>
    </row>
    <row r="1163" spans="1:7">
      <c r="A1163" s="50" t="s">
        <v>356</v>
      </c>
      <c r="B1163" s="50" t="s">
        <v>104</v>
      </c>
      <c r="C1163" s="50" t="s">
        <v>332</v>
      </c>
      <c r="D1163" s="51">
        <v>899</v>
      </c>
      <c r="E1163" s="51">
        <v>6901</v>
      </c>
      <c r="F1163" s="52">
        <v>951.2</v>
      </c>
      <c r="G1163" s="53">
        <v>13.78351</v>
      </c>
    </row>
    <row r="1164" spans="1:7">
      <c r="A1164" s="50" t="s">
        <v>973</v>
      </c>
      <c r="B1164" s="50" t="s">
        <v>104</v>
      </c>
      <c r="C1164" s="50" t="s">
        <v>240</v>
      </c>
      <c r="D1164" s="51">
        <v>64416</v>
      </c>
      <c r="E1164" s="51">
        <v>1048826</v>
      </c>
      <c r="F1164" s="52">
        <v>124741</v>
      </c>
      <c r="G1164" s="53">
        <v>11.893393</v>
      </c>
    </row>
    <row r="1165" spans="1:7">
      <c r="A1165" s="50" t="s">
        <v>1311</v>
      </c>
      <c r="B1165" s="50" t="s">
        <v>107</v>
      </c>
      <c r="C1165" s="50" t="s">
        <v>240</v>
      </c>
      <c r="D1165" s="51">
        <v>10343</v>
      </c>
      <c r="E1165" s="51">
        <v>151309</v>
      </c>
      <c r="F1165" s="52">
        <v>21369.1</v>
      </c>
      <c r="G1165" s="53">
        <v>14.122821999999999</v>
      </c>
    </row>
    <row r="1166" spans="1:7">
      <c r="A1166" s="50" t="s">
        <v>891</v>
      </c>
      <c r="B1166" s="50" t="s">
        <v>107</v>
      </c>
      <c r="C1166" s="50" t="s">
        <v>237</v>
      </c>
      <c r="D1166" s="51">
        <v>71008</v>
      </c>
      <c r="E1166" s="51">
        <v>1465737</v>
      </c>
      <c r="F1166" s="52">
        <v>177156</v>
      </c>
      <c r="G1166" s="53">
        <v>12.086479000000001</v>
      </c>
    </row>
    <row r="1167" spans="1:7">
      <c r="A1167" s="50" t="s">
        <v>1315</v>
      </c>
      <c r="B1167" s="50" t="s">
        <v>107</v>
      </c>
      <c r="C1167" s="50" t="s">
        <v>240</v>
      </c>
      <c r="D1167" s="51">
        <v>7217</v>
      </c>
      <c r="E1167" s="51">
        <v>333306</v>
      </c>
      <c r="F1167" s="52">
        <v>32099.3</v>
      </c>
      <c r="G1167" s="53">
        <v>9.6305797000000002</v>
      </c>
    </row>
    <row r="1168" spans="1:7">
      <c r="A1168" s="50" t="s">
        <v>1318</v>
      </c>
      <c r="B1168" s="50" t="s">
        <v>107</v>
      </c>
      <c r="C1168" s="50" t="s">
        <v>242</v>
      </c>
      <c r="D1168" s="51">
        <v>11401</v>
      </c>
      <c r="E1168" s="51">
        <v>313540</v>
      </c>
      <c r="F1168" s="52">
        <v>29366</v>
      </c>
      <c r="G1168" s="53">
        <v>9.3659500999999992</v>
      </c>
    </row>
    <row r="1169" spans="1:7">
      <c r="A1169" s="50" t="s">
        <v>1321</v>
      </c>
      <c r="B1169" s="50" t="s">
        <v>107</v>
      </c>
      <c r="C1169" s="50" t="s">
        <v>242</v>
      </c>
      <c r="D1169" s="51">
        <v>3328</v>
      </c>
      <c r="E1169" s="51">
        <v>99474</v>
      </c>
      <c r="F1169" s="52">
        <v>10366</v>
      </c>
      <c r="G1169" s="53">
        <v>10.420813000000001</v>
      </c>
    </row>
    <row r="1170" spans="1:7">
      <c r="A1170" s="50" t="s">
        <v>1323</v>
      </c>
      <c r="B1170" s="50" t="s">
        <v>107</v>
      </c>
      <c r="C1170" s="50" t="s">
        <v>242</v>
      </c>
      <c r="D1170" s="51">
        <v>7335</v>
      </c>
      <c r="E1170" s="51">
        <v>167577</v>
      </c>
      <c r="F1170" s="52">
        <v>14838.2</v>
      </c>
      <c r="G1170" s="53">
        <v>8.8545563999999999</v>
      </c>
    </row>
    <row r="1171" spans="1:7">
      <c r="A1171" s="50" t="s">
        <v>1326</v>
      </c>
      <c r="B1171" s="50" t="s">
        <v>107</v>
      </c>
      <c r="C1171" s="50" t="s">
        <v>242</v>
      </c>
      <c r="D1171" s="51">
        <v>1156</v>
      </c>
      <c r="E1171" s="51">
        <v>59768</v>
      </c>
      <c r="F1171" s="52">
        <v>5669.4</v>
      </c>
      <c r="G1171" s="53">
        <v>9.4856780000000001</v>
      </c>
    </row>
    <row r="1172" spans="1:7">
      <c r="A1172" s="50" t="s">
        <v>1329</v>
      </c>
      <c r="B1172" s="50" t="s">
        <v>107</v>
      </c>
      <c r="C1172" s="50" t="s">
        <v>240</v>
      </c>
      <c r="D1172" s="51">
        <v>3579</v>
      </c>
      <c r="E1172" s="51">
        <v>230603</v>
      </c>
      <c r="F1172" s="52">
        <v>23487.8</v>
      </c>
      <c r="G1172" s="53">
        <v>10.185384000000001</v>
      </c>
    </row>
    <row r="1173" spans="1:7">
      <c r="A1173" s="50" t="s">
        <v>546</v>
      </c>
      <c r="B1173" s="50" t="s">
        <v>107</v>
      </c>
      <c r="C1173" s="50" t="s">
        <v>237</v>
      </c>
      <c r="D1173" s="51">
        <v>5156</v>
      </c>
      <c r="E1173" s="51">
        <v>251134</v>
      </c>
      <c r="F1173" s="52">
        <v>15730.1</v>
      </c>
      <c r="G1173" s="53">
        <v>6.2636282000000003</v>
      </c>
    </row>
    <row r="1174" spans="1:7">
      <c r="A1174" s="50" t="s">
        <v>903</v>
      </c>
      <c r="B1174" s="50" t="s">
        <v>107</v>
      </c>
      <c r="C1174" s="50" t="s">
        <v>237</v>
      </c>
      <c r="D1174" s="51">
        <v>8501</v>
      </c>
      <c r="E1174" s="51">
        <v>141840</v>
      </c>
      <c r="F1174" s="52">
        <v>14626</v>
      </c>
      <c r="G1174" s="53">
        <v>10.311619</v>
      </c>
    </row>
    <row r="1175" spans="1:7">
      <c r="A1175" s="50" t="s">
        <v>1048</v>
      </c>
      <c r="B1175" s="50" t="s">
        <v>107</v>
      </c>
      <c r="C1175" s="50" t="s">
        <v>325</v>
      </c>
      <c r="D1175" s="51">
        <v>1316</v>
      </c>
      <c r="E1175" s="51">
        <v>37445</v>
      </c>
      <c r="F1175" s="52">
        <v>2955</v>
      </c>
      <c r="G1175" s="53">
        <v>7.8915743000000003</v>
      </c>
    </row>
    <row r="1176" spans="1:7">
      <c r="A1176" s="50" t="s">
        <v>1334</v>
      </c>
      <c r="B1176" s="50" t="s">
        <v>107</v>
      </c>
      <c r="C1176" s="50" t="s">
        <v>237</v>
      </c>
      <c r="D1176" s="51">
        <v>63869</v>
      </c>
      <c r="E1176" s="51">
        <v>1675490</v>
      </c>
      <c r="F1176" s="52">
        <v>170351</v>
      </c>
      <c r="G1176" s="53">
        <v>10.167235</v>
      </c>
    </row>
    <row r="1177" spans="1:7">
      <c r="A1177" s="50" t="s">
        <v>1335</v>
      </c>
      <c r="B1177" s="50" t="s">
        <v>107</v>
      </c>
      <c r="C1177" s="50" t="s">
        <v>240</v>
      </c>
      <c r="D1177" s="51">
        <v>6446</v>
      </c>
      <c r="E1177" s="51">
        <v>308150</v>
      </c>
      <c r="F1177" s="52">
        <v>28107.8</v>
      </c>
      <c r="G1177" s="53">
        <v>9.1214668000000003</v>
      </c>
    </row>
    <row r="1178" spans="1:7">
      <c r="A1178" s="50" t="s">
        <v>792</v>
      </c>
      <c r="B1178" s="50" t="s">
        <v>107</v>
      </c>
      <c r="C1178" s="50" t="s">
        <v>237</v>
      </c>
      <c r="D1178" s="51">
        <v>96928</v>
      </c>
      <c r="E1178" s="51">
        <v>2153990</v>
      </c>
      <c r="F1178" s="52">
        <v>217649.1</v>
      </c>
      <c r="G1178" s="53">
        <v>10.104462</v>
      </c>
    </row>
    <row r="1179" spans="1:7">
      <c r="A1179" s="50" t="s">
        <v>794</v>
      </c>
      <c r="B1179" s="50" t="s">
        <v>107</v>
      </c>
      <c r="C1179" s="50" t="s">
        <v>237</v>
      </c>
      <c r="D1179" s="51">
        <v>11737</v>
      </c>
      <c r="E1179" s="51">
        <v>478845</v>
      </c>
      <c r="F1179" s="52">
        <v>36534.9</v>
      </c>
      <c r="G1179" s="53">
        <v>7.6297967</v>
      </c>
    </row>
    <row r="1180" spans="1:7">
      <c r="A1180" s="50" t="s">
        <v>1337</v>
      </c>
      <c r="B1180" s="50" t="s">
        <v>107</v>
      </c>
      <c r="C1180" s="50" t="s">
        <v>240</v>
      </c>
      <c r="D1180" s="51">
        <v>5519</v>
      </c>
      <c r="E1180" s="51">
        <v>88090</v>
      </c>
      <c r="F1180" s="52">
        <v>8308.1</v>
      </c>
      <c r="G1180" s="53">
        <v>9.4313769999999995</v>
      </c>
    </row>
    <row r="1181" spans="1:7">
      <c r="A1181" s="50" t="s">
        <v>799</v>
      </c>
      <c r="B1181" s="50" t="s">
        <v>107</v>
      </c>
      <c r="C1181" s="50" t="s">
        <v>240</v>
      </c>
      <c r="D1181" s="51">
        <v>22725</v>
      </c>
      <c r="E1181" s="51">
        <v>719909</v>
      </c>
      <c r="F1181" s="52">
        <v>71777.100000000006</v>
      </c>
      <c r="G1181" s="53">
        <v>9.9703017999999997</v>
      </c>
    </row>
    <row r="1182" spans="1:7">
      <c r="A1182" s="50" t="s">
        <v>1338</v>
      </c>
      <c r="B1182" s="50" t="s">
        <v>107</v>
      </c>
      <c r="C1182" s="50" t="s">
        <v>240</v>
      </c>
      <c r="D1182" s="51">
        <v>19205</v>
      </c>
      <c r="E1182" s="51">
        <v>630576</v>
      </c>
      <c r="F1182" s="52">
        <v>60884.1</v>
      </c>
      <c r="G1182" s="53">
        <v>9.6553150999999993</v>
      </c>
    </row>
    <row r="1183" spans="1:7">
      <c r="A1183" s="50" t="s">
        <v>357</v>
      </c>
      <c r="B1183" s="50" t="s">
        <v>107</v>
      </c>
      <c r="C1183" s="50" t="s">
        <v>295</v>
      </c>
      <c r="D1183" s="51">
        <v>22</v>
      </c>
      <c r="E1183" s="51">
        <v>334247</v>
      </c>
      <c r="F1183" s="52">
        <v>7846.5</v>
      </c>
      <c r="G1183" s="53">
        <v>2.3475155000000001</v>
      </c>
    </row>
    <row r="1184" spans="1:7">
      <c r="A1184" s="50" t="s">
        <v>1341</v>
      </c>
      <c r="B1184" s="50" t="s">
        <v>107</v>
      </c>
      <c r="C1184" s="50" t="s">
        <v>242</v>
      </c>
      <c r="D1184" s="51">
        <v>13271</v>
      </c>
      <c r="E1184" s="51">
        <v>373266</v>
      </c>
      <c r="F1184" s="52">
        <v>30005</v>
      </c>
      <c r="G1184" s="53">
        <v>8.0385033999999997</v>
      </c>
    </row>
    <row r="1185" spans="1:7">
      <c r="A1185" s="50" t="s">
        <v>1343</v>
      </c>
      <c r="B1185" s="50" t="s">
        <v>107</v>
      </c>
      <c r="C1185" s="50" t="s">
        <v>240</v>
      </c>
      <c r="D1185" s="51">
        <v>18159</v>
      </c>
      <c r="E1185" s="51">
        <v>296639</v>
      </c>
      <c r="F1185" s="52">
        <v>38404</v>
      </c>
      <c r="G1185" s="53">
        <v>12.946376000000001</v>
      </c>
    </row>
    <row r="1186" spans="1:7">
      <c r="A1186" s="50" t="s">
        <v>1346</v>
      </c>
      <c r="B1186" s="50" t="s">
        <v>110</v>
      </c>
      <c r="C1186" s="50" t="s">
        <v>240</v>
      </c>
      <c r="D1186" s="51">
        <v>47715</v>
      </c>
      <c r="E1186" s="51">
        <v>914954</v>
      </c>
      <c r="F1186" s="52">
        <v>99731</v>
      </c>
      <c r="G1186" s="53">
        <v>10.900111000000001</v>
      </c>
    </row>
    <row r="1187" spans="1:7">
      <c r="A1187" s="50" t="s">
        <v>1347</v>
      </c>
      <c r="B1187" s="50" t="s">
        <v>110</v>
      </c>
      <c r="C1187" s="50" t="s">
        <v>242</v>
      </c>
      <c r="D1187" s="51">
        <v>13509</v>
      </c>
      <c r="E1187" s="51">
        <v>628755</v>
      </c>
      <c r="F1187" s="52">
        <v>47349</v>
      </c>
      <c r="G1187" s="53">
        <v>7.5305961999999997</v>
      </c>
    </row>
    <row r="1188" spans="1:7">
      <c r="A1188" s="50" t="s">
        <v>1348</v>
      </c>
      <c r="B1188" s="50" t="s">
        <v>110</v>
      </c>
      <c r="C1188" s="50" t="s">
        <v>242</v>
      </c>
      <c r="D1188" s="51">
        <v>10254</v>
      </c>
      <c r="E1188" s="51">
        <v>184422</v>
      </c>
      <c r="F1188" s="52">
        <v>23154</v>
      </c>
      <c r="G1188" s="53">
        <v>12.554900999999999</v>
      </c>
    </row>
    <row r="1189" spans="1:7">
      <c r="A1189" s="50" t="s">
        <v>1349</v>
      </c>
      <c r="B1189" s="50" t="s">
        <v>110</v>
      </c>
      <c r="C1189" s="50" t="s">
        <v>242</v>
      </c>
      <c r="D1189" s="51">
        <v>11246</v>
      </c>
      <c r="E1189" s="51">
        <v>212008</v>
      </c>
      <c r="F1189" s="52">
        <v>25401</v>
      </c>
      <c r="G1189" s="53">
        <v>11.981152</v>
      </c>
    </row>
    <row r="1190" spans="1:7">
      <c r="A1190" s="50" t="s">
        <v>1350</v>
      </c>
      <c r="B1190" s="50" t="s">
        <v>110</v>
      </c>
      <c r="C1190" s="50" t="s">
        <v>240</v>
      </c>
      <c r="D1190" s="51">
        <v>33366</v>
      </c>
      <c r="E1190" s="51">
        <v>565717</v>
      </c>
      <c r="F1190" s="52">
        <v>64750</v>
      </c>
      <c r="G1190" s="53">
        <v>11.445652000000001</v>
      </c>
    </row>
    <row r="1191" spans="1:7">
      <c r="A1191" s="50" t="s">
        <v>1351</v>
      </c>
      <c r="B1191" s="50" t="s">
        <v>110</v>
      </c>
      <c r="C1191" s="50" t="s">
        <v>242</v>
      </c>
      <c r="D1191" s="51">
        <v>15658</v>
      </c>
      <c r="E1191" s="51">
        <v>444357</v>
      </c>
      <c r="F1191" s="52">
        <v>36295</v>
      </c>
      <c r="G1191" s="53">
        <v>8.1679820999999997</v>
      </c>
    </row>
    <row r="1192" spans="1:7">
      <c r="A1192" s="50" t="s">
        <v>1352</v>
      </c>
      <c r="B1192" s="50" t="s">
        <v>110</v>
      </c>
      <c r="C1192" s="50" t="s">
        <v>240</v>
      </c>
      <c r="D1192" s="51">
        <v>21158</v>
      </c>
      <c r="E1192" s="51">
        <v>489793</v>
      </c>
      <c r="F1192" s="52">
        <v>45850</v>
      </c>
      <c r="G1192" s="53">
        <v>9.3610974000000002</v>
      </c>
    </row>
    <row r="1193" spans="1:7">
      <c r="A1193" s="50" t="s">
        <v>1353</v>
      </c>
      <c r="B1193" s="50" t="s">
        <v>110</v>
      </c>
      <c r="C1193" s="50" t="s">
        <v>242</v>
      </c>
      <c r="D1193" s="51">
        <v>30185</v>
      </c>
      <c r="E1193" s="51">
        <v>597611</v>
      </c>
      <c r="F1193" s="52">
        <v>63584</v>
      </c>
      <c r="G1193" s="53">
        <v>10.639697</v>
      </c>
    </row>
    <row r="1194" spans="1:7">
      <c r="A1194" s="50" t="s">
        <v>1354</v>
      </c>
      <c r="B1194" s="50" t="s">
        <v>110</v>
      </c>
      <c r="C1194" s="50" t="s">
        <v>242</v>
      </c>
      <c r="D1194" s="51">
        <v>33843</v>
      </c>
      <c r="E1194" s="51">
        <v>845272</v>
      </c>
      <c r="F1194" s="52">
        <v>81007</v>
      </c>
      <c r="G1194" s="53">
        <v>9.5835422999999995</v>
      </c>
    </row>
    <row r="1195" spans="1:7">
      <c r="A1195" s="50" t="s">
        <v>1355</v>
      </c>
      <c r="B1195" s="50" t="s">
        <v>110</v>
      </c>
      <c r="C1195" s="50" t="s">
        <v>242</v>
      </c>
      <c r="D1195" s="51">
        <v>5404</v>
      </c>
      <c r="E1195" s="51">
        <v>195316</v>
      </c>
      <c r="F1195" s="52">
        <v>15498</v>
      </c>
      <c r="G1195" s="53">
        <v>7.9348337999999998</v>
      </c>
    </row>
    <row r="1196" spans="1:7">
      <c r="A1196" s="50" t="s">
        <v>480</v>
      </c>
      <c r="B1196" s="50" t="s">
        <v>110</v>
      </c>
      <c r="C1196" s="50" t="s">
        <v>242</v>
      </c>
      <c r="D1196" s="51">
        <v>178595</v>
      </c>
      <c r="E1196" s="51">
        <v>5185817</v>
      </c>
      <c r="F1196" s="52">
        <v>497394</v>
      </c>
      <c r="G1196" s="53">
        <v>9.5914298999999996</v>
      </c>
    </row>
    <row r="1197" spans="1:7">
      <c r="A1197" s="50" t="s">
        <v>1356</v>
      </c>
      <c r="B1197" s="50" t="s">
        <v>110</v>
      </c>
      <c r="C1197" s="50" t="s">
        <v>242</v>
      </c>
      <c r="D1197" s="51">
        <v>73620</v>
      </c>
      <c r="E1197" s="51">
        <v>1495990</v>
      </c>
      <c r="F1197" s="52">
        <v>162525</v>
      </c>
      <c r="G1197" s="53">
        <v>10.864043000000001</v>
      </c>
    </row>
    <row r="1198" spans="1:7">
      <c r="A1198" s="50" t="s">
        <v>1357</v>
      </c>
      <c r="B1198" s="50" t="s">
        <v>110</v>
      </c>
      <c r="C1198" s="50" t="s">
        <v>242</v>
      </c>
      <c r="D1198" s="51">
        <v>32064</v>
      </c>
      <c r="E1198" s="51">
        <v>986277</v>
      </c>
      <c r="F1198" s="52">
        <v>95748</v>
      </c>
      <c r="G1198" s="53">
        <v>9.7080231999999995</v>
      </c>
    </row>
    <row r="1199" spans="1:7">
      <c r="A1199" s="50" t="s">
        <v>1358</v>
      </c>
      <c r="B1199" s="50" t="s">
        <v>110</v>
      </c>
      <c r="C1199" s="50" t="s">
        <v>242</v>
      </c>
      <c r="D1199" s="51">
        <v>30102</v>
      </c>
      <c r="E1199" s="51">
        <v>753816</v>
      </c>
      <c r="F1199" s="52">
        <v>74508</v>
      </c>
      <c r="G1199" s="53">
        <v>9.8841096999999998</v>
      </c>
    </row>
    <row r="1200" spans="1:7">
      <c r="A1200" s="50" t="s">
        <v>1359</v>
      </c>
      <c r="B1200" s="50" t="s">
        <v>110</v>
      </c>
      <c r="C1200" s="50" t="s">
        <v>242</v>
      </c>
      <c r="D1200" s="51">
        <v>18678</v>
      </c>
      <c r="E1200" s="51">
        <v>545770</v>
      </c>
      <c r="F1200" s="52">
        <v>50626</v>
      </c>
      <c r="G1200" s="53">
        <v>9.2760686999999997</v>
      </c>
    </row>
    <row r="1201" spans="1:7">
      <c r="A1201" s="50" t="s">
        <v>1360</v>
      </c>
      <c r="B1201" s="50" t="s">
        <v>110</v>
      </c>
      <c r="C1201" s="50" t="s">
        <v>242</v>
      </c>
      <c r="D1201" s="51">
        <v>4710</v>
      </c>
      <c r="E1201" s="51">
        <v>237383</v>
      </c>
      <c r="F1201" s="52">
        <v>19530</v>
      </c>
      <c r="G1201" s="53">
        <v>8.2272108999999993</v>
      </c>
    </row>
    <row r="1202" spans="1:7">
      <c r="A1202" s="50" t="s">
        <v>1361</v>
      </c>
      <c r="B1202" s="50" t="s">
        <v>110</v>
      </c>
      <c r="C1202" s="50" t="s">
        <v>242</v>
      </c>
      <c r="D1202" s="51">
        <v>10835</v>
      </c>
      <c r="E1202" s="51">
        <v>269744</v>
      </c>
      <c r="F1202" s="52">
        <v>25991</v>
      </c>
      <c r="G1202" s="53">
        <v>9.6354320999999992</v>
      </c>
    </row>
    <row r="1203" spans="1:7">
      <c r="A1203" s="50" t="s">
        <v>1362</v>
      </c>
      <c r="B1203" s="50" t="s">
        <v>110</v>
      </c>
      <c r="C1203" s="50" t="s">
        <v>242</v>
      </c>
      <c r="D1203" s="51">
        <v>36325</v>
      </c>
      <c r="E1203" s="51">
        <v>807648</v>
      </c>
      <c r="F1203" s="52">
        <v>79588</v>
      </c>
      <c r="G1203" s="53">
        <v>9.8542930000000002</v>
      </c>
    </row>
    <row r="1204" spans="1:7">
      <c r="A1204" s="50" t="s">
        <v>1363</v>
      </c>
      <c r="B1204" s="50" t="s">
        <v>110</v>
      </c>
      <c r="C1204" s="50" t="s">
        <v>242</v>
      </c>
      <c r="D1204" s="51">
        <v>11942</v>
      </c>
      <c r="E1204" s="51">
        <v>379073</v>
      </c>
      <c r="F1204" s="52">
        <v>34590</v>
      </c>
      <c r="G1204" s="53">
        <v>9.1248915000000004</v>
      </c>
    </row>
    <row r="1205" spans="1:7">
      <c r="A1205" s="50" t="s">
        <v>1364</v>
      </c>
      <c r="B1205" s="50" t="s">
        <v>110</v>
      </c>
      <c r="C1205" s="50" t="s">
        <v>242</v>
      </c>
      <c r="D1205" s="51">
        <v>26515</v>
      </c>
      <c r="E1205" s="51">
        <v>493193</v>
      </c>
      <c r="F1205" s="52">
        <v>51307</v>
      </c>
      <c r="G1205" s="53">
        <v>10.403027</v>
      </c>
    </row>
    <row r="1206" spans="1:7">
      <c r="A1206" s="50" t="s">
        <v>1365</v>
      </c>
      <c r="B1206" s="50" t="s">
        <v>110</v>
      </c>
      <c r="C1206" s="50" t="s">
        <v>242</v>
      </c>
      <c r="D1206" s="51">
        <v>5133</v>
      </c>
      <c r="E1206" s="51">
        <v>250707</v>
      </c>
      <c r="F1206" s="52">
        <v>19481</v>
      </c>
      <c r="G1206" s="53">
        <v>7.7704252</v>
      </c>
    </row>
    <row r="1207" spans="1:7">
      <c r="A1207" s="50" t="s">
        <v>1366</v>
      </c>
      <c r="B1207" s="50" t="s">
        <v>110</v>
      </c>
      <c r="C1207" s="50" t="s">
        <v>242</v>
      </c>
      <c r="D1207" s="51">
        <v>18756</v>
      </c>
      <c r="E1207" s="51">
        <v>427948</v>
      </c>
      <c r="F1207" s="52">
        <v>43666</v>
      </c>
      <c r="G1207" s="53">
        <v>10.203576</v>
      </c>
    </row>
    <row r="1208" spans="1:7">
      <c r="A1208" s="50" t="s">
        <v>1367</v>
      </c>
      <c r="B1208" s="50" t="s">
        <v>110</v>
      </c>
      <c r="C1208" s="50" t="s">
        <v>242</v>
      </c>
      <c r="D1208" s="51">
        <v>22382</v>
      </c>
      <c r="E1208" s="51">
        <v>737134</v>
      </c>
      <c r="F1208" s="52">
        <v>61257</v>
      </c>
      <c r="G1208" s="53">
        <v>8.3101579999999995</v>
      </c>
    </row>
    <row r="1209" spans="1:7">
      <c r="A1209" s="50" t="s">
        <v>1368</v>
      </c>
      <c r="B1209" s="50" t="s">
        <v>110</v>
      </c>
      <c r="C1209" s="50" t="s">
        <v>242</v>
      </c>
      <c r="D1209" s="51">
        <v>38705</v>
      </c>
      <c r="E1209" s="51">
        <v>1098624</v>
      </c>
      <c r="F1209" s="52">
        <v>95682</v>
      </c>
      <c r="G1209" s="53">
        <v>8.7092580999999996</v>
      </c>
    </row>
    <row r="1210" spans="1:7">
      <c r="A1210" s="50" t="s">
        <v>1369</v>
      </c>
      <c r="B1210" s="50" t="s">
        <v>110</v>
      </c>
      <c r="C1210" s="50" t="s">
        <v>242</v>
      </c>
      <c r="D1210" s="51">
        <v>10991</v>
      </c>
      <c r="E1210" s="51">
        <v>186842</v>
      </c>
      <c r="F1210" s="52">
        <v>23116</v>
      </c>
      <c r="G1210" s="53">
        <v>12.371950999999999</v>
      </c>
    </row>
    <row r="1211" spans="1:7">
      <c r="A1211" s="50" t="s">
        <v>1370</v>
      </c>
      <c r="B1211" s="50" t="s">
        <v>110</v>
      </c>
      <c r="C1211" s="50" t="s">
        <v>242</v>
      </c>
      <c r="D1211" s="51">
        <v>4411</v>
      </c>
      <c r="E1211" s="51">
        <v>139378</v>
      </c>
      <c r="F1211" s="52">
        <v>12861</v>
      </c>
      <c r="G1211" s="53">
        <v>9.2274247000000003</v>
      </c>
    </row>
    <row r="1212" spans="1:7">
      <c r="A1212" s="50" t="s">
        <v>1371</v>
      </c>
      <c r="B1212" s="50" t="s">
        <v>110</v>
      </c>
      <c r="C1212" s="50" t="s">
        <v>242</v>
      </c>
      <c r="D1212" s="51">
        <v>36482</v>
      </c>
      <c r="E1212" s="51">
        <v>1601025</v>
      </c>
      <c r="F1212" s="52">
        <v>132662</v>
      </c>
      <c r="G1212" s="53">
        <v>8.2860666999999992</v>
      </c>
    </row>
    <row r="1213" spans="1:7">
      <c r="A1213" s="50" t="s">
        <v>658</v>
      </c>
      <c r="B1213" s="50" t="s">
        <v>110</v>
      </c>
      <c r="C1213" s="50" t="s">
        <v>242</v>
      </c>
      <c r="D1213" s="51">
        <v>2339</v>
      </c>
      <c r="E1213" s="51">
        <v>40374</v>
      </c>
      <c r="F1213" s="52">
        <v>4311</v>
      </c>
      <c r="G1213" s="53">
        <v>10.677664</v>
      </c>
    </row>
    <row r="1214" spans="1:7">
      <c r="A1214" s="50" t="s">
        <v>1372</v>
      </c>
      <c r="B1214" s="50" t="s">
        <v>110</v>
      </c>
      <c r="C1214" s="50" t="s">
        <v>242</v>
      </c>
      <c r="D1214" s="51">
        <v>22446</v>
      </c>
      <c r="E1214" s="51">
        <v>379154</v>
      </c>
      <c r="F1214" s="52">
        <v>46112</v>
      </c>
      <c r="G1214" s="53">
        <v>12.161813</v>
      </c>
    </row>
    <row r="1215" spans="1:7">
      <c r="A1215" s="50" t="s">
        <v>1373</v>
      </c>
      <c r="B1215" s="50" t="s">
        <v>110</v>
      </c>
      <c r="C1215" s="50" t="s">
        <v>242</v>
      </c>
      <c r="D1215" s="51">
        <v>20799</v>
      </c>
      <c r="E1215" s="51">
        <v>468869</v>
      </c>
      <c r="F1215" s="52">
        <v>49560</v>
      </c>
      <c r="G1215" s="53">
        <v>10.570117</v>
      </c>
    </row>
    <row r="1216" spans="1:7">
      <c r="A1216" s="50" t="s">
        <v>1374</v>
      </c>
      <c r="B1216" s="50" t="s">
        <v>110</v>
      </c>
      <c r="C1216" s="50" t="s">
        <v>242</v>
      </c>
      <c r="D1216" s="51">
        <v>69105</v>
      </c>
      <c r="E1216" s="51">
        <v>1605140</v>
      </c>
      <c r="F1216" s="52">
        <v>165756</v>
      </c>
      <c r="G1216" s="53">
        <v>10.326575999999999</v>
      </c>
    </row>
    <row r="1217" spans="1:7">
      <c r="A1217" s="50" t="s">
        <v>1375</v>
      </c>
      <c r="B1217" s="50" t="s">
        <v>110</v>
      </c>
      <c r="C1217" s="50" t="s">
        <v>242</v>
      </c>
      <c r="D1217" s="51">
        <v>6389</v>
      </c>
      <c r="E1217" s="51">
        <v>288695</v>
      </c>
      <c r="F1217" s="52">
        <v>23665</v>
      </c>
      <c r="G1217" s="53">
        <v>8.1972324000000008</v>
      </c>
    </row>
    <row r="1218" spans="1:7">
      <c r="A1218" s="50" t="s">
        <v>1376</v>
      </c>
      <c r="B1218" s="50" t="s">
        <v>110</v>
      </c>
      <c r="C1218" s="50" t="s">
        <v>242</v>
      </c>
      <c r="D1218" s="51">
        <v>22660</v>
      </c>
      <c r="E1218" s="51">
        <v>403910</v>
      </c>
      <c r="F1218" s="52">
        <v>43189</v>
      </c>
      <c r="G1218" s="53">
        <v>10.692729</v>
      </c>
    </row>
    <row r="1219" spans="1:7">
      <c r="A1219" s="50" t="s">
        <v>1377</v>
      </c>
      <c r="B1219" s="50" t="s">
        <v>110</v>
      </c>
      <c r="C1219" s="50" t="s">
        <v>242</v>
      </c>
      <c r="D1219" s="51">
        <v>419568</v>
      </c>
      <c r="E1219" s="51">
        <v>12774178</v>
      </c>
      <c r="F1219" s="52">
        <v>1200275</v>
      </c>
      <c r="G1219" s="53">
        <v>9.3961036</v>
      </c>
    </row>
    <row r="1220" spans="1:7">
      <c r="A1220" s="50" t="s">
        <v>1378</v>
      </c>
      <c r="B1220" s="50" t="s">
        <v>110</v>
      </c>
      <c r="C1220" s="50" t="s">
        <v>242</v>
      </c>
      <c r="D1220" s="51">
        <v>8295</v>
      </c>
      <c r="E1220" s="51">
        <v>171932</v>
      </c>
      <c r="F1220" s="52">
        <v>17717</v>
      </c>
      <c r="G1220" s="53">
        <v>10.304655</v>
      </c>
    </row>
    <row r="1221" spans="1:7">
      <c r="A1221" s="50" t="s">
        <v>1379</v>
      </c>
      <c r="B1221" s="50" t="s">
        <v>110</v>
      </c>
      <c r="C1221" s="50" t="s">
        <v>242</v>
      </c>
      <c r="D1221" s="51">
        <v>15192</v>
      </c>
      <c r="E1221" s="51">
        <v>859676</v>
      </c>
      <c r="F1221" s="52">
        <v>73114</v>
      </c>
      <c r="G1221" s="53">
        <v>8.5048320999999998</v>
      </c>
    </row>
    <row r="1222" spans="1:7">
      <c r="A1222" s="50" t="s">
        <v>1380</v>
      </c>
      <c r="B1222" s="50" t="s">
        <v>110</v>
      </c>
      <c r="C1222" s="50" t="s">
        <v>242</v>
      </c>
      <c r="D1222" s="51">
        <v>4102</v>
      </c>
      <c r="E1222" s="51">
        <v>129291</v>
      </c>
      <c r="F1222" s="52">
        <v>13268</v>
      </c>
      <c r="G1222" s="53">
        <v>10.262122</v>
      </c>
    </row>
    <row r="1223" spans="1:7">
      <c r="A1223" s="50" t="s">
        <v>1382</v>
      </c>
      <c r="B1223" s="50" t="s">
        <v>110</v>
      </c>
      <c r="C1223" s="50" t="s">
        <v>242</v>
      </c>
      <c r="D1223" s="51">
        <v>1818</v>
      </c>
      <c r="E1223" s="51">
        <v>97555</v>
      </c>
      <c r="F1223" s="52">
        <v>7520</v>
      </c>
      <c r="G1223" s="53">
        <v>7.7084720999999998</v>
      </c>
    </row>
    <row r="1224" spans="1:7">
      <c r="A1224" s="50" t="s">
        <v>1383</v>
      </c>
      <c r="B1224" s="50" t="s">
        <v>110</v>
      </c>
      <c r="C1224" s="50" t="s">
        <v>242</v>
      </c>
      <c r="D1224" s="51">
        <v>22400</v>
      </c>
      <c r="E1224" s="51">
        <v>535761</v>
      </c>
      <c r="F1224" s="52">
        <v>52147</v>
      </c>
      <c r="G1224" s="53">
        <v>9.7332578999999999</v>
      </c>
    </row>
    <row r="1225" spans="1:7">
      <c r="A1225" s="50" t="s">
        <v>1384</v>
      </c>
      <c r="B1225" s="50" t="s">
        <v>110</v>
      </c>
      <c r="C1225" s="50" t="s">
        <v>242</v>
      </c>
      <c r="D1225" s="51">
        <v>16358</v>
      </c>
      <c r="E1225" s="51">
        <v>469024</v>
      </c>
      <c r="F1225" s="52">
        <v>51218</v>
      </c>
      <c r="G1225" s="53">
        <v>10.920123</v>
      </c>
    </row>
    <row r="1226" spans="1:7">
      <c r="A1226" s="50" t="s">
        <v>1385</v>
      </c>
      <c r="B1226" s="50" t="s">
        <v>110</v>
      </c>
      <c r="C1226" s="50" t="s">
        <v>242</v>
      </c>
      <c r="D1226" s="51">
        <v>21800</v>
      </c>
      <c r="E1226" s="51">
        <v>430329</v>
      </c>
      <c r="F1226" s="52">
        <v>43282</v>
      </c>
      <c r="G1226" s="53">
        <v>10.057886</v>
      </c>
    </row>
    <row r="1227" spans="1:7">
      <c r="A1227" s="50" t="s">
        <v>1386</v>
      </c>
      <c r="B1227" s="50" t="s">
        <v>110</v>
      </c>
      <c r="C1227" s="50" t="s">
        <v>242</v>
      </c>
      <c r="D1227" s="51">
        <v>14808</v>
      </c>
      <c r="E1227" s="51">
        <v>383316</v>
      </c>
      <c r="F1227" s="52">
        <v>40310</v>
      </c>
      <c r="G1227" s="53">
        <v>10.516128</v>
      </c>
    </row>
    <row r="1228" spans="1:7">
      <c r="A1228" s="50" t="s">
        <v>1387</v>
      </c>
      <c r="B1228" s="50" t="s">
        <v>110</v>
      </c>
      <c r="C1228" s="50" t="s">
        <v>242</v>
      </c>
      <c r="D1228" s="51">
        <v>6670</v>
      </c>
      <c r="E1228" s="51">
        <v>177444</v>
      </c>
      <c r="F1228" s="52">
        <v>17611</v>
      </c>
      <c r="G1228" s="53">
        <v>9.9248214000000008</v>
      </c>
    </row>
    <row r="1229" spans="1:7">
      <c r="A1229" s="50" t="s">
        <v>1388</v>
      </c>
      <c r="B1229" s="50" t="s">
        <v>110</v>
      </c>
      <c r="C1229" s="50" t="s">
        <v>242</v>
      </c>
      <c r="D1229" s="51">
        <v>14844</v>
      </c>
      <c r="E1229" s="51">
        <v>294267</v>
      </c>
      <c r="F1229" s="52">
        <v>32072</v>
      </c>
      <c r="G1229" s="53">
        <v>10.898946</v>
      </c>
    </row>
    <row r="1230" spans="1:7">
      <c r="A1230" s="50" t="s">
        <v>1389</v>
      </c>
      <c r="B1230" s="50" t="s">
        <v>110</v>
      </c>
      <c r="C1230" s="50" t="s">
        <v>242</v>
      </c>
      <c r="D1230" s="51">
        <v>10670</v>
      </c>
      <c r="E1230" s="51">
        <v>340730</v>
      </c>
      <c r="F1230" s="52">
        <v>31232</v>
      </c>
      <c r="G1230" s="53">
        <v>9.1662020000000002</v>
      </c>
    </row>
    <row r="1231" spans="1:7">
      <c r="A1231" s="50" t="s">
        <v>1390</v>
      </c>
      <c r="B1231" s="50" t="s">
        <v>110</v>
      </c>
      <c r="C1231" s="50" t="s">
        <v>242</v>
      </c>
      <c r="D1231" s="51">
        <v>2842</v>
      </c>
      <c r="E1231" s="51">
        <v>115876</v>
      </c>
      <c r="F1231" s="52">
        <v>10146</v>
      </c>
      <c r="G1231" s="53">
        <v>8.7559114999999998</v>
      </c>
    </row>
    <row r="1232" spans="1:7">
      <c r="A1232" s="50" t="s">
        <v>1391</v>
      </c>
      <c r="B1232" s="50" t="s">
        <v>110</v>
      </c>
      <c r="C1232" s="50" t="s">
        <v>242</v>
      </c>
      <c r="D1232" s="51">
        <v>3011</v>
      </c>
      <c r="E1232" s="51">
        <v>117290</v>
      </c>
      <c r="F1232" s="52">
        <v>10955</v>
      </c>
      <c r="G1232" s="53">
        <v>9.3400972000000007</v>
      </c>
    </row>
    <row r="1233" spans="1:7">
      <c r="A1233" s="50" t="s">
        <v>1392</v>
      </c>
      <c r="B1233" s="50" t="s">
        <v>110</v>
      </c>
      <c r="C1233" s="50" t="s">
        <v>242</v>
      </c>
      <c r="D1233" s="51">
        <v>8544</v>
      </c>
      <c r="E1233" s="51">
        <v>270907</v>
      </c>
      <c r="F1233" s="52">
        <v>25334</v>
      </c>
      <c r="G1233" s="53">
        <v>9.3515487000000004</v>
      </c>
    </row>
    <row r="1234" spans="1:7">
      <c r="A1234" s="50" t="s">
        <v>1393</v>
      </c>
      <c r="B1234" s="50" t="s">
        <v>110</v>
      </c>
      <c r="C1234" s="50" t="s">
        <v>242</v>
      </c>
      <c r="D1234" s="51">
        <v>9245</v>
      </c>
      <c r="E1234" s="51">
        <v>237011</v>
      </c>
      <c r="F1234" s="52">
        <v>23237</v>
      </c>
      <c r="G1234" s="53">
        <v>9.8041862999999996</v>
      </c>
    </row>
    <row r="1235" spans="1:7">
      <c r="A1235" s="50" t="s">
        <v>1394</v>
      </c>
      <c r="B1235" s="50" t="s">
        <v>110</v>
      </c>
      <c r="C1235" s="50" t="s">
        <v>242</v>
      </c>
      <c r="D1235" s="51">
        <v>2417</v>
      </c>
      <c r="E1235" s="51">
        <v>62251</v>
      </c>
      <c r="F1235" s="52">
        <v>6465</v>
      </c>
      <c r="G1235" s="53">
        <v>10.385375</v>
      </c>
    </row>
    <row r="1236" spans="1:7">
      <c r="A1236" s="50" t="s">
        <v>1395</v>
      </c>
      <c r="B1236" s="50" t="s">
        <v>110</v>
      </c>
      <c r="C1236" s="50" t="s">
        <v>242</v>
      </c>
      <c r="D1236" s="51">
        <v>6405</v>
      </c>
      <c r="E1236" s="51">
        <v>299766</v>
      </c>
      <c r="F1236" s="52">
        <v>24854</v>
      </c>
      <c r="G1236" s="53">
        <v>8.2911338000000008</v>
      </c>
    </row>
    <row r="1237" spans="1:7">
      <c r="A1237" s="50" t="s">
        <v>1396</v>
      </c>
      <c r="B1237" s="50" t="s">
        <v>110</v>
      </c>
      <c r="C1237" s="50" t="s">
        <v>242</v>
      </c>
      <c r="D1237" s="51">
        <v>6396</v>
      </c>
      <c r="E1237" s="51">
        <v>165757</v>
      </c>
      <c r="F1237" s="52">
        <v>16889</v>
      </c>
      <c r="G1237" s="53">
        <v>10.189012</v>
      </c>
    </row>
    <row r="1238" spans="1:7">
      <c r="A1238" s="50" t="s">
        <v>1397</v>
      </c>
      <c r="B1238" s="50" t="s">
        <v>110</v>
      </c>
      <c r="C1238" s="50" t="s">
        <v>242</v>
      </c>
      <c r="D1238" s="51">
        <v>31744</v>
      </c>
      <c r="E1238" s="51">
        <v>642604</v>
      </c>
      <c r="F1238" s="52">
        <v>67263</v>
      </c>
      <c r="G1238" s="53">
        <v>10.467255</v>
      </c>
    </row>
    <row r="1239" spans="1:7">
      <c r="A1239" s="50" t="s">
        <v>1398</v>
      </c>
      <c r="B1239" s="50" t="s">
        <v>110</v>
      </c>
      <c r="C1239" s="50" t="s">
        <v>240</v>
      </c>
      <c r="D1239" s="51">
        <v>101145</v>
      </c>
      <c r="E1239" s="51">
        <v>2638350</v>
      </c>
      <c r="F1239" s="52">
        <v>269448</v>
      </c>
      <c r="G1239" s="53">
        <v>10.212747</v>
      </c>
    </row>
    <row r="1240" spans="1:7">
      <c r="A1240" s="50" t="s">
        <v>665</v>
      </c>
      <c r="B1240" s="50" t="s">
        <v>110</v>
      </c>
      <c r="C1240" s="50" t="s">
        <v>240</v>
      </c>
      <c r="D1240" s="51">
        <v>72</v>
      </c>
      <c r="E1240" s="51">
        <v>694</v>
      </c>
      <c r="F1240" s="52">
        <v>79</v>
      </c>
      <c r="G1240" s="53">
        <v>11.383285000000001</v>
      </c>
    </row>
    <row r="1241" spans="1:7">
      <c r="A1241" s="50" t="s">
        <v>1399</v>
      </c>
      <c r="B1241" s="50" t="s">
        <v>110</v>
      </c>
      <c r="C1241" s="50" t="s">
        <v>240</v>
      </c>
      <c r="D1241" s="51">
        <v>77922</v>
      </c>
      <c r="E1241" s="51">
        <v>1781192</v>
      </c>
      <c r="F1241" s="52">
        <v>186189</v>
      </c>
      <c r="G1241" s="53">
        <v>10.453056</v>
      </c>
    </row>
    <row r="1242" spans="1:7">
      <c r="A1242" s="50" t="s">
        <v>1818</v>
      </c>
      <c r="B1242" s="50" t="s">
        <v>110</v>
      </c>
      <c r="C1242" s="50" t="s">
        <v>237</v>
      </c>
      <c r="D1242" s="51">
        <v>7</v>
      </c>
      <c r="E1242" s="51">
        <v>44</v>
      </c>
      <c r="F1242" s="52">
        <v>7.1</v>
      </c>
      <c r="G1242" s="53">
        <v>16.136364</v>
      </c>
    </row>
    <row r="1243" spans="1:7">
      <c r="A1243" s="50" t="s">
        <v>1400</v>
      </c>
      <c r="B1243" s="50" t="s">
        <v>110</v>
      </c>
      <c r="C1243" s="50" t="s">
        <v>240</v>
      </c>
      <c r="D1243" s="51">
        <v>10011</v>
      </c>
      <c r="E1243" s="51">
        <v>171016</v>
      </c>
      <c r="F1243" s="52">
        <v>20548</v>
      </c>
      <c r="G1243" s="53">
        <v>12.01525</v>
      </c>
    </row>
    <row r="1244" spans="1:7">
      <c r="A1244" s="50" t="s">
        <v>1401</v>
      </c>
      <c r="B1244" s="50" t="s">
        <v>110</v>
      </c>
      <c r="C1244" s="50" t="s">
        <v>240</v>
      </c>
      <c r="D1244" s="51">
        <v>33666</v>
      </c>
      <c r="E1244" s="51">
        <v>602227</v>
      </c>
      <c r="F1244" s="52">
        <v>66287</v>
      </c>
      <c r="G1244" s="53">
        <v>11.006978999999999</v>
      </c>
    </row>
    <row r="1245" spans="1:7">
      <c r="A1245" s="50" t="s">
        <v>942</v>
      </c>
      <c r="B1245" s="50" t="s">
        <v>110</v>
      </c>
      <c r="C1245" s="50" t="s">
        <v>240</v>
      </c>
      <c r="D1245" s="51">
        <v>1029</v>
      </c>
      <c r="E1245" s="51">
        <v>9154</v>
      </c>
      <c r="F1245" s="52">
        <v>1162.4000000000001</v>
      </c>
      <c r="G1245" s="53">
        <v>12.698274</v>
      </c>
    </row>
    <row r="1246" spans="1:7">
      <c r="A1246" s="50" t="s">
        <v>1402</v>
      </c>
      <c r="B1246" s="50" t="s">
        <v>110</v>
      </c>
      <c r="C1246" s="50" t="s">
        <v>240</v>
      </c>
      <c r="D1246" s="51">
        <v>34960</v>
      </c>
      <c r="E1246" s="51">
        <v>778917</v>
      </c>
      <c r="F1246" s="52">
        <v>80792</v>
      </c>
      <c r="G1246" s="53">
        <v>10.372350000000001</v>
      </c>
    </row>
    <row r="1247" spans="1:7">
      <c r="A1247" s="50" t="s">
        <v>1403</v>
      </c>
      <c r="B1247" s="50" t="s">
        <v>110</v>
      </c>
      <c r="C1247" s="50" t="s">
        <v>240</v>
      </c>
      <c r="D1247" s="51">
        <v>30887</v>
      </c>
      <c r="E1247" s="51">
        <v>764768</v>
      </c>
      <c r="F1247" s="52">
        <v>74645</v>
      </c>
      <c r="G1247" s="53">
        <v>9.7604763999999999</v>
      </c>
    </row>
    <row r="1248" spans="1:7">
      <c r="A1248" s="50" t="s">
        <v>1404</v>
      </c>
      <c r="B1248" s="50" t="s">
        <v>110</v>
      </c>
      <c r="C1248" s="50" t="s">
        <v>242</v>
      </c>
      <c r="D1248" s="51">
        <v>79764</v>
      </c>
      <c r="E1248" s="51">
        <v>1752930</v>
      </c>
      <c r="F1248" s="52">
        <v>186589</v>
      </c>
      <c r="G1248" s="53">
        <v>10.644406999999999</v>
      </c>
    </row>
    <row r="1249" spans="1:7">
      <c r="A1249" s="50" t="s">
        <v>1405</v>
      </c>
      <c r="B1249" s="50" t="s">
        <v>110</v>
      </c>
      <c r="C1249" s="50" t="s">
        <v>237</v>
      </c>
      <c r="D1249" s="51">
        <v>48444</v>
      </c>
      <c r="E1249" s="51">
        <v>1661014</v>
      </c>
      <c r="F1249" s="52">
        <v>149876</v>
      </c>
      <c r="G1249" s="53">
        <v>9.0231630000000003</v>
      </c>
    </row>
    <row r="1250" spans="1:7">
      <c r="A1250" s="50" t="s">
        <v>1406</v>
      </c>
      <c r="B1250" s="50" t="s">
        <v>110</v>
      </c>
      <c r="C1250" s="50" t="s">
        <v>242</v>
      </c>
      <c r="D1250" s="51">
        <v>207466</v>
      </c>
      <c r="E1250" s="51">
        <v>5340239</v>
      </c>
      <c r="F1250" s="52">
        <v>518474</v>
      </c>
      <c r="G1250" s="53">
        <v>9.7088163999999999</v>
      </c>
    </row>
    <row r="1251" spans="1:7">
      <c r="A1251" s="50" t="s">
        <v>1407</v>
      </c>
      <c r="B1251" s="50" t="s">
        <v>110</v>
      </c>
      <c r="C1251" s="50" t="s">
        <v>242</v>
      </c>
      <c r="D1251" s="51">
        <v>12891</v>
      </c>
      <c r="E1251" s="51">
        <v>553286</v>
      </c>
      <c r="F1251" s="52">
        <v>44775</v>
      </c>
      <c r="G1251" s="53">
        <v>8.0925597000000007</v>
      </c>
    </row>
    <row r="1252" spans="1:7">
      <c r="A1252" s="50" t="s">
        <v>1408</v>
      </c>
      <c r="B1252" s="50" t="s">
        <v>110</v>
      </c>
      <c r="C1252" s="50" t="s">
        <v>242</v>
      </c>
      <c r="D1252" s="51">
        <v>22283</v>
      </c>
      <c r="E1252" s="51">
        <v>747396</v>
      </c>
      <c r="F1252" s="52">
        <v>62967</v>
      </c>
      <c r="G1252" s="53">
        <v>8.4248510999999997</v>
      </c>
    </row>
    <row r="1253" spans="1:7">
      <c r="A1253" s="50" t="s">
        <v>1409</v>
      </c>
      <c r="B1253" s="50" t="s">
        <v>110</v>
      </c>
      <c r="C1253" s="50" t="s">
        <v>242</v>
      </c>
      <c r="D1253" s="51">
        <v>8155</v>
      </c>
      <c r="E1253" s="51">
        <v>176603</v>
      </c>
      <c r="F1253" s="52">
        <v>18146</v>
      </c>
      <c r="G1253" s="53">
        <v>10.275024</v>
      </c>
    </row>
    <row r="1254" spans="1:7">
      <c r="A1254" s="50" t="s">
        <v>1410</v>
      </c>
      <c r="B1254" s="50" t="s">
        <v>110</v>
      </c>
      <c r="C1254" s="50" t="s">
        <v>240</v>
      </c>
      <c r="D1254" s="51">
        <v>35012</v>
      </c>
      <c r="E1254" s="51">
        <v>1065956</v>
      </c>
      <c r="F1254" s="52">
        <v>96127</v>
      </c>
      <c r="G1254" s="53">
        <v>9.0179144000000004</v>
      </c>
    </row>
    <row r="1255" spans="1:7">
      <c r="A1255" s="50" t="s">
        <v>1411</v>
      </c>
      <c r="B1255" s="50" t="s">
        <v>110</v>
      </c>
      <c r="C1255" s="50" t="s">
        <v>240</v>
      </c>
      <c r="D1255" s="51">
        <v>273371</v>
      </c>
      <c r="E1255" s="51">
        <v>7763357</v>
      </c>
      <c r="F1255" s="52">
        <v>740315</v>
      </c>
      <c r="G1255" s="53">
        <v>9.5360163999999994</v>
      </c>
    </row>
    <row r="1256" spans="1:7">
      <c r="A1256" s="50" t="s">
        <v>948</v>
      </c>
      <c r="B1256" s="50" t="s">
        <v>110</v>
      </c>
      <c r="C1256" s="50" t="s">
        <v>240</v>
      </c>
      <c r="D1256" s="51">
        <v>15615</v>
      </c>
      <c r="E1256" s="51">
        <v>339938</v>
      </c>
      <c r="F1256" s="52">
        <v>28624</v>
      </c>
      <c r="G1256" s="53">
        <v>8.4203589999999995</v>
      </c>
    </row>
    <row r="1257" spans="1:7">
      <c r="A1257" s="50" t="s">
        <v>1412</v>
      </c>
      <c r="B1257" s="50" t="s">
        <v>110</v>
      </c>
      <c r="C1257" s="50" t="s">
        <v>242</v>
      </c>
      <c r="D1257" s="51">
        <v>415840</v>
      </c>
      <c r="E1257" s="51">
        <v>11212987</v>
      </c>
      <c r="F1257" s="52">
        <v>1204531</v>
      </c>
      <c r="G1257" s="53">
        <v>10.742285000000001</v>
      </c>
    </row>
    <row r="1258" spans="1:7">
      <c r="A1258" s="50" t="s">
        <v>1413</v>
      </c>
      <c r="B1258" s="50" t="s">
        <v>110</v>
      </c>
      <c r="C1258" s="50" t="s">
        <v>240</v>
      </c>
      <c r="D1258" s="51">
        <v>20794</v>
      </c>
      <c r="E1258" s="51">
        <v>350291</v>
      </c>
      <c r="F1258" s="52">
        <v>40962</v>
      </c>
      <c r="G1258" s="53">
        <v>11.693706000000001</v>
      </c>
    </row>
    <row r="1259" spans="1:7">
      <c r="A1259" s="50" t="s">
        <v>1414</v>
      </c>
      <c r="B1259" s="50" t="s">
        <v>110</v>
      </c>
      <c r="C1259" s="50" t="s">
        <v>240</v>
      </c>
      <c r="D1259" s="51">
        <v>17222</v>
      </c>
      <c r="E1259" s="51">
        <v>286897</v>
      </c>
      <c r="F1259" s="52">
        <v>33638</v>
      </c>
      <c r="G1259" s="53">
        <v>11.724765</v>
      </c>
    </row>
    <row r="1260" spans="1:7">
      <c r="A1260" s="50" t="s">
        <v>1415</v>
      </c>
      <c r="B1260" s="50" t="s">
        <v>110</v>
      </c>
      <c r="C1260" s="50" t="s">
        <v>240</v>
      </c>
      <c r="D1260" s="51">
        <v>24691</v>
      </c>
      <c r="E1260" s="51">
        <v>396937</v>
      </c>
      <c r="F1260" s="52">
        <v>40807</v>
      </c>
      <c r="G1260" s="53">
        <v>10.280473000000001</v>
      </c>
    </row>
    <row r="1261" spans="1:7">
      <c r="A1261" s="50" t="s">
        <v>1416</v>
      </c>
      <c r="B1261" s="50" t="s">
        <v>110</v>
      </c>
      <c r="C1261" s="50" t="s">
        <v>240</v>
      </c>
      <c r="D1261" s="51">
        <v>36680</v>
      </c>
      <c r="E1261" s="51">
        <v>794588</v>
      </c>
      <c r="F1261" s="52">
        <v>83667</v>
      </c>
      <c r="G1261" s="53">
        <v>10.529608</v>
      </c>
    </row>
    <row r="1262" spans="1:7">
      <c r="A1262" s="50" t="s">
        <v>1417</v>
      </c>
      <c r="B1262" s="50" t="s">
        <v>110</v>
      </c>
      <c r="C1262" s="50" t="s">
        <v>242</v>
      </c>
      <c r="D1262" s="51">
        <v>58528</v>
      </c>
      <c r="E1262" s="51">
        <v>1428180</v>
      </c>
      <c r="F1262" s="52">
        <v>144262</v>
      </c>
      <c r="G1262" s="53">
        <v>10.101108</v>
      </c>
    </row>
    <row r="1263" spans="1:7">
      <c r="A1263" s="50" t="s">
        <v>1838</v>
      </c>
      <c r="B1263" s="50" t="s">
        <v>110</v>
      </c>
      <c r="C1263" s="50" t="s">
        <v>240</v>
      </c>
      <c r="D1263" s="51">
        <v>187</v>
      </c>
      <c r="E1263" s="51">
        <v>2503</v>
      </c>
      <c r="F1263" s="52">
        <v>281</v>
      </c>
      <c r="G1263" s="53">
        <v>11.226528</v>
      </c>
    </row>
    <row r="1264" spans="1:7">
      <c r="A1264" s="50" t="s">
        <v>1418</v>
      </c>
      <c r="B1264" s="50" t="s">
        <v>110</v>
      </c>
      <c r="C1264" s="50" t="s">
        <v>240</v>
      </c>
      <c r="D1264" s="51">
        <v>50599</v>
      </c>
      <c r="E1264" s="51">
        <v>884389</v>
      </c>
      <c r="F1264" s="52">
        <v>102274</v>
      </c>
      <c r="G1264" s="53">
        <v>11.564368</v>
      </c>
    </row>
    <row r="1265" spans="1:7">
      <c r="A1265" s="50" t="s">
        <v>294</v>
      </c>
      <c r="B1265" s="50" t="s">
        <v>110</v>
      </c>
      <c r="C1265" s="50" t="s">
        <v>295</v>
      </c>
      <c r="D1265" s="51">
        <v>23</v>
      </c>
      <c r="E1265" s="51">
        <v>5904919</v>
      </c>
      <c r="F1265" s="52">
        <v>236070.2</v>
      </c>
      <c r="G1265" s="53">
        <v>3.9978566999999998</v>
      </c>
    </row>
    <row r="1266" spans="1:7">
      <c r="A1266" s="50" t="s">
        <v>1419</v>
      </c>
      <c r="B1266" s="50" t="s">
        <v>110</v>
      </c>
      <c r="C1266" s="50" t="s">
        <v>240</v>
      </c>
      <c r="D1266" s="51">
        <v>19845</v>
      </c>
      <c r="E1266" s="51">
        <v>362881</v>
      </c>
      <c r="F1266" s="52">
        <v>41306</v>
      </c>
      <c r="G1266" s="53">
        <v>11.382795</v>
      </c>
    </row>
    <row r="1267" spans="1:7">
      <c r="A1267" s="50" t="s">
        <v>1420</v>
      </c>
      <c r="B1267" s="50" t="s">
        <v>110</v>
      </c>
      <c r="C1267" s="50" t="s">
        <v>242</v>
      </c>
      <c r="D1267" s="51">
        <v>8977</v>
      </c>
      <c r="E1267" s="51">
        <v>200322</v>
      </c>
      <c r="F1267" s="52">
        <v>20349</v>
      </c>
      <c r="G1267" s="53">
        <v>10.158144999999999</v>
      </c>
    </row>
    <row r="1268" spans="1:7">
      <c r="A1268" s="50" t="s">
        <v>1839</v>
      </c>
      <c r="B1268" s="50" t="s">
        <v>110</v>
      </c>
      <c r="C1268" s="50" t="s">
        <v>240</v>
      </c>
      <c r="D1268" s="51">
        <v>28444</v>
      </c>
      <c r="E1268" s="51">
        <v>503197</v>
      </c>
      <c r="F1268" s="52">
        <v>56349</v>
      </c>
      <c r="G1268" s="53">
        <v>11.198199000000001</v>
      </c>
    </row>
    <row r="1269" spans="1:7">
      <c r="A1269" s="50" t="s">
        <v>520</v>
      </c>
      <c r="B1269" s="50" t="s">
        <v>110</v>
      </c>
      <c r="C1269" s="50" t="s">
        <v>240</v>
      </c>
      <c r="D1269" s="51">
        <v>3241</v>
      </c>
      <c r="E1269" s="51">
        <v>45935</v>
      </c>
      <c r="F1269" s="52">
        <v>5814</v>
      </c>
      <c r="G1269" s="53">
        <v>12.657014999999999</v>
      </c>
    </row>
    <row r="1270" spans="1:7">
      <c r="A1270" s="50" t="s">
        <v>1421</v>
      </c>
      <c r="B1270" s="50" t="s">
        <v>110</v>
      </c>
      <c r="C1270" s="50" t="s">
        <v>242</v>
      </c>
      <c r="D1270" s="51">
        <v>10982</v>
      </c>
      <c r="E1270" s="51">
        <v>270720</v>
      </c>
      <c r="F1270" s="52">
        <v>24628</v>
      </c>
      <c r="G1270" s="53">
        <v>9.0972221999999991</v>
      </c>
    </row>
    <row r="1271" spans="1:7">
      <c r="A1271" s="50" t="s">
        <v>1422</v>
      </c>
      <c r="B1271" s="50" t="s">
        <v>110</v>
      </c>
      <c r="C1271" s="50" t="s">
        <v>240</v>
      </c>
      <c r="D1271" s="51">
        <v>50972</v>
      </c>
      <c r="E1271" s="51">
        <v>1010058</v>
      </c>
      <c r="F1271" s="52">
        <v>107393</v>
      </c>
      <c r="G1271" s="53">
        <v>10.63236</v>
      </c>
    </row>
    <row r="1272" spans="1:7">
      <c r="A1272" s="50" t="s">
        <v>1423</v>
      </c>
      <c r="B1272" s="50" t="s">
        <v>110</v>
      </c>
      <c r="C1272" s="50" t="s">
        <v>240</v>
      </c>
      <c r="D1272" s="51">
        <v>119332</v>
      </c>
      <c r="E1272" s="51">
        <v>2283972</v>
      </c>
      <c r="F1272" s="52">
        <v>231304</v>
      </c>
      <c r="G1272" s="53">
        <v>10.127269999999999</v>
      </c>
    </row>
    <row r="1273" spans="1:7">
      <c r="A1273" s="50" t="s">
        <v>1424</v>
      </c>
      <c r="B1273" s="50" t="s">
        <v>110</v>
      </c>
      <c r="C1273" s="50" t="s">
        <v>242</v>
      </c>
      <c r="D1273" s="51">
        <v>20576</v>
      </c>
      <c r="E1273" s="51">
        <v>435873</v>
      </c>
      <c r="F1273" s="52">
        <v>43320</v>
      </c>
      <c r="G1273" s="53">
        <v>9.9386747999999994</v>
      </c>
    </row>
    <row r="1274" spans="1:7">
      <c r="A1274" s="50" t="s">
        <v>2203</v>
      </c>
      <c r="B1274" s="50" t="s">
        <v>113</v>
      </c>
      <c r="C1274" s="50" t="s">
        <v>2466</v>
      </c>
      <c r="D1274" s="51">
        <v>3124</v>
      </c>
      <c r="E1274" s="51">
        <v>37971</v>
      </c>
      <c r="F1274" s="52">
        <v>4627.5</v>
      </c>
      <c r="G1274" s="53">
        <v>12.186932000000001</v>
      </c>
    </row>
    <row r="1275" spans="1:7">
      <c r="A1275" s="50" t="s">
        <v>1426</v>
      </c>
      <c r="B1275" s="50" t="s">
        <v>113</v>
      </c>
      <c r="C1275" s="50" t="s">
        <v>2466</v>
      </c>
      <c r="D1275" s="51">
        <v>35367</v>
      </c>
      <c r="E1275" s="51">
        <v>1237100</v>
      </c>
      <c r="F1275" s="52">
        <v>66599</v>
      </c>
      <c r="G1275" s="53">
        <v>5.3834774999999997</v>
      </c>
    </row>
    <row r="1276" spans="1:7">
      <c r="A1276" s="50" t="s">
        <v>2204</v>
      </c>
      <c r="B1276" s="50" t="s">
        <v>113</v>
      </c>
      <c r="C1276" s="50" t="s">
        <v>2466</v>
      </c>
      <c r="D1276" s="51">
        <v>18568</v>
      </c>
      <c r="E1276" s="51">
        <v>336557</v>
      </c>
      <c r="F1276" s="52">
        <v>16708.099999999999</v>
      </c>
      <c r="G1276" s="53">
        <v>4.9644190999999998</v>
      </c>
    </row>
    <row r="1277" spans="1:7">
      <c r="A1277" s="50" t="s">
        <v>1427</v>
      </c>
      <c r="B1277" s="50" t="s">
        <v>113</v>
      </c>
      <c r="C1277" s="50" t="s">
        <v>2466</v>
      </c>
      <c r="D1277" s="51">
        <v>7312</v>
      </c>
      <c r="E1277" s="51">
        <v>124124</v>
      </c>
      <c r="F1277" s="52">
        <v>15739</v>
      </c>
      <c r="G1277" s="53">
        <v>12.680062</v>
      </c>
    </row>
    <row r="1278" spans="1:7">
      <c r="A1278" s="50" t="s">
        <v>1428</v>
      </c>
      <c r="B1278" s="50" t="s">
        <v>113</v>
      </c>
      <c r="C1278" s="50" t="s">
        <v>2466</v>
      </c>
      <c r="D1278" s="51">
        <v>146</v>
      </c>
      <c r="E1278" s="51">
        <v>3988</v>
      </c>
      <c r="F1278" s="52">
        <v>575</v>
      </c>
      <c r="G1278" s="53">
        <v>14.418255</v>
      </c>
    </row>
    <row r="1279" spans="1:7">
      <c r="A1279" s="50" t="s">
        <v>2205</v>
      </c>
      <c r="B1279" s="50" t="s">
        <v>113</v>
      </c>
      <c r="C1279" s="50" t="s">
        <v>2466</v>
      </c>
      <c r="D1279" s="51">
        <v>7640</v>
      </c>
      <c r="E1279" s="51">
        <v>202353</v>
      </c>
      <c r="F1279" s="52">
        <v>12358</v>
      </c>
      <c r="G1279" s="53">
        <v>6.1071494</v>
      </c>
    </row>
    <row r="1280" spans="1:7">
      <c r="A1280" s="50" t="s">
        <v>1429</v>
      </c>
      <c r="B1280" s="50" t="s">
        <v>113</v>
      </c>
      <c r="C1280" s="50" t="s">
        <v>2466</v>
      </c>
      <c r="D1280" s="51">
        <v>442768</v>
      </c>
      <c r="E1280" s="51">
        <v>5884803</v>
      </c>
      <c r="F1280" s="52">
        <v>661683</v>
      </c>
      <c r="G1280" s="53">
        <v>11.243928</v>
      </c>
    </row>
    <row r="1281" spans="1:7">
      <c r="A1281" s="50" t="s">
        <v>1430</v>
      </c>
      <c r="B1281" s="50" t="s">
        <v>113</v>
      </c>
      <c r="C1281" s="50" t="s">
        <v>2466</v>
      </c>
      <c r="D1281" s="51">
        <v>12343</v>
      </c>
      <c r="E1281" s="51">
        <v>629343</v>
      </c>
      <c r="F1281" s="52">
        <v>56896.7</v>
      </c>
      <c r="G1281" s="53">
        <v>9.0406502999999994</v>
      </c>
    </row>
    <row r="1282" spans="1:7">
      <c r="A1282" s="50" t="s">
        <v>1431</v>
      </c>
      <c r="B1282" s="50" t="s">
        <v>113</v>
      </c>
      <c r="C1282" s="50" t="s">
        <v>2466</v>
      </c>
      <c r="D1282" s="51">
        <v>73</v>
      </c>
      <c r="E1282" s="51">
        <v>505</v>
      </c>
      <c r="F1282" s="52">
        <v>43.1</v>
      </c>
      <c r="G1282" s="53">
        <v>8.5346534999999992</v>
      </c>
    </row>
    <row r="1283" spans="1:7">
      <c r="A1283" s="50" t="s">
        <v>1432</v>
      </c>
      <c r="B1283" s="50" t="s">
        <v>113</v>
      </c>
      <c r="C1283" s="50" t="s">
        <v>2466</v>
      </c>
      <c r="D1283" s="51">
        <v>1</v>
      </c>
      <c r="E1283" s="51">
        <v>165133</v>
      </c>
      <c r="F1283" s="52">
        <v>8262.9</v>
      </c>
      <c r="G1283" s="53">
        <v>5.0037848</v>
      </c>
    </row>
    <row r="1284" spans="1:7">
      <c r="A1284" s="50" t="s">
        <v>1433</v>
      </c>
      <c r="B1284" s="50" t="s">
        <v>113</v>
      </c>
      <c r="C1284" s="50" t="s">
        <v>2466</v>
      </c>
      <c r="D1284" s="51">
        <v>99509</v>
      </c>
      <c r="E1284" s="51">
        <v>1518014</v>
      </c>
      <c r="F1284" s="52">
        <v>189706.9</v>
      </c>
      <c r="G1284" s="53">
        <v>12.497045</v>
      </c>
    </row>
    <row r="1285" spans="1:7">
      <c r="A1285" s="50" t="s">
        <v>1434</v>
      </c>
      <c r="B1285" s="50" t="s">
        <v>113</v>
      </c>
      <c r="C1285" s="50" t="s">
        <v>242</v>
      </c>
      <c r="D1285" s="51">
        <v>510430</v>
      </c>
      <c r="E1285" s="51">
        <v>13087868</v>
      </c>
      <c r="F1285" s="52">
        <v>1178922.3</v>
      </c>
      <c r="G1285" s="53">
        <v>9.0077490000000004</v>
      </c>
    </row>
    <row r="1286" spans="1:7">
      <c r="A1286" s="50" t="s">
        <v>1436</v>
      </c>
      <c r="B1286" s="50" t="s">
        <v>113</v>
      </c>
      <c r="C1286" s="50" t="s">
        <v>2466</v>
      </c>
      <c r="D1286" s="51">
        <v>3</v>
      </c>
      <c r="E1286" s="51">
        <v>119460</v>
      </c>
      <c r="F1286" s="52">
        <v>7087</v>
      </c>
      <c r="G1286" s="53">
        <v>5.9325296999999999</v>
      </c>
    </row>
    <row r="1287" spans="1:7">
      <c r="A1287" s="50" t="s">
        <v>1437</v>
      </c>
      <c r="B1287" s="50" t="s">
        <v>113</v>
      </c>
      <c r="C1287" s="50" t="s">
        <v>240</v>
      </c>
      <c r="D1287" s="51">
        <v>8943</v>
      </c>
      <c r="E1287" s="51">
        <v>366121</v>
      </c>
      <c r="F1287" s="52">
        <v>32429.3</v>
      </c>
      <c r="G1287" s="53">
        <v>8.8575362000000002</v>
      </c>
    </row>
    <row r="1288" spans="1:7">
      <c r="A1288" s="50" t="s">
        <v>1438</v>
      </c>
      <c r="B1288" s="50" t="s">
        <v>113</v>
      </c>
      <c r="C1288" s="50" t="s">
        <v>240</v>
      </c>
      <c r="D1288" s="51">
        <v>38084</v>
      </c>
      <c r="E1288" s="51">
        <v>645256</v>
      </c>
      <c r="F1288" s="52">
        <v>68210.399999999994</v>
      </c>
      <c r="G1288" s="53">
        <v>10.571059999999999</v>
      </c>
    </row>
    <row r="1289" spans="1:7">
      <c r="A1289" s="50" t="s">
        <v>1439</v>
      </c>
      <c r="B1289" s="50" t="s">
        <v>113</v>
      </c>
      <c r="C1289" s="50" t="s">
        <v>240</v>
      </c>
      <c r="D1289" s="51">
        <v>12365</v>
      </c>
      <c r="E1289" s="51">
        <v>208568</v>
      </c>
      <c r="F1289" s="52">
        <v>23309.7</v>
      </c>
      <c r="G1289" s="53">
        <v>11.176067</v>
      </c>
    </row>
    <row r="1290" spans="1:7">
      <c r="A1290" s="50" t="s">
        <v>1440</v>
      </c>
      <c r="B1290" s="50" t="s">
        <v>113</v>
      </c>
      <c r="C1290" s="50" t="s">
        <v>240</v>
      </c>
      <c r="D1290" s="51">
        <v>13128</v>
      </c>
      <c r="E1290" s="51">
        <v>255477</v>
      </c>
      <c r="F1290" s="52">
        <v>29193</v>
      </c>
      <c r="G1290" s="53">
        <v>11.42686</v>
      </c>
    </row>
    <row r="1291" spans="1:7">
      <c r="A1291" s="50" t="s">
        <v>1441</v>
      </c>
      <c r="B1291" s="50" t="s">
        <v>113</v>
      </c>
      <c r="C1291" s="50" t="s">
        <v>240</v>
      </c>
      <c r="D1291" s="51">
        <v>106364</v>
      </c>
      <c r="E1291" s="51">
        <v>2347639</v>
      </c>
      <c r="F1291" s="52">
        <v>218793.2</v>
      </c>
      <c r="G1291" s="53">
        <v>9.3197123000000008</v>
      </c>
    </row>
    <row r="1292" spans="1:7">
      <c r="A1292" s="50" t="s">
        <v>1443</v>
      </c>
      <c r="B1292" s="50" t="s">
        <v>113</v>
      </c>
      <c r="C1292" s="50" t="s">
        <v>240</v>
      </c>
      <c r="D1292" s="51">
        <v>38174</v>
      </c>
      <c r="E1292" s="51">
        <v>606801</v>
      </c>
      <c r="F1292" s="52">
        <v>69345.399999999994</v>
      </c>
      <c r="G1292" s="53">
        <v>11.42803</v>
      </c>
    </row>
    <row r="1293" spans="1:7">
      <c r="A1293" s="50" t="s">
        <v>1444</v>
      </c>
      <c r="B1293" s="50" t="s">
        <v>113</v>
      </c>
      <c r="C1293" s="50" t="s">
        <v>2466</v>
      </c>
      <c r="D1293" s="51">
        <v>21161</v>
      </c>
      <c r="E1293" s="51">
        <v>958671</v>
      </c>
      <c r="F1293" s="52">
        <v>90479.9</v>
      </c>
      <c r="G1293" s="53">
        <v>9.4380553999999997</v>
      </c>
    </row>
    <row r="1294" spans="1:7">
      <c r="A1294" s="50" t="s">
        <v>1445</v>
      </c>
      <c r="B1294" s="50" t="s">
        <v>113</v>
      </c>
      <c r="C1294" s="50" t="s">
        <v>2466</v>
      </c>
      <c r="D1294" s="51">
        <v>10668</v>
      </c>
      <c r="E1294" s="51">
        <v>120620</v>
      </c>
      <c r="F1294" s="52">
        <v>11967</v>
      </c>
      <c r="G1294" s="53">
        <v>9.9212402999999991</v>
      </c>
    </row>
    <row r="1295" spans="1:7">
      <c r="A1295" s="50" t="s">
        <v>1446</v>
      </c>
      <c r="B1295" s="50" t="s">
        <v>113</v>
      </c>
      <c r="C1295" s="50" t="s">
        <v>242</v>
      </c>
      <c r="D1295" s="51">
        <v>52148</v>
      </c>
      <c r="E1295" s="51">
        <v>1208187</v>
      </c>
      <c r="F1295" s="52">
        <v>126070</v>
      </c>
      <c r="G1295" s="53">
        <v>10.434642999999999</v>
      </c>
    </row>
    <row r="1296" spans="1:7">
      <c r="A1296" s="50" t="s">
        <v>2206</v>
      </c>
      <c r="B1296" s="50" t="s">
        <v>113</v>
      </c>
      <c r="C1296" s="50" t="s">
        <v>2466</v>
      </c>
      <c r="D1296" s="51">
        <v>2978</v>
      </c>
      <c r="E1296" s="51">
        <v>38393</v>
      </c>
      <c r="F1296" s="52">
        <v>1966.2</v>
      </c>
      <c r="G1296" s="53">
        <v>5.1212460999999996</v>
      </c>
    </row>
    <row r="1297" spans="1:7">
      <c r="A1297" s="50" t="s">
        <v>1447</v>
      </c>
      <c r="B1297" s="50" t="s">
        <v>113</v>
      </c>
      <c r="C1297" s="50" t="s">
        <v>2466</v>
      </c>
      <c r="D1297" s="51">
        <v>126</v>
      </c>
      <c r="E1297" s="51">
        <v>10791249</v>
      </c>
      <c r="F1297" s="52">
        <v>481009</v>
      </c>
      <c r="G1297" s="53">
        <v>4.4573988</v>
      </c>
    </row>
    <row r="1298" spans="1:7">
      <c r="A1298" s="50" t="s">
        <v>1448</v>
      </c>
      <c r="B1298" s="50" t="s">
        <v>113</v>
      </c>
      <c r="C1298" s="50" t="s">
        <v>2466</v>
      </c>
      <c r="D1298" s="51">
        <v>1</v>
      </c>
      <c r="E1298" s="51">
        <v>214623</v>
      </c>
      <c r="F1298" s="52">
        <v>6037</v>
      </c>
      <c r="G1298" s="53">
        <v>2.8128392999999998</v>
      </c>
    </row>
    <row r="1299" spans="1:7">
      <c r="A1299" s="50" t="s">
        <v>1449</v>
      </c>
      <c r="B1299" s="50" t="s">
        <v>113</v>
      </c>
      <c r="C1299" s="50" t="s">
        <v>240</v>
      </c>
      <c r="D1299" s="51">
        <v>43002</v>
      </c>
      <c r="E1299" s="51">
        <v>651676</v>
      </c>
      <c r="F1299" s="52">
        <v>69024</v>
      </c>
      <c r="G1299" s="53">
        <v>10.591766</v>
      </c>
    </row>
    <row r="1300" spans="1:7">
      <c r="A1300" s="50" t="s">
        <v>1450</v>
      </c>
      <c r="B1300" s="50" t="s">
        <v>113</v>
      </c>
      <c r="C1300" s="50" t="s">
        <v>2466</v>
      </c>
      <c r="D1300" s="51">
        <v>152229</v>
      </c>
      <c r="E1300" s="51">
        <v>4851933</v>
      </c>
      <c r="F1300" s="52">
        <v>432826.9</v>
      </c>
      <c r="G1300" s="53">
        <v>8.9207105999999996</v>
      </c>
    </row>
    <row r="1301" spans="1:7">
      <c r="A1301" s="50" t="s">
        <v>2207</v>
      </c>
      <c r="B1301" s="50" t="s">
        <v>113</v>
      </c>
      <c r="C1301" s="50" t="s">
        <v>2466</v>
      </c>
      <c r="D1301" s="51">
        <v>32195</v>
      </c>
      <c r="E1301" s="51">
        <v>493436</v>
      </c>
      <c r="F1301" s="52">
        <v>51373</v>
      </c>
      <c r="G1301" s="53">
        <v>10.411279</v>
      </c>
    </row>
    <row r="1302" spans="1:7">
      <c r="A1302" s="50" t="s">
        <v>1451</v>
      </c>
      <c r="B1302" s="50" t="s">
        <v>113</v>
      </c>
      <c r="C1302" s="50" t="s">
        <v>240</v>
      </c>
      <c r="D1302" s="51">
        <v>21452</v>
      </c>
      <c r="E1302" s="51">
        <v>411705</v>
      </c>
      <c r="F1302" s="52">
        <v>41650</v>
      </c>
      <c r="G1302" s="53">
        <v>10.116467</v>
      </c>
    </row>
    <row r="1303" spans="1:7">
      <c r="A1303" s="50" t="s">
        <v>1453</v>
      </c>
      <c r="B1303" s="50" t="s">
        <v>113</v>
      </c>
      <c r="C1303" s="50" t="s">
        <v>242</v>
      </c>
      <c r="D1303" s="51">
        <v>8524</v>
      </c>
      <c r="E1303" s="51">
        <v>272250</v>
      </c>
      <c r="F1303" s="52">
        <v>19764</v>
      </c>
      <c r="G1303" s="53">
        <v>7.2595041</v>
      </c>
    </row>
    <row r="1304" spans="1:7">
      <c r="A1304" s="50" t="s">
        <v>1454</v>
      </c>
      <c r="B1304" s="50" t="s">
        <v>113</v>
      </c>
      <c r="C1304" s="50" t="s">
        <v>242</v>
      </c>
      <c r="D1304" s="51">
        <v>62732</v>
      </c>
      <c r="E1304" s="51">
        <v>1448005</v>
      </c>
      <c r="F1304" s="52">
        <v>130444.3</v>
      </c>
      <c r="G1304" s="53">
        <v>9.0085531000000003</v>
      </c>
    </row>
    <row r="1305" spans="1:7">
      <c r="A1305" s="50" t="s">
        <v>1455</v>
      </c>
      <c r="B1305" s="50" t="s">
        <v>113</v>
      </c>
      <c r="C1305" s="50" t="s">
        <v>242</v>
      </c>
      <c r="D1305" s="51">
        <v>43920</v>
      </c>
      <c r="E1305" s="51">
        <v>831868</v>
      </c>
      <c r="F1305" s="52">
        <v>100796</v>
      </c>
      <c r="G1305" s="53">
        <v>12.116826</v>
      </c>
    </row>
    <row r="1306" spans="1:7">
      <c r="A1306" s="50" t="s">
        <v>1457</v>
      </c>
      <c r="B1306" s="50" t="s">
        <v>113</v>
      </c>
      <c r="C1306" s="50" t="s">
        <v>242</v>
      </c>
      <c r="D1306" s="51">
        <v>57197</v>
      </c>
      <c r="E1306" s="51">
        <v>1469155</v>
      </c>
      <c r="F1306" s="52">
        <v>176464</v>
      </c>
      <c r="G1306" s="53">
        <v>12.011258</v>
      </c>
    </row>
    <row r="1307" spans="1:7">
      <c r="A1307" s="50" t="s">
        <v>1458</v>
      </c>
      <c r="B1307" s="50" t="s">
        <v>113</v>
      </c>
      <c r="C1307" s="50" t="s">
        <v>242</v>
      </c>
      <c r="D1307" s="51">
        <v>16530</v>
      </c>
      <c r="E1307" s="51">
        <v>348640</v>
      </c>
      <c r="F1307" s="52">
        <v>40665.9</v>
      </c>
      <c r="G1307" s="53">
        <v>11.664152</v>
      </c>
    </row>
    <row r="1308" spans="1:7">
      <c r="A1308" s="50" t="s">
        <v>1460</v>
      </c>
      <c r="B1308" s="50" t="s">
        <v>113</v>
      </c>
      <c r="C1308" s="50" t="s">
        <v>242</v>
      </c>
      <c r="D1308" s="51">
        <v>72295</v>
      </c>
      <c r="E1308" s="51">
        <v>1957712</v>
      </c>
      <c r="F1308" s="52">
        <v>177304</v>
      </c>
      <c r="G1308" s="53">
        <v>9.0566948000000007</v>
      </c>
    </row>
    <row r="1309" spans="1:7">
      <c r="A1309" s="50" t="s">
        <v>1461</v>
      </c>
      <c r="B1309" s="50" t="s">
        <v>113</v>
      </c>
      <c r="C1309" s="50" t="s">
        <v>242</v>
      </c>
      <c r="D1309" s="51">
        <v>28884</v>
      </c>
      <c r="E1309" s="51">
        <v>627778</v>
      </c>
      <c r="F1309" s="52">
        <v>81476.2</v>
      </c>
      <c r="G1309" s="53">
        <v>12.978505</v>
      </c>
    </row>
    <row r="1310" spans="1:7">
      <c r="A1310" s="50" t="s">
        <v>1462</v>
      </c>
      <c r="B1310" s="50" t="s">
        <v>113</v>
      </c>
      <c r="C1310" s="50" t="s">
        <v>242</v>
      </c>
      <c r="D1310" s="51">
        <v>15565</v>
      </c>
      <c r="E1310" s="51">
        <v>484050</v>
      </c>
      <c r="F1310" s="52">
        <v>55039</v>
      </c>
      <c r="G1310" s="53">
        <v>11.370520000000001</v>
      </c>
    </row>
    <row r="1311" spans="1:7">
      <c r="A1311" s="50" t="s">
        <v>1467</v>
      </c>
      <c r="B1311" s="50" t="s">
        <v>113</v>
      </c>
      <c r="C1311" s="50" t="s">
        <v>242</v>
      </c>
      <c r="D1311" s="51">
        <v>107447</v>
      </c>
      <c r="E1311" s="51">
        <v>2567048</v>
      </c>
      <c r="F1311" s="52">
        <v>213435.3</v>
      </c>
      <c r="G1311" s="53">
        <v>8.3144258000000004</v>
      </c>
    </row>
    <row r="1312" spans="1:7">
      <c r="A1312" s="50" t="s">
        <v>1468</v>
      </c>
      <c r="B1312" s="50" t="s">
        <v>113</v>
      </c>
      <c r="C1312" s="50" t="s">
        <v>242</v>
      </c>
      <c r="D1312" s="51">
        <v>46924</v>
      </c>
      <c r="E1312" s="51">
        <v>1709615</v>
      </c>
      <c r="F1312" s="52">
        <v>138318.70000000001</v>
      </c>
      <c r="G1312" s="53">
        <v>8.0906344000000008</v>
      </c>
    </row>
    <row r="1313" spans="1:7">
      <c r="A1313" s="50" t="s">
        <v>1469</v>
      </c>
      <c r="B1313" s="50" t="s">
        <v>113</v>
      </c>
      <c r="C1313" s="50" t="s">
        <v>242</v>
      </c>
      <c r="D1313" s="51">
        <v>871718</v>
      </c>
      <c r="E1313" s="51">
        <v>22184581</v>
      </c>
      <c r="F1313" s="52">
        <v>2164210</v>
      </c>
      <c r="G1313" s="53">
        <v>9.7554694000000008</v>
      </c>
    </row>
    <row r="1314" spans="1:7">
      <c r="A1314" s="50" t="s">
        <v>1470</v>
      </c>
      <c r="B1314" s="50" t="s">
        <v>113</v>
      </c>
      <c r="C1314" s="50" t="s">
        <v>242</v>
      </c>
      <c r="D1314" s="51">
        <v>24892</v>
      </c>
      <c r="E1314" s="51">
        <v>609531</v>
      </c>
      <c r="F1314" s="52">
        <v>53321</v>
      </c>
      <c r="G1314" s="53">
        <v>8.7478733999999996</v>
      </c>
    </row>
    <row r="1315" spans="1:7">
      <c r="A1315" s="50" t="s">
        <v>1471</v>
      </c>
      <c r="B1315" s="50" t="s">
        <v>113</v>
      </c>
      <c r="C1315" s="50" t="s">
        <v>242</v>
      </c>
      <c r="D1315" s="51">
        <v>8590</v>
      </c>
      <c r="E1315" s="51">
        <v>306655</v>
      </c>
      <c r="F1315" s="52">
        <v>28419</v>
      </c>
      <c r="G1315" s="53">
        <v>9.2674178000000005</v>
      </c>
    </row>
    <row r="1316" spans="1:7">
      <c r="A1316" s="50" t="s">
        <v>1472</v>
      </c>
      <c r="B1316" s="50" t="s">
        <v>113</v>
      </c>
      <c r="C1316" s="50" t="s">
        <v>2466</v>
      </c>
      <c r="D1316" s="51">
        <v>1437</v>
      </c>
      <c r="E1316" s="51">
        <v>14541</v>
      </c>
      <c r="F1316" s="52">
        <v>2498.3000000000002</v>
      </c>
      <c r="G1316" s="53">
        <v>17.181073999999999</v>
      </c>
    </row>
    <row r="1317" spans="1:7">
      <c r="A1317" s="50" t="s">
        <v>1474</v>
      </c>
      <c r="B1317" s="50" t="s">
        <v>113</v>
      </c>
      <c r="C1317" s="50" t="s">
        <v>240</v>
      </c>
      <c r="D1317" s="51">
        <v>17356</v>
      </c>
      <c r="E1317" s="51">
        <v>318199</v>
      </c>
      <c r="F1317" s="52">
        <v>30060</v>
      </c>
      <c r="G1317" s="53">
        <v>9.4469183999999995</v>
      </c>
    </row>
    <row r="1318" spans="1:7">
      <c r="A1318" s="50" t="s">
        <v>1475</v>
      </c>
      <c r="B1318" s="50" t="s">
        <v>113</v>
      </c>
      <c r="C1318" s="50" t="s">
        <v>240</v>
      </c>
      <c r="D1318" s="51">
        <v>15329</v>
      </c>
      <c r="E1318" s="51">
        <v>409885</v>
      </c>
      <c r="F1318" s="52">
        <v>37260.699999999997</v>
      </c>
      <c r="G1318" s="53">
        <v>9.0905254000000006</v>
      </c>
    </row>
    <row r="1319" spans="1:7">
      <c r="A1319" s="50" t="s">
        <v>1476</v>
      </c>
      <c r="B1319" s="50" t="s">
        <v>113</v>
      </c>
      <c r="C1319" s="50" t="s">
        <v>2466</v>
      </c>
      <c r="D1319" s="51">
        <v>2</v>
      </c>
      <c r="E1319" s="51">
        <v>107168</v>
      </c>
      <c r="F1319" s="52">
        <v>4865.7</v>
      </c>
      <c r="G1319" s="53">
        <v>4.5402545999999999</v>
      </c>
    </row>
    <row r="1320" spans="1:7">
      <c r="A1320" s="50" t="s">
        <v>1477</v>
      </c>
      <c r="B1320" s="50" t="s">
        <v>113</v>
      </c>
      <c r="C1320" s="50" t="s">
        <v>2466</v>
      </c>
      <c r="D1320" s="51">
        <v>45669</v>
      </c>
      <c r="E1320" s="51">
        <v>534786</v>
      </c>
      <c r="F1320" s="52">
        <v>53812.800000000003</v>
      </c>
      <c r="G1320" s="53">
        <v>10.062492000000001</v>
      </c>
    </row>
    <row r="1321" spans="1:7">
      <c r="A1321" s="50" t="s">
        <v>1478</v>
      </c>
      <c r="B1321" s="50" t="s">
        <v>113</v>
      </c>
      <c r="C1321" s="50" t="s">
        <v>2466</v>
      </c>
      <c r="D1321" s="51">
        <v>211427</v>
      </c>
      <c r="E1321" s="51">
        <v>12413119</v>
      </c>
      <c r="F1321" s="52">
        <v>933351.4</v>
      </c>
      <c r="G1321" s="53">
        <v>7.5190723999999998</v>
      </c>
    </row>
    <row r="1322" spans="1:7">
      <c r="A1322" s="50" t="s">
        <v>1479</v>
      </c>
      <c r="B1322" s="50" t="s">
        <v>113</v>
      </c>
      <c r="C1322" s="50" t="s">
        <v>240</v>
      </c>
      <c r="D1322" s="51">
        <v>16686</v>
      </c>
      <c r="E1322" s="51">
        <v>429832</v>
      </c>
      <c r="F1322" s="52">
        <v>38130</v>
      </c>
      <c r="G1322" s="53">
        <v>8.8709077000000001</v>
      </c>
    </row>
    <row r="1323" spans="1:7">
      <c r="A1323" s="50" t="s">
        <v>1480</v>
      </c>
      <c r="B1323" s="50" t="s">
        <v>113</v>
      </c>
      <c r="C1323" s="50" t="s">
        <v>240</v>
      </c>
      <c r="D1323" s="51">
        <v>14839</v>
      </c>
      <c r="E1323" s="51">
        <v>807292</v>
      </c>
      <c r="F1323" s="52">
        <v>59130.8</v>
      </c>
      <c r="G1323" s="53">
        <v>7.3245864000000003</v>
      </c>
    </row>
    <row r="1324" spans="1:7">
      <c r="A1324" s="50" t="s">
        <v>1481</v>
      </c>
      <c r="B1324" s="50" t="s">
        <v>113</v>
      </c>
      <c r="C1324" s="50" t="s">
        <v>240</v>
      </c>
      <c r="D1324" s="51">
        <v>43613</v>
      </c>
      <c r="E1324" s="51">
        <v>785774</v>
      </c>
      <c r="F1324" s="52">
        <v>73543</v>
      </c>
      <c r="G1324" s="53">
        <v>9.3593069</v>
      </c>
    </row>
    <row r="1325" spans="1:7">
      <c r="A1325" s="50" t="s">
        <v>1482</v>
      </c>
      <c r="B1325" s="50" t="s">
        <v>113</v>
      </c>
      <c r="C1325" s="50" t="s">
        <v>240</v>
      </c>
      <c r="D1325" s="51">
        <v>263950</v>
      </c>
      <c r="E1325" s="51">
        <v>5432976</v>
      </c>
      <c r="F1325" s="52">
        <v>509073.8</v>
      </c>
      <c r="G1325" s="53">
        <v>9.3700726999999997</v>
      </c>
    </row>
    <row r="1326" spans="1:7">
      <c r="A1326" s="50" t="s">
        <v>2248</v>
      </c>
      <c r="B1326" s="50" t="s">
        <v>113</v>
      </c>
      <c r="C1326" s="50" t="s">
        <v>2466</v>
      </c>
      <c r="D1326" s="51">
        <v>71166</v>
      </c>
      <c r="E1326" s="51">
        <v>10788367</v>
      </c>
      <c r="F1326" s="52">
        <v>729432.8</v>
      </c>
      <c r="G1326" s="53">
        <v>6.7612902000000004</v>
      </c>
    </row>
    <row r="1327" spans="1:7">
      <c r="A1327" s="50" t="s">
        <v>1483</v>
      </c>
      <c r="B1327" s="50" t="s">
        <v>113</v>
      </c>
      <c r="C1327" s="50" t="s">
        <v>2466</v>
      </c>
      <c r="D1327" s="51">
        <v>615455</v>
      </c>
      <c r="E1327" s="51">
        <v>8081251</v>
      </c>
      <c r="F1327" s="52">
        <v>1016285.9</v>
      </c>
      <c r="G1327" s="53">
        <v>12.575849</v>
      </c>
    </row>
    <row r="1328" spans="1:7">
      <c r="A1328" s="50" t="s">
        <v>1485</v>
      </c>
      <c r="B1328" s="50" t="s">
        <v>113</v>
      </c>
      <c r="C1328" s="50" t="s">
        <v>2466</v>
      </c>
      <c r="D1328" s="51">
        <v>131</v>
      </c>
      <c r="E1328" s="51">
        <v>22519004</v>
      </c>
      <c r="F1328" s="52">
        <v>884396</v>
      </c>
      <c r="G1328" s="53">
        <v>3.9273318000000002</v>
      </c>
    </row>
    <row r="1329" spans="1:7">
      <c r="A1329" s="50" t="s">
        <v>1486</v>
      </c>
      <c r="B1329" s="50" t="s">
        <v>113</v>
      </c>
      <c r="C1329" s="50" t="s">
        <v>2466</v>
      </c>
      <c r="D1329" s="51">
        <v>15358</v>
      </c>
      <c r="E1329" s="51">
        <v>11748676</v>
      </c>
      <c r="F1329" s="52">
        <v>759575.7</v>
      </c>
      <c r="G1329" s="53">
        <v>6.4652025000000002</v>
      </c>
    </row>
    <row r="1330" spans="1:7">
      <c r="A1330" s="50" t="s">
        <v>1487</v>
      </c>
      <c r="B1330" s="50" t="s">
        <v>113</v>
      </c>
      <c r="C1330" s="50" t="s">
        <v>2466</v>
      </c>
      <c r="D1330" s="51">
        <v>27484</v>
      </c>
      <c r="E1330" s="51">
        <v>487309</v>
      </c>
      <c r="F1330" s="52">
        <v>48469.8</v>
      </c>
      <c r="G1330" s="53">
        <v>9.9464199999999998</v>
      </c>
    </row>
    <row r="1331" spans="1:7">
      <c r="A1331" s="50" t="s">
        <v>1082</v>
      </c>
      <c r="B1331" s="50" t="s">
        <v>113</v>
      </c>
      <c r="C1331" s="50" t="s">
        <v>237</v>
      </c>
      <c r="D1331" s="51">
        <v>335398</v>
      </c>
      <c r="E1331" s="51">
        <v>6393492</v>
      </c>
      <c r="F1331" s="52">
        <v>611071</v>
      </c>
      <c r="G1331" s="53">
        <v>9.5577033999999994</v>
      </c>
    </row>
    <row r="1332" spans="1:7">
      <c r="A1332" s="50" t="s">
        <v>1488</v>
      </c>
      <c r="B1332" s="50" t="s">
        <v>113</v>
      </c>
      <c r="C1332" s="50" t="s">
        <v>2466</v>
      </c>
      <c r="D1332" s="51">
        <v>29</v>
      </c>
      <c r="E1332" s="51">
        <v>3776</v>
      </c>
      <c r="F1332" s="52">
        <v>97.6</v>
      </c>
      <c r="G1332" s="53">
        <v>2.5847457999999999</v>
      </c>
    </row>
    <row r="1333" spans="1:7">
      <c r="A1333" s="50" t="s">
        <v>1489</v>
      </c>
      <c r="B1333" s="50" t="s">
        <v>113</v>
      </c>
      <c r="C1333" s="50" t="s">
        <v>237</v>
      </c>
      <c r="D1333" s="51">
        <v>468749</v>
      </c>
      <c r="E1333" s="51">
        <v>18676578</v>
      </c>
      <c r="F1333" s="52">
        <v>1330327</v>
      </c>
      <c r="G1333" s="53">
        <v>7.1229696999999996</v>
      </c>
    </row>
    <row r="1334" spans="1:7">
      <c r="A1334" s="50" t="s">
        <v>1490</v>
      </c>
      <c r="B1334" s="50" t="s">
        <v>113</v>
      </c>
      <c r="C1334" s="50" t="s">
        <v>2466</v>
      </c>
      <c r="D1334" s="51">
        <v>71723</v>
      </c>
      <c r="E1334" s="51">
        <v>1885545</v>
      </c>
      <c r="F1334" s="52">
        <v>198949</v>
      </c>
      <c r="G1334" s="53">
        <v>10.551273</v>
      </c>
    </row>
    <row r="1335" spans="1:7">
      <c r="A1335" s="50" t="s">
        <v>2249</v>
      </c>
      <c r="B1335" s="50" t="s">
        <v>113</v>
      </c>
      <c r="C1335" s="50" t="s">
        <v>2466</v>
      </c>
      <c r="D1335" s="51">
        <v>258</v>
      </c>
      <c r="E1335" s="51">
        <v>4184</v>
      </c>
      <c r="F1335" s="52">
        <v>367.8</v>
      </c>
      <c r="G1335" s="53">
        <v>8.7906309999999994</v>
      </c>
    </row>
    <row r="1336" spans="1:7">
      <c r="A1336" s="50" t="s">
        <v>1492</v>
      </c>
      <c r="B1336" s="50" t="s">
        <v>113</v>
      </c>
      <c r="C1336" s="50" t="s">
        <v>240</v>
      </c>
      <c r="D1336" s="51">
        <v>74641</v>
      </c>
      <c r="E1336" s="51">
        <v>1290590</v>
      </c>
      <c r="F1336" s="52">
        <v>140533</v>
      </c>
      <c r="G1336" s="53">
        <v>10.889051</v>
      </c>
    </row>
    <row r="1337" spans="1:7">
      <c r="A1337" s="50" t="s">
        <v>1493</v>
      </c>
      <c r="B1337" s="50" t="s">
        <v>113</v>
      </c>
      <c r="C1337" s="50" t="s">
        <v>240</v>
      </c>
      <c r="D1337" s="51">
        <v>15226</v>
      </c>
      <c r="E1337" s="51">
        <v>295288</v>
      </c>
      <c r="F1337" s="52">
        <v>39053</v>
      </c>
      <c r="G1337" s="53">
        <v>13.225394</v>
      </c>
    </row>
    <row r="1338" spans="1:7">
      <c r="A1338" s="50" t="s">
        <v>2250</v>
      </c>
      <c r="B1338" s="50" t="s">
        <v>113</v>
      </c>
      <c r="C1338" s="50" t="s">
        <v>2466</v>
      </c>
      <c r="D1338" s="51">
        <v>1305</v>
      </c>
      <c r="E1338" s="51">
        <v>574084</v>
      </c>
      <c r="F1338" s="52">
        <v>44014</v>
      </c>
      <c r="G1338" s="53">
        <v>7.6668222999999998</v>
      </c>
    </row>
    <row r="1339" spans="1:7">
      <c r="A1339" s="50" t="s">
        <v>1495</v>
      </c>
      <c r="B1339" s="50" t="s">
        <v>113</v>
      </c>
      <c r="C1339" s="50" t="s">
        <v>2466</v>
      </c>
      <c r="D1339" s="51">
        <v>86233</v>
      </c>
      <c r="E1339" s="51">
        <v>1336005</v>
      </c>
      <c r="F1339" s="52">
        <v>160963.79999999999</v>
      </c>
      <c r="G1339" s="53">
        <v>12.048144000000001</v>
      </c>
    </row>
    <row r="1340" spans="1:7">
      <c r="A1340" s="50" t="s">
        <v>1496</v>
      </c>
      <c r="B1340" s="50" t="s">
        <v>113</v>
      </c>
      <c r="C1340" s="50" t="s">
        <v>240</v>
      </c>
      <c r="D1340" s="51">
        <v>62730</v>
      </c>
      <c r="E1340" s="51">
        <v>1075711</v>
      </c>
      <c r="F1340" s="52">
        <v>124124</v>
      </c>
      <c r="G1340" s="53">
        <v>11.538786999999999</v>
      </c>
    </row>
    <row r="1341" spans="1:7">
      <c r="A1341" s="50" t="s">
        <v>1497</v>
      </c>
      <c r="B1341" s="50" t="s">
        <v>113</v>
      </c>
      <c r="C1341" s="50" t="s">
        <v>2466</v>
      </c>
      <c r="D1341" s="51">
        <v>359273</v>
      </c>
      <c r="E1341" s="51">
        <v>5639763</v>
      </c>
      <c r="F1341" s="52">
        <v>664188.19999999995</v>
      </c>
      <c r="G1341" s="53">
        <v>11.776880999999999</v>
      </c>
    </row>
    <row r="1342" spans="1:7">
      <c r="A1342" s="50" t="s">
        <v>1498</v>
      </c>
      <c r="B1342" s="50" t="s">
        <v>113</v>
      </c>
      <c r="C1342" s="50" t="s">
        <v>240</v>
      </c>
      <c r="D1342" s="51">
        <v>5454</v>
      </c>
      <c r="E1342" s="51">
        <v>216148</v>
      </c>
      <c r="F1342" s="52">
        <v>21161</v>
      </c>
      <c r="G1342" s="53">
        <v>9.7900513</v>
      </c>
    </row>
    <row r="1343" spans="1:7">
      <c r="A1343" s="50" t="s">
        <v>2251</v>
      </c>
      <c r="B1343" s="50" t="s">
        <v>113</v>
      </c>
      <c r="C1343" s="50" t="s">
        <v>2466</v>
      </c>
      <c r="D1343" s="51">
        <v>2697</v>
      </c>
      <c r="E1343" s="51">
        <v>44983</v>
      </c>
      <c r="F1343" s="52">
        <v>4169.7</v>
      </c>
      <c r="G1343" s="53">
        <v>9.2695018000000005</v>
      </c>
    </row>
    <row r="1344" spans="1:7">
      <c r="A1344" s="50" t="s">
        <v>1499</v>
      </c>
      <c r="B1344" s="50" t="s">
        <v>113</v>
      </c>
      <c r="C1344" s="50" t="s">
        <v>2466</v>
      </c>
      <c r="D1344" s="51">
        <v>26193</v>
      </c>
      <c r="E1344" s="51">
        <v>416650</v>
      </c>
      <c r="F1344" s="52">
        <v>34580.9</v>
      </c>
      <c r="G1344" s="53">
        <v>8.2997479999999992</v>
      </c>
    </row>
    <row r="1345" spans="1:7">
      <c r="A1345" s="50" t="s">
        <v>1500</v>
      </c>
      <c r="B1345" s="50" t="s">
        <v>113</v>
      </c>
      <c r="C1345" s="50" t="s">
        <v>240</v>
      </c>
      <c r="D1345" s="51">
        <v>88922</v>
      </c>
      <c r="E1345" s="51">
        <v>2671269</v>
      </c>
      <c r="F1345" s="52">
        <v>196655.1</v>
      </c>
      <c r="G1345" s="53">
        <v>7.3618606</v>
      </c>
    </row>
    <row r="1346" spans="1:7">
      <c r="A1346" s="50" t="s">
        <v>1501</v>
      </c>
      <c r="B1346" s="50" t="s">
        <v>113</v>
      </c>
      <c r="C1346" s="50" t="s">
        <v>240</v>
      </c>
      <c r="D1346" s="51">
        <v>30362</v>
      </c>
      <c r="E1346" s="51">
        <v>582630</v>
      </c>
      <c r="F1346" s="52">
        <v>59508</v>
      </c>
      <c r="G1346" s="53">
        <v>10.213685999999999</v>
      </c>
    </row>
    <row r="1347" spans="1:7">
      <c r="A1347" s="50" t="s">
        <v>1502</v>
      </c>
      <c r="B1347" s="50" t="s">
        <v>113</v>
      </c>
      <c r="C1347" s="50" t="s">
        <v>240</v>
      </c>
      <c r="D1347" s="51">
        <v>18720</v>
      </c>
      <c r="E1347" s="51">
        <v>242191</v>
      </c>
      <c r="F1347" s="52">
        <v>25458.6</v>
      </c>
      <c r="G1347" s="53">
        <v>10.511786000000001</v>
      </c>
    </row>
    <row r="1348" spans="1:7">
      <c r="A1348" s="50" t="s">
        <v>1503</v>
      </c>
      <c r="B1348" s="50" t="s">
        <v>113</v>
      </c>
      <c r="C1348" s="50" t="s">
        <v>240</v>
      </c>
      <c r="D1348" s="51">
        <v>22673</v>
      </c>
      <c r="E1348" s="51">
        <v>478928</v>
      </c>
      <c r="F1348" s="52">
        <v>41446.400000000001</v>
      </c>
      <c r="G1348" s="53">
        <v>8.6539938999999997</v>
      </c>
    </row>
    <row r="1349" spans="1:7">
      <c r="A1349" s="50" t="s">
        <v>1504</v>
      </c>
      <c r="B1349" s="50" t="s">
        <v>113</v>
      </c>
      <c r="C1349" s="50" t="s">
        <v>2466</v>
      </c>
      <c r="D1349" s="51">
        <v>6050</v>
      </c>
      <c r="E1349" s="51">
        <v>115177</v>
      </c>
      <c r="F1349" s="52">
        <v>7941.1</v>
      </c>
      <c r="G1349" s="53">
        <v>6.8946924999999997</v>
      </c>
    </row>
    <row r="1350" spans="1:7">
      <c r="A1350" s="50" t="s">
        <v>1505</v>
      </c>
      <c r="B1350" s="50" t="s">
        <v>113</v>
      </c>
      <c r="C1350" s="50" t="s">
        <v>240</v>
      </c>
      <c r="D1350" s="51">
        <v>21952</v>
      </c>
      <c r="E1350" s="51">
        <v>362586</v>
      </c>
      <c r="F1350" s="52">
        <v>38100.9</v>
      </c>
      <c r="G1350" s="53">
        <v>10.508100000000001</v>
      </c>
    </row>
    <row r="1351" spans="1:7">
      <c r="A1351" s="50" t="s">
        <v>1506</v>
      </c>
      <c r="B1351" s="50" t="s">
        <v>113</v>
      </c>
      <c r="C1351" s="50" t="s">
        <v>2466</v>
      </c>
      <c r="D1351" s="51">
        <v>42704</v>
      </c>
      <c r="E1351" s="51">
        <v>3662793</v>
      </c>
      <c r="F1351" s="52">
        <v>308372.7</v>
      </c>
      <c r="G1351" s="53">
        <v>8.4190588999999996</v>
      </c>
    </row>
    <row r="1352" spans="1:7">
      <c r="A1352" s="50" t="s">
        <v>2252</v>
      </c>
      <c r="B1352" s="50" t="s">
        <v>113</v>
      </c>
      <c r="C1352" s="50" t="s">
        <v>2466</v>
      </c>
      <c r="D1352" s="51">
        <v>8987</v>
      </c>
      <c r="E1352" s="51">
        <v>88733</v>
      </c>
      <c r="F1352" s="52">
        <v>11485.7</v>
      </c>
      <c r="G1352" s="53">
        <v>12.944113</v>
      </c>
    </row>
    <row r="1353" spans="1:7">
      <c r="A1353" s="50" t="s">
        <v>1507</v>
      </c>
      <c r="B1353" s="50" t="s">
        <v>113</v>
      </c>
      <c r="C1353" s="50" t="s">
        <v>2466</v>
      </c>
      <c r="D1353" s="51">
        <v>35219</v>
      </c>
      <c r="E1353" s="51">
        <v>468094</v>
      </c>
      <c r="F1353" s="52">
        <v>50827.7</v>
      </c>
      <c r="G1353" s="53">
        <v>10.858439000000001</v>
      </c>
    </row>
    <row r="1354" spans="1:7">
      <c r="A1354" s="50" t="s">
        <v>1508</v>
      </c>
      <c r="B1354" s="50" t="s">
        <v>113</v>
      </c>
      <c r="C1354" s="50" t="s">
        <v>2466</v>
      </c>
      <c r="D1354" s="51">
        <v>39575</v>
      </c>
      <c r="E1354" s="51">
        <v>557172</v>
      </c>
      <c r="F1354" s="52">
        <v>58040.1</v>
      </c>
      <c r="G1354" s="53">
        <v>10.416909</v>
      </c>
    </row>
    <row r="1355" spans="1:7">
      <c r="A1355" s="50" t="s">
        <v>1509</v>
      </c>
      <c r="B1355" s="50" t="s">
        <v>113</v>
      </c>
      <c r="C1355" s="50" t="s">
        <v>240</v>
      </c>
      <c r="D1355" s="51">
        <v>16671</v>
      </c>
      <c r="E1355" s="51">
        <v>773462</v>
      </c>
      <c r="F1355" s="52">
        <v>55636</v>
      </c>
      <c r="G1355" s="53">
        <v>7.1931136000000002</v>
      </c>
    </row>
    <row r="1356" spans="1:7">
      <c r="A1356" s="50" t="s">
        <v>1510</v>
      </c>
      <c r="B1356" s="50" t="s">
        <v>113</v>
      </c>
      <c r="C1356" s="50" t="s">
        <v>240</v>
      </c>
      <c r="D1356" s="51">
        <v>23105</v>
      </c>
      <c r="E1356" s="51">
        <v>444064</v>
      </c>
      <c r="F1356" s="52">
        <v>45302.400000000001</v>
      </c>
      <c r="G1356" s="53">
        <v>10.201772999999999</v>
      </c>
    </row>
    <row r="1357" spans="1:7">
      <c r="A1357" s="50" t="s">
        <v>1511</v>
      </c>
      <c r="B1357" s="50" t="s">
        <v>113</v>
      </c>
      <c r="C1357" s="50" t="s">
        <v>2466</v>
      </c>
      <c r="D1357" s="51">
        <v>214580</v>
      </c>
      <c r="E1357" s="51">
        <v>3224201</v>
      </c>
      <c r="F1357" s="52">
        <v>407649.8</v>
      </c>
      <c r="G1357" s="53">
        <v>12.643435999999999</v>
      </c>
    </row>
    <row r="1358" spans="1:7">
      <c r="A1358" s="50" t="s">
        <v>1512</v>
      </c>
      <c r="B1358" s="50" t="s">
        <v>113</v>
      </c>
      <c r="C1358" s="50" t="s">
        <v>240</v>
      </c>
      <c r="D1358" s="51">
        <v>21327</v>
      </c>
      <c r="E1358" s="51">
        <v>1129899</v>
      </c>
      <c r="F1358" s="52">
        <v>91767</v>
      </c>
      <c r="G1358" s="53">
        <v>8.1216994000000007</v>
      </c>
    </row>
    <row r="1359" spans="1:7">
      <c r="A1359" s="50" t="s">
        <v>1513</v>
      </c>
      <c r="B1359" s="50" t="s">
        <v>113</v>
      </c>
      <c r="C1359" s="50" t="s">
        <v>242</v>
      </c>
      <c r="D1359" s="51">
        <v>23306</v>
      </c>
      <c r="E1359" s="51">
        <v>496895</v>
      </c>
      <c r="F1359" s="52">
        <v>41321.4</v>
      </c>
      <c r="G1359" s="53">
        <v>8.3159218999999993</v>
      </c>
    </row>
    <row r="1360" spans="1:7">
      <c r="A1360" s="50" t="s">
        <v>1514</v>
      </c>
      <c r="B1360" s="50" t="s">
        <v>113</v>
      </c>
      <c r="C1360" s="50" t="s">
        <v>240</v>
      </c>
      <c r="D1360" s="51">
        <v>12919</v>
      </c>
      <c r="E1360" s="51">
        <v>228640</v>
      </c>
      <c r="F1360" s="52">
        <v>22628</v>
      </c>
      <c r="G1360" s="53">
        <v>9.8967810000000007</v>
      </c>
    </row>
    <row r="1361" spans="1:7">
      <c r="A1361" s="50" t="s">
        <v>1515</v>
      </c>
      <c r="B1361" s="50" t="s">
        <v>113</v>
      </c>
      <c r="C1361" s="50" t="s">
        <v>240</v>
      </c>
      <c r="D1361" s="51">
        <v>11479</v>
      </c>
      <c r="E1361" s="51">
        <v>371723</v>
      </c>
      <c r="F1361" s="52">
        <v>31132</v>
      </c>
      <c r="G1361" s="53">
        <v>8.3750534999999999</v>
      </c>
    </row>
    <row r="1362" spans="1:7">
      <c r="A1362" s="50" t="s">
        <v>1086</v>
      </c>
      <c r="B1362" s="50" t="s">
        <v>113</v>
      </c>
      <c r="C1362" s="50" t="s">
        <v>240</v>
      </c>
      <c r="D1362" s="51">
        <v>5103</v>
      </c>
      <c r="E1362" s="51">
        <v>588615</v>
      </c>
      <c r="F1362" s="52">
        <v>40088</v>
      </c>
      <c r="G1362" s="53">
        <v>6.8105637999999997</v>
      </c>
    </row>
    <row r="1363" spans="1:7">
      <c r="A1363" s="50" t="s">
        <v>1516</v>
      </c>
      <c r="B1363" s="50" t="s">
        <v>113</v>
      </c>
      <c r="C1363" s="50" t="s">
        <v>2466</v>
      </c>
      <c r="D1363" s="51">
        <v>21543</v>
      </c>
      <c r="E1363" s="51">
        <v>552021</v>
      </c>
      <c r="F1363" s="52">
        <v>59988.3</v>
      </c>
      <c r="G1363" s="53">
        <v>10.867032</v>
      </c>
    </row>
    <row r="1364" spans="1:7">
      <c r="A1364" s="50" t="s">
        <v>1518</v>
      </c>
      <c r="B1364" s="50" t="s">
        <v>113</v>
      </c>
      <c r="C1364" s="50" t="s">
        <v>240</v>
      </c>
      <c r="D1364" s="51">
        <v>9374</v>
      </c>
      <c r="E1364" s="51">
        <v>284123</v>
      </c>
      <c r="F1364" s="52">
        <v>30369</v>
      </c>
      <c r="G1364" s="53">
        <v>10.688681000000001</v>
      </c>
    </row>
    <row r="1365" spans="1:7">
      <c r="A1365" s="50" t="s">
        <v>1519</v>
      </c>
      <c r="B1365" s="50" t="s">
        <v>113</v>
      </c>
      <c r="C1365" s="50" t="s">
        <v>240</v>
      </c>
      <c r="D1365" s="51">
        <v>23104</v>
      </c>
      <c r="E1365" s="51">
        <v>778353</v>
      </c>
      <c r="F1365" s="52">
        <v>70853</v>
      </c>
      <c r="G1365" s="53">
        <v>9.1029391999999998</v>
      </c>
    </row>
    <row r="1366" spans="1:7">
      <c r="A1366" s="50" t="s">
        <v>1520</v>
      </c>
      <c r="B1366" s="50" t="s">
        <v>113</v>
      </c>
      <c r="C1366" s="50" t="s">
        <v>2466</v>
      </c>
      <c r="D1366" s="51">
        <v>15376</v>
      </c>
      <c r="E1366" s="51">
        <v>10989096</v>
      </c>
      <c r="F1366" s="52">
        <v>618973</v>
      </c>
      <c r="G1366" s="53">
        <v>5.6326106999999999</v>
      </c>
    </row>
    <row r="1367" spans="1:7">
      <c r="A1367" s="50" t="s">
        <v>1521</v>
      </c>
      <c r="B1367" s="50" t="s">
        <v>113</v>
      </c>
      <c r="C1367" s="50" t="s">
        <v>240</v>
      </c>
      <c r="D1367" s="51">
        <v>124549</v>
      </c>
      <c r="E1367" s="51">
        <v>2434699</v>
      </c>
      <c r="F1367" s="52">
        <v>224694.39999999999</v>
      </c>
      <c r="G1367" s="53">
        <v>9.2288368999999992</v>
      </c>
    </row>
    <row r="1368" spans="1:7">
      <c r="A1368" s="50" t="s">
        <v>1523</v>
      </c>
      <c r="B1368" s="50" t="s">
        <v>113</v>
      </c>
      <c r="C1368" s="50" t="s">
        <v>240</v>
      </c>
      <c r="D1368" s="51">
        <v>34247</v>
      </c>
      <c r="E1368" s="51">
        <v>1392709</v>
      </c>
      <c r="F1368" s="52">
        <v>123846.5</v>
      </c>
      <c r="G1368" s="53">
        <v>8.8924894000000005</v>
      </c>
    </row>
    <row r="1369" spans="1:7">
      <c r="A1369" s="50" t="s">
        <v>2255</v>
      </c>
      <c r="B1369" s="50" t="s">
        <v>113</v>
      </c>
      <c r="C1369" s="50" t="s">
        <v>2466</v>
      </c>
      <c r="D1369" s="51">
        <v>10476</v>
      </c>
      <c r="E1369" s="51">
        <v>187602</v>
      </c>
      <c r="F1369" s="52">
        <v>9924</v>
      </c>
      <c r="G1369" s="53">
        <v>5.2899222999999997</v>
      </c>
    </row>
    <row r="1370" spans="1:7">
      <c r="A1370" s="50" t="s">
        <v>1524</v>
      </c>
      <c r="B1370" s="50" t="s">
        <v>113</v>
      </c>
      <c r="C1370" s="50" t="s">
        <v>240</v>
      </c>
      <c r="D1370" s="51">
        <v>33481</v>
      </c>
      <c r="E1370" s="51">
        <v>805078</v>
      </c>
      <c r="F1370" s="52">
        <v>78967.899999999994</v>
      </c>
      <c r="G1370" s="53">
        <v>9.8087266</v>
      </c>
    </row>
    <row r="1371" spans="1:7">
      <c r="A1371" s="50" t="s">
        <v>1525</v>
      </c>
      <c r="B1371" s="50" t="s">
        <v>113</v>
      </c>
      <c r="C1371" s="50" t="s">
        <v>2466</v>
      </c>
      <c r="D1371" s="51">
        <v>15379</v>
      </c>
      <c r="E1371" s="51">
        <v>1999738</v>
      </c>
      <c r="F1371" s="52">
        <v>143170.70000000001</v>
      </c>
      <c r="G1371" s="53">
        <v>7.1594728999999999</v>
      </c>
    </row>
    <row r="1372" spans="1:7">
      <c r="A1372" s="50" t="s">
        <v>2256</v>
      </c>
      <c r="B1372" s="50" t="s">
        <v>113</v>
      </c>
      <c r="C1372" s="50" t="s">
        <v>2466</v>
      </c>
      <c r="D1372" s="51">
        <v>1</v>
      </c>
      <c r="E1372" s="51">
        <v>0</v>
      </c>
      <c r="F1372" s="52">
        <v>20338</v>
      </c>
      <c r="G1372" s="53" t="s">
        <v>1750</v>
      </c>
    </row>
    <row r="1373" spans="1:7">
      <c r="A1373" s="50" t="s">
        <v>1526</v>
      </c>
      <c r="B1373" s="50" t="s">
        <v>113</v>
      </c>
      <c r="C1373" s="50" t="s">
        <v>240</v>
      </c>
      <c r="D1373" s="51">
        <v>17307</v>
      </c>
      <c r="E1373" s="51">
        <v>532085</v>
      </c>
      <c r="F1373" s="52">
        <v>40300.1</v>
      </c>
      <c r="G1373" s="53">
        <v>7.5739966000000001</v>
      </c>
    </row>
    <row r="1374" spans="1:7">
      <c r="A1374" s="50" t="s">
        <v>1527</v>
      </c>
      <c r="B1374" s="50" t="s">
        <v>113</v>
      </c>
      <c r="C1374" s="50" t="s">
        <v>240</v>
      </c>
      <c r="D1374" s="51">
        <v>20147</v>
      </c>
      <c r="E1374" s="51">
        <v>369665</v>
      </c>
      <c r="F1374" s="52">
        <v>34610.699999999997</v>
      </c>
      <c r="G1374" s="53">
        <v>9.3627202999999994</v>
      </c>
    </row>
    <row r="1375" spans="1:7">
      <c r="A1375" s="50" t="s">
        <v>1528</v>
      </c>
      <c r="B1375" s="50" t="s">
        <v>113</v>
      </c>
      <c r="C1375" s="50" t="s">
        <v>2466</v>
      </c>
      <c r="D1375" s="51">
        <v>276133</v>
      </c>
      <c r="E1375" s="51">
        <v>9802936</v>
      </c>
      <c r="F1375" s="52">
        <v>831334.9</v>
      </c>
      <c r="G1375" s="53">
        <v>8.4804685000000006</v>
      </c>
    </row>
    <row r="1376" spans="1:7">
      <c r="A1376" s="50" t="s">
        <v>1530</v>
      </c>
      <c r="B1376" s="50" t="s">
        <v>113</v>
      </c>
      <c r="C1376" s="50" t="s">
        <v>240</v>
      </c>
      <c r="D1376" s="51">
        <v>7122</v>
      </c>
      <c r="E1376" s="51">
        <v>372752</v>
      </c>
      <c r="F1376" s="52">
        <v>32634</v>
      </c>
      <c r="G1376" s="53">
        <v>8.7548826000000002</v>
      </c>
    </row>
    <row r="1377" spans="1:7">
      <c r="A1377" s="50" t="s">
        <v>2257</v>
      </c>
      <c r="B1377" s="50" t="s">
        <v>113</v>
      </c>
      <c r="C1377" s="50" t="s">
        <v>240</v>
      </c>
      <c r="D1377" s="51">
        <v>44596</v>
      </c>
      <c r="E1377" s="51">
        <v>997403</v>
      </c>
      <c r="F1377" s="52">
        <v>89447</v>
      </c>
      <c r="G1377" s="53">
        <v>8.9679898999999992</v>
      </c>
    </row>
    <row r="1378" spans="1:7">
      <c r="A1378" s="50" t="s">
        <v>1531</v>
      </c>
      <c r="B1378" s="50" t="s">
        <v>113</v>
      </c>
      <c r="C1378" s="50" t="s">
        <v>2466</v>
      </c>
      <c r="D1378" s="51">
        <v>62719</v>
      </c>
      <c r="E1378" s="51">
        <v>1500109</v>
      </c>
      <c r="F1378" s="52">
        <v>134502</v>
      </c>
      <c r="G1378" s="53">
        <v>8.9661484999999992</v>
      </c>
    </row>
    <row r="1379" spans="1:7">
      <c r="A1379" s="50" t="s">
        <v>701</v>
      </c>
      <c r="B1379" s="50" t="s">
        <v>113</v>
      </c>
      <c r="C1379" s="50" t="s">
        <v>240</v>
      </c>
      <c r="D1379" s="51">
        <v>10806</v>
      </c>
      <c r="E1379" s="51">
        <v>199755</v>
      </c>
      <c r="F1379" s="52">
        <v>17688</v>
      </c>
      <c r="G1379" s="53">
        <v>8.8548472</v>
      </c>
    </row>
    <row r="1380" spans="1:7">
      <c r="A1380" s="50" t="s">
        <v>1532</v>
      </c>
      <c r="B1380" s="50" t="s">
        <v>113</v>
      </c>
      <c r="C1380" s="50" t="s">
        <v>240</v>
      </c>
      <c r="D1380" s="51">
        <v>379832</v>
      </c>
      <c r="E1380" s="51">
        <v>6533473</v>
      </c>
      <c r="F1380" s="52">
        <v>630919.9</v>
      </c>
      <c r="G1380" s="53">
        <v>9.6567308000000001</v>
      </c>
    </row>
    <row r="1381" spans="1:7">
      <c r="A1381" s="50" t="s">
        <v>1533</v>
      </c>
      <c r="B1381" s="50" t="s">
        <v>113</v>
      </c>
      <c r="C1381" s="50" t="s">
        <v>2466</v>
      </c>
      <c r="D1381" s="51">
        <v>13647</v>
      </c>
      <c r="E1381" s="51">
        <v>162924</v>
      </c>
      <c r="F1381" s="52">
        <v>11194.6</v>
      </c>
      <c r="G1381" s="53">
        <v>6.8710563999999996</v>
      </c>
    </row>
    <row r="1382" spans="1:7">
      <c r="A1382" s="50" t="s">
        <v>1535</v>
      </c>
      <c r="B1382" s="50" t="s">
        <v>113</v>
      </c>
      <c r="C1382" s="50" t="s">
        <v>2466</v>
      </c>
      <c r="D1382" s="51">
        <v>178</v>
      </c>
      <c r="E1382" s="51">
        <v>519</v>
      </c>
      <c r="F1382" s="52">
        <v>53.7</v>
      </c>
      <c r="G1382" s="53">
        <v>10.346821</v>
      </c>
    </row>
    <row r="1383" spans="1:7">
      <c r="A1383" s="50" t="s">
        <v>2258</v>
      </c>
      <c r="B1383" s="50" t="s">
        <v>113</v>
      </c>
      <c r="C1383" s="50" t="s">
        <v>2466</v>
      </c>
      <c r="D1383" s="51">
        <v>75356</v>
      </c>
      <c r="E1383" s="51">
        <v>1220110</v>
      </c>
      <c r="F1383" s="52">
        <v>128014</v>
      </c>
      <c r="G1383" s="53">
        <v>10.492005000000001</v>
      </c>
    </row>
    <row r="1384" spans="1:7">
      <c r="A1384" s="50" t="s">
        <v>2259</v>
      </c>
      <c r="B1384" s="50" t="s">
        <v>113</v>
      </c>
      <c r="C1384" s="50" t="s">
        <v>2466</v>
      </c>
      <c r="D1384" s="51">
        <v>1404752</v>
      </c>
      <c r="E1384" s="51">
        <v>39602218</v>
      </c>
      <c r="F1384" s="52">
        <v>3880617.6</v>
      </c>
      <c r="G1384" s="53">
        <v>9.7989905999999998</v>
      </c>
    </row>
    <row r="1385" spans="1:7">
      <c r="A1385" s="50" t="s">
        <v>2467</v>
      </c>
      <c r="B1385" s="50" t="s">
        <v>113</v>
      </c>
      <c r="C1385" s="50" t="s">
        <v>2466</v>
      </c>
      <c r="D1385" s="51">
        <v>7</v>
      </c>
      <c r="E1385" s="51">
        <v>1</v>
      </c>
      <c r="F1385" s="52">
        <v>0.3</v>
      </c>
      <c r="G1385" s="53">
        <v>30</v>
      </c>
    </row>
    <row r="1386" spans="1:7">
      <c r="A1386" s="50" t="s">
        <v>1091</v>
      </c>
      <c r="B1386" s="50" t="s">
        <v>113</v>
      </c>
      <c r="C1386" s="50" t="s">
        <v>240</v>
      </c>
      <c r="D1386" s="51">
        <v>13506</v>
      </c>
      <c r="E1386" s="51">
        <v>461816</v>
      </c>
      <c r="F1386" s="52">
        <v>51523.7</v>
      </c>
      <c r="G1386" s="53">
        <v>11.156758999999999</v>
      </c>
    </row>
    <row r="1387" spans="1:7">
      <c r="A1387" s="50" t="s">
        <v>1536</v>
      </c>
      <c r="B1387" s="50" t="s">
        <v>113</v>
      </c>
      <c r="C1387" s="50" t="s">
        <v>240</v>
      </c>
      <c r="D1387" s="51">
        <v>8013</v>
      </c>
      <c r="E1387" s="51">
        <v>717098</v>
      </c>
      <c r="F1387" s="52">
        <v>48139</v>
      </c>
      <c r="G1387" s="53">
        <v>6.7130295000000002</v>
      </c>
    </row>
    <row r="1388" spans="1:7">
      <c r="A1388" s="50" t="s">
        <v>1537</v>
      </c>
      <c r="B1388" s="50" t="s">
        <v>113</v>
      </c>
      <c r="C1388" s="50" t="s">
        <v>240</v>
      </c>
      <c r="D1388" s="51">
        <v>22768</v>
      </c>
      <c r="E1388" s="51">
        <v>557438</v>
      </c>
      <c r="F1388" s="52">
        <v>52484</v>
      </c>
      <c r="G1388" s="53">
        <v>9.4152175000000007</v>
      </c>
    </row>
    <row r="1389" spans="1:7">
      <c r="A1389" s="50" t="s">
        <v>2468</v>
      </c>
      <c r="B1389" s="50" t="s">
        <v>113</v>
      </c>
      <c r="C1389" s="50" t="s">
        <v>2466</v>
      </c>
      <c r="D1389" s="51">
        <v>409</v>
      </c>
      <c r="E1389" s="51">
        <v>15513</v>
      </c>
      <c r="F1389" s="52">
        <v>1728</v>
      </c>
      <c r="G1389" s="53">
        <v>11.139044999999999</v>
      </c>
    </row>
    <row r="1390" spans="1:7">
      <c r="A1390" s="50" t="s">
        <v>1538</v>
      </c>
      <c r="B1390" s="50" t="s">
        <v>113</v>
      </c>
      <c r="C1390" s="50" t="s">
        <v>240</v>
      </c>
      <c r="D1390" s="51">
        <v>79583</v>
      </c>
      <c r="E1390" s="51">
        <v>1454093</v>
      </c>
      <c r="F1390" s="52">
        <v>161011</v>
      </c>
      <c r="G1390" s="53">
        <v>11.072951</v>
      </c>
    </row>
    <row r="1391" spans="1:7">
      <c r="A1391" s="50" t="s">
        <v>1539</v>
      </c>
      <c r="B1391" s="50" t="s">
        <v>113</v>
      </c>
      <c r="C1391" s="50" t="s">
        <v>240</v>
      </c>
      <c r="D1391" s="51">
        <v>30148</v>
      </c>
      <c r="E1391" s="51">
        <v>688268</v>
      </c>
      <c r="F1391" s="52">
        <v>79867.5</v>
      </c>
      <c r="G1391" s="53">
        <v>11.604127999999999</v>
      </c>
    </row>
    <row r="1392" spans="1:7">
      <c r="A1392" s="50" t="s">
        <v>1540</v>
      </c>
      <c r="B1392" s="50" t="s">
        <v>113</v>
      </c>
      <c r="C1392" s="50" t="s">
        <v>240</v>
      </c>
      <c r="D1392" s="51">
        <v>11812</v>
      </c>
      <c r="E1392" s="51">
        <v>268796</v>
      </c>
      <c r="F1392" s="52">
        <v>29183.3</v>
      </c>
      <c r="G1392" s="53">
        <v>10.857044</v>
      </c>
    </row>
    <row r="1393" spans="1:7">
      <c r="A1393" s="50" t="s">
        <v>1541</v>
      </c>
      <c r="B1393" s="50" t="s">
        <v>113</v>
      </c>
      <c r="C1393" s="50" t="s">
        <v>2466</v>
      </c>
      <c r="D1393" s="51">
        <v>374</v>
      </c>
      <c r="E1393" s="51">
        <v>3658</v>
      </c>
      <c r="F1393" s="52">
        <v>557.29999999999995</v>
      </c>
      <c r="G1393" s="53">
        <v>15.235101</v>
      </c>
    </row>
    <row r="1394" spans="1:7">
      <c r="A1394" s="50" t="s">
        <v>2469</v>
      </c>
      <c r="B1394" s="50" t="s">
        <v>113</v>
      </c>
      <c r="C1394" s="50" t="s">
        <v>2466</v>
      </c>
      <c r="D1394" s="51">
        <v>14</v>
      </c>
      <c r="E1394" s="51">
        <v>192</v>
      </c>
      <c r="F1394" s="52">
        <v>25.3</v>
      </c>
      <c r="G1394" s="53">
        <v>13.177083</v>
      </c>
    </row>
    <row r="1395" spans="1:7">
      <c r="A1395" s="50" t="s">
        <v>343</v>
      </c>
      <c r="B1395" s="50" t="s">
        <v>113</v>
      </c>
      <c r="C1395" s="50" t="s">
        <v>332</v>
      </c>
      <c r="D1395" s="51">
        <v>8526</v>
      </c>
      <c r="E1395" s="51">
        <v>90712</v>
      </c>
      <c r="F1395" s="52">
        <v>10705.8</v>
      </c>
      <c r="G1395" s="53">
        <v>11.801966999999999</v>
      </c>
    </row>
    <row r="1396" spans="1:7">
      <c r="A1396" s="50" t="s">
        <v>1543</v>
      </c>
      <c r="B1396" s="50" t="s">
        <v>113</v>
      </c>
      <c r="C1396" s="50" t="s">
        <v>240</v>
      </c>
      <c r="D1396" s="51">
        <v>63556</v>
      </c>
      <c r="E1396" s="51">
        <v>1594071</v>
      </c>
      <c r="F1396" s="52">
        <v>138266.6</v>
      </c>
      <c r="G1396" s="53">
        <v>8.6738043999999999</v>
      </c>
    </row>
    <row r="1397" spans="1:7">
      <c r="A1397" s="50" t="s">
        <v>2261</v>
      </c>
      <c r="B1397" s="50" t="s">
        <v>113</v>
      </c>
      <c r="C1397" s="50" t="s">
        <v>2466</v>
      </c>
      <c r="D1397" s="51">
        <v>5657</v>
      </c>
      <c r="E1397" s="51">
        <v>143837</v>
      </c>
      <c r="F1397" s="52">
        <v>6558</v>
      </c>
      <c r="G1397" s="53">
        <v>4.5593275999999996</v>
      </c>
    </row>
    <row r="1398" spans="1:7">
      <c r="A1398" s="50" t="s">
        <v>321</v>
      </c>
      <c r="B1398" s="50" t="s">
        <v>113</v>
      </c>
      <c r="C1398" s="50" t="s">
        <v>240</v>
      </c>
      <c r="D1398" s="51">
        <v>1113</v>
      </c>
      <c r="E1398" s="51">
        <v>20846</v>
      </c>
      <c r="F1398" s="52">
        <v>2133.6</v>
      </c>
      <c r="G1398" s="53">
        <v>10.235056999999999</v>
      </c>
    </row>
    <row r="1399" spans="1:7">
      <c r="A1399" s="50" t="s">
        <v>1544</v>
      </c>
      <c r="B1399" s="50" t="s">
        <v>113</v>
      </c>
      <c r="C1399" s="50" t="s">
        <v>240</v>
      </c>
      <c r="D1399" s="51">
        <v>9918</v>
      </c>
      <c r="E1399" s="51">
        <v>276689</v>
      </c>
      <c r="F1399" s="52">
        <v>24199</v>
      </c>
      <c r="G1399" s="53">
        <v>8.7459205000000004</v>
      </c>
    </row>
    <row r="1400" spans="1:7">
      <c r="A1400" s="50" t="s">
        <v>416</v>
      </c>
      <c r="B1400" s="50" t="s">
        <v>113</v>
      </c>
      <c r="C1400" s="50" t="s">
        <v>240</v>
      </c>
      <c r="D1400" s="51">
        <v>26</v>
      </c>
      <c r="E1400" s="51">
        <v>493</v>
      </c>
      <c r="F1400" s="52">
        <v>94.9</v>
      </c>
      <c r="G1400" s="53">
        <v>19.249493000000001</v>
      </c>
    </row>
    <row r="1401" spans="1:7">
      <c r="A1401" s="50" t="s">
        <v>322</v>
      </c>
      <c r="B1401" s="50" t="s">
        <v>113</v>
      </c>
      <c r="C1401" s="50" t="s">
        <v>237</v>
      </c>
      <c r="D1401" s="51">
        <v>187482</v>
      </c>
      <c r="E1401" s="51">
        <v>6735474</v>
      </c>
      <c r="F1401" s="52">
        <v>551685.4</v>
      </c>
      <c r="G1401" s="53">
        <v>8.1907435</v>
      </c>
    </row>
    <row r="1402" spans="1:7">
      <c r="A1402" s="50" t="s">
        <v>1095</v>
      </c>
      <c r="B1402" s="50" t="s">
        <v>113</v>
      </c>
      <c r="C1402" s="50" t="s">
        <v>237</v>
      </c>
      <c r="D1402" s="51">
        <v>272869</v>
      </c>
      <c r="E1402" s="51">
        <v>13286957</v>
      </c>
      <c r="F1402" s="52">
        <v>748030.4</v>
      </c>
      <c r="G1402" s="53">
        <v>5.6298097</v>
      </c>
    </row>
    <row r="1403" spans="1:7">
      <c r="A1403" s="50" t="s">
        <v>1545</v>
      </c>
      <c r="B1403" s="50" t="s">
        <v>113</v>
      </c>
      <c r="C1403" s="50" t="s">
        <v>2466</v>
      </c>
      <c r="D1403" s="51">
        <v>39430</v>
      </c>
      <c r="E1403" s="51">
        <v>612911</v>
      </c>
      <c r="F1403" s="52">
        <v>71667</v>
      </c>
      <c r="G1403" s="53">
        <v>11.692888999999999</v>
      </c>
    </row>
    <row r="1404" spans="1:7">
      <c r="A1404" s="50" t="s">
        <v>2262</v>
      </c>
      <c r="B1404" s="50" t="s">
        <v>113</v>
      </c>
      <c r="C1404" s="50" t="s">
        <v>2466</v>
      </c>
      <c r="D1404" s="51">
        <v>256061</v>
      </c>
      <c r="E1404" s="51">
        <v>3821108</v>
      </c>
      <c r="F1404" s="52">
        <v>487058</v>
      </c>
      <c r="G1404" s="53">
        <v>12.746511999999999</v>
      </c>
    </row>
    <row r="1405" spans="1:7">
      <c r="A1405" s="50" t="s">
        <v>1546</v>
      </c>
      <c r="B1405" s="50" t="s">
        <v>113</v>
      </c>
      <c r="C1405" s="50" t="s">
        <v>2466</v>
      </c>
      <c r="D1405" s="51">
        <v>54474</v>
      </c>
      <c r="E1405" s="51">
        <v>1989654</v>
      </c>
      <c r="F1405" s="52">
        <v>170722</v>
      </c>
      <c r="G1405" s="53">
        <v>8.5804869000000004</v>
      </c>
    </row>
    <row r="1406" spans="1:7">
      <c r="A1406" s="50" t="s">
        <v>349</v>
      </c>
      <c r="B1406" s="50" t="s">
        <v>113</v>
      </c>
      <c r="C1406" s="50" t="s">
        <v>332</v>
      </c>
      <c r="D1406" s="51">
        <v>1401</v>
      </c>
      <c r="E1406" s="51">
        <v>21159</v>
      </c>
      <c r="F1406" s="52">
        <v>2861.2</v>
      </c>
      <c r="G1406" s="53">
        <v>13.522378</v>
      </c>
    </row>
    <row r="1407" spans="1:7">
      <c r="A1407" s="50" t="s">
        <v>350</v>
      </c>
      <c r="B1407" s="50" t="s">
        <v>113</v>
      </c>
      <c r="C1407" s="50" t="s">
        <v>332</v>
      </c>
      <c r="D1407" s="51">
        <v>2775</v>
      </c>
      <c r="E1407" s="51">
        <v>28985</v>
      </c>
      <c r="F1407" s="52">
        <v>4861.6000000000004</v>
      </c>
      <c r="G1407" s="53">
        <v>16.772814</v>
      </c>
    </row>
    <row r="1408" spans="1:7">
      <c r="A1408" s="50" t="s">
        <v>1548</v>
      </c>
      <c r="B1408" s="50" t="s">
        <v>113</v>
      </c>
      <c r="C1408" s="50" t="s">
        <v>2466</v>
      </c>
      <c r="D1408" s="51">
        <v>1644172</v>
      </c>
      <c r="E1408" s="51">
        <v>44345344</v>
      </c>
      <c r="F1408" s="52">
        <v>4454986.8</v>
      </c>
      <c r="G1408" s="53">
        <v>10.046120999999999</v>
      </c>
    </row>
    <row r="1409" spans="1:7">
      <c r="A1409" s="50" t="s">
        <v>2263</v>
      </c>
      <c r="B1409" s="50" t="s">
        <v>113</v>
      </c>
      <c r="C1409" s="50" t="s">
        <v>2466</v>
      </c>
      <c r="D1409" s="51">
        <v>36916</v>
      </c>
      <c r="E1409" s="51">
        <v>1534197</v>
      </c>
      <c r="F1409" s="52">
        <v>134864.6</v>
      </c>
      <c r="G1409" s="53">
        <v>8.7905660000000001</v>
      </c>
    </row>
    <row r="1410" spans="1:7">
      <c r="A1410" s="50" t="s">
        <v>1549</v>
      </c>
      <c r="B1410" s="50" t="s">
        <v>113</v>
      </c>
      <c r="C1410" s="50" t="s">
        <v>240</v>
      </c>
      <c r="D1410" s="51">
        <v>18434</v>
      </c>
      <c r="E1410" s="51">
        <v>348115</v>
      </c>
      <c r="F1410" s="52">
        <v>44994</v>
      </c>
      <c r="G1410" s="53">
        <v>12.925039</v>
      </c>
    </row>
    <row r="1411" spans="1:7">
      <c r="A1411" s="50" t="s">
        <v>2264</v>
      </c>
      <c r="B1411" s="50" t="s">
        <v>113</v>
      </c>
      <c r="C1411" s="50" t="s">
        <v>2466</v>
      </c>
      <c r="D1411" s="51">
        <v>186</v>
      </c>
      <c r="E1411" s="51">
        <v>6693067</v>
      </c>
      <c r="F1411" s="52">
        <v>214134.5</v>
      </c>
      <c r="G1411" s="53">
        <v>3.1993478999999998</v>
      </c>
    </row>
    <row r="1412" spans="1:7">
      <c r="A1412" s="50" t="s">
        <v>351</v>
      </c>
      <c r="B1412" s="50" t="s">
        <v>113</v>
      </c>
      <c r="C1412" s="50" t="s">
        <v>332</v>
      </c>
      <c r="D1412" s="51">
        <v>2</v>
      </c>
      <c r="E1412" s="51">
        <v>939</v>
      </c>
      <c r="F1412" s="52">
        <v>60.8</v>
      </c>
      <c r="G1412" s="53">
        <v>6.4749733999999997</v>
      </c>
    </row>
    <row r="1413" spans="1:7">
      <c r="A1413" s="50" t="s">
        <v>1550</v>
      </c>
      <c r="B1413" s="50" t="s">
        <v>113</v>
      </c>
      <c r="C1413" s="50" t="s">
        <v>2466</v>
      </c>
      <c r="D1413" s="51">
        <v>512</v>
      </c>
      <c r="E1413" s="51">
        <v>4812021</v>
      </c>
      <c r="F1413" s="52">
        <v>346204</v>
      </c>
      <c r="G1413" s="53">
        <v>7.1945654000000001</v>
      </c>
    </row>
    <row r="1414" spans="1:7">
      <c r="A1414" s="50" t="s">
        <v>1551</v>
      </c>
      <c r="B1414" s="50" t="s">
        <v>113</v>
      </c>
      <c r="C1414" s="50" t="s">
        <v>2466</v>
      </c>
      <c r="D1414" s="51">
        <v>591</v>
      </c>
      <c r="E1414" s="51">
        <v>1523874</v>
      </c>
      <c r="F1414" s="52">
        <v>114397.8</v>
      </c>
      <c r="G1414" s="53">
        <v>7.5070379999999997</v>
      </c>
    </row>
    <row r="1415" spans="1:7">
      <c r="A1415" s="50" t="s">
        <v>1552</v>
      </c>
      <c r="B1415" s="50" t="s">
        <v>113</v>
      </c>
      <c r="C1415" s="50" t="s">
        <v>2466</v>
      </c>
      <c r="D1415" s="51">
        <v>40417</v>
      </c>
      <c r="E1415" s="51">
        <v>835559</v>
      </c>
      <c r="F1415" s="52">
        <v>48528</v>
      </c>
      <c r="G1415" s="53">
        <v>5.8078484000000001</v>
      </c>
    </row>
    <row r="1416" spans="1:7">
      <c r="A1416" s="50" t="s">
        <v>2470</v>
      </c>
      <c r="B1416" s="50" t="s">
        <v>113</v>
      </c>
      <c r="C1416" s="50" t="s">
        <v>2466</v>
      </c>
      <c r="D1416" s="51">
        <v>176</v>
      </c>
      <c r="E1416" s="51">
        <v>2457</v>
      </c>
      <c r="F1416" s="52">
        <v>266</v>
      </c>
      <c r="G1416" s="53">
        <v>10.826211000000001</v>
      </c>
    </row>
    <row r="1417" spans="1:7">
      <c r="A1417" s="50" t="s">
        <v>1553</v>
      </c>
      <c r="B1417" s="50" t="s">
        <v>113</v>
      </c>
      <c r="C1417" s="50" t="s">
        <v>2466</v>
      </c>
      <c r="D1417" s="51">
        <v>5</v>
      </c>
      <c r="E1417" s="51">
        <v>617577</v>
      </c>
      <c r="F1417" s="52">
        <v>27359.4</v>
      </c>
      <c r="G1417" s="53">
        <v>4.4301196000000003</v>
      </c>
    </row>
    <row r="1418" spans="1:7">
      <c r="A1418" s="50" t="s">
        <v>1825</v>
      </c>
      <c r="B1418" s="50" t="s">
        <v>113</v>
      </c>
      <c r="C1418" s="50" t="s">
        <v>240</v>
      </c>
      <c r="D1418" s="51">
        <v>375</v>
      </c>
      <c r="E1418" s="51">
        <v>13253</v>
      </c>
      <c r="F1418" s="52">
        <v>1814.2</v>
      </c>
      <c r="G1418" s="53">
        <v>13.688976</v>
      </c>
    </row>
    <row r="1419" spans="1:7">
      <c r="A1419" s="50" t="s">
        <v>2265</v>
      </c>
      <c r="B1419" s="50" t="s">
        <v>113</v>
      </c>
      <c r="C1419" s="50" t="s">
        <v>240</v>
      </c>
      <c r="D1419" s="51">
        <v>120579</v>
      </c>
      <c r="E1419" s="51">
        <v>2863900</v>
      </c>
      <c r="F1419" s="52">
        <v>245492.6</v>
      </c>
      <c r="G1419" s="53">
        <v>8.5719683</v>
      </c>
    </row>
    <row r="1420" spans="1:7">
      <c r="A1420" s="50" t="s">
        <v>1554</v>
      </c>
      <c r="B1420" s="50" t="s">
        <v>113</v>
      </c>
      <c r="C1420" s="50" t="s">
        <v>2466</v>
      </c>
      <c r="D1420" s="51">
        <v>136750</v>
      </c>
      <c r="E1420" s="51">
        <v>2270601</v>
      </c>
      <c r="F1420" s="52">
        <v>218370.7</v>
      </c>
      <c r="G1420" s="53">
        <v>9.6173084000000006</v>
      </c>
    </row>
    <row r="1421" spans="1:7">
      <c r="A1421" s="50" t="s">
        <v>1555</v>
      </c>
      <c r="B1421" s="50" t="s">
        <v>113</v>
      </c>
      <c r="C1421" s="50" t="s">
        <v>240</v>
      </c>
      <c r="D1421" s="51">
        <v>74219</v>
      </c>
      <c r="E1421" s="51">
        <v>1298720</v>
      </c>
      <c r="F1421" s="52">
        <v>143283</v>
      </c>
      <c r="G1421" s="53">
        <v>11.032632</v>
      </c>
    </row>
    <row r="1422" spans="1:7">
      <c r="A1422" s="50" t="s">
        <v>1556</v>
      </c>
      <c r="B1422" s="50" t="s">
        <v>113</v>
      </c>
      <c r="C1422" s="50" t="s">
        <v>2466</v>
      </c>
      <c r="D1422" s="51">
        <v>309713</v>
      </c>
      <c r="E1422" s="51">
        <v>6761116</v>
      </c>
      <c r="F1422" s="52">
        <v>701528.1</v>
      </c>
      <c r="G1422" s="53">
        <v>10.375921999999999</v>
      </c>
    </row>
    <row r="1423" spans="1:7">
      <c r="A1423" s="50" t="s">
        <v>1557</v>
      </c>
      <c r="B1423" s="50" t="s">
        <v>113</v>
      </c>
      <c r="C1423" s="50" t="s">
        <v>240</v>
      </c>
      <c r="D1423" s="51">
        <v>90621</v>
      </c>
      <c r="E1423" s="51">
        <v>2416323</v>
      </c>
      <c r="F1423" s="52">
        <v>189244.7</v>
      </c>
      <c r="G1423" s="53">
        <v>7.8319289000000003</v>
      </c>
    </row>
    <row r="1424" spans="1:7">
      <c r="A1424" s="50" t="s">
        <v>1558</v>
      </c>
      <c r="B1424" s="50" t="s">
        <v>113</v>
      </c>
      <c r="C1424" s="50" t="s">
        <v>240</v>
      </c>
      <c r="D1424" s="51">
        <v>47767</v>
      </c>
      <c r="E1424" s="51">
        <v>879168</v>
      </c>
      <c r="F1424" s="52">
        <v>85926</v>
      </c>
      <c r="G1424" s="53">
        <v>9.7735585999999994</v>
      </c>
    </row>
    <row r="1425" spans="1:7">
      <c r="A1425" s="50" t="s">
        <v>1559</v>
      </c>
      <c r="B1425" s="50" t="s">
        <v>113</v>
      </c>
      <c r="C1425" s="50" t="s">
        <v>2466</v>
      </c>
      <c r="D1425" s="51">
        <v>42307</v>
      </c>
      <c r="E1425" s="51">
        <v>794898</v>
      </c>
      <c r="F1425" s="52">
        <v>75213.399999999994</v>
      </c>
      <c r="G1425" s="53">
        <v>9.4620189999999997</v>
      </c>
    </row>
    <row r="1426" spans="1:7">
      <c r="A1426" s="50" t="s">
        <v>2266</v>
      </c>
      <c r="B1426" s="50" t="s">
        <v>113</v>
      </c>
      <c r="C1426" s="50" t="s">
        <v>2466</v>
      </c>
      <c r="D1426" s="51">
        <v>127181</v>
      </c>
      <c r="E1426" s="51">
        <v>1766079</v>
      </c>
      <c r="F1426" s="52">
        <v>155477.79999999999</v>
      </c>
      <c r="G1426" s="53">
        <v>8.8035586000000006</v>
      </c>
    </row>
    <row r="1427" spans="1:7">
      <c r="A1427" s="50" t="s">
        <v>2471</v>
      </c>
      <c r="B1427" s="50" t="s">
        <v>113</v>
      </c>
      <c r="C1427" s="50" t="s">
        <v>2466</v>
      </c>
      <c r="D1427" s="51">
        <v>768</v>
      </c>
      <c r="E1427" s="51">
        <v>4523</v>
      </c>
      <c r="F1427" s="52">
        <v>412</v>
      </c>
      <c r="G1427" s="53">
        <v>9.1089985000000002</v>
      </c>
    </row>
    <row r="1428" spans="1:7">
      <c r="A1428" s="50" t="s">
        <v>1561</v>
      </c>
      <c r="B1428" s="50" t="s">
        <v>113</v>
      </c>
      <c r="C1428" s="50" t="s">
        <v>2466</v>
      </c>
      <c r="D1428" s="51">
        <v>10732</v>
      </c>
      <c r="E1428" s="51">
        <v>162524</v>
      </c>
      <c r="F1428" s="52">
        <v>18700.8</v>
      </c>
      <c r="G1428" s="53">
        <v>11.506485</v>
      </c>
    </row>
    <row r="1429" spans="1:7">
      <c r="A1429" s="50" t="s">
        <v>1562</v>
      </c>
      <c r="B1429" s="50" t="s">
        <v>113</v>
      </c>
      <c r="C1429" s="50" t="s">
        <v>240</v>
      </c>
      <c r="D1429" s="51">
        <v>23576</v>
      </c>
      <c r="E1429" s="51">
        <v>596016</v>
      </c>
      <c r="F1429" s="52">
        <v>54368.4</v>
      </c>
      <c r="G1429" s="53">
        <v>9.1219698999999999</v>
      </c>
    </row>
    <row r="1430" spans="1:7">
      <c r="A1430" s="50" t="s">
        <v>1563</v>
      </c>
      <c r="B1430" s="50" t="s">
        <v>113</v>
      </c>
      <c r="C1430" s="50" t="s">
        <v>2466</v>
      </c>
      <c r="D1430" s="51">
        <v>11453</v>
      </c>
      <c r="E1430" s="51">
        <v>151595</v>
      </c>
      <c r="F1430" s="52">
        <v>9688.5</v>
      </c>
      <c r="G1430" s="53">
        <v>6.3910419000000003</v>
      </c>
    </row>
    <row r="1431" spans="1:7">
      <c r="A1431" s="50" t="s">
        <v>1565</v>
      </c>
      <c r="B1431" s="50" t="s">
        <v>113</v>
      </c>
      <c r="C1431" s="50" t="s">
        <v>242</v>
      </c>
      <c r="D1431" s="51">
        <v>15252</v>
      </c>
      <c r="E1431" s="51">
        <v>415807</v>
      </c>
      <c r="F1431" s="52">
        <v>35753</v>
      </c>
      <c r="G1431" s="53">
        <v>8.5984602999999993</v>
      </c>
    </row>
    <row r="1432" spans="1:7">
      <c r="A1432" s="50" t="s">
        <v>1566</v>
      </c>
      <c r="B1432" s="50" t="s">
        <v>113</v>
      </c>
      <c r="C1432" s="50" t="s">
        <v>240</v>
      </c>
      <c r="D1432" s="51">
        <v>6396</v>
      </c>
      <c r="E1432" s="51">
        <v>222972</v>
      </c>
      <c r="F1432" s="52">
        <v>21482.5</v>
      </c>
      <c r="G1432" s="53">
        <v>9.6346177999999991</v>
      </c>
    </row>
    <row r="1433" spans="1:7">
      <c r="A1433" s="50" t="s">
        <v>2267</v>
      </c>
      <c r="B1433" s="50" t="s">
        <v>113</v>
      </c>
      <c r="C1433" s="50" t="s">
        <v>2466</v>
      </c>
      <c r="D1433" s="51">
        <v>15549</v>
      </c>
      <c r="E1433" s="51">
        <v>235764</v>
      </c>
      <c r="F1433" s="52">
        <v>12220.5</v>
      </c>
      <c r="G1433" s="53">
        <v>5.1833612999999996</v>
      </c>
    </row>
    <row r="1434" spans="1:7">
      <c r="A1434" s="50" t="s">
        <v>1567</v>
      </c>
      <c r="B1434" s="50" t="s">
        <v>113</v>
      </c>
      <c r="C1434" s="50" t="s">
        <v>240</v>
      </c>
      <c r="D1434" s="51">
        <v>24150</v>
      </c>
      <c r="E1434" s="51">
        <v>738607</v>
      </c>
      <c r="F1434" s="52">
        <v>58171</v>
      </c>
      <c r="G1434" s="53">
        <v>7.8757716000000002</v>
      </c>
    </row>
    <row r="1435" spans="1:7">
      <c r="A1435" s="50" t="s">
        <v>1568</v>
      </c>
      <c r="B1435" s="50" t="s">
        <v>113</v>
      </c>
      <c r="C1435" s="50" t="s">
        <v>2466</v>
      </c>
      <c r="D1435" s="51">
        <v>933</v>
      </c>
      <c r="E1435" s="51">
        <v>28320</v>
      </c>
      <c r="F1435" s="52">
        <v>1472.6</v>
      </c>
      <c r="G1435" s="53">
        <v>5.1998588000000003</v>
      </c>
    </row>
    <row r="1436" spans="1:7">
      <c r="A1436" s="50" t="s">
        <v>1569</v>
      </c>
      <c r="B1436" s="50" t="s">
        <v>113</v>
      </c>
      <c r="C1436" s="50" t="s">
        <v>240</v>
      </c>
      <c r="D1436" s="51">
        <v>37768</v>
      </c>
      <c r="E1436" s="51">
        <v>685175</v>
      </c>
      <c r="F1436" s="52">
        <v>68893</v>
      </c>
      <c r="G1436" s="53">
        <v>10.054804000000001</v>
      </c>
    </row>
    <row r="1437" spans="1:7">
      <c r="A1437" s="50" t="s">
        <v>1570</v>
      </c>
      <c r="B1437" s="50" t="s">
        <v>113</v>
      </c>
      <c r="C1437" s="50" t="s">
        <v>2466</v>
      </c>
      <c r="D1437" s="51">
        <v>45390</v>
      </c>
      <c r="E1437" s="51">
        <v>693067</v>
      </c>
      <c r="F1437" s="52">
        <v>86398.1</v>
      </c>
      <c r="G1437" s="53">
        <v>12.466053</v>
      </c>
    </row>
    <row r="1438" spans="1:7">
      <c r="A1438" s="50" t="s">
        <v>1571</v>
      </c>
      <c r="B1438" s="50" t="s">
        <v>113</v>
      </c>
      <c r="C1438" s="50" t="s">
        <v>2466</v>
      </c>
      <c r="D1438" s="51">
        <v>34641</v>
      </c>
      <c r="E1438" s="51">
        <v>381649</v>
      </c>
      <c r="F1438" s="52">
        <v>59921.9</v>
      </c>
      <c r="G1438" s="53">
        <v>15.700787999999999</v>
      </c>
    </row>
    <row r="1439" spans="1:7">
      <c r="A1439" s="50" t="s">
        <v>1574</v>
      </c>
      <c r="B1439" s="50" t="s">
        <v>116</v>
      </c>
      <c r="C1439" s="50" t="s">
        <v>242</v>
      </c>
      <c r="D1439" s="51">
        <v>17133</v>
      </c>
      <c r="E1439" s="51">
        <v>271857</v>
      </c>
      <c r="F1439" s="52">
        <v>26863</v>
      </c>
      <c r="G1439" s="53">
        <v>9.8812978999999999</v>
      </c>
    </row>
    <row r="1440" spans="1:7">
      <c r="A1440" s="50" t="s">
        <v>1575</v>
      </c>
      <c r="B1440" s="50" t="s">
        <v>116</v>
      </c>
      <c r="C1440" s="50" t="s">
        <v>242</v>
      </c>
      <c r="D1440" s="51">
        <v>19746</v>
      </c>
      <c r="E1440" s="51">
        <v>390866</v>
      </c>
      <c r="F1440" s="52">
        <v>34519.300000000003</v>
      </c>
      <c r="G1440" s="53">
        <v>8.8314921000000002</v>
      </c>
    </row>
    <row r="1441" spans="1:7">
      <c r="A1441" s="50" t="s">
        <v>1576</v>
      </c>
      <c r="B1441" s="50" t="s">
        <v>116</v>
      </c>
      <c r="C1441" s="50" t="s">
        <v>242</v>
      </c>
      <c r="D1441" s="51">
        <v>19057</v>
      </c>
      <c r="E1441" s="51">
        <v>393143</v>
      </c>
      <c r="F1441" s="52">
        <v>33023</v>
      </c>
      <c r="G1441" s="53">
        <v>8.3997425999999997</v>
      </c>
    </row>
    <row r="1442" spans="1:7">
      <c r="A1442" s="50" t="s">
        <v>1577</v>
      </c>
      <c r="B1442" s="50" t="s">
        <v>116</v>
      </c>
      <c r="C1442" s="50" t="s">
        <v>242</v>
      </c>
      <c r="D1442" s="51">
        <v>11568</v>
      </c>
      <c r="E1442" s="51">
        <v>278223</v>
      </c>
      <c r="F1442" s="52">
        <v>26976</v>
      </c>
      <c r="G1442" s="53">
        <v>9.6958195000000007</v>
      </c>
    </row>
    <row r="1443" spans="1:7">
      <c r="A1443" s="50" t="s">
        <v>1578</v>
      </c>
      <c r="B1443" s="50" t="s">
        <v>116</v>
      </c>
      <c r="C1443" s="50" t="s">
        <v>242</v>
      </c>
      <c r="D1443" s="51">
        <v>31814</v>
      </c>
      <c r="E1443" s="51">
        <v>662823</v>
      </c>
      <c r="F1443" s="52">
        <v>61786</v>
      </c>
      <c r="G1443" s="53">
        <v>9.3216438999999998</v>
      </c>
    </row>
    <row r="1444" spans="1:7">
      <c r="A1444" s="50" t="s">
        <v>333</v>
      </c>
      <c r="B1444" s="50" t="s">
        <v>116</v>
      </c>
      <c r="C1444" s="50" t="s">
        <v>240</v>
      </c>
      <c r="D1444" s="51">
        <v>22437</v>
      </c>
      <c r="E1444" s="51">
        <v>530536</v>
      </c>
      <c r="F1444" s="52">
        <v>38194.300000000003</v>
      </c>
      <c r="G1444" s="53">
        <v>7.1991909999999999</v>
      </c>
    </row>
    <row r="1445" spans="1:7">
      <c r="A1445" s="50" t="s">
        <v>398</v>
      </c>
      <c r="B1445" s="50" t="s">
        <v>116</v>
      </c>
      <c r="C1445" s="50" t="s">
        <v>240</v>
      </c>
      <c r="D1445" s="51">
        <v>1315</v>
      </c>
      <c r="E1445" s="51">
        <v>17112</v>
      </c>
      <c r="F1445" s="52">
        <v>2432.3000000000002</v>
      </c>
      <c r="G1445" s="53">
        <v>14.214002000000001</v>
      </c>
    </row>
    <row r="1446" spans="1:7">
      <c r="A1446" s="50" t="s">
        <v>337</v>
      </c>
      <c r="B1446" s="50" t="s">
        <v>116</v>
      </c>
      <c r="C1446" s="50" t="s">
        <v>240</v>
      </c>
      <c r="D1446" s="51">
        <v>12953</v>
      </c>
      <c r="E1446" s="51">
        <v>222937</v>
      </c>
      <c r="F1446" s="52">
        <v>21265.200000000001</v>
      </c>
      <c r="G1446" s="53">
        <v>9.5386588999999997</v>
      </c>
    </row>
    <row r="1447" spans="1:7">
      <c r="A1447" s="50" t="s">
        <v>1584</v>
      </c>
      <c r="B1447" s="50" t="s">
        <v>116</v>
      </c>
      <c r="C1447" s="50" t="s">
        <v>242</v>
      </c>
      <c r="D1447" s="51">
        <v>23819</v>
      </c>
      <c r="E1447" s="51">
        <v>416794</v>
      </c>
      <c r="F1447" s="52">
        <v>37436</v>
      </c>
      <c r="G1447" s="53">
        <v>8.9818950999999991</v>
      </c>
    </row>
    <row r="1448" spans="1:7">
      <c r="A1448" s="50" t="s">
        <v>406</v>
      </c>
      <c r="B1448" s="50" t="s">
        <v>116</v>
      </c>
      <c r="C1448" s="50" t="s">
        <v>240</v>
      </c>
      <c r="D1448" s="51">
        <v>17338</v>
      </c>
      <c r="E1448" s="51">
        <v>545015</v>
      </c>
      <c r="F1448" s="52">
        <v>45551.7</v>
      </c>
      <c r="G1448" s="53">
        <v>8.3578800999999991</v>
      </c>
    </row>
    <row r="1449" spans="1:7">
      <c r="A1449" s="50" t="s">
        <v>1100</v>
      </c>
      <c r="B1449" s="50" t="s">
        <v>116</v>
      </c>
      <c r="C1449" s="50" t="s">
        <v>240</v>
      </c>
      <c r="D1449" s="51">
        <v>401</v>
      </c>
      <c r="E1449" s="51">
        <v>14096</v>
      </c>
      <c r="F1449" s="52">
        <v>969</v>
      </c>
      <c r="G1449" s="53">
        <v>6.8742906000000001</v>
      </c>
    </row>
    <row r="1450" spans="1:7">
      <c r="A1450" s="50" t="s">
        <v>340</v>
      </c>
      <c r="B1450" s="50" t="s">
        <v>116</v>
      </c>
      <c r="C1450" s="50" t="s">
        <v>2</v>
      </c>
      <c r="D1450" s="51">
        <v>1999</v>
      </c>
      <c r="E1450" s="51">
        <v>275549</v>
      </c>
      <c r="F1450" s="52">
        <v>16049</v>
      </c>
      <c r="G1450" s="53">
        <v>5.8243723999999997</v>
      </c>
    </row>
    <row r="1451" spans="1:7">
      <c r="A1451" s="50" t="s">
        <v>382</v>
      </c>
      <c r="B1451" s="50" t="s">
        <v>116</v>
      </c>
      <c r="C1451" s="50" t="s">
        <v>237</v>
      </c>
      <c r="D1451" s="51">
        <v>958340</v>
      </c>
      <c r="E1451" s="51">
        <v>24850547</v>
      </c>
      <c r="F1451" s="52">
        <v>2020314.6</v>
      </c>
      <c r="G1451" s="53">
        <v>8.1298597000000008</v>
      </c>
    </row>
    <row r="1452" spans="1:7">
      <c r="A1452" s="50" t="s">
        <v>1586</v>
      </c>
      <c r="B1452" s="50" t="s">
        <v>116</v>
      </c>
      <c r="C1452" s="50" t="s">
        <v>242</v>
      </c>
      <c r="D1452" s="51">
        <v>37788</v>
      </c>
      <c r="E1452" s="51">
        <v>742130</v>
      </c>
      <c r="F1452" s="52">
        <v>68632</v>
      </c>
      <c r="G1452" s="53">
        <v>9.2479753999999996</v>
      </c>
    </row>
    <row r="1453" spans="1:7">
      <c r="A1453" s="50" t="s">
        <v>1832</v>
      </c>
      <c r="B1453" s="50" t="s">
        <v>116</v>
      </c>
      <c r="C1453" s="50" t="s">
        <v>240</v>
      </c>
      <c r="D1453" s="51">
        <v>719</v>
      </c>
      <c r="E1453" s="51">
        <v>39796</v>
      </c>
      <c r="F1453" s="52">
        <v>2311</v>
      </c>
      <c r="G1453" s="53">
        <v>5.8071162999999997</v>
      </c>
    </row>
    <row r="1454" spans="1:7">
      <c r="A1454" s="50" t="s">
        <v>343</v>
      </c>
      <c r="B1454" s="50" t="s">
        <v>116</v>
      </c>
      <c r="C1454" s="50" t="s">
        <v>332</v>
      </c>
      <c r="D1454" s="51">
        <v>4</v>
      </c>
      <c r="E1454" s="51">
        <v>3219</v>
      </c>
      <c r="F1454" s="52">
        <v>184</v>
      </c>
      <c r="G1454" s="53">
        <v>5.7160608999999996</v>
      </c>
    </row>
    <row r="1455" spans="1:7">
      <c r="A1455" s="50" t="s">
        <v>1587</v>
      </c>
      <c r="B1455" s="50" t="s">
        <v>116</v>
      </c>
      <c r="C1455" s="50" t="s">
        <v>242</v>
      </c>
      <c r="D1455" s="51">
        <v>13359</v>
      </c>
      <c r="E1455" s="51">
        <v>265772</v>
      </c>
      <c r="F1455" s="52">
        <v>23333</v>
      </c>
      <c r="G1455" s="53">
        <v>8.7793296999999999</v>
      </c>
    </row>
    <row r="1456" spans="1:7">
      <c r="A1456" s="50" t="s">
        <v>1588</v>
      </c>
      <c r="B1456" s="50" t="s">
        <v>116</v>
      </c>
      <c r="C1456" s="50" t="s">
        <v>325</v>
      </c>
      <c r="D1456" s="51">
        <v>3988</v>
      </c>
      <c r="E1456" s="51">
        <v>63620</v>
      </c>
      <c r="F1456" s="52">
        <v>6879.6</v>
      </c>
      <c r="G1456" s="53">
        <v>10.813580999999999</v>
      </c>
    </row>
    <row r="1457" spans="1:7">
      <c r="A1457" s="50" t="s">
        <v>350</v>
      </c>
      <c r="B1457" s="50" t="s">
        <v>116</v>
      </c>
      <c r="C1457" s="50" t="s">
        <v>332</v>
      </c>
      <c r="D1457" s="51">
        <v>815</v>
      </c>
      <c r="E1457" s="51">
        <v>1154</v>
      </c>
      <c r="F1457" s="52">
        <v>183.5</v>
      </c>
      <c r="G1457" s="53">
        <v>15.901213</v>
      </c>
    </row>
    <row r="1458" spans="1:7">
      <c r="A1458" s="50" t="s">
        <v>356</v>
      </c>
      <c r="B1458" s="50" t="s">
        <v>116</v>
      </c>
      <c r="C1458" s="50" t="s">
        <v>332</v>
      </c>
      <c r="D1458" s="51">
        <v>815</v>
      </c>
      <c r="E1458" s="51">
        <v>5727</v>
      </c>
      <c r="F1458" s="52">
        <v>546.1</v>
      </c>
      <c r="G1458" s="53">
        <v>9.5355334000000003</v>
      </c>
    </row>
    <row r="1459" spans="1:7">
      <c r="A1459" s="50" t="s">
        <v>357</v>
      </c>
      <c r="B1459" s="50" t="s">
        <v>116</v>
      </c>
      <c r="C1459" s="50" t="s">
        <v>295</v>
      </c>
      <c r="D1459" s="51">
        <v>6</v>
      </c>
      <c r="E1459" s="51">
        <v>47915</v>
      </c>
      <c r="F1459" s="52">
        <v>1326.5</v>
      </c>
      <c r="G1459" s="53">
        <v>2.7684441</v>
      </c>
    </row>
    <row r="1460" spans="1:7">
      <c r="A1460" s="50" t="s">
        <v>1104</v>
      </c>
      <c r="B1460" s="50" t="s">
        <v>116</v>
      </c>
      <c r="C1460" s="50" t="s">
        <v>240</v>
      </c>
      <c r="D1460" s="51">
        <v>719</v>
      </c>
      <c r="E1460" s="51">
        <v>33799</v>
      </c>
      <c r="F1460" s="52">
        <v>2743.7</v>
      </c>
      <c r="G1460" s="53">
        <v>8.1176957999999999</v>
      </c>
    </row>
    <row r="1461" spans="1:7">
      <c r="A1461" s="50" t="s">
        <v>728</v>
      </c>
      <c r="B1461" s="50" t="s">
        <v>121</v>
      </c>
      <c r="C1461" s="50" t="s">
        <v>240</v>
      </c>
      <c r="D1461" s="51">
        <v>36141</v>
      </c>
      <c r="E1461" s="51">
        <v>672283</v>
      </c>
      <c r="F1461" s="52">
        <v>72290</v>
      </c>
      <c r="G1461" s="53">
        <v>10.752912</v>
      </c>
    </row>
    <row r="1462" spans="1:7">
      <c r="A1462" s="50" t="s">
        <v>1589</v>
      </c>
      <c r="B1462" s="50" t="s">
        <v>121</v>
      </c>
      <c r="C1462" s="50" t="s">
        <v>237</v>
      </c>
      <c r="D1462" s="51">
        <v>537055</v>
      </c>
      <c r="E1462" s="51">
        <v>14212374</v>
      </c>
      <c r="F1462" s="52">
        <v>1256467</v>
      </c>
      <c r="G1462" s="53">
        <v>8.8406552999999999</v>
      </c>
    </row>
    <row r="1463" spans="1:7">
      <c r="A1463" s="50" t="s">
        <v>1591</v>
      </c>
      <c r="B1463" s="50" t="s">
        <v>121</v>
      </c>
      <c r="C1463" s="50" t="s">
        <v>242</v>
      </c>
      <c r="D1463" s="51">
        <v>16350</v>
      </c>
      <c r="E1463" s="51">
        <v>420918</v>
      </c>
      <c r="F1463" s="52">
        <v>40736</v>
      </c>
      <c r="G1463" s="53">
        <v>9.6778945000000007</v>
      </c>
    </row>
    <row r="1464" spans="1:7">
      <c r="A1464" s="50" t="s">
        <v>1592</v>
      </c>
      <c r="B1464" s="50" t="s">
        <v>121</v>
      </c>
      <c r="C1464" s="50" t="s">
        <v>240</v>
      </c>
      <c r="D1464" s="51">
        <v>37918</v>
      </c>
      <c r="E1464" s="51">
        <v>743151</v>
      </c>
      <c r="F1464" s="52">
        <v>88061</v>
      </c>
      <c r="G1464" s="53">
        <v>11.849678000000001</v>
      </c>
    </row>
    <row r="1465" spans="1:7">
      <c r="A1465" s="50" t="s">
        <v>1593</v>
      </c>
      <c r="B1465" s="50" t="s">
        <v>121</v>
      </c>
      <c r="C1465" s="50" t="s">
        <v>242</v>
      </c>
      <c r="D1465" s="51">
        <v>48028</v>
      </c>
      <c r="E1465" s="51">
        <v>858096</v>
      </c>
      <c r="F1465" s="52">
        <v>101391.2</v>
      </c>
      <c r="G1465" s="53">
        <v>11.815834000000001</v>
      </c>
    </row>
    <row r="1466" spans="1:7">
      <c r="A1466" s="50" t="s">
        <v>1595</v>
      </c>
      <c r="B1466" s="50" t="s">
        <v>121</v>
      </c>
      <c r="C1466" s="50" t="s">
        <v>242</v>
      </c>
      <c r="D1466" s="51">
        <v>21436</v>
      </c>
      <c r="E1466" s="51">
        <v>677250</v>
      </c>
      <c r="F1466" s="52">
        <v>56824</v>
      </c>
      <c r="G1466" s="53">
        <v>8.3904023999999993</v>
      </c>
    </row>
    <row r="1467" spans="1:7">
      <c r="A1467" s="50" t="s">
        <v>1596</v>
      </c>
      <c r="B1467" s="50" t="s">
        <v>121</v>
      </c>
      <c r="C1467" s="50" t="s">
        <v>242</v>
      </c>
      <c r="D1467" s="51">
        <v>16351</v>
      </c>
      <c r="E1467" s="51">
        <v>389473</v>
      </c>
      <c r="F1467" s="52">
        <v>35157</v>
      </c>
      <c r="G1467" s="53">
        <v>9.0268131999999994</v>
      </c>
    </row>
    <row r="1468" spans="1:7">
      <c r="A1468" s="50" t="s">
        <v>1599</v>
      </c>
      <c r="B1468" s="50" t="s">
        <v>121</v>
      </c>
      <c r="C1468" s="50" t="s">
        <v>242</v>
      </c>
      <c r="D1468" s="51">
        <v>13563</v>
      </c>
      <c r="E1468" s="51">
        <v>340551</v>
      </c>
      <c r="F1468" s="52">
        <v>36910.800000000003</v>
      </c>
      <c r="G1468" s="53">
        <v>10.838552999999999</v>
      </c>
    </row>
    <row r="1469" spans="1:7">
      <c r="A1469" s="50" t="s">
        <v>675</v>
      </c>
      <c r="B1469" s="50" t="s">
        <v>121</v>
      </c>
      <c r="C1469" s="50" t="s">
        <v>237</v>
      </c>
      <c r="D1469" s="51">
        <v>27805</v>
      </c>
      <c r="E1469" s="51">
        <v>658177</v>
      </c>
      <c r="F1469" s="52">
        <v>72151.8</v>
      </c>
      <c r="G1469" s="53">
        <v>10.96237</v>
      </c>
    </row>
    <row r="1470" spans="1:7">
      <c r="A1470" s="50" t="s">
        <v>947</v>
      </c>
      <c r="B1470" s="50" t="s">
        <v>121</v>
      </c>
      <c r="C1470" s="50" t="s">
        <v>240</v>
      </c>
      <c r="D1470" s="51">
        <v>31511</v>
      </c>
      <c r="E1470" s="51">
        <v>565342</v>
      </c>
      <c r="F1470" s="52">
        <v>64479.3</v>
      </c>
      <c r="G1470" s="53">
        <v>11.405362</v>
      </c>
    </row>
    <row r="1471" spans="1:7">
      <c r="A1471" s="50" t="s">
        <v>1602</v>
      </c>
      <c r="B1471" s="50" t="s">
        <v>121</v>
      </c>
      <c r="C1471" s="50" t="s">
        <v>240</v>
      </c>
      <c r="D1471" s="51">
        <v>19472</v>
      </c>
      <c r="E1471" s="51">
        <v>263616</v>
      </c>
      <c r="F1471" s="52">
        <v>37528</v>
      </c>
      <c r="G1471" s="53">
        <v>14.235858</v>
      </c>
    </row>
    <row r="1472" spans="1:7">
      <c r="A1472" s="50" t="s">
        <v>1603</v>
      </c>
      <c r="B1472" s="50" t="s">
        <v>121</v>
      </c>
      <c r="C1472" s="50" t="s">
        <v>240</v>
      </c>
      <c r="D1472" s="51">
        <v>175598</v>
      </c>
      <c r="E1472" s="51">
        <v>6208712</v>
      </c>
      <c r="F1472" s="52">
        <v>513687</v>
      </c>
      <c r="G1472" s="53">
        <v>8.2736484000000008</v>
      </c>
    </row>
    <row r="1473" spans="1:7">
      <c r="A1473" s="50" t="s">
        <v>1415</v>
      </c>
      <c r="B1473" s="50" t="s">
        <v>121</v>
      </c>
      <c r="C1473" s="50" t="s">
        <v>240</v>
      </c>
      <c r="D1473" s="51">
        <v>8251</v>
      </c>
      <c r="E1473" s="51">
        <v>132100</v>
      </c>
      <c r="F1473" s="52">
        <v>13241</v>
      </c>
      <c r="G1473" s="53">
        <v>10.023467</v>
      </c>
    </row>
    <row r="1474" spans="1:7">
      <c r="A1474" s="50" t="s">
        <v>1604</v>
      </c>
      <c r="B1474" s="50" t="s">
        <v>121</v>
      </c>
      <c r="C1474" s="50" t="s">
        <v>240</v>
      </c>
      <c r="D1474" s="51">
        <v>12053</v>
      </c>
      <c r="E1474" s="51">
        <v>339160</v>
      </c>
      <c r="F1474" s="52">
        <v>36084</v>
      </c>
      <c r="G1474" s="53">
        <v>10.639226000000001</v>
      </c>
    </row>
    <row r="1475" spans="1:7">
      <c r="A1475" s="50" t="s">
        <v>1605</v>
      </c>
      <c r="B1475" s="50" t="s">
        <v>121</v>
      </c>
      <c r="C1475" s="50" t="s">
        <v>240</v>
      </c>
      <c r="D1475" s="51">
        <v>168177</v>
      </c>
      <c r="E1475" s="51">
        <v>3700949</v>
      </c>
      <c r="F1475" s="52">
        <v>411616</v>
      </c>
      <c r="G1475" s="53">
        <v>11.121904000000001</v>
      </c>
    </row>
    <row r="1476" spans="1:7">
      <c r="A1476" s="50" t="s">
        <v>1606</v>
      </c>
      <c r="B1476" s="50" t="s">
        <v>121</v>
      </c>
      <c r="C1476" s="50" t="s">
        <v>240</v>
      </c>
      <c r="D1476" s="51">
        <v>96310</v>
      </c>
      <c r="E1476" s="51">
        <v>2315170</v>
      </c>
      <c r="F1476" s="52">
        <v>230521.7</v>
      </c>
      <c r="G1476" s="53">
        <v>9.9570095999999992</v>
      </c>
    </row>
    <row r="1477" spans="1:7">
      <c r="A1477" s="50" t="s">
        <v>343</v>
      </c>
      <c r="B1477" s="50" t="s">
        <v>121</v>
      </c>
      <c r="C1477" s="50" t="s">
        <v>332</v>
      </c>
      <c r="D1477" s="51">
        <v>68</v>
      </c>
      <c r="E1477" s="51">
        <v>580</v>
      </c>
      <c r="F1477" s="52">
        <v>52</v>
      </c>
      <c r="G1477" s="53">
        <v>8.9655172000000007</v>
      </c>
    </row>
    <row r="1478" spans="1:7">
      <c r="A1478" s="50" t="s">
        <v>1607</v>
      </c>
      <c r="B1478" s="50" t="s">
        <v>121</v>
      </c>
      <c r="C1478" s="50" t="s">
        <v>240</v>
      </c>
      <c r="D1478" s="51">
        <v>57354</v>
      </c>
      <c r="E1478" s="51">
        <v>904749</v>
      </c>
      <c r="F1478" s="52">
        <v>122613</v>
      </c>
      <c r="G1478" s="53">
        <v>13.552156</v>
      </c>
    </row>
    <row r="1479" spans="1:7">
      <c r="A1479" s="50" t="s">
        <v>1608</v>
      </c>
      <c r="B1479" s="50" t="s">
        <v>121</v>
      </c>
      <c r="C1479" s="50" t="s">
        <v>242</v>
      </c>
      <c r="D1479" s="51">
        <v>6723</v>
      </c>
      <c r="E1479" s="51">
        <v>170520</v>
      </c>
      <c r="F1479" s="52">
        <v>19065.599999999999</v>
      </c>
      <c r="G1479" s="53">
        <v>11.180859</v>
      </c>
    </row>
    <row r="1480" spans="1:7">
      <c r="A1480" s="50" t="s">
        <v>971</v>
      </c>
      <c r="B1480" s="50" t="s">
        <v>121</v>
      </c>
      <c r="C1480" s="50" t="s">
        <v>237</v>
      </c>
      <c r="D1480" s="51">
        <v>2539574</v>
      </c>
      <c r="E1480" s="51">
        <v>77691515</v>
      </c>
      <c r="F1480" s="52">
        <v>7095222.2999999998</v>
      </c>
      <c r="G1480" s="53">
        <v>9.1325575000000008</v>
      </c>
    </row>
    <row r="1481" spans="1:7">
      <c r="A1481" s="50" t="s">
        <v>1611</v>
      </c>
      <c r="B1481" s="50" t="s">
        <v>121</v>
      </c>
      <c r="C1481" s="50" t="s">
        <v>2</v>
      </c>
      <c r="D1481" s="51">
        <v>6626</v>
      </c>
      <c r="E1481" s="51">
        <v>306099</v>
      </c>
      <c r="F1481" s="52">
        <v>29762.3</v>
      </c>
      <c r="G1481" s="53">
        <v>9.7230960999999994</v>
      </c>
    </row>
    <row r="1482" spans="1:7">
      <c r="A1482" s="50" t="s">
        <v>1612</v>
      </c>
      <c r="B1482" s="50" t="s">
        <v>119</v>
      </c>
      <c r="C1482" s="50" t="s">
        <v>242</v>
      </c>
      <c r="D1482" s="51">
        <v>21352</v>
      </c>
      <c r="E1482" s="51">
        <v>310326</v>
      </c>
      <c r="F1482" s="52">
        <v>44013.2</v>
      </c>
      <c r="G1482" s="53">
        <v>14.182892000000001</v>
      </c>
    </row>
    <row r="1483" spans="1:7">
      <c r="A1483" s="50" t="s">
        <v>1613</v>
      </c>
      <c r="B1483" s="50" t="s">
        <v>119</v>
      </c>
      <c r="C1483" s="50" t="s">
        <v>237</v>
      </c>
      <c r="D1483" s="51">
        <v>267602</v>
      </c>
      <c r="E1483" s="51">
        <v>4040763</v>
      </c>
      <c r="F1483" s="52">
        <v>662296</v>
      </c>
      <c r="G1483" s="53">
        <v>16.390370000000001</v>
      </c>
    </row>
    <row r="1484" spans="1:7">
      <c r="A1484" s="50" t="s">
        <v>338</v>
      </c>
      <c r="B1484" s="50" t="s">
        <v>119</v>
      </c>
      <c r="C1484" s="50" t="s">
        <v>332</v>
      </c>
      <c r="D1484" s="51">
        <v>6</v>
      </c>
      <c r="E1484" s="51">
        <v>4726</v>
      </c>
      <c r="F1484" s="52">
        <v>830.5</v>
      </c>
      <c r="G1484" s="53">
        <v>17.573</v>
      </c>
    </row>
    <row r="1485" spans="1:7">
      <c r="A1485" s="50" t="s">
        <v>343</v>
      </c>
      <c r="B1485" s="50" t="s">
        <v>119</v>
      </c>
      <c r="C1485" s="50" t="s">
        <v>332</v>
      </c>
      <c r="D1485" s="51">
        <v>1588</v>
      </c>
      <c r="E1485" s="51">
        <v>9240</v>
      </c>
      <c r="F1485" s="52">
        <v>1705.5</v>
      </c>
      <c r="G1485" s="53">
        <v>18.457792000000001</v>
      </c>
    </row>
    <row r="1486" spans="1:7">
      <c r="A1486" s="50" t="s">
        <v>348</v>
      </c>
      <c r="B1486" s="50" t="s">
        <v>119</v>
      </c>
      <c r="C1486" s="50" t="s">
        <v>332</v>
      </c>
      <c r="D1486" s="51">
        <v>348</v>
      </c>
      <c r="E1486" s="51">
        <v>2359</v>
      </c>
      <c r="F1486" s="52">
        <v>371.5</v>
      </c>
      <c r="G1486" s="53">
        <v>15.748198</v>
      </c>
    </row>
    <row r="1487" spans="1:7">
      <c r="A1487" s="50" t="s">
        <v>350</v>
      </c>
      <c r="B1487" s="50" t="s">
        <v>119</v>
      </c>
      <c r="C1487" s="50" t="s">
        <v>332</v>
      </c>
      <c r="D1487" s="51">
        <v>740</v>
      </c>
      <c r="E1487" s="51">
        <v>4985</v>
      </c>
      <c r="F1487" s="52">
        <v>1053.5</v>
      </c>
      <c r="G1487" s="53">
        <v>21.133400000000002</v>
      </c>
    </row>
    <row r="1488" spans="1:7">
      <c r="A1488" s="50" t="s">
        <v>351</v>
      </c>
      <c r="B1488" s="50" t="s">
        <v>119</v>
      </c>
      <c r="C1488" s="50" t="s">
        <v>332</v>
      </c>
      <c r="D1488" s="51">
        <v>2</v>
      </c>
      <c r="E1488" s="51">
        <v>2500</v>
      </c>
      <c r="F1488" s="52">
        <v>673.1</v>
      </c>
      <c r="G1488" s="53">
        <v>26.923999999999999</v>
      </c>
    </row>
    <row r="1489" spans="1:7">
      <c r="A1489" s="50" t="s">
        <v>2297</v>
      </c>
      <c r="B1489" s="50" t="s">
        <v>119</v>
      </c>
      <c r="C1489" s="50" t="s">
        <v>240</v>
      </c>
      <c r="D1489" s="51">
        <v>39874</v>
      </c>
      <c r="E1489" s="51">
        <v>452515</v>
      </c>
      <c r="F1489" s="52">
        <v>75609.2</v>
      </c>
      <c r="G1489" s="53">
        <v>16.708662</v>
      </c>
    </row>
    <row r="1490" spans="1:7">
      <c r="A1490" s="50" t="s">
        <v>356</v>
      </c>
      <c r="B1490" s="50" t="s">
        <v>119</v>
      </c>
      <c r="C1490" s="50" t="s">
        <v>332</v>
      </c>
      <c r="D1490" s="51">
        <v>1</v>
      </c>
      <c r="E1490" s="51">
        <v>1</v>
      </c>
      <c r="F1490" s="52">
        <v>0.2</v>
      </c>
      <c r="G1490" s="53">
        <v>20</v>
      </c>
    </row>
    <row r="1491" spans="1:7">
      <c r="A1491" s="50" t="s">
        <v>1620</v>
      </c>
      <c r="B1491" s="50" t="s">
        <v>119</v>
      </c>
      <c r="C1491" s="50" t="s">
        <v>240</v>
      </c>
      <c r="D1491" s="51">
        <v>11711</v>
      </c>
      <c r="E1491" s="51">
        <v>73165</v>
      </c>
      <c r="F1491" s="52">
        <v>16855</v>
      </c>
      <c r="G1491" s="53">
        <v>23.036971000000001</v>
      </c>
    </row>
    <row r="1492" spans="1:7">
      <c r="A1492" s="50" t="s">
        <v>550</v>
      </c>
      <c r="B1492" s="50" t="s">
        <v>124</v>
      </c>
      <c r="C1492" s="50" t="s">
        <v>237</v>
      </c>
      <c r="D1492" s="51">
        <v>259195</v>
      </c>
      <c r="E1492" s="51">
        <v>5461617</v>
      </c>
      <c r="F1492" s="52">
        <v>536102.80000000005</v>
      </c>
      <c r="G1492" s="53">
        <v>9.8158256000000002</v>
      </c>
    </row>
    <row r="1493" spans="1:7">
      <c r="A1493" s="50" t="s">
        <v>1621</v>
      </c>
      <c r="B1493" s="50" t="s">
        <v>124</v>
      </c>
      <c r="C1493" s="50" t="s">
        <v>240</v>
      </c>
      <c r="D1493" s="51">
        <v>14817</v>
      </c>
      <c r="E1493" s="51">
        <v>560250</v>
      </c>
      <c r="F1493" s="52">
        <v>40576</v>
      </c>
      <c r="G1493" s="53">
        <v>7.2424809999999997</v>
      </c>
    </row>
    <row r="1494" spans="1:7">
      <c r="A1494" s="50" t="s">
        <v>1622</v>
      </c>
      <c r="B1494" s="50" t="s">
        <v>124</v>
      </c>
      <c r="C1494" s="50" t="s">
        <v>240</v>
      </c>
      <c r="D1494" s="51">
        <v>9584</v>
      </c>
      <c r="E1494" s="51">
        <v>564959</v>
      </c>
      <c r="F1494" s="52">
        <v>39045.300000000003</v>
      </c>
      <c r="G1494" s="53">
        <v>6.9111741000000002</v>
      </c>
    </row>
    <row r="1495" spans="1:7">
      <c r="A1495" s="50" t="s">
        <v>1222</v>
      </c>
      <c r="B1495" s="50" t="s">
        <v>124</v>
      </c>
      <c r="C1495" s="50" t="s">
        <v>295</v>
      </c>
      <c r="D1495" s="51">
        <v>10</v>
      </c>
      <c r="E1495" s="51">
        <v>2800688</v>
      </c>
      <c r="F1495" s="52">
        <v>48534.400000000001</v>
      </c>
      <c r="G1495" s="53">
        <v>1.7329456000000001</v>
      </c>
    </row>
    <row r="1496" spans="1:7">
      <c r="A1496" s="50" t="s">
        <v>1624</v>
      </c>
      <c r="B1496" s="50" t="s">
        <v>124</v>
      </c>
      <c r="C1496" s="50" t="s">
        <v>242</v>
      </c>
      <c r="D1496" s="51">
        <v>10473</v>
      </c>
      <c r="E1496" s="51">
        <v>252470</v>
      </c>
      <c r="F1496" s="52">
        <v>25365.7</v>
      </c>
      <c r="G1496" s="53">
        <v>10.047015</v>
      </c>
    </row>
    <row r="1497" spans="1:7">
      <c r="A1497" s="50" t="s">
        <v>1626</v>
      </c>
      <c r="B1497" s="50" t="s">
        <v>124</v>
      </c>
      <c r="C1497" s="50" t="s">
        <v>242</v>
      </c>
      <c r="D1497" s="51">
        <v>10243</v>
      </c>
      <c r="E1497" s="51">
        <v>198818</v>
      </c>
      <c r="F1497" s="52">
        <v>16800.3</v>
      </c>
      <c r="G1497" s="53">
        <v>8.4500899999999994</v>
      </c>
    </row>
    <row r="1498" spans="1:7">
      <c r="A1498" s="50" t="s">
        <v>1627</v>
      </c>
      <c r="B1498" s="50" t="s">
        <v>124</v>
      </c>
      <c r="C1498" s="50" t="s">
        <v>242</v>
      </c>
      <c r="D1498" s="51">
        <v>11835</v>
      </c>
      <c r="E1498" s="51">
        <v>310043</v>
      </c>
      <c r="F1498" s="52">
        <v>23083</v>
      </c>
      <c r="G1498" s="53">
        <v>7.4450963000000003</v>
      </c>
    </row>
    <row r="1499" spans="1:7">
      <c r="A1499" s="50" t="s">
        <v>1628</v>
      </c>
      <c r="B1499" s="50" t="s">
        <v>124</v>
      </c>
      <c r="C1499" s="50" t="s">
        <v>242</v>
      </c>
      <c r="D1499" s="51">
        <v>25613</v>
      </c>
      <c r="E1499" s="51">
        <v>906062</v>
      </c>
      <c r="F1499" s="52">
        <v>71536</v>
      </c>
      <c r="G1499" s="53">
        <v>7.8952654000000004</v>
      </c>
    </row>
    <row r="1500" spans="1:7">
      <c r="A1500" s="50" t="s">
        <v>1629</v>
      </c>
      <c r="B1500" s="50" t="s">
        <v>124</v>
      </c>
      <c r="C1500" s="50" t="s">
        <v>242</v>
      </c>
      <c r="D1500" s="51">
        <v>477577</v>
      </c>
      <c r="E1500" s="51">
        <v>8721077</v>
      </c>
      <c r="F1500" s="52">
        <v>931769</v>
      </c>
      <c r="G1500" s="53">
        <v>10.684105000000001</v>
      </c>
    </row>
    <row r="1501" spans="1:7">
      <c r="A1501" s="50" t="s">
        <v>1630</v>
      </c>
      <c r="B1501" s="50" t="s">
        <v>124</v>
      </c>
      <c r="C1501" s="50" t="s">
        <v>242</v>
      </c>
      <c r="D1501" s="51">
        <v>182526</v>
      </c>
      <c r="E1501" s="51">
        <v>4602749</v>
      </c>
      <c r="F1501" s="52">
        <v>370590.4</v>
      </c>
      <c r="G1501" s="53">
        <v>8.0515013999999994</v>
      </c>
    </row>
    <row r="1502" spans="1:7">
      <c r="A1502" s="50" t="s">
        <v>1239</v>
      </c>
      <c r="B1502" s="50" t="s">
        <v>124</v>
      </c>
      <c r="C1502" s="50" t="s">
        <v>240</v>
      </c>
      <c r="D1502" s="51">
        <v>5872</v>
      </c>
      <c r="E1502" s="51">
        <v>353890</v>
      </c>
      <c r="F1502" s="52">
        <v>31639.7</v>
      </c>
      <c r="G1502" s="53">
        <v>8.9405465</v>
      </c>
    </row>
    <row r="1503" spans="1:7">
      <c r="A1503" s="50" t="s">
        <v>1631</v>
      </c>
      <c r="B1503" s="50" t="s">
        <v>124</v>
      </c>
      <c r="C1503" s="50" t="s">
        <v>240</v>
      </c>
      <c r="D1503" s="51">
        <v>15581</v>
      </c>
      <c r="E1503" s="51">
        <v>277793</v>
      </c>
      <c r="F1503" s="52">
        <v>19970.7</v>
      </c>
      <c r="G1503" s="53">
        <v>7.1890580000000002</v>
      </c>
    </row>
    <row r="1504" spans="1:7">
      <c r="A1504" s="50" t="s">
        <v>555</v>
      </c>
      <c r="B1504" s="50" t="s">
        <v>124</v>
      </c>
      <c r="C1504" s="50" t="s">
        <v>240</v>
      </c>
      <c r="D1504" s="51">
        <v>41665</v>
      </c>
      <c r="E1504" s="51">
        <v>939315</v>
      </c>
      <c r="F1504" s="52">
        <v>77288.7</v>
      </c>
      <c r="G1504" s="53">
        <v>8.2281981999999996</v>
      </c>
    </row>
    <row r="1505" spans="1:7">
      <c r="A1505" s="50" t="s">
        <v>1831</v>
      </c>
      <c r="B1505" s="50" t="s">
        <v>124</v>
      </c>
      <c r="C1505" s="50" t="s">
        <v>240</v>
      </c>
      <c r="D1505" s="51">
        <v>90</v>
      </c>
      <c r="E1505" s="51">
        <v>2867</v>
      </c>
      <c r="F1505" s="52">
        <v>242.7</v>
      </c>
      <c r="G1505" s="53">
        <v>8.4652946999999994</v>
      </c>
    </row>
    <row r="1506" spans="1:7">
      <c r="A1506" s="50" t="s">
        <v>1632</v>
      </c>
      <c r="B1506" s="50" t="s">
        <v>124</v>
      </c>
      <c r="C1506" s="50" t="s">
        <v>240</v>
      </c>
      <c r="D1506" s="51">
        <v>10299</v>
      </c>
      <c r="E1506" s="51">
        <v>248817</v>
      </c>
      <c r="F1506" s="52">
        <v>23282</v>
      </c>
      <c r="G1506" s="53">
        <v>9.3570776999999996</v>
      </c>
    </row>
    <row r="1507" spans="1:7">
      <c r="A1507" s="50" t="s">
        <v>1633</v>
      </c>
      <c r="B1507" s="50" t="s">
        <v>124</v>
      </c>
      <c r="C1507" s="50" t="s">
        <v>240</v>
      </c>
      <c r="D1507" s="51">
        <v>10328</v>
      </c>
      <c r="E1507" s="51">
        <v>220295</v>
      </c>
      <c r="F1507" s="52">
        <v>13862.1</v>
      </c>
      <c r="G1507" s="53">
        <v>6.2925168999999999</v>
      </c>
    </row>
    <row r="1508" spans="1:7">
      <c r="A1508" s="50" t="s">
        <v>558</v>
      </c>
      <c r="B1508" s="50" t="s">
        <v>124</v>
      </c>
      <c r="C1508" s="50" t="s">
        <v>240</v>
      </c>
      <c r="D1508" s="51">
        <v>14</v>
      </c>
      <c r="E1508" s="51">
        <v>123</v>
      </c>
      <c r="F1508" s="52">
        <v>15</v>
      </c>
      <c r="G1508" s="53">
        <v>12.195122</v>
      </c>
    </row>
    <row r="1509" spans="1:7">
      <c r="A1509" s="50" t="s">
        <v>1636</v>
      </c>
      <c r="B1509" s="50" t="s">
        <v>124</v>
      </c>
      <c r="C1509" s="50" t="s">
        <v>240</v>
      </c>
      <c r="D1509" s="51">
        <v>15293</v>
      </c>
      <c r="E1509" s="51">
        <v>212087</v>
      </c>
      <c r="F1509" s="52">
        <v>31777</v>
      </c>
      <c r="G1509" s="53">
        <v>14.983002000000001</v>
      </c>
    </row>
    <row r="1510" spans="1:7">
      <c r="A1510" s="50" t="s">
        <v>1637</v>
      </c>
      <c r="B1510" s="50" t="s">
        <v>124</v>
      </c>
      <c r="C1510" s="50" t="s">
        <v>325</v>
      </c>
      <c r="D1510" s="51">
        <v>361114</v>
      </c>
      <c r="E1510" s="51">
        <v>6446946</v>
      </c>
      <c r="F1510" s="52">
        <v>611810</v>
      </c>
      <c r="G1510" s="53">
        <v>9.4899196999999997</v>
      </c>
    </row>
    <row r="1511" spans="1:7">
      <c r="A1511" s="50" t="s">
        <v>1638</v>
      </c>
      <c r="B1511" s="50" t="s">
        <v>124</v>
      </c>
      <c r="C1511" s="50" t="s">
        <v>325</v>
      </c>
      <c r="D1511" s="51">
        <v>55342</v>
      </c>
      <c r="E1511" s="51">
        <v>1739433</v>
      </c>
      <c r="F1511" s="52">
        <v>127865</v>
      </c>
      <c r="G1511" s="53">
        <v>7.3509586000000002</v>
      </c>
    </row>
    <row r="1512" spans="1:7">
      <c r="A1512" s="50" t="s">
        <v>1639</v>
      </c>
      <c r="B1512" s="50" t="s">
        <v>124</v>
      </c>
      <c r="C1512" s="50" t="s">
        <v>325</v>
      </c>
      <c r="D1512" s="51">
        <v>47737</v>
      </c>
      <c r="E1512" s="51">
        <v>1939221</v>
      </c>
      <c r="F1512" s="52">
        <v>66362.399999999994</v>
      </c>
      <c r="G1512" s="53">
        <v>3.4221164000000002</v>
      </c>
    </row>
    <row r="1513" spans="1:7">
      <c r="A1513" s="50" t="s">
        <v>1640</v>
      </c>
      <c r="B1513" s="50" t="s">
        <v>124</v>
      </c>
      <c r="C1513" s="50" t="s">
        <v>325</v>
      </c>
      <c r="D1513" s="51">
        <v>33047</v>
      </c>
      <c r="E1513" s="51">
        <v>643821</v>
      </c>
      <c r="F1513" s="52">
        <v>65322.7</v>
      </c>
      <c r="G1513" s="53">
        <v>10.146096999999999</v>
      </c>
    </row>
    <row r="1514" spans="1:7">
      <c r="A1514" s="50" t="s">
        <v>1641</v>
      </c>
      <c r="B1514" s="50" t="s">
        <v>124</v>
      </c>
      <c r="C1514" s="50" t="s">
        <v>325</v>
      </c>
      <c r="D1514" s="51">
        <v>216390</v>
      </c>
      <c r="E1514" s="51">
        <v>4473919</v>
      </c>
      <c r="F1514" s="52">
        <v>366059</v>
      </c>
      <c r="G1514" s="53">
        <v>8.1820658999999996</v>
      </c>
    </row>
    <row r="1515" spans="1:7">
      <c r="A1515" s="50" t="s">
        <v>1642</v>
      </c>
      <c r="B1515" s="50" t="s">
        <v>124</v>
      </c>
      <c r="C1515" s="50" t="s">
        <v>325</v>
      </c>
      <c r="D1515" s="51">
        <v>52083</v>
      </c>
      <c r="E1515" s="51">
        <v>4343568</v>
      </c>
      <c r="F1515" s="52">
        <v>244855</v>
      </c>
      <c r="G1515" s="53">
        <v>5.6371858000000001</v>
      </c>
    </row>
    <row r="1516" spans="1:7">
      <c r="A1516" s="50" t="s">
        <v>1643</v>
      </c>
      <c r="B1516" s="50" t="s">
        <v>124</v>
      </c>
      <c r="C1516" s="50" t="s">
        <v>325</v>
      </c>
      <c r="D1516" s="51">
        <v>16485</v>
      </c>
      <c r="E1516" s="51">
        <v>1094868</v>
      </c>
      <c r="F1516" s="52">
        <v>32777</v>
      </c>
      <c r="G1516" s="53">
        <v>2.9936942000000002</v>
      </c>
    </row>
    <row r="1517" spans="1:7">
      <c r="A1517" s="50" t="s">
        <v>1645</v>
      </c>
      <c r="B1517" s="50" t="s">
        <v>124</v>
      </c>
      <c r="C1517" s="50" t="s">
        <v>325</v>
      </c>
      <c r="D1517" s="51">
        <v>28162</v>
      </c>
      <c r="E1517" s="51">
        <v>1038311</v>
      </c>
      <c r="F1517" s="52">
        <v>82663</v>
      </c>
      <c r="G1517" s="53">
        <v>7.9612948000000001</v>
      </c>
    </row>
    <row r="1518" spans="1:7">
      <c r="A1518" s="50" t="s">
        <v>1646</v>
      </c>
      <c r="B1518" s="50" t="s">
        <v>124</v>
      </c>
      <c r="C1518" s="50" t="s">
        <v>325</v>
      </c>
      <c r="D1518" s="51">
        <v>43562</v>
      </c>
      <c r="E1518" s="51">
        <v>899577</v>
      </c>
      <c r="F1518" s="52">
        <v>100373.9</v>
      </c>
      <c r="G1518" s="53">
        <v>11.1579</v>
      </c>
    </row>
    <row r="1519" spans="1:7">
      <c r="A1519" s="50" t="s">
        <v>1647</v>
      </c>
      <c r="B1519" s="50" t="s">
        <v>124</v>
      </c>
      <c r="C1519" s="50" t="s">
        <v>325</v>
      </c>
      <c r="D1519" s="51">
        <v>20240</v>
      </c>
      <c r="E1519" s="51">
        <v>380071</v>
      </c>
      <c r="F1519" s="52">
        <v>37589.699999999997</v>
      </c>
      <c r="G1519" s="53">
        <v>9.8901783999999999</v>
      </c>
    </row>
    <row r="1520" spans="1:7">
      <c r="A1520" s="50" t="s">
        <v>1648</v>
      </c>
      <c r="B1520" s="50" t="s">
        <v>124</v>
      </c>
      <c r="C1520" s="50" t="s">
        <v>325</v>
      </c>
      <c r="D1520" s="51">
        <v>13432</v>
      </c>
      <c r="E1520" s="51">
        <v>419236</v>
      </c>
      <c r="F1520" s="52">
        <v>34727.199999999997</v>
      </c>
      <c r="G1520" s="53">
        <v>8.2834488999999998</v>
      </c>
    </row>
    <row r="1521" spans="1:7">
      <c r="A1521" s="50" t="s">
        <v>1649</v>
      </c>
      <c r="B1521" s="50" t="s">
        <v>124</v>
      </c>
      <c r="C1521" s="50" t="s">
        <v>325</v>
      </c>
      <c r="D1521" s="51">
        <v>33208</v>
      </c>
      <c r="E1521" s="51">
        <v>929778</v>
      </c>
      <c r="F1521" s="52">
        <v>73423.399999999994</v>
      </c>
      <c r="G1521" s="53">
        <v>7.8968743000000003</v>
      </c>
    </row>
    <row r="1522" spans="1:7">
      <c r="A1522" s="50" t="s">
        <v>1650</v>
      </c>
      <c r="B1522" s="50" t="s">
        <v>124</v>
      </c>
      <c r="C1522" s="50" t="s">
        <v>325</v>
      </c>
      <c r="D1522" s="51">
        <v>21410</v>
      </c>
      <c r="E1522" s="51">
        <v>598987</v>
      </c>
      <c r="F1522" s="52">
        <v>46271.1</v>
      </c>
      <c r="G1522" s="53">
        <v>7.7248922000000002</v>
      </c>
    </row>
    <row r="1523" spans="1:7">
      <c r="A1523" s="50" t="s">
        <v>1651</v>
      </c>
      <c r="B1523" s="50" t="s">
        <v>124</v>
      </c>
      <c r="C1523" s="50" t="s">
        <v>325</v>
      </c>
      <c r="D1523" s="51">
        <v>9448</v>
      </c>
      <c r="E1523" s="51">
        <v>505718</v>
      </c>
      <c r="F1523" s="52">
        <v>30702</v>
      </c>
      <c r="G1523" s="53">
        <v>6.0709723999999996</v>
      </c>
    </row>
    <row r="1524" spans="1:7">
      <c r="A1524" s="50" t="s">
        <v>1653</v>
      </c>
      <c r="B1524" s="50" t="s">
        <v>124</v>
      </c>
      <c r="C1524" s="50" t="s">
        <v>325</v>
      </c>
      <c r="D1524" s="51">
        <v>1</v>
      </c>
      <c r="E1524" s="51">
        <v>221717</v>
      </c>
      <c r="F1524" s="52">
        <v>11424</v>
      </c>
      <c r="G1524" s="53">
        <v>5.1525141999999997</v>
      </c>
    </row>
    <row r="1525" spans="1:7">
      <c r="A1525" s="50" t="s">
        <v>1654</v>
      </c>
      <c r="B1525" s="50" t="s">
        <v>124</v>
      </c>
      <c r="C1525" s="50" t="s">
        <v>325</v>
      </c>
      <c r="D1525" s="51">
        <v>52228</v>
      </c>
      <c r="E1525" s="51">
        <v>4986438</v>
      </c>
      <c r="F1525" s="52">
        <v>209777</v>
      </c>
      <c r="G1525" s="53">
        <v>4.2069508999999998</v>
      </c>
    </row>
    <row r="1526" spans="1:7">
      <c r="A1526" s="50" t="s">
        <v>1655</v>
      </c>
      <c r="B1526" s="50" t="s">
        <v>124</v>
      </c>
      <c r="C1526" s="50" t="s">
        <v>325</v>
      </c>
      <c r="D1526" s="51">
        <v>17868</v>
      </c>
      <c r="E1526" s="51">
        <v>292274</v>
      </c>
      <c r="F1526" s="52">
        <v>23966.9</v>
      </c>
      <c r="G1526" s="53">
        <v>8.2001477999999999</v>
      </c>
    </row>
    <row r="1527" spans="1:7">
      <c r="A1527" s="50" t="s">
        <v>1656</v>
      </c>
      <c r="B1527" s="50" t="s">
        <v>124</v>
      </c>
      <c r="C1527" s="50" t="s">
        <v>325</v>
      </c>
      <c r="D1527" s="51">
        <v>34640</v>
      </c>
      <c r="E1527" s="51">
        <v>656508</v>
      </c>
      <c r="F1527" s="52">
        <v>67790</v>
      </c>
      <c r="G1527" s="53">
        <v>10.325844999999999</v>
      </c>
    </row>
    <row r="1528" spans="1:7">
      <c r="A1528" s="50" t="s">
        <v>382</v>
      </c>
      <c r="B1528" s="50" t="s">
        <v>124</v>
      </c>
      <c r="C1528" s="50" t="s">
        <v>237</v>
      </c>
      <c r="D1528" s="51">
        <v>133542</v>
      </c>
      <c r="E1528" s="51">
        <v>4065151</v>
      </c>
      <c r="F1528" s="52">
        <v>322710.59999999998</v>
      </c>
      <c r="G1528" s="53">
        <v>7.9384652999999998</v>
      </c>
    </row>
    <row r="1529" spans="1:7">
      <c r="A1529" s="50" t="s">
        <v>1658</v>
      </c>
      <c r="B1529" s="50" t="s">
        <v>124</v>
      </c>
      <c r="C1529" s="50" t="s">
        <v>240</v>
      </c>
      <c r="D1529" s="51">
        <v>34214</v>
      </c>
      <c r="E1529" s="51">
        <v>587002</v>
      </c>
      <c r="F1529" s="52">
        <v>58796.5</v>
      </c>
      <c r="G1529" s="53">
        <v>10.016405000000001</v>
      </c>
    </row>
    <row r="1530" spans="1:7">
      <c r="A1530" s="50" t="s">
        <v>1659</v>
      </c>
      <c r="B1530" s="50" t="s">
        <v>124</v>
      </c>
      <c r="C1530" s="50" t="s">
        <v>237</v>
      </c>
      <c r="D1530" s="51">
        <v>1181469</v>
      </c>
      <c r="E1530" s="51">
        <v>20088222</v>
      </c>
      <c r="F1530" s="52">
        <v>2097310.1</v>
      </c>
      <c r="G1530" s="53">
        <v>10.440496</v>
      </c>
    </row>
    <row r="1531" spans="1:7">
      <c r="A1531" s="50" t="s">
        <v>343</v>
      </c>
      <c r="B1531" s="50" t="s">
        <v>124</v>
      </c>
      <c r="C1531" s="50" t="s">
        <v>332</v>
      </c>
      <c r="D1531" s="51">
        <v>99</v>
      </c>
      <c r="E1531" s="51">
        <v>593</v>
      </c>
      <c r="F1531" s="52">
        <v>75.900000000000006</v>
      </c>
      <c r="G1531" s="53">
        <v>12.799325</v>
      </c>
    </row>
    <row r="1532" spans="1:7">
      <c r="A1532" s="50" t="s">
        <v>1662</v>
      </c>
      <c r="B1532" s="50" t="s">
        <v>124</v>
      </c>
      <c r="C1532" s="50" t="s">
        <v>325</v>
      </c>
      <c r="D1532" s="51">
        <v>12624</v>
      </c>
      <c r="E1532" s="51">
        <v>221282</v>
      </c>
      <c r="F1532" s="52">
        <v>18181</v>
      </c>
      <c r="G1532" s="53">
        <v>8.2162127999999992</v>
      </c>
    </row>
    <row r="1533" spans="1:7">
      <c r="A1533" s="50" t="s">
        <v>1663</v>
      </c>
      <c r="B1533" s="50" t="s">
        <v>129</v>
      </c>
      <c r="C1533" s="50" t="s">
        <v>240</v>
      </c>
      <c r="D1533" s="51">
        <v>37989</v>
      </c>
      <c r="E1533" s="51">
        <v>531662</v>
      </c>
      <c r="F1533" s="52">
        <v>70708</v>
      </c>
      <c r="G1533" s="53">
        <v>13.299427</v>
      </c>
    </row>
    <row r="1534" spans="1:7">
      <c r="A1534" s="50" t="s">
        <v>1664</v>
      </c>
      <c r="B1534" s="50" t="s">
        <v>129</v>
      </c>
      <c r="C1534" s="50" t="s">
        <v>242</v>
      </c>
      <c r="D1534" s="51">
        <v>2039</v>
      </c>
      <c r="E1534" s="51">
        <v>36462</v>
      </c>
      <c r="F1534" s="52">
        <v>3831.8</v>
      </c>
      <c r="G1534" s="53">
        <v>10.509022999999999</v>
      </c>
    </row>
    <row r="1535" spans="1:7">
      <c r="A1535" s="50" t="s">
        <v>1665</v>
      </c>
      <c r="B1535" s="50" t="s">
        <v>129</v>
      </c>
      <c r="C1535" s="50" t="s">
        <v>240</v>
      </c>
      <c r="D1535" s="51">
        <v>18982</v>
      </c>
      <c r="E1535" s="51">
        <v>325103</v>
      </c>
      <c r="F1535" s="52">
        <v>37102</v>
      </c>
      <c r="G1535" s="53">
        <v>11.412383</v>
      </c>
    </row>
    <row r="1536" spans="1:7">
      <c r="A1536" s="50" t="s">
        <v>1666</v>
      </c>
      <c r="B1536" s="50" t="s">
        <v>129</v>
      </c>
      <c r="C1536" s="50" t="s">
        <v>242</v>
      </c>
      <c r="D1536" s="51">
        <v>1851</v>
      </c>
      <c r="E1536" s="51">
        <v>32920</v>
      </c>
      <c r="F1536" s="52">
        <v>3611.6</v>
      </c>
      <c r="G1536" s="53">
        <v>10.970838000000001</v>
      </c>
    </row>
    <row r="1537" spans="1:7">
      <c r="A1537" s="50" t="s">
        <v>1667</v>
      </c>
      <c r="B1537" s="50" t="s">
        <v>129</v>
      </c>
      <c r="C1537" s="50" t="s">
        <v>242</v>
      </c>
      <c r="D1537" s="51">
        <v>6610</v>
      </c>
      <c r="E1537" s="51">
        <v>106896</v>
      </c>
      <c r="F1537" s="52">
        <v>11316.6</v>
      </c>
      <c r="G1537" s="53">
        <v>10.586551</v>
      </c>
    </row>
    <row r="1538" spans="1:7">
      <c r="A1538" s="50" t="s">
        <v>1670</v>
      </c>
      <c r="B1538" s="50" t="s">
        <v>129</v>
      </c>
      <c r="C1538" s="50" t="s">
        <v>242</v>
      </c>
      <c r="D1538" s="51">
        <v>2772</v>
      </c>
      <c r="E1538" s="51">
        <v>53321</v>
      </c>
      <c r="F1538" s="52">
        <v>6073.5</v>
      </c>
      <c r="G1538" s="53">
        <v>11.390447</v>
      </c>
    </row>
    <row r="1539" spans="1:7">
      <c r="A1539" s="50" t="s">
        <v>1671</v>
      </c>
      <c r="B1539" s="50" t="s">
        <v>129</v>
      </c>
      <c r="C1539" s="50" t="s">
        <v>242</v>
      </c>
      <c r="D1539" s="51">
        <v>1794</v>
      </c>
      <c r="E1539" s="51">
        <v>42523</v>
      </c>
      <c r="F1539" s="52">
        <v>3812</v>
      </c>
      <c r="G1539" s="53">
        <v>8.9645603999999999</v>
      </c>
    </row>
    <row r="1540" spans="1:7">
      <c r="A1540" s="50" t="s">
        <v>1673</v>
      </c>
      <c r="B1540" s="50" t="s">
        <v>129</v>
      </c>
      <c r="C1540" s="50" t="s">
        <v>242</v>
      </c>
      <c r="D1540" s="51">
        <v>2884</v>
      </c>
      <c r="E1540" s="51">
        <v>73375</v>
      </c>
      <c r="F1540" s="52">
        <v>7005.1</v>
      </c>
      <c r="G1540" s="53">
        <v>9.5469846999999994</v>
      </c>
    </row>
    <row r="1541" spans="1:7">
      <c r="A1541" s="50" t="s">
        <v>1674</v>
      </c>
      <c r="B1541" s="50" t="s">
        <v>129</v>
      </c>
      <c r="C1541" s="50" t="s">
        <v>242</v>
      </c>
      <c r="D1541" s="51">
        <v>1116</v>
      </c>
      <c r="E1541" s="51">
        <v>17734</v>
      </c>
      <c r="F1541" s="52">
        <v>1954</v>
      </c>
      <c r="G1541" s="53">
        <v>11.018383</v>
      </c>
    </row>
    <row r="1542" spans="1:7">
      <c r="A1542" s="50" t="s">
        <v>1675</v>
      </c>
      <c r="B1542" s="50" t="s">
        <v>129</v>
      </c>
      <c r="C1542" s="50" t="s">
        <v>242</v>
      </c>
      <c r="D1542" s="51">
        <v>1557</v>
      </c>
      <c r="E1542" s="51">
        <v>29829</v>
      </c>
      <c r="F1542" s="52">
        <v>3056.3</v>
      </c>
      <c r="G1542" s="53">
        <v>10.246069</v>
      </c>
    </row>
    <row r="1543" spans="1:7">
      <c r="A1543" s="50" t="s">
        <v>1677</v>
      </c>
      <c r="B1543" s="50" t="s">
        <v>129</v>
      </c>
      <c r="C1543" s="50" t="s">
        <v>242</v>
      </c>
      <c r="D1543" s="51">
        <v>4684</v>
      </c>
      <c r="E1543" s="51">
        <v>65686</v>
      </c>
      <c r="F1543" s="52">
        <v>7449.7</v>
      </c>
      <c r="G1543" s="53">
        <v>11.341381999999999</v>
      </c>
    </row>
    <row r="1544" spans="1:7">
      <c r="A1544" s="50" t="s">
        <v>1678</v>
      </c>
      <c r="B1544" s="50" t="s">
        <v>129</v>
      </c>
      <c r="C1544" s="50" t="s">
        <v>242</v>
      </c>
      <c r="D1544" s="51">
        <v>15647</v>
      </c>
      <c r="E1544" s="51">
        <v>504912</v>
      </c>
      <c r="F1544" s="52">
        <v>42877.8</v>
      </c>
      <c r="G1544" s="53">
        <v>8.4921333000000008</v>
      </c>
    </row>
    <row r="1545" spans="1:7">
      <c r="A1545" s="50" t="s">
        <v>1679</v>
      </c>
      <c r="B1545" s="50" t="s">
        <v>129</v>
      </c>
      <c r="C1545" s="50" t="s">
        <v>242</v>
      </c>
      <c r="D1545" s="51">
        <v>1769</v>
      </c>
      <c r="E1545" s="51">
        <v>26831</v>
      </c>
      <c r="F1545" s="52">
        <v>3108.3</v>
      </c>
      <c r="G1545" s="53">
        <v>11.584733999999999</v>
      </c>
    </row>
    <row r="1546" spans="1:7">
      <c r="A1546" s="50" t="s">
        <v>1680</v>
      </c>
      <c r="B1546" s="50" t="s">
        <v>129</v>
      </c>
      <c r="C1546" s="50" t="s">
        <v>242</v>
      </c>
      <c r="D1546" s="51">
        <v>13789</v>
      </c>
      <c r="E1546" s="51">
        <v>358232</v>
      </c>
      <c r="F1546" s="52">
        <v>28156</v>
      </c>
      <c r="G1546" s="53">
        <v>7.8597109999999999</v>
      </c>
    </row>
    <row r="1547" spans="1:7">
      <c r="A1547" s="50" t="s">
        <v>1682</v>
      </c>
      <c r="B1547" s="50" t="s">
        <v>129</v>
      </c>
      <c r="C1547" s="50" t="s">
        <v>242</v>
      </c>
      <c r="D1547" s="51">
        <v>9051</v>
      </c>
      <c r="E1547" s="51">
        <v>496390</v>
      </c>
      <c r="F1547" s="52">
        <v>37362.800000000003</v>
      </c>
      <c r="G1547" s="53">
        <v>7.5269041999999997</v>
      </c>
    </row>
    <row r="1548" spans="1:7">
      <c r="A1548" s="50" t="s">
        <v>1683</v>
      </c>
      <c r="B1548" s="50" t="s">
        <v>129</v>
      </c>
      <c r="C1548" s="50" t="s">
        <v>242</v>
      </c>
      <c r="D1548" s="51">
        <v>2512</v>
      </c>
      <c r="E1548" s="51">
        <v>40480</v>
      </c>
      <c r="F1548" s="52">
        <v>4588.7</v>
      </c>
      <c r="G1548" s="53">
        <v>11.335720999999999</v>
      </c>
    </row>
    <row r="1549" spans="1:7">
      <c r="A1549" s="50" t="s">
        <v>1684</v>
      </c>
      <c r="B1549" s="50" t="s">
        <v>129</v>
      </c>
      <c r="C1549" s="50" t="s">
        <v>242</v>
      </c>
      <c r="D1549" s="51">
        <v>5040</v>
      </c>
      <c r="E1549" s="51">
        <v>99520</v>
      </c>
      <c r="F1549" s="52">
        <v>9748.2999999999993</v>
      </c>
      <c r="G1549" s="53">
        <v>9.7953174999999995</v>
      </c>
    </row>
    <row r="1550" spans="1:7">
      <c r="A1550" s="50" t="s">
        <v>1685</v>
      </c>
      <c r="B1550" s="50" t="s">
        <v>129</v>
      </c>
      <c r="C1550" s="50" t="s">
        <v>242</v>
      </c>
      <c r="D1550" s="51">
        <v>8563</v>
      </c>
      <c r="E1550" s="51">
        <v>266821</v>
      </c>
      <c r="F1550" s="52">
        <v>23557.599999999999</v>
      </c>
      <c r="G1550" s="53">
        <v>8.8289901999999998</v>
      </c>
    </row>
    <row r="1551" spans="1:7">
      <c r="A1551" s="50" t="s">
        <v>1686</v>
      </c>
      <c r="B1551" s="50" t="s">
        <v>129</v>
      </c>
      <c r="C1551" s="50" t="s">
        <v>242</v>
      </c>
      <c r="D1551" s="51">
        <v>2950</v>
      </c>
      <c r="E1551" s="51">
        <v>107160</v>
      </c>
      <c r="F1551" s="52">
        <v>9151.1</v>
      </c>
      <c r="G1551" s="53">
        <v>8.5396602999999995</v>
      </c>
    </row>
    <row r="1552" spans="1:7">
      <c r="A1552" s="50" t="s">
        <v>1687</v>
      </c>
      <c r="B1552" s="50" t="s">
        <v>129</v>
      </c>
      <c r="C1552" s="50" t="s">
        <v>242</v>
      </c>
      <c r="D1552" s="51">
        <v>6898</v>
      </c>
      <c r="E1552" s="51">
        <v>122409</v>
      </c>
      <c r="F1552" s="52">
        <v>12976.6</v>
      </c>
      <c r="G1552" s="53">
        <v>10.601018</v>
      </c>
    </row>
    <row r="1553" spans="1:7">
      <c r="A1553" s="50" t="s">
        <v>1689</v>
      </c>
      <c r="B1553" s="50" t="s">
        <v>129</v>
      </c>
      <c r="C1553" s="50" t="s">
        <v>242</v>
      </c>
      <c r="D1553" s="51">
        <v>8851</v>
      </c>
      <c r="E1553" s="51">
        <v>138613</v>
      </c>
      <c r="F1553" s="52">
        <v>14482</v>
      </c>
      <c r="G1553" s="53">
        <v>10.447793000000001</v>
      </c>
    </row>
    <row r="1554" spans="1:7">
      <c r="A1554" s="50" t="s">
        <v>1690</v>
      </c>
      <c r="B1554" s="50" t="s">
        <v>129</v>
      </c>
      <c r="C1554" s="50" t="s">
        <v>242</v>
      </c>
      <c r="D1554" s="51">
        <v>9059</v>
      </c>
      <c r="E1554" s="51">
        <v>146433</v>
      </c>
      <c r="F1554" s="52">
        <v>14399.9</v>
      </c>
      <c r="G1554" s="53">
        <v>9.8337806000000008</v>
      </c>
    </row>
    <row r="1555" spans="1:7">
      <c r="A1555" s="50" t="s">
        <v>1691</v>
      </c>
      <c r="B1555" s="50" t="s">
        <v>129</v>
      </c>
      <c r="C1555" s="50" t="s">
        <v>242</v>
      </c>
      <c r="D1555" s="51">
        <v>1231</v>
      </c>
      <c r="E1555" s="51">
        <v>22620</v>
      </c>
      <c r="F1555" s="52">
        <v>2444</v>
      </c>
      <c r="G1555" s="53">
        <v>10.804598</v>
      </c>
    </row>
    <row r="1556" spans="1:7">
      <c r="A1556" s="50" t="s">
        <v>1693</v>
      </c>
      <c r="B1556" s="50" t="s">
        <v>129</v>
      </c>
      <c r="C1556" s="50" t="s">
        <v>237</v>
      </c>
      <c r="D1556" s="51">
        <v>103</v>
      </c>
      <c r="E1556" s="51">
        <v>831059</v>
      </c>
      <c r="F1556" s="52">
        <v>36478.6</v>
      </c>
      <c r="G1556" s="53">
        <v>4.3894115999999999</v>
      </c>
    </row>
    <row r="1557" spans="1:7">
      <c r="A1557" s="50" t="s">
        <v>1694</v>
      </c>
      <c r="B1557" s="50" t="s">
        <v>129</v>
      </c>
      <c r="C1557" s="50" t="s">
        <v>237</v>
      </c>
      <c r="D1557" s="51">
        <v>11944</v>
      </c>
      <c r="E1557" s="51">
        <v>106697</v>
      </c>
      <c r="F1557" s="52">
        <v>13976</v>
      </c>
      <c r="G1557" s="53">
        <v>13.098775</v>
      </c>
    </row>
    <row r="1558" spans="1:7">
      <c r="A1558" s="50" t="s">
        <v>1695</v>
      </c>
      <c r="B1558" s="50" t="s">
        <v>129</v>
      </c>
      <c r="C1558" s="50" t="s">
        <v>240</v>
      </c>
      <c r="D1558" s="51">
        <v>10139</v>
      </c>
      <c r="E1558" s="51">
        <v>213247</v>
      </c>
      <c r="F1558" s="52">
        <v>24902.3</v>
      </c>
      <c r="G1558" s="53">
        <v>11.677678999999999</v>
      </c>
    </row>
    <row r="1559" spans="1:7">
      <c r="A1559" s="50" t="s">
        <v>782</v>
      </c>
      <c r="B1559" s="50" t="s">
        <v>129</v>
      </c>
      <c r="C1559" s="50" t="s">
        <v>240</v>
      </c>
      <c r="D1559" s="51">
        <v>5388</v>
      </c>
      <c r="E1559" s="51">
        <v>54258</v>
      </c>
      <c r="F1559" s="52">
        <v>7609.9</v>
      </c>
      <c r="G1559" s="53">
        <v>14.025397</v>
      </c>
    </row>
    <row r="1560" spans="1:7">
      <c r="A1560" s="50" t="s">
        <v>1697</v>
      </c>
      <c r="B1560" s="50" t="s">
        <v>129</v>
      </c>
      <c r="C1560" s="50" t="s">
        <v>242</v>
      </c>
      <c r="D1560" s="51">
        <v>1522</v>
      </c>
      <c r="E1560" s="51">
        <v>17128</v>
      </c>
      <c r="F1560" s="52">
        <v>2263.6</v>
      </c>
      <c r="G1560" s="53">
        <v>13.215787000000001</v>
      </c>
    </row>
    <row r="1561" spans="1:7">
      <c r="A1561" s="50" t="s">
        <v>1821</v>
      </c>
      <c r="B1561" s="50" t="s">
        <v>129</v>
      </c>
      <c r="C1561" s="50" t="s">
        <v>332</v>
      </c>
      <c r="D1561" s="51">
        <v>1</v>
      </c>
      <c r="E1561" s="51">
        <v>5793</v>
      </c>
      <c r="F1561" s="52">
        <v>580.5</v>
      </c>
      <c r="G1561" s="53">
        <v>10.020714999999999</v>
      </c>
    </row>
    <row r="1562" spans="1:7">
      <c r="A1562" s="50" t="s">
        <v>1698</v>
      </c>
      <c r="B1562" s="50" t="s">
        <v>129</v>
      </c>
      <c r="C1562" s="50" t="s">
        <v>242</v>
      </c>
      <c r="D1562" s="51">
        <v>7662</v>
      </c>
      <c r="E1562" s="51">
        <v>299543</v>
      </c>
      <c r="F1562" s="52">
        <v>25076</v>
      </c>
      <c r="G1562" s="53">
        <v>8.3714191000000007</v>
      </c>
    </row>
    <row r="1563" spans="1:7">
      <c r="A1563" s="50" t="s">
        <v>1699</v>
      </c>
      <c r="B1563" s="50" t="s">
        <v>129</v>
      </c>
      <c r="C1563" s="50" t="s">
        <v>242</v>
      </c>
      <c r="D1563" s="51">
        <v>1587</v>
      </c>
      <c r="E1563" s="51">
        <v>18168</v>
      </c>
      <c r="F1563" s="52">
        <v>2399.1</v>
      </c>
      <c r="G1563" s="53">
        <v>13.205086</v>
      </c>
    </row>
    <row r="1564" spans="1:7">
      <c r="A1564" s="50" t="s">
        <v>1701</v>
      </c>
      <c r="B1564" s="50" t="s">
        <v>129</v>
      </c>
      <c r="C1564" s="50" t="s">
        <v>242</v>
      </c>
      <c r="D1564" s="51">
        <v>4152</v>
      </c>
      <c r="E1564" s="51">
        <v>97043</v>
      </c>
      <c r="F1564" s="52">
        <v>9341.7000000000007</v>
      </c>
      <c r="G1564" s="53">
        <v>9.6263512000000002</v>
      </c>
    </row>
    <row r="1565" spans="1:7">
      <c r="A1565" s="50" t="s">
        <v>1703</v>
      </c>
      <c r="B1565" s="50" t="s">
        <v>129</v>
      </c>
      <c r="C1565" s="50" t="s">
        <v>242</v>
      </c>
      <c r="D1565" s="51">
        <v>1141</v>
      </c>
      <c r="E1565" s="51">
        <v>40695</v>
      </c>
      <c r="F1565" s="52">
        <v>3952.8</v>
      </c>
      <c r="G1565" s="53">
        <v>9.7132325999999996</v>
      </c>
    </row>
    <row r="1566" spans="1:7">
      <c r="A1566" s="50" t="s">
        <v>1704</v>
      </c>
      <c r="B1566" s="50" t="s">
        <v>129</v>
      </c>
      <c r="C1566" s="50" t="s">
        <v>242</v>
      </c>
      <c r="D1566" s="51">
        <v>4180</v>
      </c>
      <c r="E1566" s="51">
        <v>61688</v>
      </c>
      <c r="F1566" s="52">
        <v>7439.7</v>
      </c>
      <c r="G1566" s="53">
        <v>12.060206000000001</v>
      </c>
    </row>
    <row r="1567" spans="1:7">
      <c r="A1567" s="50" t="s">
        <v>339</v>
      </c>
      <c r="B1567" s="50" t="s">
        <v>129</v>
      </c>
      <c r="C1567" s="50" t="s">
        <v>332</v>
      </c>
      <c r="D1567" s="51">
        <v>3</v>
      </c>
      <c r="E1567" s="51">
        <v>537</v>
      </c>
      <c r="F1567" s="52">
        <v>43.2</v>
      </c>
      <c r="G1567" s="53">
        <v>8.0446927000000006</v>
      </c>
    </row>
    <row r="1568" spans="1:7">
      <c r="A1568" s="50" t="s">
        <v>1705</v>
      </c>
      <c r="B1568" s="50" t="s">
        <v>129</v>
      </c>
      <c r="C1568" s="50" t="s">
        <v>237</v>
      </c>
      <c r="D1568" s="51">
        <v>159249</v>
      </c>
      <c r="E1568" s="51">
        <v>3103765</v>
      </c>
      <c r="F1568" s="52">
        <v>393361</v>
      </c>
      <c r="G1568" s="53">
        <v>12.673672</v>
      </c>
    </row>
    <row r="1569" spans="1:7">
      <c r="A1569" s="50" t="s">
        <v>1706</v>
      </c>
      <c r="B1569" s="50" t="s">
        <v>129</v>
      </c>
      <c r="C1569" s="50" t="s">
        <v>242</v>
      </c>
      <c r="D1569" s="51">
        <v>18364</v>
      </c>
      <c r="E1569" s="51">
        <v>504541</v>
      </c>
      <c r="F1569" s="52">
        <v>37116.400000000001</v>
      </c>
      <c r="G1569" s="53">
        <v>7.3564686000000004</v>
      </c>
    </row>
    <row r="1570" spans="1:7">
      <c r="A1570" s="50" t="s">
        <v>1707</v>
      </c>
      <c r="B1570" s="50" t="s">
        <v>129</v>
      </c>
      <c r="C1570" s="50" t="s">
        <v>242</v>
      </c>
      <c r="D1570" s="51">
        <v>3999</v>
      </c>
      <c r="E1570" s="51">
        <v>174884</v>
      </c>
      <c r="F1570" s="52">
        <v>14747.4</v>
      </c>
      <c r="G1570" s="53">
        <v>8.4326754000000008</v>
      </c>
    </row>
    <row r="1571" spans="1:7">
      <c r="A1571" s="50" t="s">
        <v>1708</v>
      </c>
      <c r="B1571" s="50" t="s">
        <v>129</v>
      </c>
      <c r="C1571" s="50" t="s">
        <v>237</v>
      </c>
      <c r="D1571" s="51">
        <v>5216</v>
      </c>
      <c r="E1571" s="51">
        <v>35637</v>
      </c>
      <c r="F1571" s="52">
        <v>5233.6000000000004</v>
      </c>
      <c r="G1571" s="53">
        <v>14.68586</v>
      </c>
    </row>
    <row r="1572" spans="1:7">
      <c r="A1572" s="50" t="s">
        <v>1844</v>
      </c>
      <c r="B1572" s="50" t="s">
        <v>129</v>
      </c>
      <c r="C1572" s="50" t="s">
        <v>237</v>
      </c>
      <c r="D1572" s="51">
        <v>254197</v>
      </c>
      <c r="E1572" s="51">
        <v>6478007</v>
      </c>
      <c r="F1572" s="52">
        <v>667855.6</v>
      </c>
      <c r="G1572" s="53">
        <v>10.309583999999999</v>
      </c>
    </row>
    <row r="1573" spans="1:7">
      <c r="A1573" s="50" t="s">
        <v>793</v>
      </c>
      <c r="B1573" s="50" t="s">
        <v>129</v>
      </c>
      <c r="C1573" s="50" t="s">
        <v>237</v>
      </c>
      <c r="D1573" s="51">
        <v>13700</v>
      </c>
      <c r="E1573" s="51">
        <v>173240</v>
      </c>
      <c r="F1573" s="52">
        <v>20826.7</v>
      </c>
      <c r="G1573" s="53">
        <v>12.021877</v>
      </c>
    </row>
    <row r="1574" spans="1:7">
      <c r="A1574" s="50" t="s">
        <v>1709</v>
      </c>
      <c r="B1574" s="50" t="s">
        <v>129</v>
      </c>
      <c r="C1574" s="50" t="s">
        <v>240</v>
      </c>
      <c r="D1574" s="51">
        <v>17226</v>
      </c>
      <c r="E1574" s="51">
        <v>324853</v>
      </c>
      <c r="F1574" s="52">
        <v>37975</v>
      </c>
      <c r="G1574" s="53">
        <v>11.689902999999999</v>
      </c>
    </row>
    <row r="1575" spans="1:7">
      <c r="A1575" s="50" t="s">
        <v>1710</v>
      </c>
      <c r="B1575" s="50" t="s">
        <v>129</v>
      </c>
      <c r="C1575" s="50" t="s">
        <v>242</v>
      </c>
      <c r="D1575" s="51">
        <v>10178</v>
      </c>
      <c r="E1575" s="51">
        <v>223777</v>
      </c>
      <c r="F1575" s="52">
        <v>23498</v>
      </c>
      <c r="G1575" s="53">
        <v>10.500632</v>
      </c>
    </row>
    <row r="1576" spans="1:7">
      <c r="A1576" s="50" t="s">
        <v>1712</v>
      </c>
      <c r="B1576" s="50" t="s">
        <v>129</v>
      </c>
      <c r="C1576" s="50" t="s">
        <v>242</v>
      </c>
      <c r="D1576" s="51">
        <v>1645</v>
      </c>
      <c r="E1576" s="51">
        <v>25828</v>
      </c>
      <c r="F1576" s="52">
        <v>3031.2</v>
      </c>
      <c r="G1576" s="53">
        <v>11.7361</v>
      </c>
    </row>
    <row r="1577" spans="1:7">
      <c r="A1577" s="50" t="s">
        <v>1714</v>
      </c>
      <c r="B1577" s="50" t="s">
        <v>129</v>
      </c>
      <c r="C1577" s="50" t="s">
        <v>237</v>
      </c>
      <c r="D1577" s="51">
        <v>2224</v>
      </c>
      <c r="E1577" s="51">
        <v>17845</v>
      </c>
      <c r="F1577" s="52">
        <v>2555</v>
      </c>
      <c r="G1577" s="53">
        <v>14.317736</v>
      </c>
    </row>
    <row r="1578" spans="1:7">
      <c r="A1578" s="50" t="s">
        <v>1715</v>
      </c>
      <c r="B1578" s="50" t="s">
        <v>129</v>
      </c>
      <c r="C1578" s="50" t="s">
        <v>240</v>
      </c>
      <c r="D1578" s="51">
        <v>21018</v>
      </c>
      <c r="E1578" s="51">
        <v>238111</v>
      </c>
      <c r="F1578" s="52">
        <v>33353.599999999999</v>
      </c>
      <c r="G1578" s="53">
        <v>14.007585000000001</v>
      </c>
    </row>
    <row r="1579" spans="1:7">
      <c r="A1579" s="50" t="s">
        <v>1717</v>
      </c>
      <c r="B1579" s="50" t="s">
        <v>129</v>
      </c>
      <c r="C1579" s="50" t="s">
        <v>242</v>
      </c>
      <c r="D1579" s="51">
        <v>5203</v>
      </c>
      <c r="E1579" s="51">
        <v>207393</v>
      </c>
      <c r="F1579" s="52">
        <v>21177.5</v>
      </c>
      <c r="G1579" s="53">
        <v>10.21129</v>
      </c>
    </row>
    <row r="1580" spans="1:7">
      <c r="A1580" s="50" t="s">
        <v>1719</v>
      </c>
      <c r="B1580" s="50" t="s">
        <v>129</v>
      </c>
      <c r="C1580" s="50" t="s">
        <v>240</v>
      </c>
      <c r="D1580" s="51">
        <v>18519</v>
      </c>
      <c r="E1580" s="51">
        <v>281598</v>
      </c>
      <c r="F1580" s="52">
        <v>38372.699999999997</v>
      </c>
      <c r="G1580" s="53">
        <v>13.626766</v>
      </c>
    </row>
    <row r="1581" spans="1:7">
      <c r="A1581" s="50" t="s">
        <v>579</v>
      </c>
      <c r="B1581" s="50" t="s">
        <v>129</v>
      </c>
      <c r="C1581" s="50" t="s">
        <v>240</v>
      </c>
      <c r="D1581" s="51">
        <v>7545</v>
      </c>
      <c r="E1581" s="51">
        <v>299115</v>
      </c>
      <c r="F1581" s="52">
        <v>23234</v>
      </c>
      <c r="G1581" s="53">
        <v>7.7675809999999998</v>
      </c>
    </row>
    <row r="1582" spans="1:7">
      <c r="A1582" s="50" t="s">
        <v>580</v>
      </c>
      <c r="B1582" s="50" t="s">
        <v>129</v>
      </c>
      <c r="C1582" s="50" t="s">
        <v>240</v>
      </c>
      <c r="D1582" s="51">
        <v>14317</v>
      </c>
      <c r="E1582" s="51">
        <v>222443</v>
      </c>
      <c r="F1582" s="52">
        <v>29705.1</v>
      </c>
      <c r="G1582" s="53">
        <v>13.354028</v>
      </c>
    </row>
    <row r="1583" spans="1:7">
      <c r="A1583" s="50" t="s">
        <v>1720</v>
      </c>
      <c r="B1583" s="50" t="s">
        <v>129</v>
      </c>
      <c r="C1583" s="50" t="s">
        <v>242</v>
      </c>
      <c r="D1583" s="51">
        <v>5751</v>
      </c>
      <c r="E1583" s="51">
        <v>273457</v>
      </c>
      <c r="F1583" s="52">
        <v>21589.4</v>
      </c>
      <c r="G1583" s="53">
        <v>7.8949889999999998</v>
      </c>
    </row>
    <row r="1584" spans="1:7">
      <c r="A1584" s="50" t="s">
        <v>1721</v>
      </c>
      <c r="B1584" s="50" t="s">
        <v>129</v>
      </c>
      <c r="C1584" s="50" t="s">
        <v>242</v>
      </c>
      <c r="D1584" s="51">
        <v>2568</v>
      </c>
      <c r="E1584" s="51">
        <v>38561</v>
      </c>
      <c r="F1584" s="52">
        <v>4223.3</v>
      </c>
      <c r="G1584" s="53">
        <v>10.952256999999999</v>
      </c>
    </row>
    <row r="1585" spans="1:7">
      <c r="A1585" s="50" t="s">
        <v>1723</v>
      </c>
      <c r="B1585" s="50" t="s">
        <v>129</v>
      </c>
      <c r="C1585" s="50" t="s">
        <v>242</v>
      </c>
      <c r="D1585" s="51">
        <v>16735</v>
      </c>
      <c r="E1585" s="51">
        <v>283450</v>
      </c>
      <c r="F1585" s="52">
        <v>27443.4</v>
      </c>
      <c r="G1585" s="53">
        <v>9.6819191999999994</v>
      </c>
    </row>
    <row r="1586" spans="1:7">
      <c r="A1586" s="50" t="s">
        <v>2328</v>
      </c>
      <c r="B1586" s="50" t="s">
        <v>129</v>
      </c>
      <c r="C1586" s="50" t="s">
        <v>237</v>
      </c>
      <c r="D1586" s="51">
        <v>15013</v>
      </c>
      <c r="E1586" s="51">
        <v>744129</v>
      </c>
      <c r="F1586" s="52">
        <v>56861</v>
      </c>
      <c r="G1586" s="53">
        <v>7.6412826000000003</v>
      </c>
    </row>
    <row r="1587" spans="1:7">
      <c r="A1587" s="50" t="s">
        <v>1725</v>
      </c>
      <c r="B1587" s="50" t="s">
        <v>129</v>
      </c>
      <c r="C1587" s="50" t="s">
        <v>242</v>
      </c>
      <c r="D1587" s="51">
        <v>6284</v>
      </c>
      <c r="E1587" s="51">
        <v>82034</v>
      </c>
      <c r="F1587" s="52">
        <v>8723.2999999999993</v>
      </c>
      <c r="G1587" s="53">
        <v>10.633762000000001</v>
      </c>
    </row>
    <row r="1588" spans="1:7">
      <c r="A1588" s="50" t="s">
        <v>1728</v>
      </c>
      <c r="B1588" s="50" t="s">
        <v>129</v>
      </c>
      <c r="C1588" s="50" t="s">
        <v>242</v>
      </c>
      <c r="D1588" s="51">
        <v>3957</v>
      </c>
      <c r="E1588" s="51">
        <v>54654</v>
      </c>
      <c r="F1588" s="52">
        <v>5850.8</v>
      </c>
      <c r="G1588" s="53">
        <v>10.705163000000001</v>
      </c>
    </row>
    <row r="1589" spans="1:7">
      <c r="A1589" s="50" t="s">
        <v>1729</v>
      </c>
      <c r="B1589" s="50" t="s">
        <v>129</v>
      </c>
      <c r="C1589" s="50" t="s">
        <v>242</v>
      </c>
      <c r="D1589" s="51">
        <v>1084</v>
      </c>
      <c r="E1589" s="51">
        <v>52631</v>
      </c>
      <c r="F1589" s="52">
        <v>4718.2</v>
      </c>
      <c r="G1589" s="53">
        <v>8.9646785999999992</v>
      </c>
    </row>
    <row r="1590" spans="1:7">
      <c r="A1590" s="50" t="s">
        <v>1730</v>
      </c>
      <c r="B1590" s="50" t="s">
        <v>129</v>
      </c>
      <c r="C1590" s="50" t="s">
        <v>242</v>
      </c>
      <c r="D1590" s="51">
        <v>1295</v>
      </c>
      <c r="E1590" s="51">
        <v>23477</v>
      </c>
      <c r="F1590" s="52">
        <v>2390.5</v>
      </c>
      <c r="G1590" s="53">
        <v>10.182306000000001</v>
      </c>
    </row>
    <row r="1591" spans="1:7">
      <c r="A1591" s="50" t="s">
        <v>1731</v>
      </c>
      <c r="B1591" s="50" t="s">
        <v>129</v>
      </c>
      <c r="C1591" s="50" t="s">
        <v>242</v>
      </c>
      <c r="D1591" s="51">
        <v>2173</v>
      </c>
      <c r="E1591" s="51">
        <v>47426</v>
      </c>
      <c r="F1591" s="52">
        <v>4892.8</v>
      </c>
      <c r="G1591" s="53">
        <v>10.316704</v>
      </c>
    </row>
    <row r="1592" spans="1:7">
      <c r="A1592" s="50" t="s">
        <v>1732</v>
      </c>
      <c r="B1592" s="50" t="s">
        <v>129</v>
      </c>
      <c r="C1592" s="50" t="s">
        <v>242</v>
      </c>
      <c r="D1592" s="51">
        <v>6638</v>
      </c>
      <c r="E1592" s="51">
        <v>121653</v>
      </c>
      <c r="F1592" s="52">
        <v>12787.9</v>
      </c>
      <c r="G1592" s="53">
        <v>10.511784</v>
      </c>
    </row>
    <row r="1593" spans="1:7">
      <c r="A1593" s="50" t="s">
        <v>1733</v>
      </c>
      <c r="B1593" s="50" t="s">
        <v>129</v>
      </c>
      <c r="C1593" s="50" t="s">
        <v>242</v>
      </c>
      <c r="D1593" s="51">
        <v>1877</v>
      </c>
      <c r="E1593" s="51">
        <v>34468</v>
      </c>
      <c r="F1593" s="52">
        <v>3695.8</v>
      </c>
      <c r="G1593" s="53">
        <v>10.722409000000001</v>
      </c>
    </row>
    <row r="1594" spans="1:7">
      <c r="A1594" s="50" t="s">
        <v>1734</v>
      </c>
      <c r="B1594" s="50" t="s">
        <v>129</v>
      </c>
      <c r="C1594" s="50" t="s">
        <v>242</v>
      </c>
      <c r="D1594" s="51">
        <v>4424</v>
      </c>
      <c r="E1594" s="51">
        <v>101121</v>
      </c>
      <c r="F1594" s="52">
        <v>9453.7999999999993</v>
      </c>
      <c r="G1594" s="53">
        <v>9.3489977</v>
      </c>
    </row>
    <row r="1595" spans="1:7">
      <c r="A1595" s="50" t="s">
        <v>2344</v>
      </c>
      <c r="B1595" s="50" t="s">
        <v>129</v>
      </c>
      <c r="C1595" s="50" t="s">
        <v>237</v>
      </c>
      <c r="D1595" s="51">
        <v>971</v>
      </c>
      <c r="E1595" s="51">
        <v>13123</v>
      </c>
      <c r="F1595" s="52">
        <v>2177</v>
      </c>
      <c r="G1595" s="53">
        <v>16.589195</v>
      </c>
    </row>
    <row r="1596" spans="1:7">
      <c r="A1596" s="50" t="s">
        <v>1735</v>
      </c>
      <c r="B1596" s="50" t="s">
        <v>129</v>
      </c>
      <c r="C1596" s="50" t="s">
        <v>242</v>
      </c>
      <c r="D1596" s="51">
        <v>973</v>
      </c>
      <c r="E1596" s="51">
        <v>34309</v>
      </c>
      <c r="F1596" s="52">
        <v>3217.4</v>
      </c>
      <c r="G1596" s="53">
        <v>9.3777142999999992</v>
      </c>
    </row>
    <row r="1597" spans="1:7">
      <c r="A1597" s="50" t="s">
        <v>763</v>
      </c>
      <c r="B1597" s="50" t="s">
        <v>129</v>
      </c>
      <c r="C1597" s="50" t="s">
        <v>237</v>
      </c>
      <c r="D1597" s="51">
        <v>1144981</v>
      </c>
      <c r="E1597" s="51">
        <v>23012230</v>
      </c>
      <c r="F1597" s="52">
        <v>2792224</v>
      </c>
      <c r="G1597" s="53">
        <v>12.133652</v>
      </c>
    </row>
    <row r="1598" spans="1:7">
      <c r="A1598" s="50" t="s">
        <v>1736</v>
      </c>
      <c r="B1598" s="50" t="s">
        <v>129</v>
      </c>
      <c r="C1598" s="50" t="s">
        <v>237</v>
      </c>
      <c r="D1598" s="51">
        <v>479907</v>
      </c>
      <c r="E1598" s="51">
        <v>10741682</v>
      </c>
      <c r="F1598" s="52">
        <v>1093688</v>
      </c>
      <c r="G1598" s="53">
        <v>10.18172</v>
      </c>
    </row>
    <row r="1599" spans="1:7">
      <c r="A1599" s="50" t="s">
        <v>1737</v>
      </c>
      <c r="B1599" s="50" t="s">
        <v>129</v>
      </c>
      <c r="C1599" s="50" t="s">
        <v>237</v>
      </c>
      <c r="D1599" s="51">
        <v>451063</v>
      </c>
      <c r="E1599" s="51">
        <v>10616479</v>
      </c>
      <c r="F1599" s="52">
        <v>997385.8</v>
      </c>
      <c r="G1599" s="53">
        <v>9.3946947999999999</v>
      </c>
    </row>
    <row r="1600" spans="1:7">
      <c r="A1600" s="50" t="s">
        <v>1738</v>
      </c>
      <c r="B1600" s="50" t="s">
        <v>129</v>
      </c>
      <c r="C1600" s="50" t="s">
        <v>242</v>
      </c>
      <c r="D1600" s="51">
        <v>14898</v>
      </c>
      <c r="E1600" s="51">
        <v>253760</v>
      </c>
      <c r="F1600" s="52">
        <v>24963</v>
      </c>
      <c r="G1600" s="53">
        <v>9.8372478000000001</v>
      </c>
    </row>
    <row r="1601" spans="1:7">
      <c r="A1601" s="50" t="s">
        <v>1589</v>
      </c>
      <c r="B1601" s="50" t="s">
        <v>127</v>
      </c>
      <c r="C1601" s="50" t="s">
        <v>237</v>
      </c>
      <c r="D1601" s="51">
        <v>423050</v>
      </c>
      <c r="E1601" s="51">
        <v>11882029</v>
      </c>
      <c r="F1601" s="52">
        <v>1175507</v>
      </c>
      <c r="G1601" s="53">
        <v>9.8931503999999997</v>
      </c>
    </row>
    <row r="1602" spans="1:7">
      <c r="A1602" s="50" t="s">
        <v>1739</v>
      </c>
      <c r="B1602" s="50" t="s">
        <v>127</v>
      </c>
      <c r="C1602" s="50" t="s">
        <v>237</v>
      </c>
      <c r="D1602" s="51">
        <v>4407</v>
      </c>
      <c r="E1602" s="51">
        <v>47347</v>
      </c>
      <c r="F1602" s="52">
        <v>6197</v>
      </c>
      <c r="G1602" s="53">
        <v>13.088474</v>
      </c>
    </row>
    <row r="1603" spans="1:7">
      <c r="A1603" s="50" t="s">
        <v>1740</v>
      </c>
      <c r="B1603" s="50" t="s">
        <v>127</v>
      </c>
      <c r="C1603" s="50" t="s">
        <v>237</v>
      </c>
      <c r="D1603" s="51">
        <v>393787</v>
      </c>
      <c r="E1603" s="51">
        <v>12091976</v>
      </c>
      <c r="F1603" s="52">
        <v>1000751.2</v>
      </c>
      <c r="G1603" s="53">
        <v>8.2761592999999998</v>
      </c>
    </row>
    <row r="1604" spans="1:7">
      <c r="A1604" s="50" t="s">
        <v>1842</v>
      </c>
      <c r="B1604" s="50" t="s">
        <v>127</v>
      </c>
      <c r="C1604" s="50" t="s">
        <v>237</v>
      </c>
      <c r="D1604" s="51">
        <v>146666</v>
      </c>
      <c r="E1604" s="51">
        <v>3544301</v>
      </c>
      <c r="F1604" s="52">
        <v>312056.7</v>
      </c>
      <c r="G1604" s="53">
        <v>8.8044638000000006</v>
      </c>
    </row>
    <row r="1605" spans="1:7">
      <c r="A1605" s="50" t="s">
        <v>1741</v>
      </c>
      <c r="B1605" s="50" t="s">
        <v>127</v>
      </c>
      <c r="C1605" s="50" t="s">
        <v>237</v>
      </c>
      <c r="D1605" s="51">
        <v>41715</v>
      </c>
      <c r="E1605" s="51">
        <v>4362043</v>
      </c>
      <c r="F1605" s="52">
        <v>290519</v>
      </c>
      <c r="G1605" s="53">
        <v>6.6601590000000002</v>
      </c>
    </row>
    <row r="1606" spans="1:7">
      <c r="A1606" s="50" t="s">
        <v>891</v>
      </c>
      <c r="B1606" s="50" t="s">
        <v>133</v>
      </c>
      <c r="C1606" s="50" t="s">
        <v>237</v>
      </c>
      <c r="D1606" s="51">
        <v>2642</v>
      </c>
      <c r="E1606" s="51">
        <v>153117</v>
      </c>
      <c r="F1606" s="52">
        <v>15335</v>
      </c>
      <c r="G1606" s="53">
        <v>10.015217</v>
      </c>
    </row>
    <row r="1607" spans="1:7">
      <c r="A1607" s="50" t="s">
        <v>2350</v>
      </c>
      <c r="B1607" s="50" t="s">
        <v>133</v>
      </c>
      <c r="C1607" s="50" t="s">
        <v>237</v>
      </c>
      <c r="D1607" s="51">
        <v>43485</v>
      </c>
      <c r="E1607" s="51">
        <v>1727689</v>
      </c>
      <c r="F1607" s="52">
        <v>165393</v>
      </c>
      <c r="G1607" s="53">
        <v>9.5730771000000008</v>
      </c>
    </row>
    <row r="1608" spans="1:7">
      <c r="A1608" s="50" t="s">
        <v>1744</v>
      </c>
      <c r="B1608" s="50" t="s">
        <v>133</v>
      </c>
      <c r="C1608" s="50" t="s">
        <v>242</v>
      </c>
      <c r="D1608" s="51">
        <v>15840</v>
      </c>
      <c r="E1608" s="51">
        <v>317651</v>
      </c>
      <c r="F1608" s="52">
        <v>31295</v>
      </c>
      <c r="G1608" s="53">
        <v>9.8520073999999997</v>
      </c>
    </row>
    <row r="1609" spans="1:7">
      <c r="A1609" s="50" t="s">
        <v>553</v>
      </c>
      <c r="B1609" s="50" t="s">
        <v>133</v>
      </c>
      <c r="C1609" s="50" t="s">
        <v>240</v>
      </c>
      <c r="D1609" s="51">
        <v>367</v>
      </c>
      <c r="E1609" s="51">
        <v>8766</v>
      </c>
      <c r="F1609" s="52">
        <v>840</v>
      </c>
      <c r="G1609" s="53">
        <v>9.5824777999999995</v>
      </c>
    </row>
    <row r="1610" spans="1:7">
      <c r="A1610" s="50" t="s">
        <v>1747</v>
      </c>
      <c r="B1610" s="50" t="s">
        <v>133</v>
      </c>
      <c r="C1610" s="50" t="s">
        <v>240</v>
      </c>
      <c r="D1610" s="51">
        <v>13382</v>
      </c>
      <c r="E1610" s="51">
        <v>633668</v>
      </c>
      <c r="F1610" s="52">
        <v>61154</v>
      </c>
      <c r="G1610" s="53">
        <v>9.6507950999999998</v>
      </c>
    </row>
    <row r="1611" spans="1:7">
      <c r="A1611" s="50" t="s">
        <v>400</v>
      </c>
      <c r="B1611" s="50" t="s">
        <v>133</v>
      </c>
      <c r="C1611" s="50" t="s">
        <v>240</v>
      </c>
      <c r="D1611" s="51">
        <v>6521</v>
      </c>
      <c r="E1611" s="51">
        <v>184771</v>
      </c>
      <c r="F1611" s="52">
        <v>23202</v>
      </c>
      <c r="G1611" s="53">
        <v>12.557164999999999</v>
      </c>
    </row>
    <row r="1612" spans="1:7">
      <c r="A1612" s="50" t="s">
        <v>556</v>
      </c>
      <c r="B1612" s="50" t="s">
        <v>133</v>
      </c>
      <c r="C1612" s="50" t="s">
        <v>240</v>
      </c>
      <c r="D1612" s="51">
        <v>27101</v>
      </c>
      <c r="E1612" s="51">
        <v>778927</v>
      </c>
      <c r="F1612" s="52">
        <v>49465</v>
      </c>
      <c r="G1612" s="53">
        <v>6.3504025000000004</v>
      </c>
    </row>
    <row r="1613" spans="1:7">
      <c r="A1613" s="50" t="s">
        <v>903</v>
      </c>
      <c r="B1613" s="50" t="s">
        <v>133</v>
      </c>
      <c r="C1613" s="50" t="s">
        <v>237</v>
      </c>
      <c r="D1613" s="51">
        <v>16338</v>
      </c>
      <c r="E1613" s="51">
        <v>285007</v>
      </c>
      <c r="F1613" s="52">
        <v>26672</v>
      </c>
      <c r="G1613" s="53">
        <v>9.3583666000000001</v>
      </c>
    </row>
    <row r="1614" spans="1:7">
      <c r="A1614" s="50" t="s">
        <v>904</v>
      </c>
      <c r="B1614" s="50" t="s">
        <v>133</v>
      </c>
      <c r="C1614" s="50" t="s">
        <v>237</v>
      </c>
      <c r="D1614" s="51">
        <v>529</v>
      </c>
      <c r="E1614" s="51">
        <v>25893</v>
      </c>
      <c r="F1614" s="52">
        <v>3955.5</v>
      </c>
      <c r="G1614" s="53">
        <v>15.27633</v>
      </c>
    </row>
    <row r="1615" spans="1:7">
      <c r="A1615" s="50" t="s">
        <v>382</v>
      </c>
      <c r="B1615" s="50" t="s">
        <v>133</v>
      </c>
      <c r="C1615" s="50" t="s">
        <v>237</v>
      </c>
      <c r="D1615" s="51">
        <v>142189</v>
      </c>
      <c r="E1615" s="51">
        <v>8357791</v>
      </c>
      <c r="F1615" s="52">
        <v>615407.19999999995</v>
      </c>
      <c r="G1615" s="53">
        <v>7.3632758000000003</v>
      </c>
    </row>
    <row r="1616" spans="1:7">
      <c r="A1616" s="50" t="s">
        <v>1853</v>
      </c>
      <c r="B1616" s="50" t="s">
        <v>133</v>
      </c>
      <c r="C1616" s="50" t="s">
        <v>240</v>
      </c>
      <c r="D1616" s="51">
        <v>26641</v>
      </c>
      <c r="E1616" s="51">
        <v>1757258</v>
      </c>
      <c r="F1616" s="52">
        <v>148599.1</v>
      </c>
      <c r="G1616" s="53">
        <v>8.4563051999999992</v>
      </c>
    </row>
    <row r="1617" spans="1:7">
      <c r="A1617" s="50" t="s">
        <v>357</v>
      </c>
      <c r="B1617" s="50" t="s">
        <v>133</v>
      </c>
      <c r="C1617" s="50" t="s">
        <v>295</v>
      </c>
      <c r="D1617" s="51">
        <v>5</v>
      </c>
      <c r="E1617" s="51">
        <v>41851</v>
      </c>
      <c r="F1617" s="52">
        <v>995.7</v>
      </c>
      <c r="G1617" s="53">
        <v>2.3791546000000001</v>
      </c>
    </row>
    <row r="1618" spans="1:7">
      <c r="A1618" s="50" t="s">
        <v>421</v>
      </c>
      <c r="B1618" s="50" t="s">
        <v>133</v>
      </c>
      <c r="C1618" s="50" t="s">
        <v>240</v>
      </c>
      <c r="D1618" s="51">
        <v>763</v>
      </c>
      <c r="E1618" s="51">
        <v>10096</v>
      </c>
      <c r="F1618" s="52">
        <v>1261.8</v>
      </c>
      <c r="G1618" s="53">
        <v>12.498018999999999</v>
      </c>
    </row>
    <row r="1619" spans="1:7">
      <c r="A1619" s="50" t="s">
        <v>1748</v>
      </c>
      <c r="B1619" s="50" t="s">
        <v>113</v>
      </c>
      <c r="C1619" s="50" t="s">
        <v>2466</v>
      </c>
      <c r="D1619" s="51">
        <v>24</v>
      </c>
      <c r="E1619" s="51">
        <v>6454584</v>
      </c>
      <c r="F1619" s="52">
        <v>216095.6</v>
      </c>
      <c r="G1619" s="53">
        <v>3.3479399999999999</v>
      </c>
    </row>
    <row r="1620" spans="1:7">
      <c r="A1620" s="50" t="s">
        <v>2472</v>
      </c>
      <c r="B1620" s="50" t="s">
        <v>8</v>
      </c>
      <c r="C1620" s="50" t="s">
        <v>1749</v>
      </c>
      <c r="D1620" s="51">
        <v>35725</v>
      </c>
      <c r="E1620" s="51">
        <v>613269</v>
      </c>
      <c r="F1620" s="52">
        <v>155580.79999999999</v>
      </c>
      <c r="G1620" s="53" t="s">
        <v>1750</v>
      </c>
    </row>
    <row r="1621" spans="1:7">
      <c r="A1621" s="50" t="s">
        <v>2472</v>
      </c>
      <c r="B1621" s="50" t="s">
        <v>4</v>
      </c>
      <c r="C1621" s="50" t="s">
        <v>1749</v>
      </c>
      <c r="D1621" s="51">
        <v>70418</v>
      </c>
      <c r="E1621" s="51">
        <v>1371994</v>
      </c>
      <c r="F1621" s="52">
        <v>153714.5</v>
      </c>
      <c r="G1621" s="53" t="s">
        <v>1750</v>
      </c>
    </row>
    <row r="1622" spans="1:7">
      <c r="A1622" s="50" t="s">
        <v>2472</v>
      </c>
      <c r="B1622" s="50" t="s">
        <v>13</v>
      </c>
      <c r="C1622" s="50" t="s">
        <v>1749</v>
      </c>
      <c r="D1622" s="51">
        <v>28612</v>
      </c>
      <c r="E1622" s="51">
        <v>606815</v>
      </c>
      <c r="F1622" s="52">
        <v>65621.899999999994</v>
      </c>
      <c r="G1622" s="53" t="s">
        <v>1750</v>
      </c>
    </row>
    <row r="1623" spans="1:7">
      <c r="A1623" s="50" t="s">
        <v>2472</v>
      </c>
      <c r="B1623" s="50" t="s">
        <v>11</v>
      </c>
      <c r="C1623" s="50" t="s">
        <v>1749</v>
      </c>
      <c r="D1623" s="51">
        <v>-43153</v>
      </c>
      <c r="E1623" s="51">
        <v>1457512</v>
      </c>
      <c r="F1623" s="52">
        <v>123329.60000000001</v>
      </c>
      <c r="G1623" s="53" t="s">
        <v>1750</v>
      </c>
    </row>
    <row r="1624" spans="1:7">
      <c r="A1624" s="50" t="s">
        <v>2472</v>
      </c>
      <c r="B1624" s="50" t="s">
        <v>16</v>
      </c>
      <c r="C1624" s="50" t="s">
        <v>1749</v>
      </c>
      <c r="D1624" s="51">
        <v>-327155</v>
      </c>
      <c r="E1624" s="51">
        <v>1836367</v>
      </c>
      <c r="F1624" s="52">
        <v>273111.2</v>
      </c>
      <c r="G1624" s="53" t="s">
        <v>1750</v>
      </c>
    </row>
    <row r="1625" spans="1:7">
      <c r="A1625" s="50" t="s">
        <v>2472</v>
      </c>
      <c r="B1625" s="50" t="s">
        <v>19</v>
      </c>
      <c r="C1625" s="50" t="s">
        <v>1749</v>
      </c>
      <c r="D1625" s="51">
        <v>58520</v>
      </c>
      <c r="E1625" s="51">
        <v>1151881</v>
      </c>
      <c r="F1625" s="52">
        <v>159910.9</v>
      </c>
      <c r="G1625" s="53" t="s">
        <v>1750</v>
      </c>
    </row>
    <row r="1626" spans="1:7">
      <c r="A1626" s="50" t="s">
        <v>2472</v>
      </c>
      <c r="B1626" s="50" t="s">
        <v>21</v>
      </c>
      <c r="C1626" s="50" t="s">
        <v>1749</v>
      </c>
      <c r="D1626" s="51">
        <v>-17583</v>
      </c>
      <c r="E1626" s="51">
        <v>291718</v>
      </c>
      <c r="F1626" s="52">
        <v>40488.699999999997</v>
      </c>
      <c r="G1626" s="53" t="s">
        <v>1750</v>
      </c>
    </row>
    <row r="1627" spans="1:7">
      <c r="A1627" s="50" t="s">
        <v>2472</v>
      </c>
      <c r="B1627" s="50" t="s">
        <v>225</v>
      </c>
      <c r="C1627" s="50" t="s">
        <v>1749</v>
      </c>
      <c r="D1627" s="51">
        <v>-536</v>
      </c>
      <c r="E1627" s="51">
        <v>0</v>
      </c>
      <c r="F1627" s="52">
        <v>0</v>
      </c>
      <c r="G1627" s="53" t="s">
        <v>1750</v>
      </c>
    </row>
    <row r="1628" spans="1:7">
      <c r="A1628" s="50" t="s">
        <v>2472</v>
      </c>
      <c r="B1628" s="50" t="s">
        <v>24</v>
      </c>
      <c r="C1628" s="50" t="s">
        <v>1749</v>
      </c>
      <c r="D1628" s="51">
        <v>14372</v>
      </c>
      <c r="E1628" s="51">
        <v>388579</v>
      </c>
      <c r="F1628" s="52">
        <v>44066.3</v>
      </c>
      <c r="G1628" s="53" t="s">
        <v>1750</v>
      </c>
    </row>
    <row r="1629" spans="1:7">
      <c r="A1629" s="50" t="s">
        <v>2472</v>
      </c>
      <c r="B1629" s="50" t="s">
        <v>26</v>
      </c>
      <c r="C1629" s="50" t="s">
        <v>1749</v>
      </c>
      <c r="D1629" s="51">
        <v>49950</v>
      </c>
      <c r="E1629" s="51">
        <v>1142488</v>
      </c>
      <c r="F1629" s="52">
        <v>131572.29999999999</v>
      </c>
      <c r="G1629" s="53" t="s">
        <v>1750</v>
      </c>
    </row>
    <row r="1630" spans="1:7">
      <c r="A1630" s="50" t="s">
        <v>2472</v>
      </c>
      <c r="B1630" s="50" t="s">
        <v>29</v>
      </c>
      <c r="C1630" s="50" t="s">
        <v>1749</v>
      </c>
      <c r="D1630" s="51">
        <v>150827</v>
      </c>
      <c r="E1630" s="51">
        <v>3505689</v>
      </c>
      <c r="F1630" s="52">
        <v>406105.2</v>
      </c>
      <c r="G1630" s="53" t="s">
        <v>1750</v>
      </c>
    </row>
    <row r="1631" spans="1:7">
      <c r="A1631" s="50" t="s">
        <v>2472</v>
      </c>
      <c r="B1631" s="50" t="s">
        <v>31</v>
      </c>
      <c r="C1631" s="50" t="s">
        <v>1749</v>
      </c>
      <c r="D1631" s="51">
        <v>-19815</v>
      </c>
      <c r="E1631" s="51">
        <v>0</v>
      </c>
      <c r="F1631" s="52">
        <v>0</v>
      </c>
      <c r="G1631" s="53" t="s">
        <v>1750</v>
      </c>
    </row>
    <row r="1632" spans="1:7">
      <c r="A1632" s="50" t="s">
        <v>2472</v>
      </c>
      <c r="B1632" s="50" t="s">
        <v>41</v>
      </c>
      <c r="C1632" s="50" t="s">
        <v>1749</v>
      </c>
      <c r="D1632" s="51">
        <v>237125</v>
      </c>
      <c r="E1632" s="51">
        <v>5239544</v>
      </c>
      <c r="F1632" s="52">
        <v>547001.1</v>
      </c>
      <c r="G1632" s="53" t="s">
        <v>1750</v>
      </c>
    </row>
    <row r="1633" spans="1:7">
      <c r="A1633" s="50" t="s">
        <v>2472</v>
      </c>
      <c r="B1633" s="50" t="s">
        <v>33</v>
      </c>
      <c r="C1633" s="50" t="s">
        <v>1749</v>
      </c>
      <c r="D1633" s="51">
        <v>38672</v>
      </c>
      <c r="E1633" s="51">
        <v>873558</v>
      </c>
      <c r="F1633" s="52">
        <v>71789.899999999994</v>
      </c>
      <c r="G1633" s="53" t="s">
        <v>1750</v>
      </c>
    </row>
    <row r="1634" spans="1:7">
      <c r="A1634" s="50" t="s">
        <v>2472</v>
      </c>
      <c r="B1634" s="50" t="s">
        <v>36</v>
      </c>
      <c r="C1634" s="50" t="s">
        <v>1749</v>
      </c>
      <c r="D1634" s="51">
        <v>167975</v>
      </c>
      <c r="E1634" s="51">
        <v>3022013</v>
      </c>
      <c r="F1634" s="52">
        <v>404352.5</v>
      </c>
      <c r="G1634" s="53" t="s">
        <v>1750</v>
      </c>
    </row>
    <row r="1635" spans="1:7">
      <c r="A1635" s="50" t="s">
        <v>2472</v>
      </c>
      <c r="B1635" s="50" t="s">
        <v>39</v>
      </c>
      <c r="C1635" s="50" t="s">
        <v>1749</v>
      </c>
      <c r="D1635" s="51">
        <v>175367</v>
      </c>
      <c r="E1635" s="51">
        <v>3833169</v>
      </c>
      <c r="F1635" s="52">
        <v>427271.3</v>
      </c>
      <c r="G1635" s="53" t="s">
        <v>1750</v>
      </c>
    </row>
    <row r="1636" spans="1:7">
      <c r="A1636" s="50" t="s">
        <v>2472</v>
      </c>
      <c r="B1636" s="50" t="s">
        <v>44</v>
      </c>
      <c r="C1636" s="50" t="s">
        <v>1749</v>
      </c>
      <c r="D1636" s="51">
        <v>242357</v>
      </c>
      <c r="E1636" s="51">
        <v>3977627</v>
      </c>
      <c r="F1636" s="52">
        <v>497041.7</v>
      </c>
      <c r="G1636" s="53" t="s">
        <v>1750</v>
      </c>
    </row>
    <row r="1637" spans="1:7">
      <c r="A1637" s="50" t="s">
        <v>2472</v>
      </c>
      <c r="B1637" s="50" t="s">
        <v>47</v>
      </c>
      <c r="C1637" s="50" t="s">
        <v>1749</v>
      </c>
      <c r="D1637" s="51">
        <v>30366</v>
      </c>
      <c r="E1637" s="51">
        <v>647252</v>
      </c>
      <c r="F1637" s="52">
        <v>63412.800000000003</v>
      </c>
      <c r="G1637" s="53" t="s">
        <v>1750</v>
      </c>
    </row>
    <row r="1638" spans="1:7">
      <c r="A1638" s="50" t="s">
        <v>2472</v>
      </c>
      <c r="B1638" s="50" t="s">
        <v>50</v>
      </c>
      <c r="C1638" s="50" t="s">
        <v>1749</v>
      </c>
      <c r="D1638" s="51">
        <v>45433</v>
      </c>
      <c r="E1638" s="51">
        <v>950997</v>
      </c>
      <c r="F1638" s="52">
        <v>96653.8</v>
      </c>
      <c r="G1638" s="53" t="s">
        <v>1750</v>
      </c>
    </row>
    <row r="1639" spans="1:7">
      <c r="A1639" s="50" t="s">
        <v>2472</v>
      </c>
      <c r="B1639" s="50" t="s">
        <v>56</v>
      </c>
      <c r="C1639" s="50" t="s">
        <v>1749</v>
      </c>
      <c r="D1639" s="51">
        <v>58515</v>
      </c>
      <c r="E1639" s="51">
        <v>1661221</v>
      </c>
      <c r="F1639" s="52">
        <v>262136.1</v>
      </c>
      <c r="G1639" s="53" t="s">
        <v>1750</v>
      </c>
    </row>
    <row r="1640" spans="1:7">
      <c r="A1640" s="50" t="s">
        <v>2472</v>
      </c>
      <c r="B1640" s="50" t="s">
        <v>54</v>
      </c>
      <c r="C1640" s="50" t="s">
        <v>1749</v>
      </c>
      <c r="D1640" s="51">
        <v>-52342</v>
      </c>
      <c r="E1640" s="51">
        <v>133180</v>
      </c>
      <c r="F1640" s="52">
        <v>12803.6</v>
      </c>
      <c r="G1640" s="53" t="s">
        <v>1750</v>
      </c>
    </row>
    <row r="1641" spans="1:7">
      <c r="A1641" s="50" t="s">
        <v>2472</v>
      </c>
      <c r="B1641" s="50" t="s">
        <v>52</v>
      </c>
      <c r="C1641" s="50" t="s">
        <v>1749</v>
      </c>
      <c r="D1641" s="51">
        <v>10860</v>
      </c>
      <c r="E1641" s="51">
        <v>117216</v>
      </c>
      <c r="F1641" s="52">
        <v>17832</v>
      </c>
      <c r="G1641" s="53" t="s">
        <v>1750</v>
      </c>
    </row>
    <row r="1642" spans="1:7">
      <c r="A1642" s="50" t="s">
        <v>2472</v>
      </c>
      <c r="B1642" s="50" t="s">
        <v>58</v>
      </c>
      <c r="C1642" s="50" t="s">
        <v>1749</v>
      </c>
      <c r="D1642" s="51">
        <v>92437</v>
      </c>
      <c r="E1642" s="51">
        <v>1602969</v>
      </c>
      <c r="F1642" s="52">
        <v>180708.7</v>
      </c>
      <c r="G1642" s="53" t="s">
        <v>1750</v>
      </c>
    </row>
    <row r="1643" spans="1:7">
      <c r="A1643" s="50" t="s">
        <v>2472</v>
      </c>
      <c r="B1643" s="50" t="s">
        <v>60</v>
      </c>
      <c r="C1643" s="50" t="s">
        <v>1749</v>
      </c>
      <c r="D1643" s="51">
        <v>297300</v>
      </c>
      <c r="E1643" s="51">
        <v>6467674</v>
      </c>
      <c r="F1643" s="52">
        <v>725606.8</v>
      </c>
      <c r="G1643" s="53" t="s">
        <v>1750</v>
      </c>
    </row>
    <row r="1644" spans="1:7">
      <c r="A1644" s="50" t="s">
        <v>2472</v>
      </c>
      <c r="B1644" s="50" t="s">
        <v>64</v>
      </c>
      <c r="C1644" s="50" t="s">
        <v>1749</v>
      </c>
      <c r="D1644" s="51">
        <v>230122</v>
      </c>
      <c r="E1644" s="51">
        <v>4579493</v>
      </c>
      <c r="F1644" s="52">
        <v>513928.5</v>
      </c>
      <c r="G1644" s="53" t="s">
        <v>1750</v>
      </c>
    </row>
    <row r="1645" spans="1:7">
      <c r="A1645" s="50" t="s">
        <v>2472</v>
      </c>
      <c r="B1645" s="50" t="s">
        <v>62</v>
      </c>
      <c r="C1645" s="50" t="s">
        <v>1749</v>
      </c>
      <c r="D1645" s="51">
        <v>45488</v>
      </c>
      <c r="E1645" s="51">
        <v>865620</v>
      </c>
      <c r="F1645" s="52">
        <v>97951.1</v>
      </c>
      <c r="G1645" s="53" t="s">
        <v>1750</v>
      </c>
    </row>
    <row r="1646" spans="1:7">
      <c r="A1646" s="50" t="s">
        <v>2472</v>
      </c>
      <c r="B1646" s="50" t="s">
        <v>67</v>
      </c>
      <c r="C1646" s="50" t="s">
        <v>1749</v>
      </c>
      <c r="D1646" s="51">
        <v>90314</v>
      </c>
      <c r="E1646" s="51">
        <v>1754770</v>
      </c>
      <c r="F1646" s="52">
        <v>184499.8</v>
      </c>
      <c r="G1646" s="53" t="s">
        <v>1750</v>
      </c>
    </row>
    <row r="1647" spans="1:7">
      <c r="A1647" s="50" t="s">
        <v>2472</v>
      </c>
      <c r="B1647" s="50" t="s">
        <v>85</v>
      </c>
      <c r="C1647" s="50" t="s">
        <v>1749</v>
      </c>
      <c r="D1647" s="51">
        <v>149875</v>
      </c>
      <c r="E1647" s="51">
        <v>3007085</v>
      </c>
      <c r="F1647" s="52">
        <v>347797.2</v>
      </c>
      <c r="G1647" s="53" t="s">
        <v>1750</v>
      </c>
    </row>
    <row r="1648" spans="1:7">
      <c r="A1648" s="50" t="s">
        <v>2472</v>
      </c>
      <c r="B1648" s="50" t="s">
        <v>88</v>
      </c>
      <c r="C1648" s="50" t="s">
        <v>1749</v>
      </c>
      <c r="D1648" s="51">
        <v>26975</v>
      </c>
      <c r="E1648" s="51">
        <v>642648</v>
      </c>
      <c r="F1648" s="52">
        <v>69019.5</v>
      </c>
      <c r="G1648" s="53" t="s">
        <v>1750</v>
      </c>
    </row>
    <row r="1649" spans="1:7">
      <c r="A1649" s="50" t="s">
        <v>2472</v>
      </c>
      <c r="B1649" s="50" t="s">
        <v>69</v>
      </c>
      <c r="C1649" s="50" t="s">
        <v>1749</v>
      </c>
      <c r="D1649" s="51">
        <v>222308</v>
      </c>
      <c r="E1649" s="51">
        <v>5231584</v>
      </c>
      <c r="F1649" s="52">
        <v>572845</v>
      </c>
      <c r="G1649" s="53" t="s">
        <v>1750</v>
      </c>
    </row>
    <row r="1650" spans="1:7">
      <c r="A1650" s="50" t="s">
        <v>2472</v>
      </c>
      <c r="B1650" s="50" t="s">
        <v>74</v>
      </c>
      <c r="C1650" s="50" t="s">
        <v>1749</v>
      </c>
      <c r="D1650" s="51">
        <v>10644</v>
      </c>
      <c r="E1650" s="51">
        <v>178514</v>
      </c>
      <c r="F1650" s="52">
        <v>25690.3</v>
      </c>
      <c r="G1650" s="53" t="s">
        <v>1750</v>
      </c>
    </row>
    <row r="1651" spans="1:7">
      <c r="A1651" s="50" t="s">
        <v>2472</v>
      </c>
      <c r="B1651" s="50" t="s">
        <v>77</v>
      </c>
      <c r="C1651" s="50" t="s">
        <v>1749</v>
      </c>
      <c r="D1651" s="51">
        <v>-22990</v>
      </c>
      <c r="E1651" s="51">
        <v>655310</v>
      </c>
      <c r="F1651" s="52">
        <v>99809</v>
      </c>
      <c r="G1651" s="53" t="s">
        <v>1750</v>
      </c>
    </row>
    <row r="1652" spans="1:7">
      <c r="A1652" s="50" t="s">
        <v>2472</v>
      </c>
      <c r="B1652" s="50" t="s">
        <v>80</v>
      </c>
      <c r="C1652" s="50" t="s">
        <v>1749</v>
      </c>
      <c r="D1652" s="51">
        <v>53415</v>
      </c>
      <c r="E1652" s="51">
        <v>747608</v>
      </c>
      <c r="F1652" s="52">
        <v>104703</v>
      </c>
      <c r="G1652" s="53" t="s">
        <v>1750</v>
      </c>
    </row>
    <row r="1653" spans="1:7">
      <c r="A1653" s="50" t="s">
        <v>2472</v>
      </c>
      <c r="B1653" s="50" t="s">
        <v>71</v>
      </c>
      <c r="C1653" s="50" t="s">
        <v>1749</v>
      </c>
      <c r="D1653" s="51">
        <v>-16925</v>
      </c>
      <c r="E1653" s="51">
        <v>325794</v>
      </c>
      <c r="F1653" s="52">
        <v>29557.4</v>
      </c>
      <c r="G1653" s="53" t="s">
        <v>1750</v>
      </c>
    </row>
    <row r="1654" spans="1:7">
      <c r="A1654" s="50" t="s">
        <v>2472</v>
      </c>
      <c r="B1654" s="50" t="s">
        <v>82</v>
      </c>
      <c r="C1654" s="50" t="s">
        <v>1749</v>
      </c>
      <c r="D1654" s="51">
        <v>46801</v>
      </c>
      <c r="E1654" s="51">
        <v>2352437</v>
      </c>
      <c r="F1654" s="52">
        <v>159878</v>
      </c>
      <c r="G1654" s="53" t="s">
        <v>1750</v>
      </c>
    </row>
    <row r="1655" spans="1:7">
      <c r="A1655" s="50" t="s">
        <v>2472</v>
      </c>
      <c r="B1655" s="50" t="s">
        <v>91</v>
      </c>
      <c r="C1655" s="50" t="s">
        <v>1749</v>
      </c>
      <c r="D1655" s="51">
        <v>191577</v>
      </c>
      <c r="E1655" s="51">
        <v>4063881</v>
      </c>
      <c r="F1655" s="52">
        <v>485426</v>
      </c>
      <c r="G1655" s="53" t="s">
        <v>1750</v>
      </c>
    </row>
    <row r="1656" spans="1:7">
      <c r="A1656" s="50" t="s">
        <v>2472</v>
      </c>
      <c r="B1656" s="50" t="s">
        <v>94</v>
      </c>
      <c r="C1656" s="50" t="s">
        <v>1749</v>
      </c>
      <c r="D1656" s="51">
        <v>129575</v>
      </c>
      <c r="E1656" s="51">
        <v>2506815</v>
      </c>
      <c r="F1656" s="52">
        <v>259710.8</v>
      </c>
      <c r="G1656" s="53" t="s">
        <v>1750</v>
      </c>
    </row>
    <row r="1657" spans="1:7">
      <c r="A1657" s="50" t="s">
        <v>2472</v>
      </c>
      <c r="B1657" s="50" t="s">
        <v>96</v>
      </c>
      <c r="C1657" s="50" t="s">
        <v>1749</v>
      </c>
      <c r="D1657" s="51">
        <v>71910</v>
      </c>
      <c r="E1657" s="51">
        <v>1600437</v>
      </c>
      <c r="F1657" s="52">
        <v>144783.29999999999</v>
      </c>
      <c r="G1657" s="53" t="s">
        <v>1750</v>
      </c>
    </row>
    <row r="1658" spans="1:7">
      <c r="A1658" s="50" t="s">
        <v>2472</v>
      </c>
      <c r="B1658" s="50" t="s">
        <v>99</v>
      </c>
      <c r="C1658" s="50" t="s">
        <v>1749</v>
      </c>
      <c r="D1658" s="51">
        <v>99158</v>
      </c>
      <c r="E1658" s="51">
        <v>1442431</v>
      </c>
      <c r="F1658" s="52">
        <v>204821.9</v>
      </c>
      <c r="G1658" s="53" t="s">
        <v>1750</v>
      </c>
    </row>
    <row r="1659" spans="1:7">
      <c r="A1659" s="50" t="s">
        <v>2472</v>
      </c>
      <c r="B1659" s="50" t="s">
        <v>102</v>
      </c>
      <c r="C1659" s="50" t="s">
        <v>1749</v>
      </c>
      <c r="D1659" s="51">
        <v>-1839</v>
      </c>
      <c r="E1659" s="51">
        <v>0</v>
      </c>
      <c r="F1659" s="52">
        <v>0</v>
      </c>
      <c r="G1659" s="53" t="s">
        <v>1750</v>
      </c>
    </row>
    <row r="1660" spans="1:7">
      <c r="A1660" s="50" t="s">
        <v>2472</v>
      </c>
      <c r="B1660" s="50" t="s">
        <v>104</v>
      </c>
      <c r="C1660" s="50" t="s">
        <v>1749</v>
      </c>
      <c r="D1660" s="51">
        <v>74955</v>
      </c>
      <c r="E1660" s="51">
        <v>1402544</v>
      </c>
      <c r="F1660" s="52">
        <v>182067.5</v>
      </c>
      <c r="G1660" s="53" t="s">
        <v>1750</v>
      </c>
    </row>
    <row r="1661" spans="1:7">
      <c r="A1661" s="50" t="s">
        <v>2472</v>
      </c>
      <c r="B1661" s="50" t="s">
        <v>107</v>
      </c>
      <c r="C1661" s="50" t="s">
        <v>1749</v>
      </c>
      <c r="D1661" s="51">
        <v>97656</v>
      </c>
      <c r="E1661" s="51">
        <v>2384910</v>
      </c>
      <c r="F1661" s="52">
        <v>259463.5</v>
      </c>
      <c r="G1661" s="53" t="s">
        <v>1750</v>
      </c>
    </row>
    <row r="1662" spans="1:7">
      <c r="A1662" s="50" t="s">
        <v>2472</v>
      </c>
      <c r="B1662" s="50" t="s">
        <v>113</v>
      </c>
      <c r="C1662" s="50" t="s">
        <v>1749</v>
      </c>
      <c r="D1662" s="51">
        <v>162365</v>
      </c>
      <c r="E1662" s="51">
        <v>3663325</v>
      </c>
      <c r="F1662" s="52">
        <v>396702.9</v>
      </c>
      <c r="G1662" s="53" t="s">
        <v>1750</v>
      </c>
    </row>
    <row r="1663" spans="1:7">
      <c r="A1663" s="50" t="s">
        <v>2472</v>
      </c>
      <c r="B1663" s="50" t="s">
        <v>116</v>
      </c>
      <c r="C1663" s="50" t="s">
        <v>1749</v>
      </c>
      <c r="D1663" s="51">
        <v>93117</v>
      </c>
      <c r="E1663" s="51">
        <v>1588385</v>
      </c>
      <c r="F1663" s="52">
        <v>147811.79999999999</v>
      </c>
      <c r="G1663" s="53" t="s">
        <v>1750</v>
      </c>
    </row>
    <row r="1664" spans="1:7">
      <c r="A1664" s="50" t="s">
        <v>2472</v>
      </c>
      <c r="B1664" s="50" t="s">
        <v>121</v>
      </c>
      <c r="C1664" s="50" t="s">
        <v>1749</v>
      </c>
      <c r="D1664" s="51">
        <v>71215</v>
      </c>
      <c r="E1664" s="51">
        <v>1254359</v>
      </c>
      <c r="F1664" s="52">
        <v>148757.5</v>
      </c>
      <c r="G1664" s="53" t="s">
        <v>1750</v>
      </c>
    </row>
    <row r="1665" spans="1:7">
      <c r="A1665" s="50" t="s">
        <v>2472</v>
      </c>
      <c r="B1665" s="50" t="s">
        <v>119</v>
      </c>
      <c r="C1665" s="50" t="s">
        <v>1749</v>
      </c>
      <c r="D1665" s="51">
        <v>33527</v>
      </c>
      <c r="E1665" s="51">
        <v>420382</v>
      </c>
      <c r="F1665" s="52">
        <v>65791.399999999994</v>
      </c>
      <c r="G1665" s="53" t="s">
        <v>1750</v>
      </c>
    </row>
    <row r="1666" spans="1:7">
      <c r="A1666" s="50" t="s">
        <v>2472</v>
      </c>
      <c r="B1666" s="50" t="s">
        <v>124</v>
      </c>
      <c r="C1666" s="50" t="s">
        <v>1749</v>
      </c>
      <c r="D1666" s="51">
        <v>65326</v>
      </c>
      <c r="E1666" s="51">
        <v>1279211</v>
      </c>
      <c r="F1666" s="52">
        <v>119511.7</v>
      </c>
      <c r="G1666" s="53" t="s">
        <v>1750</v>
      </c>
    </row>
    <row r="1667" spans="1:7">
      <c r="A1667" s="50" t="s">
        <v>2472</v>
      </c>
      <c r="B1667" s="50" t="s">
        <v>129</v>
      </c>
      <c r="C1667" s="50" t="s">
        <v>1749</v>
      </c>
      <c r="D1667" s="51">
        <v>179711</v>
      </c>
      <c r="E1667" s="51">
        <v>3216892</v>
      </c>
      <c r="F1667" s="52">
        <v>379321.8</v>
      </c>
      <c r="G1667" s="53" t="s">
        <v>1750</v>
      </c>
    </row>
    <row r="1668" spans="1:7">
      <c r="A1668" s="50" t="s">
        <v>2472</v>
      </c>
      <c r="B1668" s="50" t="s">
        <v>127</v>
      </c>
      <c r="C1668" s="50" t="s">
        <v>1749</v>
      </c>
      <c r="D1668" s="51">
        <v>10867</v>
      </c>
      <c r="E1668" s="51">
        <v>148887</v>
      </c>
      <c r="F1668" s="52">
        <v>20923.5</v>
      </c>
      <c r="G1668" s="53" t="s">
        <v>1750</v>
      </c>
    </row>
    <row r="1669" spans="1:7">
      <c r="A1669" s="50" t="s">
        <v>2472</v>
      </c>
      <c r="B1669" s="50" t="s">
        <v>133</v>
      </c>
      <c r="C1669" s="50" t="s">
        <v>1749</v>
      </c>
      <c r="D1669" s="51">
        <v>49518</v>
      </c>
      <c r="E1669" s="51">
        <v>1048533</v>
      </c>
      <c r="F1669" s="52">
        <v>124972.4</v>
      </c>
      <c r="G1669" s="53" t="s">
        <v>1750</v>
      </c>
    </row>
    <row r="1670" spans="1:7">
      <c r="A1670" s="50" t="s">
        <v>854</v>
      </c>
      <c r="B1670" s="50" t="s">
        <v>62</v>
      </c>
      <c r="C1670" s="50" t="s">
        <v>242</v>
      </c>
      <c r="D1670" s="51">
        <v>1189</v>
      </c>
      <c r="E1670" s="51">
        <v>25043</v>
      </c>
      <c r="F1670" s="52">
        <v>3021</v>
      </c>
      <c r="G1670" s="53">
        <v>12.063250999999999</v>
      </c>
    </row>
    <row r="1671" spans="1:7">
      <c r="A1671" s="50" t="s">
        <v>855</v>
      </c>
      <c r="B1671" s="50" t="s">
        <v>62</v>
      </c>
      <c r="C1671" s="50" t="s">
        <v>242</v>
      </c>
      <c r="D1671" s="51">
        <v>10894</v>
      </c>
      <c r="E1671" s="51">
        <v>333680</v>
      </c>
      <c r="F1671" s="52">
        <v>30641</v>
      </c>
      <c r="G1671" s="53">
        <v>9.1827498999999992</v>
      </c>
    </row>
    <row r="1672" spans="1:7">
      <c r="A1672" s="50" t="s">
        <v>856</v>
      </c>
      <c r="B1672" s="50" t="s">
        <v>62</v>
      </c>
      <c r="C1672" s="50" t="s">
        <v>242</v>
      </c>
      <c r="D1672" s="51">
        <v>5281</v>
      </c>
      <c r="E1672" s="51">
        <v>92533</v>
      </c>
      <c r="F1672" s="52">
        <v>10657</v>
      </c>
      <c r="G1672" s="53">
        <v>11.516972000000001</v>
      </c>
    </row>
    <row r="1673" spans="1:7">
      <c r="A1673" s="50" t="s">
        <v>857</v>
      </c>
      <c r="B1673" s="50" t="s">
        <v>62</v>
      </c>
      <c r="C1673" s="50" t="s">
        <v>242</v>
      </c>
      <c r="D1673" s="51">
        <v>9756</v>
      </c>
      <c r="E1673" s="51">
        <v>221242</v>
      </c>
      <c r="F1673" s="52">
        <v>23508</v>
      </c>
      <c r="G1673" s="53">
        <v>10.625469000000001</v>
      </c>
    </row>
    <row r="1674" spans="1:7">
      <c r="A1674" s="50" t="s">
        <v>858</v>
      </c>
      <c r="B1674" s="50" t="s">
        <v>62</v>
      </c>
      <c r="C1674" s="50" t="s">
        <v>242</v>
      </c>
      <c r="D1674" s="51">
        <v>3834</v>
      </c>
      <c r="E1674" s="51">
        <v>117139</v>
      </c>
      <c r="F1674" s="52">
        <v>11809</v>
      </c>
      <c r="G1674" s="53">
        <v>10.081186000000001</v>
      </c>
    </row>
    <row r="1675" spans="1:7">
      <c r="A1675" s="50" t="s">
        <v>859</v>
      </c>
      <c r="B1675" s="50" t="s">
        <v>62</v>
      </c>
      <c r="C1675" s="50" t="s">
        <v>242</v>
      </c>
      <c r="D1675" s="51">
        <v>13682</v>
      </c>
      <c r="E1675" s="51">
        <v>437557</v>
      </c>
      <c r="F1675" s="52">
        <v>41104</v>
      </c>
      <c r="G1675" s="53">
        <v>9.3939760999999997</v>
      </c>
    </row>
    <row r="1676" spans="1:7">
      <c r="A1676" s="50" t="s">
        <v>860</v>
      </c>
      <c r="B1676" s="50" t="s">
        <v>62</v>
      </c>
      <c r="C1676" s="50" t="s">
        <v>242</v>
      </c>
      <c r="D1676" s="51">
        <v>15247</v>
      </c>
      <c r="E1676" s="51">
        <v>621426</v>
      </c>
      <c r="F1676" s="52">
        <v>53679</v>
      </c>
      <c r="G1676" s="53">
        <v>8.6380356999999997</v>
      </c>
    </row>
    <row r="1677" spans="1:7">
      <c r="A1677" s="50" t="s">
        <v>861</v>
      </c>
      <c r="B1677" s="50" t="s">
        <v>62</v>
      </c>
      <c r="C1677" s="50" t="s">
        <v>242</v>
      </c>
      <c r="D1677" s="51">
        <v>2048</v>
      </c>
      <c r="E1677" s="51">
        <v>66776</v>
      </c>
      <c r="F1677" s="52">
        <v>5327</v>
      </c>
      <c r="G1677" s="53">
        <v>7.977417</v>
      </c>
    </row>
    <row r="1678" spans="1:7">
      <c r="A1678" s="50" t="s">
        <v>862</v>
      </c>
      <c r="B1678" s="50" t="s">
        <v>62</v>
      </c>
      <c r="C1678" s="50" t="s">
        <v>242</v>
      </c>
      <c r="D1678" s="51">
        <v>3911</v>
      </c>
      <c r="E1678" s="51">
        <v>81936</v>
      </c>
      <c r="F1678" s="52">
        <v>9793</v>
      </c>
      <c r="G1678" s="53">
        <v>11.952011000000001</v>
      </c>
    </row>
    <row r="1679" spans="1:7">
      <c r="A1679" s="50" t="s">
        <v>863</v>
      </c>
      <c r="B1679" s="50" t="s">
        <v>62</v>
      </c>
      <c r="C1679" s="50" t="s">
        <v>242</v>
      </c>
      <c r="D1679" s="51">
        <v>6474</v>
      </c>
      <c r="E1679" s="51">
        <v>122772</v>
      </c>
      <c r="F1679" s="52">
        <v>15509</v>
      </c>
      <c r="G1679" s="53">
        <v>12.632358999999999</v>
      </c>
    </row>
    <row r="1680" spans="1:7">
      <c r="A1680" s="50" t="s">
        <v>864</v>
      </c>
      <c r="B1680" s="50" t="s">
        <v>62</v>
      </c>
      <c r="C1680" s="50" t="s">
        <v>240</v>
      </c>
      <c r="D1680" s="51">
        <v>8021</v>
      </c>
      <c r="E1680" s="51">
        <v>165549</v>
      </c>
      <c r="F1680" s="52">
        <v>19002.5</v>
      </c>
      <c r="G1680" s="53">
        <v>11.478475</v>
      </c>
    </row>
    <row r="1681" spans="1:7">
      <c r="A1681" s="50" t="s">
        <v>865</v>
      </c>
      <c r="B1681" s="50" t="s">
        <v>62</v>
      </c>
      <c r="C1681" s="50" t="s">
        <v>240</v>
      </c>
      <c r="D1681" s="51">
        <v>83541</v>
      </c>
      <c r="E1681" s="51">
        <v>1776192</v>
      </c>
      <c r="F1681" s="52">
        <v>192619</v>
      </c>
      <c r="G1681" s="53">
        <v>10.844492000000001</v>
      </c>
    </row>
    <row r="1682" spans="1:7">
      <c r="A1682" s="50" t="s">
        <v>866</v>
      </c>
      <c r="B1682" s="50" t="s">
        <v>62</v>
      </c>
      <c r="C1682" s="50" t="s">
        <v>240</v>
      </c>
      <c r="D1682" s="51">
        <v>28173</v>
      </c>
      <c r="E1682" s="51">
        <v>496236</v>
      </c>
      <c r="F1682" s="52">
        <v>60160</v>
      </c>
      <c r="G1682" s="53">
        <v>12.123264000000001</v>
      </c>
    </row>
    <row r="1683" spans="1:7">
      <c r="A1683" s="50" t="s">
        <v>867</v>
      </c>
      <c r="B1683" s="50" t="s">
        <v>62</v>
      </c>
      <c r="C1683" s="50" t="s">
        <v>240</v>
      </c>
      <c r="D1683" s="51">
        <v>39374</v>
      </c>
      <c r="E1683" s="51">
        <v>824309</v>
      </c>
      <c r="F1683" s="52">
        <v>94249.7</v>
      </c>
      <c r="G1683" s="53">
        <v>11.433783</v>
      </c>
    </row>
    <row r="1684" spans="1:7">
      <c r="A1684" s="50" t="s">
        <v>868</v>
      </c>
      <c r="B1684" s="50" t="s">
        <v>62</v>
      </c>
      <c r="C1684" s="50" t="s">
        <v>240</v>
      </c>
      <c r="D1684" s="51">
        <v>12826</v>
      </c>
      <c r="E1684" s="51">
        <v>227422</v>
      </c>
      <c r="F1684" s="52">
        <v>28747</v>
      </c>
      <c r="G1684" s="53">
        <v>12.640378</v>
      </c>
    </row>
    <row r="1685" spans="1:7">
      <c r="A1685" s="50" t="s">
        <v>1847</v>
      </c>
      <c r="B1685" s="50" t="s">
        <v>62</v>
      </c>
      <c r="C1685" s="50" t="s">
        <v>237</v>
      </c>
      <c r="D1685" s="51">
        <v>450377</v>
      </c>
      <c r="E1685" s="51">
        <v>13235520</v>
      </c>
      <c r="F1685" s="52">
        <v>1215182.1000000001</v>
      </c>
      <c r="G1685" s="53">
        <v>9.1812191999999992</v>
      </c>
    </row>
    <row r="1686" spans="1:7">
      <c r="A1686" s="50" t="s">
        <v>869</v>
      </c>
      <c r="B1686" s="50" t="s">
        <v>62</v>
      </c>
      <c r="C1686" s="50" t="s">
        <v>242</v>
      </c>
      <c r="D1686" s="51">
        <v>9198</v>
      </c>
      <c r="E1686" s="51">
        <v>272213</v>
      </c>
      <c r="F1686" s="52">
        <v>24447</v>
      </c>
      <c r="G1686" s="53">
        <v>8.9808348999999996</v>
      </c>
    </row>
    <row r="1687" spans="1:7">
      <c r="A1687" s="50" t="s">
        <v>870</v>
      </c>
      <c r="B1687" s="50" t="s">
        <v>62</v>
      </c>
      <c r="C1687" s="50" t="s">
        <v>242</v>
      </c>
      <c r="D1687" s="51">
        <v>3448</v>
      </c>
      <c r="E1687" s="51">
        <v>130663</v>
      </c>
      <c r="F1687" s="52">
        <v>11516</v>
      </c>
      <c r="G1687" s="53">
        <v>8.8135125999999993</v>
      </c>
    </row>
    <row r="1688" spans="1:7">
      <c r="A1688" s="50" t="s">
        <v>871</v>
      </c>
      <c r="B1688" s="50" t="s">
        <v>62</v>
      </c>
      <c r="C1688" s="50" t="s">
        <v>240</v>
      </c>
      <c r="D1688" s="51">
        <v>31964</v>
      </c>
      <c r="E1688" s="51">
        <v>655901</v>
      </c>
      <c r="F1688" s="52">
        <v>75513</v>
      </c>
      <c r="G1688" s="53">
        <v>11.512866000000001</v>
      </c>
    </row>
    <row r="1689" spans="1:7">
      <c r="A1689" s="50" t="s">
        <v>872</v>
      </c>
      <c r="B1689" s="50" t="s">
        <v>62</v>
      </c>
      <c r="C1689" s="50" t="s">
        <v>237</v>
      </c>
      <c r="D1689" s="51">
        <v>188342</v>
      </c>
      <c r="E1689" s="51">
        <v>9608278</v>
      </c>
      <c r="F1689" s="52">
        <v>873190</v>
      </c>
      <c r="G1689" s="53">
        <v>9.0878928000000005</v>
      </c>
    </row>
    <row r="1690" spans="1:7">
      <c r="A1690" s="50" t="s">
        <v>873</v>
      </c>
      <c r="B1690" s="50" t="s">
        <v>62</v>
      </c>
      <c r="C1690" s="50" t="s">
        <v>240</v>
      </c>
      <c r="D1690" s="51">
        <v>11291</v>
      </c>
      <c r="E1690" s="51">
        <v>207694</v>
      </c>
      <c r="F1690" s="52">
        <v>24153</v>
      </c>
      <c r="G1690" s="53">
        <v>11.629127</v>
      </c>
    </row>
    <row r="1691" spans="1:7">
      <c r="A1691" s="50" t="s">
        <v>874</v>
      </c>
      <c r="B1691" s="50" t="s">
        <v>62</v>
      </c>
      <c r="C1691" s="50" t="s">
        <v>240</v>
      </c>
      <c r="D1691" s="51">
        <v>15848</v>
      </c>
      <c r="E1691" s="51">
        <v>318854</v>
      </c>
      <c r="F1691" s="52">
        <v>36567</v>
      </c>
      <c r="G1691" s="53">
        <v>11.468258000000001</v>
      </c>
    </row>
    <row r="1692" spans="1:7">
      <c r="A1692" s="50" t="s">
        <v>875</v>
      </c>
      <c r="B1692" s="50" t="s">
        <v>62</v>
      </c>
      <c r="C1692" s="50" t="s">
        <v>240</v>
      </c>
      <c r="D1692" s="51">
        <v>27116</v>
      </c>
      <c r="E1692" s="51">
        <v>665901</v>
      </c>
      <c r="F1692" s="52">
        <v>69269</v>
      </c>
      <c r="G1692" s="53">
        <v>10.402297000000001</v>
      </c>
    </row>
    <row r="1693" spans="1:7">
      <c r="A1693" s="50" t="s">
        <v>876</v>
      </c>
      <c r="B1693" s="50" t="s">
        <v>62</v>
      </c>
      <c r="C1693" s="50" t="s">
        <v>240</v>
      </c>
      <c r="D1693" s="51">
        <v>32162</v>
      </c>
      <c r="E1693" s="51">
        <v>1066303</v>
      </c>
      <c r="F1693" s="52">
        <v>105069</v>
      </c>
      <c r="G1693" s="53">
        <v>9.8535781999999994</v>
      </c>
    </row>
    <row r="1694" spans="1:7">
      <c r="A1694" s="50" t="s">
        <v>877</v>
      </c>
      <c r="B1694" s="50" t="s">
        <v>62</v>
      </c>
      <c r="C1694" s="50" t="s">
        <v>240</v>
      </c>
      <c r="D1694" s="51">
        <v>50466</v>
      </c>
      <c r="E1694" s="51">
        <v>1039735</v>
      </c>
      <c r="F1694" s="52">
        <v>124295.1</v>
      </c>
      <c r="G1694" s="53">
        <v>11.954497999999999</v>
      </c>
    </row>
    <row r="1695" spans="1:7">
      <c r="A1695" s="50" t="s">
        <v>878</v>
      </c>
      <c r="B1695" s="50" t="s">
        <v>62</v>
      </c>
      <c r="C1695" s="50" t="s">
        <v>240</v>
      </c>
      <c r="D1695" s="51">
        <v>19463</v>
      </c>
      <c r="E1695" s="51">
        <v>425936</v>
      </c>
      <c r="F1695" s="52">
        <v>47817</v>
      </c>
      <c r="G1695" s="53">
        <v>11.226334</v>
      </c>
    </row>
    <row r="1696" spans="1:7">
      <c r="A1696" s="50" t="s">
        <v>879</v>
      </c>
      <c r="B1696" s="50" t="s">
        <v>62</v>
      </c>
      <c r="C1696" s="50" t="s">
        <v>240</v>
      </c>
      <c r="D1696" s="51">
        <v>13826</v>
      </c>
      <c r="E1696" s="51">
        <v>341972</v>
      </c>
      <c r="F1696" s="52">
        <v>32315</v>
      </c>
      <c r="G1696" s="53">
        <v>9.4496041000000002</v>
      </c>
    </row>
    <row r="1697" spans="1:7">
      <c r="A1697" s="50" t="s">
        <v>880</v>
      </c>
      <c r="B1697" s="50" t="s">
        <v>62</v>
      </c>
      <c r="C1697" s="50" t="s">
        <v>242</v>
      </c>
      <c r="D1697" s="51">
        <v>5100</v>
      </c>
      <c r="E1697" s="51">
        <v>112791</v>
      </c>
      <c r="F1697" s="52">
        <v>11000</v>
      </c>
      <c r="G1697" s="53">
        <v>9.7525511999999992</v>
      </c>
    </row>
    <row r="1698" spans="1:7">
      <c r="A1698" s="50" t="s">
        <v>1817</v>
      </c>
      <c r="B1698" s="50" t="s">
        <v>62</v>
      </c>
      <c r="C1698" s="50" t="s">
        <v>240</v>
      </c>
      <c r="D1698" s="51">
        <v>74443</v>
      </c>
      <c r="E1698" s="51">
        <v>1394254</v>
      </c>
      <c r="F1698" s="52">
        <v>150120.5</v>
      </c>
      <c r="G1698" s="53">
        <v>10.767084000000001</v>
      </c>
    </row>
    <row r="1699" spans="1:7">
      <c r="A1699" s="50" t="s">
        <v>1848</v>
      </c>
      <c r="B1699" s="50" t="s">
        <v>62</v>
      </c>
      <c r="C1699" s="50" t="s">
        <v>240</v>
      </c>
      <c r="D1699" s="51">
        <v>68129</v>
      </c>
      <c r="E1699" s="51">
        <v>1856403</v>
      </c>
      <c r="F1699" s="52">
        <v>201755</v>
      </c>
      <c r="G1699" s="53">
        <v>10.86806</v>
      </c>
    </row>
    <row r="1700" spans="1:7">
      <c r="A1700" s="50" t="s">
        <v>881</v>
      </c>
      <c r="B1700" s="50" t="s">
        <v>62</v>
      </c>
      <c r="C1700" s="50" t="s">
        <v>240</v>
      </c>
      <c r="D1700" s="51">
        <v>25140</v>
      </c>
      <c r="E1700" s="51">
        <v>480566</v>
      </c>
      <c r="F1700" s="52">
        <v>55181.3</v>
      </c>
      <c r="G1700" s="53">
        <v>11.482564</v>
      </c>
    </row>
    <row r="1701" spans="1:7">
      <c r="A1701" s="50" t="s">
        <v>882</v>
      </c>
      <c r="B1701" s="50" t="s">
        <v>62</v>
      </c>
      <c r="C1701" s="50" t="s">
        <v>240</v>
      </c>
      <c r="D1701" s="51">
        <v>27543</v>
      </c>
      <c r="E1701" s="51">
        <v>658734</v>
      </c>
      <c r="F1701" s="52">
        <v>71886</v>
      </c>
      <c r="G1701" s="53">
        <v>10.912751</v>
      </c>
    </row>
    <row r="1702" spans="1:7">
      <c r="A1702" s="50" t="s">
        <v>294</v>
      </c>
      <c r="B1702" s="50" t="s">
        <v>62</v>
      </c>
      <c r="C1702" s="50" t="s">
        <v>295</v>
      </c>
      <c r="D1702" s="51">
        <v>8</v>
      </c>
      <c r="E1702" s="51">
        <v>4562947</v>
      </c>
      <c r="F1702" s="52">
        <v>160763.1</v>
      </c>
      <c r="G1702" s="53">
        <v>3.5232296000000001</v>
      </c>
    </row>
    <row r="1703" spans="1:7">
      <c r="A1703" s="50" t="s">
        <v>883</v>
      </c>
      <c r="B1703" s="50" t="s">
        <v>62</v>
      </c>
      <c r="C1703" s="50" t="s">
        <v>240</v>
      </c>
      <c r="D1703" s="51">
        <v>13823</v>
      </c>
      <c r="E1703" s="51">
        <v>339783</v>
      </c>
      <c r="F1703" s="52">
        <v>36012</v>
      </c>
      <c r="G1703" s="53">
        <v>10.598528999999999</v>
      </c>
    </row>
    <row r="1704" spans="1:7">
      <c r="A1704" s="50" t="s">
        <v>884</v>
      </c>
      <c r="B1704" s="50" t="s">
        <v>62</v>
      </c>
      <c r="C1704" s="50" t="s">
        <v>240</v>
      </c>
      <c r="D1704" s="51">
        <v>13515</v>
      </c>
      <c r="E1704" s="51">
        <v>281284</v>
      </c>
      <c r="F1704" s="52">
        <v>30835</v>
      </c>
      <c r="G1704" s="53">
        <v>10.96223</v>
      </c>
    </row>
    <row r="1705" spans="1:7">
      <c r="A1705" s="50" t="s">
        <v>885</v>
      </c>
      <c r="B1705" s="50" t="s">
        <v>62</v>
      </c>
      <c r="C1705" s="50" t="s">
        <v>240</v>
      </c>
      <c r="D1705" s="51">
        <v>43946</v>
      </c>
      <c r="E1705" s="51">
        <v>1123945</v>
      </c>
      <c r="F1705" s="52">
        <v>115625</v>
      </c>
      <c r="G1705" s="53">
        <v>10.287425000000001</v>
      </c>
    </row>
    <row r="1706" spans="1:7">
      <c r="A1706" s="50" t="s">
        <v>886</v>
      </c>
      <c r="B1706" s="50" t="s">
        <v>62</v>
      </c>
      <c r="C1706" s="50" t="s">
        <v>240</v>
      </c>
      <c r="D1706" s="51">
        <v>12081</v>
      </c>
      <c r="E1706" s="51">
        <v>197394</v>
      </c>
      <c r="F1706" s="52">
        <v>29929.200000000001</v>
      </c>
      <c r="G1706" s="53">
        <v>15.162163</v>
      </c>
    </row>
    <row r="1707" spans="1:7">
      <c r="A1707" s="50" t="s">
        <v>887</v>
      </c>
      <c r="B1707" s="50" t="s">
        <v>62</v>
      </c>
      <c r="C1707" s="50" t="s">
        <v>240</v>
      </c>
      <c r="D1707" s="51">
        <v>10339</v>
      </c>
      <c r="E1707" s="51">
        <v>586652</v>
      </c>
      <c r="F1707" s="52">
        <v>50114</v>
      </c>
      <c r="G1707" s="53">
        <v>8.5423726999999996</v>
      </c>
    </row>
    <row r="1708" spans="1:7">
      <c r="A1708" s="50" t="s">
        <v>550</v>
      </c>
      <c r="B1708" s="50" t="s">
        <v>67</v>
      </c>
      <c r="C1708" s="50" t="s">
        <v>237</v>
      </c>
      <c r="D1708" s="51">
        <v>31</v>
      </c>
      <c r="E1708" s="51">
        <v>1023</v>
      </c>
      <c r="F1708" s="52">
        <v>93.4</v>
      </c>
      <c r="G1708" s="53">
        <v>9.1300097999999998</v>
      </c>
    </row>
    <row r="1709" spans="1:7">
      <c r="A1709" s="50" t="s">
        <v>888</v>
      </c>
      <c r="B1709" s="50" t="s">
        <v>67</v>
      </c>
      <c r="C1709" s="50" t="s">
        <v>240</v>
      </c>
      <c r="D1709" s="51">
        <v>5775</v>
      </c>
      <c r="E1709" s="51">
        <v>63238</v>
      </c>
      <c r="F1709" s="52">
        <v>7969.4</v>
      </c>
      <c r="G1709" s="53">
        <v>12.602233</v>
      </c>
    </row>
    <row r="1710" spans="1:7">
      <c r="A1710" s="50" t="s">
        <v>1849</v>
      </c>
      <c r="B1710" s="50" t="s">
        <v>67</v>
      </c>
      <c r="C1710" s="50" t="s">
        <v>240</v>
      </c>
      <c r="D1710" s="51">
        <v>2034</v>
      </c>
      <c r="E1710" s="51">
        <v>30117</v>
      </c>
      <c r="F1710" s="52">
        <v>3754.9</v>
      </c>
      <c r="G1710" s="53">
        <v>12.467708999999999</v>
      </c>
    </row>
    <row r="1711" spans="1:7">
      <c r="A1711" s="50" t="s">
        <v>889</v>
      </c>
      <c r="B1711" s="50" t="s">
        <v>67</v>
      </c>
      <c r="C1711" s="50" t="s">
        <v>240</v>
      </c>
      <c r="D1711" s="51">
        <v>3642</v>
      </c>
      <c r="E1711" s="51">
        <v>57723</v>
      </c>
      <c r="F1711" s="52">
        <v>6885.7</v>
      </c>
      <c r="G1711" s="53">
        <v>11.928867</v>
      </c>
    </row>
    <row r="1712" spans="1:7">
      <c r="A1712" s="50" t="s">
        <v>890</v>
      </c>
      <c r="B1712" s="50" t="s">
        <v>67</v>
      </c>
      <c r="C1712" s="50" t="s">
        <v>240</v>
      </c>
      <c r="D1712" s="51">
        <v>68</v>
      </c>
      <c r="E1712" s="51">
        <v>20190</v>
      </c>
      <c r="F1712" s="52">
        <v>2339</v>
      </c>
      <c r="G1712" s="53">
        <v>11.584943000000001</v>
      </c>
    </row>
    <row r="1713" spans="1:7">
      <c r="A1713" s="50" t="s">
        <v>891</v>
      </c>
      <c r="B1713" s="50" t="s">
        <v>67</v>
      </c>
      <c r="C1713" s="50" t="s">
        <v>237</v>
      </c>
      <c r="D1713" s="51">
        <v>41</v>
      </c>
      <c r="E1713" s="51">
        <v>137021</v>
      </c>
      <c r="F1713" s="52">
        <v>9306.6</v>
      </c>
      <c r="G1713" s="53">
        <v>6.7920976</v>
      </c>
    </row>
    <row r="1714" spans="1:7">
      <c r="A1714" s="50" t="s">
        <v>1850</v>
      </c>
      <c r="B1714" s="50" t="s">
        <v>67</v>
      </c>
      <c r="C1714" s="50" t="s">
        <v>242</v>
      </c>
      <c r="D1714" s="51">
        <v>1034</v>
      </c>
      <c r="E1714" s="51">
        <v>16770</v>
      </c>
      <c r="F1714" s="52">
        <v>1157</v>
      </c>
      <c r="G1714" s="53">
        <v>6.8992247999999998</v>
      </c>
    </row>
    <row r="1715" spans="1:7">
      <c r="A1715" s="50" t="s">
        <v>553</v>
      </c>
      <c r="B1715" s="50" t="s">
        <v>67</v>
      </c>
      <c r="C1715" s="50" t="s">
        <v>240</v>
      </c>
      <c r="D1715" s="51">
        <v>1999</v>
      </c>
      <c r="E1715" s="51">
        <v>52860</v>
      </c>
      <c r="F1715" s="52">
        <v>4804</v>
      </c>
      <c r="G1715" s="53">
        <v>9.0881574000000001</v>
      </c>
    </row>
    <row r="1716" spans="1:7">
      <c r="A1716" s="50" t="s">
        <v>892</v>
      </c>
      <c r="B1716" s="50" t="s">
        <v>67</v>
      </c>
      <c r="C1716" s="50" t="s">
        <v>240</v>
      </c>
      <c r="D1716" s="51">
        <v>6496</v>
      </c>
      <c r="E1716" s="51">
        <v>247670</v>
      </c>
      <c r="F1716" s="52">
        <v>26597.3</v>
      </c>
      <c r="G1716" s="53">
        <v>10.739008</v>
      </c>
    </row>
    <row r="1717" spans="1:7">
      <c r="A1717" s="50" t="s">
        <v>893</v>
      </c>
      <c r="B1717" s="50" t="s">
        <v>67</v>
      </c>
      <c r="C1717" s="50" t="s">
        <v>240</v>
      </c>
      <c r="D1717" s="51">
        <v>68218</v>
      </c>
      <c r="E1717" s="51">
        <v>1457797</v>
      </c>
      <c r="F1717" s="52">
        <v>120262.6</v>
      </c>
      <c r="G1717" s="53">
        <v>8.2496123000000008</v>
      </c>
    </row>
    <row r="1718" spans="1:7">
      <c r="A1718" s="50" t="s">
        <v>894</v>
      </c>
      <c r="B1718" s="50" t="s">
        <v>67</v>
      </c>
      <c r="C1718" s="50" t="s">
        <v>240</v>
      </c>
      <c r="D1718" s="51">
        <v>7758</v>
      </c>
      <c r="E1718" s="51">
        <v>174811</v>
      </c>
      <c r="F1718" s="52">
        <v>15774.4</v>
      </c>
      <c r="G1718" s="53">
        <v>9.0236883999999993</v>
      </c>
    </row>
    <row r="1719" spans="1:7">
      <c r="A1719" s="50" t="s">
        <v>1851</v>
      </c>
      <c r="B1719" s="50" t="s">
        <v>67</v>
      </c>
      <c r="C1719" s="50" t="s">
        <v>240</v>
      </c>
      <c r="D1719" s="51">
        <v>817</v>
      </c>
      <c r="E1719" s="51">
        <v>27240</v>
      </c>
      <c r="F1719" s="52">
        <v>2797</v>
      </c>
      <c r="G1719" s="53">
        <v>10.267988000000001</v>
      </c>
    </row>
    <row r="1720" spans="1:7">
      <c r="A1720" s="50" t="s">
        <v>895</v>
      </c>
      <c r="B1720" s="50" t="s">
        <v>67</v>
      </c>
      <c r="C1720" s="50" t="s">
        <v>240</v>
      </c>
      <c r="D1720" s="51">
        <v>13</v>
      </c>
      <c r="E1720" s="51">
        <v>124</v>
      </c>
      <c r="F1720" s="52">
        <v>15.5</v>
      </c>
      <c r="G1720" s="53">
        <v>12.5</v>
      </c>
    </row>
    <row r="1721" spans="1:7">
      <c r="A1721" s="50" t="s">
        <v>896</v>
      </c>
      <c r="B1721" s="50" t="s">
        <v>67</v>
      </c>
      <c r="C1721" s="50" t="s">
        <v>240</v>
      </c>
      <c r="D1721" s="51">
        <v>3846</v>
      </c>
      <c r="E1721" s="51">
        <v>167697</v>
      </c>
      <c r="F1721" s="52">
        <v>16353.6</v>
      </c>
      <c r="G1721" s="53">
        <v>9.7518738999999997</v>
      </c>
    </row>
    <row r="1722" spans="1:7">
      <c r="A1722" s="50" t="s">
        <v>897</v>
      </c>
      <c r="B1722" s="50" t="s">
        <v>67</v>
      </c>
      <c r="C1722" s="50" t="s">
        <v>240</v>
      </c>
      <c r="D1722" s="51">
        <v>6063</v>
      </c>
      <c r="E1722" s="51">
        <v>120428</v>
      </c>
      <c r="F1722" s="52">
        <v>11717</v>
      </c>
      <c r="G1722" s="53">
        <v>9.7294649</v>
      </c>
    </row>
    <row r="1723" spans="1:7">
      <c r="A1723" s="50" t="s">
        <v>898</v>
      </c>
      <c r="B1723" s="50" t="s">
        <v>67</v>
      </c>
      <c r="C1723" s="50" t="s">
        <v>240</v>
      </c>
      <c r="D1723" s="51">
        <v>5076</v>
      </c>
      <c r="E1723" s="51">
        <v>208735</v>
      </c>
      <c r="F1723" s="52">
        <v>21460</v>
      </c>
      <c r="G1723" s="53">
        <v>10.280977999999999</v>
      </c>
    </row>
    <row r="1724" spans="1:7">
      <c r="A1724" s="50" t="s">
        <v>899</v>
      </c>
      <c r="B1724" s="50" t="s">
        <v>67</v>
      </c>
      <c r="C1724" s="50" t="s">
        <v>240</v>
      </c>
      <c r="D1724" s="51">
        <v>3820</v>
      </c>
      <c r="E1724" s="51">
        <v>79762</v>
      </c>
      <c r="F1724" s="52">
        <v>6976</v>
      </c>
      <c r="G1724" s="53">
        <v>8.7460193999999998</v>
      </c>
    </row>
    <row r="1725" spans="1:7">
      <c r="A1725" s="50" t="s">
        <v>900</v>
      </c>
      <c r="B1725" s="50" t="s">
        <v>67</v>
      </c>
      <c r="C1725" s="50" t="s">
        <v>240</v>
      </c>
      <c r="D1725" s="51">
        <v>5316</v>
      </c>
      <c r="E1725" s="51">
        <v>70916</v>
      </c>
      <c r="F1725" s="52">
        <v>9356.2000000000007</v>
      </c>
      <c r="G1725" s="53">
        <v>13.193356</v>
      </c>
    </row>
    <row r="1726" spans="1:7">
      <c r="A1726" s="50" t="s">
        <v>901</v>
      </c>
      <c r="B1726" s="50" t="s">
        <v>67</v>
      </c>
      <c r="C1726" s="50" t="s">
        <v>240</v>
      </c>
      <c r="D1726" s="51">
        <v>116</v>
      </c>
      <c r="E1726" s="51">
        <v>706</v>
      </c>
      <c r="F1726" s="52">
        <v>79.7</v>
      </c>
      <c r="G1726" s="53">
        <v>11.288952</v>
      </c>
    </row>
    <row r="1727" spans="1:7">
      <c r="A1727" s="50" t="s">
        <v>902</v>
      </c>
      <c r="B1727" s="50" t="s">
        <v>67</v>
      </c>
      <c r="C1727" s="50" t="s">
        <v>240</v>
      </c>
      <c r="D1727" s="51">
        <v>2026</v>
      </c>
      <c r="E1727" s="51">
        <v>25227</v>
      </c>
      <c r="F1727" s="52">
        <v>3465.6</v>
      </c>
      <c r="G1727" s="53">
        <v>13.737662</v>
      </c>
    </row>
    <row r="1728" spans="1:7">
      <c r="A1728" s="50" t="s">
        <v>557</v>
      </c>
      <c r="B1728" s="50" t="s">
        <v>67</v>
      </c>
      <c r="C1728" s="50" t="s">
        <v>240</v>
      </c>
      <c r="D1728" s="51">
        <v>15335</v>
      </c>
      <c r="E1728" s="51">
        <v>233871</v>
      </c>
      <c r="F1728" s="52">
        <v>22767.5</v>
      </c>
      <c r="G1728" s="53">
        <v>9.7350676000000007</v>
      </c>
    </row>
    <row r="1729" spans="1:7">
      <c r="A1729" s="50" t="s">
        <v>903</v>
      </c>
      <c r="B1729" s="50" t="s">
        <v>67</v>
      </c>
      <c r="C1729" s="50" t="s">
        <v>237</v>
      </c>
      <c r="D1729" s="51">
        <v>25629</v>
      </c>
      <c r="E1729" s="51">
        <v>781667</v>
      </c>
      <c r="F1729" s="52">
        <v>67712</v>
      </c>
      <c r="G1729" s="53">
        <v>8.6625122999999995</v>
      </c>
    </row>
    <row r="1730" spans="1:7">
      <c r="A1730" s="50" t="s">
        <v>1852</v>
      </c>
      <c r="B1730" s="50" t="s">
        <v>67</v>
      </c>
      <c r="C1730" s="50" t="s">
        <v>240</v>
      </c>
      <c r="D1730" s="51">
        <v>3436</v>
      </c>
      <c r="E1730" s="51">
        <v>50898</v>
      </c>
      <c r="F1730" s="52">
        <v>7383.5</v>
      </c>
      <c r="G1730" s="53">
        <v>14.506463999999999</v>
      </c>
    </row>
    <row r="1731" spans="1:7">
      <c r="A1731" s="50" t="s">
        <v>904</v>
      </c>
      <c r="B1731" s="50" t="s">
        <v>67</v>
      </c>
      <c r="C1731" s="50" t="s">
        <v>237</v>
      </c>
      <c r="D1731" s="51">
        <v>376984</v>
      </c>
      <c r="E1731" s="51">
        <v>6070325</v>
      </c>
      <c r="F1731" s="52">
        <v>706905.7</v>
      </c>
      <c r="G1731" s="53">
        <v>11.645269000000001</v>
      </c>
    </row>
    <row r="1732" spans="1:7">
      <c r="A1732" s="50" t="s">
        <v>558</v>
      </c>
      <c r="B1732" s="50" t="s">
        <v>67</v>
      </c>
      <c r="C1732" s="50" t="s">
        <v>240</v>
      </c>
      <c r="D1732" s="51">
        <v>4613</v>
      </c>
      <c r="E1732" s="51">
        <v>56592</v>
      </c>
      <c r="F1732" s="52">
        <v>6654</v>
      </c>
      <c r="G1732" s="53">
        <v>11.757846000000001</v>
      </c>
    </row>
    <row r="1733" spans="1:7">
      <c r="A1733" s="50" t="s">
        <v>905</v>
      </c>
      <c r="B1733" s="50" t="s">
        <v>67</v>
      </c>
      <c r="C1733" s="50" t="s">
        <v>240</v>
      </c>
      <c r="D1733" s="51">
        <v>6178</v>
      </c>
      <c r="E1733" s="51">
        <v>180221</v>
      </c>
      <c r="F1733" s="52">
        <v>15275.1</v>
      </c>
      <c r="G1733" s="53">
        <v>8.4757602999999992</v>
      </c>
    </row>
    <row r="1734" spans="1:7">
      <c r="A1734" s="50" t="s">
        <v>1853</v>
      </c>
      <c r="B1734" s="50" t="s">
        <v>67</v>
      </c>
      <c r="C1734" s="50" t="s">
        <v>240</v>
      </c>
      <c r="D1734" s="51">
        <v>175</v>
      </c>
      <c r="E1734" s="51">
        <v>97020</v>
      </c>
      <c r="F1734" s="52">
        <v>6489.5</v>
      </c>
      <c r="G1734" s="53">
        <v>6.6888269999999999</v>
      </c>
    </row>
    <row r="1735" spans="1:7">
      <c r="A1735" s="50" t="s">
        <v>906</v>
      </c>
      <c r="B1735" s="50" t="s">
        <v>67</v>
      </c>
      <c r="C1735" s="50" t="s">
        <v>240</v>
      </c>
      <c r="D1735" s="51">
        <v>10837</v>
      </c>
      <c r="E1735" s="51">
        <v>163895</v>
      </c>
      <c r="F1735" s="52">
        <v>16043.1</v>
      </c>
      <c r="G1735" s="53">
        <v>9.7886451999999995</v>
      </c>
    </row>
    <row r="1736" spans="1:7">
      <c r="A1736" s="50" t="s">
        <v>907</v>
      </c>
      <c r="B1736" s="50" t="s">
        <v>67</v>
      </c>
      <c r="C1736" s="50" t="s">
        <v>240</v>
      </c>
      <c r="D1736" s="51">
        <v>3680</v>
      </c>
      <c r="E1736" s="51">
        <v>107784</v>
      </c>
      <c r="F1736" s="52">
        <v>13604</v>
      </c>
      <c r="G1736" s="53">
        <v>12.621539</v>
      </c>
    </row>
    <row r="1737" spans="1:7">
      <c r="A1737" s="50" t="s">
        <v>1854</v>
      </c>
      <c r="B1737" s="50" t="s">
        <v>67</v>
      </c>
      <c r="C1737" s="50" t="s">
        <v>240</v>
      </c>
      <c r="D1737" s="51">
        <v>2090</v>
      </c>
      <c r="E1737" s="51">
        <v>60145</v>
      </c>
      <c r="F1737" s="52">
        <v>6885</v>
      </c>
      <c r="G1737" s="53">
        <v>11.447336</v>
      </c>
    </row>
    <row r="1738" spans="1:7">
      <c r="A1738" s="50" t="s">
        <v>908</v>
      </c>
      <c r="B1738" s="50" t="s">
        <v>67</v>
      </c>
      <c r="C1738" s="50" t="s">
        <v>240</v>
      </c>
      <c r="D1738" s="51">
        <v>5913</v>
      </c>
      <c r="E1738" s="51">
        <v>93704</v>
      </c>
      <c r="F1738" s="52">
        <v>11250.3</v>
      </c>
      <c r="G1738" s="53">
        <v>12.006211</v>
      </c>
    </row>
    <row r="1739" spans="1:7">
      <c r="A1739" s="50" t="s">
        <v>909</v>
      </c>
      <c r="B1739" s="50" t="s">
        <v>67</v>
      </c>
      <c r="C1739" s="50" t="s">
        <v>240</v>
      </c>
      <c r="D1739" s="51">
        <v>5035</v>
      </c>
      <c r="E1739" s="51">
        <v>96983</v>
      </c>
      <c r="F1739" s="52">
        <v>12794</v>
      </c>
      <c r="G1739" s="53">
        <v>13.192003</v>
      </c>
    </row>
    <row r="1740" spans="1:7">
      <c r="A1740" s="50" t="s">
        <v>910</v>
      </c>
      <c r="B1740" s="50" t="s">
        <v>67</v>
      </c>
      <c r="C1740" s="50" t="s">
        <v>295</v>
      </c>
      <c r="D1740" s="51">
        <v>21477</v>
      </c>
      <c r="E1740" s="51">
        <v>396666</v>
      </c>
      <c r="F1740" s="52">
        <v>25901</v>
      </c>
      <c r="G1740" s="53">
        <v>6.5296747999999996</v>
      </c>
    </row>
    <row r="1741" spans="1:7">
      <c r="A1741" s="50" t="s">
        <v>561</v>
      </c>
      <c r="B1741" s="50" t="s">
        <v>67</v>
      </c>
      <c r="C1741" s="50" t="s">
        <v>240</v>
      </c>
      <c r="D1741" s="51">
        <v>10178</v>
      </c>
      <c r="E1741" s="51">
        <v>174855</v>
      </c>
      <c r="F1741" s="52">
        <v>14027</v>
      </c>
      <c r="G1741" s="53">
        <v>8.0220754000000003</v>
      </c>
    </row>
    <row r="1742" spans="1:7">
      <c r="A1742" s="50" t="s">
        <v>357</v>
      </c>
      <c r="B1742" s="50" t="s">
        <v>67</v>
      </c>
      <c r="C1742" s="50" t="s">
        <v>295</v>
      </c>
      <c r="D1742" s="51">
        <v>15</v>
      </c>
      <c r="E1742" s="51">
        <v>121281</v>
      </c>
      <c r="F1742" s="52">
        <v>2421.4</v>
      </c>
      <c r="G1742" s="53">
        <v>1.9965204999999999</v>
      </c>
    </row>
    <row r="1743" spans="1:7">
      <c r="A1743" s="50" t="s">
        <v>1855</v>
      </c>
      <c r="B1743" s="50" t="s">
        <v>67</v>
      </c>
      <c r="C1743" s="50" t="s">
        <v>240</v>
      </c>
      <c r="D1743" s="51">
        <v>20588</v>
      </c>
      <c r="E1743" s="51">
        <v>284044</v>
      </c>
      <c r="F1743" s="52">
        <v>35342</v>
      </c>
      <c r="G1743" s="53">
        <v>12.442437999999999</v>
      </c>
    </row>
    <row r="1744" spans="1:7">
      <c r="A1744" s="50" t="s">
        <v>911</v>
      </c>
      <c r="B1744" s="50" t="s">
        <v>85</v>
      </c>
      <c r="C1744" s="50" t="s">
        <v>240</v>
      </c>
      <c r="D1744" s="51">
        <v>13079</v>
      </c>
      <c r="E1744" s="51">
        <v>219383</v>
      </c>
      <c r="F1744" s="52">
        <v>29768</v>
      </c>
      <c r="G1744" s="53">
        <v>13.568963999999999</v>
      </c>
    </row>
    <row r="1745" spans="1:7">
      <c r="A1745" s="50" t="s">
        <v>912</v>
      </c>
      <c r="B1745" s="50" t="s">
        <v>85</v>
      </c>
      <c r="C1745" s="50" t="s">
        <v>240</v>
      </c>
      <c r="D1745" s="51">
        <v>76823</v>
      </c>
      <c r="E1745" s="51">
        <v>1100595</v>
      </c>
      <c r="F1745" s="52">
        <v>122264</v>
      </c>
      <c r="G1745" s="53">
        <v>11.1089</v>
      </c>
    </row>
    <row r="1746" spans="1:7">
      <c r="A1746" s="50" t="s">
        <v>473</v>
      </c>
      <c r="B1746" s="50" t="s">
        <v>85</v>
      </c>
      <c r="C1746" s="50" t="s">
        <v>240</v>
      </c>
      <c r="D1746" s="51">
        <v>18167</v>
      </c>
      <c r="E1746" s="51">
        <v>201983</v>
      </c>
      <c r="F1746" s="52">
        <v>27127</v>
      </c>
      <c r="G1746" s="53">
        <v>13.430338000000001</v>
      </c>
    </row>
    <row r="1747" spans="1:7">
      <c r="A1747" s="50" t="s">
        <v>913</v>
      </c>
      <c r="B1747" s="50" t="s">
        <v>85</v>
      </c>
      <c r="C1747" s="50" t="s">
        <v>240</v>
      </c>
      <c r="D1747" s="51">
        <v>431</v>
      </c>
      <c r="E1747" s="51">
        <v>5998</v>
      </c>
      <c r="F1747" s="52">
        <v>857.3</v>
      </c>
      <c r="G1747" s="53">
        <v>14.293098000000001</v>
      </c>
    </row>
    <row r="1748" spans="1:7">
      <c r="A1748" s="50" t="s">
        <v>914</v>
      </c>
      <c r="B1748" s="50" t="s">
        <v>85</v>
      </c>
      <c r="C1748" s="50" t="s">
        <v>240</v>
      </c>
      <c r="D1748" s="51">
        <v>95216</v>
      </c>
      <c r="E1748" s="51">
        <v>1405438</v>
      </c>
      <c r="F1748" s="52">
        <v>176074</v>
      </c>
      <c r="G1748" s="53">
        <v>12.528052000000001</v>
      </c>
    </row>
    <row r="1749" spans="1:7">
      <c r="A1749" s="50" t="s">
        <v>915</v>
      </c>
      <c r="B1749" s="50" t="s">
        <v>85</v>
      </c>
      <c r="C1749" s="50" t="s">
        <v>240</v>
      </c>
      <c r="D1749" s="51">
        <v>7770</v>
      </c>
      <c r="E1749" s="51">
        <v>131659</v>
      </c>
      <c r="F1749" s="52">
        <v>19384</v>
      </c>
      <c r="G1749" s="53">
        <v>14.722882999999999</v>
      </c>
    </row>
    <row r="1750" spans="1:7">
      <c r="A1750" s="50" t="s">
        <v>916</v>
      </c>
      <c r="B1750" s="50" t="s">
        <v>85</v>
      </c>
      <c r="C1750" s="50" t="s">
        <v>240</v>
      </c>
      <c r="D1750" s="51">
        <v>40589</v>
      </c>
      <c r="E1750" s="51">
        <v>594969</v>
      </c>
      <c r="F1750" s="52">
        <v>68538</v>
      </c>
      <c r="G1750" s="53">
        <v>11.519591999999999</v>
      </c>
    </row>
    <row r="1751" spans="1:7">
      <c r="A1751" s="50" t="s">
        <v>917</v>
      </c>
      <c r="B1751" s="50" t="s">
        <v>85</v>
      </c>
      <c r="C1751" s="50" t="s">
        <v>240</v>
      </c>
      <c r="D1751" s="51">
        <v>23098</v>
      </c>
      <c r="E1751" s="51">
        <v>428558</v>
      </c>
      <c r="F1751" s="52">
        <v>53462</v>
      </c>
      <c r="G1751" s="53">
        <v>12.474857999999999</v>
      </c>
    </row>
    <row r="1752" spans="1:7">
      <c r="A1752" s="50" t="s">
        <v>918</v>
      </c>
      <c r="B1752" s="50" t="s">
        <v>85</v>
      </c>
      <c r="C1752" s="50" t="s">
        <v>242</v>
      </c>
      <c r="D1752" s="51">
        <v>12072</v>
      </c>
      <c r="E1752" s="51">
        <v>282568</v>
      </c>
      <c r="F1752" s="52">
        <v>32014.1</v>
      </c>
      <c r="G1752" s="53">
        <v>11.329698</v>
      </c>
    </row>
    <row r="1753" spans="1:7">
      <c r="A1753" s="50" t="s">
        <v>1856</v>
      </c>
      <c r="B1753" s="50" t="s">
        <v>85</v>
      </c>
      <c r="C1753" s="50" t="s">
        <v>242</v>
      </c>
      <c r="D1753" s="51">
        <v>2443</v>
      </c>
      <c r="E1753" s="51">
        <v>50727</v>
      </c>
      <c r="F1753" s="52">
        <v>5799</v>
      </c>
      <c r="G1753" s="53">
        <v>11.431782</v>
      </c>
    </row>
    <row r="1754" spans="1:7">
      <c r="A1754" s="50" t="s">
        <v>919</v>
      </c>
      <c r="B1754" s="50" t="s">
        <v>85</v>
      </c>
      <c r="C1754" s="50" t="s">
        <v>242</v>
      </c>
      <c r="D1754" s="51">
        <v>31957</v>
      </c>
      <c r="E1754" s="51">
        <v>925514</v>
      </c>
      <c r="F1754" s="52">
        <v>84151.8</v>
      </c>
      <c r="G1754" s="53">
        <v>9.0924393999999999</v>
      </c>
    </row>
    <row r="1755" spans="1:7">
      <c r="A1755" s="50" t="s">
        <v>920</v>
      </c>
      <c r="B1755" s="50" t="s">
        <v>85</v>
      </c>
      <c r="C1755" s="50" t="s">
        <v>242</v>
      </c>
      <c r="D1755" s="51">
        <v>11870</v>
      </c>
      <c r="E1755" s="51">
        <v>292153</v>
      </c>
      <c r="F1755" s="52">
        <v>30773</v>
      </c>
      <c r="G1755" s="53">
        <v>10.53318</v>
      </c>
    </row>
    <row r="1756" spans="1:7">
      <c r="A1756" s="50" t="s">
        <v>921</v>
      </c>
      <c r="B1756" s="50" t="s">
        <v>85</v>
      </c>
      <c r="C1756" s="50" t="s">
        <v>242</v>
      </c>
      <c r="D1756" s="51">
        <v>28220</v>
      </c>
      <c r="E1756" s="51">
        <v>719019</v>
      </c>
      <c r="F1756" s="52">
        <v>78260</v>
      </c>
      <c r="G1756" s="53">
        <v>10.884274</v>
      </c>
    </row>
    <row r="1757" spans="1:7">
      <c r="A1757" s="50" t="s">
        <v>1857</v>
      </c>
      <c r="B1757" s="50" t="s">
        <v>85</v>
      </c>
      <c r="C1757" s="50" t="s">
        <v>242</v>
      </c>
      <c r="D1757" s="51">
        <v>1314</v>
      </c>
      <c r="E1757" s="51">
        <v>21372</v>
      </c>
      <c r="F1757" s="52">
        <v>4449</v>
      </c>
      <c r="G1757" s="53">
        <v>20.816956999999999</v>
      </c>
    </row>
    <row r="1758" spans="1:7">
      <c r="A1758" s="50" t="s">
        <v>1858</v>
      </c>
      <c r="B1758" s="50" t="s">
        <v>85</v>
      </c>
      <c r="C1758" s="50" t="s">
        <v>242</v>
      </c>
      <c r="D1758" s="51">
        <v>2852</v>
      </c>
      <c r="E1758" s="51">
        <v>43057</v>
      </c>
      <c r="F1758" s="52">
        <v>5426</v>
      </c>
      <c r="G1758" s="53">
        <v>12.601900000000001</v>
      </c>
    </row>
    <row r="1759" spans="1:7">
      <c r="A1759" s="50" t="s">
        <v>922</v>
      </c>
      <c r="B1759" s="50" t="s">
        <v>85</v>
      </c>
      <c r="C1759" s="50" t="s">
        <v>242</v>
      </c>
      <c r="D1759" s="51">
        <v>5022</v>
      </c>
      <c r="E1759" s="51">
        <v>141140</v>
      </c>
      <c r="F1759" s="52">
        <v>13192</v>
      </c>
      <c r="G1759" s="53">
        <v>9.3467479000000004</v>
      </c>
    </row>
    <row r="1760" spans="1:7">
      <c r="A1760" s="50" t="s">
        <v>923</v>
      </c>
      <c r="B1760" s="50" t="s">
        <v>85</v>
      </c>
      <c r="C1760" s="50" t="s">
        <v>242</v>
      </c>
      <c r="D1760" s="51">
        <v>11536</v>
      </c>
      <c r="E1760" s="51">
        <v>445220</v>
      </c>
      <c r="F1760" s="52">
        <v>46761</v>
      </c>
      <c r="G1760" s="53">
        <v>10.502897000000001</v>
      </c>
    </row>
    <row r="1761" spans="1:7">
      <c r="A1761" s="50" t="s">
        <v>924</v>
      </c>
      <c r="B1761" s="50" t="s">
        <v>85</v>
      </c>
      <c r="C1761" s="50" t="s">
        <v>242</v>
      </c>
      <c r="D1761" s="51">
        <v>5552</v>
      </c>
      <c r="E1761" s="51">
        <v>132474</v>
      </c>
      <c r="F1761" s="52">
        <v>13371.2</v>
      </c>
      <c r="G1761" s="53">
        <v>10.093451999999999</v>
      </c>
    </row>
    <row r="1762" spans="1:7">
      <c r="A1762" s="50" t="s">
        <v>925</v>
      </c>
      <c r="B1762" s="50" t="s">
        <v>85</v>
      </c>
      <c r="C1762" s="50" t="s">
        <v>242</v>
      </c>
      <c r="D1762" s="51">
        <v>19026</v>
      </c>
      <c r="E1762" s="51">
        <v>397488</v>
      </c>
      <c r="F1762" s="52">
        <v>49035.3</v>
      </c>
      <c r="G1762" s="53">
        <v>12.336297</v>
      </c>
    </row>
    <row r="1763" spans="1:7">
      <c r="A1763" s="50" t="s">
        <v>1859</v>
      </c>
      <c r="B1763" s="50" t="s">
        <v>85</v>
      </c>
      <c r="C1763" s="50" t="s">
        <v>242</v>
      </c>
      <c r="D1763" s="51">
        <v>3056</v>
      </c>
      <c r="E1763" s="51">
        <v>64929</v>
      </c>
      <c r="F1763" s="52">
        <v>6629</v>
      </c>
      <c r="G1763" s="53">
        <v>10.209614</v>
      </c>
    </row>
    <row r="1764" spans="1:7">
      <c r="A1764" s="50" t="s">
        <v>926</v>
      </c>
      <c r="B1764" s="50" t="s">
        <v>85</v>
      </c>
      <c r="C1764" s="50" t="s">
        <v>242</v>
      </c>
      <c r="D1764" s="51">
        <v>11384</v>
      </c>
      <c r="E1764" s="51">
        <v>265838</v>
      </c>
      <c r="F1764" s="52">
        <v>29304</v>
      </c>
      <c r="G1764" s="53">
        <v>11.023255000000001</v>
      </c>
    </row>
    <row r="1765" spans="1:7">
      <c r="A1765" s="50" t="s">
        <v>927</v>
      </c>
      <c r="B1765" s="50" t="s">
        <v>85</v>
      </c>
      <c r="C1765" s="50" t="s">
        <v>242</v>
      </c>
      <c r="D1765" s="51">
        <v>10996</v>
      </c>
      <c r="E1765" s="51">
        <v>703554</v>
      </c>
      <c r="F1765" s="52">
        <v>61035.6</v>
      </c>
      <c r="G1765" s="53">
        <v>8.6753256000000007</v>
      </c>
    </row>
    <row r="1766" spans="1:7">
      <c r="A1766" s="50" t="s">
        <v>928</v>
      </c>
      <c r="B1766" s="50" t="s">
        <v>85</v>
      </c>
      <c r="C1766" s="50" t="s">
        <v>242</v>
      </c>
      <c r="D1766" s="51">
        <v>8409</v>
      </c>
      <c r="E1766" s="51">
        <v>327457</v>
      </c>
      <c r="F1766" s="52">
        <v>30791.4</v>
      </c>
      <c r="G1766" s="53">
        <v>9.4031888000000006</v>
      </c>
    </row>
    <row r="1767" spans="1:7">
      <c r="A1767" s="50" t="s">
        <v>929</v>
      </c>
      <c r="B1767" s="50" t="s">
        <v>85</v>
      </c>
      <c r="C1767" s="50" t="s">
        <v>242</v>
      </c>
      <c r="D1767" s="51">
        <v>22783</v>
      </c>
      <c r="E1767" s="51">
        <v>453232</v>
      </c>
      <c r="F1767" s="52">
        <v>51168</v>
      </c>
      <c r="G1767" s="53">
        <v>11.289581999999999</v>
      </c>
    </row>
    <row r="1768" spans="1:7">
      <c r="A1768" s="50" t="s">
        <v>930</v>
      </c>
      <c r="B1768" s="50" t="s">
        <v>85</v>
      </c>
      <c r="C1768" s="50" t="s">
        <v>242</v>
      </c>
      <c r="D1768" s="51">
        <v>4740</v>
      </c>
      <c r="E1768" s="51">
        <v>148421</v>
      </c>
      <c r="F1768" s="52">
        <v>15081.8</v>
      </c>
      <c r="G1768" s="53">
        <v>10.1615</v>
      </c>
    </row>
    <row r="1769" spans="1:7">
      <c r="A1769" s="50" t="s">
        <v>1860</v>
      </c>
      <c r="B1769" s="50" t="s">
        <v>85</v>
      </c>
      <c r="C1769" s="50" t="s">
        <v>242</v>
      </c>
      <c r="D1769" s="51">
        <v>982</v>
      </c>
      <c r="E1769" s="51">
        <v>20804</v>
      </c>
      <c r="F1769" s="52">
        <v>2301</v>
      </c>
      <c r="G1769" s="53">
        <v>11.060373</v>
      </c>
    </row>
    <row r="1770" spans="1:7">
      <c r="A1770" s="50" t="s">
        <v>931</v>
      </c>
      <c r="B1770" s="50" t="s">
        <v>85</v>
      </c>
      <c r="C1770" s="50" t="s">
        <v>242</v>
      </c>
      <c r="D1770" s="51">
        <v>28331</v>
      </c>
      <c r="E1770" s="51">
        <v>699987</v>
      </c>
      <c r="F1770" s="52">
        <v>75408</v>
      </c>
      <c r="G1770" s="53">
        <v>10.772771000000001</v>
      </c>
    </row>
    <row r="1771" spans="1:7">
      <c r="A1771" s="50" t="s">
        <v>932</v>
      </c>
      <c r="B1771" s="50" t="s">
        <v>85</v>
      </c>
      <c r="C1771" s="50" t="s">
        <v>242</v>
      </c>
      <c r="D1771" s="51">
        <v>8340</v>
      </c>
      <c r="E1771" s="51">
        <v>190671</v>
      </c>
      <c r="F1771" s="52">
        <v>20078</v>
      </c>
      <c r="G1771" s="53">
        <v>10.53018</v>
      </c>
    </row>
    <row r="1772" spans="1:7">
      <c r="A1772" s="50" t="s">
        <v>1861</v>
      </c>
      <c r="B1772" s="50" t="s">
        <v>85</v>
      </c>
      <c r="C1772" s="50" t="s">
        <v>242</v>
      </c>
      <c r="D1772" s="51">
        <v>3073</v>
      </c>
      <c r="E1772" s="51">
        <v>56550</v>
      </c>
      <c r="F1772" s="52">
        <v>6166.1</v>
      </c>
      <c r="G1772" s="53">
        <v>10.903802000000001</v>
      </c>
    </row>
    <row r="1773" spans="1:7">
      <c r="A1773" s="50" t="s">
        <v>933</v>
      </c>
      <c r="B1773" s="50" t="s">
        <v>85</v>
      </c>
      <c r="C1773" s="50" t="s">
        <v>242</v>
      </c>
      <c r="D1773" s="51">
        <v>13738</v>
      </c>
      <c r="E1773" s="51">
        <v>466672</v>
      </c>
      <c r="F1773" s="52">
        <v>45468.3</v>
      </c>
      <c r="G1773" s="53">
        <v>9.7430958000000008</v>
      </c>
    </row>
    <row r="1774" spans="1:7">
      <c r="A1774" s="50" t="s">
        <v>934</v>
      </c>
      <c r="B1774" s="50" t="s">
        <v>85</v>
      </c>
      <c r="C1774" s="50" t="s">
        <v>242</v>
      </c>
      <c r="D1774" s="51">
        <v>13838</v>
      </c>
      <c r="E1774" s="51">
        <v>270695</v>
      </c>
      <c r="F1774" s="52">
        <v>34156</v>
      </c>
      <c r="G1774" s="53">
        <v>12.617891</v>
      </c>
    </row>
    <row r="1775" spans="1:7">
      <c r="A1775" s="50" t="s">
        <v>935</v>
      </c>
      <c r="B1775" s="50" t="s">
        <v>85</v>
      </c>
      <c r="C1775" s="50" t="s">
        <v>242</v>
      </c>
      <c r="D1775" s="51">
        <v>34908</v>
      </c>
      <c r="E1775" s="51">
        <v>1243394</v>
      </c>
      <c r="F1775" s="52">
        <v>121934.39999999999</v>
      </c>
      <c r="G1775" s="53">
        <v>9.8065777999999995</v>
      </c>
    </row>
    <row r="1776" spans="1:7">
      <c r="A1776" s="50" t="s">
        <v>1862</v>
      </c>
      <c r="B1776" s="50" t="s">
        <v>85</v>
      </c>
      <c r="C1776" s="50" t="s">
        <v>242</v>
      </c>
      <c r="D1776" s="51">
        <v>3100</v>
      </c>
      <c r="E1776" s="51">
        <v>50993</v>
      </c>
      <c r="F1776" s="52">
        <v>6394</v>
      </c>
      <c r="G1776" s="53">
        <v>12.538976</v>
      </c>
    </row>
    <row r="1777" spans="1:7">
      <c r="A1777" s="50" t="s">
        <v>936</v>
      </c>
      <c r="B1777" s="50" t="s">
        <v>85</v>
      </c>
      <c r="C1777" s="50" t="s">
        <v>237</v>
      </c>
      <c r="D1777" s="51">
        <v>2047365</v>
      </c>
      <c r="E1777" s="51">
        <v>58505595</v>
      </c>
      <c r="F1777" s="52">
        <v>4866784.8</v>
      </c>
      <c r="G1777" s="53">
        <v>8.3184947000000005</v>
      </c>
    </row>
    <row r="1778" spans="1:7">
      <c r="A1778" s="50" t="s">
        <v>937</v>
      </c>
      <c r="B1778" s="50" t="s">
        <v>85</v>
      </c>
      <c r="C1778" s="50" t="s">
        <v>237</v>
      </c>
      <c r="D1778" s="51">
        <v>1431264</v>
      </c>
      <c r="E1778" s="51">
        <v>37893975</v>
      </c>
      <c r="F1778" s="52">
        <v>3716933.9</v>
      </c>
      <c r="G1778" s="53">
        <v>9.8087727999999998</v>
      </c>
    </row>
    <row r="1779" spans="1:7">
      <c r="A1779" s="50" t="s">
        <v>938</v>
      </c>
      <c r="B1779" s="50" t="s">
        <v>85</v>
      </c>
      <c r="C1779" s="50" t="s">
        <v>240</v>
      </c>
      <c r="D1779" s="51">
        <v>12065</v>
      </c>
      <c r="E1779" s="51">
        <v>228710</v>
      </c>
      <c r="F1779" s="52">
        <v>28415</v>
      </c>
      <c r="G1779" s="53">
        <v>12.42403</v>
      </c>
    </row>
    <row r="1780" spans="1:7">
      <c r="A1780" s="50" t="s">
        <v>939</v>
      </c>
      <c r="B1780" s="50" t="s">
        <v>85</v>
      </c>
      <c r="C1780" s="50" t="s">
        <v>240</v>
      </c>
      <c r="D1780" s="51">
        <v>130295</v>
      </c>
      <c r="E1780" s="51">
        <v>2685780</v>
      </c>
      <c r="F1780" s="52">
        <v>269489</v>
      </c>
      <c r="G1780" s="53">
        <v>10.033918999999999</v>
      </c>
    </row>
    <row r="1781" spans="1:7">
      <c r="A1781" s="50" t="s">
        <v>940</v>
      </c>
      <c r="B1781" s="50" t="s">
        <v>85</v>
      </c>
      <c r="C1781" s="50" t="s">
        <v>242</v>
      </c>
      <c r="D1781" s="51">
        <v>85342</v>
      </c>
      <c r="E1781" s="51">
        <v>2020855</v>
      </c>
      <c r="F1781" s="52">
        <v>219086</v>
      </c>
      <c r="G1781" s="53">
        <v>10.841253</v>
      </c>
    </row>
    <row r="1782" spans="1:7">
      <c r="A1782" s="50" t="s">
        <v>941</v>
      </c>
      <c r="B1782" s="50" t="s">
        <v>85</v>
      </c>
      <c r="C1782" s="50" t="s">
        <v>240</v>
      </c>
      <c r="D1782" s="51">
        <v>32455</v>
      </c>
      <c r="E1782" s="51">
        <v>968919</v>
      </c>
      <c r="F1782" s="52">
        <v>93367</v>
      </c>
      <c r="G1782" s="53">
        <v>9.6362027999999995</v>
      </c>
    </row>
    <row r="1783" spans="1:7">
      <c r="A1783" s="50" t="s">
        <v>942</v>
      </c>
      <c r="B1783" s="50" t="s">
        <v>85</v>
      </c>
      <c r="C1783" s="50" t="s">
        <v>240</v>
      </c>
      <c r="D1783" s="51">
        <v>37509</v>
      </c>
      <c r="E1783" s="51">
        <v>513322</v>
      </c>
      <c r="F1783" s="52">
        <v>60100.5</v>
      </c>
      <c r="G1783" s="53">
        <v>11.708148</v>
      </c>
    </row>
    <row r="1784" spans="1:7">
      <c r="A1784" s="50" t="s">
        <v>943</v>
      </c>
      <c r="B1784" s="50" t="s">
        <v>85</v>
      </c>
      <c r="C1784" s="50" t="s">
        <v>242</v>
      </c>
      <c r="D1784" s="51">
        <v>68815</v>
      </c>
      <c r="E1784" s="51">
        <v>1776178</v>
      </c>
      <c r="F1784" s="52">
        <v>173618.8</v>
      </c>
      <c r="G1784" s="53">
        <v>9.7748536000000001</v>
      </c>
    </row>
    <row r="1785" spans="1:7">
      <c r="A1785" s="50" t="s">
        <v>944</v>
      </c>
      <c r="B1785" s="50" t="s">
        <v>85</v>
      </c>
      <c r="C1785" s="50" t="s">
        <v>240</v>
      </c>
      <c r="D1785" s="51">
        <v>11763</v>
      </c>
      <c r="E1785" s="51">
        <v>159729</v>
      </c>
      <c r="F1785" s="52">
        <v>23269</v>
      </c>
      <c r="G1785" s="53">
        <v>14.567799000000001</v>
      </c>
    </row>
    <row r="1786" spans="1:7">
      <c r="A1786" s="50" t="s">
        <v>504</v>
      </c>
      <c r="B1786" s="50" t="s">
        <v>85</v>
      </c>
      <c r="C1786" s="50" t="s">
        <v>240</v>
      </c>
      <c r="D1786" s="51">
        <v>27124</v>
      </c>
      <c r="E1786" s="51">
        <v>291977</v>
      </c>
      <c r="F1786" s="52">
        <v>42113</v>
      </c>
      <c r="G1786" s="53">
        <v>14.423396</v>
      </c>
    </row>
    <row r="1787" spans="1:7">
      <c r="A1787" s="50" t="s">
        <v>945</v>
      </c>
      <c r="B1787" s="50" t="s">
        <v>85</v>
      </c>
      <c r="C1787" s="50" t="s">
        <v>240</v>
      </c>
      <c r="D1787" s="51">
        <v>76544</v>
      </c>
      <c r="E1787" s="51">
        <v>1226419</v>
      </c>
      <c r="F1787" s="52">
        <v>138630.6</v>
      </c>
      <c r="G1787" s="53">
        <v>11.30369</v>
      </c>
    </row>
    <row r="1788" spans="1:7">
      <c r="A1788" s="50" t="s">
        <v>946</v>
      </c>
      <c r="B1788" s="50" t="s">
        <v>85</v>
      </c>
      <c r="C1788" s="50" t="s">
        <v>240</v>
      </c>
      <c r="D1788" s="51">
        <v>62240</v>
      </c>
      <c r="E1788" s="51">
        <v>1316720</v>
      </c>
      <c r="F1788" s="52">
        <v>140950.9</v>
      </c>
      <c r="G1788" s="53">
        <v>10.704698</v>
      </c>
    </row>
    <row r="1789" spans="1:7">
      <c r="A1789" s="50" t="s">
        <v>947</v>
      </c>
      <c r="B1789" s="50" t="s">
        <v>85</v>
      </c>
      <c r="C1789" s="50" t="s">
        <v>240</v>
      </c>
      <c r="D1789" s="51">
        <v>133</v>
      </c>
      <c r="E1789" s="51">
        <v>1770</v>
      </c>
      <c r="F1789" s="52">
        <v>238.3</v>
      </c>
      <c r="G1789" s="53">
        <v>13.463277</v>
      </c>
    </row>
    <row r="1790" spans="1:7">
      <c r="A1790" s="50" t="s">
        <v>948</v>
      </c>
      <c r="B1790" s="50" t="s">
        <v>85</v>
      </c>
      <c r="C1790" s="50" t="s">
        <v>240</v>
      </c>
      <c r="D1790" s="51">
        <v>18995</v>
      </c>
      <c r="E1790" s="51">
        <v>260679</v>
      </c>
      <c r="F1790" s="52">
        <v>29667</v>
      </c>
      <c r="G1790" s="53">
        <v>11.380663999999999</v>
      </c>
    </row>
    <row r="1791" spans="1:7">
      <c r="A1791" s="50" t="s">
        <v>949</v>
      </c>
      <c r="B1791" s="50" t="s">
        <v>85</v>
      </c>
      <c r="C1791" s="50" t="s">
        <v>2</v>
      </c>
      <c r="D1791" s="51">
        <v>8356</v>
      </c>
      <c r="E1791" s="51">
        <v>208448</v>
      </c>
      <c r="F1791" s="52">
        <v>18802.2</v>
      </c>
      <c r="G1791" s="53">
        <v>9.0200913000000007</v>
      </c>
    </row>
    <row r="1792" spans="1:7">
      <c r="A1792" s="50" t="s">
        <v>950</v>
      </c>
      <c r="B1792" s="50" t="s">
        <v>85</v>
      </c>
      <c r="C1792" s="50" t="s">
        <v>240</v>
      </c>
      <c r="D1792" s="51">
        <v>21110</v>
      </c>
      <c r="E1792" s="51">
        <v>389641</v>
      </c>
      <c r="F1792" s="52">
        <v>45379.4</v>
      </c>
      <c r="G1792" s="53">
        <v>11.646464</v>
      </c>
    </row>
    <row r="1793" spans="1:7">
      <c r="A1793" s="50" t="s">
        <v>951</v>
      </c>
      <c r="B1793" s="50" t="s">
        <v>85</v>
      </c>
      <c r="C1793" s="50" t="s">
        <v>240</v>
      </c>
      <c r="D1793" s="51">
        <v>32534</v>
      </c>
      <c r="E1793" s="51">
        <v>488011</v>
      </c>
      <c r="F1793" s="52">
        <v>62377</v>
      </c>
      <c r="G1793" s="53">
        <v>12.781884</v>
      </c>
    </row>
    <row r="1794" spans="1:7">
      <c r="A1794" s="50" t="s">
        <v>952</v>
      </c>
      <c r="B1794" s="50" t="s">
        <v>85</v>
      </c>
      <c r="C1794" s="50" t="s">
        <v>240</v>
      </c>
      <c r="D1794" s="51">
        <v>8829</v>
      </c>
      <c r="E1794" s="51">
        <v>188621</v>
      </c>
      <c r="F1794" s="52">
        <v>22309.200000000001</v>
      </c>
      <c r="G1794" s="53">
        <v>11.827527</v>
      </c>
    </row>
    <row r="1795" spans="1:7">
      <c r="A1795" s="50" t="s">
        <v>953</v>
      </c>
      <c r="B1795" s="50" t="s">
        <v>85</v>
      </c>
      <c r="C1795" s="50" t="s">
        <v>240</v>
      </c>
      <c r="D1795" s="51">
        <v>32223</v>
      </c>
      <c r="E1795" s="51">
        <v>516382</v>
      </c>
      <c r="F1795" s="52">
        <v>66394.7</v>
      </c>
      <c r="G1795" s="53">
        <v>12.857671</v>
      </c>
    </row>
    <row r="1796" spans="1:7">
      <c r="A1796" s="50" t="s">
        <v>954</v>
      </c>
      <c r="B1796" s="50" t="s">
        <v>85</v>
      </c>
      <c r="C1796" s="50" t="s">
        <v>240</v>
      </c>
      <c r="D1796" s="51">
        <v>14187</v>
      </c>
      <c r="E1796" s="51">
        <v>272893</v>
      </c>
      <c r="F1796" s="52">
        <v>39659</v>
      </c>
      <c r="G1796" s="53">
        <v>14.532802</v>
      </c>
    </row>
    <row r="1797" spans="1:7">
      <c r="A1797" s="50" t="s">
        <v>955</v>
      </c>
      <c r="B1797" s="50" t="s">
        <v>85</v>
      </c>
      <c r="C1797" s="50" t="s">
        <v>240</v>
      </c>
      <c r="D1797" s="51">
        <v>70835</v>
      </c>
      <c r="E1797" s="51">
        <v>1301651</v>
      </c>
      <c r="F1797" s="52">
        <v>133050</v>
      </c>
      <c r="G1797" s="53">
        <v>10.221634</v>
      </c>
    </row>
    <row r="1798" spans="1:7">
      <c r="A1798" s="50" t="s">
        <v>956</v>
      </c>
      <c r="B1798" s="50" t="s">
        <v>85</v>
      </c>
      <c r="C1798" s="50" t="s">
        <v>240</v>
      </c>
      <c r="D1798" s="51">
        <v>45132</v>
      </c>
      <c r="E1798" s="51">
        <v>818322</v>
      </c>
      <c r="F1798" s="52">
        <v>98643.6</v>
      </c>
      <c r="G1798" s="53">
        <v>12.054375</v>
      </c>
    </row>
    <row r="1799" spans="1:7">
      <c r="A1799" s="50" t="s">
        <v>957</v>
      </c>
      <c r="B1799" s="50" t="s">
        <v>85</v>
      </c>
      <c r="C1799" s="50" t="s">
        <v>240</v>
      </c>
      <c r="D1799" s="51">
        <v>27055</v>
      </c>
      <c r="E1799" s="51">
        <v>366587</v>
      </c>
      <c r="F1799" s="52">
        <v>54385.5</v>
      </c>
      <c r="G1799" s="53">
        <v>14.835632</v>
      </c>
    </row>
    <row r="1800" spans="1:7">
      <c r="A1800" s="50" t="s">
        <v>294</v>
      </c>
      <c r="B1800" s="50" t="s">
        <v>85</v>
      </c>
      <c r="C1800" s="50" t="s">
        <v>295</v>
      </c>
      <c r="D1800" s="51">
        <v>2</v>
      </c>
      <c r="E1800" s="51">
        <v>4355</v>
      </c>
      <c r="F1800" s="52">
        <v>424.6</v>
      </c>
      <c r="G1800" s="53">
        <v>9.7497129999999999</v>
      </c>
    </row>
    <row r="1801" spans="1:7">
      <c r="A1801" s="50" t="s">
        <v>958</v>
      </c>
      <c r="B1801" s="50" t="s">
        <v>85</v>
      </c>
      <c r="C1801" s="50" t="s">
        <v>240</v>
      </c>
      <c r="D1801" s="51">
        <v>22931</v>
      </c>
      <c r="E1801" s="51">
        <v>345933</v>
      </c>
      <c r="F1801" s="52">
        <v>47251</v>
      </c>
      <c r="G1801" s="53">
        <v>13.659003</v>
      </c>
    </row>
    <row r="1802" spans="1:7">
      <c r="A1802" s="50" t="s">
        <v>959</v>
      </c>
      <c r="B1802" s="50" t="s">
        <v>85</v>
      </c>
      <c r="C1802" s="50" t="s">
        <v>242</v>
      </c>
      <c r="D1802" s="51">
        <v>22183</v>
      </c>
      <c r="E1802" s="51">
        <v>341460</v>
      </c>
      <c r="F1802" s="52">
        <v>33264.1</v>
      </c>
      <c r="G1802" s="53">
        <v>9.7417266999999992</v>
      </c>
    </row>
    <row r="1803" spans="1:7">
      <c r="A1803" s="50" t="s">
        <v>960</v>
      </c>
      <c r="B1803" s="50" t="s">
        <v>85</v>
      </c>
      <c r="C1803" s="50" t="s">
        <v>242</v>
      </c>
      <c r="D1803" s="51">
        <v>4115</v>
      </c>
      <c r="E1803" s="51">
        <v>106705</v>
      </c>
      <c r="F1803" s="52">
        <v>11617</v>
      </c>
      <c r="G1803" s="53">
        <v>10.887025</v>
      </c>
    </row>
    <row r="1804" spans="1:7">
      <c r="A1804" s="50" t="s">
        <v>1863</v>
      </c>
      <c r="B1804" s="50" t="s">
        <v>85</v>
      </c>
      <c r="C1804" s="50" t="s">
        <v>242</v>
      </c>
      <c r="D1804" s="51">
        <v>1108</v>
      </c>
      <c r="E1804" s="51">
        <v>15236</v>
      </c>
      <c r="F1804" s="52">
        <v>2222.1</v>
      </c>
      <c r="G1804" s="53">
        <v>14.584536999999999</v>
      </c>
    </row>
    <row r="1805" spans="1:7">
      <c r="A1805" s="50" t="s">
        <v>1864</v>
      </c>
      <c r="B1805" s="50" t="s">
        <v>85</v>
      </c>
      <c r="C1805" s="50" t="s">
        <v>242</v>
      </c>
      <c r="D1805" s="51">
        <v>1997</v>
      </c>
      <c r="E1805" s="51">
        <v>37536</v>
      </c>
      <c r="F1805" s="52">
        <v>4817.8999999999996</v>
      </c>
      <c r="G1805" s="53">
        <v>12.835411000000001</v>
      </c>
    </row>
    <row r="1806" spans="1:7">
      <c r="A1806" s="50" t="s">
        <v>1865</v>
      </c>
      <c r="B1806" s="50" t="s">
        <v>85</v>
      </c>
      <c r="C1806" s="50" t="s">
        <v>242</v>
      </c>
      <c r="D1806" s="51">
        <v>762</v>
      </c>
      <c r="E1806" s="51">
        <v>11366</v>
      </c>
      <c r="F1806" s="52">
        <v>1462</v>
      </c>
      <c r="G1806" s="53">
        <v>12.862925000000001</v>
      </c>
    </row>
    <row r="1807" spans="1:7">
      <c r="A1807" s="50" t="s">
        <v>1866</v>
      </c>
      <c r="B1807" s="50" t="s">
        <v>85</v>
      </c>
      <c r="C1807" s="50" t="s">
        <v>242</v>
      </c>
      <c r="D1807" s="51">
        <v>200</v>
      </c>
      <c r="E1807" s="51">
        <v>3245</v>
      </c>
      <c r="F1807" s="52">
        <v>393.8</v>
      </c>
      <c r="G1807" s="53">
        <v>12.135593</v>
      </c>
    </row>
    <row r="1808" spans="1:7">
      <c r="A1808" s="50" t="s">
        <v>434</v>
      </c>
      <c r="B1808" s="50" t="s">
        <v>85</v>
      </c>
      <c r="C1808" s="50" t="s">
        <v>242</v>
      </c>
      <c r="D1808" s="51">
        <v>7064</v>
      </c>
      <c r="E1808" s="51">
        <v>113393</v>
      </c>
      <c r="F1808" s="52">
        <v>15003</v>
      </c>
      <c r="G1808" s="53">
        <v>13.230975000000001</v>
      </c>
    </row>
    <row r="1809" spans="1:7">
      <c r="A1809" s="50" t="s">
        <v>1867</v>
      </c>
      <c r="B1809" s="50" t="s">
        <v>85</v>
      </c>
      <c r="C1809" s="50" t="s">
        <v>242</v>
      </c>
      <c r="D1809" s="51">
        <v>3949</v>
      </c>
      <c r="E1809" s="51">
        <v>57391</v>
      </c>
      <c r="F1809" s="52">
        <v>6120.7</v>
      </c>
      <c r="G1809" s="53">
        <v>10.664913</v>
      </c>
    </row>
    <row r="1810" spans="1:7">
      <c r="A1810" s="50" t="s">
        <v>1868</v>
      </c>
      <c r="B1810" s="50" t="s">
        <v>85</v>
      </c>
      <c r="C1810" s="50" t="s">
        <v>242</v>
      </c>
      <c r="D1810" s="51">
        <v>3703</v>
      </c>
      <c r="E1810" s="51">
        <v>69508</v>
      </c>
      <c r="F1810" s="52">
        <v>6973</v>
      </c>
      <c r="G1810" s="53">
        <v>10.031938999999999</v>
      </c>
    </row>
    <row r="1811" spans="1:7">
      <c r="A1811" s="50" t="s">
        <v>1869</v>
      </c>
      <c r="B1811" s="50" t="s">
        <v>85</v>
      </c>
      <c r="C1811" s="50" t="s">
        <v>242</v>
      </c>
      <c r="D1811" s="51">
        <v>1226</v>
      </c>
      <c r="E1811" s="51">
        <v>18239</v>
      </c>
      <c r="F1811" s="52">
        <v>2352</v>
      </c>
      <c r="G1811" s="53">
        <v>12.895443999999999</v>
      </c>
    </row>
    <row r="1812" spans="1:7">
      <c r="A1812" s="50" t="s">
        <v>961</v>
      </c>
      <c r="B1812" s="50" t="s">
        <v>85</v>
      </c>
      <c r="C1812" s="50" t="s">
        <v>242</v>
      </c>
      <c r="D1812" s="51">
        <v>4147</v>
      </c>
      <c r="E1812" s="51">
        <v>98482</v>
      </c>
      <c r="F1812" s="52">
        <v>11218</v>
      </c>
      <c r="G1812" s="53">
        <v>11.390914</v>
      </c>
    </row>
    <row r="1813" spans="1:7">
      <c r="A1813" s="50" t="s">
        <v>1870</v>
      </c>
      <c r="B1813" s="50" t="s">
        <v>85</v>
      </c>
      <c r="C1813" s="50" t="s">
        <v>242</v>
      </c>
      <c r="D1813" s="51">
        <v>1273</v>
      </c>
      <c r="E1813" s="51">
        <v>18750</v>
      </c>
      <c r="F1813" s="52">
        <v>2477</v>
      </c>
      <c r="G1813" s="53">
        <v>13.210667000000001</v>
      </c>
    </row>
    <row r="1814" spans="1:7">
      <c r="A1814" s="50" t="s">
        <v>1871</v>
      </c>
      <c r="B1814" s="50" t="s">
        <v>85</v>
      </c>
      <c r="C1814" s="50" t="s">
        <v>242</v>
      </c>
      <c r="D1814" s="51">
        <v>2855</v>
      </c>
      <c r="E1814" s="51">
        <v>47650</v>
      </c>
      <c r="F1814" s="52">
        <v>6069</v>
      </c>
      <c r="G1814" s="53">
        <v>12.736621</v>
      </c>
    </row>
    <row r="1815" spans="1:7">
      <c r="A1815" s="50" t="s">
        <v>962</v>
      </c>
      <c r="B1815" s="50" t="s">
        <v>85</v>
      </c>
      <c r="C1815" s="50" t="s">
        <v>242</v>
      </c>
      <c r="D1815" s="51">
        <v>4127</v>
      </c>
      <c r="E1815" s="51">
        <v>99189</v>
      </c>
      <c r="F1815" s="52">
        <v>11731</v>
      </c>
      <c r="G1815" s="53">
        <v>11.826916000000001</v>
      </c>
    </row>
    <row r="1816" spans="1:7">
      <c r="A1816" s="50" t="s">
        <v>1872</v>
      </c>
      <c r="B1816" s="50" t="s">
        <v>85</v>
      </c>
      <c r="C1816" s="50" t="s">
        <v>242</v>
      </c>
      <c r="D1816" s="51">
        <v>302</v>
      </c>
      <c r="E1816" s="51">
        <v>4214</v>
      </c>
      <c r="F1816" s="52">
        <v>604</v>
      </c>
      <c r="G1816" s="53">
        <v>14.333175000000001</v>
      </c>
    </row>
    <row r="1817" spans="1:7">
      <c r="A1817" s="50" t="s">
        <v>1873</v>
      </c>
      <c r="B1817" s="50" t="s">
        <v>85</v>
      </c>
      <c r="C1817" s="50" t="s">
        <v>242</v>
      </c>
      <c r="D1817" s="51">
        <v>743</v>
      </c>
      <c r="E1817" s="51">
        <v>11928</v>
      </c>
      <c r="F1817" s="52">
        <v>1562</v>
      </c>
      <c r="G1817" s="53">
        <v>13.095238</v>
      </c>
    </row>
    <row r="1818" spans="1:7">
      <c r="A1818" s="50" t="s">
        <v>1874</v>
      </c>
      <c r="B1818" s="50" t="s">
        <v>85</v>
      </c>
      <c r="C1818" s="50" t="s">
        <v>242</v>
      </c>
      <c r="D1818" s="51">
        <v>2539</v>
      </c>
      <c r="E1818" s="51">
        <v>57526</v>
      </c>
      <c r="F1818" s="52">
        <v>6378.6</v>
      </c>
      <c r="G1818" s="53">
        <v>11.088203999999999</v>
      </c>
    </row>
    <row r="1819" spans="1:7">
      <c r="A1819" s="50" t="s">
        <v>1875</v>
      </c>
      <c r="B1819" s="50" t="s">
        <v>85</v>
      </c>
      <c r="C1819" s="50" t="s">
        <v>242</v>
      </c>
      <c r="D1819" s="51">
        <v>261</v>
      </c>
      <c r="E1819" s="51">
        <v>2622</v>
      </c>
      <c r="F1819" s="52">
        <v>353</v>
      </c>
      <c r="G1819" s="53">
        <v>13.463005000000001</v>
      </c>
    </row>
    <row r="1820" spans="1:7">
      <c r="A1820" s="50" t="s">
        <v>963</v>
      </c>
      <c r="B1820" s="50" t="s">
        <v>85</v>
      </c>
      <c r="C1820" s="50" t="s">
        <v>242</v>
      </c>
      <c r="D1820" s="51">
        <v>43251</v>
      </c>
      <c r="E1820" s="51">
        <v>1165307</v>
      </c>
      <c r="F1820" s="52">
        <v>125837</v>
      </c>
      <c r="G1820" s="53">
        <v>10.798614000000001</v>
      </c>
    </row>
    <row r="1821" spans="1:7">
      <c r="A1821" s="50" t="s">
        <v>1876</v>
      </c>
      <c r="B1821" s="50" t="s">
        <v>85</v>
      </c>
      <c r="C1821" s="50" t="s">
        <v>242</v>
      </c>
      <c r="D1821" s="51">
        <v>263</v>
      </c>
      <c r="E1821" s="51">
        <v>2720</v>
      </c>
      <c r="F1821" s="52">
        <v>437.7</v>
      </c>
      <c r="G1821" s="53">
        <v>16.091912000000001</v>
      </c>
    </row>
    <row r="1822" spans="1:7">
      <c r="A1822" s="50" t="s">
        <v>1877</v>
      </c>
      <c r="B1822" s="50" t="s">
        <v>85</v>
      </c>
      <c r="C1822" s="50" t="s">
        <v>242</v>
      </c>
      <c r="D1822" s="51">
        <v>423</v>
      </c>
      <c r="E1822" s="51">
        <v>5554</v>
      </c>
      <c r="F1822" s="52">
        <v>762</v>
      </c>
      <c r="G1822" s="53">
        <v>13.719842</v>
      </c>
    </row>
    <row r="1823" spans="1:7">
      <c r="A1823" s="50" t="s">
        <v>964</v>
      </c>
      <c r="B1823" s="50" t="s">
        <v>85</v>
      </c>
      <c r="C1823" s="50" t="s">
        <v>242</v>
      </c>
      <c r="D1823" s="51">
        <v>6664</v>
      </c>
      <c r="E1823" s="51">
        <v>246830</v>
      </c>
      <c r="F1823" s="52">
        <v>20240.3</v>
      </c>
      <c r="G1823" s="53">
        <v>8.2000972000000001</v>
      </c>
    </row>
    <row r="1824" spans="1:7">
      <c r="A1824" s="50" t="s">
        <v>1878</v>
      </c>
      <c r="B1824" s="50" t="s">
        <v>85</v>
      </c>
      <c r="C1824" s="50" t="s">
        <v>242</v>
      </c>
      <c r="D1824" s="51">
        <v>1717</v>
      </c>
      <c r="E1824" s="51">
        <v>25625</v>
      </c>
      <c r="F1824" s="52">
        <v>3279.2</v>
      </c>
      <c r="G1824" s="53">
        <v>12.796878</v>
      </c>
    </row>
    <row r="1825" spans="1:7">
      <c r="A1825" s="50" t="s">
        <v>1879</v>
      </c>
      <c r="B1825" s="50" t="s">
        <v>85</v>
      </c>
      <c r="C1825" s="50" t="s">
        <v>242</v>
      </c>
      <c r="D1825" s="51">
        <v>3030</v>
      </c>
      <c r="E1825" s="51">
        <v>46422</v>
      </c>
      <c r="F1825" s="52">
        <v>6118</v>
      </c>
      <c r="G1825" s="53">
        <v>13.179095999999999</v>
      </c>
    </row>
    <row r="1826" spans="1:7">
      <c r="A1826" s="50" t="s">
        <v>1880</v>
      </c>
      <c r="B1826" s="50" t="s">
        <v>85</v>
      </c>
      <c r="C1826" s="50" t="s">
        <v>242</v>
      </c>
      <c r="D1826" s="51">
        <v>1978</v>
      </c>
      <c r="E1826" s="51">
        <v>53436</v>
      </c>
      <c r="F1826" s="52">
        <v>6888.6</v>
      </c>
      <c r="G1826" s="53">
        <v>12.891309</v>
      </c>
    </row>
    <row r="1827" spans="1:7">
      <c r="A1827" s="50" t="s">
        <v>1881</v>
      </c>
      <c r="B1827" s="50" t="s">
        <v>85</v>
      </c>
      <c r="C1827" s="50" t="s">
        <v>242</v>
      </c>
      <c r="D1827" s="51">
        <v>1153</v>
      </c>
      <c r="E1827" s="51">
        <v>17038</v>
      </c>
      <c r="F1827" s="52">
        <v>2121</v>
      </c>
      <c r="G1827" s="53">
        <v>12.448644</v>
      </c>
    </row>
    <row r="1828" spans="1:7">
      <c r="A1828" s="50" t="s">
        <v>1882</v>
      </c>
      <c r="B1828" s="50" t="s">
        <v>85</v>
      </c>
      <c r="C1828" s="50" t="s">
        <v>242</v>
      </c>
      <c r="D1828" s="51">
        <v>263</v>
      </c>
      <c r="E1828" s="51">
        <v>2862</v>
      </c>
      <c r="F1828" s="52">
        <v>449</v>
      </c>
      <c r="G1828" s="53">
        <v>15.688330000000001</v>
      </c>
    </row>
    <row r="1829" spans="1:7">
      <c r="A1829" s="50" t="s">
        <v>1883</v>
      </c>
      <c r="B1829" s="50" t="s">
        <v>85</v>
      </c>
      <c r="C1829" s="50" t="s">
        <v>242</v>
      </c>
      <c r="D1829" s="51">
        <v>1182</v>
      </c>
      <c r="E1829" s="51">
        <v>80099</v>
      </c>
      <c r="F1829" s="52">
        <v>7394</v>
      </c>
      <c r="G1829" s="53">
        <v>9.2310765000000004</v>
      </c>
    </row>
    <row r="1830" spans="1:7">
      <c r="A1830" s="50" t="s">
        <v>965</v>
      </c>
      <c r="B1830" s="50" t="s">
        <v>85</v>
      </c>
      <c r="C1830" s="50" t="s">
        <v>242</v>
      </c>
      <c r="D1830" s="51">
        <v>5106</v>
      </c>
      <c r="E1830" s="51">
        <v>413724</v>
      </c>
      <c r="F1830" s="52">
        <v>26814</v>
      </c>
      <c r="G1830" s="53">
        <v>6.4811322999999996</v>
      </c>
    </row>
    <row r="1831" spans="1:7">
      <c r="A1831" s="50" t="s">
        <v>1884</v>
      </c>
      <c r="B1831" s="50" t="s">
        <v>85</v>
      </c>
      <c r="C1831" s="50" t="s">
        <v>242</v>
      </c>
      <c r="D1831" s="51">
        <v>481</v>
      </c>
      <c r="E1831" s="51">
        <v>7817</v>
      </c>
      <c r="F1831" s="52">
        <v>1057</v>
      </c>
      <c r="G1831" s="53">
        <v>13.521811</v>
      </c>
    </row>
    <row r="1832" spans="1:7">
      <c r="A1832" s="50" t="s">
        <v>1885</v>
      </c>
      <c r="B1832" s="50" t="s">
        <v>85</v>
      </c>
      <c r="C1832" s="50" t="s">
        <v>242</v>
      </c>
      <c r="D1832" s="51">
        <v>722</v>
      </c>
      <c r="E1832" s="51">
        <v>19405</v>
      </c>
      <c r="F1832" s="52">
        <v>2660</v>
      </c>
      <c r="G1832" s="53">
        <v>13.707807000000001</v>
      </c>
    </row>
    <row r="1833" spans="1:7">
      <c r="A1833" s="50" t="s">
        <v>966</v>
      </c>
      <c r="B1833" s="50" t="s">
        <v>85</v>
      </c>
      <c r="C1833" s="50" t="s">
        <v>242</v>
      </c>
      <c r="D1833" s="51">
        <v>3747</v>
      </c>
      <c r="E1833" s="51">
        <v>108636</v>
      </c>
      <c r="F1833" s="52">
        <v>11776</v>
      </c>
      <c r="G1833" s="53">
        <v>10.839869</v>
      </c>
    </row>
    <row r="1834" spans="1:7">
      <c r="A1834" s="50" t="s">
        <v>1886</v>
      </c>
      <c r="B1834" s="50" t="s">
        <v>85</v>
      </c>
      <c r="C1834" s="50" t="s">
        <v>242</v>
      </c>
      <c r="D1834" s="51">
        <v>1682</v>
      </c>
      <c r="E1834" s="51">
        <v>31637</v>
      </c>
      <c r="F1834" s="52">
        <v>4524.3</v>
      </c>
      <c r="G1834" s="53">
        <v>14.300661</v>
      </c>
    </row>
    <row r="1835" spans="1:7">
      <c r="A1835" s="50" t="s">
        <v>1887</v>
      </c>
      <c r="B1835" s="50" t="s">
        <v>85</v>
      </c>
      <c r="C1835" s="50" t="s">
        <v>242</v>
      </c>
      <c r="D1835" s="51">
        <v>1398</v>
      </c>
      <c r="E1835" s="51">
        <v>25380</v>
      </c>
      <c r="F1835" s="52">
        <v>3594</v>
      </c>
      <c r="G1835" s="53">
        <v>14.160757</v>
      </c>
    </row>
    <row r="1836" spans="1:7">
      <c r="A1836" s="50" t="s">
        <v>1888</v>
      </c>
      <c r="B1836" s="50" t="s">
        <v>85</v>
      </c>
      <c r="C1836" s="50" t="s">
        <v>242</v>
      </c>
      <c r="D1836" s="51">
        <v>2828</v>
      </c>
      <c r="E1836" s="51">
        <v>66506</v>
      </c>
      <c r="F1836" s="52">
        <v>6837</v>
      </c>
      <c r="G1836" s="53">
        <v>10.280275</v>
      </c>
    </row>
    <row r="1837" spans="1:7">
      <c r="A1837" s="50" t="s">
        <v>1889</v>
      </c>
      <c r="B1837" s="50" t="s">
        <v>85</v>
      </c>
      <c r="C1837" s="50" t="s">
        <v>242</v>
      </c>
      <c r="D1837" s="51">
        <v>1163</v>
      </c>
      <c r="E1837" s="51">
        <v>16910</v>
      </c>
      <c r="F1837" s="52">
        <v>2006</v>
      </c>
      <c r="G1837" s="53">
        <v>11.862803</v>
      </c>
    </row>
    <row r="1838" spans="1:7">
      <c r="A1838" s="50" t="s">
        <v>967</v>
      </c>
      <c r="B1838" s="50" t="s">
        <v>85</v>
      </c>
      <c r="C1838" s="50" t="s">
        <v>242</v>
      </c>
      <c r="D1838" s="51">
        <v>4598</v>
      </c>
      <c r="E1838" s="51">
        <v>168802</v>
      </c>
      <c r="F1838" s="52">
        <v>16535</v>
      </c>
      <c r="G1838" s="53">
        <v>9.7955000999999999</v>
      </c>
    </row>
    <row r="1839" spans="1:7">
      <c r="A1839" s="50" t="s">
        <v>1890</v>
      </c>
      <c r="B1839" s="50" t="s">
        <v>85</v>
      </c>
      <c r="C1839" s="50" t="s">
        <v>242</v>
      </c>
      <c r="D1839" s="51">
        <v>1205</v>
      </c>
      <c r="E1839" s="51">
        <v>19843</v>
      </c>
      <c r="F1839" s="52">
        <v>2101</v>
      </c>
      <c r="G1839" s="53">
        <v>10.588117</v>
      </c>
    </row>
    <row r="1840" spans="1:7">
      <c r="A1840" s="50" t="s">
        <v>968</v>
      </c>
      <c r="B1840" s="50" t="s">
        <v>85</v>
      </c>
      <c r="C1840" s="50" t="s">
        <v>242</v>
      </c>
      <c r="D1840" s="51">
        <v>6035</v>
      </c>
      <c r="E1840" s="51">
        <v>218419</v>
      </c>
      <c r="F1840" s="52">
        <v>21546</v>
      </c>
      <c r="G1840" s="53">
        <v>9.8645264000000008</v>
      </c>
    </row>
    <row r="1841" spans="1:7">
      <c r="A1841" s="50" t="s">
        <v>969</v>
      </c>
      <c r="B1841" s="50" t="s">
        <v>85</v>
      </c>
      <c r="C1841" s="50" t="s">
        <v>242</v>
      </c>
      <c r="D1841" s="51">
        <v>6502</v>
      </c>
      <c r="E1841" s="51">
        <v>157035</v>
      </c>
      <c r="F1841" s="52">
        <v>20061.2</v>
      </c>
      <c r="G1841" s="53">
        <v>12.774986</v>
      </c>
    </row>
    <row r="1842" spans="1:7">
      <c r="A1842" s="50" t="s">
        <v>1891</v>
      </c>
      <c r="B1842" s="50" t="s">
        <v>85</v>
      </c>
      <c r="C1842" s="50" t="s">
        <v>242</v>
      </c>
      <c r="D1842" s="51">
        <v>132</v>
      </c>
      <c r="E1842" s="51">
        <v>1854</v>
      </c>
      <c r="F1842" s="52">
        <v>261</v>
      </c>
      <c r="G1842" s="53">
        <v>14.077669999999999</v>
      </c>
    </row>
    <row r="1843" spans="1:7">
      <c r="A1843" s="50" t="s">
        <v>1892</v>
      </c>
      <c r="B1843" s="50" t="s">
        <v>85</v>
      </c>
      <c r="C1843" s="50" t="s">
        <v>242</v>
      </c>
      <c r="D1843" s="51">
        <v>3088</v>
      </c>
      <c r="E1843" s="51">
        <v>84327</v>
      </c>
      <c r="F1843" s="52">
        <v>8653.7999999999993</v>
      </c>
      <c r="G1843" s="53">
        <v>10.262193999999999</v>
      </c>
    </row>
    <row r="1844" spans="1:7">
      <c r="A1844" s="50" t="s">
        <v>1893</v>
      </c>
      <c r="B1844" s="50" t="s">
        <v>85</v>
      </c>
      <c r="C1844" s="50" t="s">
        <v>242</v>
      </c>
      <c r="D1844" s="51">
        <v>1753</v>
      </c>
      <c r="E1844" s="51">
        <v>47821</v>
      </c>
      <c r="F1844" s="52">
        <v>5253.5</v>
      </c>
      <c r="G1844" s="53">
        <v>10.985759</v>
      </c>
    </row>
    <row r="1845" spans="1:7">
      <c r="A1845" s="50" t="s">
        <v>1894</v>
      </c>
      <c r="B1845" s="50" t="s">
        <v>85</v>
      </c>
      <c r="C1845" s="50" t="s">
        <v>240</v>
      </c>
      <c r="D1845" s="51">
        <v>25300</v>
      </c>
      <c r="E1845" s="51">
        <v>557298</v>
      </c>
      <c r="F1845" s="52">
        <v>56812.4</v>
      </c>
      <c r="G1845" s="53">
        <v>10.194259000000001</v>
      </c>
    </row>
    <row r="1846" spans="1:7">
      <c r="A1846" s="50" t="s">
        <v>520</v>
      </c>
      <c r="B1846" s="50" t="s">
        <v>85</v>
      </c>
      <c r="C1846" s="50" t="s">
        <v>240</v>
      </c>
      <c r="D1846" s="51">
        <v>1527</v>
      </c>
      <c r="E1846" s="51">
        <v>14003</v>
      </c>
      <c r="F1846" s="52">
        <v>1884</v>
      </c>
      <c r="G1846" s="53">
        <v>13.45426</v>
      </c>
    </row>
    <row r="1847" spans="1:7">
      <c r="A1847" s="50" t="s">
        <v>970</v>
      </c>
      <c r="B1847" s="50" t="s">
        <v>85</v>
      </c>
      <c r="C1847" s="50" t="s">
        <v>240</v>
      </c>
      <c r="D1847" s="51">
        <v>77706</v>
      </c>
      <c r="E1847" s="51">
        <v>1361251</v>
      </c>
      <c r="F1847" s="52">
        <v>161085</v>
      </c>
      <c r="G1847" s="53">
        <v>11.833600000000001</v>
      </c>
    </row>
    <row r="1848" spans="1:7">
      <c r="A1848" s="50" t="s">
        <v>971</v>
      </c>
      <c r="B1848" s="50" t="s">
        <v>85</v>
      </c>
      <c r="C1848" s="50" t="s">
        <v>237</v>
      </c>
      <c r="D1848" s="51">
        <v>121776</v>
      </c>
      <c r="E1848" s="51">
        <v>4280695</v>
      </c>
      <c r="F1848" s="52">
        <v>389034.1</v>
      </c>
      <c r="G1848" s="53">
        <v>9.0881059999999998</v>
      </c>
    </row>
    <row r="1849" spans="1:7">
      <c r="A1849" s="50" t="s">
        <v>972</v>
      </c>
      <c r="B1849" s="50" t="s">
        <v>85</v>
      </c>
      <c r="C1849" s="50" t="s">
        <v>240</v>
      </c>
      <c r="D1849" s="51">
        <v>46983</v>
      </c>
      <c r="E1849" s="51">
        <v>811376</v>
      </c>
      <c r="F1849" s="52">
        <v>93204.4</v>
      </c>
      <c r="G1849" s="53">
        <v>11.487202</v>
      </c>
    </row>
    <row r="1850" spans="1:7">
      <c r="A1850" s="50" t="s">
        <v>973</v>
      </c>
      <c r="B1850" s="50" t="s">
        <v>85</v>
      </c>
      <c r="C1850" s="50" t="s">
        <v>240</v>
      </c>
      <c r="D1850" s="51">
        <v>15</v>
      </c>
      <c r="E1850" s="51">
        <v>355</v>
      </c>
      <c r="F1850" s="52">
        <v>40</v>
      </c>
      <c r="G1850" s="53">
        <v>11.267606000000001</v>
      </c>
    </row>
    <row r="1851" spans="1:7">
      <c r="A1851" s="50" t="s">
        <v>974</v>
      </c>
      <c r="B1851" s="50" t="s">
        <v>88</v>
      </c>
      <c r="C1851" s="50" t="s">
        <v>240</v>
      </c>
      <c r="D1851" s="51">
        <v>1</v>
      </c>
      <c r="E1851" s="51">
        <v>1094834</v>
      </c>
      <c r="F1851" s="52">
        <v>39196</v>
      </c>
      <c r="G1851" s="53">
        <v>3.5800860999999999</v>
      </c>
    </row>
    <row r="1852" spans="1:7">
      <c r="A1852" s="50" t="s">
        <v>975</v>
      </c>
      <c r="B1852" s="50" t="s">
        <v>88</v>
      </c>
      <c r="C1852" s="50" t="s">
        <v>240</v>
      </c>
      <c r="D1852" s="51">
        <v>3466</v>
      </c>
      <c r="E1852" s="51">
        <v>228432</v>
      </c>
      <c r="F1852" s="52">
        <v>24779</v>
      </c>
      <c r="G1852" s="53">
        <v>10.847429</v>
      </c>
    </row>
    <row r="1853" spans="1:7">
      <c r="A1853" s="50" t="s">
        <v>976</v>
      </c>
      <c r="B1853" s="50" t="s">
        <v>88</v>
      </c>
      <c r="C1853" s="50" t="s">
        <v>240</v>
      </c>
      <c r="D1853" s="51">
        <v>21058</v>
      </c>
      <c r="E1853" s="51">
        <v>372296</v>
      </c>
      <c r="F1853" s="52">
        <v>37995.599999999999</v>
      </c>
      <c r="G1853" s="53">
        <v>10.20575</v>
      </c>
    </row>
    <row r="1854" spans="1:7">
      <c r="A1854" s="50" t="s">
        <v>1895</v>
      </c>
      <c r="B1854" s="50" t="s">
        <v>88</v>
      </c>
      <c r="C1854" s="50" t="s">
        <v>240</v>
      </c>
      <c r="D1854" s="51">
        <v>52086</v>
      </c>
      <c r="E1854" s="51">
        <v>1287375</v>
      </c>
      <c r="F1854" s="52">
        <v>139127</v>
      </c>
      <c r="G1854" s="53">
        <v>10.807029999999999</v>
      </c>
    </row>
    <row r="1855" spans="1:7">
      <c r="A1855" s="50" t="s">
        <v>1896</v>
      </c>
      <c r="B1855" s="50" t="s">
        <v>88</v>
      </c>
      <c r="C1855" s="50" t="s">
        <v>242</v>
      </c>
      <c r="D1855" s="51">
        <v>886</v>
      </c>
      <c r="E1855" s="51">
        <v>16326</v>
      </c>
      <c r="F1855" s="52">
        <v>1362</v>
      </c>
      <c r="G1855" s="53">
        <v>8.3425211000000008</v>
      </c>
    </row>
    <row r="1856" spans="1:7">
      <c r="A1856" s="50" t="s">
        <v>1897</v>
      </c>
      <c r="B1856" s="50" t="s">
        <v>88</v>
      </c>
      <c r="C1856" s="50" t="s">
        <v>242</v>
      </c>
      <c r="D1856" s="51">
        <v>2283</v>
      </c>
      <c r="E1856" s="51">
        <v>50491</v>
      </c>
      <c r="F1856" s="52">
        <v>6337.4</v>
      </c>
      <c r="G1856" s="53">
        <v>12.551544</v>
      </c>
    </row>
    <row r="1857" spans="1:7">
      <c r="A1857" s="50" t="s">
        <v>1898</v>
      </c>
      <c r="B1857" s="50" t="s">
        <v>88</v>
      </c>
      <c r="C1857" s="50" t="s">
        <v>242</v>
      </c>
      <c r="D1857" s="51">
        <v>952</v>
      </c>
      <c r="E1857" s="51">
        <v>29538</v>
      </c>
      <c r="F1857" s="52">
        <v>2408.6</v>
      </c>
      <c r="G1857" s="53">
        <v>8.154242</v>
      </c>
    </row>
    <row r="1858" spans="1:7">
      <c r="A1858" s="50" t="s">
        <v>303</v>
      </c>
      <c r="B1858" s="50" t="s">
        <v>88</v>
      </c>
      <c r="C1858" s="50" t="s">
        <v>242</v>
      </c>
      <c r="D1858" s="51">
        <v>197</v>
      </c>
      <c r="E1858" s="51">
        <v>5455</v>
      </c>
      <c r="F1858" s="52">
        <v>421.9</v>
      </c>
      <c r="G1858" s="53">
        <v>7.7341888000000001</v>
      </c>
    </row>
    <row r="1859" spans="1:7">
      <c r="A1859" s="50" t="s">
        <v>977</v>
      </c>
      <c r="B1859" s="50" t="s">
        <v>88</v>
      </c>
      <c r="C1859" s="50" t="s">
        <v>242</v>
      </c>
      <c r="D1859" s="51">
        <v>547</v>
      </c>
      <c r="E1859" s="51">
        <v>13861</v>
      </c>
      <c r="F1859" s="52">
        <v>1251</v>
      </c>
      <c r="G1859" s="53">
        <v>9.0253227999999996</v>
      </c>
    </row>
    <row r="1860" spans="1:7">
      <c r="A1860" s="50" t="s">
        <v>1899</v>
      </c>
      <c r="B1860" s="50" t="s">
        <v>88</v>
      </c>
      <c r="C1860" s="50" t="s">
        <v>242</v>
      </c>
      <c r="D1860" s="51">
        <v>656</v>
      </c>
      <c r="E1860" s="51">
        <v>60783</v>
      </c>
      <c r="F1860" s="52">
        <v>1719.8</v>
      </c>
      <c r="G1860" s="53">
        <v>2.8294095000000001</v>
      </c>
    </row>
    <row r="1861" spans="1:7">
      <c r="A1861" s="50" t="s">
        <v>1900</v>
      </c>
      <c r="B1861" s="50" t="s">
        <v>88</v>
      </c>
      <c r="C1861" s="50" t="s">
        <v>242</v>
      </c>
      <c r="D1861" s="51">
        <v>815</v>
      </c>
      <c r="E1861" s="51">
        <v>18701</v>
      </c>
      <c r="F1861" s="52">
        <v>2205</v>
      </c>
      <c r="G1861" s="53">
        <v>11.790813</v>
      </c>
    </row>
    <row r="1862" spans="1:7">
      <c r="A1862" s="50" t="s">
        <v>1901</v>
      </c>
      <c r="B1862" s="50" t="s">
        <v>88</v>
      </c>
      <c r="C1862" s="50" t="s">
        <v>242</v>
      </c>
      <c r="D1862" s="51">
        <v>287</v>
      </c>
      <c r="E1862" s="51">
        <v>3273</v>
      </c>
      <c r="F1862" s="52">
        <v>354.5</v>
      </c>
      <c r="G1862" s="53">
        <v>10.831042</v>
      </c>
    </row>
    <row r="1863" spans="1:7">
      <c r="A1863" s="50" t="s">
        <v>1902</v>
      </c>
      <c r="B1863" s="50" t="s">
        <v>88</v>
      </c>
      <c r="C1863" s="50" t="s">
        <v>242</v>
      </c>
      <c r="D1863" s="51">
        <v>80</v>
      </c>
      <c r="E1863" s="51">
        <v>1107</v>
      </c>
      <c r="F1863" s="52">
        <v>94.4</v>
      </c>
      <c r="G1863" s="53">
        <v>8.5275519000000006</v>
      </c>
    </row>
    <row r="1864" spans="1:7">
      <c r="A1864" s="50" t="s">
        <v>1903</v>
      </c>
      <c r="B1864" s="50" t="s">
        <v>88</v>
      </c>
      <c r="C1864" s="50" t="s">
        <v>242</v>
      </c>
      <c r="D1864" s="51">
        <v>254</v>
      </c>
      <c r="E1864" s="51">
        <v>4350</v>
      </c>
      <c r="F1864" s="52">
        <v>545.9</v>
      </c>
      <c r="G1864" s="53">
        <v>12.549424999999999</v>
      </c>
    </row>
    <row r="1865" spans="1:7">
      <c r="A1865" s="50" t="s">
        <v>978</v>
      </c>
      <c r="B1865" s="50" t="s">
        <v>88</v>
      </c>
      <c r="C1865" s="50" t="s">
        <v>242</v>
      </c>
      <c r="D1865" s="51">
        <v>3953</v>
      </c>
      <c r="E1865" s="51">
        <v>109953</v>
      </c>
      <c r="F1865" s="52">
        <v>7677</v>
      </c>
      <c r="G1865" s="53">
        <v>6.9820741999999996</v>
      </c>
    </row>
    <row r="1866" spans="1:7">
      <c r="A1866" s="50" t="s">
        <v>979</v>
      </c>
      <c r="B1866" s="50" t="s">
        <v>88</v>
      </c>
      <c r="C1866" s="50" t="s">
        <v>240</v>
      </c>
      <c r="D1866" s="51">
        <v>6636</v>
      </c>
      <c r="E1866" s="51">
        <v>671486</v>
      </c>
      <c r="F1866" s="52">
        <v>55977.599999999999</v>
      </c>
      <c r="G1866" s="53">
        <v>8.3363762999999995</v>
      </c>
    </row>
    <row r="1867" spans="1:7">
      <c r="A1867" s="50" t="s">
        <v>1851</v>
      </c>
      <c r="B1867" s="50" t="s">
        <v>88</v>
      </c>
      <c r="C1867" s="50" t="s">
        <v>240</v>
      </c>
      <c r="D1867" s="51">
        <v>774</v>
      </c>
      <c r="E1867" s="51">
        <v>30859</v>
      </c>
      <c r="F1867" s="52">
        <v>3356.2</v>
      </c>
      <c r="G1867" s="53">
        <v>10.875920000000001</v>
      </c>
    </row>
    <row r="1868" spans="1:7">
      <c r="A1868" s="50" t="s">
        <v>980</v>
      </c>
      <c r="B1868" s="50" t="s">
        <v>88</v>
      </c>
      <c r="C1868" s="50" t="s">
        <v>240</v>
      </c>
      <c r="D1868" s="51">
        <v>3899</v>
      </c>
      <c r="E1868" s="51">
        <v>83974</v>
      </c>
      <c r="F1868" s="52">
        <v>10640</v>
      </c>
      <c r="G1868" s="53">
        <v>12.670589</v>
      </c>
    </row>
    <row r="1869" spans="1:7">
      <c r="A1869" s="50" t="s">
        <v>898</v>
      </c>
      <c r="B1869" s="50" t="s">
        <v>88</v>
      </c>
      <c r="C1869" s="50" t="s">
        <v>240</v>
      </c>
      <c r="D1869" s="51">
        <v>1111</v>
      </c>
      <c r="E1869" s="51">
        <v>70238</v>
      </c>
      <c r="F1869" s="52">
        <v>7315</v>
      </c>
      <c r="G1869" s="53">
        <v>10.41459</v>
      </c>
    </row>
    <row r="1870" spans="1:7">
      <c r="A1870" s="50" t="s">
        <v>901</v>
      </c>
      <c r="B1870" s="50" t="s">
        <v>88</v>
      </c>
      <c r="C1870" s="50" t="s">
        <v>240</v>
      </c>
      <c r="D1870" s="51">
        <v>13022</v>
      </c>
      <c r="E1870" s="51">
        <v>4459225</v>
      </c>
      <c r="F1870" s="52">
        <v>323447.59999999998</v>
      </c>
      <c r="G1870" s="53">
        <v>7.2534486999999999</v>
      </c>
    </row>
    <row r="1871" spans="1:7">
      <c r="A1871" s="50" t="s">
        <v>981</v>
      </c>
      <c r="B1871" s="50" t="s">
        <v>88</v>
      </c>
      <c r="C1871" s="50" t="s">
        <v>240</v>
      </c>
      <c r="D1871" s="51">
        <v>4077</v>
      </c>
      <c r="E1871" s="51">
        <v>134538</v>
      </c>
      <c r="F1871" s="52">
        <v>15010</v>
      </c>
      <c r="G1871" s="53">
        <v>11.156699</v>
      </c>
    </row>
    <row r="1872" spans="1:7">
      <c r="A1872" s="50" t="s">
        <v>903</v>
      </c>
      <c r="B1872" s="50" t="s">
        <v>88</v>
      </c>
      <c r="C1872" s="50" t="s">
        <v>237</v>
      </c>
      <c r="D1872" s="51">
        <v>93065</v>
      </c>
      <c r="E1872" s="51">
        <v>2102091</v>
      </c>
      <c r="F1872" s="52">
        <v>203189</v>
      </c>
      <c r="G1872" s="53">
        <v>9.6660421000000003</v>
      </c>
    </row>
    <row r="1873" spans="1:7">
      <c r="A1873" s="50" t="s">
        <v>982</v>
      </c>
      <c r="B1873" s="50" t="s">
        <v>88</v>
      </c>
      <c r="C1873" s="50" t="s">
        <v>240</v>
      </c>
      <c r="D1873" s="51">
        <v>8559</v>
      </c>
      <c r="E1873" s="51">
        <v>160382</v>
      </c>
      <c r="F1873" s="52">
        <v>20678</v>
      </c>
      <c r="G1873" s="53">
        <v>12.892968</v>
      </c>
    </row>
    <row r="1874" spans="1:7">
      <c r="A1874" s="50" t="s">
        <v>983</v>
      </c>
      <c r="B1874" s="50" t="s">
        <v>88</v>
      </c>
      <c r="C1874" s="50" t="s">
        <v>240</v>
      </c>
      <c r="D1874" s="51">
        <v>20547</v>
      </c>
      <c r="E1874" s="51">
        <v>2617630</v>
      </c>
      <c r="F1874" s="52">
        <v>296325.90000000002</v>
      </c>
      <c r="G1874" s="53">
        <v>11.320389</v>
      </c>
    </row>
    <row r="1875" spans="1:7">
      <c r="A1875" s="50" t="s">
        <v>984</v>
      </c>
      <c r="B1875" s="50" t="s">
        <v>88</v>
      </c>
      <c r="C1875" s="50" t="s">
        <v>240</v>
      </c>
      <c r="D1875" s="51">
        <v>20220</v>
      </c>
      <c r="E1875" s="51">
        <v>1128452</v>
      </c>
      <c r="F1875" s="52">
        <v>102758</v>
      </c>
      <c r="G1875" s="53">
        <v>9.1061028999999998</v>
      </c>
    </row>
    <row r="1876" spans="1:7">
      <c r="A1876" s="50" t="s">
        <v>985</v>
      </c>
      <c r="B1876" s="50" t="s">
        <v>88</v>
      </c>
      <c r="C1876" s="50" t="s">
        <v>240</v>
      </c>
      <c r="D1876" s="51">
        <v>7650</v>
      </c>
      <c r="E1876" s="51">
        <v>252783</v>
      </c>
      <c r="F1876" s="52">
        <v>26588.400000000001</v>
      </c>
      <c r="G1876" s="53">
        <v>10.518271</v>
      </c>
    </row>
    <row r="1877" spans="1:7">
      <c r="A1877" s="50" t="s">
        <v>986</v>
      </c>
      <c r="B1877" s="50" t="s">
        <v>88</v>
      </c>
      <c r="C1877" s="50" t="s">
        <v>240</v>
      </c>
      <c r="D1877" s="51">
        <v>11678</v>
      </c>
      <c r="E1877" s="51">
        <v>443156</v>
      </c>
      <c r="F1877" s="52">
        <v>42171</v>
      </c>
      <c r="G1877" s="53">
        <v>9.5160620999999992</v>
      </c>
    </row>
    <row r="1878" spans="1:7">
      <c r="A1878" s="50" t="s">
        <v>792</v>
      </c>
      <c r="B1878" s="50" t="s">
        <v>88</v>
      </c>
      <c r="C1878" s="50" t="s">
        <v>237</v>
      </c>
      <c r="D1878" s="51">
        <v>94479</v>
      </c>
      <c r="E1878" s="51">
        <v>2213172</v>
      </c>
      <c r="F1878" s="52">
        <v>201521.9</v>
      </c>
      <c r="G1878" s="53">
        <v>9.1055688000000004</v>
      </c>
    </row>
    <row r="1879" spans="1:7">
      <c r="A1879" s="50" t="s">
        <v>794</v>
      </c>
      <c r="B1879" s="50" t="s">
        <v>88</v>
      </c>
      <c r="C1879" s="50" t="s">
        <v>237</v>
      </c>
      <c r="D1879" s="51">
        <v>59181</v>
      </c>
      <c r="E1879" s="51">
        <v>1820322</v>
      </c>
      <c r="F1879" s="52">
        <v>153052</v>
      </c>
      <c r="G1879" s="53">
        <v>8.4079630000000005</v>
      </c>
    </row>
    <row r="1880" spans="1:7">
      <c r="A1880" s="50" t="s">
        <v>1904</v>
      </c>
      <c r="B1880" s="50" t="s">
        <v>88</v>
      </c>
      <c r="C1880" s="50" t="s">
        <v>240</v>
      </c>
      <c r="D1880" s="51">
        <v>14792</v>
      </c>
      <c r="E1880" s="51">
        <v>788318</v>
      </c>
      <c r="F1880" s="52">
        <v>80020</v>
      </c>
      <c r="G1880" s="53">
        <v>10.150726000000001</v>
      </c>
    </row>
    <row r="1881" spans="1:7">
      <c r="A1881" s="50" t="s">
        <v>907</v>
      </c>
      <c r="B1881" s="50" t="s">
        <v>88</v>
      </c>
      <c r="C1881" s="50" t="s">
        <v>240</v>
      </c>
      <c r="D1881" s="51">
        <v>423</v>
      </c>
      <c r="E1881" s="51">
        <v>32921</v>
      </c>
      <c r="F1881" s="52">
        <v>4670</v>
      </c>
      <c r="G1881" s="53">
        <v>14.185473999999999</v>
      </c>
    </row>
    <row r="1882" spans="1:7">
      <c r="A1882" s="50" t="s">
        <v>987</v>
      </c>
      <c r="B1882" s="50" t="s">
        <v>88</v>
      </c>
      <c r="C1882" s="50" t="s">
        <v>240</v>
      </c>
      <c r="D1882" s="51">
        <v>4012</v>
      </c>
      <c r="E1882" s="51">
        <v>413440</v>
      </c>
      <c r="F1882" s="52">
        <v>33374</v>
      </c>
      <c r="G1882" s="53">
        <v>8.0722716999999999</v>
      </c>
    </row>
    <row r="1883" spans="1:7">
      <c r="A1883" s="50" t="s">
        <v>803</v>
      </c>
      <c r="B1883" s="50" t="s">
        <v>88</v>
      </c>
      <c r="C1883" s="50" t="s">
        <v>240</v>
      </c>
      <c r="D1883" s="51">
        <v>35</v>
      </c>
      <c r="E1883" s="51">
        <v>647</v>
      </c>
      <c r="F1883" s="52">
        <v>75</v>
      </c>
      <c r="G1883" s="53">
        <v>11.591963</v>
      </c>
    </row>
    <row r="1884" spans="1:7">
      <c r="A1884" s="50" t="s">
        <v>988</v>
      </c>
      <c r="B1884" s="50" t="s">
        <v>88</v>
      </c>
      <c r="C1884" s="50" t="s">
        <v>240</v>
      </c>
      <c r="D1884" s="51">
        <v>16374</v>
      </c>
      <c r="E1884" s="51">
        <v>599807</v>
      </c>
      <c r="F1884" s="52">
        <v>52741.1</v>
      </c>
      <c r="G1884" s="53">
        <v>8.7930118000000004</v>
      </c>
    </row>
    <row r="1885" spans="1:7">
      <c r="A1885" s="50" t="s">
        <v>357</v>
      </c>
      <c r="B1885" s="50" t="s">
        <v>88</v>
      </c>
      <c r="C1885" s="50" t="s">
        <v>295</v>
      </c>
      <c r="D1885" s="51">
        <v>24</v>
      </c>
      <c r="E1885" s="51">
        <v>194811</v>
      </c>
      <c r="F1885" s="52">
        <v>4649.7</v>
      </c>
      <c r="G1885" s="53">
        <v>2.3867748999999998</v>
      </c>
    </row>
    <row r="1886" spans="1:7">
      <c r="A1886" s="50" t="s">
        <v>989</v>
      </c>
      <c r="B1886" s="50" t="s">
        <v>69</v>
      </c>
      <c r="C1886" s="50" t="s">
        <v>242</v>
      </c>
      <c r="D1886" s="51">
        <v>2688</v>
      </c>
      <c r="E1886" s="51">
        <v>57338</v>
      </c>
      <c r="F1886" s="52">
        <v>5377</v>
      </c>
      <c r="G1886" s="53">
        <v>9.3777250999999993</v>
      </c>
    </row>
    <row r="1887" spans="1:7">
      <c r="A1887" s="50" t="s">
        <v>990</v>
      </c>
      <c r="B1887" s="50" t="s">
        <v>69</v>
      </c>
      <c r="C1887" s="50" t="s">
        <v>325</v>
      </c>
      <c r="D1887" s="51">
        <v>4185</v>
      </c>
      <c r="E1887" s="51">
        <v>90882</v>
      </c>
      <c r="F1887" s="52">
        <v>12386</v>
      </c>
      <c r="G1887" s="53">
        <v>13.628660999999999</v>
      </c>
    </row>
    <row r="1888" spans="1:7">
      <c r="A1888" s="50" t="s">
        <v>991</v>
      </c>
      <c r="B1888" s="50" t="s">
        <v>69</v>
      </c>
      <c r="C1888" s="50" t="s">
        <v>325</v>
      </c>
      <c r="D1888" s="51">
        <v>6313</v>
      </c>
      <c r="E1888" s="51">
        <v>193672</v>
      </c>
      <c r="F1888" s="52">
        <v>19567</v>
      </c>
      <c r="G1888" s="53">
        <v>10.103164</v>
      </c>
    </row>
    <row r="1889" spans="1:7">
      <c r="A1889" s="50" t="s">
        <v>992</v>
      </c>
      <c r="B1889" s="50" t="s">
        <v>69</v>
      </c>
      <c r="C1889" s="50" t="s">
        <v>325</v>
      </c>
      <c r="D1889" s="51">
        <v>7450</v>
      </c>
      <c r="E1889" s="51">
        <v>253522</v>
      </c>
      <c r="F1889" s="52">
        <v>22374</v>
      </c>
      <c r="G1889" s="53">
        <v>8.8252696000000004</v>
      </c>
    </row>
    <row r="1890" spans="1:7">
      <c r="A1890" s="50" t="s">
        <v>993</v>
      </c>
      <c r="B1890" s="50" t="s">
        <v>69</v>
      </c>
      <c r="C1890" s="50" t="s">
        <v>240</v>
      </c>
      <c r="D1890" s="51">
        <v>1095</v>
      </c>
      <c r="E1890" s="51">
        <v>22263</v>
      </c>
      <c r="F1890" s="52">
        <v>2687.9</v>
      </c>
      <c r="G1890" s="53">
        <v>12.073395</v>
      </c>
    </row>
    <row r="1891" spans="1:7">
      <c r="A1891" s="50" t="s">
        <v>994</v>
      </c>
      <c r="B1891" s="50" t="s">
        <v>69</v>
      </c>
      <c r="C1891" s="50" t="s">
        <v>325</v>
      </c>
      <c r="D1891" s="51">
        <v>3229</v>
      </c>
      <c r="E1891" s="51">
        <v>47209</v>
      </c>
      <c r="F1891" s="52">
        <v>6655</v>
      </c>
      <c r="G1891" s="53">
        <v>14.096888</v>
      </c>
    </row>
    <row r="1892" spans="1:7">
      <c r="A1892" s="50" t="s">
        <v>995</v>
      </c>
      <c r="B1892" s="50" t="s">
        <v>69</v>
      </c>
      <c r="C1892" s="50" t="s">
        <v>242</v>
      </c>
      <c r="D1892" s="51">
        <v>5266</v>
      </c>
      <c r="E1892" s="51">
        <v>108070</v>
      </c>
      <c r="F1892" s="52">
        <v>13012.9</v>
      </c>
      <c r="G1892" s="53">
        <v>12.041176999999999</v>
      </c>
    </row>
    <row r="1893" spans="1:7">
      <c r="A1893" s="50" t="s">
        <v>1905</v>
      </c>
      <c r="B1893" s="50" t="s">
        <v>69</v>
      </c>
      <c r="C1893" s="50" t="s">
        <v>242</v>
      </c>
      <c r="D1893" s="51">
        <v>342</v>
      </c>
      <c r="E1893" s="51">
        <v>3926</v>
      </c>
      <c r="F1893" s="52">
        <v>624</v>
      </c>
      <c r="G1893" s="53">
        <v>15.89404</v>
      </c>
    </row>
    <row r="1894" spans="1:7">
      <c r="A1894" s="50" t="s">
        <v>1906</v>
      </c>
      <c r="B1894" s="50" t="s">
        <v>69</v>
      </c>
      <c r="C1894" s="50" t="s">
        <v>242</v>
      </c>
      <c r="D1894" s="51">
        <v>723</v>
      </c>
      <c r="E1894" s="51">
        <v>10006</v>
      </c>
      <c r="F1894" s="52">
        <v>1483.2</v>
      </c>
      <c r="G1894" s="53">
        <v>14.823105999999999</v>
      </c>
    </row>
    <row r="1895" spans="1:7">
      <c r="A1895" s="50" t="s">
        <v>1907</v>
      </c>
      <c r="B1895" s="50" t="s">
        <v>69</v>
      </c>
      <c r="C1895" s="50" t="s">
        <v>242</v>
      </c>
      <c r="D1895" s="51">
        <v>584</v>
      </c>
      <c r="E1895" s="51">
        <v>10704</v>
      </c>
      <c r="F1895" s="52">
        <v>1130.5</v>
      </c>
      <c r="G1895" s="53">
        <v>10.561472</v>
      </c>
    </row>
    <row r="1896" spans="1:7">
      <c r="A1896" s="50" t="s">
        <v>1908</v>
      </c>
      <c r="B1896" s="50" t="s">
        <v>69</v>
      </c>
      <c r="C1896" s="50" t="s">
        <v>242</v>
      </c>
      <c r="D1896" s="51">
        <v>581</v>
      </c>
      <c r="E1896" s="51">
        <v>8396</v>
      </c>
      <c r="F1896" s="52">
        <v>1219</v>
      </c>
      <c r="G1896" s="53">
        <v>14.518818</v>
      </c>
    </row>
    <row r="1897" spans="1:7">
      <c r="A1897" s="50" t="s">
        <v>996</v>
      </c>
      <c r="B1897" s="50" t="s">
        <v>69</v>
      </c>
      <c r="C1897" s="50" t="s">
        <v>242</v>
      </c>
      <c r="D1897" s="51">
        <v>6821</v>
      </c>
      <c r="E1897" s="51">
        <v>178508</v>
      </c>
      <c r="F1897" s="52">
        <v>15693</v>
      </c>
      <c r="G1897" s="53">
        <v>8.7912026000000001</v>
      </c>
    </row>
    <row r="1898" spans="1:7">
      <c r="A1898" s="50" t="s">
        <v>1909</v>
      </c>
      <c r="B1898" s="50" t="s">
        <v>69</v>
      </c>
      <c r="C1898" s="50" t="s">
        <v>242</v>
      </c>
      <c r="D1898" s="51">
        <v>296</v>
      </c>
      <c r="E1898" s="51">
        <v>5409</v>
      </c>
      <c r="F1898" s="52">
        <v>813</v>
      </c>
      <c r="G1898" s="53">
        <v>15.030505</v>
      </c>
    </row>
    <row r="1899" spans="1:7">
      <c r="A1899" s="50" t="s">
        <v>1910</v>
      </c>
      <c r="B1899" s="50" t="s">
        <v>69</v>
      </c>
      <c r="C1899" s="50" t="s">
        <v>242</v>
      </c>
      <c r="D1899" s="51">
        <v>693</v>
      </c>
      <c r="E1899" s="51">
        <v>13093</v>
      </c>
      <c r="F1899" s="52">
        <v>1142</v>
      </c>
      <c r="G1899" s="53">
        <v>8.7222179999999998</v>
      </c>
    </row>
    <row r="1900" spans="1:7">
      <c r="A1900" s="50" t="s">
        <v>1911</v>
      </c>
      <c r="B1900" s="50" t="s">
        <v>69</v>
      </c>
      <c r="C1900" s="50" t="s">
        <v>242</v>
      </c>
      <c r="D1900" s="51">
        <v>489</v>
      </c>
      <c r="E1900" s="51">
        <v>7755</v>
      </c>
      <c r="F1900" s="52">
        <v>725</v>
      </c>
      <c r="G1900" s="53">
        <v>9.3488071999999995</v>
      </c>
    </row>
    <row r="1901" spans="1:7">
      <c r="A1901" s="50" t="s">
        <v>1912</v>
      </c>
      <c r="B1901" s="50" t="s">
        <v>69</v>
      </c>
      <c r="C1901" s="50" t="s">
        <v>242</v>
      </c>
      <c r="D1901" s="51">
        <v>908</v>
      </c>
      <c r="E1901" s="51">
        <v>16459</v>
      </c>
      <c r="F1901" s="52">
        <v>1863.3</v>
      </c>
      <c r="G1901" s="53">
        <v>11.320857999999999</v>
      </c>
    </row>
    <row r="1902" spans="1:7">
      <c r="A1902" s="50" t="s">
        <v>997</v>
      </c>
      <c r="B1902" s="50" t="s">
        <v>69</v>
      </c>
      <c r="C1902" s="50" t="s">
        <v>242</v>
      </c>
      <c r="D1902" s="51">
        <v>3038</v>
      </c>
      <c r="E1902" s="51">
        <v>98293</v>
      </c>
      <c r="F1902" s="52">
        <v>10124</v>
      </c>
      <c r="G1902" s="53">
        <v>10.299818</v>
      </c>
    </row>
    <row r="1903" spans="1:7">
      <c r="A1903" s="50" t="s">
        <v>1913</v>
      </c>
      <c r="B1903" s="50" t="s">
        <v>69</v>
      </c>
      <c r="C1903" s="50" t="s">
        <v>242</v>
      </c>
      <c r="D1903" s="51">
        <v>695</v>
      </c>
      <c r="E1903" s="51">
        <v>12287</v>
      </c>
      <c r="F1903" s="52">
        <v>1788</v>
      </c>
      <c r="G1903" s="53">
        <v>14.551964999999999</v>
      </c>
    </row>
    <row r="1904" spans="1:7">
      <c r="A1904" s="50" t="s">
        <v>998</v>
      </c>
      <c r="B1904" s="50" t="s">
        <v>69</v>
      </c>
      <c r="C1904" s="50" t="s">
        <v>242</v>
      </c>
      <c r="D1904" s="51">
        <v>612</v>
      </c>
      <c r="E1904" s="51">
        <v>48038</v>
      </c>
      <c r="F1904" s="52">
        <v>3553</v>
      </c>
      <c r="G1904" s="53">
        <v>7.3962279999999998</v>
      </c>
    </row>
    <row r="1905" spans="1:7">
      <c r="A1905" s="50" t="s">
        <v>999</v>
      </c>
      <c r="B1905" s="50" t="s">
        <v>69</v>
      </c>
      <c r="C1905" s="50" t="s">
        <v>242</v>
      </c>
      <c r="D1905" s="51">
        <v>1702</v>
      </c>
      <c r="E1905" s="51">
        <v>33200</v>
      </c>
      <c r="F1905" s="52">
        <v>3551</v>
      </c>
      <c r="G1905" s="53">
        <v>10.695783</v>
      </c>
    </row>
    <row r="1906" spans="1:7">
      <c r="A1906" s="50" t="s">
        <v>1914</v>
      </c>
      <c r="B1906" s="50" t="s">
        <v>69</v>
      </c>
      <c r="C1906" s="50" t="s">
        <v>242</v>
      </c>
      <c r="D1906" s="51">
        <v>774</v>
      </c>
      <c r="E1906" s="51">
        <v>8955</v>
      </c>
      <c r="F1906" s="52">
        <v>916</v>
      </c>
      <c r="G1906" s="53">
        <v>10.228922000000001</v>
      </c>
    </row>
    <row r="1907" spans="1:7">
      <c r="A1907" s="50" t="s">
        <v>1000</v>
      </c>
      <c r="B1907" s="50" t="s">
        <v>69</v>
      </c>
      <c r="C1907" s="50" t="s">
        <v>242</v>
      </c>
      <c r="D1907" s="51">
        <v>3203</v>
      </c>
      <c r="E1907" s="51">
        <v>120907</v>
      </c>
      <c r="F1907" s="52">
        <v>11342</v>
      </c>
      <c r="G1907" s="53">
        <v>9.3807636999999993</v>
      </c>
    </row>
    <row r="1908" spans="1:7">
      <c r="A1908" s="50" t="s">
        <v>1915</v>
      </c>
      <c r="B1908" s="50" t="s">
        <v>69</v>
      </c>
      <c r="C1908" s="50" t="s">
        <v>242</v>
      </c>
      <c r="D1908" s="51">
        <v>697</v>
      </c>
      <c r="E1908" s="51">
        <v>14519</v>
      </c>
      <c r="F1908" s="52">
        <v>1679</v>
      </c>
      <c r="G1908" s="53">
        <v>11.564157</v>
      </c>
    </row>
    <row r="1909" spans="1:7">
      <c r="A1909" s="50" t="s">
        <v>1001</v>
      </c>
      <c r="B1909" s="50" t="s">
        <v>69</v>
      </c>
      <c r="C1909" s="50" t="s">
        <v>242</v>
      </c>
      <c r="D1909" s="51">
        <v>1492</v>
      </c>
      <c r="E1909" s="51">
        <v>40367</v>
      </c>
      <c r="F1909" s="52">
        <v>4369</v>
      </c>
      <c r="G1909" s="53">
        <v>10.823197</v>
      </c>
    </row>
    <row r="1910" spans="1:7">
      <c r="A1910" s="50" t="s">
        <v>1916</v>
      </c>
      <c r="B1910" s="50" t="s">
        <v>69</v>
      </c>
      <c r="C1910" s="50" t="s">
        <v>242</v>
      </c>
      <c r="D1910" s="51">
        <v>498</v>
      </c>
      <c r="E1910" s="51">
        <v>7714</v>
      </c>
      <c r="F1910" s="52">
        <v>856</v>
      </c>
      <c r="G1910" s="53">
        <v>11.096707</v>
      </c>
    </row>
    <row r="1911" spans="1:7">
      <c r="A1911" s="50" t="s">
        <v>1917</v>
      </c>
      <c r="B1911" s="50" t="s">
        <v>69</v>
      </c>
      <c r="C1911" s="50" t="s">
        <v>242</v>
      </c>
      <c r="D1911" s="51">
        <v>435</v>
      </c>
      <c r="E1911" s="51">
        <v>6012</v>
      </c>
      <c r="F1911" s="52">
        <v>649</v>
      </c>
      <c r="G1911" s="53">
        <v>10.795076999999999</v>
      </c>
    </row>
    <row r="1912" spans="1:7">
      <c r="A1912" s="50" t="s">
        <v>1002</v>
      </c>
      <c r="B1912" s="50" t="s">
        <v>69</v>
      </c>
      <c r="C1912" s="50" t="s">
        <v>242</v>
      </c>
      <c r="D1912" s="51">
        <v>3064</v>
      </c>
      <c r="E1912" s="51">
        <v>83042</v>
      </c>
      <c r="F1912" s="52">
        <v>9071</v>
      </c>
      <c r="G1912" s="53">
        <v>10.923387999999999</v>
      </c>
    </row>
    <row r="1913" spans="1:7">
      <c r="A1913" s="50" t="s">
        <v>1003</v>
      </c>
      <c r="B1913" s="50" t="s">
        <v>69</v>
      </c>
      <c r="C1913" s="50" t="s">
        <v>242</v>
      </c>
      <c r="D1913" s="51">
        <v>2667</v>
      </c>
      <c r="E1913" s="51">
        <v>56140</v>
      </c>
      <c r="F1913" s="52">
        <v>5829</v>
      </c>
      <c r="G1913" s="53">
        <v>10.382971</v>
      </c>
    </row>
    <row r="1914" spans="1:7">
      <c r="A1914" s="50" t="s">
        <v>1918</v>
      </c>
      <c r="B1914" s="50" t="s">
        <v>69</v>
      </c>
      <c r="C1914" s="50" t="s">
        <v>242</v>
      </c>
      <c r="D1914" s="51">
        <v>596</v>
      </c>
      <c r="E1914" s="51">
        <v>10462</v>
      </c>
      <c r="F1914" s="52">
        <v>1315.6</v>
      </c>
      <c r="G1914" s="53">
        <v>12.575032999999999</v>
      </c>
    </row>
    <row r="1915" spans="1:7">
      <c r="A1915" s="50" t="s">
        <v>1004</v>
      </c>
      <c r="B1915" s="50" t="s">
        <v>69</v>
      </c>
      <c r="C1915" s="50" t="s">
        <v>242</v>
      </c>
      <c r="D1915" s="51">
        <v>15344</v>
      </c>
      <c r="E1915" s="51">
        <v>435928</v>
      </c>
      <c r="F1915" s="52">
        <v>40277</v>
      </c>
      <c r="G1915" s="53">
        <v>9.2393698000000004</v>
      </c>
    </row>
    <row r="1916" spans="1:7">
      <c r="A1916" s="50" t="s">
        <v>1919</v>
      </c>
      <c r="B1916" s="50" t="s">
        <v>69</v>
      </c>
      <c r="C1916" s="50" t="s">
        <v>242</v>
      </c>
      <c r="D1916" s="51">
        <v>645</v>
      </c>
      <c r="E1916" s="51">
        <v>10733</v>
      </c>
      <c r="F1916" s="52">
        <v>1225</v>
      </c>
      <c r="G1916" s="53">
        <v>11.413398000000001</v>
      </c>
    </row>
    <row r="1917" spans="1:7">
      <c r="A1917" s="50" t="s">
        <v>1005</v>
      </c>
      <c r="B1917" s="50" t="s">
        <v>69</v>
      </c>
      <c r="C1917" s="50" t="s">
        <v>242</v>
      </c>
      <c r="D1917" s="51">
        <v>4682</v>
      </c>
      <c r="E1917" s="51">
        <v>61886</v>
      </c>
      <c r="F1917" s="52">
        <v>9308</v>
      </c>
      <c r="G1917" s="53">
        <v>15.040558000000001</v>
      </c>
    </row>
    <row r="1918" spans="1:7">
      <c r="A1918" s="50" t="s">
        <v>1920</v>
      </c>
      <c r="B1918" s="50" t="s">
        <v>69</v>
      </c>
      <c r="C1918" s="50" t="s">
        <v>242</v>
      </c>
      <c r="D1918" s="51">
        <v>229</v>
      </c>
      <c r="E1918" s="51">
        <v>5122</v>
      </c>
      <c r="F1918" s="52">
        <v>692</v>
      </c>
      <c r="G1918" s="53">
        <v>13.510348</v>
      </c>
    </row>
    <row r="1919" spans="1:7">
      <c r="A1919" s="50" t="s">
        <v>1006</v>
      </c>
      <c r="B1919" s="50" t="s">
        <v>69</v>
      </c>
      <c r="C1919" s="50" t="s">
        <v>242</v>
      </c>
      <c r="D1919" s="51">
        <v>1883</v>
      </c>
      <c r="E1919" s="51">
        <v>55485</v>
      </c>
      <c r="F1919" s="52">
        <v>5161.7</v>
      </c>
      <c r="G1919" s="53">
        <v>9.3028747000000003</v>
      </c>
    </row>
    <row r="1920" spans="1:7">
      <c r="A1920" s="50" t="s">
        <v>1007</v>
      </c>
      <c r="B1920" s="50" t="s">
        <v>69</v>
      </c>
      <c r="C1920" s="50" t="s">
        <v>242</v>
      </c>
      <c r="D1920" s="51">
        <v>26269</v>
      </c>
      <c r="E1920" s="51">
        <v>721257</v>
      </c>
      <c r="F1920" s="52">
        <v>62388</v>
      </c>
      <c r="G1920" s="53">
        <v>8.6498986999999996</v>
      </c>
    </row>
    <row r="1921" spans="1:7">
      <c r="A1921" s="50" t="s">
        <v>1921</v>
      </c>
      <c r="B1921" s="50" t="s">
        <v>69</v>
      </c>
      <c r="C1921" s="50" t="s">
        <v>242</v>
      </c>
      <c r="D1921" s="51">
        <v>800</v>
      </c>
      <c r="E1921" s="51">
        <v>17328</v>
      </c>
      <c r="F1921" s="52">
        <v>2131.6999999999998</v>
      </c>
      <c r="G1921" s="53">
        <v>12.302054</v>
      </c>
    </row>
    <row r="1922" spans="1:7">
      <c r="A1922" s="50" t="s">
        <v>1008</v>
      </c>
      <c r="B1922" s="50" t="s">
        <v>69</v>
      </c>
      <c r="C1922" s="50" t="s">
        <v>242</v>
      </c>
      <c r="D1922" s="51">
        <v>13493</v>
      </c>
      <c r="E1922" s="51">
        <v>422757</v>
      </c>
      <c r="F1922" s="52">
        <v>35826.300000000003</v>
      </c>
      <c r="G1922" s="53">
        <v>8.4744428000000003</v>
      </c>
    </row>
    <row r="1923" spans="1:7">
      <c r="A1923" s="50" t="s">
        <v>1009</v>
      </c>
      <c r="B1923" s="50" t="s">
        <v>69</v>
      </c>
      <c r="C1923" s="50" t="s">
        <v>242</v>
      </c>
      <c r="D1923" s="51">
        <v>949</v>
      </c>
      <c r="E1923" s="51">
        <v>22385</v>
      </c>
      <c r="F1923" s="52">
        <v>1988</v>
      </c>
      <c r="G1923" s="53">
        <v>8.8809471000000002</v>
      </c>
    </row>
    <row r="1924" spans="1:7">
      <c r="A1924" s="50" t="s">
        <v>1922</v>
      </c>
      <c r="B1924" s="50" t="s">
        <v>69</v>
      </c>
      <c r="C1924" s="50" t="s">
        <v>242</v>
      </c>
      <c r="D1924" s="51">
        <v>1085</v>
      </c>
      <c r="E1924" s="51">
        <v>14322</v>
      </c>
      <c r="F1924" s="52">
        <v>1366</v>
      </c>
      <c r="G1924" s="53">
        <v>9.5377741</v>
      </c>
    </row>
    <row r="1925" spans="1:7">
      <c r="A1925" s="50" t="s">
        <v>1010</v>
      </c>
      <c r="B1925" s="50" t="s">
        <v>69</v>
      </c>
      <c r="C1925" s="50" t="s">
        <v>242</v>
      </c>
      <c r="D1925" s="51">
        <v>3294</v>
      </c>
      <c r="E1925" s="51">
        <v>115149</v>
      </c>
      <c r="F1925" s="52">
        <v>8881.4</v>
      </c>
      <c r="G1925" s="53">
        <v>7.7129631999999999</v>
      </c>
    </row>
    <row r="1926" spans="1:7">
      <c r="A1926" s="50" t="s">
        <v>1923</v>
      </c>
      <c r="B1926" s="50" t="s">
        <v>69</v>
      </c>
      <c r="C1926" s="50" t="s">
        <v>242</v>
      </c>
      <c r="D1926" s="51">
        <v>56</v>
      </c>
      <c r="E1926" s="51">
        <v>877</v>
      </c>
      <c r="F1926" s="52">
        <v>112</v>
      </c>
      <c r="G1926" s="53">
        <v>12.770810000000001</v>
      </c>
    </row>
    <row r="1927" spans="1:7">
      <c r="A1927" s="50" t="s">
        <v>1011</v>
      </c>
      <c r="B1927" s="50" t="s">
        <v>69</v>
      </c>
      <c r="C1927" s="50" t="s">
        <v>242</v>
      </c>
      <c r="D1927" s="51">
        <v>1149</v>
      </c>
      <c r="E1927" s="51">
        <v>32122</v>
      </c>
      <c r="F1927" s="52">
        <v>3683</v>
      </c>
      <c r="G1927" s="53">
        <v>11.465662</v>
      </c>
    </row>
    <row r="1928" spans="1:7">
      <c r="A1928" s="50" t="s">
        <v>1924</v>
      </c>
      <c r="B1928" s="50" t="s">
        <v>69</v>
      </c>
      <c r="C1928" s="50" t="s">
        <v>242</v>
      </c>
      <c r="D1928" s="51">
        <v>370</v>
      </c>
      <c r="E1928" s="51">
        <v>4547</v>
      </c>
      <c r="F1928" s="52">
        <v>538.1</v>
      </c>
      <c r="G1928" s="53">
        <v>11.834175999999999</v>
      </c>
    </row>
    <row r="1929" spans="1:7">
      <c r="A1929" s="50" t="s">
        <v>1012</v>
      </c>
      <c r="B1929" s="50" t="s">
        <v>69</v>
      </c>
      <c r="C1929" s="50" t="s">
        <v>242</v>
      </c>
      <c r="D1929" s="51">
        <v>1900</v>
      </c>
      <c r="E1929" s="51">
        <v>21358</v>
      </c>
      <c r="F1929" s="52">
        <v>3293</v>
      </c>
      <c r="G1929" s="53">
        <v>15.41811</v>
      </c>
    </row>
    <row r="1930" spans="1:7">
      <c r="A1930" s="50" t="s">
        <v>1925</v>
      </c>
      <c r="B1930" s="50" t="s">
        <v>69</v>
      </c>
      <c r="C1930" s="50" t="s">
        <v>242</v>
      </c>
      <c r="D1930" s="51">
        <v>625</v>
      </c>
      <c r="E1930" s="51">
        <v>11541</v>
      </c>
      <c r="F1930" s="52">
        <v>1279</v>
      </c>
      <c r="G1930" s="53">
        <v>11.082229</v>
      </c>
    </row>
    <row r="1931" spans="1:7">
      <c r="A1931" s="50" t="s">
        <v>1013</v>
      </c>
      <c r="B1931" s="50" t="s">
        <v>69</v>
      </c>
      <c r="C1931" s="50" t="s">
        <v>242</v>
      </c>
      <c r="D1931" s="51">
        <v>4300</v>
      </c>
      <c r="E1931" s="51">
        <v>226886</v>
      </c>
      <c r="F1931" s="52">
        <v>18051.5</v>
      </c>
      <c r="G1931" s="53">
        <v>7.9561982999999996</v>
      </c>
    </row>
    <row r="1932" spans="1:7">
      <c r="A1932" s="50" t="s">
        <v>1926</v>
      </c>
      <c r="B1932" s="50" t="s">
        <v>69</v>
      </c>
      <c r="C1932" s="50" t="s">
        <v>242</v>
      </c>
      <c r="D1932" s="51">
        <v>237</v>
      </c>
      <c r="E1932" s="51">
        <v>3487</v>
      </c>
      <c r="F1932" s="52">
        <v>278.10000000000002</v>
      </c>
      <c r="G1932" s="53">
        <v>7.9753369999999997</v>
      </c>
    </row>
    <row r="1933" spans="1:7">
      <c r="A1933" s="50" t="s">
        <v>1927</v>
      </c>
      <c r="B1933" s="50" t="s">
        <v>69</v>
      </c>
      <c r="C1933" s="50" t="s">
        <v>242</v>
      </c>
      <c r="D1933" s="51">
        <v>563</v>
      </c>
      <c r="E1933" s="51">
        <v>8110</v>
      </c>
      <c r="F1933" s="52">
        <v>866</v>
      </c>
      <c r="G1933" s="53">
        <v>10.678175</v>
      </c>
    </row>
    <row r="1934" spans="1:7">
      <c r="A1934" s="50" t="s">
        <v>1014</v>
      </c>
      <c r="B1934" s="50" t="s">
        <v>69</v>
      </c>
      <c r="C1934" s="50" t="s">
        <v>242</v>
      </c>
      <c r="D1934" s="51">
        <v>1006</v>
      </c>
      <c r="E1934" s="51">
        <v>134019</v>
      </c>
      <c r="F1934" s="52">
        <v>6107</v>
      </c>
      <c r="G1934" s="53">
        <v>4.5568166000000003</v>
      </c>
    </row>
    <row r="1935" spans="1:7">
      <c r="A1935" s="50" t="s">
        <v>1015</v>
      </c>
      <c r="B1935" s="50" t="s">
        <v>69</v>
      </c>
      <c r="C1935" s="50" t="s">
        <v>242</v>
      </c>
      <c r="D1935" s="51">
        <v>1624</v>
      </c>
      <c r="E1935" s="51">
        <v>28839</v>
      </c>
      <c r="F1935" s="52">
        <v>3526</v>
      </c>
      <c r="G1935" s="53">
        <v>12.226499</v>
      </c>
    </row>
    <row r="1936" spans="1:7">
      <c r="A1936" s="50" t="s">
        <v>1928</v>
      </c>
      <c r="B1936" s="50" t="s">
        <v>69</v>
      </c>
      <c r="C1936" s="50" t="s">
        <v>242</v>
      </c>
      <c r="D1936" s="51">
        <v>1177</v>
      </c>
      <c r="E1936" s="51">
        <v>14641</v>
      </c>
      <c r="F1936" s="52">
        <v>2327</v>
      </c>
      <c r="G1936" s="53">
        <v>15.893723</v>
      </c>
    </row>
    <row r="1937" spans="1:7">
      <c r="A1937" s="50" t="s">
        <v>1016</v>
      </c>
      <c r="B1937" s="50" t="s">
        <v>69</v>
      </c>
      <c r="C1937" s="50" t="s">
        <v>242</v>
      </c>
      <c r="D1937" s="51">
        <v>5795</v>
      </c>
      <c r="E1937" s="51">
        <v>148803</v>
      </c>
      <c r="F1937" s="52">
        <v>13683</v>
      </c>
      <c r="G1937" s="53">
        <v>9.1953791000000002</v>
      </c>
    </row>
    <row r="1938" spans="1:7">
      <c r="A1938" s="50" t="s">
        <v>1017</v>
      </c>
      <c r="B1938" s="50" t="s">
        <v>69</v>
      </c>
      <c r="C1938" s="50" t="s">
        <v>242</v>
      </c>
      <c r="D1938" s="51">
        <v>1201</v>
      </c>
      <c r="E1938" s="51">
        <v>22575</v>
      </c>
      <c r="F1938" s="52">
        <v>1934</v>
      </c>
      <c r="G1938" s="53">
        <v>8.5669988999999998</v>
      </c>
    </row>
    <row r="1939" spans="1:7">
      <c r="A1939" s="50" t="s">
        <v>1929</v>
      </c>
      <c r="B1939" s="50" t="s">
        <v>69</v>
      </c>
      <c r="C1939" s="50" t="s">
        <v>242</v>
      </c>
      <c r="D1939" s="51">
        <v>337</v>
      </c>
      <c r="E1939" s="51">
        <v>5171</v>
      </c>
      <c r="F1939" s="52">
        <v>546</v>
      </c>
      <c r="G1939" s="53">
        <v>10.558885999999999</v>
      </c>
    </row>
    <row r="1940" spans="1:7">
      <c r="A1940" s="50" t="s">
        <v>1018</v>
      </c>
      <c r="B1940" s="50" t="s">
        <v>69</v>
      </c>
      <c r="C1940" s="50" t="s">
        <v>242</v>
      </c>
      <c r="D1940" s="51">
        <v>13466</v>
      </c>
      <c r="E1940" s="51">
        <v>295025</v>
      </c>
      <c r="F1940" s="52">
        <v>27414</v>
      </c>
      <c r="G1940" s="53">
        <v>9.2920938999999994</v>
      </c>
    </row>
    <row r="1941" spans="1:7">
      <c r="A1941" s="50" t="s">
        <v>1019</v>
      </c>
      <c r="B1941" s="50" t="s">
        <v>69</v>
      </c>
      <c r="C1941" s="50" t="s">
        <v>242</v>
      </c>
      <c r="D1941" s="51">
        <v>1447</v>
      </c>
      <c r="E1941" s="51">
        <v>35257</v>
      </c>
      <c r="F1941" s="52">
        <v>3294</v>
      </c>
      <c r="G1941" s="53">
        <v>9.3428255</v>
      </c>
    </row>
    <row r="1942" spans="1:7">
      <c r="A1942" s="50" t="s">
        <v>1930</v>
      </c>
      <c r="B1942" s="50" t="s">
        <v>69</v>
      </c>
      <c r="C1942" s="50" t="s">
        <v>242</v>
      </c>
      <c r="D1942" s="51">
        <v>686</v>
      </c>
      <c r="E1942" s="51">
        <v>15990</v>
      </c>
      <c r="F1942" s="52">
        <v>1989</v>
      </c>
      <c r="G1942" s="53">
        <v>12.439024</v>
      </c>
    </row>
    <row r="1943" spans="1:7">
      <c r="A1943" s="50" t="s">
        <v>1020</v>
      </c>
      <c r="B1943" s="50" t="s">
        <v>69</v>
      </c>
      <c r="C1943" s="50" t="s">
        <v>242</v>
      </c>
      <c r="D1943" s="51">
        <v>1269</v>
      </c>
      <c r="E1943" s="51">
        <v>20439</v>
      </c>
      <c r="F1943" s="52">
        <v>1984</v>
      </c>
      <c r="G1943" s="53">
        <v>9.7069328000000006</v>
      </c>
    </row>
    <row r="1944" spans="1:7">
      <c r="A1944" s="50" t="s">
        <v>1931</v>
      </c>
      <c r="B1944" s="50" t="s">
        <v>69</v>
      </c>
      <c r="C1944" s="50" t="s">
        <v>242</v>
      </c>
      <c r="D1944" s="51">
        <v>562</v>
      </c>
      <c r="E1944" s="51">
        <v>8376</v>
      </c>
      <c r="F1944" s="52">
        <v>812.5</v>
      </c>
      <c r="G1944" s="53">
        <v>9.7003342999999997</v>
      </c>
    </row>
    <row r="1945" spans="1:7">
      <c r="A1945" s="50" t="s">
        <v>1932</v>
      </c>
      <c r="B1945" s="50" t="s">
        <v>69</v>
      </c>
      <c r="C1945" s="50" t="s">
        <v>242</v>
      </c>
      <c r="D1945" s="51">
        <v>696</v>
      </c>
      <c r="E1945" s="51">
        <v>11526</v>
      </c>
      <c r="F1945" s="52">
        <v>1563</v>
      </c>
      <c r="G1945" s="53">
        <v>13.560644999999999</v>
      </c>
    </row>
    <row r="1946" spans="1:7">
      <c r="A1946" s="50" t="s">
        <v>1933</v>
      </c>
      <c r="B1946" s="50" t="s">
        <v>69</v>
      </c>
      <c r="C1946" s="50" t="s">
        <v>242</v>
      </c>
      <c r="D1946" s="51">
        <v>516</v>
      </c>
      <c r="E1946" s="51">
        <v>6498</v>
      </c>
      <c r="F1946" s="52">
        <v>861</v>
      </c>
      <c r="G1946" s="53">
        <v>13.250230999999999</v>
      </c>
    </row>
    <row r="1947" spans="1:7">
      <c r="A1947" s="50" t="s">
        <v>1021</v>
      </c>
      <c r="B1947" s="50" t="s">
        <v>69</v>
      </c>
      <c r="C1947" s="50" t="s">
        <v>242</v>
      </c>
      <c r="D1947" s="51">
        <v>2628</v>
      </c>
      <c r="E1947" s="51">
        <v>144073</v>
      </c>
      <c r="F1947" s="52">
        <v>11738</v>
      </c>
      <c r="G1947" s="53">
        <v>8.1472587000000001</v>
      </c>
    </row>
    <row r="1948" spans="1:7">
      <c r="A1948" s="50" t="s">
        <v>1934</v>
      </c>
      <c r="B1948" s="50" t="s">
        <v>69</v>
      </c>
      <c r="C1948" s="50" t="s">
        <v>242</v>
      </c>
      <c r="D1948" s="51">
        <v>544</v>
      </c>
      <c r="E1948" s="51">
        <v>8935</v>
      </c>
      <c r="F1948" s="52">
        <v>1100.5</v>
      </c>
      <c r="G1948" s="53">
        <v>12.316732</v>
      </c>
    </row>
    <row r="1949" spans="1:7">
      <c r="A1949" s="50" t="s">
        <v>1022</v>
      </c>
      <c r="B1949" s="50" t="s">
        <v>69</v>
      </c>
      <c r="C1949" s="50" t="s">
        <v>242</v>
      </c>
      <c r="D1949" s="51">
        <v>3432</v>
      </c>
      <c r="E1949" s="51">
        <v>95109</v>
      </c>
      <c r="F1949" s="52">
        <v>9602</v>
      </c>
      <c r="G1949" s="53">
        <v>10.095784999999999</v>
      </c>
    </row>
    <row r="1950" spans="1:7">
      <c r="A1950" s="50" t="s">
        <v>1023</v>
      </c>
      <c r="B1950" s="50" t="s">
        <v>69</v>
      </c>
      <c r="C1950" s="50" t="s">
        <v>242</v>
      </c>
      <c r="D1950" s="51">
        <v>4947</v>
      </c>
      <c r="E1950" s="51">
        <v>72623</v>
      </c>
      <c r="F1950" s="52">
        <v>9127</v>
      </c>
      <c r="G1950" s="53">
        <v>12.567644</v>
      </c>
    </row>
    <row r="1951" spans="1:7">
      <c r="A1951" s="50" t="s">
        <v>1935</v>
      </c>
      <c r="B1951" s="50" t="s">
        <v>69</v>
      </c>
      <c r="C1951" s="50" t="s">
        <v>242</v>
      </c>
      <c r="D1951" s="51">
        <v>210</v>
      </c>
      <c r="E1951" s="51">
        <v>7835</v>
      </c>
      <c r="F1951" s="52">
        <v>721.8</v>
      </c>
      <c r="G1951" s="53">
        <v>9.2125079999999997</v>
      </c>
    </row>
    <row r="1952" spans="1:7">
      <c r="A1952" s="50" t="s">
        <v>1024</v>
      </c>
      <c r="B1952" s="50" t="s">
        <v>69</v>
      </c>
      <c r="C1952" s="50" t="s">
        <v>242</v>
      </c>
      <c r="D1952" s="51">
        <v>5748</v>
      </c>
      <c r="E1952" s="51">
        <v>222940</v>
      </c>
      <c r="F1952" s="52">
        <v>21417.1</v>
      </c>
      <c r="G1952" s="53">
        <v>9.6066655000000001</v>
      </c>
    </row>
    <row r="1953" spans="1:7">
      <c r="A1953" s="50" t="s">
        <v>1936</v>
      </c>
      <c r="B1953" s="50" t="s">
        <v>69</v>
      </c>
      <c r="C1953" s="50" t="s">
        <v>242</v>
      </c>
      <c r="D1953" s="51">
        <v>315</v>
      </c>
      <c r="E1953" s="51">
        <v>5825</v>
      </c>
      <c r="F1953" s="52">
        <v>678.7</v>
      </c>
      <c r="G1953" s="53">
        <v>11.651502000000001</v>
      </c>
    </row>
    <row r="1954" spans="1:7">
      <c r="A1954" s="50" t="s">
        <v>1025</v>
      </c>
      <c r="B1954" s="50" t="s">
        <v>69</v>
      </c>
      <c r="C1954" s="50" t="s">
        <v>242</v>
      </c>
      <c r="D1954" s="51">
        <v>1250</v>
      </c>
      <c r="E1954" s="51">
        <v>26157</v>
      </c>
      <c r="F1954" s="52">
        <v>2630</v>
      </c>
      <c r="G1954" s="53">
        <v>10.05467</v>
      </c>
    </row>
    <row r="1955" spans="1:7">
      <c r="A1955" s="50" t="s">
        <v>1937</v>
      </c>
      <c r="B1955" s="50" t="s">
        <v>69</v>
      </c>
      <c r="C1955" s="50" t="s">
        <v>242</v>
      </c>
      <c r="D1955" s="51">
        <v>275</v>
      </c>
      <c r="E1955" s="51">
        <v>3579</v>
      </c>
      <c r="F1955" s="52">
        <v>408.9</v>
      </c>
      <c r="G1955" s="53">
        <v>11.424979</v>
      </c>
    </row>
    <row r="1956" spans="1:7">
      <c r="A1956" s="50" t="s">
        <v>1938</v>
      </c>
      <c r="B1956" s="50" t="s">
        <v>69</v>
      </c>
      <c r="C1956" s="50" t="s">
        <v>242</v>
      </c>
      <c r="D1956" s="51">
        <v>658</v>
      </c>
      <c r="E1956" s="51">
        <v>11219</v>
      </c>
      <c r="F1956" s="52">
        <v>1282</v>
      </c>
      <c r="G1956" s="53">
        <v>11.427042999999999</v>
      </c>
    </row>
    <row r="1957" spans="1:7">
      <c r="A1957" s="50" t="s">
        <v>1939</v>
      </c>
      <c r="B1957" s="50" t="s">
        <v>69</v>
      </c>
      <c r="C1957" s="50" t="s">
        <v>242</v>
      </c>
      <c r="D1957" s="51">
        <v>413</v>
      </c>
      <c r="E1957" s="51">
        <v>5538</v>
      </c>
      <c r="F1957" s="52">
        <v>882</v>
      </c>
      <c r="G1957" s="53">
        <v>15.926327000000001</v>
      </c>
    </row>
    <row r="1958" spans="1:7">
      <c r="A1958" s="50" t="s">
        <v>1026</v>
      </c>
      <c r="B1958" s="50" t="s">
        <v>69</v>
      </c>
      <c r="C1958" s="50" t="s">
        <v>242</v>
      </c>
      <c r="D1958" s="51">
        <v>1302</v>
      </c>
      <c r="E1958" s="51">
        <v>24586</v>
      </c>
      <c r="F1958" s="52">
        <v>2578.4</v>
      </c>
      <c r="G1958" s="53">
        <v>10.487269</v>
      </c>
    </row>
    <row r="1959" spans="1:7">
      <c r="A1959" s="50" t="s">
        <v>1940</v>
      </c>
      <c r="B1959" s="50" t="s">
        <v>69</v>
      </c>
      <c r="C1959" s="50" t="s">
        <v>242</v>
      </c>
      <c r="D1959" s="51">
        <v>1028</v>
      </c>
      <c r="E1959" s="51">
        <v>16178</v>
      </c>
      <c r="F1959" s="52">
        <v>1714</v>
      </c>
      <c r="G1959" s="53">
        <v>10.594635</v>
      </c>
    </row>
    <row r="1960" spans="1:7">
      <c r="A1960" s="50" t="s">
        <v>1027</v>
      </c>
      <c r="B1960" s="50" t="s">
        <v>69</v>
      </c>
      <c r="C1960" s="50" t="s">
        <v>242</v>
      </c>
      <c r="D1960" s="51">
        <v>1186</v>
      </c>
      <c r="E1960" s="51">
        <v>19234</v>
      </c>
      <c r="F1960" s="52">
        <v>1997</v>
      </c>
      <c r="G1960" s="53">
        <v>10.382656000000001</v>
      </c>
    </row>
    <row r="1961" spans="1:7">
      <c r="A1961" s="50" t="s">
        <v>1028</v>
      </c>
      <c r="B1961" s="50" t="s">
        <v>69</v>
      </c>
      <c r="C1961" s="50" t="s">
        <v>242</v>
      </c>
      <c r="D1961" s="51">
        <v>1026</v>
      </c>
      <c r="E1961" s="51">
        <v>26636</v>
      </c>
      <c r="F1961" s="52">
        <v>2934.7</v>
      </c>
      <c r="G1961" s="53">
        <v>11.017795</v>
      </c>
    </row>
    <row r="1962" spans="1:7">
      <c r="A1962" s="50" t="s">
        <v>1941</v>
      </c>
      <c r="B1962" s="50" t="s">
        <v>69</v>
      </c>
      <c r="C1962" s="50" t="s">
        <v>242</v>
      </c>
      <c r="D1962" s="51">
        <v>539</v>
      </c>
      <c r="E1962" s="51">
        <v>5965</v>
      </c>
      <c r="F1962" s="52">
        <v>670.4</v>
      </c>
      <c r="G1962" s="53">
        <v>11.238894</v>
      </c>
    </row>
    <row r="1963" spans="1:7">
      <c r="A1963" s="50" t="s">
        <v>1029</v>
      </c>
      <c r="B1963" s="50" t="s">
        <v>69</v>
      </c>
      <c r="C1963" s="50" t="s">
        <v>242</v>
      </c>
      <c r="D1963" s="51">
        <v>2199</v>
      </c>
      <c r="E1963" s="51">
        <v>49062</v>
      </c>
      <c r="F1963" s="52">
        <v>4636.8999999999996</v>
      </c>
      <c r="G1963" s="53">
        <v>9.4511026999999999</v>
      </c>
    </row>
    <row r="1964" spans="1:7">
      <c r="A1964" s="50" t="s">
        <v>1030</v>
      </c>
      <c r="B1964" s="50" t="s">
        <v>69</v>
      </c>
      <c r="C1964" s="50" t="s">
        <v>242</v>
      </c>
      <c r="D1964" s="51">
        <v>2405</v>
      </c>
      <c r="E1964" s="51">
        <v>72135</v>
      </c>
      <c r="F1964" s="52">
        <v>5419</v>
      </c>
      <c r="G1964" s="53">
        <v>7.5123033000000001</v>
      </c>
    </row>
    <row r="1965" spans="1:7">
      <c r="A1965" s="50" t="s">
        <v>1031</v>
      </c>
      <c r="B1965" s="50" t="s">
        <v>69</v>
      </c>
      <c r="C1965" s="50" t="s">
        <v>242</v>
      </c>
      <c r="D1965" s="51">
        <v>684</v>
      </c>
      <c r="E1965" s="51">
        <v>49338</v>
      </c>
      <c r="F1965" s="52">
        <v>3730</v>
      </c>
      <c r="G1965" s="53">
        <v>7.5600956999999998</v>
      </c>
    </row>
    <row r="1966" spans="1:7">
      <c r="A1966" s="50" t="s">
        <v>1032</v>
      </c>
      <c r="B1966" s="50" t="s">
        <v>69</v>
      </c>
      <c r="C1966" s="50" t="s">
        <v>242</v>
      </c>
      <c r="D1966" s="51">
        <v>2652</v>
      </c>
      <c r="E1966" s="51">
        <v>66232</v>
      </c>
      <c r="F1966" s="52">
        <v>7781</v>
      </c>
      <c r="G1966" s="53">
        <v>11.748098000000001</v>
      </c>
    </row>
    <row r="1967" spans="1:7">
      <c r="A1967" s="50" t="s">
        <v>1033</v>
      </c>
      <c r="B1967" s="50" t="s">
        <v>69</v>
      </c>
      <c r="C1967" s="50" t="s">
        <v>242</v>
      </c>
      <c r="D1967" s="51">
        <v>1900</v>
      </c>
      <c r="E1967" s="51">
        <v>52200</v>
      </c>
      <c r="F1967" s="52">
        <v>6657</v>
      </c>
      <c r="G1967" s="53">
        <v>12.752874</v>
      </c>
    </row>
    <row r="1968" spans="1:7">
      <c r="A1968" s="50" t="s">
        <v>1942</v>
      </c>
      <c r="B1968" s="50" t="s">
        <v>69</v>
      </c>
      <c r="C1968" s="50" t="s">
        <v>242</v>
      </c>
      <c r="D1968" s="51">
        <v>1002</v>
      </c>
      <c r="E1968" s="51">
        <v>17308</v>
      </c>
      <c r="F1968" s="52">
        <v>1509</v>
      </c>
      <c r="G1968" s="53">
        <v>8.7185117000000005</v>
      </c>
    </row>
    <row r="1969" spans="1:7">
      <c r="A1969" s="50" t="s">
        <v>1943</v>
      </c>
      <c r="B1969" s="50" t="s">
        <v>69</v>
      </c>
      <c r="C1969" s="50" t="s">
        <v>242</v>
      </c>
      <c r="D1969" s="51">
        <v>713</v>
      </c>
      <c r="E1969" s="51">
        <v>14962</v>
      </c>
      <c r="F1969" s="52">
        <v>1621</v>
      </c>
      <c r="G1969" s="53">
        <v>10.834113</v>
      </c>
    </row>
    <row r="1970" spans="1:7">
      <c r="A1970" s="50" t="s">
        <v>1944</v>
      </c>
      <c r="B1970" s="50" t="s">
        <v>69</v>
      </c>
      <c r="C1970" s="50" t="s">
        <v>242</v>
      </c>
      <c r="D1970" s="51">
        <v>722</v>
      </c>
      <c r="E1970" s="51">
        <v>13966</v>
      </c>
      <c r="F1970" s="52">
        <v>1307</v>
      </c>
      <c r="G1970" s="53">
        <v>9.3584419000000008</v>
      </c>
    </row>
    <row r="1971" spans="1:7">
      <c r="A1971" s="50" t="s">
        <v>1945</v>
      </c>
      <c r="B1971" s="50" t="s">
        <v>69</v>
      </c>
      <c r="C1971" s="50" t="s">
        <v>242</v>
      </c>
      <c r="D1971" s="51">
        <v>843</v>
      </c>
      <c r="E1971" s="51">
        <v>11271</v>
      </c>
      <c r="F1971" s="52">
        <v>1165.2</v>
      </c>
      <c r="G1971" s="53">
        <v>10.338036000000001</v>
      </c>
    </row>
    <row r="1972" spans="1:7">
      <c r="A1972" s="50" t="s">
        <v>1034</v>
      </c>
      <c r="B1972" s="50" t="s">
        <v>69</v>
      </c>
      <c r="C1972" s="50" t="s">
        <v>325</v>
      </c>
      <c r="D1972" s="51">
        <v>10045</v>
      </c>
      <c r="E1972" s="51">
        <v>377275</v>
      </c>
      <c r="F1972" s="52">
        <v>35923.9</v>
      </c>
      <c r="G1972" s="53">
        <v>9.5219401999999995</v>
      </c>
    </row>
    <row r="1973" spans="1:7">
      <c r="A1973" s="50" t="s">
        <v>1035</v>
      </c>
      <c r="B1973" s="50" t="s">
        <v>69</v>
      </c>
      <c r="C1973" s="50" t="s">
        <v>242</v>
      </c>
      <c r="D1973" s="51">
        <v>2073</v>
      </c>
      <c r="E1973" s="51">
        <v>49756</v>
      </c>
      <c r="F1973" s="52">
        <v>4824.8</v>
      </c>
      <c r="G1973" s="53">
        <v>9.6969209999999997</v>
      </c>
    </row>
    <row r="1974" spans="1:7">
      <c r="A1974" s="50" t="s">
        <v>1036</v>
      </c>
      <c r="B1974" s="50" t="s">
        <v>69</v>
      </c>
      <c r="C1974" s="50" t="s">
        <v>325</v>
      </c>
      <c r="D1974" s="51">
        <v>3840</v>
      </c>
      <c r="E1974" s="51">
        <v>103285</v>
      </c>
      <c r="F1974" s="52">
        <v>10574.5</v>
      </c>
      <c r="G1974" s="53">
        <v>10.238175999999999</v>
      </c>
    </row>
    <row r="1975" spans="1:7">
      <c r="A1975" s="50" t="s">
        <v>1037</v>
      </c>
      <c r="B1975" s="50" t="s">
        <v>69</v>
      </c>
      <c r="C1975" s="50" t="s">
        <v>325</v>
      </c>
      <c r="D1975" s="51">
        <v>10800</v>
      </c>
      <c r="E1975" s="51">
        <v>168532</v>
      </c>
      <c r="F1975" s="52">
        <v>25963</v>
      </c>
      <c r="G1975" s="53">
        <v>15.405383</v>
      </c>
    </row>
    <row r="1976" spans="1:7">
      <c r="A1976" s="50" t="s">
        <v>1038</v>
      </c>
      <c r="B1976" s="50" t="s">
        <v>69</v>
      </c>
      <c r="C1976" s="50" t="s">
        <v>325</v>
      </c>
      <c r="D1976" s="51">
        <v>23165</v>
      </c>
      <c r="E1976" s="51">
        <v>482810</v>
      </c>
      <c r="F1976" s="52">
        <v>56376.7</v>
      </c>
      <c r="G1976" s="53">
        <v>11.676788</v>
      </c>
    </row>
    <row r="1977" spans="1:7">
      <c r="A1977" s="50" t="s">
        <v>1039</v>
      </c>
      <c r="B1977" s="50" t="s">
        <v>69</v>
      </c>
      <c r="C1977" s="50" t="s">
        <v>325</v>
      </c>
      <c r="D1977" s="51">
        <v>9790</v>
      </c>
      <c r="E1977" s="51">
        <v>258536</v>
      </c>
      <c r="F1977" s="52">
        <v>27576</v>
      </c>
      <c r="G1977" s="53">
        <v>10.666213000000001</v>
      </c>
    </row>
    <row r="1978" spans="1:7">
      <c r="A1978" s="50" t="s">
        <v>400</v>
      </c>
      <c r="B1978" s="50" t="s">
        <v>69</v>
      </c>
      <c r="C1978" s="50" t="s">
        <v>240</v>
      </c>
      <c r="D1978" s="51">
        <v>2966</v>
      </c>
      <c r="E1978" s="51">
        <v>92255</v>
      </c>
      <c r="F1978" s="52">
        <v>11682</v>
      </c>
      <c r="G1978" s="53">
        <v>12.662728</v>
      </c>
    </row>
    <row r="1979" spans="1:7">
      <c r="A1979" s="50" t="s">
        <v>401</v>
      </c>
      <c r="B1979" s="50" t="s">
        <v>69</v>
      </c>
      <c r="C1979" s="50" t="s">
        <v>240</v>
      </c>
      <c r="D1979" s="51">
        <v>1989</v>
      </c>
      <c r="E1979" s="51">
        <v>68137</v>
      </c>
      <c r="F1979" s="52">
        <v>9117.7999999999993</v>
      </c>
      <c r="G1979" s="53">
        <v>13.381569000000001</v>
      </c>
    </row>
    <row r="1980" spans="1:7">
      <c r="A1980" s="50" t="s">
        <v>1040</v>
      </c>
      <c r="B1980" s="50" t="s">
        <v>69</v>
      </c>
      <c r="C1980" s="50" t="s">
        <v>325</v>
      </c>
      <c r="D1980" s="51">
        <v>5565</v>
      </c>
      <c r="E1980" s="51">
        <v>75742</v>
      </c>
      <c r="F1980" s="52">
        <v>10234</v>
      </c>
      <c r="G1980" s="53">
        <v>13.511658000000001</v>
      </c>
    </row>
    <row r="1981" spans="1:7">
      <c r="A1981" s="50" t="s">
        <v>1041</v>
      </c>
      <c r="B1981" s="50" t="s">
        <v>69</v>
      </c>
      <c r="C1981" s="50" t="s">
        <v>325</v>
      </c>
      <c r="D1981" s="51">
        <v>4851</v>
      </c>
      <c r="E1981" s="51">
        <v>81264</v>
      </c>
      <c r="F1981" s="52">
        <v>11901</v>
      </c>
      <c r="G1981" s="53">
        <v>14.644861000000001</v>
      </c>
    </row>
    <row r="1982" spans="1:7">
      <c r="A1982" s="50" t="s">
        <v>1042</v>
      </c>
      <c r="B1982" s="50" t="s">
        <v>69</v>
      </c>
      <c r="C1982" s="50" t="s">
        <v>240</v>
      </c>
      <c r="D1982" s="51">
        <v>251</v>
      </c>
      <c r="E1982" s="51">
        <v>5702</v>
      </c>
      <c r="F1982" s="52">
        <v>707.4</v>
      </c>
      <c r="G1982" s="53">
        <v>12.406173000000001</v>
      </c>
    </row>
    <row r="1983" spans="1:7">
      <c r="A1983" s="50" t="s">
        <v>1043</v>
      </c>
      <c r="B1983" s="50" t="s">
        <v>69</v>
      </c>
      <c r="C1983" s="50" t="s">
        <v>242</v>
      </c>
      <c r="D1983" s="51">
        <v>141650</v>
      </c>
      <c r="E1983" s="51">
        <v>3187004</v>
      </c>
      <c r="F1983" s="52">
        <v>268655.8</v>
      </c>
      <c r="G1983" s="53">
        <v>8.429729</v>
      </c>
    </row>
    <row r="1984" spans="1:7">
      <c r="A1984" s="50" t="s">
        <v>1044</v>
      </c>
      <c r="B1984" s="50" t="s">
        <v>69</v>
      </c>
      <c r="C1984" s="50" t="s">
        <v>325</v>
      </c>
      <c r="D1984" s="51">
        <v>19815</v>
      </c>
      <c r="E1984" s="51">
        <v>1119703</v>
      </c>
      <c r="F1984" s="52">
        <v>88307.3</v>
      </c>
      <c r="G1984" s="53">
        <v>7.8866717</v>
      </c>
    </row>
    <row r="1985" spans="1:7">
      <c r="A1985" s="50" t="s">
        <v>1045</v>
      </c>
      <c r="B1985" s="50" t="s">
        <v>69</v>
      </c>
      <c r="C1985" s="50" t="s">
        <v>325</v>
      </c>
      <c r="D1985" s="51">
        <v>5695</v>
      </c>
      <c r="E1985" s="51">
        <v>112726</v>
      </c>
      <c r="F1985" s="52">
        <v>13400</v>
      </c>
      <c r="G1985" s="53">
        <v>11.887231</v>
      </c>
    </row>
    <row r="1986" spans="1:7">
      <c r="A1986" s="50" t="s">
        <v>1046</v>
      </c>
      <c r="B1986" s="50" t="s">
        <v>69</v>
      </c>
      <c r="C1986" s="50" t="s">
        <v>325</v>
      </c>
      <c r="D1986" s="51">
        <v>5038</v>
      </c>
      <c r="E1986" s="51">
        <v>183367</v>
      </c>
      <c r="F1986" s="52">
        <v>17277.3</v>
      </c>
      <c r="G1986" s="53">
        <v>9.4222515999999992</v>
      </c>
    </row>
    <row r="1987" spans="1:7">
      <c r="A1987" s="50" t="s">
        <v>1047</v>
      </c>
      <c r="B1987" s="50" t="s">
        <v>69</v>
      </c>
      <c r="C1987" s="50" t="s">
        <v>240</v>
      </c>
      <c r="D1987" s="51">
        <v>6546</v>
      </c>
      <c r="E1987" s="51">
        <v>179520</v>
      </c>
      <c r="F1987" s="52">
        <v>25027.8</v>
      </c>
      <c r="G1987" s="53">
        <v>13.941511</v>
      </c>
    </row>
    <row r="1988" spans="1:7">
      <c r="A1988" s="50" t="s">
        <v>1048</v>
      </c>
      <c r="B1988" s="50" t="s">
        <v>69</v>
      </c>
      <c r="C1988" s="50" t="s">
        <v>325</v>
      </c>
      <c r="D1988" s="51">
        <v>90352</v>
      </c>
      <c r="E1988" s="51">
        <v>3167286</v>
      </c>
      <c r="F1988" s="52">
        <v>244528</v>
      </c>
      <c r="G1988" s="53">
        <v>7.7204268999999996</v>
      </c>
    </row>
    <row r="1989" spans="1:7">
      <c r="A1989" s="50" t="s">
        <v>1946</v>
      </c>
      <c r="B1989" s="50" t="s">
        <v>69</v>
      </c>
      <c r="C1989" s="50" t="s">
        <v>240</v>
      </c>
      <c r="D1989" s="51">
        <v>915</v>
      </c>
      <c r="E1989" s="51">
        <v>8405</v>
      </c>
      <c r="F1989" s="52">
        <v>1396</v>
      </c>
      <c r="G1989" s="53">
        <v>16.609161</v>
      </c>
    </row>
    <row r="1990" spans="1:7">
      <c r="A1990" s="50" t="s">
        <v>1049</v>
      </c>
      <c r="B1990" s="50" t="s">
        <v>69</v>
      </c>
      <c r="C1990" s="50" t="s">
        <v>240</v>
      </c>
      <c r="D1990" s="51">
        <v>6230</v>
      </c>
      <c r="E1990" s="51">
        <v>115117</v>
      </c>
      <c r="F1990" s="52">
        <v>13388.4</v>
      </c>
      <c r="G1990" s="53">
        <v>11.630254000000001</v>
      </c>
    </row>
    <row r="1991" spans="1:7">
      <c r="A1991" s="50" t="s">
        <v>1050</v>
      </c>
      <c r="B1991" s="50" t="s">
        <v>69</v>
      </c>
      <c r="C1991" s="50" t="s">
        <v>325</v>
      </c>
      <c r="D1991" s="51">
        <v>24538</v>
      </c>
      <c r="E1991" s="51">
        <v>943196</v>
      </c>
      <c r="F1991" s="52">
        <v>78315.5</v>
      </c>
      <c r="G1991" s="53">
        <v>8.3032053000000001</v>
      </c>
    </row>
    <row r="1992" spans="1:7">
      <c r="A1992" s="50" t="s">
        <v>1051</v>
      </c>
      <c r="B1992" s="50" t="s">
        <v>69</v>
      </c>
      <c r="C1992" s="50" t="s">
        <v>325</v>
      </c>
      <c r="D1992" s="51">
        <v>6623</v>
      </c>
      <c r="E1992" s="51">
        <v>125572</v>
      </c>
      <c r="F1992" s="52">
        <v>16017.5</v>
      </c>
      <c r="G1992" s="53">
        <v>12.75563</v>
      </c>
    </row>
    <row r="1993" spans="1:7">
      <c r="A1993" s="50" t="s">
        <v>1052</v>
      </c>
      <c r="B1993" s="50" t="s">
        <v>69</v>
      </c>
      <c r="C1993" s="50" t="s">
        <v>325</v>
      </c>
      <c r="D1993" s="51">
        <v>8403</v>
      </c>
      <c r="E1993" s="51">
        <v>351449</v>
      </c>
      <c r="F1993" s="52">
        <v>28865</v>
      </c>
      <c r="G1993" s="53">
        <v>8.2131404999999997</v>
      </c>
    </row>
    <row r="1994" spans="1:7">
      <c r="A1994" s="50" t="s">
        <v>1053</v>
      </c>
      <c r="B1994" s="50" t="s">
        <v>69</v>
      </c>
      <c r="C1994" s="50" t="s">
        <v>325</v>
      </c>
      <c r="D1994" s="51">
        <v>3352</v>
      </c>
      <c r="E1994" s="51">
        <v>53632</v>
      </c>
      <c r="F1994" s="52">
        <v>9103</v>
      </c>
      <c r="G1994" s="53">
        <v>16.973075999999999</v>
      </c>
    </row>
    <row r="1995" spans="1:7">
      <c r="A1995" s="50" t="s">
        <v>1054</v>
      </c>
      <c r="B1995" s="50" t="s">
        <v>69</v>
      </c>
      <c r="C1995" s="50" t="s">
        <v>325</v>
      </c>
      <c r="D1995" s="51">
        <v>384501</v>
      </c>
      <c r="E1995" s="51">
        <v>10919803</v>
      </c>
      <c r="F1995" s="52">
        <v>971913</v>
      </c>
      <c r="G1995" s="53">
        <v>8.9004627999999997</v>
      </c>
    </row>
    <row r="1996" spans="1:7">
      <c r="A1996" s="50" t="s">
        <v>1055</v>
      </c>
      <c r="B1996" s="50" t="s">
        <v>69</v>
      </c>
      <c r="C1996" s="50" t="s">
        <v>240</v>
      </c>
      <c r="D1996" s="51">
        <v>3782</v>
      </c>
      <c r="E1996" s="51">
        <v>71327</v>
      </c>
      <c r="F1996" s="52">
        <v>12131.9</v>
      </c>
      <c r="G1996" s="53">
        <v>17.008846999999999</v>
      </c>
    </row>
    <row r="1997" spans="1:7">
      <c r="A1997" s="50" t="s">
        <v>1056</v>
      </c>
      <c r="B1997" s="50" t="s">
        <v>69</v>
      </c>
      <c r="C1997" s="50" t="s">
        <v>325</v>
      </c>
      <c r="D1997" s="51">
        <v>7520</v>
      </c>
      <c r="E1997" s="51">
        <v>335573</v>
      </c>
      <c r="F1997" s="52">
        <v>27264</v>
      </c>
      <c r="G1997" s="53">
        <v>8.1246106999999999</v>
      </c>
    </row>
    <row r="1998" spans="1:7">
      <c r="A1998" s="50" t="s">
        <v>1057</v>
      </c>
      <c r="B1998" s="50" t="s">
        <v>69</v>
      </c>
      <c r="C1998" s="50" t="s">
        <v>325</v>
      </c>
      <c r="D1998" s="51">
        <v>4725</v>
      </c>
      <c r="E1998" s="51">
        <v>81102</v>
      </c>
      <c r="F1998" s="52">
        <v>10733.3</v>
      </c>
      <c r="G1998" s="53">
        <v>13.234322000000001</v>
      </c>
    </row>
    <row r="1999" spans="1:7">
      <c r="A1999" s="50" t="s">
        <v>1058</v>
      </c>
      <c r="B1999" s="50" t="s">
        <v>69</v>
      </c>
      <c r="C1999" s="50" t="s">
        <v>325</v>
      </c>
      <c r="D1999" s="51">
        <v>3359</v>
      </c>
      <c r="E1999" s="51">
        <v>56075</v>
      </c>
      <c r="F1999" s="52">
        <v>7456</v>
      </c>
      <c r="G1999" s="53">
        <v>13.296478</v>
      </c>
    </row>
    <row r="2000" spans="1:7">
      <c r="A2000" s="50" t="s">
        <v>1059</v>
      </c>
      <c r="B2000" s="50" t="s">
        <v>69</v>
      </c>
      <c r="C2000" s="50" t="s">
        <v>325</v>
      </c>
      <c r="D2000" s="51">
        <v>8260</v>
      </c>
      <c r="E2000" s="51">
        <v>157450</v>
      </c>
      <c r="F2000" s="52">
        <v>16250.1</v>
      </c>
      <c r="G2000" s="53">
        <v>10.3208</v>
      </c>
    </row>
    <row r="2001" spans="1:7">
      <c r="A2001" s="50" t="s">
        <v>1060</v>
      </c>
      <c r="B2001" s="50" t="s">
        <v>69</v>
      </c>
      <c r="C2001" s="50" t="s">
        <v>325</v>
      </c>
      <c r="D2001" s="51">
        <v>27241</v>
      </c>
      <c r="E2001" s="51">
        <v>980093</v>
      </c>
      <c r="F2001" s="52">
        <v>85612.1</v>
      </c>
      <c r="G2001" s="53">
        <v>8.7350995999999999</v>
      </c>
    </row>
    <row r="2002" spans="1:7">
      <c r="A2002" s="50" t="s">
        <v>1061</v>
      </c>
      <c r="B2002" s="50" t="s">
        <v>69</v>
      </c>
      <c r="C2002" s="50" t="s">
        <v>325</v>
      </c>
      <c r="D2002" s="51">
        <v>6233</v>
      </c>
      <c r="E2002" s="51">
        <v>200057</v>
      </c>
      <c r="F2002" s="52">
        <v>20359.599999999999</v>
      </c>
      <c r="G2002" s="53">
        <v>10.1769</v>
      </c>
    </row>
    <row r="2003" spans="1:7">
      <c r="A2003" s="50" t="s">
        <v>1062</v>
      </c>
      <c r="B2003" s="50" t="s">
        <v>69</v>
      </c>
      <c r="C2003" s="50" t="s">
        <v>325</v>
      </c>
      <c r="D2003" s="51">
        <v>2708</v>
      </c>
      <c r="E2003" s="51">
        <v>147100</v>
      </c>
      <c r="F2003" s="52">
        <v>13046.8</v>
      </c>
      <c r="G2003" s="53">
        <v>8.8693405999999992</v>
      </c>
    </row>
    <row r="2004" spans="1:7">
      <c r="A2004" s="50" t="s">
        <v>1063</v>
      </c>
      <c r="B2004" s="50" t="s">
        <v>69</v>
      </c>
      <c r="C2004" s="50" t="s">
        <v>325</v>
      </c>
      <c r="D2004" s="51">
        <v>6565</v>
      </c>
      <c r="E2004" s="51">
        <v>96374</v>
      </c>
      <c r="F2004" s="52">
        <v>12811</v>
      </c>
      <c r="G2004" s="53">
        <v>13.293004</v>
      </c>
    </row>
    <row r="2005" spans="1:7">
      <c r="A2005" s="50" t="s">
        <v>1947</v>
      </c>
      <c r="B2005" s="50" t="s">
        <v>69</v>
      </c>
      <c r="C2005" s="50" t="s">
        <v>242</v>
      </c>
      <c r="D2005" s="51">
        <v>490</v>
      </c>
      <c r="E2005" s="51">
        <v>6051</v>
      </c>
      <c r="F2005" s="52">
        <v>900</v>
      </c>
      <c r="G2005" s="53">
        <v>14.873575000000001</v>
      </c>
    </row>
    <row r="2006" spans="1:7">
      <c r="A2006" s="50" t="s">
        <v>1948</v>
      </c>
      <c r="B2006" s="50" t="s">
        <v>69</v>
      </c>
      <c r="C2006" s="50" t="s">
        <v>242</v>
      </c>
      <c r="D2006" s="51">
        <v>180</v>
      </c>
      <c r="E2006" s="51">
        <v>4774</v>
      </c>
      <c r="F2006" s="52">
        <v>700.5</v>
      </c>
      <c r="G2006" s="53">
        <v>14.67323</v>
      </c>
    </row>
    <row r="2007" spans="1:7">
      <c r="A2007" s="50" t="s">
        <v>1949</v>
      </c>
      <c r="B2007" s="50" t="s">
        <v>69</v>
      </c>
      <c r="C2007" s="50" t="s">
        <v>242</v>
      </c>
      <c r="D2007" s="51">
        <v>207</v>
      </c>
      <c r="E2007" s="51">
        <v>2649</v>
      </c>
      <c r="F2007" s="52">
        <v>200.6</v>
      </c>
      <c r="G2007" s="53">
        <v>7.5726689</v>
      </c>
    </row>
    <row r="2008" spans="1:7">
      <c r="A2008" s="50" t="s">
        <v>1950</v>
      </c>
      <c r="B2008" s="50" t="s">
        <v>69</v>
      </c>
      <c r="C2008" s="50" t="s">
        <v>242</v>
      </c>
      <c r="D2008" s="51">
        <v>223</v>
      </c>
      <c r="E2008" s="51">
        <v>2289</v>
      </c>
      <c r="F2008" s="52">
        <v>265.39999999999998</v>
      </c>
      <c r="G2008" s="53">
        <v>11.594583</v>
      </c>
    </row>
    <row r="2009" spans="1:7">
      <c r="A2009" s="50" t="s">
        <v>1951</v>
      </c>
      <c r="B2009" s="50" t="s">
        <v>69</v>
      </c>
      <c r="C2009" s="50" t="s">
        <v>242</v>
      </c>
      <c r="D2009" s="51">
        <v>429</v>
      </c>
      <c r="E2009" s="51">
        <v>7673</v>
      </c>
      <c r="F2009" s="52">
        <v>901.8</v>
      </c>
      <c r="G2009" s="53">
        <v>11.7529</v>
      </c>
    </row>
    <row r="2010" spans="1:7">
      <c r="A2010" s="50" t="s">
        <v>1952</v>
      </c>
      <c r="B2010" s="50" t="s">
        <v>69</v>
      </c>
      <c r="C2010" s="50" t="s">
        <v>242</v>
      </c>
      <c r="D2010" s="51">
        <v>233</v>
      </c>
      <c r="E2010" s="51">
        <v>2245</v>
      </c>
      <c r="F2010" s="52">
        <v>250</v>
      </c>
      <c r="G2010" s="53">
        <v>11.135857</v>
      </c>
    </row>
    <row r="2011" spans="1:7">
      <c r="A2011" s="50" t="s">
        <v>1953</v>
      </c>
      <c r="B2011" s="50" t="s">
        <v>69</v>
      </c>
      <c r="C2011" s="50" t="s">
        <v>242</v>
      </c>
      <c r="D2011" s="51">
        <v>192</v>
      </c>
      <c r="E2011" s="51">
        <v>2007</v>
      </c>
      <c r="F2011" s="52">
        <v>281</v>
      </c>
      <c r="G2011" s="53">
        <v>14.000997</v>
      </c>
    </row>
    <row r="2012" spans="1:7">
      <c r="A2012" s="50" t="s">
        <v>1954</v>
      </c>
      <c r="B2012" s="50" t="s">
        <v>69</v>
      </c>
      <c r="C2012" s="50" t="s">
        <v>242</v>
      </c>
      <c r="D2012" s="51">
        <v>228</v>
      </c>
      <c r="E2012" s="51">
        <v>2923</v>
      </c>
      <c r="F2012" s="52">
        <v>345</v>
      </c>
      <c r="G2012" s="53">
        <v>11.802942</v>
      </c>
    </row>
    <row r="2013" spans="1:7">
      <c r="A2013" s="50" t="s">
        <v>1955</v>
      </c>
      <c r="B2013" s="50" t="s">
        <v>69</v>
      </c>
      <c r="C2013" s="50" t="s">
        <v>242</v>
      </c>
      <c r="D2013" s="51">
        <v>321</v>
      </c>
      <c r="E2013" s="51">
        <v>5599</v>
      </c>
      <c r="F2013" s="52">
        <v>610</v>
      </c>
      <c r="G2013" s="53">
        <v>10.894803</v>
      </c>
    </row>
    <row r="2014" spans="1:7">
      <c r="A2014" s="50" t="s">
        <v>1956</v>
      </c>
      <c r="B2014" s="50" t="s">
        <v>69</v>
      </c>
      <c r="C2014" s="50" t="s">
        <v>242</v>
      </c>
      <c r="D2014" s="51">
        <v>136</v>
      </c>
      <c r="E2014" s="51">
        <v>5812</v>
      </c>
      <c r="F2014" s="52">
        <v>719</v>
      </c>
      <c r="G2014" s="53">
        <v>12.370957000000001</v>
      </c>
    </row>
    <row r="2015" spans="1:7">
      <c r="A2015" s="50" t="s">
        <v>1957</v>
      </c>
      <c r="B2015" s="50" t="s">
        <v>69</v>
      </c>
      <c r="C2015" s="50" t="s">
        <v>242</v>
      </c>
      <c r="D2015" s="51">
        <v>86</v>
      </c>
      <c r="E2015" s="51">
        <v>743</v>
      </c>
      <c r="F2015" s="52">
        <v>100</v>
      </c>
      <c r="G2015" s="53">
        <v>13.45895</v>
      </c>
    </row>
    <row r="2016" spans="1:7">
      <c r="A2016" s="50" t="s">
        <v>1958</v>
      </c>
      <c r="B2016" s="50" t="s">
        <v>69</v>
      </c>
      <c r="C2016" s="50" t="s">
        <v>242</v>
      </c>
      <c r="D2016" s="51">
        <v>372</v>
      </c>
      <c r="E2016" s="51">
        <v>4789</v>
      </c>
      <c r="F2016" s="52">
        <v>528</v>
      </c>
      <c r="G2016" s="53">
        <v>11.025266</v>
      </c>
    </row>
    <row r="2017" spans="1:7">
      <c r="A2017" s="50" t="s">
        <v>1959</v>
      </c>
      <c r="B2017" s="50" t="s">
        <v>69</v>
      </c>
      <c r="C2017" s="50" t="s">
        <v>242</v>
      </c>
      <c r="D2017" s="51">
        <v>323</v>
      </c>
      <c r="E2017" s="51">
        <v>4188</v>
      </c>
      <c r="F2017" s="52">
        <v>469</v>
      </c>
      <c r="G2017" s="53">
        <v>11.198663</v>
      </c>
    </row>
    <row r="2018" spans="1:7">
      <c r="A2018" s="50" t="s">
        <v>1960</v>
      </c>
      <c r="B2018" s="50" t="s">
        <v>69</v>
      </c>
      <c r="C2018" s="50" t="s">
        <v>242</v>
      </c>
      <c r="D2018" s="51">
        <v>275</v>
      </c>
      <c r="E2018" s="51">
        <v>4735</v>
      </c>
      <c r="F2018" s="52">
        <v>584</v>
      </c>
      <c r="G2018" s="53">
        <v>12.333684999999999</v>
      </c>
    </row>
    <row r="2019" spans="1:7">
      <c r="A2019" s="50" t="s">
        <v>1961</v>
      </c>
      <c r="B2019" s="50" t="s">
        <v>69</v>
      </c>
      <c r="C2019" s="50" t="s">
        <v>242</v>
      </c>
      <c r="D2019" s="51">
        <v>543</v>
      </c>
      <c r="E2019" s="51">
        <v>8570</v>
      </c>
      <c r="F2019" s="52">
        <v>895</v>
      </c>
      <c r="G2019" s="53">
        <v>10.443407000000001</v>
      </c>
    </row>
    <row r="2020" spans="1:7">
      <c r="A2020" s="50" t="s">
        <v>1962</v>
      </c>
      <c r="B2020" s="50" t="s">
        <v>69</v>
      </c>
      <c r="C2020" s="50" t="s">
        <v>242</v>
      </c>
      <c r="D2020" s="51">
        <v>245</v>
      </c>
      <c r="E2020" s="51">
        <v>4067</v>
      </c>
      <c r="F2020" s="52">
        <v>155.30000000000001</v>
      </c>
      <c r="G2020" s="53">
        <v>3.8185395</v>
      </c>
    </row>
    <row r="2021" spans="1:7">
      <c r="A2021" s="50" t="s">
        <v>1963</v>
      </c>
      <c r="B2021" s="50" t="s">
        <v>69</v>
      </c>
      <c r="C2021" s="50" t="s">
        <v>242</v>
      </c>
      <c r="D2021" s="51">
        <v>232</v>
      </c>
      <c r="E2021" s="51">
        <v>5998</v>
      </c>
      <c r="F2021" s="52">
        <v>671</v>
      </c>
      <c r="G2021" s="53">
        <v>11.187061999999999</v>
      </c>
    </row>
    <row r="2022" spans="1:7">
      <c r="A2022" s="50" t="s">
        <v>1964</v>
      </c>
      <c r="B2022" s="50" t="s">
        <v>69</v>
      </c>
      <c r="C2022" s="50" t="s">
        <v>242</v>
      </c>
      <c r="D2022" s="51">
        <v>1177</v>
      </c>
      <c r="E2022" s="51">
        <v>14641</v>
      </c>
      <c r="F2022" s="52">
        <v>2327</v>
      </c>
      <c r="G2022" s="53">
        <v>15.893723</v>
      </c>
    </row>
    <row r="2023" spans="1:7">
      <c r="A2023" s="50" t="s">
        <v>1965</v>
      </c>
      <c r="B2023" s="50" t="s">
        <v>69</v>
      </c>
      <c r="C2023" s="50" t="s">
        <v>242</v>
      </c>
      <c r="D2023" s="51">
        <v>377</v>
      </c>
      <c r="E2023" s="51">
        <v>5230</v>
      </c>
      <c r="F2023" s="52">
        <v>595</v>
      </c>
      <c r="G2023" s="53">
        <v>11.376673</v>
      </c>
    </row>
    <row r="2024" spans="1:7">
      <c r="A2024" s="50" t="s">
        <v>1966</v>
      </c>
      <c r="B2024" s="50" t="s">
        <v>69</v>
      </c>
      <c r="C2024" s="50" t="s">
        <v>242</v>
      </c>
      <c r="D2024" s="51">
        <v>471</v>
      </c>
      <c r="E2024" s="51">
        <v>6834</v>
      </c>
      <c r="F2024" s="52">
        <v>1019</v>
      </c>
      <c r="G2024" s="53">
        <v>14.910740000000001</v>
      </c>
    </row>
    <row r="2025" spans="1:7">
      <c r="A2025" s="50" t="s">
        <v>1967</v>
      </c>
      <c r="B2025" s="50" t="s">
        <v>69</v>
      </c>
      <c r="C2025" s="50" t="s">
        <v>242</v>
      </c>
      <c r="D2025" s="51">
        <v>237</v>
      </c>
      <c r="E2025" s="51">
        <v>2992</v>
      </c>
      <c r="F2025" s="52">
        <v>477</v>
      </c>
      <c r="G2025" s="53">
        <v>15.942513</v>
      </c>
    </row>
    <row r="2026" spans="1:7">
      <c r="A2026" s="50" t="s">
        <v>1968</v>
      </c>
      <c r="B2026" s="50" t="s">
        <v>69</v>
      </c>
      <c r="C2026" s="50" t="s">
        <v>242</v>
      </c>
      <c r="D2026" s="51">
        <v>194</v>
      </c>
      <c r="E2026" s="51">
        <v>2689</v>
      </c>
      <c r="F2026" s="52">
        <v>313.89999999999998</v>
      </c>
      <c r="G2026" s="53">
        <v>11.673484999999999</v>
      </c>
    </row>
    <row r="2027" spans="1:7">
      <c r="A2027" s="50" t="s">
        <v>1969</v>
      </c>
      <c r="B2027" s="50" t="s">
        <v>69</v>
      </c>
      <c r="C2027" s="50" t="s">
        <v>242</v>
      </c>
      <c r="D2027" s="51">
        <v>42</v>
      </c>
      <c r="E2027" s="51">
        <v>868</v>
      </c>
      <c r="F2027" s="52">
        <v>109</v>
      </c>
      <c r="G2027" s="53">
        <v>12.557604</v>
      </c>
    </row>
    <row r="2028" spans="1:7">
      <c r="A2028" s="50" t="s">
        <v>1970</v>
      </c>
      <c r="B2028" s="50" t="s">
        <v>69</v>
      </c>
      <c r="C2028" s="50" t="s">
        <v>242</v>
      </c>
      <c r="D2028" s="51">
        <v>248</v>
      </c>
      <c r="E2028" s="51">
        <v>3511</v>
      </c>
      <c r="F2028" s="52">
        <v>414.2</v>
      </c>
      <c r="G2028" s="53">
        <v>11.797209000000001</v>
      </c>
    </row>
    <row r="2029" spans="1:7">
      <c r="A2029" s="50" t="s">
        <v>1971</v>
      </c>
      <c r="B2029" s="50" t="s">
        <v>69</v>
      </c>
      <c r="C2029" s="50" t="s">
        <v>242</v>
      </c>
      <c r="D2029" s="51">
        <v>366</v>
      </c>
      <c r="E2029" s="51">
        <v>7305</v>
      </c>
      <c r="F2029" s="52">
        <v>697.9</v>
      </c>
      <c r="G2029" s="53">
        <v>9.5537302999999998</v>
      </c>
    </row>
    <row r="2030" spans="1:7">
      <c r="A2030" s="50" t="s">
        <v>1972</v>
      </c>
      <c r="B2030" s="50" t="s">
        <v>69</v>
      </c>
      <c r="C2030" s="50" t="s">
        <v>242</v>
      </c>
      <c r="D2030" s="51">
        <v>250</v>
      </c>
      <c r="E2030" s="51">
        <v>5037</v>
      </c>
      <c r="F2030" s="52">
        <v>585</v>
      </c>
      <c r="G2030" s="53">
        <v>11.614056</v>
      </c>
    </row>
    <row r="2031" spans="1:7">
      <c r="A2031" s="50" t="s">
        <v>1973</v>
      </c>
      <c r="B2031" s="50" t="s">
        <v>69</v>
      </c>
      <c r="C2031" s="50" t="s">
        <v>242</v>
      </c>
      <c r="D2031" s="51">
        <v>447</v>
      </c>
      <c r="E2031" s="51">
        <v>7380</v>
      </c>
      <c r="F2031" s="52">
        <v>821.9</v>
      </c>
      <c r="G2031" s="53">
        <v>11.136856</v>
      </c>
    </row>
    <row r="2032" spans="1:7">
      <c r="A2032" s="50" t="s">
        <v>1974</v>
      </c>
      <c r="B2032" s="50" t="s">
        <v>69</v>
      </c>
      <c r="C2032" s="50" t="s">
        <v>242</v>
      </c>
      <c r="D2032" s="51">
        <v>210</v>
      </c>
      <c r="E2032" s="51">
        <v>2433</v>
      </c>
      <c r="F2032" s="52">
        <v>436.1</v>
      </c>
      <c r="G2032" s="53">
        <v>17.924372999999999</v>
      </c>
    </row>
    <row r="2033" spans="1:7">
      <c r="A2033" s="50" t="s">
        <v>1975</v>
      </c>
      <c r="B2033" s="50" t="s">
        <v>69</v>
      </c>
      <c r="C2033" s="50" t="s">
        <v>242</v>
      </c>
      <c r="D2033" s="51">
        <v>249</v>
      </c>
      <c r="E2033" s="51">
        <v>3453</v>
      </c>
      <c r="F2033" s="52">
        <v>354</v>
      </c>
      <c r="G2033" s="53">
        <v>10.251955000000001</v>
      </c>
    </row>
    <row r="2034" spans="1:7">
      <c r="A2034" s="50" t="s">
        <v>357</v>
      </c>
      <c r="B2034" s="50" t="s">
        <v>69</v>
      </c>
      <c r="C2034" s="50" t="s">
        <v>295</v>
      </c>
      <c r="D2034" s="51">
        <v>16</v>
      </c>
      <c r="E2034" s="51">
        <v>159724</v>
      </c>
      <c r="F2034" s="52">
        <v>3619.4</v>
      </c>
      <c r="G2034" s="53">
        <v>2.2660339</v>
      </c>
    </row>
    <row r="2035" spans="1:7">
      <c r="A2035" s="50" t="s">
        <v>1064</v>
      </c>
      <c r="B2035" s="50" t="s">
        <v>69</v>
      </c>
      <c r="C2035" s="50" t="s">
        <v>325</v>
      </c>
      <c r="D2035" s="51">
        <v>5028</v>
      </c>
      <c r="E2035" s="51">
        <v>148428</v>
      </c>
      <c r="F2035" s="52">
        <v>19114.400000000001</v>
      </c>
      <c r="G2035" s="53">
        <v>12.877894</v>
      </c>
    </row>
    <row r="2036" spans="1:7">
      <c r="A2036" s="50" t="s">
        <v>1065</v>
      </c>
      <c r="B2036" s="50" t="s">
        <v>69</v>
      </c>
      <c r="C2036" s="50" t="s">
        <v>240</v>
      </c>
      <c r="D2036" s="51">
        <v>499</v>
      </c>
      <c r="E2036" s="51">
        <v>18771</v>
      </c>
      <c r="F2036" s="52">
        <v>2521</v>
      </c>
      <c r="G2036" s="53">
        <v>13.430291</v>
      </c>
    </row>
    <row r="2037" spans="1:7">
      <c r="A2037" s="50" t="s">
        <v>420</v>
      </c>
      <c r="B2037" s="50" t="s">
        <v>69</v>
      </c>
      <c r="C2037" s="50" t="s">
        <v>240</v>
      </c>
      <c r="D2037" s="51">
        <v>72</v>
      </c>
      <c r="E2037" s="51">
        <v>4979</v>
      </c>
      <c r="F2037" s="52">
        <v>794</v>
      </c>
      <c r="G2037" s="53">
        <v>15.946977</v>
      </c>
    </row>
    <row r="2038" spans="1:7">
      <c r="A2038" s="50" t="s">
        <v>1821</v>
      </c>
      <c r="B2038" s="50" t="s">
        <v>74</v>
      </c>
      <c r="C2038" s="50" t="s">
        <v>332</v>
      </c>
      <c r="D2038" s="51">
        <v>1</v>
      </c>
      <c r="E2038" s="51">
        <v>2710</v>
      </c>
      <c r="F2038" s="52">
        <v>235</v>
      </c>
      <c r="G2038" s="53">
        <v>8.6715867000000006</v>
      </c>
    </row>
    <row r="2039" spans="1:7">
      <c r="A2039" s="50" t="s">
        <v>1976</v>
      </c>
      <c r="B2039" s="50" t="s">
        <v>74</v>
      </c>
      <c r="C2039" s="50" t="s">
        <v>237</v>
      </c>
      <c r="D2039" s="51">
        <v>38913</v>
      </c>
      <c r="E2039" s="51">
        <v>434587</v>
      </c>
      <c r="F2039" s="52">
        <v>73183.399999999994</v>
      </c>
      <c r="G2039" s="53">
        <v>16.839758</v>
      </c>
    </row>
    <row r="2040" spans="1:7">
      <c r="A2040" s="50" t="s">
        <v>1066</v>
      </c>
      <c r="B2040" s="50" t="s">
        <v>74</v>
      </c>
      <c r="C2040" s="50" t="s">
        <v>240</v>
      </c>
      <c r="D2040" s="51">
        <v>79963</v>
      </c>
      <c r="E2040" s="51">
        <v>645500</v>
      </c>
      <c r="F2040" s="52">
        <v>130671.8</v>
      </c>
      <c r="G2040" s="53">
        <v>20.243500999999998</v>
      </c>
    </row>
    <row r="2041" spans="1:7">
      <c r="A2041" s="50" t="s">
        <v>1977</v>
      </c>
      <c r="B2041" s="50" t="s">
        <v>74</v>
      </c>
      <c r="C2041" s="50" t="s">
        <v>242</v>
      </c>
      <c r="D2041" s="51">
        <v>110</v>
      </c>
      <c r="E2041" s="51">
        <v>3684</v>
      </c>
      <c r="F2041" s="52">
        <v>459</v>
      </c>
      <c r="G2041" s="53">
        <v>12.459282999999999</v>
      </c>
    </row>
    <row r="2042" spans="1:7">
      <c r="A2042" s="50" t="s">
        <v>1978</v>
      </c>
      <c r="B2042" s="50" t="s">
        <v>74</v>
      </c>
      <c r="C2042" s="50" t="s">
        <v>242</v>
      </c>
      <c r="D2042" s="51">
        <v>1007</v>
      </c>
      <c r="E2042" s="51">
        <v>22509</v>
      </c>
      <c r="F2042" s="52">
        <v>3571</v>
      </c>
      <c r="G2042" s="53">
        <v>15.864765</v>
      </c>
    </row>
    <row r="2043" spans="1:7">
      <c r="A2043" s="50" t="s">
        <v>1067</v>
      </c>
      <c r="B2043" s="50" t="s">
        <v>74</v>
      </c>
      <c r="C2043" s="50" t="s">
        <v>237</v>
      </c>
      <c r="D2043" s="51">
        <v>400893</v>
      </c>
      <c r="E2043" s="51">
        <v>3338801</v>
      </c>
      <c r="F2043" s="52">
        <v>625651.80000000005</v>
      </c>
      <c r="G2043" s="53">
        <v>18.738817000000001</v>
      </c>
    </row>
    <row r="2044" spans="1:7">
      <c r="A2044" s="50" t="s">
        <v>343</v>
      </c>
      <c r="B2044" s="50" t="s">
        <v>74</v>
      </c>
      <c r="C2044" s="50" t="s">
        <v>332</v>
      </c>
      <c r="D2044" s="51">
        <v>1205</v>
      </c>
      <c r="E2044" s="51">
        <v>8648</v>
      </c>
      <c r="F2044" s="52">
        <v>1382</v>
      </c>
      <c r="G2044" s="53">
        <v>15.980574000000001</v>
      </c>
    </row>
    <row r="2045" spans="1:7">
      <c r="A2045" s="50" t="s">
        <v>350</v>
      </c>
      <c r="B2045" s="50" t="s">
        <v>74</v>
      </c>
      <c r="C2045" s="50" t="s">
        <v>332</v>
      </c>
      <c r="D2045" s="51">
        <v>603</v>
      </c>
      <c r="E2045" s="51">
        <v>4377</v>
      </c>
      <c r="F2045" s="52">
        <v>788</v>
      </c>
      <c r="G2045" s="53">
        <v>18.003198999999999</v>
      </c>
    </row>
    <row r="2046" spans="1:7">
      <c r="A2046" s="50" t="s">
        <v>351</v>
      </c>
      <c r="B2046" s="50" t="s">
        <v>74</v>
      </c>
      <c r="C2046" s="50" t="s">
        <v>332</v>
      </c>
      <c r="D2046" s="51">
        <v>1</v>
      </c>
      <c r="E2046" s="51">
        <v>1115</v>
      </c>
      <c r="F2046" s="52">
        <v>92</v>
      </c>
      <c r="G2046" s="53">
        <v>8.2511211000000007</v>
      </c>
    </row>
    <row r="2047" spans="1:7">
      <c r="A2047" s="50" t="s">
        <v>1979</v>
      </c>
      <c r="B2047" s="50" t="s">
        <v>74</v>
      </c>
      <c r="C2047" s="50" t="s">
        <v>242</v>
      </c>
      <c r="D2047" s="51">
        <v>1601</v>
      </c>
      <c r="E2047" s="51">
        <v>18267</v>
      </c>
      <c r="F2047" s="52">
        <v>2832</v>
      </c>
      <c r="G2047" s="53">
        <v>15.503367000000001</v>
      </c>
    </row>
    <row r="2048" spans="1:7">
      <c r="A2048" s="50" t="s">
        <v>1980</v>
      </c>
      <c r="B2048" s="50" t="s">
        <v>74</v>
      </c>
      <c r="C2048" s="50" t="s">
        <v>242</v>
      </c>
      <c r="D2048" s="51">
        <v>3964</v>
      </c>
      <c r="E2048" s="51">
        <v>66459</v>
      </c>
      <c r="F2048" s="52">
        <v>9132</v>
      </c>
      <c r="G2048" s="53">
        <v>13.740803</v>
      </c>
    </row>
    <row r="2049" spans="1:7">
      <c r="A2049" s="50" t="s">
        <v>1981</v>
      </c>
      <c r="B2049" s="50" t="s">
        <v>74</v>
      </c>
      <c r="C2049" s="50" t="s">
        <v>242</v>
      </c>
      <c r="D2049" s="51">
        <v>5747</v>
      </c>
      <c r="E2049" s="51">
        <v>69725</v>
      </c>
      <c r="F2049" s="52">
        <v>9975.5</v>
      </c>
      <c r="G2049" s="53">
        <v>14.30692</v>
      </c>
    </row>
    <row r="2050" spans="1:7">
      <c r="A2050" s="50" t="s">
        <v>1068</v>
      </c>
      <c r="B2050" s="50" t="s">
        <v>74</v>
      </c>
      <c r="C2050" s="50" t="s">
        <v>237</v>
      </c>
      <c r="D2050" s="51">
        <v>69626</v>
      </c>
      <c r="E2050" s="51">
        <v>664786</v>
      </c>
      <c r="F2050" s="52">
        <v>120885</v>
      </c>
      <c r="G2050" s="53">
        <v>18.184047</v>
      </c>
    </row>
    <row r="2051" spans="1:7">
      <c r="A2051" s="50" t="s">
        <v>358</v>
      </c>
      <c r="B2051" s="50" t="s">
        <v>77</v>
      </c>
      <c r="C2051" s="50" t="s">
        <v>332</v>
      </c>
      <c r="D2051" s="51">
        <v>10</v>
      </c>
      <c r="E2051" s="51">
        <v>1628</v>
      </c>
      <c r="F2051" s="52">
        <v>124.2</v>
      </c>
      <c r="G2051" s="53">
        <v>7.6289926000000001</v>
      </c>
    </row>
    <row r="2052" spans="1:7">
      <c r="A2052" s="50" t="s">
        <v>1069</v>
      </c>
      <c r="B2052" s="50" t="s">
        <v>77</v>
      </c>
      <c r="C2052" s="50" t="s">
        <v>237</v>
      </c>
      <c r="D2052" s="51">
        <v>486628</v>
      </c>
      <c r="E2052" s="51">
        <v>4889951</v>
      </c>
      <c r="F2052" s="52">
        <v>809755.7</v>
      </c>
      <c r="G2052" s="53">
        <v>16.559587000000001</v>
      </c>
    </row>
    <row r="2053" spans="1:7">
      <c r="A2053" s="50" t="s">
        <v>1070</v>
      </c>
      <c r="B2053" s="50" t="s">
        <v>77</v>
      </c>
      <c r="C2053" s="50" t="s">
        <v>242</v>
      </c>
      <c r="D2053" s="51">
        <v>11706</v>
      </c>
      <c r="E2053" s="51">
        <v>149859</v>
      </c>
      <c r="F2053" s="52">
        <v>19641.400000000001</v>
      </c>
      <c r="G2053" s="53">
        <v>13.106586999999999</v>
      </c>
    </row>
    <row r="2054" spans="1:7">
      <c r="A2054" s="50" t="s">
        <v>1982</v>
      </c>
      <c r="B2054" s="50" t="s">
        <v>77</v>
      </c>
      <c r="C2054" s="50" t="s">
        <v>242</v>
      </c>
      <c r="D2054" s="51">
        <v>2551</v>
      </c>
      <c r="E2054" s="51">
        <v>18327</v>
      </c>
      <c r="F2054" s="52">
        <v>3050</v>
      </c>
      <c r="G2054" s="53">
        <v>16.642112999999998</v>
      </c>
    </row>
    <row r="2055" spans="1:7">
      <c r="A2055" s="50" t="s">
        <v>1071</v>
      </c>
      <c r="B2055" s="50" t="s">
        <v>77</v>
      </c>
      <c r="C2055" s="50" t="s">
        <v>242</v>
      </c>
      <c r="D2055" s="51">
        <v>6790</v>
      </c>
      <c r="E2055" s="51">
        <v>127115</v>
      </c>
      <c r="F2055" s="52">
        <v>20606.2</v>
      </c>
      <c r="G2055" s="53">
        <v>16.210674999999998</v>
      </c>
    </row>
    <row r="2056" spans="1:7">
      <c r="A2056" s="50" t="s">
        <v>1983</v>
      </c>
      <c r="B2056" s="50" t="s">
        <v>77</v>
      </c>
      <c r="C2056" s="50" t="s">
        <v>242</v>
      </c>
      <c r="D2056" s="51">
        <v>3795</v>
      </c>
      <c r="E2056" s="51">
        <v>56445</v>
      </c>
      <c r="F2056" s="52">
        <v>8955</v>
      </c>
      <c r="G2056" s="53">
        <v>15.865000999999999</v>
      </c>
    </row>
    <row r="2057" spans="1:7">
      <c r="A2057" s="50" t="s">
        <v>1984</v>
      </c>
      <c r="B2057" s="50" t="s">
        <v>77</v>
      </c>
      <c r="C2057" s="50" t="s">
        <v>242</v>
      </c>
      <c r="D2057" s="51">
        <v>760</v>
      </c>
      <c r="E2057" s="51">
        <v>6959</v>
      </c>
      <c r="F2057" s="52">
        <v>1611</v>
      </c>
      <c r="G2057" s="53">
        <v>23.149878000000001</v>
      </c>
    </row>
    <row r="2058" spans="1:7">
      <c r="A2058" s="50" t="s">
        <v>1985</v>
      </c>
      <c r="B2058" s="50" t="s">
        <v>77</v>
      </c>
      <c r="C2058" s="50" t="s">
        <v>242</v>
      </c>
      <c r="D2058" s="51">
        <v>6441</v>
      </c>
      <c r="E2058" s="51">
        <v>54049</v>
      </c>
      <c r="F2058" s="52">
        <v>15012.1</v>
      </c>
      <c r="G2058" s="53">
        <v>27.774982000000001</v>
      </c>
    </row>
    <row r="2059" spans="1:7">
      <c r="A2059" s="50" t="s">
        <v>1072</v>
      </c>
      <c r="B2059" s="50" t="s">
        <v>77</v>
      </c>
      <c r="C2059" s="50" t="s">
        <v>242</v>
      </c>
      <c r="D2059" s="51">
        <v>25206</v>
      </c>
      <c r="E2059" s="51">
        <v>658485</v>
      </c>
      <c r="F2059" s="52">
        <v>100324</v>
      </c>
      <c r="G2059" s="53">
        <v>15.235579</v>
      </c>
    </row>
    <row r="2060" spans="1:7">
      <c r="A2060" s="50" t="s">
        <v>331</v>
      </c>
      <c r="B2060" s="50" t="s">
        <v>77</v>
      </c>
      <c r="C2060" s="50" t="s">
        <v>332</v>
      </c>
      <c r="D2060" s="51">
        <v>1</v>
      </c>
      <c r="E2060" s="51">
        <v>1849</v>
      </c>
      <c r="F2060" s="52">
        <v>224.3</v>
      </c>
      <c r="G2060" s="53">
        <v>12.130882</v>
      </c>
    </row>
    <row r="2061" spans="1:7">
      <c r="A2061" s="50" t="s">
        <v>338</v>
      </c>
      <c r="B2061" s="50" t="s">
        <v>77</v>
      </c>
      <c r="C2061" s="50" t="s">
        <v>332</v>
      </c>
      <c r="D2061" s="51">
        <v>297</v>
      </c>
      <c r="E2061" s="51">
        <v>2613</v>
      </c>
      <c r="F2061" s="52">
        <v>336</v>
      </c>
      <c r="G2061" s="53">
        <v>12.858783000000001</v>
      </c>
    </row>
    <row r="2062" spans="1:7">
      <c r="A2062" s="50" t="s">
        <v>1821</v>
      </c>
      <c r="B2062" s="50" t="s">
        <v>77</v>
      </c>
      <c r="C2062" s="50" t="s">
        <v>332</v>
      </c>
      <c r="D2062" s="51">
        <v>3</v>
      </c>
      <c r="E2062" s="51">
        <v>14582</v>
      </c>
      <c r="F2062" s="52">
        <v>1187.5999999999999</v>
      </c>
      <c r="G2062" s="53">
        <v>8.1442875000000008</v>
      </c>
    </row>
    <row r="2063" spans="1:7">
      <c r="A2063" s="50" t="s">
        <v>1073</v>
      </c>
      <c r="B2063" s="50" t="s">
        <v>77</v>
      </c>
      <c r="C2063" s="50" t="s">
        <v>237</v>
      </c>
      <c r="D2063" s="51">
        <v>926121</v>
      </c>
      <c r="E2063" s="51">
        <v>10526741</v>
      </c>
      <c r="F2063" s="52">
        <v>1364660.4</v>
      </c>
      <c r="G2063" s="53">
        <v>12.963749999999999</v>
      </c>
    </row>
    <row r="2064" spans="1:7">
      <c r="A2064" s="50" t="s">
        <v>339</v>
      </c>
      <c r="B2064" s="50" t="s">
        <v>77</v>
      </c>
      <c r="C2064" s="50" t="s">
        <v>332</v>
      </c>
      <c r="D2064" s="51">
        <v>76</v>
      </c>
      <c r="E2064" s="51">
        <v>9830</v>
      </c>
      <c r="F2064" s="52">
        <v>1259.3</v>
      </c>
      <c r="G2064" s="53">
        <v>12.810783000000001</v>
      </c>
    </row>
    <row r="2065" spans="1:7">
      <c r="A2065" s="50" t="s">
        <v>1074</v>
      </c>
      <c r="B2065" s="50" t="s">
        <v>77</v>
      </c>
      <c r="C2065" s="50" t="s">
        <v>237</v>
      </c>
      <c r="D2065" s="51">
        <v>2034027</v>
      </c>
      <c r="E2065" s="51">
        <v>21560363</v>
      </c>
      <c r="F2065" s="52">
        <v>3121117</v>
      </c>
      <c r="G2065" s="53">
        <v>14.476179999999999</v>
      </c>
    </row>
    <row r="2066" spans="1:7">
      <c r="A2066" s="50" t="s">
        <v>1075</v>
      </c>
      <c r="B2066" s="50" t="s">
        <v>77</v>
      </c>
      <c r="C2066" s="50" t="s">
        <v>237</v>
      </c>
      <c r="D2066" s="51">
        <v>68263</v>
      </c>
      <c r="E2066" s="51">
        <v>972048</v>
      </c>
      <c r="F2066" s="52">
        <v>152993.60000000001</v>
      </c>
      <c r="G2066" s="53">
        <v>15.739305</v>
      </c>
    </row>
    <row r="2067" spans="1:7">
      <c r="A2067" s="50" t="s">
        <v>343</v>
      </c>
      <c r="B2067" s="50" t="s">
        <v>77</v>
      </c>
      <c r="C2067" s="50" t="s">
        <v>332</v>
      </c>
      <c r="D2067" s="51">
        <v>10119</v>
      </c>
      <c r="E2067" s="51">
        <v>81843</v>
      </c>
      <c r="F2067" s="52">
        <v>12503</v>
      </c>
      <c r="G2067" s="53">
        <v>15.276809999999999</v>
      </c>
    </row>
    <row r="2068" spans="1:7">
      <c r="A2068" s="50" t="s">
        <v>344</v>
      </c>
      <c r="B2068" s="50" t="s">
        <v>77</v>
      </c>
      <c r="C2068" s="50" t="s">
        <v>332</v>
      </c>
      <c r="D2068" s="51">
        <v>2224</v>
      </c>
      <c r="E2068" s="51">
        <v>19128</v>
      </c>
      <c r="F2068" s="52">
        <v>2843</v>
      </c>
      <c r="G2068" s="53">
        <v>14.863028</v>
      </c>
    </row>
    <row r="2069" spans="1:7">
      <c r="A2069" s="50" t="s">
        <v>346</v>
      </c>
      <c r="B2069" s="50" t="s">
        <v>77</v>
      </c>
      <c r="C2069" s="50" t="s">
        <v>332</v>
      </c>
      <c r="D2069" s="51">
        <v>1</v>
      </c>
      <c r="E2069" s="51">
        <v>597</v>
      </c>
      <c r="F2069" s="52">
        <v>36.700000000000003</v>
      </c>
      <c r="G2069" s="53">
        <v>6.1474036999999999</v>
      </c>
    </row>
    <row r="2070" spans="1:7">
      <c r="A2070" s="50" t="s">
        <v>347</v>
      </c>
      <c r="B2070" s="50" t="s">
        <v>77</v>
      </c>
      <c r="C2070" s="50" t="s">
        <v>332</v>
      </c>
      <c r="D2070" s="51">
        <v>193</v>
      </c>
      <c r="E2070" s="51">
        <v>785</v>
      </c>
      <c r="F2070" s="52">
        <v>202.3</v>
      </c>
      <c r="G2070" s="53">
        <v>25.770700999999999</v>
      </c>
    </row>
    <row r="2071" spans="1:7">
      <c r="A2071" s="50" t="s">
        <v>348</v>
      </c>
      <c r="B2071" s="50" t="s">
        <v>77</v>
      </c>
      <c r="C2071" s="50" t="s">
        <v>332</v>
      </c>
      <c r="D2071" s="51">
        <v>3774</v>
      </c>
      <c r="E2071" s="51">
        <v>36344</v>
      </c>
      <c r="F2071" s="52">
        <v>5013.1000000000004</v>
      </c>
      <c r="G2071" s="53">
        <v>13.793473000000001</v>
      </c>
    </row>
    <row r="2072" spans="1:7">
      <c r="A2072" s="50" t="s">
        <v>349</v>
      </c>
      <c r="B2072" s="50" t="s">
        <v>77</v>
      </c>
      <c r="C2072" s="50" t="s">
        <v>332</v>
      </c>
      <c r="D2072" s="51">
        <v>19124</v>
      </c>
      <c r="E2072" s="51">
        <v>177191</v>
      </c>
      <c r="F2072" s="52">
        <v>28845.8</v>
      </c>
      <c r="G2072" s="53">
        <v>16.279495000000001</v>
      </c>
    </row>
    <row r="2073" spans="1:7">
      <c r="A2073" s="50" t="s">
        <v>350</v>
      </c>
      <c r="B2073" s="50" t="s">
        <v>77</v>
      </c>
      <c r="C2073" s="50" t="s">
        <v>332</v>
      </c>
      <c r="D2073" s="51">
        <v>14364</v>
      </c>
      <c r="E2073" s="51">
        <v>115392</v>
      </c>
      <c r="F2073" s="52">
        <v>18575</v>
      </c>
      <c r="G2073" s="53">
        <v>16.097303</v>
      </c>
    </row>
    <row r="2074" spans="1:7">
      <c r="A2074" s="50" t="s">
        <v>1076</v>
      </c>
      <c r="B2074" s="50" t="s">
        <v>77</v>
      </c>
      <c r="C2074" s="50" t="s">
        <v>240</v>
      </c>
      <c r="D2074" s="51">
        <v>11827</v>
      </c>
      <c r="E2074" s="51">
        <v>152312</v>
      </c>
      <c r="F2074" s="52">
        <v>18956</v>
      </c>
      <c r="G2074" s="53">
        <v>12.445506999999999</v>
      </c>
    </row>
    <row r="2075" spans="1:7">
      <c r="A2075" s="50" t="s">
        <v>351</v>
      </c>
      <c r="B2075" s="50" t="s">
        <v>77</v>
      </c>
      <c r="C2075" s="50" t="s">
        <v>332</v>
      </c>
      <c r="D2075" s="51">
        <v>148</v>
      </c>
      <c r="E2075" s="51">
        <v>48571</v>
      </c>
      <c r="F2075" s="52">
        <v>5955.1</v>
      </c>
      <c r="G2075" s="53">
        <v>12.260608</v>
      </c>
    </row>
    <row r="2076" spans="1:7">
      <c r="A2076" s="50" t="s">
        <v>356</v>
      </c>
      <c r="B2076" s="50" t="s">
        <v>77</v>
      </c>
      <c r="C2076" s="50" t="s">
        <v>332</v>
      </c>
      <c r="D2076" s="51">
        <v>15980</v>
      </c>
      <c r="E2076" s="51">
        <v>110683</v>
      </c>
      <c r="F2076" s="52">
        <v>14912.3</v>
      </c>
      <c r="G2076" s="53">
        <v>13.472981000000001</v>
      </c>
    </row>
    <row r="2077" spans="1:7">
      <c r="A2077" s="50" t="s">
        <v>1077</v>
      </c>
      <c r="B2077" s="50" t="s">
        <v>80</v>
      </c>
      <c r="C2077" s="50" t="s">
        <v>240</v>
      </c>
      <c r="D2077" s="51">
        <v>17986</v>
      </c>
      <c r="E2077" s="51">
        <v>220799</v>
      </c>
      <c r="F2077" s="52">
        <v>34968</v>
      </c>
      <c r="G2077" s="53">
        <v>15.837028</v>
      </c>
    </row>
    <row r="2078" spans="1:7">
      <c r="A2078" s="50" t="s">
        <v>1078</v>
      </c>
      <c r="B2078" s="50" t="s">
        <v>80</v>
      </c>
      <c r="C2078" s="50" t="s">
        <v>240</v>
      </c>
      <c r="D2078" s="51">
        <v>15328</v>
      </c>
      <c r="E2078" s="51">
        <v>821352</v>
      </c>
      <c r="F2078" s="52">
        <v>58387.9</v>
      </c>
      <c r="G2078" s="53">
        <v>7.1087547999999998</v>
      </c>
    </row>
    <row r="2079" spans="1:7">
      <c r="A2079" s="50" t="s">
        <v>1986</v>
      </c>
      <c r="B2079" s="50" t="s">
        <v>80</v>
      </c>
      <c r="C2079" s="50" t="s">
        <v>242</v>
      </c>
      <c r="D2079" s="51">
        <v>3132</v>
      </c>
      <c r="E2079" s="51">
        <v>42278</v>
      </c>
      <c r="F2079" s="52">
        <v>5287</v>
      </c>
      <c r="G2079" s="53">
        <v>12.505322</v>
      </c>
    </row>
    <row r="2080" spans="1:7">
      <c r="A2080" s="50" t="s">
        <v>1079</v>
      </c>
      <c r="B2080" s="50" t="s">
        <v>80</v>
      </c>
      <c r="C2080" s="50" t="s">
        <v>242</v>
      </c>
      <c r="D2080" s="51">
        <v>44877</v>
      </c>
      <c r="E2080" s="51">
        <v>985009</v>
      </c>
      <c r="F2080" s="52">
        <v>88815</v>
      </c>
      <c r="G2080" s="53">
        <v>9.0166689000000009</v>
      </c>
    </row>
    <row r="2081" spans="1:7">
      <c r="A2081" s="50" t="s">
        <v>1080</v>
      </c>
      <c r="B2081" s="50" t="s">
        <v>80</v>
      </c>
      <c r="C2081" s="50" t="s">
        <v>242</v>
      </c>
      <c r="D2081" s="51">
        <v>10488</v>
      </c>
      <c r="E2081" s="51">
        <v>193647</v>
      </c>
      <c r="F2081" s="52">
        <v>22656.1</v>
      </c>
      <c r="G2081" s="53">
        <v>11.699691</v>
      </c>
    </row>
    <row r="2082" spans="1:7">
      <c r="A2082" s="50" t="s">
        <v>1987</v>
      </c>
      <c r="B2082" s="50" t="s">
        <v>80</v>
      </c>
      <c r="C2082" s="50" t="s">
        <v>242</v>
      </c>
      <c r="D2082" s="51">
        <v>3721</v>
      </c>
      <c r="E2082" s="51">
        <v>43000</v>
      </c>
      <c r="F2082" s="52">
        <v>6350</v>
      </c>
      <c r="G2082" s="53">
        <v>14.767442000000001</v>
      </c>
    </row>
    <row r="2083" spans="1:7">
      <c r="A2083" s="50" t="s">
        <v>330</v>
      </c>
      <c r="B2083" s="50" t="s">
        <v>80</v>
      </c>
      <c r="C2083" s="50" t="s">
        <v>240</v>
      </c>
      <c r="D2083" s="51">
        <v>4672</v>
      </c>
      <c r="E2083" s="51">
        <v>87447</v>
      </c>
      <c r="F2083" s="52">
        <v>13122.6</v>
      </c>
      <c r="G2083" s="53">
        <v>15.006347</v>
      </c>
    </row>
    <row r="2084" spans="1:7">
      <c r="A2084" s="50" t="s">
        <v>1081</v>
      </c>
      <c r="B2084" s="50" t="s">
        <v>80</v>
      </c>
      <c r="C2084" s="50" t="s">
        <v>240</v>
      </c>
      <c r="D2084" s="51">
        <v>24202</v>
      </c>
      <c r="E2084" s="51">
        <v>662570</v>
      </c>
      <c r="F2084" s="52">
        <v>61067</v>
      </c>
      <c r="G2084" s="53">
        <v>9.2166864999999998</v>
      </c>
    </row>
    <row r="2085" spans="1:7">
      <c r="A2085" s="50" t="s">
        <v>1820</v>
      </c>
      <c r="B2085" s="50" t="s">
        <v>80</v>
      </c>
      <c r="C2085" s="50" t="s">
        <v>240</v>
      </c>
      <c r="D2085" s="51">
        <v>341</v>
      </c>
      <c r="E2085" s="51">
        <v>3705</v>
      </c>
      <c r="F2085" s="52">
        <v>498</v>
      </c>
      <c r="G2085" s="53">
        <v>13.441295999999999</v>
      </c>
    </row>
    <row r="2086" spans="1:7">
      <c r="A2086" s="50" t="s">
        <v>1082</v>
      </c>
      <c r="B2086" s="50" t="s">
        <v>80</v>
      </c>
      <c r="C2086" s="50" t="s">
        <v>237</v>
      </c>
      <c r="D2086" s="51">
        <v>100435</v>
      </c>
      <c r="E2086" s="51">
        <v>1670944</v>
      </c>
      <c r="F2086" s="52">
        <v>158513</v>
      </c>
      <c r="G2086" s="53">
        <v>9.4864339999999991</v>
      </c>
    </row>
    <row r="2087" spans="1:7">
      <c r="A2087" s="50" t="s">
        <v>1083</v>
      </c>
      <c r="B2087" s="50" t="s">
        <v>80</v>
      </c>
      <c r="C2087" s="50" t="s">
        <v>240</v>
      </c>
      <c r="D2087" s="51">
        <v>13348</v>
      </c>
      <c r="E2087" s="51">
        <v>374819</v>
      </c>
      <c r="F2087" s="52">
        <v>35831.4</v>
      </c>
      <c r="G2087" s="53">
        <v>9.5596540999999995</v>
      </c>
    </row>
    <row r="2088" spans="1:7">
      <c r="A2088" s="50" t="s">
        <v>1084</v>
      </c>
      <c r="B2088" s="50" t="s">
        <v>80</v>
      </c>
      <c r="C2088" s="50" t="s">
        <v>240</v>
      </c>
      <c r="D2088" s="51">
        <v>29208</v>
      </c>
      <c r="E2088" s="51">
        <v>395366</v>
      </c>
      <c r="F2088" s="52">
        <v>50805</v>
      </c>
      <c r="G2088" s="53">
        <v>12.850118999999999</v>
      </c>
    </row>
    <row r="2089" spans="1:7">
      <c r="A2089" s="50" t="s">
        <v>1085</v>
      </c>
      <c r="B2089" s="50" t="s">
        <v>80</v>
      </c>
      <c r="C2089" s="50" t="s">
        <v>240</v>
      </c>
      <c r="D2089" s="51">
        <v>28897</v>
      </c>
      <c r="E2089" s="51">
        <v>270907</v>
      </c>
      <c r="F2089" s="52">
        <v>46809.8</v>
      </c>
      <c r="G2089" s="53">
        <v>17.278918999999998</v>
      </c>
    </row>
    <row r="2090" spans="1:7">
      <c r="A2090" s="50" t="s">
        <v>1086</v>
      </c>
      <c r="B2090" s="50" t="s">
        <v>80</v>
      </c>
      <c r="C2090" s="50" t="s">
        <v>240</v>
      </c>
      <c r="D2090" s="51">
        <v>11157</v>
      </c>
      <c r="E2090" s="51">
        <v>776856</v>
      </c>
      <c r="F2090" s="52">
        <v>54652</v>
      </c>
      <c r="G2090" s="53">
        <v>7.0350232000000004</v>
      </c>
    </row>
    <row r="2091" spans="1:7">
      <c r="A2091" s="50" t="s">
        <v>1087</v>
      </c>
      <c r="B2091" s="50" t="s">
        <v>80</v>
      </c>
      <c r="C2091" s="50" t="s">
        <v>242</v>
      </c>
      <c r="D2091" s="51">
        <v>8652</v>
      </c>
      <c r="E2091" s="51">
        <v>558600</v>
      </c>
      <c r="F2091" s="52">
        <v>39316.699999999997</v>
      </c>
      <c r="G2091" s="53">
        <v>7.0384354</v>
      </c>
    </row>
    <row r="2092" spans="1:7">
      <c r="A2092" s="50" t="s">
        <v>1088</v>
      </c>
      <c r="B2092" s="50" t="s">
        <v>80</v>
      </c>
      <c r="C2092" s="50" t="s">
        <v>240</v>
      </c>
      <c r="D2092" s="51">
        <v>11106</v>
      </c>
      <c r="E2092" s="51">
        <v>75283</v>
      </c>
      <c r="F2092" s="52">
        <v>12616.2</v>
      </c>
      <c r="G2092" s="53">
        <v>16.758365000000001</v>
      </c>
    </row>
    <row r="2093" spans="1:7">
      <c r="A2093" s="50" t="s">
        <v>340</v>
      </c>
      <c r="B2093" s="50" t="s">
        <v>80</v>
      </c>
      <c r="C2093" s="50" t="s">
        <v>2</v>
      </c>
      <c r="D2093" s="51">
        <v>10653</v>
      </c>
      <c r="E2093" s="51">
        <v>133988</v>
      </c>
      <c r="F2093" s="52">
        <v>17832</v>
      </c>
      <c r="G2093" s="53">
        <v>13.308655</v>
      </c>
    </row>
    <row r="2094" spans="1:7">
      <c r="A2094" s="50" t="s">
        <v>341</v>
      </c>
      <c r="B2094" s="50" t="s">
        <v>80</v>
      </c>
      <c r="C2094" s="50" t="s">
        <v>240</v>
      </c>
      <c r="D2094" s="51">
        <v>1569</v>
      </c>
      <c r="E2094" s="51">
        <v>10782</v>
      </c>
      <c r="F2094" s="52">
        <v>1331.9</v>
      </c>
      <c r="G2094" s="53">
        <v>12.352995999999999</v>
      </c>
    </row>
    <row r="2095" spans="1:7">
      <c r="A2095" s="50" t="s">
        <v>1988</v>
      </c>
      <c r="B2095" s="50" t="s">
        <v>80</v>
      </c>
      <c r="C2095" s="50" t="s">
        <v>240</v>
      </c>
      <c r="D2095" s="51">
        <v>3030</v>
      </c>
      <c r="E2095" s="51">
        <v>25928</v>
      </c>
      <c r="F2095" s="52">
        <v>4539.6000000000004</v>
      </c>
      <c r="G2095" s="53">
        <v>17.508485</v>
      </c>
    </row>
    <row r="2096" spans="1:7">
      <c r="A2096" s="50" t="s">
        <v>1089</v>
      </c>
      <c r="B2096" s="50" t="s">
        <v>80</v>
      </c>
      <c r="C2096" s="50" t="s">
        <v>240</v>
      </c>
      <c r="D2096" s="51">
        <v>19606</v>
      </c>
      <c r="E2096" s="51">
        <v>183980</v>
      </c>
      <c r="F2096" s="52">
        <v>31410</v>
      </c>
      <c r="G2096" s="53">
        <v>17.072507999999999</v>
      </c>
    </row>
    <row r="2097" spans="1:7">
      <c r="A2097" s="50" t="s">
        <v>1090</v>
      </c>
      <c r="B2097" s="50" t="s">
        <v>80</v>
      </c>
      <c r="C2097" s="50" t="s">
        <v>237</v>
      </c>
      <c r="D2097" s="51">
        <v>530259</v>
      </c>
      <c r="E2097" s="51">
        <v>9013639</v>
      </c>
      <c r="F2097" s="52">
        <v>940548.7</v>
      </c>
      <c r="G2097" s="53">
        <v>10.434728</v>
      </c>
    </row>
    <row r="2098" spans="1:7">
      <c r="A2098" s="50" t="s">
        <v>1989</v>
      </c>
      <c r="B2098" s="50" t="s">
        <v>80</v>
      </c>
      <c r="C2098" s="50" t="s">
        <v>242</v>
      </c>
      <c r="D2098" s="51">
        <v>4293</v>
      </c>
      <c r="E2098" s="51">
        <v>44000</v>
      </c>
      <c r="F2098" s="52">
        <v>6016</v>
      </c>
      <c r="G2098" s="53">
        <v>13.672727</v>
      </c>
    </row>
    <row r="2099" spans="1:7">
      <c r="A2099" s="50" t="s">
        <v>1091</v>
      </c>
      <c r="B2099" s="50" t="s">
        <v>80</v>
      </c>
      <c r="C2099" s="50" t="s">
        <v>240</v>
      </c>
      <c r="D2099" s="51">
        <v>322</v>
      </c>
      <c r="E2099" s="51">
        <v>2412</v>
      </c>
      <c r="F2099" s="52">
        <v>376.3</v>
      </c>
      <c r="G2099" s="53">
        <v>15.601160999999999</v>
      </c>
    </row>
    <row r="2100" spans="1:7">
      <c r="A2100" s="50" t="s">
        <v>1092</v>
      </c>
      <c r="B2100" s="50" t="s">
        <v>80</v>
      </c>
      <c r="C2100" s="50" t="s">
        <v>240</v>
      </c>
      <c r="D2100" s="51">
        <v>6064</v>
      </c>
      <c r="E2100" s="51">
        <v>159519</v>
      </c>
      <c r="F2100" s="52">
        <v>16308</v>
      </c>
      <c r="G2100" s="53">
        <v>10.223234</v>
      </c>
    </row>
    <row r="2101" spans="1:7">
      <c r="A2101" s="50" t="s">
        <v>1093</v>
      </c>
      <c r="B2101" s="50" t="s">
        <v>80</v>
      </c>
      <c r="C2101" s="50" t="s">
        <v>240</v>
      </c>
      <c r="D2101" s="51">
        <v>4233</v>
      </c>
      <c r="E2101" s="51">
        <v>40583</v>
      </c>
      <c r="F2101" s="52">
        <v>7233</v>
      </c>
      <c r="G2101" s="53">
        <v>17.822734000000001</v>
      </c>
    </row>
    <row r="2102" spans="1:7">
      <c r="A2102" s="50" t="s">
        <v>1094</v>
      </c>
      <c r="B2102" s="50" t="s">
        <v>80</v>
      </c>
      <c r="C2102" s="50" t="s">
        <v>240</v>
      </c>
      <c r="D2102" s="51">
        <v>12791</v>
      </c>
      <c r="E2102" s="51">
        <v>179446</v>
      </c>
      <c r="F2102" s="52">
        <v>24942</v>
      </c>
      <c r="G2102" s="53">
        <v>13.899445999999999</v>
      </c>
    </row>
    <row r="2103" spans="1:7">
      <c r="A2103" s="50" t="s">
        <v>343</v>
      </c>
      <c r="B2103" s="50" t="s">
        <v>80</v>
      </c>
      <c r="C2103" s="50" t="s">
        <v>332</v>
      </c>
      <c r="D2103" s="51">
        <v>1121</v>
      </c>
      <c r="E2103" s="51">
        <v>14339</v>
      </c>
      <c r="F2103" s="52">
        <v>1407</v>
      </c>
      <c r="G2103" s="53">
        <v>9.8123997000000003</v>
      </c>
    </row>
    <row r="2104" spans="1:7">
      <c r="A2104" s="50" t="s">
        <v>416</v>
      </c>
      <c r="B2104" s="50" t="s">
        <v>80</v>
      </c>
      <c r="C2104" s="50" t="s">
        <v>240</v>
      </c>
      <c r="D2104" s="51">
        <v>2266</v>
      </c>
      <c r="E2104" s="51">
        <v>398279</v>
      </c>
      <c r="F2104" s="52">
        <v>32751.200000000001</v>
      </c>
      <c r="G2104" s="53">
        <v>8.2231801999999998</v>
      </c>
    </row>
    <row r="2105" spans="1:7">
      <c r="A2105" s="50" t="s">
        <v>1095</v>
      </c>
      <c r="B2105" s="50" t="s">
        <v>80</v>
      </c>
      <c r="C2105" s="50" t="s">
        <v>237</v>
      </c>
      <c r="D2105" s="51">
        <v>123109</v>
      </c>
      <c r="E2105" s="51">
        <v>7003861</v>
      </c>
      <c r="F2105" s="52">
        <v>428369.3</v>
      </c>
      <c r="G2105" s="53">
        <v>6.1161878999999999</v>
      </c>
    </row>
    <row r="2106" spans="1:7">
      <c r="A2106" s="50" t="s">
        <v>1096</v>
      </c>
      <c r="B2106" s="50" t="s">
        <v>80</v>
      </c>
      <c r="C2106" s="50" t="s">
        <v>240</v>
      </c>
      <c r="D2106" s="51">
        <v>3036</v>
      </c>
      <c r="E2106" s="51">
        <v>245795</v>
      </c>
      <c r="F2106" s="52">
        <v>20537</v>
      </c>
      <c r="G2106" s="53">
        <v>8.3553367999999999</v>
      </c>
    </row>
    <row r="2107" spans="1:7">
      <c r="A2107" s="50" t="s">
        <v>349</v>
      </c>
      <c r="B2107" s="50" t="s">
        <v>80</v>
      </c>
      <c r="C2107" s="50" t="s">
        <v>332</v>
      </c>
      <c r="D2107" s="51">
        <v>838</v>
      </c>
      <c r="E2107" s="51">
        <v>7902</v>
      </c>
      <c r="F2107" s="52">
        <v>1322.5</v>
      </c>
      <c r="G2107" s="53">
        <v>16.736269</v>
      </c>
    </row>
    <row r="2108" spans="1:7">
      <c r="A2108" s="50" t="s">
        <v>350</v>
      </c>
      <c r="B2108" s="50" t="s">
        <v>80</v>
      </c>
      <c r="C2108" s="50" t="s">
        <v>332</v>
      </c>
      <c r="D2108" s="51">
        <v>562</v>
      </c>
      <c r="E2108" s="51">
        <v>4138</v>
      </c>
      <c r="F2108" s="52">
        <v>658</v>
      </c>
      <c r="G2108" s="53">
        <v>15.901401999999999</v>
      </c>
    </row>
    <row r="2109" spans="1:7">
      <c r="A2109" s="50" t="s">
        <v>1990</v>
      </c>
      <c r="B2109" s="50" t="s">
        <v>80</v>
      </c>
      <c r="C2109" s="50" t="s">
        <v>242</v>
      </c>
      <c r="D2109" s="51">
        <v>698</v>
      </c>
      <c r="E2109" s="51">
        <v>4407</v>
      </c>
      <c r="F2109" s="52">
        <v>777.8</v>
      </c>
      <c r="G2109" s="53">
        <v>17.649194000000001</v>
      </c>
    </row>
    <row r="2110" spans="1:7">
      <c r="A2110" s="50" t="s">
        <v>1825</v>
      </c>
      <c r="B2110" s="50" t="s">
        <v>80</v>
      </c>
      <c r="C2110" s="50" t="s">
        <v>240</v>
      </c>
      <c r="D2110" s="51">
        <v>7</v>
      </c>
      <c r="E2110" s="51">
        <v>21</v>
      </c>
      <c r="F2110" s="52">
        <v>4.0999999999999996</v>
      </c>
      <c r="G2110" s="53">
        <v>19.523810000000001</v>
      </c>
    </row>
    <row r="2111" spans="1:7">
      <c r="A2111" s="50" t="s">
        <v>356</v>
      </c>
      <c r="B2111" s="50" t="s">
        <v>80</v>
      </c>
      <c r="C2111" s="50" t="s">
        <v>332</v>
      </c>
      <c r="D2111" s="51">
        <v>2349</v>
      </c>
      <c r="E2111" s="51">
        <v>21202</v>
      </c>
      <c r="F2111" s="52">
        <v>2334.3000000000002</v>
      </c>
      <c r="G2111" s="53">
        <v>11.00981</v>
      </c>
    </row>
    <row r="2112" spans="1:7">
      <c r="A2112" s="50" t="s">
        <v>357</v>
      </c>
      <c r="B2112" s="50" t="s">
        <v>80</v>
      </c>
      <c r="C2112" s="50" t="s">
        <v>295</v>
      </c>
      <c r="D2112" s="51">
        <v>5</v>
      </c>
      <c r="E2112" s="51">
        <v>180152</v>
      </c>
      <c r="F2112" s="52">
        <v>4813.8999999999996</v>
      </c>
      <c r="G2112" s="53">
        <v>2.6721324000000002</v>
      </c>
    </row>
    <row r="2113" spans="1:7">
      <c r="A2113" s="50" t="s">
        <v>324</v>
      </c>
      <c r="B2113" s="50" t="s">
        <v>71</v>
      </c>
      <c r="C2113" s="50" t="s">
        <v>325</v>
      </c>
      <c r="D2113" s="51">
        <v>284</v>
      </c>
      <c r="E2113" s="51">
        <v>23041</v>
      </c>
      <c r="F2113" s="52">
        <v>2724.7</v>
      </c>
      <c r="G2113" s="53">
        <v>11.825442000000001</v>
      </c>
    </row>
    <row r="2114" spans="1:7">
      <c r="A2114" s="50" t="s">
        <v>1991</v>
      </c>
      <c r="B2114" s="50" t="s">
        <v>71</v>
      </c>
      <c r="C2114" s="50" t="s">
        <v>325</v>
      </c>
      <c r="D2114" s="51">
        <v>736</v>
      </c>
      <c r="E2114" s="51">
        <v>13742</v>
      </c>
      <c r="F2114" s="52">
        <v>1585.4</v>
      </c>
      <c r="G2114" s="53">
        <v>11.536894</v>
      </c>
    </row>
    <row r="2115" spans="1:7">
      <c r="A2115" s="50" t="s">
        <v>1097</v>
      </c>
      <c r="B2115" s="50" t="s">
        <v>71</v>
      </c>
      <c r="C2115" s="50" t="s">
        <v>242</v>
      </c>
      <c r="D2115" s="51">
        <v>8066</v>
      </c>
      <c r="E2115" s="51">
        <v>151086</v>
      </c>
      <c r="F2115" s="52">
        <v>16094</v>
      </c>
      <c r="G2115" s="53">
        <v>10.652210999999999</v>
      </c>
    </row>
    <row r="2116" spans="1:7">
      <c r="A2116" s="50" t="s">
        <v>1992</v>
      </c>
      <c r="B2116" s="50" t="s">
        <v>71</v>
      </c>
      <c r="C2116" s="50" t="s">
        <v>242</v>
      </c>
      <c r="D2116" s="51">
        <v>4896</v>
      </c>
      <c r="E2116" s="51">
        <v>87171</v>
      </c>
      <c r="F2116" s="52">
        <v>11159.7</v>
      </c>
      <c r="G2116" s="53">
        <v>12.802079000000001</v>
      </c>
    </row>
    <row r="2117" spans="1:7">
      <c r="A2117" s="50" t="s">
        <v>1993</v>
      </c>
      <c r="B2117" s="50" t="s">
        <v>71</v>
      </c>
      <c r="C2117" s="50" t="s">
        <v>242</v>
      </c>
      <c r="D2117" s="51">
        <v>444</v>
      </c>
      <c r="E2117" s="51">
        <v>6795</v>
      </c>
      <c r="F2117" s="52">
        <v>689</v>
      </c>
      <c r="G2117" s="53">
        <v>10.139809</v>
      </c>
    </row>
    <row r="2118" spans="1:7">
      <c r="A2118" s="50" t="s">
        <v>1098</v>
      </c>
      <c r="B2118" s="50" t="s">
        <v>71</v>
      </c>
      <c r="C2118" s="50" t="s">
        <v>2</v>
      </c>
      <c r="D2118" s="51">
        <v>6</v>
      </c>
      <c r="E2118" s="51">
        <v>618564</v>
      </c>
      <c r="F2118" s="52">
        <v>16802</v>
      </c>
      <c r="G2118" s="53">
        <v>2.7162913</v>
      </c>
    </row>
    <row r="2119" spans="1:7">
      <c r="A2119" s="50" t="s">
        <v>338</v>
      </c>
      <c r="B2119" s="50" t="s">
        <v>71</v>
      </c>
      <c r="C2119" s="50" t="s">
        <v>332</v>
      </c>
      <c r="D2119" s="51">
        <v>49</v>
      </c>
      <c r="E2119" s="51">
        <v>360</v>
      </c>
      <c r="F2119" s="52">
        <v>44</v>
      </c>
      <c r="G2119" s="53">
        <v>12.222222</v>
      </c>
    </row>
    <row r="2120" spans="1:7">
      <c r="A2120" s="50" t="s">
        <v>1821</v>
      </c>
      <c r="B2120" s="50" t="s">
        <v>71</v>
      </c>
      <c r="C2120" s="50" t="s">
        <v>332</v>
      </c>
      <c r="D2120" s="51">
        <v>2</v>
      </c>
      <c r="E2120" s="51">
        <v>7847</v>
      </c>
      <c r="F2120" s="52">
        <v>113.6</v>
      </c>
      <c r="G2120" s="53">
        <v>1.4476869999999999</v>
      </c>
    </row>
    <row r="2121" spans="1:7">
      <c r="A2121" s="50" t="s">
        <v>1099</v>
      </c>
      <c r="B2121" s="50" t="s">
        <v>71</v>
      </c>
      <c r="C2121" s="50" t="s">
        <v>240</v>
      </c>
      <c r="D2121" s="51">
        <v>1353</v>
      </c>
      <c r="E2121" s="51">
        <v>101324</v>
      </c>
      <c r="F2121" s="52">
        <v>6400.4</v>
      </c>
      <c r="G2121" s="53">
        <v>6.3167660000000003</v>
      </c>
    </row>
    <row r="2122" spans="1:7">
      <c r="A2122" s="50" t="s">
        <v>1994</v>
      </c>
      <c r="B2122" s="50" t="s">
        <v>71</v>
      </c>
      <c r="C2122" s="50" t="s">
        <v>325</v>
      </c>
      <c r="D2122" s="51">
        <v>1817</v>
      </c>
      <c r="E2122" s="51">
        <v>45241</v>
      </c>
      <c r="F2122" s="52">
        <v>3571</v>
      </c>
      <c r="G2122" s="53">
        <v>7.8932826</v>
      </c>
    </row>
    <row r="2123" spans="1:7">
      <c r="A2123" s="50" t="s">
        <v>1100</v>
      </c>
      <c r="B2123" s="50" t="s">
        <v>71</v>
      </c>
      <c r="C2123" s="50" t="s">
        <v>240</v>
      </c>
      <c r="D2123" s="51">
        <v>7147</v>
      </c>
      <c r="E2123" s="51">
        <v>548837</v>
      </c>
      <c r="F2123" s="52">
        <v>36589.300000000003</v>
      </c>
      <c r="G2123" s="53">
        <v>6.6666970000000001</v>
      </c>
    </row>
    <row r="2124" spans="1:7">
      <c r="A2124" s="50" t="s">
        <v>1101</v>
      </c>
      <c r="B2124" s="50" t="s">
        <v>71</v>
      </c>
      <c r="C2124" s="50" t="s">
        <v>237</v>
      </c>
      <c r="D2124" s="51">
        <v>951035</v>
      </c>
      <c r="E2124" s="51">
        <v>19505109</v>
      </c>
      <c r="F2124" s="52">
        <v>2039899</v>
      </c>
      <c r="G2124" s="53">
        <v>10.45828</v>
      </c>
    </row>
    <row r="2125" spans="1:7">
      <c r="A2125" s="50" t="s">
        <v>1102</v>
      </c>
      <c r="B2125" s="50" t="s">
        <v>71</v>
      </c>
      <c r="C2125" s="50" t="s">
        <v>325</v>
      </c>
      <c r="D2125" s="51">
        <v>16145</v>
      </c>
      <c r="E2125" s="51">
        <v>397504</v>
      </c>
      <c r="F2125" s="52">
        <v>37906</v>
      </c>
      <c r="G2125" s="53">
        <v>9.5360046999999994</v>
      </c>
    </row>
    <row r="2126" spans="1:7">
      <c r="A2126" s="50" t="s">
        <v>384</v>
      </c>
      <c r="B2126" s="50" t="s">
        <v>71</v>
      </c>
      <c r="C2126" s="50" t="s">
        <v>240</v>
      </c>
      <c r="D2126" s="51">
        <v>413</v>
      </c>
      <c r="E2126" s="51">
        <v>4580</v>
      </c>
      <c r="F2126" s="52">
        <v>822</v>
      </c>
      <c r="G2126" s="53">
        <v>17.947597999999999</v>
      </c>
    </row>
    <row r="2127" spans="1:7">
      <c r="A2127" s="50" t="s">
        <v>1832</v>
      </c>
      <c r="B2127" s="50" t="s">
        <v>71</v>
      </c>
      <c r="C2127" s="50" t="s">
        <v>240</v>
      </c>
      <c r="D2127" s="51">
        <v>1771</v>
      </c>
      <c r="E2127" s="51">
        <v>50426</v>
      </c>
      <c r="F2127" s="52">
        <v>3840</v>
      </c>
      <c r="G2127" s="53">
        <v>7.6151191999999996</v>
      </c>
    </row>
    <row r="2128" spans="1:7">
      <c r="A2128" s="50" t="s">
        <v>1103</v>
      </c>
      <c r="B2128" s="50" t="s">
        <v>71</v>
      </c>
      <c r="C2128" s="50" t="s">
        <v>237</v>
      </c>
      <c r="D2128" s="51">
        <v>352366</v>
      </c>
      <c r="E2128" s="51">
        <v>9195752</v>
      </c>
      <c r="F2128" s="52">
        <v>726943.3</v>
      </c>
      <c r="G2128" s="53">
        <v>7.9052078000000003</v>
      </c>
    </row>
    <row r="2129" spans="1:7">
      <c r="A2129" s="50" t="s">
        <v>343</v>
      </c>
      <c r="B2129" s="50" t="s">
        <v>71</v>
      </c>
      <c r="C2129" s="50" t="s">
        <v>332</v>
      </c>
      <c r="D2129" s="51">
        <v>12384</v>
      </c>
      <c r="E2129" s="51">
        <v>125106</v>
      </c>
      <c r="F2129" s="52">
        <v>14102</v>
      </c>
      <c r="G2129" s="53">
        <v>11.272041</v>
      </c>
    </row>
    <row r="2130" spans="1:7">
      <c r="A2130" s="50" t="s">
        <v>344</v>
      </c>
      <c r="B2130" s="50" t="s">
        <v>71</v>
      </c>
      <c r="C2130" s="50" t="s">
        <v>332</v>
      </c>
      <c r="D2130" s="51">
        <v>93</v>
      </c>
      <c r="E2130" s="51">
        <v>1021</v>
      </c>
      <c r="F2130" s="52">
        <v>136.19999999999999</v>
      </c>
      <c r="G2130" s="53">
        <v>13.339862999999999</v>
      </c>
    </row>
    <row r="2131" spans="1:7">
      <c r="A2131" s="50" t="s">
        <v>346</v>
      </c>
      <c r="B2131" s="50" t="s">
        <v>71</v>
      </c>
      <c r="C2131" s="50" t="s">
        <v>332</v>
      </c>
      <c r="D2131" s="51">
        <v>10</v>
      </c>
      <c r="E2131" s="51">
        <v>273</v>
      </c>
      <c r="F2131" s="52">
        <v>21.7</v>
      </c>
      <c r="G2131" s="53">
        <v>7.9487179000000001</v>
      </c>
    </row>
    <row r="2132" spans="1:7">
      <c r="A2132" s="50" t="s">
        <v>348</v>
      </c>
      <c r="B2132" s="50" t="s">
        <v>71</v>
      </c>
      <c r="C2132" s="50" t="s">
        <v>332</v>
      </c>
      <c r="D2132" s="51">
        <v>594</v>
      </c>
      <c r="E2132" s="51">
        <v>7888</v>
      </c>
      <c r="F2132" s="52">
        <v>935.5</v>
      </c>
      <c r="G2132" s="53">
        <v>11.859787000000001</v>
      </c>
    </row>
    <row r="2133" spans="1:7">
      <c r="A2133" s="50" t="s">
        <v>349</v>
      </c>
      <c r="B2133" s="50" t="s">
        <v>71</v>
      </c>
      <c r="C2133" s="50" t="s">
        <v>332</v>
      </c>
      <c r="D2133" s="51">
        <v>2385</v>
      </c>
      <c r="E2133" s="51">
        <v>23176</v>
      </c>
      <c r="F2133" s="52">
        <v>3643.8</v>
      </c>
      <c r="G2133" s="53">
        <v>15.722299</v>
      </c>
    </row>
    <row r="2134" spans="1:7">
      <c r="A2134" s="50" t="s">
        <v>350</v>
      </c>
      <c r="B2134" s="50" t="s">
        <v>71</v>
      </c>
      <c r="C2134" s="50" t="s">
        <v>332</v>
      </c>
      <c r="D2134" s="51">
        <v>6805</v>
      </c>
      <c r="E2134" s="51">
        <v>67529</v>
      </c>
      <c r="F2134" s="52">
        <v>8976</v>
      </c>
      <c r="G2134" s="53">
        <v>13.292066999999999</v>
      </c>
    </row>
    <row r="2135" spans="1:7">
      <c r="A2135" s="50" t="s">
        <v>388</v>
      </c>
      <c r="B2135" s="50" t="s">
        <v>71</v>
      </c>
      <c r="C2135" s="50" t="s">
        <v>240</v>
      </c>
      <c r="D2135" s="51">
        <v>10</v>
      </c>
      <c r="E2135" s="51">
        <v>118</v>
      </c>
      <c r="F2135" s="52">
        <v>11.8</v>
      </c>
      <c r="G2135" s="53">
        <v>10</v>
      </c>
    </row>
    <row r="2136" spans="1:7">
      <c r="A2136" s="50" t="s">
        <v>390</v>
      </c>
      <c r="B2136" s="50" t="s">
        <v>71</v>
      </c>
      <c r="C2136" s="50" t="s">
        <v>240</v>
      </c>
      <c r="D2136" s="51">
        <v>23021</v>
      </c>
      <c r="E2136" s="51">
        <v>544892</v>
      </c>
      <c r="F2136" s="52">
        <v>63886.1</v>
      </c>
      <c r="G2136" s="53">
        <v>11.724544</v>
      </c>
    </row>
    <row r="2137" spans="1:7">
      <c r="A2137" s="50" t="s">
        <v>356</v>
      </c>
      <c r="B2137" s="50" t="s">
        <v>71</v>
      </c>
      <c r="C2137" s="50" t="s">
        <v>332</v>
      </c>
      <c r="D2137" s="51">
        <v>2855</v>
      </c>
      <c r="E2137" s="51">
        <v>26395</v>
      </c>
      <c r="F2137" s="52">
        <v>2963.3</v>
      </c>
      <c r="G2137" s="53">
        <v>11.226747</v>
      </c>
    </row>
    <row r="2138" spans="1:7">
      <c r="A2138" s="50" t="s">
        <v>357</v>
      </c>
      <c r="B2138" s="50" t="s">
        <v>71</v>
      </c>
      <c r="C2138" s="50" t="s">
        <v>295</v>
      </c>
      <c r="D2138" s="51">
        <v>3</v>
      </c>
      <c r="E2138" s="51">
        <v>26812</v>
      </c>
      <c r="F2138" s="52">
        <v>344.7</v>
      </c>
      <c r="G2138" s="53">
        <v>1.2856183999999999</v>
      </c>
    </row>
    <row r="2139" spans="1:7">
      <c r="A2139" s="50" t="s">
        <v>1104</v>
      </c>
      <c r="B2139" s="50" t="s">
        <v>71</v>
      </c>
      <c r="C2139" s="50" t="s">
        <v>240</v>
      </c>
      <c r="D2139" s="51">
        <v>5567</v>
      </c>
      <c r="E2139" s="51">
        <v>736525</v>
      </c>
      <c r="F2139" s="52">
        <v>40472</v>
      </c>
      <c r="G2139" s="53">
        <v>5.4949934000000002</v>
      </c>
    </row>
    <row r="2140" spans="1:7">
      <c r="A2140" s="50" t="s">
        <v>1995</v>
      </c>
      <c r="B2140" s="50" t="s">
        <v>82</v>
      </c>
      <c r="C2140" s="50" t="s">
        <v>242</v>
      </c>
      <c r="D2140" s="51">
        <v>4392</v>
      </c>
      <c r="E2140" s="51">
        <v>80823</v>
      </c>
      <c r="F2140" s="52">
        <v>4646</v>
      </c>
      <c r="G2140" s="53">
        <v>5.7483636999999996</v>
      </c>
    </row>
    <row r="2141" spans="1:7">
      <c r="A2141" s="50" t="s">
        <v>1105</v>
      </c>
      <c r="B2141" s="50" t="s">
        <v>82</v>
      </c>
      <c r="C2141" s="50" t="s">
        <v>237</v>
      </c>
      <c r="D2141" s="51">
        <v>258976</v>
      </c>
      <c r="E2141" s="51">
        <v>2595474</v>
      </c>
      <c r="F2141" s="52">
        <v>408450</v>
      </c>
      <c r="G2141" s="53">
        <v>15.73701</v>
      </c>
    </row>
    <row r="2142" spans="1:7">
      <c r="A2142" s="50" t="s">
        <v>1106</v>
      </c>
      <c r="B2142" s="50" t="s">
        <v>82</v>
      </c>
      <c r="C2142" s="50" t="s">
        <v>242</v>
      </c>
      <c r="D2142" s="51">
        <v>10162</v>
      </c>
      <c r="E2142" s="51">
        <v>535292</v>
      </c>
      <c r="F2142" s="52">
        <v>20500</v>
      </c>
      <c r="G2142" s="53">
        <v>3.8296855000000001</v>
      </c>
    </row>
    <row r="2143" spans="1:7">
      <c r="A2143" s="50" t="s">
        <v>1107</v>
      </c>
      <c r="B2143" s="50" t="s">
        <v>82</v>
      </c>
      <c r="C2143" s="50" t="s">
        <v>242</v>
      </c>
      <c r="D2143" s="51">
        <v>3678</v>
      </c>
      <c r="E2143" s="51">
        <v>115254</v>
      </c>
      <c r="F2143" s="52">
        <v>5857</v>
      </c>
      <c r="G2143" s="53">
        <v>5.0818193000000003</v>
      </c>
    </row>
    <row r="2144" spans="1:7">
      <c r="A2144" s="50" t="s">
        <v>1996</v>
      </c>
      <c r="B2144" s="50" t="s">
        <v>82</v>
      </c>
      <c r="C2144" s="50" t="s">
        <v>242</v>
      </c>
      <c r="D2144" s="51">
        <v>1876</v>
      </c>
      <c r="E2144" s="51">
        <v>54626</v>
      </c>
      <c r="F2144" s="52">
        <v>3000</v>
      </c>
      <c r="G2144" s="53">
        <v>5.4918902999999997</v>
      </c>
    </row>
    <row r="2145" spans="1:7">
      <c r="A2145" s="50" t="s">
        <v>1108</v>
      </c>
      <c r="B2145" s="50" t="s">
        <v>82</v>
      </c>
      <c r="C2145" s="50" t="s">
        <v>237</v>
      </c>
      <c r="D2145" s="51">
        <v>2773146</v>
      </c>
      <c r="E2145" s="51">
        <v>20579341</v>
      </c>
      <c r="F2145" s="52">
        <v>4544819</v>
      </c>
      <c r="G2145" s="53">
        <v>22.084375999999999</v>
      </c>
    </row>
    <row r="2146" spans="1:7">
      <c r="A2146" s="50" t="s">
        <v>1997</v>
      </c>
      <c r="B2146" s="50" t="s">
        <v>82</v>
      </c>
      <c r="C2146" s="50" t="s">
        <v>240</v>
      </c>
      <c r="D2146" s="51">
        <v>5372</v>
      </c>
      <c r="E2146" s="51">
        <v>76876</v>
      </c>
      <c r="F2146" s="52">
        <v>8444</v>
      </c>
      <c r="G2146" s="53">
        <v>10.983922</v>
      </c>
    </row>
    <row r="2147" spans="1:7">
      <c r="A2147" s="50" t="s">
        <v>1109</v>
      </c>
      <c r="B2147" s="50" t="s">
        <v>82</v>
      </c>
      <c r="C2147" s="50" t="s">
        <v>237</v>
      </c>
      <c r="D2147" s="51">
        <v>762</v>
      </c>
      <c r="E2147" s="51">
        <v>6155</v>
      </c>
      <c r="F2147" s="52">
        <v>1868</v>
      </c>
      <c r="G2147" s="53">
        <v>30.349309999999999</v>
      </c>
    </row>
    <row r="2148" spans="1:7">
      <c r="A2148" s="50" t="s">
        <v>338</v>
      </c>
      <c r="B2148" s="50" t="s">
        <v>82</v>
      </c>
      <c r="C2148" s="50" t="s">
        <v>332</v>
      </c>
      <c r="D2148" s="51">
        <v>276</v>
      </c>
      <c r="E2148" s="51">
        <v>1785</v>
      </c>
      <c r="F2148" s="52">
        <v>273</v>
      </c>
      <c r="G2148" s="53">
        <v>15.294117999999999</v>
      </c>
    </row>
    <row r="2149" spans="1:7">
      <c r="A2149" s="50" t="s">
        <v>1821</v>
      </c>
      <c r="B2149" s="50" t="s">
        <v>82</v>
      </c>
      <c r="C2149" s="50" t="s">
        <v>332</v>
      </c>
      <c r="D2149" s="51">
        <v>2</v>
      </c>
      <c r="E2149" s="51">
        <v>15235</v>
      </c>
      <c r="F2149" s="52">
        <v>1441.6</v>
      </c>
      <c r="G2149" s="53">
        <v>9.4624220999999995</v>
      </c>
    </row>
    <row r="2150" spans="1:7">
      <c r="A2150" s="50" t="s">
        <v>1110</v>
      </c>
      <c r="B2150" s="50" t="s">
        <v>82</v>
      </c>
      <c r="C2150" s="50" t="s">
        <v>242</v>
      </c>
      <c r="D2150" s="51">
        <v>18971</v>
      </c>
      <c r="E2150" s="51">
        <v>434401</v>
      </c>
      <c r="F2150" s="52">
        <v>35193.9</v>
      </c>
      <c r="G2150" s="53">
        <v>8.1017078999999992</v>
      </c>
    </row>
    <row r="2151" spans="1:7">
      <c r="A2151" s="50" t="s">
        <v>1111</v>
      </c>
      <c r="B2151" s="50" t="s">
        <v>82</v>
      </c>
      <c r="C2151" s="50" t="s">
        <v>242</v>
      </c>
      <c r="D2151" s="51">
        <v>4839</v>
      </c>
      <c r="E2151" s="51">
        <v>173207</v>
      </c>
      <c r="F2151" s="52">
        <v>9268.2999999999993</v>
      </c>
      <c r="G2151" s="53">
        <v>5.3509962</v>
      </c>
    </row>
    <row r="2152" spans="1:7">
      <c r="A2152" s="50" t="s">
        <v>1112</v>
      </c>
      <c r="B2152" s="50" t="s">
        <v>82</v>
      </c>
      <c r="C2152" s="50" t="s">
        <v>2</v>
      </c>
      <c r="D2152" s="51">
        <v>1133473</v>
      </c>
      <c r="E2152" s="51">
        <v>17761733</v>
      </c>
      <c r="F2152" s="52">
        <v>3425475.1</v>
      </c>
      <c r="G2152" s="53">
        <v>19.285703000000002</v>
      </c>
    </row>
    <row r="2153" spans="1:7">
      <c r="A2153" s="50" t="s">
        <v>339</v>
      </c>
      <c r="B2153" s="50" t="s">
        <v>82</v>
      </c>
      <c r="C2153" s="50" t="s">
        <v>332</v>
      </c>
      <c r="D2153" s="51">
        <v>3</v>
      </c>
      <c r="E2153" s="51">
        <v>1024</v>
      </c>
      <c r="F2153" s="52">
        <v>181.6</v>
      </c>
      <c r="G2153" s="53">
        <v>17.734375</v>
      </c>
    </row>
    <row r="2154" spans="1:7">
      <c r="A2154" s="50" t="s">
        <v>1998</v>
      </c>
      <c r="B2154" s="50" t="s">
        <v>82</v>
      </c>
      <c r="C2154" s="50" t="s">
        <v>242</v>
      </c>
      <c r="D2154" s="51">
        <v>1324</v>
      </c>
      <c r="E2154" s="51">
        <v>21264</v>
      </c>
      <c r="F2154" s="52">
        <v>836</v>
      </c>
      <c r="G2154" s="53">
        <v>3.9315275000000001</v>
      </c>
    </row>
    <row r="2155" spans="1:7">
      <c r="A2155" s="50" t="s">
        <v>1113</v>
      </c>
      <c r="B2155" s="50" t="s">
        <v>82</v>
      </c>
      <c r="C2155" s="50" t="s">
        <v>237</v>
      </c>
      <c r="D2155" s="51">
        <v>728822</v>
      </c>
      <c r="E2155" s="51">
        <v>7299319</v>
      </c>
      <c r="F2155" s="52">
        <v>798555.3</v>
      </c>
      <c r="G2155" s="53">
        <v>10.940134</v>
      </c>
    </row>
    <row r="2156" spans="1:7">
      <c r="A2156" s="50" t="s">
        <v>1114</v>
      </c>
      <c r="B2156" s="50" t="s">
        <v>82</v>
      </c>
      <c r="C2156" s="50" t="s">
        <v>237</v>
      </c>
      <c r="D2156" s="51">
        <v>1396453</v>
      </c>
      <c r="E2156" s="51">
        <v>14118253</v>
      </c>
      <c r="F2156" s="52">
        <v>1562723.3</v>
      </c>
      <c r="G2156" s="53">
        <v>11.068815000000001</v>
      </c>
    </row>
    <row r="2157" spans="1:7">
      <c r="A2157" s="50" t="s">
        <v>1115</v>
      </c>
      <c r="B2157" s="50" t="s">
        <v>82</v>
      </c>
      <c r="C2157" s="50" t="s">
        <v>240</v>
      </c>
      <c r="D2157" s="51">
        <v>1860</v>
      </c>
      <c r="E2157" s="51">
        <v>7428</v>
      </c>
      <c r="F2157" s="52">
        <v>1989.5</v>
      </c>
      <c r="G2157" s="53">
        <v>26.783791000000001</v>
      </c>
    </row>
    <row r="2158" spans="1:7">
      <c r="A2158" s="50" t="s">
        <v>1116</v>
      </c>
      <c r="B2158" s="50" t="s">
        <v>82</v>
      </c>
      <c r="C2158" s="50" t="s">
        <v>237</v>
      </c>
      <c r="D2158" s="51">
        <v>159741</v>
      </c>
      <c r="E2158" s="51">
        <v>1646468</v>
      </c>
      <c r="F2158" s="52">
        <v>278278.7</v>
      </c>
      <c r="G2158" s="53">
        <v>16.901554999999998</v>
      </c>
    </row>
    <row r="2159" spans="1:7">
      <c r="A2159" s="50" t="s">
        <v>1999</v>
      </c>
      <c r="B2159" s="50" t="s">
        <v>82</v>
      </c>
      <c r="C2159" s="50" t="s">
        <v>240</v>
      </c>
      <c r="D2159" s="51">
        <v>4780</v>
      </c>
      <c r="E2159" s="51">
        <v>52056</v>
      </c>
      <c r="F2159" s="52">
        <v>6399.2</v>
      </c>
      <c r="G2159" s="53">
        <v>12.292915000000001</v>
      </c>
    </row>
    <row r="2160" spans="1:7">
      <c r="A2160" s="50" t="s">
        <v>1117</v>
      </c>
      <c r="B2160" s="50" t="s">
        <v>82</v>
      </c>
      <c r="C2160" s="50" t="s">
        <v>237</v>
      </c>
      <c r="D2160" s="51">
        <v>3624</v>
      </c>
      <c r="E2160" s="51">
        <v>48206</v>
      </c>
      <c r="F2160" s="52">
        <v>4728</v>
      </c>
      <c r="G2160" s="53">
        <v>9.8079076999999995</v>
      </c>
    </row>
    <row r="2161" spans="1:7">
      <c r="A2161" s="50" t="s">
        <v>1118</v>
      </c>
      <c r="B2161" s="50" t="s">
        <v>82</v>
      </c>
      <c r="C2161" s="50" t="s">
        <v>237</v>
      </c>
      <c r="D2161" s="51">
        <v>320396</v>
      </c>
      <c r="E2161" s="51">
        <v>2970442</v>
      </c>
      <c r="F2161" s="52">
        <v>371706.7</v>
      </c>
      <c r="G2161" s="53">
        <v>12.513515</v>
      </c>
    </row>
    <row r="2162" spans="1:7">
      <c r="A2162" s="50" t="s">
        <v>343</v>
      </c>
      <c r="B2162" s="50" t="s">
        <v>82</v>
      </c>
      <c r="C2162" s="50" t="s">
        <v>332</v>
      </c>
      <c r="D2162" s="51">
        <v>17149</v>
      </c>
      <c r="E2162" s="51">
        <v>137969</v>
      </c>
      <c r="F2162" s="52">
        <v>21672.6</v>
      </c>
      <c r="G2162" s="53">
        <v>15.708311</v>
      </c>
    </row>
    <row r="2163" spans="1:7">
      <c r="A2163" s="50" t="s">
        <v>344</v>
      </c>
      <c r="B2163" s="50" t="s">
        <v>82</v>
      </c>
      <c r="C2163" s="50" t="s">
        <v>332</v>
      </c>
      <c r="D2163" s="51">
        <v>1089</v>
      </c>
      <c r="E2163" s="51">
        <v>7755</v>
      </c>
      <c r="F2163" s="52">
        <v>1331.1</v>
      </c>
      <c r="G2163" s="53">
        <v>17.16441</v>
      </c>
    </row>
    <row r="2164" spans="1:7">
      <c r="A2164" s="50" t="s">
        <v>1119</v>
      </c>
      <c r="B2164" s="50" t="s">
        <v>82</v>
      </c>
      <c r="C2164" s="50" t="s">
        <v>240</v>
      </c>
      <c r="D2164" s="51">
        <v>6318</v>
      </c>
      <c r="E2164" s="51">
        <v>87989</v>
      </c>
      <c r="F2164" s="52">
        <v>10093</v>
      </c>
      <c r="G2164" s="53">
        <v>11.470751999999999</v>
      </c>
    </row>
    <row r="2165" spans="1:7">
      <c r="A2165" s="50" t="s">
        <v>347</v>
      </c>
      <c r="B2165" s="50" t="s">
        <v>82</v>
      </c>
      <c r="C2165" s="50" t="s">
        <v>332</v>
      </c>
      <c r="D2165" s="51">
        <v>28</v>
      </c>
      <c r="E2165" s="51">
        <v>107</v>
      </c>
      <c r="F2165" s="52">
        <v>12</v>
      </c>
      <c r="G2165" s="53">
        <v>11.214953</v>
      </c>
    </row>
    <row r="2166" spans="1:7">
      <c r="A2166" s="50" t="s">
        <v>348</v>
      </c>
      <c r="B2166" s="50" t="s">
        <v>82</v>
      </c>
      <c r="C2166" s="50" t="s">
        <v>332</v>
      </c>
      <c r="D2166" s="51">
        <v>8123</v>
      </c>
      <c r="E2166" s="51">
        <v>71777</v>
      </c>
      <c r="F2166" s="52">
        <v>12480.6</v>
      </c>
      <c r="G2166" s="53">
        <v>17.388020999999998</v>
      </c>
    </row>
    <row r="2167" spans="1:7">
      <c r="A2167" s="50" t="s">
        <v>349</v>
      </c>
      <c r="B2167" s="50" t="s">
        <v>82</v>
      </c>
      <c r="C2167" s="50" t="s">
        <v>332</v>
      </c>
      <c r="D2167" s="51">
        <v>3185</v>
      </c>
      <c r="E2167" s="51">
        <v>24180</v>
      </c>
      <c r="F2167" s="52">
        <v>5237.2</v>
      </c>
      <c r="G2167" s="53">
        <v>21.659222</v>
      </c>
    </row>
    <row r="2168" spans="1:7">
      <c r="A2168" s="50" t="s">
        <v>350</v>
      </c>
      <c r="B2168" s="50" t="s">
        <v>82</v>
      </c>
      <c r="C2168" s="50" t="s">
        <v>332</v>
      </c>
      <c r="D2168" s="51">
        <v>14614</v>
      </c>
      <c r="E2168" s="51">
        <v>94112</v>
      </c>
      <c r="F2168" s="52">
        <v>18911</v>
      </c>
      <c r="G2168" s="53">
        <v>20.094142999999999</v>
      </c>
    </row>
    <row r="2169" spans="1:7">
      <c r="A2169" s="50" t="s">
        <v>351</v>
      </c>
      <c r="B2169" s="50" t="s">
        <v>82</v>
      </c>
      <c r="C2169" s="50" t="s">
        <v>332</v>
      </c>
      <c r="D2169" s="51">
        <v>6</v>
      </c>
      <c r="E2169" s="51">
        <v>1714</v>
      </c>
      <c r="F2169" s="52">
        <v>219.8</v>
      </c>
      <c r="G2169" s="53">
        <v>12.823804000000001</v>
      </c>
    </row>
    <row r="2170" spans="1:7">
      <c r="A2170" s="50" t="s">
        <v>1120</v>
      </c>
      <c r="B2170" s="50" t="s">
        <v>82</v>
      </c>
      <c r="C2170" s="50" t="s">
        <v>242</v>
      </c>
      <c r="D2170" s="51">
        <v>9330</v>
      </c>
      <c r="E2170" s="51">
        <v>205857</v>
      </c>
      <c r="F2170" s="52">
        <v>11934.9</v>
      </c>
      <c r="G2170" s="53">
        <v>5.7976653999999996</v>
      </c>
    </row>
    <row r="2171" spans="1:7">
      <c r="A2171" s="50" t="s">
        <v>2000</v>
      </c>
      <c r="B2171" s="50" t="s">
        <v>82</v>
      </c>
      <c r="C2171" s="50" t="s">
        <v>242</v>
      </c>
      <c r="D2171" s="51">
        <v>1653</v>
      </c>
      <c r="E2171" s="51">
        <v>54769</v>
      </c>
      <c r="F2171" s="52">
        <v>2873</v>
      </c>
      <c r="G2171" s="53">
        <v>5.2456681999999999</v>
      </c>
    </row>
    <row r="2172" spans="1:7">
      <c r="A2172" s="50" t="s">
        <v>2001</v>
      </c>
      <c r="B2172" s="50" t="s">
        <v>82</v>
      </c>
      <c r="C2172" s="50" t="s">
        <v>242</v>
      </c>
      <c r="D2172" s="51">
        <v>610</v>
      </c>
      <c r="E2172" s="51">
        <v>7071</v>
      </c>
      <c r="F2172" s="52">
        <v>308</v>
      </c>
      <c r="G2172" s="53">
        <v>4.3558195</v>
      </c>
    </row>
    <row r="2173" spans="1:7">
      <c r="A2173" s="50" t="s">
        <v>2002</v>
      </c>
      <c r="B2173" s="50" t="s">
        <v>82</v>
      </c>
      <c r="C2173" s="50" t="s">
        <v>242</v>
      </c>
      <c r="D2173" s="51">
        <v>723</v>
      </c>
      <c r="E2173" s="51">
        <v>10025</v>
      </c>
      <c r="F2173" s="52">
        <v>694.3</v>
      </c>
      <c r="G2173" s="53">
        <v>6.9256858000000001</v>
      </c>
    </row>
    <row r="2174" spans="1:7">
      <c r="A2174" s="50" t="s">
        <v>1121</v>
      </c>
      <c r="B2174" s="50" t="s">
        <v>82</v>
      </c>
      <c r="C2174" s="50" t="s">
        <v>242</v>
      </c>
      <c r="D2174" s="51">
        <v>4175</v>
      </c>
      <c r="E2174" s="51">
        <v>164984</v>
      </c>
      <c r="F2174" s="52">
        <v>7890</v>
      </c>
      <c r="G2174" s="53">
        <v>4.7822819000000001</v>
      </c>
    </row>
    <row r="2175" spans="1:7">
      <c r="A2175" s="50" t="s">
        <v>2003</v>
      </c>
      <c r="B2175" s="50" t="s">
        <v>82</v>
      </c>
      <c r="C2175" s="50" t="s">
        <v>242</v>
      </c>
      <c r="D2175" s="51">
        <v>660</v>
      </c>
      <c r="E2175" s="51">
        <v>34207</v>
      </c>
      <c r="F2175" s="52">
        <v>2368</v>
      </c>
      <c r="G2175" s="53">
        <v>6.9225596999999999</v>
      </c>
    </row>
    <row r="2176" spans="1:7">
      <c r="A2176" s="50" t="s">
        <v>2004</v>
      </c>
      <c r="B2176" s="50" t="s">
        <v>82</v>
      </c>
      <c r="C2176" s="50" t="s">
        <v>242</v>
      </c>
      <c r="D2176" s="51">
        <v>3434</v>
      </c>
      <c r="E2176" s="51">
        <v>81847</v>
      </c>
      <c r="F2176" s="52">
        <v>4361.3</v>
      </c>
      <c r="G2176" s="53">
        <v>5.3286008999999996</v>
      </c>
    </row>
    <row r="2177" spans="1:7">
      <c r="A2177" s="50" t="s">
        <v>2005</v>
      </c>
      <c r="B2177" s="50" t="s">
        <v>82</v>
      </c>
      <c r="C2177" s="50" t="s">
        <v>242</v>
      </c>
      <c r="D2177" s="51">
        <v>876</v>
      </c>
      <c r="E2177" s="51">
        <v>15213</v>
      </c>
      <c r="F2177" s="52">
        <v>780.2</v>
      </c>
      <c r="G2177" s="53">
        <v>5.1285084999999997</v>
      </c>
    </row>
    <row r="2178" spans="1:7">
      <c r="A2178" s="50" t="s">
        <v>2006</v>
      </c>
      <c r="B2178" s="50" t="s">
        <v>82</v>
      </c>
      <c r="C2178" s="50" t="s">
        <v>242</v>
      </c>
      <c r="D2178" s="51">
        <v>630</v>
      </c>
      <c r="E2178" s="51">
        <v>9808</v>
      </c>
      <c r="F2178" s="52">
        <v>582</v>
      </c>
      <c r="G2178" s="53">
        <v>5.9339314999999999</v>
      </c>
    </row>
    <row r="2179" spans="1:7">
      <c r="A2179" s="50" t="s">
        <v>2007</v>
      </c>
      <c r="B2179" s="50" t="s">
        <v>82</v>
      </c>
      <c r="C2179" s="50" t="s">
        <v>242</v>
      </c>
      <c r="D2179" s="51">
        <v>1084</v>
      </c>
      <c r="E2179" s="51">
        <v>21998</v>
      </c>
      <c r="F2179" s="52">
        <v>1593.2</v>
      </c>
      <c r="G2179" s="53">
        <v>7.2424765999999998</v>
      </c>
    </row>
    <row r="2180" spans="1:7">
      <c r="A2180" s="50" t="s">
        <v>2008</v>
      </c>
      <c r="B2180" s="50" t="s">
        <v>82</v>
      </c>
      <c r="C2180" s="50" t="s">
        <v>242</v>
      </c>
      <c r="D2180" s="51">
        <v>3215</v>
      </c>
      <c r="E2180" s="51">
        <v>53783</v>
      </c>
      <c r="F2180" s="52">
        <v>3286</v>
      </c>
      <c r="G2180" s="53">
        <v>6.1097372999999999</v>
      </c>
    </row>
    <row r="2181" spans="1:7">
      <c r="A2181" s="50" t="s">
        <v>1122</v>
      </c>
      <c r="B2181" s="50" t="s">
        <v>82</v>
      </c>
      <c r="C2181" s="50" t="s">
        <v>242</v>
      </c>
      <c r="D2181" s="51">
        <v>17667</v>
      </c>
      <c r="E2181" s="51">
        <v>428275</v>
      </c>
      <c r="F2181" s="52">
        <v>22943.3</v>
      </c>
      <c r="G2181" s="53">
        <v>5.3571419999999996</v>
      </c>
    </row>
    <row r="2182" spans="1:7">
      <c r="A2182" s="50" t="s">
        <v>2009</v>
      </c>
      <c r="B2182" s="50" t="s">
        <v>82</v>
      </c>
      <c r="C2182" s="50" t="s">
        <v>242</v>
      </c>
      <c r="D2182" s="51">
        <v>1670</v>
      </c>
      <c r="E2182" s="51">
        <v>33200</v>
      </c>
      <c r="F2182" s="52">
        <v>1290</v>
      </c>
      <c r="G2182" s="53">
        <v>3.8855422000000002</v>
      </c>
    </row>
    <row r="2183" spans="1:7">
      <c r="A2183" s="50" t="s">
        <v>1123</v>
      </c>
      <c r="B2183" s="50" t="s">
        <v>82</v>
      </c>
      <c r="C2183" s="50" t="s">
        <v>242</v>
      </c>
      <c r="D2183" s="51">
        <v>14889</v>
      </c>
      <c r="E2183" s="51">
        <v>245949</v>
      </c>
      <c r="F2183" s="52">
        <v>30781</v>
      </c>
      <c r="G2183" s="53">
        <v>12.515196</v>
      </c>
    </row>
    <row r="2184" spans="1:7">
      <c r="A2184" s="50" t="s">
        <v>2010</v>
      </c>
      <c r="B2184" s="50" t="s">
        <v>82</v>
      </c>
      <c r="C2184" s="50" t="s">
        <v>242</v>
      </c>
      <c r="D2184" s="51">
        <v>1641</v>
      </c>
      <c r="E2184" s="51">
        <v>27939</v>
      </c>
      <c r="F2184" s="52">
        <v>2945</v>
      </c>
      <c r="G2184" s="53">
        <v>10.540820999999999</v>
      </c>
    </row>
    <row r="2185" spans="1:7">
      <c r="A2185" s="50" t="s">
        <v>2011</v>
      </c>
      <c r="B2185" s="50" t="s">
        <v>82</v>
      </c>
      <c r="C2185" s="50" t="s">
        <v>242</v>
      </c>
      <c r="D2185" s="51">
        <v>1265</v>
      </c>
      <c r="E2185" s="51">
        <v>44121</v>
      </c>
      <c r="F2185" s="52">
        <v>2192</v>
      </c>
      <c r="G2185" s="53">
        <v>4.9681557999999999</v>
      </c>
    </row>
    <row r="2186" spans="1:7">
      <c r="A2186" s="50" t="s">
        <v>2012</v>
      </c>
      <c r="B2186" s="50" t="s">
        <v>82</v>
      </c>
      <c r="C2186" s="50" t="s">
        <v>242</v>
      </c>
      <c r="D2186" s="51">
        <v>1158</v>
      </c>
      <c r="E2186" s="51">
        <v>27561</v>
      </c>
      <c r="F2186" s="52">
        <v>1489</v>
      </c>
      <c r="G2186" s="53">
        <v>5.4025616000000003</v>
      </c>
    </row>
    <row r="2187" spans="1:7">
      <c r="A2187" s="50" t="s">
        <v>2013</v>
      </c>
      <c r="B2187" s="50" t="s">
        <v>82</v>
      </c>
      <c r="C2187" s="50" t="s">
        <v>242</v>
      </c>
      <c r="D2187" s="51">
        <v>1705</v>
      </c>
      <c r="E2187" s="51">
        <v>65327</v>
      </c>
      <c r="F2187" s="52">
        <v>3087</v>
      </c>
      <c r="G2187" s="53">
        <v>4.7254581</v>
      </c>
    </row>
    <row r="2188" spans="1:7">
      <c r="A2188" s="50" t="s">
        <v>2014</v>
      </c>
      <c r="B2188" s="50" t="s">
        <v>82</v>
      </c>
      <c r="C2188" s="50" t="s">
        <v>242</v>
      </c>
      <c r="D2188" s="51">
        <v>938</v>
      </c>
      <c r="E2188" s="51">
        <v>35866</v>
      </c>
      <c r="F2188" s="52">
        <v>1875.5</v>
      </c>
      <c r="G2188" s="53">
        <v>5.2291863999999997</v>
      </c>
    </row>
    <row r="2189" spans="1:7">
      <c r="A2189" s="50" t="s">
        <v>2015</v>
      </c>
      <c r="B2189" s="50" t="s">
        <v>82</v>
      </c>
      <c r="C2189" s="50" t="s">
        <v>242</v>
      </c>
      <c r="D2189" s="51">
        <v>4186</v>
      </c>
      <c r="E2189" s="51">
        <v>89412</v>
      </c>
      <c r="F2189" s="52">
        <v>4096</v>
      </c>
      <c r="G2189" s="53">
        <v>4.5810405999999997</v>
      </c>
    </row>
    <row r="2190" spans="1:7">
      <c r="A2190" s="50" t="s">
        <v>2016</v>
      </c>
      <c r="B2190" s="50" t="s">
        <v>82</v>
      </c>
      <c r="C2190" s="50" t="s">
        <v>242</v>
      </c>
      <c r="D2190" s="51">
        <v>1395</v>
      </c>
      <c r="E2190" s="51">
        <v>21070</v>
      </c>
      <c r="F2190" s="52">
        <v>1701.4</v>
      </c>
      <c r="G2190" s="53">
        <v>8.0749881000000006</v>
      </c>
    </row>
    <row r="2191" spans="1:7">
      <c r="A2191" s="50" t="s">
        <v>2017</v>
      </c>
      <c r="B2191" s="50" t="s">
        <v>82</v>
      </c>
      <c r="C2191" s="50" t="s">
        <v>242</v>
      </c>
      <c r="D2191" s="51">
        <v>854</v>
      </c>
      <c r="E2191" s="51">
        <v>22673</v>
      </c>
      <c r="F2191" s="52">
        <v>1468</v>
      </c>
      <c r="G2191" s="53">
        <v>6.4746614999999998</v>
      </c>
    </row>
    <row r="2192" spans="1:7">
      <c r="A2192" s="50" t="s">
        <v>2018</v>
      </c>
      <c r="B2192" s="50" t="s">
        <v>82</v>
      </c>
      <c r="C2192" s="50" t="s">
        <v>242</v>
      </c>
      <c r="D2192" s="51">
        <v>1177</v>
      </c>
      <c r="E2192" s="51">
        <v>26696</v>
      </c>
      <c r="F2192" s="52">
        <v>1749.3</v>
      </c>
      <c r="G2192" s="53">
        <v>6.5526670999999999</v>
      </c>
    </row>
    <row r="2193" spans="1:7">
      <c r="A2193" s="50" t="s">
        <v>2019</v>
      </c>
      <c r="B2193" s="50" t="s">
        <v>82</v>
      </c>
      <c r="C2193" s="50" t="s">
        <v>242</v>
      </c>
      <c r="D2193" s="51">
        <v>3102</v>
      </c>
      <c r="E2193" s="51">
        <v>95460</v>
      </c>
      <c r="F2193" s="52">
        <v>3057.1</v>
      </c>
      <c r="G2193" s="53">
        <v>3.2024932000000002</v>
      </c>
    </row>
    <row r="2194" spans="1:7">
      <c r="A2194" s="50" t="s">
        <v>2020</v>
      </c>
      <c r="B2194" s="50" t="s">
        <v>82</v>
      </c>
      <c r="C2194" s="50" t="s">
        <v>242</v>
      </c>
      <c r="D2194" s="51">
        <v>714</v>
      </c>
      <c r="E2194" s="51">
        <v>10162</v>
      </c>
      <c r="F2194" s="52">
        <v>601.5</v>
      </c>
      <c r="G2194" s="53">
        <v>5.9191104000000001</v>
      </c>
    </row>
    <row r="2195" spans="1:7">
      <c r="A2195" s="50" t="s">
        <v>2021</v>
      </c>
      <c r="B2195" s="50" t="s">
        <v>82</v>
      </c>
      <c r="C2195" s="50" t="s">
        <v>242</v>
      </c>
      <c r="D2195" s="51">
        <v>1174</v>
      </c>
      <c r="E2195" s="51">
        <v>18448</v>
      </c>
      <c r="F2195" s="52">
        <v>1306</v>
      </c>
      <c r="G2195" s="53">
        <v>7.0793581999999997</v>
      </c>
    </row>
    <row r="2196" spans="1:7">
      <c r="A2196" s="50" t="s">
        <v>1124</v>
      </c>
      <c r="B2196" s="50" t="s">
        <v>82</v>
      </c>
      <c r="C2196" s="50" t="s">
        <v>242</v>
      </c>
      <c r="D2196" s="51">
        <v>10896</v>
      </c>
      <c r="E2196" s="51">
        <v>197448</v>
      </c>
      <c r="F2196" s="52">
        <v>23707.599999999999</v>
      </c>
      <c r="G2196" s="53">
        <v>12.007009</v>
      </c>
    </row>
    <row r="2197" spans="1:7">
      <c r="A2197" s="50" t="s">
        <v>1125</v>
      </c>
      <c r="B2197" s="50" t="s">
        <v>82</v>
      </c>
      <c r="C2197" s="50" t="s">
        <v>242</v>
      </c>
      <c r="D2197" s="51">
        <v>1338</v>
      </c>
      <c r="E2197" s="51">
        <v>44405</v>
      </c>
      <c r="F2197" s="52">
        <v>1391.1</v>
      </c>
      <c r="G2197" s="53">
        <v>3.1327552999999999</v>
      </c>
    </row>
    <row r="2198" spans="1:7">
      <c r="A2198" s="50" t="s">
        <v>2022</v>
      </c>
      <c r="B2198" s="50" t="s">
        <v>82</v>
      </c>
      <c r="C2198" s="50" t="s">
        <v>242</v>
      </c>
      <c r="D2198" s="51">
        <v>2388</v>
      </c>
      <c r="E2198" s="51">
        <v>79519</v>
      </c>
      <c r="F2198" s="52">
        <v>3723</v>
      </c>
      <c r="G2198" s="53">
        <v>4.6818999000000003</v>
      </c>
    </row>
    <row r="2199" spans="1:7">
      <c r="A2199" s="50" t="s">
        <v>2023</v>
      </c>
      <c r="B2199" s="50" t="s">
        <v>82</v>
      </c>
      <c r="C2199" s="50" t="s">
        <v>242</v>
      </c>
      <c r="D2199" s="51">
        <v>486</v>
      </c>
      <c r="E2199" s="51">
        <v>6898</v>
      </c>
      <c r="F2199" s="52">
        <v>450</v>
      </c>
      <c r="G2199" s="53">
        <v>6.5236299999999998</v>
      </c>
    </row>
    <row r="2200" spans="1:7">
      <c r="A2200" s="50" t="s">
        <v>2024</v>
      </c>
      <c r="B2200" s="50" t="s">
        <v>82</v>
      </c>
      <c r="C2200" s="50" t="s">
        <v>242</v>
      </c>
      <c r="D2200" s="51">
        <v>1631</v>
      </c>
      <c r="E2200" s="51">
        <v>33498</v>
      </c>
      <c r="F2200" s="52">
        <v>1229.8</v>
      </c>
      <c r="G2200" s="53">
        <v>3.6712639999999999</v>
      </c>
    </row>
    <row r="2201" spans="1:7">
      <c r="A2201" s="50" t="s">
        <v>1126</v>
      </c>
      <c r="B2201" s="50" t="s">
        <v>82</v>
      </c>
      <c r="C2201" s="50" t="s">
        <v>242</v>
      </c>
      <c r="D2201" s="51">
        <v>5182</v>
      </c>
      <c r="E2201" s="51">
        <v>556276</v>
      </c>
      <c r="F2201" s="52">
        <v>26748.3</v>
      </c>
      <c r="G2201" s="53">
        <v>4.8084584000000001</v>
      </c>
    </row>
    <row r="2202" spans="1:7">
      <c r="A2202" s="50" t="s">
        <v>2025</v>
      </c>
      <c r="B2202" s="50" t="s">
        <v>82</v>
      </c>
      <c r="C2202" s="50" t="s">
        <v>242</v>
      </c>
      <c r="D2202" s="51">
        <v>2888</v>
      </c>
      <c r="E2202" s="51">
        <v>67547</v>
      </c>
      <c r="F2202" s="52">
        <v>3081.3</v>
      </c>
      <c r="G2202" s="53">
        <v>4.5617125999999999</v>
      </c>
    </row>
    <row r="2203" spans="1:7">
      <c r="A2203" s="50" t="s">
        <v>2026</v>
      </c>
      <c r="B2203" s="50" t="s">
        <v>82</v>
      </c>
      <c r="C2203" s="50" t="s">
        <v>242</v>
      </c>
      <c r="D2203" s="51">
        <v>2682</v>
      </c>
      <c r="E2203" s="51">
        <v>58281</v>
      </c>
      <c r="F2203" s="52">
        <v>3210.6</v>
      </c>
      <c r="G2203" s="53">
        <v>5.5088279</v>
      </c>
    </row>
    <row r="2204" spans="1:7">
      <c r="A2204" s="50" t="s">
        <v>2027</v>
      </c>
      <c r="B2204" s="50" t="s">
        <v>82</v>
      </c>
      <c r="C2204" s="50" t="s">
        <v>242</v>
      </c>
      <c r="D2204" s="51">
        <v>467</v>
      </c>
      <c r="E2204" s="51">
        <v>7277</v>
      </c>
      <c r="F2204" s="52">
        <v>546.79999999999995</v>
      </c>
      <c r="G2204" s="53">
        <v>7.5140855000000002</v>
      </c>
    </row>
    <row r="2205" spans="1:7">
      <c r="A2205" s="50" t="s">
        <v>2028</v>
      </c>
      <c r="B2205" s="50" t="s">
        <v>82</v>
      </c>
      <c r="C2205" s="50" t="s">
        <v>242</v>
      </c>
      <c r="D2205" s="51">
        <v>3412</v>
      </c>
      <c r="E2205" s="51">
        <v>78677</v>
      </c>
      <c r="F2205" s="52">
        <v>4295</v>
      </c>
      <c r="G2205" s="53">
        <v>5.4590287000000002</v>
      </c>
    </row>
    <row r="2206" spans="1:7">
      <c r="A2206" s="50" t="s">
        <v>2029</v>
      </c>
      <c r="B2206" s="50" t="s">
        <v>82</v>
      </c>
      <c r="C2206" s="50" t="s">
        <v>242</v>
      </c>
      <c r="D2206" s="51">
        <v>1464</v>
      </c>
      <c r="E2206" s="51">
        <v>57692</v>
      </c>
      <c r="F2206" s="52">
        <v>2120</v>
      </c>
      <c r="G2206" s="53">
        <v>3.6746862999999999</v>
      </c>
    </row>
    <row r="2207" spans="1:7">
      <c r="A2207" s="50" t="s">
        <v>2030</v>
      </c>
      <c r="B2207" s="50" t="s">
        <v>82</v>
      </c>
      <c r="C2207" s="50" t="s">
        <v>242</v>
      </c>
      <c r="D2207" s="51">
        <v>2589</v>
      </c>
      <c r="E2207" s="51">
        <v>53697</v>
      </c>
      <c r="F2207" s="52">
        <v>3812.1</v>
      </c>
      <c r="G2207" s="53">
        <v>7.0992793000000001</v>
      </c>
    </row>
    <row r="2208" spans="1:7">
      <c r="A2208" s="50" t="s">
        <v>2031</v>
      </c>
      <c r="B2208" s="50" t="s">
        <v>82</v>
      </c>
      <c r="C2208" s="50" t="s">
        <v>242</v>
      </c>
      <c r="D2208" s="51">
        <v>2979</v>
      </c>
      <c r="E2208" s="51">
        <v>75573</v>
      </c>
      <c r="F2208" s="52">
        <v>4094.8</v>
      </c>
      <c r="G2208" s="53">
        <v>5.4183371999999999</v>
      </c>
    </row>
    <row r="2209" spans="1:7">
      <c r="A2209" s="50" t="s">
        <v>356</v>
      </c>
      <c r="B2209" s="50" t="s">
        <v>82</v>
      </c>
      <c r="C2209" s="50" t="s">
        <v>332</v>
      </c>
      <c r="D2209" s="51">
        <v>13638</v>
      </c>
      <c r="E2209" s="51">
        <v>98447</v>
      </c>
      <c r="F2209" s="52">
        <v>15370.4</v>
      </c>
      <c r="G2209" s="53">
        <v>15.612868000000001</v>
      </c>
    </row>
    <row r="2210" spans="1:7">
      <c r="A2210" s="50" t="s">
        <v>1127</v>
      </c>
      <c r="B2210" s="50" t="s">
        <v>91</v>
      </c>
      <c r="C2210" s="50" t="s">
        <v>240</v>
      </c>
      <c r="D2210" s="51">
        <v>7479</v>
      </c>
      <c r="E2210" s="51">
        <v>108752</v>
      </c>
      <c r="F2210" s="52">
        <v>15093</v>
      </c>
      <c r="G2210" s="53">
        <v>13.878365000000001</v>
      </c>
    </row>
    <row r="2211" spans="1:7">
      <c r="A2211" s="50" t="s">
        <v>1128</v>
      </c>
      <c r="B2211" s="50" t="s">
        <v>91</v>
      </c>
      <c r="C2211" s="50" t="s">
        <v>240</v>
      </c>
      <c r="D2211" s="51">
        <v>18533</v>
      </c>
      <c r="E2211" s="51">
        <v>245186</v>
      </c>
      <c r="F2211" s="52">
        <v>38114</v>
      </c>
      <c r="G2211" s="53">
        <v>15.544933</v>
      </c>
    </row>
    <row r="2212" spans="1:7">
      <c r="A2212" s="50" t="s">
        <v>1129</v>
      </c>
      <c r="B2212" s="50" t="s">
        <v>91</v>
      </c>
      <c r="C2212" s="50" t="s">
        <v>240</v>
      </c>
      <c r="D2212" s="51">
        <v>11456</v>
      </c>
      <c r="E2212" s="51">
        <v>215489</v>
      </c>
      <c r="F2212" s="52">
        <v>32741</v>
      </c>
      <c r="G2212" s="53">
        <v>15.193815000000001</v>
      </c>
    </row>
    <row r="2213" spans="1:7">
      <c r="A2213" s="50" t="s">
        <v>1130</v>
      </c>
      <c r="B2213" s="50" t="s">
        <v>91</v>
      </c>
      <c r="C2213" s="50" t="s">
        <v>240</v>
      </c>
      <c r="D2213" s="51">
        <v>11899</v>
      </c>
      <c r="E2213" s="51">
        <v>157528</v>
      </c>
      <c r="F2213" s="52">
        <v>22046</v>
      </c>
      <c r="G2213" s="53">
        <v>13.994972000000001</v>
      </c>
    </row>
    <row r="2214" spans="1:7">
      <c r="A2214" s="50" t="s">
        <v>1131</v>
      </c>
      <c r="B2214" s="50" t="s">
        <v>91</v>
      </c>
      <c r="C2214" s="50" t="s">
        <v>242</v>
      </c>
      <c r="D2214" s="51">
        <v>6276</v>
      </c>
      <c r="E2214" s="51">
        <v>107005</v>
      </c>
      <c r="F2214" s="52">
        <v>12751</v>
      </c>
      <c r="G2214" s="53">
        <v>11.916266</v>
      </c>
    </row>
    <row r="2215" spans="1:7">
      <c r="A2215" s="50" t="s">
        <v>2032</v>
      </c>
      <c r="B2215" s="50" t="s">
        <v>91</v>
      </c>
      <c r="C2215" s="50" t="s">
        <v>242</v>
      </c>
      <c r="D2215" s="51">
        <v>1649</v>
      </c>
      <c r="E2215" s="51">
        <v>22045</v>
      </c>
      <c r="F2215" s="52">
        <v>2594</v>
      </c>
      <c r="G2215" s="53">
        <v>11.766840999999999</v>
      </c>
    </row>
    <row r="2216" spans="1:7">
      <c r="A2216" s="50" t="s">
        <v>1132</v>
      </c>
      <c r="B2216" s="50" t="s">
        <v>91</v>
      </c>
      <c r="C2216" s="50" t="s">
        <v>242</v>
      </c>
      <c r="D2216" s="51">
        <v>14695</v>
      </c>
      <c r="E2216" s="51">
        <v>525820</v>
      </c>
      <c r="F2216" s="52">
        <v>59069</v>
      </c>
      <c r="G2216" s="53">
        <v>11.233692</v>
      </c>
    </row>
    <row r="2217" spans="1:7">
      <c r="A2217" s="50" t="s">
        <v>1133</v>
      </c>
      <c r="B2217" s="50" t="s">
        <v>91</v>
      </c>
      <c r="C2217" s="50" t="s">
        <v>242</v>
      </c>
      <c r="D2217" s="51">
        <v>5822</v>
      </c>
      <c r="E2217" s="51">
        <v>176440</v>
      </c>
      <c r="F2217" s="52">
        <v>19009.3</v>
      </c>
      <c r="G2217" s="53">
        <v>10.773804</v>
      </c>
    </row>
    <row r="2218" spans="1:7">
      <c r="A2218" s="50" t="s">
        <v>1134</v>
      </c>
      <c r="B2218" s="50" t="s">
        <v>91</v>
      </c>
      <c r="C2218" s="50" t="s">
        <v>242</v>
      </c>
      <c r="D2218" s="51">
        <v>7855</v>
      </c>
      <c r="E2218" s="51">
        <v>226914</v>
      </c>
      <c r="F2218" s="52">
        <v>21620</v>
      </c>
      <c r="G2218" s="53">
        <v>9.5278387000000002</v>
      </c>
    </row>
    <row r="2219" spans="1:7">
      <c r="A2219" s="50" t="s">
        <v>1135</v>
      </c>
      <c r="B2219" s="50" t="s">
        <v>91</v>
      </c>
      <c r="C2219" s="50" t="s">
        <v>242</v>
      </c>
      <c r="D2219" s="51">
        <v>73600</v>
      </c>
      <c r="E2219" s="51">
        <v>1589110</v>
      </c>
      <c r="F2219" s="52">
        <v>204203.2</v>
      </c>
      <c r="G2219" s="53">
        <v>12.850161</v>
      </c>
    </row>
    <row r="2220" spans="1:7">
      <c r="A2220" s="50" t="s">
        <v>2033</v>
      </c>
      <c r="B2220" s="50" t="s">
        <v>91</v>
      </c>
      <c r="C2220" s="50" t="s">
        <v>242</v>
      </c>
      <c r="D2220" s="51">
        <v>3691</v>
      </c>
      <c r="E2220" s="51">
        <v>71826</v>
      </c>
      <c r="F2220" s="52">
        <v>8044</v>
      </c>
      <c r="G2220" s="53">
        <v>11.199287</v>
      </c>
    </row>
    <row r="2221" spans="1:7">
      <c r="A2221" s="50" t="s">
        <v>1136</v>
      </c>
      <c r="B2221" s="50" t="s">
        <v>91</v>
      </c>
      <c r="C2221" s="50" t="s">
        <v>242</v>
      </c>
      <c r="D2221" s="51">
        <v>15700</v>
      </c>
      <c r="E2221" s="51">
        <v>834464</v>
      </c>
      <c r="F2221" s="52">
        <v>86144.9</v>
      </c>
      <c r="G2221" s="53">
        <v>10.323380999999999</v>
      </c>
    </row>
    <row r="2222" spans="1:7">
      <c r="A2222" s="50" t="s">
        <v>2034</v>
      </c>
      <c r="B2222" s="50" t="s">
        <v>91</v>
      </c>
      <c r="C2222" s="50" t="s">
        <v>242</v>
      </c>
      <c r="D2222" s="51">
        <v>120</v>
      </c>
      <c r="E2222" s="51">
        <v>2404</v>
      </c>
      <c r="F2222" s="52">
        <v>277</v>
      </c>
      <c r="G2222" s="53">
        <v>11.522463</v>
      </c>
    </row>
    <row r="2223" spans="1:7">
      <c r="A2223" s="50" t="s">
        <v>1137</v>
      </c>
      <c r="B2223" s="50" t="s">
        <v>91</v>
      </c>
      <c r="C2223" s="50" t="s">
        <v>242</v>
      </c>
      <c r="D2223" s="51">
        <v>25695</v>
      </c>
      <c r="E2223" s="51">
        <v>412078</v>
      </c>
      <c r="F2223" s="52">
        <v>51630.5</v>
      </c>
      <c r="G2223" s="53">
        <v>12.529303000000001</v>
      </c>
    </row>
    <row r="2224" spans="1:7">
      <c r="A2224" s="50" t="s">
        <v>1138</v>
      </c>
      <c r="B2224" s="50" t="s">
        <v>91</v>
      </c>
      <c r="C2224" s="50" t="s">
        <v>242</v>
      </c>
      <c r="D2224" s="51">
        <v>6831</v>
      </c>
      <c r="E2224" s="51">
        <v>224866</v>
      </c>
      <c r="F2224" s="52">
        <v>29863</v>
      </c>
      <c r="G2224" s="53">
        <v>13.280354000000001</v>
      </c>
    </row>
    <row r="2225" spans="1:7">
      <c r="A2225" s="50" t="s">
        <v>1139</v>
      </c>
      <c r="B2225" s="50" t="s">
        <v>91</v>
      </c>
      <c r="C2225" s="50" t="s">
        <v>242</v>
      </c>
      <c r="D2225" s="51">
        <v>5928</v>
      </c>
      <c r="E2225" s="51">
        <v>103759</v>
      </c>
      <c r="F2225" s="52">
        <v>13449.3</v>
      </c>
      <c r="G2225" s="53">
        <v>12.962056</v>
      </c>
    </row>
    <row r="2226" spans="1:7">
      <c r="A2226" s="50" t="s">
        <v>1140</v>
      </c>
      <c r="B2226" s="50" t="s">
        <v>91</v>
      </c>
      <c r="C2226" s="50" t="s">
        <v>242</v>
      </c>
      <c r="D2226" s="51">
        <v>29436</v>
      </c>
      <c r="E2226" s="51">
        <v>566054</v>
      </c>
      <c r="F2226" s="52">
        <v>72373</v>
      </c>
      <c r="G2226" s="53">
        <v>12.785529</v>
      </c>
    </row>
    <row r="2227" spans="1:7">
      <c r="A2227" s="50" t="s">
        <v>2035</v>
      </c>
      <c r="B2227" s="50" t="s">
        <v>91</v>
      </c>
      <c r="C2227" s="50" t="s">
        <v>242</v>
      </c>
      <c r="D2227" s="51">
        <v>4388</v>
      </c>
      <c r="E2227" s="51">
        <v>49297</v>
      </c>
      <c r="F2227" s="52">
        <v>3807</v>
      </c>
      <c r="G2227" s="53">
        <v>7.7225795000000002</v>
      </c>
    </row>
    <row r="2228" spans="1:7">
      <c r="A2228" s="50" t="s">
        <v>1141</v>
      </c>
      <c r="B2228" s="50" t="s">
        <v>91</v>
      </c>
      <c r="C2228" s="50" t="s">
        <v>242</v>
      </c>
      <c r="D2228" s="51">
        <v>6880</v>
      </c>
      <c r="E2228" s="51">
        <v>171372</v>
      </c>
      <c r="F2228" s="52">
        <v>20862.2</v>
      </c>
      <c r="G2228" s="53">
        <v>12.173634</v>
      </c>
    </row>
    <row r="2229" spans="1:7">
      <c r="A2229" s="50" t="s">
        <v>1142</v>
      </c>
      <c r="B2229" s="50" t="s">
        <v>91</v>
      </c>
      <c r="C2229" s="50" t="s">
        <v>242</v>
      </c>
      <c r="D2229" s="51">
        <v>4152</v>
      </c>
      <c r="E2229" s="51">
        <v>179506</v>
      </c>
      <c r="F2229" s="52">
        <v>21570</v>
      </c>
      <c r="G2229" s="53">
        <v>12.016311</v>
      </c>
    </row>
    <row r="2230" spans="1:7">
      <c r="A2230" s="50" t="s">
        <v>1143</v>
      </c>
      <c r="B2230" s="50" t="s">
        <v>91</v>
      </c>
      <c r="C2230" s="50" t="s">
        <v>242</v>
      </c>
      <c r="D2230" s="51">
        <v>9360</v>
      </c>
      <c r="E2230" s="51">
        <v>368051</v>
      </c>
      <c r="F2230" s="52">
        <v>33214.9</v>
      </c>
      <c r="G2230" s="53">
        <v>9.0245373999999998</v>
      </c>
    </row>
    <row r="2231" spans="1:7">
      <c r="A2231" s="50" t="s">
        <v>2036</v>
      </c>
      <c r="B2231" s="50" t="s">
        <v>91</v>
      </c>
      <c r="C2231" s="50" t="s">
        <v>242</v>
      </c>
      <c r="D2231" s="51">
        <v>334</v>
      </c>
      <c r="E2231" s="51">
        <v>4592</v>
      </c>
      <c r="F2231" s="52">
        <v>600</v>
      </c>
      <c r="G2231" s="53">
        <v>13.066202000000001</v>
      </c>
    </row>
    <row r="2232" spans="1:7">
      <c r="A2232" s="50" t="s">
        <v>1144</v>
      </c>
      <c r="B2232" s="50" t="s">
        <v>91</v>
      </c>
      <c r="C2232" s="50" t="s">
        <v>242</v>
      </c>
      <c r="D2232" s="51">
        <v>5921</v>
      </c>
      <c r="E2232" s="51">
        <v>143248</v>
      </c>
      <c r="F2232" s="52">
        <v>17050.400000000001</v>
      </c>
      <c r="G2232" s="53">
        <v>11.902714</v>
      </c>
    </row>
    <row r="2233" spans="1:7">
      <c r="A2233" s="50" t="s">
        <v>2037</v>
      </c>
      <c r="B2233" s="50" t="s">
        <v>91</v>
      </c>
      <c r="C2233" s="50" t="s">
        <v>242</v>
      </c>
      <c r="D2233" s="51">
        <v>2571</v>
      </c>
      <c r="E2233" s="51">
        <v>42965</v>
      </c>
      <c r="F2233" s="52">
        <v>6011.4</v>
      </c>
      <c r="G2233" s="53">
        <v>13.991388000000001</v>
      </c>
    </row>
    <row r="2234" spans="1:7">
      <c r="A2234" s="50" t="s">
        <v>2038</v>
      </c>
      <c r="B2234" s="50" t="s">
        <v>91</v>
      </c>
      <c r="C2234" s="50" t="s">
        <v>242</v>
      </c>
      <c r="D2234" s="51">
        <v>12733</v>
      </c>
      <c r="E2234" s="51">
        <v>269123</v>
      </c>
      <c r="F2234" s="52">
        <v>21233</v>
      </c>
      <c r="G2234" s="53">
        <v>7.8897009999999996</v>
      </c>
    </row>
    <row r="2235" spans="1:7">
      <c r="A2235" s="50" t="s">
        <v>1145</v>
      </c>
      <c r="B2235" s="50" t="s">
        <v>91</v>
      </c>
      <c r="C2235" s="50" t="s">
        <v>242</v>
      </c>
      <c r="D2235" s="51">
        <v>3101</v>
      </c>
      <c r="E2235" s="51">
        <v>98163</v>
      </c>
      <c r="F2235" s="52">
        <v>11678</v>
      </c>
      <c r="G2235" s="53">
        <v>11.896539000000001</v>
      </c>
    </row>
    <row r="2236" spans="1:7">
      <c r="A2236" s="50" t="s">
        <v>1146</v>
      </c>
      <c r="B2236" s="50" t="s">
        <v>91</v>
      </c>
      <c r="C2236" s="50" t="s">
        <v>242</v>
      </c>
      <c r="D2236" s="51">
        <v>7468</v>
      </c>
      <c r="E2236" s="51">
        <v>297705</v>
      </c>
      <c r="F2236" s="52">
        <v>29941</v>
      </c>
      <c r="G2236" s="53">
        <v>10.057271</v>
      </c>
    </row>
    <row r="2237" spans="1:7">
      <c r="A2237" s="50" t="s">
        <v>1147</v>
      </c>
      <c r="B2237" s="50" t="s">
        <v>91</v>
      </c>
      <c r="C2237" s="50" t="s">
        <v>242</v>
      </c>
      <c r="D2237" s="51">
        <v>12442</v>
      </c>
      <c r="E2237" s="51">
        <v>221211</v>
      </c>
      <c r="F2237" s="52">
        <v>29683.3</v>
      </c>
      <c r="G2237" s="53">
        <v>13.418545999999999</v>
      </c>
    </row>
    <row r="2238" spans="1:7">
      <c r="A2238" s="50" t="s">
        <v>1148</v>
      </c>
      <c r="B2238" s="50" t="s">
        <v>91</v>
      </c>
      <c r="C2238" s="50" t="s">
        <v>242</v>
      </c>
      <c r="D2238" s="51">
        <v>10735</v>
      </c>
      <c r="E2238" s="51">
        <v>301449</v>
      </c>
      <c r="F2238" s="52">
        <v>28586.799999999999</v>
      </c>
      <c r="G2238" s="53">
        <v>9.4831298000000004</v>
      </c>
    </row>
    <row r="2239" spans="1:7">
      <c r="A2239" s="50" t="s">
        <v>1149</v>
      </c>
      <c r="B2239" s="50" t="s">
        <v>91</v>
      </c>
      <c r="C2239" s="50" t="s">
        <v>242</v>
      </c>
      <c r="D2239" s="51">
        <v>5060</v>
      </c>
      <c r="E2239" s="51">
        <v>94222</v>
      </c>
      <c r="F2239" s="52">
        <v>11250</v>
      </c>
      <c r="G2239" s="53">
        <v>11.939887000000001</v>
      </c>
    </row>
    <row r="2240" spans="1:7">
      <c r="A2240" s="50" t="s">
        <v>2039</v>
      </c>
      <c r="B2240" s="50" t="s">
        <v>91</v>
      </c>
      <c r="C2240" s="50" t="s">
        <v>242</v>
      </c>
      <c r="D2240" s="51">
        <v>3010</v>
      </c>
      <c r="E2240" s="51">
        <v>48374</v>
      </c>
      <c r="F2240" s="52">
        <v>7424</v>
      </c>
      <c r="G2240" s="53">
        <v>15.347087</v>
      </c>
    </row>
    <row r="2241" spans="1:7">
      <c r="A2241" s="50" t="s">
        <v>1150</v>
      </c>
      <c r="B2241" s="50" t="s">
        <v>91</v>
      </c>
      <c r="C2241" s="50" t="s">
        <v>242</v>
      </c>
      <c r="D2241" s="51">
        <v>4216</v>
      </c>
      <c r="E2241" s="51">
        <v>218659</v>
      </c>
      <c r="F2241" s="52">
        <v>20140.099999999999</v>
      </c>
      <c r="G2241" s="53">
        <v>9.2107344999999992</v>
      </c>
    </row>
    <row r="2242" spans="1:7">
      <c r="A2242" s="50" t="s">
        <v>1151</v>
      </c>
      <c r="B2242" s="50" t="s">
        <v>91</v>
      </c>
      <c r="C2242" s="50" t="s">
        <v>242</v>
      </c>
      <c r="D2242" s="51">
        <v>5100</v>
      </c>
      <c r="E2242" s="51">
        <v>171560</v>
      </c>
      <c r="F2242" s="52">
        <v>17991</v>
      </c>
      <c r="G2242" s="53">
        <v>10.48671</v>
      </c>
    </row>
    <row r="2243" spans="1:7">
      <c r="A2243" s="50" t="s">
        <v>1152</v>
      </c>
      <c r="B2243" s="50" t="s">
        <v>91</v>
      </c>
      <c r="C2243" s="50" t="s">
        <v>242</v>
      </c>
      <c r="D2243" s="51">
        <v>13750</v>
      </c>
      <c r="E2243" s="51">
        <v>285826</v>
      </c>
      <c r="F2243" s="52">
        <v>31282</v>
      </c>
      <c r="G2243" s="53">
        <v>10.944421</v>
      </c>
    </row>
    <row r="2244" spans="1:7">
      <c r="A2244" s="50" t="s">
        <v>1153</v>
      </c>
      <c r="B2244" s="50" t="s">
        <v>91</v>
      </c>
      <c r="C2244" s="50" t="s">
        <v>242</v>
      </c>
      <c r="D2244" s="51">
        <v>5471</v>
      </c>
      <c r="E2244" s="51">
        <v>210695</v>
      </c>
      <c r="F2244" s="52">
        <v>17688</v>
      </c>
      <c r="G2244" s="53">
        <v>8.3950733999999994</v>
      </c>
    </row>
    <row r="2245" spans="1:7">
      <c r="A2245" s="50" t="s">
        <v>1154</v>
      </c>
      <c r="B2245" s="50" t="s">
        <v>91</v>
      </c>
      <c r="C2245" s="50" t="s">
        <v>242</v>
      </c>
      <c r="D2245" s="51">
        <v>17434</v>
      </c>
      <c r="E2245" s="51">
        <v>474048</v>
      </c>
      <c r="F2245" s="52">
        <v>48736</v>
      </c>
      <c r="G2245" s="53">
        <v>10.280815</v>
      </c>
    </row>
    <row r="2246" spans="1:7">
      <c r="A2246" s="50" t="s">
        <v>2040</v>
      </c>
      <c r="B2246" s="50" t="s">
        <v>91</v>
      </c>
      <c r="C2246" s="50" t="s">
        <v>242</v>
      </c>
      <c r="D2246" s="51">
        <v>1561</v>
      </c>
      <c r="E2246" s="51">
        <v>22428</v>
      </c>
      <c r="F2246" s="52">
        <v>2802.6</v>
      </c>
      <c r="G2246" s="53">
        <v>12.495987</v>
      </c>
    </row>
    <row r="2247" spans="1:7">
      <c r="A2247" s="50" t="s">
        <v>1155</v>
      </c>
      <c r="B2247" s="50" t="s">
        <v>91</v>
      </c>
      <c r="C2247" s="50" t="s">
        <v>237</v>
      </c>
      <c r="D2247" s="51">
        <v>190043</v>
      </c>
      <c r="E2247" s="51">
        <v>2130363</v>
      </c>
      <c r="F2247" s="52">
        <v>242855.6</v>
      </c>
      <c r="G2247" s="53">
        <v>11.399729000000001</v>
      </c>
    </row>
    <row r="2248" spans="1:7">
      <c r="A2248" s="50" t="s">
        <v>1156</v>
      </c>
      <c r="B2248" s="50" t="s">
        <v>91</v>
      </c>
      <c r="C2248" s="50" t="s">
        <v>242</v>
      </c>
      <c r="D2248" s="51">
        <v>3072</v>
      </c>
      <c r="E2248" s="51">
        <v>206796</v>
      </c>
      <c r="F2248" s="52">
        <v>18343</v>
      </c>
      <c r="G2248" s="53">
        <v>8.8700942000000005</v>
      </c>
    </row>
    <row r="2249" spans="1:7">
      <c r="A2249" s="50" t="s">
        <v>1157</v>
      </c>
      <c r="B2249" s="50" t="s">
        <v>91</v>
      </c>
      <c r="C2249" s="50" t="s">
        <v>240</v>
      </c>
      <c r="D2249" s="51">
        <v>17765</v>
      </c>
      <c r="E2249" s="51">
        <v>376244</v>
      </c>
      <c r="F2249" s="52">
        <v>48643</v>
      </c>
      <c r="G2249" s="53">
        <v>12.928578</v>
      </c>
    </row>
    <row r="2250" spans="1:7">
      <c r="A2250" s="50" t="s">
        <v>1158</v>
      </c>
      <c r="B2250" s="50" t="s">
        <v>91</v>
      </c>
      <c r="C2250" s="50" t="s">
        <v>240</v>
      </c>
      <c r="D2250" s="51">
        <v>5135</v>
      </c>
      <c r="E2250" s="51">
        <v>120023</v>
      </c>
      <c r="F2250" s="52">
        <v>14481.9</v>
      </c>
      <c r="G2250" s="53">
        <v>12.065937</v>
      </c>
    </row>
    <row r="2251" spans="1:7">
      <c r="A2251" s="50" t="s">
        <v>1159</v>
      </c>
      <c r="B2251" s="50" t="s">
        <v>91</v>
      </c>
      <c r="C2251" s="50" t="s">
        <v>237</v>
      </c>
      <c r="D2251" s="51">
        <v>265862</v>
      </c>
      <c r="E2251" s="51">
        <v>3866368</v>
      </c>
      <c r="F2251" s="52">
        <v>391149</v>
      </c>
      <c r="G2251" s="53">
        <v>10.116704</v>
      </c>
    </row>
    <row r="2252" spans="1:7">
      <c r="A2252" s="50" t="s">
        <v>1160</v>
      </c>
      <c r="B2252" s="50" t="s">
        <v>91</v>
      </c>
      <c r="C2252" s="50" t="s">
        <v>237</v>
      </c>
      <c r="D2252" s="51">
        <v>290522</v>
      </c>
      <c r="E2252" s="51">
        <v>4009677</v>
      </c>
      <c r="F2252" s="52">
        <v>430033.6</v>
      </c>
      <c r="G2252" s="53">
        <v>10.724894000000001</v>
      </c>
    </row>
    <row r="2253" spans="1:7">
      <c r="A2253" s="50" t="s">
        <v>1161</v>
      </c>
      <c r="B2253" s="50" t="s">
        <v>91</v>
      </c>
      <c r="C2253" s="50" t="s">
        <v>240</v>
      </c>
      <c r="D2253" s="51">
        <v>9103</v>
      </c>
      <c r="E2253" s="51">
        <v>147352</v>
      </c>
      <c r="F2253" s="52">
        <v>19146</v>
      </c>
      <c r="G2253" s="53">
        <v>12.993376</v>
      </c>
    </row>
    <row r="2254" spans="1:7">
      <c r="A2254" s="50" t="s">
        <v>1162</v>
      </c>
      <c r="B2254" s="50" t="s">
        <v>91</v>
      </c>
      <c r="C2254" s="50" t="s">
        <v>240</v>
      </c>
      <c r="D2254" s="51">
        <v>9028</v>
      </c>
      <c r="E2254" s="51">
        <v>114964</v>
      </c>
      <c r="F2254" s="52">
        <v>15790</v>
      </c>
      <c r="G2254" s="53">
        <v>13.734734</v>
      </c>
    </row>
    <row r="2255" spans="1:7">
      <c r="A2255" s="50" t="s">
        <v>1163</v>
      </c>
      <c r="B2255" s="50" t="s">
        <v>91</v>
      </c>
      <c r="C2255" s="50" t="s">
        <v>240</v>
      </c>
      <c r="D2255" s="51">
        <v>16851</v>
      </c>
      <c r="E2255" s="51">
        <v>251107</v>
      </c>
      <c r="F2255" s="52">
        <v>34378.800000000003</v>
      </c>
      <c r="G2255" s="53">
        <v>13.690897</v>
      </c>
    </row>
    <row r="2256" spans="1:7">
      <c r="A2256" s="50" t="s">
        <v>1164</v>
      </c>
      <c r="B2256" s="50" t="s">
        <v>91</v>
      </c>
      <c r="C2256" s="50" t="s">
        <v>240</v>
      </c>
      <c r="D2256" s="51">
        <v>13375</v>
      </c>
      <c r="E2256" s="51">
        <v>344647</v>
      </c>
      <c r="F2256" s="52">
        <v>43963.199999999997</v>
      </c>
      <c r="G2256" s="53">
        <v>12.756008</v>
      </c>
    </row>
    <row r="2257" spans="1:7">
      <c r="A2257" s="50" t="s">
        <v>1165</v>
      </c>
      <c r="B2257" s="50" t="s">
        <v>91</v>
      </c>
      <c r="C2257" s="50" t="s">
        <v>240</v>
      </c>
      <c r="D2257" s="51">
        <v>17454</v>
      </c>
      <c r="E2257" s="51">
        <v>350684</v>
      </c>
      <c r="F2257" s="52">
        <v>41337.1</v>
      </c>
      <c r="G2257" s="53">
        <v>11.787564</v>
      </c>
    </row>
    <row r="2258" spans="1:7">
      <c r="A2258" s="50" t="s">
        <v>1166</v>
      </c>
      <c r="B2258" s="50" t="s">
        <v>91</v>
      </c>
      <c r="C2258" s="50" t="s">
        <v>240</v>
      </c>
      <c r="D2258" s="51">
        <v>25941</v>
      </c>
      <c r="E2258" s="51">
        <v>389078</v>
      </c>
      <c r="F2258" s="52">
        <v>53256.7</v>
      </c>
      <c r="G2258" s="53">
        <v>13.687924000000001</v>
      </c>
    </row>
    <row r="2259" spans="1:7">
      <c r="A2259" s="50" t="s">
        <v>1167</v>
      </c>
      <c r="B2259" s="50" t="s">
        <v>91</v>
      </c>
      <c r="C2259" s="50" t="s">
        <v>240</v>
      </c>
      <c r="D2259" s="51">
        <v>4637</v>
      </c>
      <c r="E2259" s="51">
        <v>183504</v>
      </c>
      <c r="F2259" s="52">
        <v>19763.900000000001</v>
      </c>
      <c r="G2259" s="53">
        <v>10.770282999999999</v>
      </c>
    </row>
    <row r="2260" spans="1:7">
      <c r="A2260" s="50" t="s">
        <v>339</v>
      </c>
      <c r="B2260" s="50" t="s">
        <v>91</v>
      </c>
      <c r="C2260" s="50" t="s">
        <v>332</v>
      </c>
      <c r="D2260" s="51">
        <v>1</v>
      </c>
      <c r="E2260" s="51">
        <v>426</v>
      </c>
      <c r="F2260" s="52">
        <v>46</v>
      </c>
      <c r="G2260" s="53">
        <v>10.798121999999999</v>
      </c>
    </row>
    <row r="2261" spans="1:7">
      <c r="A2261" s="50" t="s">
        <v>1168</v>
      </c>
      <c r="B2261" s="50" t="s">
        <v>91</v>
      </c>
      <c r="C2261" s="50" t="s">
        <v>240</v>
      </c>
      <c r="D2261" s="51">
        <v>16429</v>
      </c>
      <c r="E2261" s="51">
        <v>330857</v>
      </c>
      <c r="F2261" s="52">
        <v>38373</v>
      </c>
      <c r="G2261" s="53">
        <v>11.598062000000001</v>
      </c>
    </row>
    <row r="2262" spans="1:7">
      <c r="A2262" s="50" t="s">
        <v>1169</v>
      </c>
      <c r="B2262" s="50" t="s">
        <v>91</v>
      </c>
      <c r="C2262" s="50" t="s">
        <v>240</v>
      </c>
      <c r="D2262" s="51">
        <v>8146</v>
      </c>
      <c r="E2262" s="51">
        <v>166337</v>
      </c>
      <c r="F2262" s="52">
        <v>21368.3</v>
      </c>
      <c r="G2262" s="53">
        <v>12.84639</v>
      </c>
    </row>
    <row r="2263" spans="1:7">
      <c r="A2263" s="50" t="s">
        <v>1170</v>
      </c>
      <c r="B2263" s="50" t="s">
        <v>91</v>
      </c>
      <c r="C2263" s="50" t="s">
        <v>240</v>
      </c>
      <c r="D2263" s="51">
        <v>10824</v>
      </c>
      <c r="E2263" s="51">
        <v>271127</v>
      </c>
      <c r="F2263" s="52">
        <v>30579</v>
      </c>
      <c r="G2263" s="53">
        <v>11.278478</v>
      </c>
    </row>
    <row r="2264" spans="1:7">
      <c r="A2264" s="50" t="s">
        <v>616</v>
      </c>
      <c r="B2264" s="50" t="s">
        <v>91</v>
      </c>
      <c r="C2264" s="50" t="s">
        <v>240</v>
      </c>
      <c r="D2264" s="51">
        <v>1060</v>
      </c>
      <c r="E2264" s="51">
        <v>16217</v>
      </c>
      <c r="F2264" s="52">
        <v>2382.1999999999998</v>
      </c>
      <c r="G2264" s="53">
        <v>14.689522999999999</v>
      </c>
    </row>
    <row r="2265" spans="1:7">
      <c r="A2265" s="50" t="s">
        <v>985</v>
      </c>
      <c r="B2265" s="50" t="s">
        <v>91</v>
      </c>
      <c r="C2265" s="50" t="s">
        <v>240</v>
      </c>
      <c r="D2265" s="51">
        <v>9657</v>
      </c>
      <c r="E2265" s="51">
        <v>206851</v>
      </c>
      <c r="F2265" s="52">
        <v>24946</v>
      </c>
      <c r="G2265" s="53">
        <v>12.059889</v>
      </c>
    </row>
    <row r="2266" spans="1:7">
      <c r="A2266" s="50" t="s">
        <v>1171</v>
      </c>
      <c r="B2266" s="50" t="s">
        <v>91</v>
      </c>
      <c r="C2266" s="50" t="s">
        <v>240</v>
      </c>
      <c r="D2266" s="51">
        <v>5943</v>
      </c>
      <c r="E2266" s="51">
        <v>123916</v>
      </c>
      <c r="F2266" s="52">
        <v>14893</v>
      </c>
      <c r="G2266" s="53">
        <v>12.018625999999999</v>
      </c>
    </row>
    <row r="2267" spans="1:7">
      <c r="A2267" s="50" t="s">
        <v>1172</v>
      </c>
      <c r="B2267" s="50" t="s">
        <v>91</v>
      </c>
      <c r="C2267" s="50" t="s">
        <v>237</v>
      </c>
      <c r="D2267" s="51">
        <v>327657</v>
      </c>
      <c r="E2267" s="51">
        <v>3970997</v>
      </c>
      <c r="F2267" s="52">
        <v>469194.6</v>
      </c>
      <c r="G2267" s="53">
        <v>11.815537000000001</v>
      </c>
    </row>
    <row r="2268" spans="1:7">
      <c r="A2268" s="50" t="s">
        <v>1173</v>
      </c>
      <c r="B2268" s="50" t="s">
        <v>91</v>
      </c>
      <c r="C2268" s="50" t="s">
        <v>237</v>
      </c>
      <c r="D2268" s="51">
        <v>920735</v>
      </c>
      <c r="E2268" s="51">
        <v>11573523</v>
      </c>
      <c r="F2268" s="52">
        <v>1384750</v>
      </c>
      <c r="G2268" s="53">
        <v>11.96481</v>
      </c>
    </row>
    <row r="2269" spans="1:7">
      <c r="A2269" s="50" t="s">
        <v>1174</v>
      </c>
      <c r="B2269" s="50" t="s">
        <v>91</v>
      </c>
      <c r="C2269" s="50" t="s">
        <v>237</v>
      </c>
      <c r="D2269" s="51">
        <v>1</v>
      </c>
      <c r="E2269" s="51">
        <v>125881</v>
      </c>
      <c r="F2269" s="52">
        <v>4641</v>
      </c>
      <c r="G2269" s="53">
        <v>3.6868153000000001</v>
      </c>
    </row>
    <row r="2270" spans="1:7">
      <c r="A2270" s="50" t="s">
        <v>621</v>
      </c>
      <c r="B2270" s="50" t="s">
        <v>91</v>
      </c>
      <c r="C2270" s="50" t="s">
        <v>240</v>
      </c>
      <c r="D2270" s="51">
        <v>9514</v>
      </c>
      <c r="E2270" s="51">
        <v>261553</v>
      </c>
      <c r="F2270" s="52">
        <v>29556</v>
      </c>
      <c r="G2270" s="53">
        <v>11.300195</v>
      </c>
    </row>
    <row r="2271" spans="1:7">
      <c r="A2271" s="50" t="s">
        <v>1175</v>
      </c>
      <c r="B2271" s="50" t="s">
        <v>91</v>
      </c>
      <c r="C2271" s="50" t="s">
        <v>240</v>
      </c>
      <c r="D2271" s="51">
        <v>16818</v>
      </c>
      <c r="E2271" s="51">
        <v>643660</v>
      </c>
      <c r="F2271" s="52">
        <v>66210.2</v>
      </c>
      <c r="G2271" s="53">
        <v>10.286517999999999</v>
      </c>
    </row>
    <row r="2272" spans="1:7">
      <c r="A2272" s="50" t="s">
        <v>2041</v>
      </c>
      <c r="B2272" s="50" t="s">
        <v>91</v>
      </c>
      <c r="C2272" s="50" t="s">
        <v>242</v>
      </c>
      <c r="D2272" s="51">
        <v>736</v>
      </c>
      <c r="E2272" s="51">
        <v>9760</v>
      </c>
      <c r="F2272" s="52">
        <v>1203</v>
      </c>
      <c r="G2272" s="53">
        <v>12.32582</v>
      </c>
    </row>
    <row r="2273" spans="1:7">
      <c r="A2273" s="50" t="s">
        <v>2042</v>
      </c>
      <c r="B2273" s="50" t="s">
        <v>91</v>
      </c>
      <c r="C2273" s="50" t="s">
        <v>242</v>
      </c>
      <c r="D2273" s="51">
        <v>1942</v>
      </c>
      <c r="E2273" s="51">
        <v>86192</v>
      </c>
      <c r="F2273" s="52">
        <v>7883</v>
      </c>
      <c r="G2273" s="53">
        <v>9.1458604000000001</v>
      </c>
    </row>
    <row r="2274" spans="1:7">
      <c r="A2274" s="50" t="s">
        <v>343</v>
      </c>
      <c r="B2274" s="50" t="s">
        <v>91</v>
      </c>
      <c r="C2274" s="50" t="s">
        <v>332</v>
      </c>
      <c r="D2274" s="51">
        <v>19</v>
      </c>
      <c r="E2274" s="51">
        <v>6981</v>
      </c>
      <c r="F2274" s="52">
        <v>552</v>
      </c>
      <c r="G2274" s="53">
        <v>7.9071765999999997</v>
      </c>
    </row>
    <row r="2275" spans="1:7">
      <c r="A2275" s="50" t="s">
        <v>1176</v>
      </c>
      <c r="B2275" s="50" t="s">
        <v>91</v>
      </c>
      <c r="C2275" s="50" t="s">
        <v>240</v>
      </c>
      <c r="D2275" s="51">
        <v>120382</v>
      </c>
      <c r="E2275" s="51">
        <v>2750603</v>
      </c>
      <c r="F2275" s="52">
        <v>293443.5</v>
      </c>
      <c r="G2275" s="53">
        <v>10.668333000000001</v>
      </c>
    </row>
    <row r="2276" spans="1:7">
      <c r="A2276" s="50" t="s">
        <v>2043</v>
      </c>
      <c r="B2276" s="50" t="s">
        <v>91</v>
      </c>
      <c r="C2276" s="50" t="s">
        <v>242</v>
      </c>
      <c r="D2276" s="51">
        <v>237</v>
      </c>
      <c r="E2276" s="51">
        <v>4436</v>
      </c>
      <c r="F2276" s="52">
        <v>527</v>
      </c>
      <c r="G2276" s="53">
        <v>11.880072</v>
      </c>
    </row>
    <row r="2277" spans="1:7">
      <c r="A2277" s="50" t="s">
        <v>1177</v>
      </c>
      <c r="B2277" s="50" t="s">
        <v>91</v>
      </c>
      <c r="C2277" s="50" t="s">
        <v>237</v>
      </c>
      <c r="D2277" s="51">
        <v>93567</v>
      </c>
      <c r="E2277" s="51">
        <v>1088474</v>
      </c>
      <c r="F2277" s="52">
        <v>132858.9</v>
      </c>
      <c r="G2277" s="53">
        <v>12.205978</v>
      </c>
    </row>
    <row r="2278" spans="1:7">
      <c r="A2278" s="50" t="s">
        <v>2044</v>
      </c>
      <c r="B2278" s="50" t="s">
        <v>91</v>
      </c>
      <c r="C2278" s="50" t="s">
        <v>240</v>
      </c>
      <c r="D2278" s="51">
        <v>4390</v>
      </c>
      <c r="E2278" s="51">
        <v>73257</v>
      </c>
      <c r="F2278" s="52">
        <v>9319</v>
      </c>
      <c r="G2278" s="53">
        <v>12.720969</v>
      </c>
    </row>
    <row r="2279" spans="1:7">
      <c r="A2279" s="50" t="s">
        <v>1178</v>
      </c>
      <c r="B2279" s="50" t="s">
        <v>91</v>
      </c>
      <c r="C2279" s="50" t="s">
        <v>240</v>
      </c>
      <c r="D2279" s="51">
        <v>10438</v>
      </c>
      <c r="E2279" s="51">
        <v>524888</v>
      </c>
      <c r="F2279" s="52">
        <v>53099.199999999997</v>
      </c>
      <c r="G2279" s="53">
        <v>10.116291</v>
      </c>
    </row>
    <row r="2280" spans="1:7">
      <c r="A2280" s="50" t="s">
        <v>2045</v>
      </c>
      <c r="B2280" s="50" t="s">
        <v>91</v>
      </c>
      <c r="C2280" s="50" t="s">
        <v>242</v>
      </c>
      <c r="D2280" s="51">
        <v>301</v>
      </c>
      <c r="E2280" s="51">
        <v>5058</v>
      </c>
      <c r="F2280" s="52">
        <v>665.2</v>
      </c>
      <c r="G2280" s="53">
        <v>13.151443</v>
      </c>
    </row>
    <row r="2281" spans="1:7">
      <c r="A2281" s="50" t="s">
        <v>2046</v>
      </c>
      <c r="B2281" s="50" t="s">
        <v>91</v>
      </c>
      <c r="C2281" s="50" t="s">
        <v>242</v>
      </c>
      <c r="D2281" s="51">
        <v>834</v>
      </c>
      <c r="E2281" s="51">
        <v>9053</v>
      </c>
      <c r="F2281" s="52">
        <v>1473</v>
      </c>
      <c r="G2281" s="53">
        <v>16.270848999999998</v>
      </c>
    </row>
    <row r="2282" spans="1:7">
      <c r="A2282" s="50" t="s">
        <v>2047</v>
      </c>
      <c r="B2282" s="50" t="s">
        <v>91</v>
      </c>
      <c r="C2282" s="50" t="s">
        <v>242</v>
      </c>
      <c r="D2282" s="51">
        <v>1606</v>
      </c>
      <c r="E2282" s="51">
        <v>24095</v>
      </c>
      <c r="F2282" s="52">
        <v>2565</v>
      </c>
      <c r="G2282" s="53">
        <v>10.645362</v>
      </c>
    </row>
    <row r="2283" spans="1:7">
      <c r="A2283" s="50" t="s">
        <v>2048</v>
      </c>
      <c r="B2283" s="50" t="s">
        <v>91</v>
      </c>
      <c r="C2283" s="50" t="s">
        <v>242</v>
      </c>
      <c r="D2283" s="51">
        <v>312</v>
      </c>
      <c r="E2283" s="51">
        <v>3181</v>
      </c>
      <c r="F2283" s="52">
        <v>469</v>
      </c>
      <c r="G2283" s="53">
        <v>14.743791</v>
      </c>
    </row>
    <row r="2284" spans="1:7">
      <c r="A2284" s="50" t="s">
        <v>2049</v>
      </c>
      <c r="B2284" s="50" t="s">
        <v>91</v>
      </c>
      <c r="C2284" s="50" t="s">
        <v>242</v>
      </c>
      <c r="D2284" s="51">
        <v>531</v>
      </c>
      <c r="E2284" s="51">
        <v>5731</v>
      </c>
      <c r="F2284" s="52">
        <v>817</v>
      </c>
      <c r="G2284" s="53">
        <v>14.255801999999999</v>
      </c>
    </row>
    <row r="2285" spans="1:7">
      <c r="A2285" s="50" t="s">
        <v>2050</v>
      </c>
      <c r="B2285" s="50" t="s">
        <v>91</v>
      </c>
      <c r="C2285" s="50" t="s">
        <v>242</v>
      </c>
      <c r="D2285" s="51">
        <v>942</v>
      </c>
      <c r="E2285" s="51">
        <v>54729</v>
      </c>
      <c r="F2285" s="52">
        <v>5830.2</v>
      </c>
      <c r="G2285" s="53">
        <v>10.652853</v>
      </c>
    </row>
    <row r="2286" spans="1:7">
      <c r="A2286" s="50" t="s">
        <v>2051</v>
      </c>
      <c r="B2286" s="50" t="s">
        <v>91</v>
      </c>
      <c r="C2286" s="50" t="s">
        <v>242</v>
      </c>
      <c r="D2286" s="51">
        <v>1891</v>
      </c>
      <c r="E2286" s="51">
        <v>94415</v>
      </c>
      <c r="F2286" s="52">
        <v>8168.5</v>
      </c>
      <c r="G2286" s="53">
        <v>8.6516973000000004</v>
      </c>
    </row>
    <row r="2287" spans="1:7">
      <c r="A2287" s="50" t="s">
        <v>2052</v>
      </c>
      <c r="B2287" s="50" t="s">
        <v>91</v>
      </c>
      <c r="C2287" s="50" t="s">
        <v>242</v>
      </c>
      <c r="D2287" s="51">
        <v>273</v>
      </c>
      <c r="E2287" s="51">
        <v>3405</v>
      </c>
      <c r="F2287" s="52">
        <v>427</v>
      </c>
      <c r="G2287" s="53">
        <v>12.540381999999999</v>
      </c>
    </row>
    <row r="2288" spans="1:7">
      <c r="A2288" s="50" t="s">
        <v>2053</v>
      </c>
      <c r="B2288" s="50" t="s">
        <v>91</v>
      </c>
      <c r="C2288" s="50" t="s">
        <v>242</v>
      </c>
      <c r="D2288" s="51">
        <v>978</v>
      </c>
      <c r="E2288" s="51">
        <v>15488</v>
      </c>
      <c r="F2288" s="52">
        <v>2534.4</v>
      </c>
      <c r="G2288" s="53">
        <v>16.363636</v>
      </c>
    </row>
    <row r="2289" spans="1:7">
      <c r="A2289" s="50" t="s">
        <v>2054</v>
      </c>
      <c r="B2289" s="50" t="s">
        <v>91</v>
      </c>
      <c r="C2289" s="50" t="s">
        <v>242</v>
      </c>
      <c r="D2289" s="51">
        <v>1106</v>
      </c>
      <c r="E2289" s="51">
        <v>26304</v>
      </c>
      <c r="F2289" s="52">
        <v>3060</v>
      </c>
      <c r="G2289" s="53">
        <v>11.633212</v>
      </c>
    </row>
    <row r="2290" spans="1:7">
      <c r="A2290" s="50" t="s">
        <v>2055</v>
      </c>
      <c r="B2290" s="50" t="s">
        <v>91</v>
      </c>
      <c r="C2290" s="50" t="s">
        <v>242</v>
      </c>
      <c r="D2290" s="51">
        <v>279</v>
      </c>
      <c r="E2290" s="51">
        <v>3898</v>
      </c>
      <c r="F2290" s="52">
        <v>449</v>
      </c>
      <c r="G2290" s="53">
        <v>11.518727999999999</v>
      </c>
    </row>
    <row r="2291" spans="1:7">
      <c r="A2291" s="50" t="s">
        <v>2056</v>
      </c>
      <c r="B2291" s="50" t="s">
        <v>91</v>
      </c>
      <c r="C2291" s="50" t="s">
        <v>242</v>
      </c>
      <c r="D2291" s="51">
        <v>946</v>
      </c>
      <c r="E2291" s="51">
        <v>14259</v>
      </c>
      <c r="F2291" s="52">
        <v>1839</v>
      </c>
      <c r="G2291" s="53">
        <v>12.897118000000001</v>
      </c>
    </row>
    <row r="2292" spans="1:7">
      <c r="A2292" s="50" t="s">
        <v>2057</v>
      </c>
      <c r="B2292" s="50" t="s">
        <v>91</v>
      </c>
      <c r="C2292" s="50" t="s">
        <v>242</v>
      </c>
      <c r="D2292" s="51">
        <v>1119</v>
      </c>
      <c r="E2292" s="51">
        <v>13997</v>
      </c>
      <c r="F2292" s="52">
        <v>2204</v>
      </c>
      <c r="G2292" s="53">
        <v>15.746231</v>
      </c>
    </row>
    <row r="2293" spans="1:7">
      <c r="A2293" s="50" t="s">
        <v>2058</v>
      </c>
      <c r="B2293" s="50" t="s">
        <v>91</v>
      </c>
      <c r="C2293" s="50" t="s">
        <v>242</v>
      </c>
      <c r="D2293" s="51">
        <v>2129</v>
      </c>
      <c r="E2293" s="51">
        <v>44889</v>
      </c>
      <c r="F2293" s="52">
        <v>4419</v>
      </c>
      <c r="G2293" s="53">
        <v>9.8442825999999997</v>
      </c>
    </row>
    <row r="2294" spans="1:7">
      <c r="A2294" s="50" t="s">
        <v>2059</v>
      </c>
      <c r="B2294" s="50" t="s">
        <v>91</v>
      </c>
      <c r="C2294" s="50" t="s">
        <v>242</v>
      </c>
      <c r="D2294" s="51">
        <v>993</v>
      </c>
      <c r="E2294" s="51">
        <v>9123</v>
      </c>
      <c r="F2294" s="52">
        <v>1297</v>
      </c>
      <c r="G2294" s="53">
        <v>14.216815</v>
      </c>
    </row>
    <row r="2295" spans="1:7">
      <c r="A2295" s="50" t="s">
        <v>2060</v>
      </c>
      <c r="B2295" s="50" t="s">
        <v>91</v>
      </c>
      <c r="C2295" s="50" t="s">
        <v>242</v>
      </c>
      <c r="D2295" s="51">
        <v>1346</v>
      </c>
      <c r="E2295" s="51">
        <v>25348</v>
      </c>
      <c r="F2295" s="52">
        <v>3845.7</v>
      </c>
      <c r="G2295" s="53">
        <v>15.171611</v>
      </c>
    </row>
    <row r="2296" spans="1:7">
      <c r="A2296" s="50" t="s">
        <v>2061</v>
      </c>
      <c r="B2296" s="50" t="s">
        <v>91</v>
      </c>
      <c r="C2296" s="50" t="s">
        <v>242</v>
      </c>
      <c r="D2296" s="51">
        <v>731</v>
      </c>
      <c r="E2296" s="51">
        <v>12938</v>
      </c>
      <c r="F2296" s="52">
        <v>1321</v>
      </c>
      <c r="G2296" s="53">
        <v>10.210233000000001</v>
      </c>
    </row>
    <row r="2297" spans="1:7">
      <c r="A2297" s="50" t="s">
        <v>2062</v>
      </c>
      <c r="B2297" s="50" t="s">
        <v>91</v>
      </c>
      <c r="C2297" s="50" t="s">
        <v>242</v>
      </c>
      <c r="D2297" s="51">
        <v>546</v>
      </c>
      <c r="E2297" s="51">
        <v>6038</v>
      </c>
      <c r="F2297" s="52">
        <v>727.8</v>
      </c>
      <c r="G2297" s="53">
        <v>12.053660000000001</v>
      </c>
    </row>
    <row r="2298" spans="1:7">
      <c r="A2298" s="50" t="s">
        <v>2063</v>
      </c>
      <c r="B2298" s="50" t="s">
        <v>91</v>
      </c>
      <c r="C2298" s="50" t="s">
        <v>242</v>
      </c>
      <c r="D2298" s="51">
        <v>765</v>
      </c>
      <c r="E2298" s="51">
        <v>21306</v>
      </c>
      <c r="F2298" s="52">
        <v>2655</v>
      </c>
      <c r="G2298" s="53">
        <v>12.461278999999999</v>
      </c>
    </row>
    <row r="2299" spans="1:7">
      <c r="A2299" s="50" t="s">
        <v>2064</v>
      </c>
      <c r="B2299" s="50" t="s">
        <v>91</v>
      </c>
      <c r="C2299" s="50" t="s">
        <v>242</v>
      </c>
      <c r="D2299" s="51">
        <v>897</v>
      </c>
      <c r="E2299" s="51">
        <v>10265</v>
      </c>
      <c r="F2299" s="52">
        <v>1497</v>
      </c>
      <c r="G2299" s="53">
        <v>14.583536</v>
      </c>
    </row>
    <row r="2300" spans="1:7">
      <c r="A2300" s="50" t="s">
        <v>2065</v>
      </c>
      <c r="B2300" s="50" t="s">
        <v>91</v>
      </c>
      <c r="C2300" s="50" t="s">
        <v>242</v>
      </c>
      <c r="D2300" s="51">
        <v>1792</v>
      </c>
      <c r="E2300" s="51">
        <v>43466</v>
      </c>
      <c r="F2300" s="52">
        <v>4106</v>
      </c>
      <c r="G2300" s="53">
        <v>9.4464638999999995</v>
      </c>
    </row>
    <row r="2301" spans="1:7">
      <c r="A2301" s="50" t="s">
        <v>2066</v>
      </c>
      <c r="B2301" s="50" t="s">
        <v>91</v>
      </c>
      <c r="C2301" s="50" t="s">
        <v>242</v>
      </c>
      <c r="D2301" s="51">
        <v>353</v>
      </c>
      <c r="E2301" s="51">
        <v>3840</v>
      </c>
      <c r="F2301" s="52">
        <v>489</v>
      </c>
      <c r="G2301" s="53">
        <v>12.734375</v>
      </c>
    </row>
    <row r="2302" spans="1:7">
      <c r="A2302" s="50" t="s">
        <v>2067</v>
      </c>
      <c r="B2302" s="50" t="s">
        <v>91</v>
      </c>
      <c r="C2302" s="50" t="s">
        <v>242</v>
      </c>
      <c r="D2302" s="51">
        <v>498</v>
      </c>
      <c r="E2302" s="51">
        <v>6781</v>
      </c>
      <c r="F2302" s="52">
        <v>827</v>
      </c>
      <c r="G2302" s="53">
        <v>12.195841</v>
      </c>
    </row>
    <row r="2303" spans="1:7">
      <c r="A2303" s="50" t="s">
        <v>2068</v>
      </c>
      <c r="B2303" s="50" t="s">
        <v>91</v>
      </c>
      <c r="C2303" s="50" t="s">
        <v>242</v>
      </c>
      <c r="D2303" s="51">
        <v>740</v>
      </c>
      <c r="E2303" s="51">
        <v>11563</v>
      </c>
      <c r="F2303" s="52">
        <v>1752</v>
      </c>
      <c r="G2303" s="53">
        <v>15.151776999999999</v>
      </c>
    </row>
    <row r="2304" spans="1:7">
      <c r="A2304" s="50" t="s">
        <v>1179</v>
      </c>
      <c r="B2304" s="50" t="s">
        <v>91</v>
      </c>
      <c r="C2304" s="50" t="s">
        <v>242</v>
      </c>
      <c r="D2304" s="51">
        <v>1479</v>
      </c>
      <c r="E2304" s="51">
        <v>139546</v>
      </c>
      <c r="F2304" s="52">
        <v>12793</v>
      </c>
      <c r="G2304" s="53">
        <v>9.1675863</v>
      </c>
    </row>
    <row r="2305" spans="1:7">
      <c r="A2305" s="50" t="s">
        <v>2069</v>
      </c>
      <c r="B2305" s="50" t="s">
        <v>91</v>
      </c>
      <c r="C2305" s="50" t="s">
        <v>242</v>
      </c>
      <c r="D2305" s="51">
        <v>830</v>
      </c>
      <c r="E2305" s="51">
        <v>47639</v>
      </c>
      <c r="F2305" s="52">
        <v>4583</v>
      </c>
      <c r="G2305" s="53">
        <v>9.6202690999999998</v>
      </c>
    </row>
    <row r="2306" spans="1:7">
      <c r="A2306" s="50" t="s">
        <v>2070</v>
      </c>
      <c r="B2306" s="50" t="s">
        <v>91</v>
      </c>
      <c r="C2306" s="50" t="s">
        <v>242</v>
      </c>
      <c r="D2306" s="51">
        <v>2310</v>
      </c>
      <c r="E2306" s="51">
        <v>79432</v>
      </c>
      <c r="F2306" s="52">
        <v>8362</v>
      </c>
      <c r="G2306" s="53">
        <v>10.527243</v>
      </c>
    </row>
    <row r="2307" spans="1:7">
      <c r="A2307" s="50" t="s">
        <v>2071</v>
      </c>
      <c r="B2307" s="50" t="s">
        <v>91</v>
      </c>
      <c r="C2307" s="50" t="s">
        <v>242</v>
      </c>
      <c r="D2307" s="51">
        <v>1617</v>
      </c>
      <c r="E2307" s="51">
        <v>69266</v>
      </c>
      <c r="F2307" s="52">
        <v>6483</v>
      </c>
      <c r="G2307" s="53">
        <v>9.3595704000000008</v>
      </c>
    </row>
    <row r="2308" spans="1:7">
      <c r="A2308" s="50" t="s">
        <v>2072</v>
      </c>
      <c r="B2308" s="50" t="s">
        <v>91</v>
      </c>
      <c r="C2308" s="50" t="s">
        <v>242</v>
      </c>
      <c r="D2308" s="51">
        <v>473</v>
      </c>
      <c r="E2308" s="51">
        <v>10350</v>
      </c>
      <c r="F2308" s="52">
        <v>1559.6</v>
      </c>
      <c r="G2308" s="53">
        <v>15.068599000000001</v>
      </c>
    </row>
    <row r="2309" spans="1:7">
      <c r="A2309" s="50" t="s">
        <v>2073</v>
      </c>
      <c r="B2309" s="50" t="s">
        <v>91</v>
      </c>
      <c r="C2309" s="50" t="s">
        <v>242</v>
      </c>
      <c r="D2309" s="51">
        <v>1542</v>
      </c>
      <c r="E2309" s="51">
        <v>21276</v>
      </c>
      <c r="F2309" s="52">
        <v>2897</v>
      </c>
      <c r="G2309" s="53">
        <v>13.616281000000001</v>
      </c>
    </row>
    <row r="2310" spans="1:7">
      <c r="A2310" s="50" t="s">
        <v>2074</v>
      </c>
      <c r="B2310" s="50" t="s">
        <v>91</v>
      </c>
      <c r="C2310" s="50" t="s">
        <v>242</v>
      </c>
      <c r="D2310" s="51">
        <v>96</v>
      </c>
      <c r="E2310" s="51">
        <v>70178</v>
      </c>
      <c r="F2310" s="52">
        <v>6637.8</v>
      </c>
      <c r="G2310" s="53">
        <v>9.4585197999999995</v>
      </c>
    </row>
    <row r="2311" spans="1:7">
      <c r="A2311" s="50" t="s">
        <v>2075</v>
      </c>
      <c r="B2311" s="50" t="s">
        <v>91</v>
      </c>
      <c r="C2311" s="50" t="s">
        <v>242</v>
      </c>
      <c r="D2311" s="51">
        <v>430</v>
      </c>
      <c r="E2311" s="51">
        <v>5581</v>
      </c>
      <c r="F2311" s="52">
        <v>634</v>
      </c>
      <c r="G2311" s="53">
        <v>11.359971</v>
      </c>
    </row>
    <row r="2312" spans="1:7">
      <c r="A2312" s="50" t="s">
        <v>2076</v>
      </c>
      <c r="B2312" s="50" t="s">
        <v>91</v>
      </c>
      <c r="C2312" s="50" t="s">
        <v>242</v>
      </c>
      <c r="D2312" s="51">
        <v>714</v>
      </c>
      <c r="E2312" s="51">
        <v>10665</v>
      </c>
      <c r="F2312" s="52">
        <v>1300.7</v>
      </c>
      <c r="G2312" s="53">
        <v>12.195968000000001</v>
      </c>
    </row>
    <row r="2313" spans="1:7">
      <c r="A2313" s="50" t="s">
        <v>2077</v>
      </c>
      <c r="B2313" s="50" t="s">
        <v>91</v>
      </c>
      <c r="C2313" s="50" t="s">
        <v>242</v>
      </c>
      <c r="D2313" s="51">
        <v>845</v>
      </c>
      <c r="E2313" s="51">
        <v>32339</v>
      </c>
      <c r="F2313" s="52">
        <v>3750</v>
      </c>
      <c r="G2313" s="53">
        <v>11.595905999999999</v>
      </c>
    </row>
    <row r="2314" spans="1:7">
      <c r="A2314" s="50" t="s">
        <v>2078</v>
      </c>
      <c r="B2314" s="50" t="s">
        <v>91</v>
      </c>
      <c r="C2314" s="50" t="s">
        <v>242</v>
      </c>
      <c r="D2314" s="51">
        <v>848</v>
      </c>
      <c r="E2314" s="51">
        <v>11026</v>
      </c>
      <c r="F2314" s="52">
        <v>1524</v>
      </c>
      <c r="G2314" s="53">
        <v>13.821876</v>
      </c>
    </row>
    <row r="2315" spans="1:7">
      <c r="A2315" s="50" t="s">
        <v>2079</v>
      </c>
      <c r="B2315" s="50" t="s">
        <v>91</v>
      </c>
      <c r="C2315" s="50" t="s">
        <v>242</v>
      </c>
      <c r="D2315" s="51">
        <v>307</v>
      </c>
      <c r="E2315" s="51">
        <v>2897</v>
      </c>
      <c r="F2315" s="52">
        <v>430</v>
      </c>
      <c r="G2315" s="53">
        <v>14.842941</v>
      </c>
    </row>
    <row r="2316" spans="1:7">
      <c r="A2316" s="50" t="s">
        <v>2080</v>
      </c>
      <c r="B2316" s="50" t="s">
        <v>91</v>
      </c>
      <c r="C2316" s="50" t="s">
        <v>242</v>
      </c>
      <c r="D2316" s="51">
        <v>1034</v>
      </c>
      <c r="E2316" s="51">
        <v>14543</v>
      </c>
      <c r="F2316" s="52">
        <v>1568</v>
      </c>
      <c r="G2316" s="53">
        <v>10.781819</v>
      </c>
    </row>
    <row r="2317" spans="1:7">
      <c r="A2317" s="50" t="s">
        <v>2081</v>
      </c>
      <c r="B2317" s="50" t="s">
        <v>91</v>
      </c>
      <c r="C2317" s="50" t="s">
        <v>242</v>
      </c>
      <c r="D2317" s="51">
        <v>275</v>
      </c>
      <c r="E2317" s="51">
        <v>4084</v>
      </c>
      <c r="F2317" s="52">
        <v>581</v>
      </c>
      <c r="G2317" s="53">
        <v>14.226248999999999</v>
      </c>
    </row>
    <row r="2318" spans="1:7">
      <c r="A2318" s="50" t="s">
        <v>2082</v>
      </c>
      <c r="B2318" s="50" t="s">
        <v>91</v>
      </c>
      <c r="C2318" s="50" t="s">
        <v>242</v>
      </c>
      <c r="D2318" s="51">
        <v>499</v>
      </c>
      <c r="E2318" s="51">
        <v>21221</v>
      </c>
      <c r="F2318" s="52">
        <v>1985</v>
      </c>
      <c r="G2318" s="53">
        <v>9.3539419000000006</v>
      </c>
    </row>
    <row r="2319" spans="1:7">
      <c r="A2319" s="50" t="s">
        <v>2083</v>
      </c>
      <c r="B2319" s="50" t="s">
        <v>91</v>
      </c>
      <c r="C2319" s="50" t="s">
        <v>242</v>
      </c>
      <c r="D2319" s="51">
        <v>236</v>
      </c>
      <c r="E2319" s="51">
        <v>5229</v>
      </c>
      <c r="F2319" s="52">
        <v>680.5</v>
      </c>
      <c r="G2319" s="53">
        <v>13.013961</v>
      </c>
    </row>
    <row r="2320" spans="1:7">
      <c r="A2320" s="50" t="s">
        <v>2084</v>
      </c>
      <c r="B2320" s="50" t="s">
        <v>91</v>
      </c>
      <c r="C2320" s="50" t="s">
        <v>242</v>
      </c>
      <c r="D2320" s="51">
        <v>1900</v>
      </c>
      <c r="E2320" s="51">
        <v>71858</v>
      </c>
      <c r="F2320" s="52">
        <v>7700</v>
      </c>
      <c r="G2320" s="53">
        <v>10.715578000000001</v>
      </c>
    </row>
    <row r="2321" spans="1:7">
      <c r="A2321" s="50" t="s">
        <v>2085</v>
      </c>
      <c r="B2321" s="50" t="s">
        <v>91</v>
      </c>
      <c r="C2321" s="50" t="s">
        <v>242</v>
      </c>
      <c r="D2321" s="51">
        <v>442</v>
      </c>
      <c r="E2321" s="51">
        <v>7116</v>
      </c>
      <c r="F2321" s="52">
        <v>891</v>
      </c>
      <c r="G2321" s="53">
        <v>12.521079</v>
      </c>
    </row>
    <row r="2322" spans="1:7">
      <c r="A2322" s="50" t="s">
        <v>2086</v>
      </c>
      <c r="B2322" s="50" t="s">
        <v>91</v>
      </c>
      <c r="C2322" s="50" t="s">
        <v>242</v>
      </c>
      <c r="D2322" s="51">
        <v>2595</v>
      </c>
      <c r="E2322" s="51">
        <v>75426</v>
      </c>
      <c r="F2322" s="52">
        <v>8673</v>
      </c>
      <c r="G2322" s="53">
        <v>11.498687</v>
      </c>
    </row>
    <row r="2323" spans="1:7">
      <c r="A2323" s="50" t="s">
        <v>2087</v>
      </c>
      <c r="B2323" s="50" t="s">
        <v>91</v>
      </c>
      <c r="C2323" s="50" t="s">
        <v>242</v>
      </c>
      <c r="D2323" s="51">
        <v>165</v>
      </c>
      <c r="E2323" s="51">
        <v>1584</v>
      </c>
      <c r="F2323" s="52">
        <v>149.19999999999999</v>
      </c>
      <c r="G2323" s="53">
        <v>9.4191918999999995</v>
      </c>
    </row>
    <row r="2324" spans="1:7">
      <c r="A2324" s="50" t="s">
        <v>2088</v>
      </c>
      <c r="B2324" s="50" t="s">
        <v>91</v>
      </c>
      <c r="C2324" s="50" t="s">
        <v>242</v>
      </c>
      <c r="D2324" s="51">
        <v>994</v>
      </c>
      <c r="E2324" s="51">
        <v>11716</v>
      </c>
      <c r="F2324" s="52">
        <v>1590</v>
      </c>
      <c r="G2324" s="53">
        <v>13.571185</v>
      </c>
    </row>
    <row r="2325" spans="1:7">
      <c r="A2325" s="50" t="s">
        <v>1180</v>
      </c>
      <c r="B2325" s="50" t="s">
        <v>91</v>
      </c>
      <c r="C2325" s="50" t="s">
        <v>242</v>
      </c>
      <c r="D2325" s="51">
        <v>2185</v>
      </c>
      <c r="E2325" s="51">
        <v>33533</v>
      </c>
      <c r="F2325" s="52">
        <v>3439</v>
      </c>
      <c r="G2325" s="53">
        <v>10.255568999999999</v>
      </c>
    </row>
    <row r="2326" spans="1:7">
      <c r="A2326" s="50" t="s">
        <v>1181</v>
      </c>
      <c r="B2326" s="50" t="s">
        <v>91</v>
      </c>
      <c r="C2326" s="50" t="s">
        <v>240</v>
      </c>
      <c r="D2326" s="51">
        <v>10485</v>
      </c>
      <c r="E2326" s="51">
        <v>110607</v>
      </c>
      <c r="F2326" s="52">
        <v>17662.2</v>
      </c>
      <c r="G2326" s="53">
        <v>15.968429</v>
      </c>
    </row>
    <row r="2327" spans="1:7">
      <c r="A2327" s="50" t="s">
        <v>631</v>
      </c>
      <c r="B2327" s="50" t="s">
        <v>94</v>
      </c>
      <c r="C2327" s="50" t="s">
        <v>240</v>
      </c>
      <c r="D2327" s="51">
        <v>7652</v>
      </c>
      <c r="E2327" s="51">
        <v>688634</v>
      </c>
      <c r="F2327" s="52">
        <v>49619</v>
      </c>
      <c r="G2327" s="53">
        <v>7.2054241000000001</v>
      </c>
    </row>
    <row r="2328" spans="1:7">
      <c r="A2328" s="50" t="s">
        <v>2089</v>
      </c>
      <c r="B2328" s="50" t="s">
        <v>94</v>
      </c>
      <c r="C2328" s="50" t="s">
        <v>242</v>
      </c>
      <c r="D2328" s="51">
        <v>2446</v>
      </c>
      <c r="E2328" s="51">
        <v>54098</v>
      </c>
      <c r="F2328" s="52">
        <v>4891</v>
      </c>
      <c r="G2328" s="53">
        <v>9.0409997000000004</v>
      </c>
    </row>
    <row r="2329" spans="1:7">
      <c r="A2329" s="50" t="s">
        <v>297</v>
      </c>
      <c r="B2329" s="50" t="s">
        <v>94</v>
      </c>
      <c r="C2329" s="50" t="s">
        <v>240</v>
      </c>
      <c r="D2329" s="51">
        <v>4539</v>
      </c>
      <c r="E2329" s="51">
        <v>90989</v>
      </c>
      <c r="F2329" s="52">
        <v>9354.2999999999993</v>
      </c>
      <c r="G2329" s="53">
        <v>10.280692999999999</v>
      </c>
    </row>
    <row r="2330" spans="1:7">
      <c r="A2330" s="50" t="s">
        <v>1182</v>
      </c>
      <c r="B2330" s="50" t="s">
        <v>94</v>
      </c>
      <c r="C2330" s="50" t="s">
        <v>240</v>
      </c>
      <c r="D2330" s="51">
        <v>25684</v>
      </c>
      <c r="E2330" s="51">
        <v>654238</v>
      </c>
      <c r="F2330" s="52">
        <v>68876</v>
      </c>
      <c r="G2330" s="53">
        <v>10.527666999999999</v>
      </c>
    </row>
    <row r="2331" spans="1:7">
      <c r="A2331" s="50" t="s">
        <v>1183</v>
      </c>
      <c r="B2331" s="50" t="s">
        <v>94</v>
      </c>
      <c r="C2331" s="50" t="s">
        <v>240</v>
      </c>
      <c r="D2331" s="51">
        <v>25135</v>
      </c>
      <c r="E2331" s="51">
        <v>781535</v>
      </c>
      <c r="F2331" s="52">
        <v>63321.7</v>
      </c>
      <c r="G2331" s="53">
        <v>8.1022219</v>
      </c>
    </row>
    <row r="2332" spans="1:7">
      <c r="A2332" s="50" t="s">
        <v>1184</v>
      </c>
      <c r="B2332" s="50" t="s">
        <v>94</v>
      </c>
      <c r="C2332" s="50" t="s">
        <v>240</v>
      </c>
      <c r="D2332" s="51">
        <v>22017</v>
      </c>
      <c r="E2332" s="51">
        <v>582968</v>
      </c>
      <c r="F2332" s="52">
        <v>56083</v>
      </c>
      <c r="G2332" s="53">
        <v>9.6202535999999998</v>
      </c>
    </row>
    <row r="2333" spans="1:7">
      <c r="A2333" s="50" t="s">
        <v>1185</v>
      </c>
      <c r="B2333" s="50" t="s">
        <v>94</v>
      </c>
      <c r="C2333" s="50" t="s">
        <v>240</v>
      </c>
      <c r="D2333" s="51">
        <v>18987</v>
      </c>
      <c r="E2333" s="51">
        <v>476205</v>
      </c>
      <c r="F2333" s="52">
        <v>47106.9</v>
      </c>
      <c r="G2333" s="53">
        <v>9.8921472999999995</v>
      </c>
    </row>
    <row r="2334" spans="1:7">
      <c r="A2334" s="50" t="s">
        <v>1186</v>
      </c>
      <c r="B2334" s="50" t="s">
        <v>94</v>
      </c>
      <c r="C2334" s="50" t="s">
        <v>240</v>
      </c>
      <c r="D2334" s="51">
        <v>18076</v>
      </c>
      <c r="E2334" s="51">
        <v>684104</v>
      </c>
      <c r="F2334" s="52">
        <v>60686</v>
      </c>
      <c r="G2334" s="53">
        <v>8.8708734000000007</v>
      </c>
    </row>
    <row r="2335" spans="1:7">
      <c r="A2335" s="50" t="s">
        <v>1187</v>
      </c>
      <c r="B2335" s="50" t="s">
        <v>94</v>
      </c>
      <c r="C2335" s="50" t="s">
        <v>242</v>
      </c>
      <c r="D2335" s="51">
        <v>8750</v>
      </c>
      <c r="E2335" s="51">
        <v>196655</v>
      </c>
      <c r="F2335" s="52">
        <v>23102</v>
      </c>
      <c r="G2335" s="53">
        <v>11.747477</v>
      </c>
    </row>
    <row r="2336" spans="1:7">
      <c r="A2336" s="50" t="s">
        <v>2090</v>
      </c>
      <c r="B2336" s="50" t="s">
        <v>94</v>
      </c>
      <c r="C2336" s="50" t="s">
        <v>242</v>
      </c>
      <c r="D2336" s="51">
        <v>3219</v>
      </c>
      <c r="E2336" s="51">
        <v>53202</v>
      </c>
      <c r="F2336" s="52">
        <v>6007.5</v>
      </c>
      <c r="G2336" s="53">
        <v>11.291869</v>
      </c>
    </row>
    <row r="2337" spans="1:7">
      <c r="A2337" s="50" t="s">
        <v>2091</v>
      </c>
      <c r="B2337" s="50" t="s">
        <v>94</v>
      </c>
      <c r="C2337" s="50" t="s">
        <v>242</v>
      </c>
      <c r="D2337" s="51">
        <v>76</v>
      </c>
      <c r="E2337" s="51">
        <v>3385</v>
      </c>
      <c r="F2337" s="52">
        <v>285</v>
      </c>
      <c r="G2337" s="53">
        <v>8.4194978000000003</v>
      </c>
    </row>
    <row r="2338" spans="1:7">
      <c r="A2338" s="50" t="s">
        <v>1188</v>
      </c>
      <c r="B2338" s="50" t="s">
        <v>94</v>
      </c>
      <c r="C2338" s="50" t="s">
        <v>242</v>
      </c>
      <c r="D2338" s="51">
        <v>12173</v>
      </c>
      <c r="E2338" s="51">
        <v>273688</v>
      </c>
      <c r="F2338" s="52">
        <v>26448</v>
      </c>
      <c r="G2338" s="53">
        <v>9.6635585000000006</v>
      </c>
    </row>
    <row r="2339" spans="1:7">
      <c r="A2339" s="50" t="s">
        <v>2092</v>
      </c>
      <c r="B2339" s="50" t="s">
        <v>94</v>
      </c>
      <c r="C2339" s="50" t="s">
        <v>242</v>
      </c>
      <c r="D2339" s="51">
        <v>3156</v>
      </c>
      <c r="E2339" s="51">
        <v>50155</v>
      </c>
      <c r="F2339" s="52">
        <v>6381</v>
      </c>
      <c r="G2339" s="53">
        <v>12.72256</v>
      </c>
    </row>
    <row r="2340" spans="1:7">
      <c r="A2340" s="50" t="s">
        <v>2093</v>
      </c>
      <c r="B2340" s="50" t="s">
        <v>94</v>
      </c>
      <c r="C2340" s="50" t="s">
        <v>242</v>
      </c>
      <c r="D2340" s="51">
        <v>797</v>
      </c>
      <c r="E2340" s="51">
        <v>12470</v>
      </c>
      <c r="F2340" s="52">
        <v>1557</v>
      </c>
      <c r="G2340" s="53">
        <v>12.485965999999999</v>
      </c>
    </row>
    <row r="2341" spans="1:7">
      <c r="A2341" s="50" t="s">
        <v>1189</v>
      </c>
      <c r="B2341" s="50" t="s">
        <v>94</v>
      </c>
      <c r="C2341" s="50" t="s">
        <v>242</v>
      </c>
      <c r="D2341" s="51">
        <v>4400</v>
      </c>
      <c r="E2341" s="51">
        <v>106755</v>
      </c>
      <c r="F2341" s="52">
        <v>8880</v>
      </c>
      <c r="G2341" s="53">
        <v>8.3181115999999999</v>
      </c>
    </row>
    <row r="2342" spans="1:7">
      <c r="A2342" s="50" t="s">
        <v>1190</v>
      </c>
      <c r="B2342" s="50" t="s">
        <v>94</v>
      </c>
      <c r="C2342" s="50" t="s">
        <v>242</v>
      </c>
      <c r="D2342" s="51">
        <v>8825</v>
      </c>
      <c r="E2342" s="51">
        <v>184253</v>
      </c>
      <c r="F2342" s="52">
        <v>18991.599999999999</v>
      </c>
      <c r="G2342" s="53">
        <v>10.307349</v>
      </c>
    </row>
    <row r="2343" spans="1:7">
      <c r="A2343" s="50" t="s">
        <v>1191</v>
      </c>
      <c r="B2343" s="50" t="s">
        <v>94</v>
      </c>
      <c r="C2343" s="50" t="s">
        <v>242</v>
      </c>
      <c r="D2343" s="51">
        <v>41098</v>
      </c>
      <c r="E2343" s="51">
        <v>881338</v>
      </c>
      <c r="F2343" s="52">
        <v>90647</v>
      </c>
      <c r="G2343" s="53">
        <v>10.285157</v>
      </c>
    </row>
    <row r="2344" spans="1:7">
      <c r="A2344" s="50" t="s">
        <v>2094</v>
      </c>
      <c r="B2344" s="50" t="s">
        <v>94</v>
      </c>
      <c r="C2344" s="50" t="s">
        <v>242</v>
      </c>
      <c r="D2344" s="51">
        <v>224</v>
      </c>
      <c r="E2344" s="51">
        <v>1969</v>
      </c>
      <c r="F2344" s="52">
        <v>242.5</v>
      </c>
      <c r="G2344" s="53">
        <v>12.315896</v>
      </c>
    </row>
    <row r="2345" spans="1:7">
      <c r="A2345" s="50" t="s">
        <v>2095</v>
      </c>
      <c r="B2345" s="50" t="s">
        <v>94</v>
      </c>
      <c r="C2345" s="50" t="s">
        <v>242</v>
      </c>
      <c r="D2345" s="51">
        <v>2126</v>
      </c>
      <c r="E2345" s="51">
        <v>28599</v>
      </c>
      <c r="F2345" s="52">
        <v>2377.3000000000002</v>
      </c>
      <c r="G2345" s="53">
        <v>8.3125283999999997</v>
      </c>
    </row>
    <row r="2346" spans="1:7">
      <c r="A2346" s="50" t="s">
        <v>2096</v>
      </c>
      <c r="B2346" s="50" t="s">
        <v>94</v>
      </c>
      <c r="C2346" s="50" t="s">
        <v>242</v>
      </c>
      <c r="D2346" s="51">
        <v>1967</v>
      </c>
      <c r="E2346" s="51">
        <v>47666</v>
      </c>
      <c r="F2346" s="52">
        <v>4934.8999999999996</v>
      </c>
      <c r="G2346" s="53">
        <v>10.353082000000001</v>
      </c>
    </row>
    <row r="2347" spans="1:7">
      <c r="A2347" s="50" t="s">
        <v>2097</v>
      </c>
      <c r="B2347" s="50" t="s">
        <v>94</v>
      </c>
      <c r="C2347" s="50" t="s">
        <v>242</v>
      </c>
      <c r="D2347" s="51">
        <v>688</v>
      </c>
      <c r="E2347" s="51">
        <v>6787</v>
      </c>
      <c r="F2347" s="52">
        <v>903</v>
      </c>
      <c r="G2347" s="53">
        <v>13.304848</v>
      </c>
    </row>
    <row r="2348" spans="1:7">
      <c r="A2348" s="50" t="s">
        <v>2098</v>
      </c>
      <c r="B2348" s="50" t="s">
        <v>94</v>
      </c>
      <c r="C2348" s="50" t="s">
        <v>242</v>
      </c>
      <c r="D2348" s="51">
        <v>635</v>
      </c>
      <c r="E2348" s="51">
        <v>5599</v>
      </c>
      <c r="F2348" s="52">
        <v>740.7</v>
      </c>
      <c r="G2348" s="53">
        <v>13.229148</v>
      </c>
    </row>
    <row r="2349" spans="1:7">
      <c r="A2349" s="50" t="s">
        <v>2099</v>
      </c>
      <c r="B2349" s="50" t="s">
        <v>94</v>
      </c>
      <c r="C2349" s="50" t="s">
        <v>242</v>
      </c>
      <c r="D2349" s="51">
        <v>2289</v>
      </c>
      <c r="E2349" s="51">
        <v>51189</v>
      </c>
      <c r="F2349" s="52">
        <v>5451</v>
      </c>
      <c r="G2349" s="53">
        <v>10.648771999999999</v>
      </c>
    </row>
    <row r="2350" spans="1:7">
      <c r="A2350" s="50" t="s">
        <v>2100</v>
      </c>
      <c r="B2350" s="50" t="s">
        <v>94</v>
      </c>
      <c r="C2350" s="50" t="s">
        <v>242</v>
      </c>
      <c r="D2350" s="51">
        <v>813</v>
      </c>
      <c r="E2350" s="51">
        <v>10421</v>
      </c>
      <c r="F2350" s="52">
        <v>1196.9000000000001</v>
      </c>
      <c r="G2350" s="53">
        <v>11.485462</v>
      </c>
    </row>
    <row r="2351" spans="1:7">
      <c r="A2351" s="50" t="s">
        <v>2101</v>
      </c>
      <c r="B2351" s="50" t="s">
        <v>94</v>
      </c>
      <c r="C2351" s="50" t="s">
        <v>242</v>
      </c>
      <c r="D2351" s="51">
        <v>1499</v>
      </c>
      <c r="E2351" s="51">
        <v>25827</v>
      </c>
      <c r="F2351" s="52">
        <v>2031</v>
      </c>
      <c r="G2351" s="53">
        <v>7.8638633999999996</v>
      </c>
    </row>
    <row r="2352" spans="1:7">
      <c r="A2352" s="50" t="s">
        <v>1192</v>
      </c>
      <c r="B2352" s="50" t="s">
        <v>94</v>
      </c>
      <c r="C2352" s="50" t="s">
        <v>242</v>
      </c>
      <c r="D2352" s="51">
        <v>1648</v>
      </c>
      <c r="E2352" s="51">
        <v>20796</v>
      </c>
      <c r="F2352" s="52">
        <v>1941.5</v>
      </c>
      <c r="G2352" s="53">
        <v>9.3359299999999994</v>
      </c>
    </row>
    <row r="2353" spans="1:7">
      <c r="A2353" s="50" t="s">
        <v>2102</v>
      </c>
      <c r="B2353" s="50" t="s">
        <v>94</v>
      </c>
      <c r="C2353" s="50" t="s">
        <v>242</v>
      </c>
      <c r="D2353" s="51">
        <v>81</v>
      </c>
      <c r="E2353" s="51">
        <v>1848</v>
      </c>
      <c r="F2353" s="52">
        <v>225</v>
      </c>
      <c r="G2353" s="53">
        <v>12.175325000000001</v>
      </c>
    </row>
    <row r="2354" spans="1:7">
      <c r="A2354" s="50" t="s">
        <v>2103</v>
      </c>
      <c r="B2354" s="50" t="s">
        <v>94</v>
      </c>
      <c r="C2354" s="50" t="s">
        <v>242</v>
      </c>
      <c r="D2354" s="51">
        <v>2260</v>
      </c>
      <c r="E2354" s="51">
        <v>38822</v>
      </c>
      <c r="F2354" s="52">
        <v>3895</v>
      </c>
      <c r="G2354" s="53">
        <v>10.032971</v>
      </c>
    </row>
    <row r="2355" spans="1:7">
      <c r="A2355" s="50" t="s">
        <v>1193</v>
      </c>
      <c r="B2355" s="50" t="s">
        <v>94</v>
      </c>
      <c r="C2355" s="50" t="s">
        <v>242</v>
      </c>
      <c r="D2355" s="51">
        <v>6574</v>
      </c>
      <c r="E2355" s="51">
        <v>172659</v>
      </c>
      <c r="F2355" s="52">
        <v>15758</v>
      </c>
      <c r="G2355" s="53">
        <v>9.1266601000000005</v>
      </c>
    </row>
    <row r="2356" spans="1:7">
      <c r="A2356" s="50" t="s">
        <v>2104</v>
      </c>
      <c r="B2356" s="50" t="s">
        <v>94</v>
      </c>
      <c r="C2356" s="50" t="s">
        <v>242</v>
      </c>
      <c r="D2356" s="51">
        <v>913</v>
      </c>
      <c r="E2356" s="51">
        <v>8587</v>
      </c>
      <c r="F2356" s="52">
        <v>1044.8</v>
      </c>
      <c r="G2356" s="53">
        <v>12.16723</v>
      </c>
    </row>
    <row r="2357" spans="1:7">
      <c r="A2357" s="50" t="s">
        <v>2105</v>
      </c>
      <c r="B2357" s="50" t="s">
        <v>94</v>
      </c>
      <c r="C2357" s="50" t="s">
        <v>242</v>
      </c>
      <c r="D2357" s="51">
        <v>1545</v>
      </c>
      <c r="E2357" s="51">
        <v>25640</v>
      </c>
      <c r="F2357" s="52">
        <v>2780.9</v>
      </c>
      <c r="G2357" s="53">
        <v>10.845943999999999</v>
      </c>
    </row>
    <row r="2358" spans="1:7">
      <c r="A2358" s="50" t="s">
        <v>2106</v>
      </c>
      <c r="B2358" s="50" t="s">
        <v>94</v>
      </c>
      <c r="C2358" s="50" t="s">
        <v>242</v>
      </c>
      <c r="D2358" s="51">
        <v>1356</v>
      </c>
      <c r="E2358" s="51">
        <v>21525</v>
      </c>
      <c r="F2358" s="52">
        <v>1983</v>
      </c>
      <c r="G2358" s="53">
        <v>9.2125436000000001</v>
      </c>
    </row>
    <row r="2359" spans="1:7">
      <c r="A2359" s="50" t="s">
        <v>2107</v>
      </c>
      <c r="B2359" s="50" t="s">
        <v>94</v>
      </c>
      <c r="C2359" s="50" t="s">
        <v>242</v>
      </c>
      <c r="D2359" s="51">
        <v>342</v>
      </c>
      <c r="E2359" s="51">
        <v>3294</v>
      </c>
      <c r="F2359" s="52">
        <v>365</v>
      </c>
      <c r="G2359" s="53">
        <v>11.080753</v>
      </c>
    </row>
    <row r="2360" spans="1:7">
      <c r="A2360" s="50" t="s">
        <v>2108</v>
      </c>
      <c r="B2360" s="50" t="s">
        <v>94</v>
      </c>
      <c r="C2360" s="50" t="s">
        <v>242</v>
      </c>
      <c r="D2360" s="51">
        <v>93</v>
      </c>
      <c r="E2360" s="51">
        <v>1192</v>
      </c>
      <c r="F2360" s="52">
        <v>132</v>
      </c>
      <c r="G2360" s="53">
        <v>11.073826</v>
      </c>
    </row>
    <row r="2361" spans="1:7">
      <c r="A2361" s="50" t="s">
        <v>1194</v>
      </c>
      <c r="B2361" s="50" t="s">
        <v>94</v>
      </c>
      <c r="C2361" s="50" t="s">
        <v>242</v>
      </c>
      <c r="D2361" s="51">
        <v>2097</v>
      </c>
      <c r="E2361" s="51">
        <v>34710</v>
      </c>
      <c r="F2361" s="52">
        <v>4053.4</v>
      </c>
      <c r="G2361" s="53">
        <v>11.677903000000001</v>
      </c>
    </row>
    <row r="2362" spans="1:7">
      <c r="A2362" s="50" t="s">
        <v>2109</v>
      </c>
      <c r="B2362" s="50" t="s">
        <v>94</v>
      </c>
      <c r="C2362" s="50" t="s">
        <v>242</v>
      </c>
      <c r="D2362" s="51">
        <v>2735</v>
      </c>
      <c r="E2362" s="51">
        <v>69358</v>
      </c>
      <c r="F2362" s="52">
        <v>7387</v>
      </c>
      <c r="G2362" s="53">
        <v>10.650537999999999</v>
      </c>
    </row>
    <row r="2363" spans="1:7">
      <c r="A2363" s="50" t="s">
        <v>1195</v>
      </c>
      <c r="B2363" s="50" t="s">
        <v>94</v>
      </c>
      <c r="C2363" s="50" t="s">
        <v>242</v>
      </c>
      <c r="D2363" s="51">
        <v>15858</v>
      </c>
      <c r="E2363" s="51">
        <v>345692</v>
      </c>
      <c r="F2363" s="52">
        <v>37453</v>
      </c>
      <c r="G2363" s="53">
        <v>10.834211</v>
      </c>
    </row>
    <row r="2364" spans="1:7">
      <c r="A2364" s="50" t="s">
        <v>2110</v>
      </c>
      <c r="B2364" s="50" t="s">
        <v>94</v>
      </c>
      <c r="C2364" s="50" t="s">
        <v>242</v>
      </c>
      <c r="D2364" s="51">
        <v>552</v>
      </c>
      <c r="E2364" s="51">
        <v>7566</v>
      </c>
      <c r="F2364" s="52">
        <v>986</v>
      </c>
      <c r="G2364" s="53">
        <v>13.031985000000001</v>
      </c>
    </row>
    <row r="2365" spans="1:7">
      <c r="A2365" s="50" t="s">
        <v>1196</v>
      </c>
      <c r="B2365" s="50" t="s">
        <v>94</v>
      </c>
      <c r="C2365" s="50" t="s">
        <v>242</v>
      </c>
      <c r="D2365" s="51">
        <v>4815</v>
      </c>
      <c r="E2365" s="51">
        <v>97135</v>
      </c>
      <c r="F2365" s="52">
        <v>8036</v>
      </c>
      <c r="G2365" s="53">
        <v>8.2730221000000004</v>
      </c>
    </row>
    <row r="2366" spans="1:7">
      <c r="A2366" s="50" t="s">
        <v>2111</v>
      </c>
      <c r="B2366" s="50" t="s">
        <v>94</v>
      </c>
      <c r="C2366" s="50" t="s">
        <v>242</v>
      </c>
      <c r="D2366" s="51">
        <v>2892</v>
      </c>
      <c r="E2366" s="51">
        <v>53626</v>
      </c>
      <c r="F2366" s="52">
        <v>6269</v>
      </c>
      <c r="G2366" s="53">
        <v>11.690225</v>
      </c>
    </row>
    <row r="2367" spans="1:7">
      <c r="A2367" s="50" t="s">
        <v>1197</v>
      </c>
      <c r="B2367" s="50" t="s">
        <v>94</v>
      </c>
      <c r="C2367" s="50" t="s">
        <v>242</v>
      </c>
      <c r="D2367" s="51">
        <v>4240</v>
      </c>
      <c r="E2367" s="51">
        <v>112702</v>
      </c>
      <c r="F2367" s="52">
        <v>10479</v>
      </c>
      <c r="G2367" s="53">
        <v>9.2979716000000003</v>
      </c>
    </row>
    <row r="2368" spans="1:7">
      <c r="A2368" s="50" t="s">
        <v>2112</v>
      </c>
      <c r="B2368" s="50" t="s">
        <v>94</v>
      </c>
      <c r="C2368" s="50" t="s">
        <v>242</v>
      </c>
      <c r="D2368" s="51">
        <v>3902</v>
      </c>
      <c r="E2368" s="51">
        <v>68804</v>
      </c>
      <c r="F2368" s="52">
        <v>7173.5</v>
      </c>
      <c r="G2368" s="53">
        <v>10.425993</v>
      </c>
    </row>
    <row r="2369" spans="1:7">
      <c r="A2369" s="50" t="s">
        <v>1198</v>
      </c>
      <c r="B2369" s="50" t="s">
        <v>94</v>
      </c>
      <c r="C2369" s="50" t="s">
        <v>242</v>
      </c>
      <c r="D2369" s="51">
        <v>2008</v>
      </c>
      <c r="E2369" s="51">
        <v>76270</v>
      </c>
      <c r="F2369" s="52">
        <v>5000</v>
      </c>
      <c r="G2369" s="53">
        <v>6.5556574999999997</v>
      </c>
    </row>
    <row r="2370" spans="1:7">
      <c r="A2370" s="50" t="s">
        <v>2113</v>
      </c>
      <c r="B2370" s="50" t="s">
        <v>94</v>
      </c>
      <c r="C2370" s="50" t="s">
        <v>242</v>
      </c>
      <c r="D2370" s="51">
        <v>1467</v>
      </c>
      <c r="E2370" s="51">
        <v>36650</v>
      </c>
      <c r="F2370" s="52">
        <v>4266</v>
      </c>
      <c r="G2370" s="53">
        <v>11.639836000000001</v>
      </c>
    </row>
    <row r="2371" spans="1:7">
      <c r="A2371" s="50" t="s">
        <v>2114</v>
      </c>
      <c r="B2371" s="50" t="s">
        <v>94</v>
      </c>
      <c r="C2371" s="50" t="s">
        <v>242</v>
      </c>
      <c r="D2371" s="51">
        <v>1508</v>
      </c>
      <c r="E2371" s="51">
        <v>31535</v>
      </c>
      <c r="F2371" s="52">
        <v>3390.9</v>
      </c>
      <c r="G2371" s="53">
        <v>10.752814000000001</v>
      </c>
    </row>
    <row r="2372" spans="1:7">
      <c r="A2372" s="50" t="s">
        <v>2115</v>
      </c>
      <c r="B2372" s="50" t="s">
        <v>94</v>
      </c>
      <c r="C2372" s="50" t="s">
        <v>242</v>
      </c>
      <c r="D2372" s="51">
        <v>1556</v>
      </c>
      <c r="E2372" s="51">
        <v>25318</v>
      </c>
      <c r="F2372" s="52">
        <v>3131</v>
      </c>
      <c r="G2372" s="53">
        <v>12.366695999999999</v>
      </c>
    </row>
    <row r="2373" spans="1:7">
      <c r="A2373" s="50" t="s">
        <v>2116</v>
      </c>
      <c r="B2373" s="50" t="s">
        <v>94</v>
      </c>
      <c r="C2373" s="50" t="s">
        <v>242</v>
      </c>
      <c r="D2373" s="51">
        <v>885</v>
      </c>
      <c r="E2373" s="51">
        <v>9019</v>
      </c>
      <c r="F2373" s="52">
        <v>801.3</v>
      </c>
      <c r="G2373" s="53">
        <v>8.8845770000000002</v>
      </c>
    </row>
    <row r="2374" spans="1:7">
      <c r="A2374" s="50" t="s">
        <v>2117</v>
      </c>
      <c r="B2374" s="50" t="s">
        <v>94</v>
      </c>
      <c r="C2374" s="50" t="s">
        <v>242</v>
      </c>
      <c r="D2374" s="51">
        <v>622</v>
      </c>
      <c r="E2374" s="51">
        <v>8450</v>
      </c>
      <c r="F2374" s="52">
        <v>1358.7</v>
      </c>
      <c r="G2374" s="53">
        <v>16.07929</v>
      </c>
    </row>
    <row r="2375" spans="1:7">
      <c r="A2375" s="50" t="s">
        <v>1199</v>
      </c>
      <c r="B2375" s="50" t="s">
        <v>94</v>
      </c>
      <c r="C2375" s="50" t="s">
        <v>240</v>
      </c>
      <c r="D2375" s="51">
        <v>17928</v>
      </c>
      <c r="E2375" s="51">
        <v>296196</v>
      </c>
      <c r="F2375" s="52">
        <v>33240</v>
      </c>
      <c r="G2375" s="53">
        <v>11.222299</v>
      </c>
    </row>
    <row r="2376" spans="1:7">
      <c r="A2376" s="50" t="s">
        <v>2118</v>
      </c>
      <c r="B2376" s="50" t="s">
        <v>94</v>
      </c>
      <c r="C2376" s="50" t="s">
        <v>242</v>
      </c>
      <c r="D2376" s="51">
        <v>396</v>
      </c>
      <c r="E2376" s="51">
        <v>6155</v>
      </c>
      <c r="F2376" s="52">
        <v>418.5</v>
      </c>
      <c r="G2376" s="53">
        <v>6.7993500999999998</v>
      </c>
    </row>
    <row r="2377" spans="1:7">
      <c r="A2377" s="50" t="s">
        <v>1200</v>
      </c>
      <c r="B2377" s="50" t="s">
        <v>94</v>
      </c>
      <c r="C2377" s="50" t="s">
        <v>240</v>
      </c>
      <c r="D2377" s="51">
        <v>22356</v>
      </c>
      <c r="E2377" s="51">
        <v>762653</v>
      </c>
      <c r="F2377" s="52">
        <v>65706.2</v>
      </c>
      <c r="G2377" s="53">
        <v>8.6154778000000007</v>
      </c>
    </row>
    <row r="2378" spans="1:7">
      <c r="A2378" s="50" t="s">
        <v>1201</v>
      </c>
      <c r="B2378" s="50" t="s">
        <v>94</v>
      </c>
      <c r="C2378" s="50" t="s">
        <v>240</v>
      </c>
      <c r="D2378" s="51">
        <v>34419</v>
      </c>
      <c r="E2378" s="51">
        <v>539972</v>
      </c>
      <c r="F2378" s="52">
        <v>60507</v>
      </c>
      <c r="G2378" s="53">
        <v>11.205581</v>
      </c>
    </row>
    <row r="2379" spans="1:7">
      <c r="A2379" s="50" t="s">
        <v>311</v>
      </c>
      <c r="B2379" s="50" t="s">
        <v>94</v>
      </c>
      <c r="C2379" s="50" t="s">
        <v>237</v>
      </c>
      <c r="D2379" s="51">
        <v>4684</v>
      </c>
      <c r="E2379" s="51">
        <v>161890</v>
      </c>
      <c r="F2379" s="52">
        <v>14653.7</v>
      </c>
      <c r="G2379" s="53">
        <v>9.0516400000000008</v>
      </c>
    </row>
    <row r="2380" spans="1:7">
      <c r="A2380" s="50" t="s">
        <v>2119</v>
      </c>
      <c r="B2380" s="50" t="s">
        <v>94</v>
      </c>
      <c r="C2380" s="50" t="s">
        <v>242</v>
      </c>
      <c r="D2380" s="51">
        <v>162</v>
      </c>
      <c r="E2380" s="51">
        <v>2004</v>
      </c>
      <c r="F2380" s="52">
        <v>240</v>
      </c>
      <c r="G2380" s="53">
        <v>11.976048</v>
      </c>
    </row>
    <row r="2381" spans="1:7">
      <c r="A2381" s="50" t="s">
        <v>1202</v>
      </c>
      <c r="B2381" s="50" t="s">
        <v>94</v>
      </c>
      <c r="C2381" s="50" t="s">
        <v>2</v>
      </c>
      <c r="D2381" s="51">
        <v>82</v>
      </c>
      <c r="E2381" s="51">
        <v>2515758</v>
      </c>
      <c r="F2381" s="52">
        <v>113152</v>
      </c>
      <c r="G2381" s="53">
        <v>4.4977299000000004</v>
      </c>
    </row>
    <row r="2382" spans="1:7">
      <c r="A2382" s="50" t="s">
        <v>1203</v>
      </c>
      <c r="B2382" s="50" t="s">
        <v>94</v>
      </c>
      <c r="C2382" s="50" t="s">
        <v>240</v>
      </c>
      <c r="D2382" s="51">
        <v>19612</v>
      </c>
      <c r="E2382" s="51">
        <v>544805</v>
      </c>
      <c r="F2382" s="52">
        <v>50034.3</v>
      </c>
      <c r="G2382" s="53">
        <v>9.1838914999999997</v>
      </c>
    </row>
    <row r="2383" spans="1:7">
      <c r="A2383" s="50" t="s">
        <v>1204</v>
      </c>
      <c r="B2383" s="50" t="s">
        <v>94</v>
      </c>
      <c r="C2383" s="50" t="s">
        <v>240</v>
      </c>
      <c r="D2383" s="51">
        <v>5806</v>
      </c>
      <c r="E2383" s="51">
        <v>413690</v>
      </c>
      <c r="F2383" s="52">
        <v>33098</v>
      </c>
      <c r="G2383" s="53">
        <v>8.0006768000000008</v>
      </c>
    </row>
    <row r="2384" spans="1:7">
      <c r="A2384" s="50" t="s">
        <v>1205</v>
      </c>
      <c r="B2384" s="50" t="s">
        <v>94</v>
      </c>
      <c r="C2384" s="50" t="s">
        <v>240</v>
      </c>
      <c r="D2384" s="51">
        <v>21862</v>
      </c>
      <c r="E2384" s="51">
        <v>364114</v>
      </c>
      <c r="F2384" s="52">
        <v>39384</v>
      </c>
      <c r="G2384" s="53">
        <v>10.816393</v>
      </c>
    </row>
    <row r="2385" spans="1:7">
      <c r="A2385" s="50" t="s">
        <v>1206</v>
      </c>
      <c r="B2385" s="50" t="s">
        <v>94</v>
      </c>
      <c r="C2385" s="50" t="s">
        <v>240</v>
      </c>
      <c r="D2385" s="51">
        <v>24769</v>
      </c>
      <c r="E2385" s="51">
        <v>408971</v>
      </c>
      <c r="F2385" s="52">
        <v>42785</v>
      </c>
      <c r="G2385" s="53">
        <v>10.461622</v>
      </c>
    </row>
    <row r="2386" spans="1:7">
      <c r="A2386" s="50" t="s">
        <v>2120</v>
      </c>
      <c r="B2386" s="50" t="s">
        <v>94</v>
      </c>
      <c r="C2386" s="50" t="s">
        <v>240</v>
      </c>
      <c r="D2386" s="51">
        <v>39369</v>
      </c>
      <c r="E2386" s="51">
        <v>663709</v>
      </c>
      <c r="F2386" s="52">
        <v>76390</v>
      </c>
      <c r="G2386" s="53">
        <v>11.509562000000001</v>
      </c>
    </row>
    <row r="2387" spans="1:7">
      <c r="A2387" s="50" t="s">
        <v>1207</v>
      </c>
      <c r="B2387" s="50" t="s">
        <v>94</v>
      </c>
      <c r="C2387" s="50" t="s">
        <v>240</v>
      </c>
      <c r="D2387" s="51">
        <v>6554</v>
      </c>
      <c r="E2387" s="51">
        <v>149981</v>
      </c>
      <c r="F2387" s="52">
        <v>18982.3</v>
      </c>
      <c r="G2387" s="53">
        <v>12.656470000000001</v>
      </c>
    </row>
    <row r="2388" spans="1:7">
      <c r="A2388" s="50" t="s">
        <v>1208</v>
      </c>
      <c r="B2388" s="50" t="s">
        <v>94</v>
      </c>
      <c r="C2388" s="50" t="s">
        <v>240</v>
      </c>
      <c r="D2388" s="51">
        <v>11842</v>
      </c>
      <c r="E2388" s="51">
        <v>318650</v>
      </c>
      <c r="F2388" s="52">
        <v>33141</v>
      </c>
      <c r="G2388" s="53">
        <v>10.400439</v>
      </c>
    </row>
    <row r="2389" spans="1:7">
      <c r="A2389" s="50" t="s">
        <v>2121</v>
      </c>
      <c r="B2389" s="50" t="s">
        <v>94</v>
      </c>
      <c r="C2389" s="50" t="s">
        <v>242</v>
      </c>
      <c r="D2389" s="51">
        <v>636</v>
      </c>
      <c r="E2389" s="51">
        <v>29496</v>
      </c>
      <c r="F2389" s="52">
        <v>1908</v>
      </c>
      <c r="G2389" s="53">
        <v>6.4686737000000001</v>
      </c>
    </row>
    <row r="2390" spans="1:7">
      <c r="A2390" s="50" t="s">
        <v>1209</v>
      </c>
      <c r="B2390" s="50" t="s">
        <v>94</v>
      </c>
      <c r="C2390" s="50" t="s">
        <v>240</v>
      </c>
      <c r="D2390" s="51">
        <v>57100</v>
      </c>
      <c r="E2390" s="51">
        <v>1245430</v>
      </c>
      <c r="F2390" s="52">
        <v>130290</v>
      </c>
      <c r="G2390" s="53">
        <v>10.461447</v>
      </c>
    </row>
    <row r="2391" spans="1:7">
      <c r="A2391" s="50" t="s">
        <v>314</v>
      </c>
      <c r="B2391" s="50" t="s">
        <v>94</v>
      </c>
      <c r="C2391" s="50" t="s">
        <v>237</v>
      </c>
      <c r="D2391" s="51">
        <v>786529</v>
      </c>
      <c r="E2391" s="51">
        <v>25797421</v>
      </c>
      <c r="F2391" s="52">
        <v>1846249</v>
      </c>
      <c r="G2391" s="53">
        <v>7.1567192999999998</v>
      </c>
    </row>
    <row r="2392" spans="1:7">
      <c r="A2392" s="50" t="s">
        <v>316</v>
      </c>
      <c r="B2392" s="50" t="s">
        <v>94</v>
      </c>
      <c r="C2392" s="50" t="s">
        <v>240</v>
      </c>
      <c r="D2392" s="51">
        <v>12068</v>
      </c>
      <c r="E2392" s="51">
        <v>201336</v>
      </c>
      <c r="F2392" s="52">
        <v>22827</v>
      </c>
      <c r="G2392" s="53">
        <v>11.337764</v>
      </c>
    </row>
    <row r="2393" spans="1:7">
      <c r="A2393" s="50" t="s">
        <v>1210</v>
      </c>
      <c r="B2393" s="50" t="s">
        <v>94</v>
      </c>
      <c r="C2393" s="50" t="s">
        <v>240</v>
      </c>
      <c r="D2393" s="51">
        <v>21876</v>
      </c>
      <c r="E2393" s="51">
        <v>793284</v>
      </c>
      <c r="F2393" s="52">
        <v>69460</v>
      </c>
      <c r="G2393" s="53">
        <v>8.7560067000000004</v>
      </c>
    </row>
    <row r="2394" spans="1:7">
      <c r="A2394" s="50" t="s">
        <v>1211</v>
      </c>
      <c r="B2394" s="50" t="s">
        <v>94</v>
      </c>
      <c r="C2394" s="50" t="s">
        <v>242</v>
      </c>
      <c r="D2394" s="51">
        <v>1267</v>
      </c>
      <c r="E2394" s="51">
        <v>19614</v>
      </c>
      <c r="F2394" s="52">
        <v>2197.3000000000002</v>
      </c>
      <c r="G2394" s="53">
        <v>11.202712</v>
      </c>
    </row>
    <row r="2395" spans="1:7">
      <c r="A2395" s="50" t="s">
        <v>1212</v>
      </c>
      <c r="B2395" s="50" t="s">
        <v>94</v>
      </c>
      <c r="C2395" s="50" t="s">
        <v>237</v>
      </c>
      <c r="D2395" s="51">
        <v>557421</v>
      </c>
      <c r="E2395" s="51">
        <v>18555555</v>
      </c>
      <c r="F2395" s="52">
        <v>1385630.3</v>
      </c>
      <c r="G2395" s="53">
        <v>7.4674689000000001</v>
      </c>
    </row>
    <row r="2396" spans="1:7">
      <c r="A2396" s="50" t="s">
        <v>1213</v>
      </c>
      <c r="B2396" s="50" t="s">
        <v>94</v>
      </c>
      <c r="C2396" s="50" t="s">
        <v>240</v>
      </c>
      <c r="D2396" s="51">
        <v>16263</v>
      </c>
      <c r="E2396" s="51">
        <v>430618</v>
      </c>
      <c r="F2396" s="52">
        <v>36882</v>
      </c>
      <c r="G2396" s="53">
        <v>8.5648996999999998</v>
      </c>
    </row>
    <row r="2397" spans="1:7">
      <c r="A2397" s="50" t="s">
        <v>319</v>
      </c>
      <c r="B2397" s="50" t="s">
        <v>94</v>
      </c>
      <c r="C2397" s="50" t="s">
        <v>240</v>
      </c>
      <c r="D2397" s="51">
        <v>511</v>
      </c>
      <c r="E2397" s="51">
        <v>6144</v>
      </c>
      <c r="F2397" s="52">
        <v>507</v>
      </c>
      <c r="G2397" s="53">
        <v>8.2519530999999997</v>
      </c>
    </row>
    <row r="2398" spans="1:7">
      <c r="A2398" s="50" t="s">
        <v>1214</v>
      </c>
      <c r="B2398" s="50" t="s">
        <v>94</v>
      </c>
      <c r="C2398" s="50" t="s">
        <v>240</v>
      </c>
      <c r="D2398" s="51">
        <v>11796</v>
      </c>
      <c r="E2398" s="51">
        <v>405523</v>
      </c>
      <c r="F2398" s="52">
        <v>37283.699999999997</v>
      </c>
      <c r="G2398" s="53">
        <v>9.1939791</v>
      </c>
    </row>
    <row r="2399" spans="1:7">
      <c r="A2399" s="50" t="s">
        <v>1215</v>
      </c>
      <c r="B2399" s="50" t="s">
        <v>94</v>
      </c>
      <c r="C2399" s="50" t="s">
        <v>240</v>
      </c>
      <c r="D2399" s="51">
        <v>15058</v>
      </c>
      <c r="E2399" s="51">
        <v>403916</v>
      </c>
      <c r="F2399" s="52">
        <v>34264</v>
      </c>
      <c r="G2399" s="53">
        <v>8.4829518999999998</v>
      </c>
    </row>
    <row r="2400" spans="1:7">
      <c r="A2400" s="50" t="s">
        <v>321</v>
      </c>
      <c r="B2400" s="50" t="s">
        <v>94</v>
      </c>
      <c r="C2400" s="50" t="s">
        <v>240</v>
      </c>
      <c r="D2400" s="51">
        <v>225</v>
      </c>
      <c r="E2400" s="51">
        <v>2923</v>
      </c>
      <c r="F2400" s="52">
        <v>293.89999999999998</v>
      </c>
      <c r="G2400" s="53">
        <v>10.054738</v>
      </c>
    </row>
    <row r="2401" spans="1:7">
      <c r="A2401" s="50" t="s">
        <v>1216</v>
      </c>
      <c r="B2401" s="50" t="s">
        <v>94</v>
      </c>
      <c r="C2401" s="50" t="s">
        <v>240</v>
      </c>
      <c r="D2401" s="51">
        <v>4388</v>
      </c>
      <c r="E2401" s="51">
        <v>79119</v>
      </c>
      <c r="F2401" s="52">
        <v>9786.9</v>
      </c>
      <c r="G2401" s="53">
        <v>12.369847999999999</v>
      </c>
    </row>
    <row r="2402" spans="1:7">
      <c r="A2402" s="50" t="s">
        <v>416</v>
      </c>
      <c r="B2402" s="50" t="s">
        <v>94</v>
      </c>
      <c r="C2402" s="50" t="s">
        <v>240</v>
      </c>
      <c r="D2402" s="51">
        <v>18</v>
      </c>
      <c r="E2402" s="51">
        <v>943</v>
      </c>
      <c r="F2402" s="52">
        <v>132</v>
      </c>
      <c r="G2402" s="53">
        <v>13.997878999999999</v>
      </c>
    </row>
    <row r="2403" spans="1:7">
      <c r="A2403" s="50" t="s">
        <v>1217</v>
      </c>
      <c r="B2403" s="50" t="s">
        <v>94</v>
      </c>
      <c r="C2403" s="50" t="s">
        <v>242</v>
      </c>
      <c r="D2403" s="51">
        <v>21435</v>
      </c>
      <c r="E2403" s="51">
        <v>449744</v>
      </c>
      <c r="F2403" s="52">
        <v>45979</v>
      </c>
      <c r="G2403" s="53">
        <v>10.223371999999999</v>
      </c>
    </row>
    <row r="2404" spans="1:7">
      <c r="A2404" s="50" t="s">
        <v>1218</v>
      </c>
      <c r="B2404" s="50" t="s">
        <v>94</v>
      </c>
      <c r="C2404" s="50" t="s">
        <v>242</v>
      </c>
      <c r="D2404" s="51">
        <v>11307</v>
      </c>
      <c r="E2404" s="51">
        <v>184284</v>
      </c>
      <c r="F2404" s="52">
        <v>14909</v>
      </c>
      <c r="G2404" s="53">
        <v>8.0902303</v>
      </c>
    </row>
    <row r="2405" spans="1:7">
      <c r="A2405" s="50" t="s">
        <v>2122</v>
      </c>
      <c r="B2405" s="50" t="s">
        <v>94</v>
      </c>
      <c r="C2405" s="50" t="s">
        <v>242</v>
      </c>
      <c r="D2405" s="51">
        <v>2277</v>
      </c>
      <c r="E2405" s="51">
        <v>32074</v>
      </c>
      <c r="F2405" s="52">
        <v>3587</v>
      </c>
      <c r="G2405" s="53">
        <v>11.183513</v>
      </c>
    </row>
    <row r="2406" spans="1:7">
      <c r="A2406" s="50" t="s">
        <v>2123</v>
      </c>
      <c r="B2406" s="50" t="s">
        <v>94</v>
      </c>
      <c r="C2406" s="50" t="s">
        <v>242</v>
      </c>
      <c r="D2406" s="51">
        <v>164</v>
      </c>
      <c r="E2406" s="51">
        <v>1303</v>
      </c>
      <c r="F2406" s="52">
        <v>196.5</v>
      </c>
      <c r="G2406" s="53">
        <v>15.080583000000001</v>
      </c>
    </row>
    <row r="2407" spans="1:7">
      <c r="A2407" s="50" t="s">
        <v>2124</v>
      </c>
      <c r="B2407" s="50" t="s">
        <v>94</v>
      </c>
      <c r="C2407" s="50" t="s">
        <v>242</v>
      </c>
      <c r="D2407" s="51">
        <v>190</v>
      </c>
      <c r="E2407" s="51">
        <v>2054</v>
      </c>
      <c r="F2407" s="52">
        <v>281.7</v>
      </c>
      <c r="G2407" s="53">
        <v>13.714703</v>
      </c>
    </row>
    <row r="2408" spans="1:7">
      <c r="A2408" s="50" t="s">
        <v>2125</v>
      </c>
      <c r="B2408" s="50" t="s">
        <v>94</v>
      </c>
      <c r="C2408" s="50" t="s">
        <v>242</v>
      </c>
      <c r="D2408" s="51">
        <v>632</v>
      </c>
      <c r="E2408" s="51">
        <v>10598</v>
      </c>
      <c r="F2408" s="52">
        <v>1250</v>
      </c>
      <c r="G2408" s="53">
        <v>11.794677999999999</v>
      </c>
    </row>
    <row r="2409" spans="1:7">
      <c r="A2409" s="50" t="s">
        <v>2126</v>
      </c>
      <c r="B2409" s="50" t="s">
        <v>94</v>
      </c>
      <c r="C2409" s="50" t="s">
        <v>242</v>
      </c>
      <c r="D2409" s="51">
        <v>1153</v>
      </c>
      <c r="E2409" s="51">
        <v>38660</v>
      </c>
      <c r="F2409" s="52">
        <v>3183</v>
      </c>
      <c r="G2409" s="53">
        <v>8.2333160999999997</v>
      </c>
    </row>
    <row r="2410" spans="1:7">
      <c r="A2410" s="50" t="s">
        <v>2127</v>
      </c>
      <c r="B2410" s="50" t="s">
        <v>94</v>
      </c>
      <c r="C2410" s="50" t="s">
        <v>242</v>
      </c>
      <c r="D2410" s="51">
        <v>398</v>
      </c>
      <c r="E2410" s="51">
        <v>4406</v>
      </c>
      <c r="F2410" s="52">
        <v>569</v>
      </c>
      <c r="G2410" s="53">
        <v>12.914208</v>
      </c>
    </row>
    <row r="2411" spans="1:7">
      <c r="A2411" s="50" t="s">
        <v>2128</v>
      </c>
      <c r="B2411" s="50" t="s">
        <v>94</v>
      </c>
      <c r="C2411" s="50" t="s">
        <v>242</v>
      </c>
      <c r="D2411" s="51">
        <v>479</v>
      </c>
      <c r="E2411" s="51">
        <v>7928</v>
      </c>
      <c r="F2411" s="52">
        <v>812.7</v>
      </c>
      <c r="G2411" s="53">
        <v>10.251009</v>
      </c>
    </row>
    <row r="2412" spans="1:7">
      <c r="A2412" s="50" t="s">
        <v>2129</v>
      </c>
      <c r="B2412" s="50" t="s">
        <v>94</v>
      </c>
      <c r="C2412" s="50" t="s">
        <v>242</v>
      </c>
      <c r="D2412" s="51">
        <v>1063</v>
      </c>
      <c r="E2412" s="51">
        <v>18459</v>
      </c>
      <c r="F2412" s="52">
        <v>1834</v>
      </c>
      <c r="G2412" s="53">
        <v>9.9355328000000007</v>
      </c>
    </row>
    <row r="2413" spans="1:7">
      <c r="A2413" s="50" t="s">
        <v>1825</v>
      </c>
      <c r="B2413" s="50" t="s">
        <v>94</v>
      </c>
      <c r="C2413" s="50" t="s">
        <v>240</v>
      </c>
      <c r="D2413" s="51">
        <v>20727</v>
      </c>
      <c r="E2413" s="51">
        <v>799712</v>
      </c>
      <c r="F2413" s="52">
        <v>76058.600000000006</v>
      </c>
      <c r="G2413" s="53">
        <v>9.5107488999999994</v>
      </c>
    </row>
    <row r="2414" spans="1:7">
      <c r="A2414" s="50" t="s">
        <v>1219</v>
      </c>
      <c r="B2414" s="50" t="s">
        <v>94</v>
      </c>
      <c r="C2414" s="50" t="s">
        <v>240</v>
      </c>
      <c r="D2414" s="51">
        <v>37231</v>
      </c>
      <c r="E2414" s="51">
        <v>673687</v>
      </c>
      <c r="F2414" s="52">
        <v>71248</v>
      </c>
      <c r="G2414" s="53">
        <v>10.575831000000001</v>
      </c>
    </row>
    <row r="2415" spans="1:7">
      <c r="A2415" s="50" t="s">
        <v>1220</v>
      </c>
      <c r="B2415" s="50" t="s">
        <v>94</v>
      </c>
      <c r="C2415" s="50" t="s">
        <v>242</v>
      </c>
      <c r="D2415" s="51">
        <v>3822</v>
      </c>
      <c r="E2415" s="51">
        <v>73302</v>
      </c>
      <c r="F2415" s="52">
        <v>7357</v>
      </c>
      <c r="G2415" s="53">
        <v>10.036561000000001</v>
      </c>
    </row>
    <row r="2416" spans="1:7">
      <c r="A2416" s="50" t="s">
        <v>2130</v>
      </c>
      <c r="B2416" s="50" t="s">
        <v>94</v>
      </c>
      <c r="C2416" s="50" t="s">
        <v>242</v>
      </c>
      <c r="D2416" s="51">
        <v>1204</v>
      </c>
      <c r="E2416" s="51">
        <v>17510</v>
      </c>
      <c r="F2416" s="52">
        <v>1929.1</v>
      </c>
      <c r="G2416" s="53">
        <v>11.017132999999999</v>
      </c>
    </row>
    <row r="2417" spans="1:7">
      <c r="A2417" s="50" t="s">
        <v>1221</v>
      </c>
      <c r="B2417" s="50" t="s">
        <v>96</v>
      </c>
      <c r="C2417" s="50" t="s">
        <v>240</v>
      </c>
      <c r="D2417" s="51">
        <v>3631</v>
      </c>
      <c r="E2417" s="51">
        <v>171292</v>
      </c>
      <c r="F2417" s="52">
        <v>14177</v>
      </c>
      <c r="G2417" s="53">
        <v>8.2765103</v>
      </c>
    </row>
    <row r="2418" spans="1:7">
      <c r="A2418" s="50" t="s">
        <v>1222</v>
      </c>
      <c r="B2418" s="50" t="s">
        <v>96</v>
      </c>
      <c r="C2418" s="50" t="s">
        <v>295</v>
      </c>
      <c r="D2418" s="51">
        <v>1</v>
      </c>
      <c r="E2418" s="51">
        <v>5867</v>
      </c>
      <c r="F2418" s="52">
        <v>239</v>
      </c>
      <c r="G2418" s="53">
        <v>4.0736321999999996</v>
      </c>
    </row>
    <row r="2419" spans="1:7">
      <c r="A2419" s="50" t="s">
        <v>1223</v>
      </c>
      <c r="B2419" s="50" t="s">
        <v>96</v>
      </c>
      <c r="C2419" s="50" t="s">
        <v>242</v>
      </c>
      <c r="D2419" s="51">
        <v>7597</v>
      </c>
      <c r="E2419" s="51">
        <v>190580</v>
      </c>
      <c r="F2419" s="52">
        <v>12989.2</v>
      </c>
      <c r="G2419" s="53">
        <v>6.8156154999999998</v>
      </c>
    </row>
    <row r="2420" spans="1:7">
      <c r="A2420" s="50" t="s">
        <v>1224</v>
      </c>
      <c r="B2420" s="50" t="s">
        <v>96</v>
      </c>
      <c r="C2420" s="50" t="s">
        <v>240</v>
      </c>
      <c r="D2420" s="51">
        <v>35083</v>
      </c>
      <c r="E2420" s="51">
        <v>747529</v>
      </c>
      <c r="F2420" s="52">
        <v>61208</v>
      </c>
      <c r="G2420" s="53">
        <v>8.1880434999999991</v>
      </c>
    </row>
    <row r="2421" spans="1:7">
      <c r="A2421" s="50" t="s">
        <v>1225</v>
      </c>
      <c r="B2421" s="50" t="s">
        <v>96</v>
      </c>
      <c r="C2421" s="50" t="s">
        <v>325</v>
      </c>
      <c r="D2421" s="51">
        <v>39901</v>
      </c>
      <c r="E2421" s="51">
        <v>1267467</v>
      </c>
      <c r="F2421" s="52">
        <v>90634</v>
      </c>
      <c r="G2421" s="53">
        <v>7.1507975999999998</v>
      </c>
    </row>
    <row r="2422" spans="1:7">
      <c r="A2422" s="50" t="s">
        <v>1226</v>
      </c>
      <c r="B2422" s="50" t="s">
        <v>96</v>
      </c>
      <c r="C2422" s="50" t="s">
        <v>242</v>
      </c>
      <c r="D2422" s="51">
        <v>12268</v>
      </c>
      <c r="E2422" s="51">
        <v>176394</v>
      </c>
      <c r="F2422" s="52">
        <v>16233</v>
      </c>
      <c r="G2422" s="53">
        <v>9.2026939999999993</v>
      </c>
    </row>
    <row r="2423" spans="1:7">
      <c r="A2423" s="50" t="s">
        <v>1227</v>
      </c>
      <c r="B2423" s="50" t="s">
        <v>96</v>
      </c>
      <c r="C2423" s="50" t="s">
        <v>242</v>
      </c>
      <c r="D2423" s="51">
        <v>4156</v>
      </c>
      <c r="E2423" s="51">
        <v>65194</v>
      </c>
      <c r="F2423" s="52">
        <v>5777.7</v>
      </c>
      <c r="G2423" s="53">
        <v>8.8623186</v>
      </c>
    </row>
    <row r="2424" spans="1:7">
      <c r="A2424" s="50" t="s">
        <v>2131</v>
      </c>
      <c r="B2424" s="50" t="s">
        <v>96</v>
      </c>
      <c r="C2424" s="50" t="s">
        <v>242</v>
      </c>
      <c r="D2424" s="51">
        <v>928</v>
      </c>
      <c r="E2424" s="51">
        <v>25985</v>
      </c>
      <c r="F2424" s="52">
        <v>2093.4</v>
      </c>
      <c r="G2424" s="53">
        <v>8.0561863000000002</v>
      </c>
    </row>
    <row r="2425" spans="1:7">
      <c r="A2425" s="50" t="s">
        <v>2132</v>
      </c>
      <c r="B2425" s="50" t="s">
        <v>96</v>
      </c>
      <c r="C2425" s="50" t="s">
        <v>242</v>
      </c>
      <c r="D2425" s="51">
        <v>757</v>
      </c>
      <c r="E2425" s="51">
        <v>15711</v>
      </c>
      <c r="F2425" s="52">
        <v>1454.3</v>
      </c>
      <c r="G2425" s="53">
        <v>9.2565717999999997</v>
      </c>
    </row>
    <row r="2426" spans="1:7">
      <c r="A2426" s="50" t="s">
        <v>1228</v>
      </c>
      <c r="B2426" s="50" t="s">
        <v>96</v>
      </c>
      <c r="C2426" s="50" t="s">
        <v>242</v>
      </c>
      <c r="D2426" s="51">
        <v>94751</v>
      </c>
      <c r="E2426" s="51">
        <v>2367667</v>
      </c>
      <c r="F2426" s="52">
        <v>213722</v>
      </c>
      <c r="G2426" s="53">
        <v>9.0266917000000007</v>
      </c>
    </row>
    <row r="2427" spans="1:7">
      <c r="A2427" s="50" t="s">
        <v>1229</v>
      </c>
      <c r="B2427" s="50" t="s">
        <v>96</v>
      </c>
      <c r="C2427" s="50" t="s">
        <v>242</v>
      </c>
      <c r="D2427" s="51">
        <v>10364</v>
      </c>
      <c r="E2427" s="51">
        <v>256312</v>
      </c>
      <c r="F2427" s="52">
        <v>19528</v>
      </c>
      <c r="G2427" s="53">
        <v>7.6188395</v>
      </c>
    </row>
    <row r="2428" spans="1:7">
      <c r="A2428" s="50" t="s">
        <v>1230</v>
      </c>
      <c r="B2428" s="50" t="s">
        <v>96</v>
      </c>
      <c r="C2428" s="50" t="s">
        <v>242</v>
      </c>
      <c r="D2428" s="51">
        <v>5429</v>
      </c>
      <c r="E2428" s="51">
        <v>107416</v>
      </c>
      <c r="F2428" s="52">
        <v>8582.6</v>
      </c>
      <c r="G2428" s="53">
        <v>7.9900573000000001</v>
      </c>
    </row>
    <row r="2429" spans="1:7">
      <c r="A2429" s="50" t="s">
        <v>1231</v>
      </c>
      <c r="B2429" s="50" t="s">
        <v>96</v>
      </c>
      <c r="C2429" s="50" t="s">
        <v>242</v>
      </c>
      <c r="D2429" s="51">
        <v>17055</v>
      </c>
      <c r="E2429" s="51">
        <v>710807</v>
      </c>
      <c r="F2429" s="52">
        <v>41300</v>
      </c>
      <c r="G2429" s="53">
        <v>5.8102973000000002</v>
      </c>
    </row>
    <row r="2430" spans="1:7">
      <c r="A2430" s="50" t="s">
        <v>1232</v>
      </c>
      <c r="B2430" s="50" t="s">
        <v>96</v>
      </c>
      <c r="C2430" s="50" t="s">
        <v>242</v>
      </c>
      <c r="D2430" s="51">
        <v>4368</v>
      </c>
      <c r="E2430" s="51">
        <v>105878</v>
      </c>
      <c r="F2430" s="52">
        <v>7587</v>
      </c>
      <c r="G2430" s="53">
        <v>7.1657945999999999</v>
      </c>
    </row>
    <row r="2431" spans="1:7">
      <c r="A2431" s="50" t="s">
        <v>1233</v>
      </c>
      <c r="B2431" s="50" t="s">
        <v>96</v>
      </c>
      <c r="C2431" s="50" t="s">
        <v>242</v>
      </c>
      <c r="D2431" s="51">
        <v>4657</v>
      </c>
      <c r="E2431" s="51">
        <v>73263</v>
      </c>
      <c r="F2431" s="52">
        <v>5959.7</v>
      </c>
      <c r="G2431" s="53">
        <v>8.1346655000000005</v>
      </c>
    </row>
    <row r="2432" spans="1:7">
      <c r="A2432" s="50" t="s">
        <v>1234</v>
      </c>
      <c r="B2432" s="50" t="s">
        <v>96</v>
      </c>
      <c r="C2432" s="50" t="s">
        <v>242</v>
      </c>
      <c r="D2432" s="51">
        <v>32379</v>
      </c>
      <c r="E2432" s="51">
        <v>767979</v>
      </c>
      <c r="F2432" s="52">
        <v>50460.1</v>
      </c>
      <c r="G2432" s="53">
        <v>6.5705052000000004</v>
      </c>
    </row>
    <row r="2433" spans="1:7">
      <c r="A2433" s="50" t="s">
        <v>1235</v>
      </c>
      <c r="B2433" s="50" t="s">
        <v>96</v>
      </c>
      <c r="C2433" s="50" t="s">
        <v>325</v>
      </c>
      <c r="D2433" s="51">
        <v>4224</v>
      </c>
      <c r="E2433" s="51">
        <v>988974</v>
      </c>
      <c r="F2433" s="52">
        <v>55664.5</v>
      </c>
      <c r="G2433" s="53">
        <v>5.6285100000000003</v>
      </c>
    </row>
    <row r="2434" spans="1:7">
      <c r="A2434" s="50" t="s">
        <v>552</v>
      </c>
      <c r="B2434" s="50" t="s">
        <v>96</v>
      </c>
      <c r="C2434" s="50" t="s">
        <v>240</v>
      </c>
      <c r="D2434" s="51">
        <v>177</v>
      </c>
      <c r="E2434" s="51">
        <v>1913</v>
      </c>
      <c r="F2434" s="52">
        <v>236.4</v>
      </c>
      <c r="G2434" s="53">
        <v>12.357554</v>
      </c>
    </row>
    <row r="2435" spans="1:7">
      <c r="A2435" s="50" t="s">
        <v>1236</v>
      </c>
      <c r="B2435" s="50" t="s">
        <v>96</v>
      </c>
      <c r="C2435" s="50" t="s">
        <v>240</v>
      </c>
      <c r="D2435" s="51">
        <v>3892</v>
      </c>
      <c r="E2435" s="51">
        <v>110038</v>
      </c>
      <c r="F2435" s="52">
        <v>9203.6</v>
      </c>
      <c r="G2435" s="53">
        <v>8.3640197000000001</v>
      </c>
    </row>
    <row r="2436" spans="1:7">
      <c r="A2436" s="50" t="s">
        <v>1237</v>
      </c>
      <c r="B2436" s="50" t="s">
        <v>96</v>
      </c>
      <c r="C2436" s="50" t="s">
        <v>240</v>
      </c>
      <c r="D2436" s="51">
        <v>1926</v>
      </c>
      <c r="E2436" s="51">
        <v>23422</v>
      </c>
      <c r="F2436" s="52">
        <v>2505</v>
      </c>
      <c r="G2436" s="53">
        <v>10.695073000000001</v>
      </c>
    </row>
    <row r="2437" spans="1:7">
      <c r="A2437" s="50" t="s">
        <v>1238</v>
      </c>
      <c r="B2437" s="50" t="s">
        <v>96</v>
      </c>
      <c r="C2437" s="50" t="s">
        <v>325</v>
      </c>
      <c r="D2437" s="51">
        <v>19590</v>
      </c>
      <c r="E2437" s="51">
        <v>482347</v>
      </c>
      <c r="F2437" s="52">
        <v>34348.400000000001</v>
      </c>
      <c r="G2437" s="53">
        <v>7.1210975000000003</v>
      </c>
    </row>
    <row r="2438" spans="1:7">
      <c r="A2438" s="50" t="s">
        <v>1239</v>
      </c>
      <c r="B2438" s="50" t="s">
        <v>96</v>
      </c>
      <c r="C2438" s="50" t="s">
        <v>240</v>
      </c>
      <c r="D2438" s="51">
        <v>143</v>
      </c>
      <c r="E2438" s="51">
        <v>5415</v>
      </c>
      <c r="F2438" s="52">
        <v>549.29999999999995</v>
      </c>
      <c r="G2438" s="53">
        <v>10.144043999999999</v>
      </c>
    </row>
    <row r="2439" spans="1:7">
      <c r="A2439" s="50" t="s">
        <v>1240</v>
      </c>
      <c r="B2439" s="50" t="s">
        <v>96</v>
      </c>
      <c r="C2439" s="50" t="s">
        <v>240</v>
      </c>
      <c r="D2439" s="51">
        <v>22744</v>
      </c>
      <c r="E2439" s="51">
        <v>407310</v>
      </c>
      <c r="F2439" s="52">
        <v>39792.1</v>
      </c>
      <c r="G2439" s="53">
        <v>9.7694875999999997</v>
      </c>
    </row>
    <row r="2440" spans="1:7">
      <c r="A2440" s="50" t="s">
        <v>1241</v>
      </c>
      <c r="B2440" s="50" t="s">
        <v>96</v>
      </c>
      <c r="C2440" s="50" t="s">
        <v>240</v>
      </c>
      <c r="D2440" s="51">
        <v>17987</v>
      </c>
      <c r="E2440" s="51">
        <v>331562</v>
      </c>
      <c r="F2440" s="52">
        <v>37362.800000000003</v>
      </c>
      <c r="G2440" s="53">
        <v>11.268722</v>
      </c>
    </row>
    <row r="2441" spans="1:7">
      <c r="A2441" s="50" t="s">
        <v>1242</v>
      </c>
      <c r="B2441" s="50" t="s">
        <v>96</v>
      </c>
      <c r="C2441" s="50" t="s">
        <v>240</v>
      </c>
      <c r="D2441" s="51">
        <v>10217</v>
      </c>
      <c r="E2441" s="51">
        <v>147123</v>
      </c>
      <c r="F2441" s="52">
        <v>15843</v>
      </c>
      <c r="G2441" s="53">
        <v>10.768541000000001</v>
      </c>
    </row>
    <row r="2442" spans="1:7">
      <c r="A2442" s="50" t="s">
        <v>1243</v>
      </c>
      <c r="B2442" s="50" t="s">
        <v>96</v>
      </c>
      <c r="C2442" s="50" t="s">
        <v>325</v>
      </c>
      <c r="D2442" s="51">
        <v>21731</v>
      </c>
      <c r="E2442" s="51">
        <v>620376</v>
      </c>
      <c r="F2442" s="52">
        <v>53166.400000000001</v>
      </c>
      <c r="G2442" s="53">
        <v>8.5700284999999994</v>
      </c>
    </row>
    <row r="2443" spans="1:7">
      <c r="A2443" s="50" t="s">
        <v>1099</v>
      </c>
      <c r="B2443" s="50" t="s">
        <v>96</v>
      </c>
      <c r="C2443" s="50" t="s">
        <v>240</v>
      </c>
      <c r="D2443" s="51">
        <v>2400</v>
      </c>
      <c r="E2443" s="51">
        <v>90323</v>
      </c>
      <c r="F2443" s="52">
        <v>6136.2</v>
      </c>
      <c r="G2443" s="53">
        <v>6.7936185</v>
      </c>
    </row>
    <row r="2444" spans="1:7">
      <c r="A2444" s="50" t="s">
        <v>1244</v>
      </c>
      <c r="B2444" s="50" t="s">
        <v>96</v>
      </c>
      <c r="C2444" s="50" t="s">
        <v>240</v>
      </c>
      <c r="D2444" s="51">
        <v>3896</v>
      </c>
      <c r="E2444" s="51">
        <v>124116</v>
      </c>
      <c r="F2444" s="52">
        <v>9084</v>
      </c>
      <c r="G2444" s="53">
        <v>7.3189596999999997</v>
      </c>
    </row>
    <row r="2445" spans="1:7">
      <c r="A2445" s="50" t="s">
        <v>554</v>
      </c>
      <c r="B2445" s="50" t="s">
        <v>96</v>
      </c>
      <c r="C2445" s="50" t="s">
        <v>237</v>
      </c>
      <c r="D2445" s="51">
        <v>19259</v>
      </c>
      <c r="E2445" s="51">
        <v>664771</v>
      </c>
      <c r="F2445" s="52">
        <v>51990.8</v>
      </c>
      <c r="G2445" s="53">
        <v>7.8208586000000002</v>
      </c>
    </row>
    <row r="2446" spans="1:7">
      <c r="A2446" s="50" t="s">
        <v>1245</v>
      </c>
      <c r="B2446" s="50" t="s">
        <v>96</v>
      </c>
      <c r="C2446" s="50" t="s">
        <v>240</v>
      </c>
      <c r="D2446" s="51">
        <v>13019</v>
      </c>
      <c r="E2446" s="51">
        <v>238975</v>
      </c>
      <c r="F2446" s="52">
        <v>26481.599999999999</v>
      </c>
      <c r="G2446" s="53">
        <v>11.081326000000001</v>
      </c>
    </row>
    <row r="2447" spans="1:7">
      <c r="A2447" s="50" t="s">
        <v>339</v>
      </c>
      <c r="B2447" s="50" t="s">
        <v>96</v>
      </c>
      <c r="C2447" s="50" t="s">
        <v>332</v>
      </c>
      <c r="D2447" s="51">
        <v>24</v>
      </c>
      <c r="E2447" s="51">
        <v>1271</v>
      </c>
      <c r="F2447" s="52">
        <v>93.3</v>
      </c>
      <c r="G2447" s="53">
        <v>7.3406766000000001</v>
      </c>
    </row>
    <row r="2448" spans="1:7">
      <c r="A2448" s="50" t="s">
        <v>1246</v>
      </c>
      <c r="B2448" s="50" t="s">
        <v>96</v>
      </c>
      <c r="C2448" s="50" t="s">
        <v>240</v>
      </c>
      <c r="D2448" s="51">
        <v>19661</v>
      </c>
      <c r="E2448" s="51">
        <v>412330</v>
      </c>
      <c r="F2448" s="52">
        <v>34989</v>
      </c>
      <c r="G2448" s="53">
        <v>8.4856788999999999</v>
      </c>
    </row>
    <row r="2449" spans="1:7">
      <c r="A2449" s="50" t="s">
        <v>1247</v>
      </c>
      <c r="B2449" s="50" t="s">
        <v>96</v>
      </c>
      <c r="C2449" s="50" t="s">
        <v>325</v>
      </c>
      <c r="D2449" s="51">
        <v>10163</v>
      </c>
      <c r="E2449" s="51">
        <v>912257</v>
      </c>
      <c r="F2449" s="52">
        <v>49172.3</v>
      </c>
      <c r="G2449" s="53">
        <v>5.3901805999999999</v>
      </c>
    </row>
    <row r="2450" spans="1:7">
      <c r="A2450" s="50" t="s">
        <v>1248</v>
      </c>
      <c r="B2450" s="50" t="s">
        <v>96</v>
      </c>
      <c r="C2450" s="50" t="s">
        <v>240</v>
      </c>
      <c r="D2450" s="51">
        <v>31282</v>
      </c>
      <c r="E2450" s="51">
        <v>648291</v>
      </c>
      <c r="F2450" s="52">
        <v>55182.5</v>
      </c>
      <c r="G2450" s="53">
        <v>8.5119954</v>
      </c>
    </row>
    <row r="2451" spans="1:7">
      <c r="A2451" s="50" t="s">
        <v>382</v>
      </c>
      <c r="B2451" s="50" t="s">
        <v>96</v>
      </c>
      <c r="C2451" s="50" t="s">
        <v>237</v>
      </c>
      <c r="D2451" s="51">
        <v>595834</v>
      </c>
      <c r="E2451" s="51">
        <v>13088664</v>
      </c>
      <c r="F2451" s="52">
        <v>1252049.2</v>
      </c>
      <c r="G2451" s="53">
        <v>9.5659053000000007</v>
      </c>
    </row>
    <row r="2452" spans="1:7">
      <c r="A2452" s="50" t="s">
        <v>1249</v>
      </c>
      <c r="B2452" s="50" t="s">
        <v>96</v>
      </c>
      <c r="C2452" s="50" t="s">
        <v>237</v>
      </c>
      <c r="D2452" s="51">
        <v>889388</v>
      </c>
      <c r="E2452" s="51">
        <v>17304691</v>
      </c>
      <c r="F2452" s="52">
        <v>1745751.5</v>
      </c>
      <c r="G2452" s="53">
        <v>10.088314</v>
      </c>
    </row>
    <row r="2453" spans="1:7">
      <c r="A2453" s="50" t="s">
        <v>1250</v>
      </c>
      <c r="B2453" s="50" t="s">
        <v>96</v>
      </c>
      <c r="C2453" s="50" t="s">
        <v>240</v>
      </c>
      <c r="D2453" s="51">
        <v>20052</v>
      </c>
      <c r="E2453" s="51">
        <v>318968</v>
      </c>
      <c r="F2453" s="52">
        <v>28873.200000000001</v>
      </c>
      <c r="G2453" s="53">
        <v>9.0520679000000008</v>
      </c>
    </row>
    <row r="2454" spans="1:7">
      <c r="A2454" s="50" t="s">
        <v>343</v>
      </c>
      <c r="B2454" s="50" t="s">
        <v>96</v>
      </c>
      <c r="C2454" s="50" t="s">
        <v>332</v>
      </c>
      <c r="D2454" s="51">
        <v>3707</v>
      </c>
      <c r="E2454" s="51">
        <v>29893</v>
      </c>
      <c r="F2454" s="52">
        <v>2781</v>
      </c>
      <c r="G2454" s="53">
        <v>9.3031813000000003</v>
      </c>
    </row>
    <row r="2455" spans="1:7">
      <c r="A2455" s="50" t="s">
        <v>350</v>
      </c>
      <c r="B2455" s="50" t="s">
        <v>96</v>
      </c>
      <c r="C2455" s="50" t="s">
        <v>332</v>
      </c>
      <c r="D2455" s="51">
        <v>94</v>
      </c>
      <c r="E2455" s="51">
        <v>465</v>
      </c>
      <c r="F2455" s="52">
        <v>55</v>
      </c>
      <c r="G2455" s="53">
        <v>11.827957</v>
      </c>
    </row>
    <row r="2456" spans="1:7">
      <c r="A2456" s="50" t="s">
        <v>388</v>
      </c>
      <c r="B2456" s="50" t="s">
        <v>96</v>
      </c>
      <c r="C2456" s="50" t="s">
        <v>240</v>
      </c>
      <c r="D2456" s="51">
        <v>1776</v>
      </c>
      <c r="E2456" s="51">
        <v>34730</v>
      </c>
      <c r="F2456" s="52">
        <v>3250.4</v>
      </c>
      <c r="G2456" s="53">
        <v>9.3590555999999996</v>
      </c>
    </row>
    <row r="2457" spans="1:7">
      <c r="A2457" s="50" t="s">
        <v>351</v>
      </c>
      <c r="B2457" s="50" t="s">
        <v>96</v>
      </c>
      <c r="C2457" s="50" t="s">
        <v>332</v>
      </c>
      <c r="D2457" s="51">
        <v>3</v>
      </c>
      <c r="E2457" s="51">
        <v>1095</v>
      </c>
      <c r="F2457" s="52">
        <v>82.2</v>
      </c>
      <c r="G2457" s="53">
        <v>7.5068492999999998</v>
      </c>
    </row>
    <row r="2458" spans="1:7">
      <c r="A2458" s="50" t="s">
        <v>1251</v>
      </c>
      <c r="B2458" s="50" t="s">
        <v>96</v>
      </c>
      <c r="C2458" s="50" t="s">
        <v>325</v>
      </c>
      <c r="D2458" s="51">
        <v>21419</v>
      </c>
      <c r="E2458" s="51">
        <v>481521</v>
      </c>
      <c r="F2458" s="52">
        <v>40015</v>
      </c>
      <c r="G2458" s="53">
        <v>8.3101255999999992</v>
      </c>
    </row>
    <row r="2459" spans="1:7">
      <c r="A2459" s="50" t="s">
        <v>1252</v>
      </c>
      <c r="B2459" s="50" t="s">
        <v>96</v>
      </c>
      <c r="C2459" s="50" t="s">
        <v>240</v>
      </c>
      <c r="D2459" s="51">
        <v>15548</v>
      </c>
      <c r="E2459" s="51">
        <v>3034731</v>
      </c>
      <c r="F2459" s="52">
        <v>150101.1</v>
      </c>
      <c r="G2459" s="53">
        <v>4.9461088999999996</v>
      </c>
    </row>
    <row r="2460" spans="1:7">
      <c r="A2460" s="50" t="s">
        <v>1253</v>
      </c>
      <c r="B2460" s="50" t="s">
        <v>96</v>
      </c>
      <c r="C2460" s="50" t="s">
        <v>240</v>
      </c>
      <c r="D2460" s="51">
        <v>4700</v>
      </c>
      <c r="E2460" s="51">
        <v>102397</v>
      </c>
      <c r="F2460" s="52">
        <v>11106</v>
      </c>
      <c r="G2460" s="53">
        <v>10.846021</v>
      </c>
    </row>
    <row r="2461" spans="1:7">
      <c r="A2461" s="50" t="s">
        <v>2133</v>
      </c>
      <c r="B2461" s="50" t="s">
        <v>96</v>
      </c>
      <c r="C2461" s="50" t="s">
        <v>240</v>
      </c>
      <c r="D2461" s="51">
        <v>4429</v>
      </c>
      <c r="E2461" s="51">
        <v>65062</v>
      </c>
      <c r="F2461" s="52">
        <v>11683.2</v>
      </c>
      <c r="G2461" s="53">
        <v>17.957025999999999</v>
      </c>
    </row>
    <row r="2462" spans="1:7">
      <c r="A2462" s="50" t="s">
        <v>1254</v>
      </c>
      <c r="B2462" s="50" t="s">
        <v>99</v>
      </c>
      <c r="C2462" s="50" t="s">
        <v>240</v>
      </c>
      <c r="D2462" s="51">
        <v>32655</v>
      </c>
      <c r="E2462" s="51">
        <v>559577</v>
      </c>
      <c r="F2462" s="52">
        <v>66909</v>
      </c>
      <c r="G2462" s="53">
        <v>11.957068</v>
      </c>
    </row>
    <row r="2463" spans="1:7">
      <c r="A2463" s="50" t="s">
        <v>1255</v>
      </c>
      <c r="B2463" s="50" t="s">
        <v>99</v>
      </c>
      <c r="C2463" s="50" t="s">
        <v>240</v>
      </c>
      <c r="D2463" s="51">
        <v>9387</v>
      </c>
      <c r="E2463" s="51">
        <v>349615</v>
      </c>
      <c r="F2463" s="52">
        <v>30258</v>
      </c>
      <c r="G2463" s="53">
        <v>8.6546629999999993</v>
      </c>
    </row>
    <row r="2464" spans="1:7">
      <c r="A2464" s="50" t="s">
        <v>2134</v>
      </c>
      <c r="B2464" s="50" t="s">
        <v>99</v>
      </c>
      <c r="C2464" s="50" t="s">
        <v>242</v>
      </c>
      <c r="D2464" s="51">
        <v>1168</v>
      </c>
      <c r="E2464" s="51">
        <v>19231</v>
      </c>
      <c r="F2464" s="52">
        <v>1870.2</v>
      </c>
      <c r="G2464" s="53">
        <v>9.7249233000000004</v>
      </c>
    </row>
    <row r="2465" spans="1:7">
      <c r="A2465" s="50" t="s">
        <v>2135</v>
      </c>
      <c r="B2465" s="50" t="s">
        <v>99</v>
      </c>
      <c r="C2465" s="50" t="s">
        <v>242</v>
      </c>
      <c r="D2465" s="51">
        <v>3582</v>
      </c>
      <c r="E2465" s="51">
        <v>33540</v>
      </c>
      <c r="F2465" s="52">
        <v>5653.3</v>
      </c>
      <c r="G2465" s="53">
        <v>16.855397</v>
      </c>
    </row>
    <row r="2466" spans="1:7">
      <c r="A2466" s="50" t="s">
        <v>2136</v>
      </c>
      <c r="B2466" s="50" t="s">
        <v>99</v>
      </c>
      <c r="C2466" s="50" t="s">
        <v>242</v>
      </c>
      <c r="D2466" s="51">
        <v>991</v>
      </c>
      <c r="E2466" s="51">
        <v>9279</v>
      </c>
      <c r="F2466" s="52">
        <v>1545</v>
      </c>
      <c r="G2466" s="53">
        <v>16.650500999999998</v>
      </c>
    </row>
    <row r="2467" spans="1:7">
      <c r="A2467" s="50" t="s">
        <v>1256</v>
      </c>
      <c r="B2467" s="50" t="s">
        <v>99</v>
      </c>
      <c r="C2467" s="50" t="s">
        <v>242</v>
      </c>
      <c r="D2467" s="51">
        <v>11135</v>
      </c>
      <c r="E2467" s="51">
        <v>310104</v>
      </c>
      <c r="F2467" s="52">
        <v>28393</v>
      </c>
      <c r="G2467" s="53">
        <v>9.1559606000000002</v>
      </c>
    </row>
    <row r="2468" spans="1:7">
      <c r="A2468" s="50" t="s">
        <v>2137</v>
      </c>
      <c r="B2468" s="50" t="s">
        <v>99</v>
      </c>
      <c r="C2468" s="50" t="s">
        <v>242</v>
      </c>
      <c r="D2468" s="51">
        <v>1038</v>
      </c>
      <c r="E2468" s="51">
        <v>11200</v>
      </c>
      <c r="F2468" s="52">
        <v>1194.7</v>
      </c>
      <c r="G2468" s="53">
        <v>10.666964</v>
      </c>
    </row>
    <row r="2469" spans="1:7">
      <c r="A2469" s="50" t="s">
        <v>2138</v>
      </c>
      <c r="B2469" s="50" t="s">
        <v>99</v>
      </c>
      <c r="C2469" s="50" t="s">
        <v>242</v>
      </c>
      <c r="D2469" s="51">
        <v>625</v>
      </c>
      <c r="E2469" s="51">
        <v>5035</v>
      </c>
      <c r="F2469" s="52">
        <v>655.8</v>
      </c>
      <c r="G2469" s="53">
        <v>13.024825999999999</v>
      </c>
    </row>
    <row r="2470" spans="1:7">
      <c r="A2470" s="50" t="s">
        <v>2139</v>
      </c>
      <c r="B2470" s="50" t="s">
        <v>99</v>
      </c>
      <c r="C2470" s="50" t="s">
        <v>242</v>
      </c>
      <c r="D2470" s="51">
        <v>4108</v>
      </c>
      <c r="E2470" s="51">
        <v>49790</v>
      </c>
      <c r="F2470" s="52">
        <v>6804</v>
      </c>
      <c r="G2470" s="53">
        <v>13.665395</v>
      </c>
    </row>
    <row r="2471" spans="1:7">
      <c r="A2471" s="50" t="s">
        <v>1257</v>
      </c>
      <c r="B2471" s="50" t="s">
        <v>99</v>
      </c>
      <c r="C2471" s="50" t="s">
        <v>242</v>
      </c>
      <c r="D2471" s="51">
        <v>6679</v>
      </c>
      <c r="E2471" s="51">
        <v>137807</v>
      </c>
      <c r="F2471" s="52">
        <v>17349.099999999999</v>
      </c>
      <c r="G2471" s="53">
        <v>12.589418999999999</v>
      </c>
    </row>
    <row r="2472" spans="1:7">
      <c r="A2472" s="50" t="s">
        <v>2140</v>
      </c>
      <c r="B2472" s="50" t="s">
        <v>99</v>
      </c>
      <c r="C2472" s="50" t="s">
        <v>242</v>
      </c>
      <c r="D2472" s="51">
        <v>1585</v>
      </c>
      <c r="E2472" s="51">
        <v>27078</v>
      </c>
      <c r="F2472" s="52">
        <v>3469</v>
      </c>
      <c r="G2472" s="53">
        <v>12.811138</v>
      </c>
    </row>
    <row r="2473" spans="1:7">
      <c r="A2473" s="50" t="s">
        <v>2141</v>
      </c>
      <c r="B2473" s="50" t="s">
        <v>99</v>
      </c>
      <c r="C2473" s="50" t="s">
        <v>242</v>
      </c>
      <c r="D2473" s="51">
        <v>386</v>
      </c>
      <c r="E2473" s="51">
        <v>5306</v>
      </c>
      <c r="F2473" s="52">
        <v>601</v>
      </c>
      <c r="G2473" s="53">
        <v>11.3268</v>
      </c>
    </row>
    <row r="2474" spans="1:7">
      <c r="A2474" s="50" t="s">
        <v>2142</v>
      </c>
      <c r="B2474" s="50" t="s">
        <v>99</v>
      </c>
      <c r="C2474" s="50" t="s">
        <v>242</v>
      </c>
      <c r="D2474" s="51">
        <v>2986</v>
      </c>
      <c r="E2474" s="51">
        <v>58914</v>
      </c>
      <c r="F2474" s="52">
        <v>7537.9</v>
      </c>
      <c r="G2474" s="53">
        <v>12.794752000000001</v>
      </c>
    </row>
    <row r="2475" spans="1:7">
      <c r="A2475" s="50" t="s">
        <v>2143</v>
      </c>
      <c r="B2475" s="50" t="s">
        <v>99</v>
      </c>
      <c r="C2475" s="50" t="s">
        <v>242</v>
      </c>
      <c r="D2475" s="51">
        <v>1825</v>
      </c>
      <c r="E2475" s="51">
        <v>21613</v>
      </c>
      <c r="F2475" s="52">
        <v>3695</v>
      </c>
      <c r="G2475" s="53">
        <v>17.096191999999999</v>
      </c>
    </row>
    <row r="2476" spans="1:7">
      <c r="A2476" s="50" t="s">
        <v>2144</v>
      </c>
      <c r="B2476" s="50" t="s">
        <v>99</v>
      </c>
      <c r="C2476" s="50" t="s">
        <v>242</v>
      </c>
      <c r="D2476" s="51">
        <v>2489</v>
      </c>
      <c r="E2476" s="51">
        <v>39558</v>
      </c>
      <c r="F2476" s="52">
        <v>6507</v>
      </c>
      <c r="G2476" s="53">
        <v>16.449263999999999</v>
      </c>
    </row>
    <row r="2477" spans="1:7">
      <c r="A2477" s="50" t="s">
        <v>1258</v>
      </c>
      <c r="B2477" s="50" t="s">
        <v>99</v>
      </c>
      <c r="C2477" s="50" t="s">
        <v>242</v>
      </c>
      <c r="D2477" s="51">
        <v>8781</v>
      </c>
      <c r="E2477" s="51">
        <v>121246</v>
      </c>
      <c r="F2477" s="52">
        <v>20232</v>
      </c>
      <c r="G2477" s="53">
        <v>16.686736</v>
      </c>
    </row>
    <row r="2478" spans="1:7">
      <c r="A2478" s="50" t="s">
        <v>2145</v>
      </c>
      <c r="B2478" s="50" t="s">
        <v>99</v>
      </c>
      <c r="C2478" s="50" t="s">
        <v>242</v>
      </c>
      <c r="D2478" s="51">
        <v>3024</v>
      </c>
      <c r="E2478" s="51">
        <v>46339</v>
      </c>
      <c r="F2478" s="52">
        <v>5977</v>
      </c>
      <c r="G2478" s="53">
        <v>12.898422</v>
      </c>
    </row>
    <row r="2479" spans="1:7">
      <c r="A2479" s="50" t="s">
        <v>2146</v>
      </c>
      <c r="B2479" s="50" t="s">
        <v>99</v>
      </c>
      <c r="C2479" s="50" t="s">
        <v>242</v>
      </c>
      <c r="D2479" s="51">
        <v>194</v>
      </c>
      <c r="E2479" s="51">
        <v>2575</v>
      </c>
      <c r="F2479" s="52">
        <v>318.39999999999998</v>
      </c>
      <c r="G2479" s="53">
        <v>12.365049000000001</v>
      </c>
    </row>
    <row r="2480" spans="1:7">
      <c r="A2480" s="50" t="s">
        <v>2147</v>
      </c>
      <c r="B2480" s="50" t="s">
        <v>99</v>
      </c>
      <c r="C2480" s="50" t="s">
        <v>242</v>
      </c>
      <c r="D2480" s="51">
        <v>3916</v>
      </c>
      <c r="E2480" s="51">
        <v>67556</v>
      </c>
      <c r="F2480" s="52">
        <v>8255</v>
      </c>
      <c r="G2480" s="53">
        <v>12.219492000000001</v>
      </c>
    </row>
    <row r="2481" spans="1:7">
      <c r="A2481" s="50" t="s">
        <v>2148</v>
      </c>
      <c r="B2481" s="50" t="s">
        <v>99</v>
      </c>
      <c r="C2481" s="50" t="s">
        <v>242</v>
      </c>
      <c r="D2481" s="51">
        <v>1853</v>
      </c>
      <c r="E2481" s="51">
        <v>43495</v>
      </c>
      <c r="F2481" s="52">
        <v>5433</v>
      </c>
      <c r="G2481" s="53">
        <v>12.491091000000001</v>
      </c>
    </row>
    <row r="2482" spans="1:7">
      <c r="A2482" s="50" t="s">
        <v>2149</v>
      </c>
      <c r="B2482" s="50" t="s">
        <v>99</v>
      </c>
      <c r="C2482" s="50" t="s">
        <v>242</v>
      </c>
      <c r="D2482" s="51">
        <v>730</v>
      </c>
      <c r="E2482" s="51">
        <v>18288</v>
      </c>
      <c r="F2482" s="52">
        <v>2716</v>
      </c>
      <c r="G2482" s="53">
        <v>14.851269</v>
      </c>
    </row>
    <row r="2483" spans="1:7">
      <c r="A2483" s="50" t="s">
        <v>2150</v>
      </c>
      <c r="B2483" s="50" t="s">
        <v>99</v>
      </c>
      <c r="C2483" s="50" t="s">
        <v>242</v>
      </c>
      <c r="D2483" s="51">
        <v>2683</v>
      </c>
      <c r="E2483" s="51">
        <v>22968</v>
      </c>
      <c r="F2483" s="52">
        <v>3864</v>
      </c>
      <c r="G2483" s="53">
        <v>16.823405999999999</v>
      </c>
    </row>
    <row r="2484" spans="1:7">
      <c r="A2484" s="50" t="s">
        <v>2151</v>
      </c>
      <c r="B2484" s="50" t="s">
        <v>99</v>
      </c>
      <c r="C2484" s="50" t="s">
        <v>242</v>
      </c>
      <c r="D2484" s="51">
        <v>4106</v>
      </c>
      <c r="E2484" s="51">
        <v>53092</v>
      </c>
      <c r="F2484" s="52">
        <v>8343</v>
      </c>
      <c r="G2484" s="53">
        <v>15.714232000000001</v>
      </c>
    </row>
    <row r="2485" spans="1:7">
      <c r="A2485" s="50" t="s">
        <v>2152</v>
      </c>
      <c r="B2485" s="50" t="s">
        <v>99</v>
      </c>
      <c r="C2485" s="50" t="s">
        <v>242</v>
      </c>
      <c r="D2485" s="51">
        <v>1817</v>
      </c>
      <c r="E2485" s="51">
        <v>10834</v>
      </c>
      <c r="F2485" s="52">
        <v>1956</v>
      </c>
      <c r="G2485" s="53">
        <v>18.054273999999999</v>
      </c>
    </row>
    <row r="2486" spans="1:7">
      <c r="A2486" s="50" t="s">
        <v>1259</v>
      </c>
      <c r="B2486" s="50" t="s">
        <v>99</v>
      </c>
      <c r="C2486" s="50" t="s">
        <v>242</v>
      </c>
      <c r="D2486" s="51">
        <v>5281</v>
      </c>
      <c r="E2486" s="51">
        <v>89765</v>
      </c>
      <c r="F2486" s="52">
        <v>11032.7</v>
      </c>
      <c r="G2486" s="53">
        <v>12.290647999999999</v>
      </c>
    </row>
    <row r="2487" spans="1:7">
      <c r="A2487" s="50" t="s">
        <v>2153</v>
      </c>
      <c r="B2487" s="50" t="s">
        <v>99</v>
      </c>
      <c r="C2487" s="50" t="s">
        <v>242</v>
      </c>
      <c r="D2487" s="51">
        <v>556</v>
      </c>
      <c r="E2487" s="51">
        <v>5123</v>
      </c>
      <c r="F2487" s="52">
        <v>606.20000000000005</v>
      </c>
      <c r="G2487" s="53">
        <v>11.83291</v>
      </c>
    </row>
    <row r="2488" spans="1:7">
      <c r="A2488" s="50" t="s">
        <v>2154</v>
      </c>
      <c r="B2488" s="50" t="s">
        <v>99</v>
      </c>
      <c r="C2488" s="50" t="s">
        <v>242</v>
      </c>
      <c r="D2488" s="51">
        <v>2990</v>
      </c>
      <c r="E2488" s="51">
        <v>45303</v>
      </c>
      <c r="F2488" s="52">
        <v>6209.5</v>
      </c>
      <c r="G2488" s="53">
        <v>13.706598</v>
      </c>
    </row>
    <row r="2489" spans="1:7">
      <c r="A2489" s="50" t="s">
        <v>2155</v>
      </c>
      <c r="B2489" s="50" t="s">
        <v>99</v>
      </c>
      <c r="C2489" s="50" t="s">
        <v>242</v>
      </c>
      <c r="D2489" s="51">
        <v>1027</v>
      </c>
      <c r="E2489" s="51">
        <v>12846</v>
      </c>
      <c r="F2489" s="52">
        <v>1545.1</v>
      </c>
      <c r="G2489" s="53">
        <v>12.027869000000001</v>
      </c>
    </row>
    <row r="2490" spans="1:7">
      <c r="A2490" s="50" t="s">
        <v>2156</v>
      </c>
      <c r="B2490" s="50" t="s">
        <v>99</v>
      </c>
      <c r="C2490" s="50" t="s">
        <v>242</v>
      </c>
      <c r="D2490" s="51">
        <v>1835</v>
      </c>
      <c r="E2490" s="51">
        <v>19949</v>
      </c>
      <c r="F2490" s="52">
        <v>3570.1</v>
      </c>
      <c r="G2490" s="53">
        <v>17.896135000000001</v>
      </c>
    </row>
    <row r="2491" spans="1:7">
      <c r="A2491" s="50" t="s">
        <v>2157</v>
      </c>
      <c r="B2491" s="50" t="s">
        <v>99</v>
      </c>
      <c r="C2491" s="50" t="s">
        <v>242</v>
      </c>
      <c r="D2491" s="51">
        <v>293</v>
      </c>
      <c r="E2491" s="51">
        <v>2896</v>
      </c>
      <c r="F2491" s="52">
        <v>311</v>
      </c>
      <c r="G2491" s="53">
        <v>10.738950000000001</v>
      </c>
    </row>
    <row r="2492" spans="1:7">
      <c r="A2492" s="50" t="s">
        <v>2158</v>
      </c>
      <c r="B2492" s="50" t="s">
        <v>99</v>
      </c>
      <c r="C2492" s="50" t="s">
        <v>242</v>
      </c>
      <c r="D2492" s="51">
        <v>2263</v>
      </c>
      <c r="E2492" s="51">
        <v>31825</v>
      </c>
      <c r="F2492" s="52">
        <v>4646</v>
      </c>
      <c r="G2492" s="53">
        <v>14.598585999999999</v>
      </c>
    </row>
    <row r="2493" spans="1:7">
      <c r="A2493" s="50" t="s">
        <v>2159</v>
      </c>
      <c r="B2493" s="50" t="s">
        <v>99</v>
      </c>
      <c r="C2493" s="50" t="s">
        <v>242</v>
      </c>
      <c r="D2493" s="51">
        <v>377</v>
      </c>
      <c r="E2493" s="51">
        <v>3699</v>
      </c>
      <c r="F2493" s="52">
        <v>515</v>
      </c>
      <c r="G2493" s="53">
        <v>13.922682</v>
      </c>
    </row>
    <row r="2494" spans="1:7">
      <c r="A2494" s="50" t="s">
        <v>2160</v>
      </c>
      <c r="B2494" s="50" t="s">
        <v>99</v>
      </c>
      <c r="C2494" s="50" t="s">
        <v>242</v>
      </c>
      <c r="D2494" s="51">
        <v>1083</v>
      </c>
      <c r="E2494" s="51">
        <v>11127</v>
      </c>
      <c r="F2494" s="52">
        <v>1873</v>
      </c>
      <c r="G2494" s="53">
        <v>16.832929</v>
      </c>
    </row>
    <row r="2495" spans="1:7">
      <c r="A2495" s="50" t="s">
        <v>2161</v>
      </c>
      <c r="B2495" s="50" t="s">
        <v>99</v>
      </c>
      <c r="C2495" s="50" t="s">
        <v>242</v>
      </c>
      <c r="D2495" s="51">
        <v>1181</v>
      </c>
      <c r="E2495" s="51">
        <v>19447</v>
      </c>
      <c r="F2495" s="52">
        <v>2570</v>
      </c>
      <c r="G2495" s="53">
        <v>13.215406</v>
      </c>
    </row>
    <row r="2496" spans="1:7">
      <c r="A2496" s="50" t="s">
        <v>2162</v>
      </c>
      <c r="B2496" s="50" t="s">
        <v>99</v>
      </c>
      <c r="C2496" s="50" t="s">
        <v>242</v>
      </c>
      <c r="D2496" s="51">
        <v>2272</v>
      </c>
      <c r="E2496" s="51">
        <v>29119</v>
      </c>
      <c r="F2496" s="52">
        <v>5173</v>
      </c>
      <c r="G2496" s="53">
        <v>17.765032999999999</v>
      </c>
    </row>
    <row r="2497" spans="1:7">
      <c r="A2497" s="50" t="s">
        <v>1260</v>
      </c>
      <c r="B2497" s="50" t="s">
        <v>99</v>
      </c>
      <c r="C2497" s="50" t="s">
        <v>240</v>
      </c>
      <c r="D2497" s="51">
        <v>25373</v>
      </c>
      <c r="E2497" s="51">
        <v>296318</v>
      </c>
      <c r="F2497" s="52">
        <v>39486</v>
      </c>
      <c r="G2497" s="53">
        <v>13.325549000000001</v>
      </c>
    </row>
    <row r="2498" spans="1:7">
      <c r="A2498" s="50" t="s">
        <v>1261</v>
      </c>
      <c r="B2498" s="50" t="s">
        <v>99</v>
      </c>
      <c r="C2498" s="50" t="s">
        <v>237</v>
      </c>
      <c r="D2498" s="51">
        <v>6965</v>
      </c>
      <c r="E2498" s="51">
        <v>120512</v>
      </c>
      <c r="F2498" s="52">
        <v>12489</v>
      </c>
      <c r="G2498" s="53">
        <v>10.363282999999999</v>
      </c>
    </row>
    <row r="2499" spans="1:7">
      <c r="A2499" s="50" t="s">
        <v>1262</v>
      </c>
      <c r="B2499" s="50" t="s">
        <v>99</v>
      </c>
      <c r="C2499" s="50" t="s">
        <v>240</v>
      </c>
      <c r="D2499" s="51">
        <v>18773</v>
      </c>
      <c r="E2499" s="51">
        <v>269035</v>
      </c>
      <c r="F2499" s="52">
        <v>32140</v>
      </c>
      <c r="G2499" s="53">
        <v>11.946401</v>
      </c>
    </row>
    <row r="2500" spans="1:7">
      <c r="A2500" s="50" t="s">
        <v>1263</v>
      </c>
      <c r="B2500" s="50" t="s">
        <v>99</v>
      </c>
      <c r="C2500" s="50" t="s">
        <v>237</v>
      </c>
      <c r="D2500" s="51">
        <v>426527</v>
      </c>
      <c r="E2500" s="51">
        <v>4091923</v>
      </c>
      <c r="F2500" s="52">
        <v>596264.6</v>
      </c>
      <c r="G2500" s="53">
        <v>14.571745</v>
      </c>
    </row>
    <row r="2501" spans="1:7">
      <c r="A2501" s="50" t="s">
        <v>1821</v>
      </c>
      <c r="B2501" s="50" t="s">
        <v>99</v>
      </c>
      <c r="C2501" s="50" t="s">
        <v>332</v>
      </c>
      <c r="D2501" s="51">
        <v>1</v>
      </c>
      <c r="E2501" s="51">
        <v>7384</v>
      </c>
      <c r="F2501" s="52">
        <v>604.4</v>
      </c>
      <c r="G2501" s="53">
        <v>8.1852654000000005</v>
      </c>
    </row>
    <row r="2502" spans="1:7">
      <c r="A2502" s="50" t="s">
        <v>2163</v>
      </c>
      <c r="B2502" s="50" t="s">
        <v>99</v>
      </c>
      <c r="C2502" s="50" t="s">
        <v>242</v>
      </c>
      <c r="D2502" s="51">
        <v>695</v>
      </c>
      <c r="E2502" s="51">
        <v>4045</v>
      </c>
      <c r="F2502" s="52">
        <v>502.7</v>
      </c>
      <c r="G2502" s="53">
        <v>12.427689000000001</v>
      </c>
    </row>
    <row r="2503" spans="1:7">
      <c r="A2503" s="50" t="s">
        <v>339</v>
      </c>
      <c r="B2503" s="50" t="s">
        <v>99</v>
      </c>
      <c r="C2503" s="50" t="s">
        <v>332</v>
      </c>
      <c r="D2503" s="51">
        <v>5</v>
      </c>
      <c r="E2503" s="51">
        <v>1900</v>
      </c>
      <c r="F2503" s="52">
        <v>247.5</v>
      </c>
      <c r="G2503" s="53">
        <v>13.026316</v>
      </c>
    </row>
    <row r="2504" spans="1:7">
      <c r="A2504" s="50" t="s">
        <v>1264</v>
      </c>
      <c r="B2504" s="50" t="s">
        <v>99</v>
      </c>
      <c r="C2504" s="50" t="s">
        <v>237</v>
      </c>
      <c r="D2504" s="51">
        <v>400462</v>
      </c>
      <c r="E2504" s="51">
        <v>4904238</v>
      </c>
      <c r="F2504" s="52">
        <v>589625.4</v>
      </c>
      <c r="G2504" s="53">
        <v>12.022773000000001</v>
      </c>
    </row>
    <row r="2505" spans="1:7">
      <c r="A2505" s="50" t="s">
        <v>2164</v>
      </c>
      <c r="B2505" s="50" t="s">
        <v>99</v>
      </c>
      <c r="C2505" s="50" t="s">
        <v>242</v>
      </c>
      <c r="D2505" s="51">
        <v>711</v>
      </c>
      <c r="E2505" s="51">
        <v>10179</v>
      </c>
      <c r="F2505" s="52">
        <v>1009.3</v>
      </c>
      <c r="G2505" s="53">
        <v>9.9155122999999996</v>
      </c>
    </row>
    <row r="2506" spans="1:7">
      <c r="A2506" s="50" t="s">
        <v>2165</v>
      </c>
      <c r="B2506" s="50" t="s">
        <v>99</v>
      </c>
      <c r="C2506" s="50" t="s">
        <v>240</v>
      </c>
      <c r="D2506" s="51">
        <v>3678</v>
      </c>
      <c r="E2506" s="51">
        <v>54339</v>
      </c>
      <c r="F2506" s="52">
        <v>6232</v>
      </c>
      <c r="G2506" s="53">
        <v>11.468743</v>
      </c>
    </row>
    <row r="2507" spans="1:7">
      <c r="A2507" s="50" t="s">
        <v>1265</v>
      </c>
      <c r="B2507" s="50" t="s">
        <v>99</v>
      </c>
      <c r="C2507" s="50" t="s">
        <v>240</v>
      </c>
      <c r="D2507" s="51">
        <v>19494</v>
      </c>
      <c r="E2507" s="51">
        <v>249372</v>
      </c>
      <c r="F2507" s="52">
        <v>32397</v>
      </c>
      <c r="G2507" s="53">
        <v>12.991434</v>
      </c>
    </row>
    <row r="2508" spans="1:7">
      <c r="A2508" s="50" t="s">
        <v>1266</v>
      </c>
      <c r="B2508" s="50" t="s">
        <v>99</v>
      </c>
      <c r="C2508" s="50" t="s">
        <v>237</v>
      </c>
      <c r="D2508" s="51">
        <v>1142446</v>
      </c>
      <c r="E2508" s="51">
        <v>12296539</v>
      </c>
      <c r="F2508" s="52">
        <v>1462253</v>
      </c>
      <c r="G2508" s="53">
        <v>11.891582</v>
      </c>
    </row>
    <row r="2509" spans="1:7">
      <c r="A2509" s="50" t="s">
        <v>1267</v>
      </c>
      <c r="B2509" s="50" t="s">
        <v>99</v>
      </c>
      <c r="C2509" s="50" t="s">
        <v>237</v>
      </c>
      <c r="D2509" s="51">
        <v>855014</v>
      </c>
      <c r="E2509" s="51">
        <v>10569683</v>
      </c>
      <c r="F2509" s="52">
        <v>1321912.3999999999</v>
      </c>
      <c r="G2509" s="53">
        <v>12.506641999999999</v>
      </c>
    </row>
    <row r="2510" spans="1:7">
      <c r="A2510" s="50" t="s">
        <v>1117</v>
      </c>
      <c r="B2510" s="50" t="s">
        <v>99</v>
      </c>
      <c r="C2510" s="50" t="s">
        <v>237</v>
      </c>
      <c r="D2510" s="51">
        <v>425663</v>
      </c>
      <c r="E2510" s="51">
        <v>4158113</v>
      </c>
      <c r="F2510" s="52">
        <v>573447.69999999995</v>
      </c>
      <c r="G2510" s="53">
        <v>13.791055999999999</v>
      </c>
    </row>
    <row r="2511" spans="1:7">
      <c r="A2511" s="50" t="s">
        <v>1268</v>
      </c>
      <c r="B2511" s="50" t="s">
        <v>99</v>
      </c>
      <c r="C2511" s="50" t="s">
        <v>237</v>
      </c>
      <c r="D2511" s="51">
        <v>123689</v>
      </c>
      <c r="E2511" s="51">
        <v>1584884</v>
      </c>
      <c r="F2511" s="52">
        <v>191331.1</v>
      </c>
      <c r="G2511" s="53">
        <v>12.072246</v>
      </c>
    </row>
    <row r="2512" spans="1:7">
      <c r="A2512" s="50" t="s">
        <v>1269</v>
      </c>
      <c r="B2512" s="50" t="s">
        <v>99</v>
      </c>
      <c r="C2512" s="50" t="s">
        <v>237</v>
      </c>
      <c r="D2512" s="51">
        <v>3460</v>
      </c>
      <c r="E2512" s="51">
        <v>49314</v>
      </c>
      <c r="F2512" s="52">
        <v>5938.3</v>
      </c>
      <c r="G2512" s="53">
        <v>12.041814</v>
      </c>
    </row>
    <row r="2513" spans="1:7">
      <c r="A2513" s="50" t="s">
        <v>1270</v>
      </c>
      <c r="B2513" s="50" t="s">
        <v>99</v>
      </c>
      <c r="C2513" s="50" t="s">
        <v>240</v>
      </c>
      <c r="D2513" s="51">
        <v>22648</v>
      </c>
      <c r="E2513" s="51">
        <v>382132</v>
      </c>
      <c r="F2513" s="52">
        <v>42262</v>
      </c>
      <c r="G2513" s="53">
        <v>11.059528999999999</v>
      </c>
    </row>
    <row r="2514" spans="1:7">
      <c r="A2514" s="50" t="s">
        <v>343</v>
      </c>
      <c r="B2514" s="50" t="s">
        <v>99</v>
      </c>
      <c r="C2514" s="50" t="s">
        <v>332</v>
      </c>
      <c r="D2514" s="51">
        <v>6957</v>
      </c>
      <c r="E2514" s="51">
        <v>63506</v>
      </c>
      <c r="F2514" s="52">
        <v>8339</v>
      </c>
      <c r="G2514" s="53">
        <v>13.131043</v>
      </c>
    </row>
    <row r="2515" spans="1:7">
      <c r="A2515" s="50" t="s">
        <v>1271</v>
      </c>
      <c r="B2515" s="50" t="s">
        <v>99</v>
      </c>
      <c r="C2515" s="50" t="s">
        <v>240</v>
      </c>
      <c r="D2515" s="51">
        <v>13649</v>
      </c>
      <c r="E2515" s="51">
        <v>203506</v>
      </c>
      <c r="F2515" s="52">
        <v>21952</v>
      </c>
      <c r="G2515" s="53">
        <v>10.786906</v>
      </c>
    </row>
    <row r="2516" spans="1:7">
      <c r="A2516" s="50" t="s">
        <v>2166</v>
      </c>
      <c r="B2516" s="50" t="s">
        <v>99</v>
      </c>
      <c r="C2516" s="50" t="s">
        <v>240</v>
      </c>
      <c r="D2516" s="51">
        <v>5995</v>
      </c>
      <c r="E2516" s="51">
        <v>52756</v>
      </c>
      <c r="F2516" s="52">
        <v>9000</v>
      </c>
      <c r="G2516" s="53">
        <v>17.059671000000002</v>
      </c>
    </row>
    <row r="2517" spans="1:7">
      <c r="A2517" s="50" t="s">
        <v>347</v>
      </c>
      <c r="B2517" s="50" t="s">
        <v>99</v>
      </c>
      <c r="C2517" s="50" t="s">
        <v>332</v>
      </c>
      <c r="D2517" s="51">
        <v>11</v>
      </c>
      <c r="E2517" s="51">
        <v>55</v>
      </c>
      <c r="F2517" s="52">
        <v>8.6</v>
      </c>
      <c r="G2517" s="53">
        <v>15.636364</v>
      </c>
    </row>
    <row r="2518" spans="1:7">
      <c r="A2518" s="50" t="s">
        <v>348</v>
      </c>
      <c r="B2518" s="50" t="s">
        <v>99</v>
      </c>
      <c r="C2518" s="50" t="s">
        <v>332</v>
      </c>
      <c r="D2518" s="51">
        <v>54</v>
      </c>
      <c r="E2518" s="51">
        <v>471</v>
      </c>
      <c r="F2518" s="52">
        <v>24</v>
      </c>
      <c r="G2518" s="53">
        <v>5.0955414000000001</v>
      </c>
    </row>
    <row r="2519" spans="1:7">
      <c r="A2519" s="50" t="s">
        <v>349</v>
      </c>
      <c r="B2519" s="50" t="s">
        <v>99</v>
      </c>
      <c r="C2519" s="50" t="s">
        <v>332</v>
      </c>
      <c r="D2519" s="51">
        <v>889</v>
      </c>
      <c r="E2519" s="51">
        <v>9188</v>
      </c>
      <c r="F2519" s="52">
        <v>1609.4</v>
      </c>
      <c r="G2519" s="53">
        <v>17.516325999999999</v>
      </c>
    </row>
    <row r="2520" spans="1:7">
      <c r="A2520" s="50" t="s">
        <v>350</v>
      </c>
      <c r="B2520" s="50" t="s">
        <v>99</v>
      </c>
      <c r="C2520" s="50" t="s">
        <v>332</v>
      </c>
      <c r="D2520" s="51">
        <v>1025</v>
      </c>
      <c r="E2520" s="51">
        <v>8672</v>
      </c>
      <c r="F2520" s="52">
        <v>1365</v>
      </c>
      <c r="G2520" s="53">
        <v>15.740314</v>
      </c>
    </row>
    <row r="2521" spans="1:7">
      <c r="A2521" s="50" t="s">
        <v>351</v>
      </c>
      <c r="B2521" s="50" t="s">
        <v>99</v>
      </c>
      <c r="C2521" s="50" t="s">
        <v>332</v>
      </c>
      <c r="D2521" s="51">
        <v>19</v>
      </c>
      <c r="E2521" s="51">
        <v>5594</v>
      </c>
      <c r="F2521" s="52">
        <v>455.2</v>
      </c>
      <c r="G2521" s="53">
        <v>8.1372900000000001</v>
      </c>
    </row>
    <row r="2522" spans="1:7">
      <c r="A2522" s="50" t="s">
        <v>2167</v>
      </c>
      <c r="B2522" s="50" t="s">
        <v>99</v>
      </c>
      <c r="C2522" s="50" t="s">
        <v>240</v>
      </c>
      <c r="D2522" s="51">
        <v>19324</v>
      </c>
      <c r="E2522" s="51">
        <v>222191</v>
      </c>
      <c r="F2522" s="52">
        <v>32598</v>
      </c>
      <c r="G2522" s="53">
        <v>14.671161</v>
      </c>
    </row>
    <row r="2523" spans="1:7">
      <c r="A2523" s="50" t="s">
        <v>1272</v>
      </c>
      <c r="B2523" s="50" t="s">
        <v>99</v>
      </c>
      <c r="C2523" s="50" t="s">
        <v>237</v>
      </c>
      <c r="D2523" s="51">
        <v>62560</v>
      </c>
      <c r="E2523" s="51">
        <v>749665</v>
      </c>
      <c r="F2523" s="52">
        <v>78310</v>
      </c>
      <c r="G2523" s="53">
        <v>10.445999</v>
      </c>
    </row>
    <row r="2524" spans="1:7">
      <c r="A2524" s="50" t="s">
        <v>1273</v>
      </c>
      <c r="B2524" s="50" t="s">
        <v>99</v>
      </c>
      <c r="C2524" s="50" t="s">
        <v>240</v>
      </c>
      <c r="D2524" s="51">
        <v>18859</v>
      </c>
      <c r="E2524" s="51">
        <v>168476</v>
      </c>
      <c r="F2524" s="52">
        <v>27616</v>
      </c>
      <c r="G2524" s="53">
        <v>16.391652000000001</v>
      </c>
    </row>
    <row r="2525" spans="1:7">
      <c r="A2525" s="50" t="s">
        <v>1274</v>
      </c>
      <c r="B2525" s="50" t="s">
        <v>99</v>
      </c>
      <c r="C2525" s="50" t="s">
        <v>240</v>
      </c>
      <c r="D2525" s="51">
        <v>22127</v>
      </c>
      <c r="E2525" s="51">
        <v>285768</v>
      </c>
      <c r="F2525" s="52">
        <v>35361</v>
      </c>
      <c r="G2525" s="53">
        <v>12.374024</v>
      </c>
    </row>
    <row r="2526" spans="1:7">
      <c r="A2526" s="50" t="s">
        <v>356</v>
      </c>
      <c r="B2526" s="50" t="s">
        <v>99</v>
      </c>
      <c r="C2526" s="50" t="s">
        <v>332</v>
      </c>
      <c r="D2526" s="51">
        <v>2763</v>
      </c>
      <c r="E2526" s="51">
        <v>20168</v>
      </c>
      <c r="F2526" s="52">
        <v>2645.7</v>
      </c>
      <c r="G2526" s="53">
        <v>13.118306</v>
      </c>
    </row>
    <row r="2527" spans="1:7">
      <c r="A2527" s="50" t="s">
        <v>2168</v>
      </c>
      <c r="B2527" s="50" t="s">
        <v>99</v>
      </c>
      <c r="C2527" s="50" t="s">
        <v>240</v>
      </c>
      <c r="D2527" s="51">
        <v>8662</v>
      </c>
      <c r="E2527" s="51">
        <v>54601</v>
      </c>
      <c r="F2527" s="52">
        <v>9182</v>
      </c>
      <c r="G2527" s="53">
        <v>16.816541999999998</v>
      </c>
    </row>
    <row r="2528" spans="1:7">
      <c r="A2528" s="50" t="s">
        <v>1275</v>
      </c>
      <c r="B2528" s="50" t="s">
        <v>99</v>
      </c>
      <c r="C2528" s="50" t="s">
        <v>237</v>
      </c>
      <c r="D2528" s="51">
        <v>6273</v>
      </c>
      <c r="E2528" s="51">
        <v>75307</v>
      </c>
      <c r="F2528" s="52">
        <v>9632</v>
      </c>
      <c r="G2528" s="53">
        <v>12.790312</v>
      </c>
    </row>
    <row r="2529" spans="1:7">
      <c r="A2529" s="50" t="s">
        <v>2169</v>
      </c>
      <c r="B2529" s="50" t="s">
        <v>99</v>
      </c>
      <c r="C2529" s="50" t="s">
        <v>237</v>
      </c>
      <c r="D2529" s="51">
        <v>542979</v>
      </c>
      <c r="E2529" s="51">
        <v>7258037</v>
      </c>
      <c r="F2529" s="52">
        <v>756302.4</v>
      </c>
      <c r="G2529" s="53">
        <v>10.420206</v>
      </c>
    </row>
    <row r="2530" spans="1:7">
      <c r="A2530" s="50" t="s">
        <v>2170</v>
      </c>
      <c r="B2530" s="50" t="s">
        <v>102</v>
      </c>
      <c r="C2530" s="50" t="s">
        <v>325</v>
      </c>
      <c r="D2530" s="51">
        <v>1952</v>
      </c>
      <c r="E2530" s="51">
        <v>13173</v>
      </c>
      <c r="F2530" s="52">
        <v>5356</v>
      </c>
      <c r="G2530" s="53">
        <v>40.658923999999999</v>
      </c>
    </row>
    <row r="2531" spans="1:7">
      <c r="A2531" s="50" t="s">
        <v>1821</v>
      </c>
      <c r="B2531" s="50" t="s">
        <v>102</v>
      </c>
      <c r="C2531" s="50" t="s">
        <v>332</v>
      </c>
      <c r="D2531" s="51">
        <v>1</v>
      </c>
      <c r="E2531" s="51">
        <v>1148</v>
      </c>
      <c r="F2531" s="52">
        <v>45.7</v>
      </c>
      <c r="G2531" s="53">
        <v>3.9808362000000002</v>
      </c>
    </row>
    <row r="2532" spans="1:7">
      <c r="A2532" s="50" t="s">
        <v>1276</v>
      </c>
      <c r="B2532" s="50" t="s">
        <v>102</v>
      </c>
      <c r="C2532" s="50" t="s">
        <v>242</v>
      </c>
      <c r="D2532" s="51">
        <v>4875</v>
      </c>
      <c r="E2532" s="51">
        <v>54299</v>
      </c>
      <c r="F2532" s="52">
        <v>8037</v>
      </c>
      <c r="G2532" s="53">
        <v>14.801378</v>
      </c>
    </row>
    <row r="2533" spans="1:7">
      <c r="A2533" s="50" t="s">
        <v>343</v>
      </c>
      <c r="B2533" s="50" t="s">
        <v>102</v>
      </c>
      <c r="C2533" s="50" t="s">
        <v>332</v>
      </c>
      <c r="D2533" s="51">
        <v>309</v>
      </c>
      <c r="E2533" s="51">
        <v>3098</v>
      </c>
      <c r="F2533" s="52">
        <v>353</v>
      </c>
      <c r="G2533" s="53">
        <v>11.394448000000001</v>
      </c>
    </row>
    <row r="2534" spans="1:7">
      <c r="A2534" s="50" t="s">
        <v>349</v>
      </c>
      <c r="B2534" s="50" t="s">
        <v>102</v>
      </c>
      <c r="C2534" s="50" t="s">
        <v>332</v>
      </c>
      <c r="D2534" s="51">
        <v>383</v>
      </c>
      <c r="E2534" s="51">
        <v>2408</v>
      </c>
      <c r="F2534" s="52">
        <v>397.7</v>
      </c>
      <c r="G2534" s="53">
        <v>16.515781</v>
      </c>
    </row>
    <row r="2535" spans="1:7">
      <c r="A2535" s="50" t="s">
        <v>350</v>
      </c>
      <c r="B2535" s="50" t="s">
        <v>102</v>
      </c>
      <c r="C2535" s="50" t="s">
        <v>332</v>
      </c>
      <c r="D2535" s="51">
        <v>360</v>
      </c>
      <c r="E2535" s="51">
        <v>1591</v>
      </c>
      <c r="F2535" s="52">
        <v>353</v>
      </c>
      <c r="G2535" s="53">
        <v>22.187304000000001</v>
      </c>
    </row>
    <row r="2536" spans="1:7">
      <c r="A2536" s="50" t="s">
        <v>1277</v>
      </c>
      <c r="B2536" s="50" t="s">
        <v>102</v>
      </c>
      <c r="C2536" s="50" t="s">
        <v>237</v>
      </c>
      <c r="D2536" s="51">
        <v>435889</v>
      </c>
      <c r="E2536" s="51">
        <v>3944340</v>
      </c>
      <c r="F2536" s="52">
        <v>793671.5</v>
      </c>
      <c r="G2536" s="53">
        <v>20.121782</v>
      </c>
    </row>
    <row r="2537" spans="1:7">
      <c r="A2537" s="50" t="s">
        <v>356</v>
      </c>
      <c r="B2537" s="50" t="s">
        <v>102</v>
      </c>
      <c r="C2537" s="50" t="s">
        <v>332</v>
      </c>
      <c r="D2537" s="51">
        <v>98</v>
      </c>
      <c r="E2537" s="51">
        <v>508</v>
      </c>
      <c r="F2537" s="52">
        <v>93.4</v>
      </c>
      <c r="G2537" s="53">
        <v>18.385826999999999</v>
      </c>
    </row>
    <row r="2538" spans="1:7">
      <c r="A2538" s="50" t="s">
        <v>1278</v>
      </c>
      <c r="B2538" s="50" t="s">
        <v>104</v>
      </c>
      <c r="C2538" s="50" t="s">
        <v>240</v>
      </c>
      <c r="D2538" s="51">
        <v>48059</v>
      </c>
      <c r="E2538" s="51">
        <v>938436</v>
      </c>
      <c r="F2538" s="52">
        <v>115739.8</v>
      </c>
      <c r="G2538" s="53">
        <v>12.333265000000001</v>
      </c>
    </row>
    <row r="2539" spans="1:7">
      <c r="A2539" s="50" t="s">
        <v>2171</v>
      </c>
      <c r="B2539" s="50" t="s">
        <v>104</v>
      </c>
      <c r="C2539" s="50" t="s">
        <v>242</v>
      </c>
      <c r="D2539" s="51">
        <v>2058</v>
      </c>
      <c r="E2539" s="51">
        <v>45866</v>
      </c>
      <c r="F2539" s="52">
        <v>5604</v>
      </c>
      <c r="G2539" s="53">
        <v>12.218201000000001</v>
      </c>
    </row>
    <row r="2540" spans="1:7">
      <c r="A2540" s="50" t="s">
        <v>1279</v>
      </c>
      <c r="B2540" s="50" t="s">
        <v>104</v>
      </c>
      <c r="C2540" s="50" t="s">
        <v>240</v>
      </c>
      <c r="D2540" s="51">
        <v>104044</v>
      </c>
      <c r="E2540" s="51">
        <v>3290736</v>
      </c>
      <c r="F2540" s="52">
        <v>317540</v>
      </c>
      <c r="G2540" s="53">
        <v>9.6495131000000001</v>
      </c>
    </row>
    <row r="2541" spans="1:7">
      <c r="A2541" s="50" t="s">
        <v>1280</v>
      </c>
      <c r="B2541" s="50" t="s">
        <v>104</v>
      </c>
      <c r="C2541" s="50" t="s">
        <v>240</v>
      </c>
      <c r="D2541" s="51">
        <v>32714</v>
      </c>
      <c r="E2541" s="51">
        <v>704689</v>
      </c>
      <c r="F2541" s="52">
        <v>80221.3</v>
      </c>
      <c r="G2541" s="53">
        <v>11.383929999999999</v>
      </c>
    </row>
    <row r="2542" spans="1:7">
      <c r="A2542" s="50" t="s">
        <v>1281</v>
      </c>
      <c r="B2542" s="50" t="s">
        <v>104</v>
      </c>
      <c r="C2542" s="50" t="s">
        <v>240</v>
      </c>
      <c r="D2542" s="51">
        <v>66733</v>
      </c>
      <c r="E2542" s="51">
        <v>1089406</v>
      </c>
      <c r="F2542" s="52">
        <v>149335.9</v>
      </c>
      <c r="G2542" s="53">
        <v>13.708012</v>
      </c>
    </row>
    <row r="2543" spans="1:7">
      <c r="A2543" s="50" t="s">
        <v>913</v>
      </c>
      <c r="B2543" s="50" t="s">
        <v>104</v>
      </c>
      <c r="C2543" s="50" t="s">
        <v>240</v>
      </c>
      <c r="D2543" s="51">
        <v>21661</v>
      </c>
      <c r="E2543" s="51">
        <v>389925</v>
      </c>
      <c r="F2543" s="52">
        <v>50904.9</v>
      </c>
      <c r="G2543" s="53">
        <v>13.055049</v>
      </c>
    </row>
    <row r="2544" spans="1:7">
      <c r="A2544" s="50" t="s">
        <v>2172</v>
      </c>
      <c r="B2544" s="50" t="s">
        <v>104</v>
      </c>
      <c r="C2544" s="50" t="s">
        <v>242</v>
      </c>
      <c r="D2544" s="51">
        <v>3844</v>
      </c>
      <c r="E2544" s="51">
        <v>58000</v>
      </c>
      <c r="F2544" s="52">
        <v>7536</v>
      </c>
      <c r="G2544" s="53">
        <v>12.993103</v>
      </c>
    </row>
    <row r="2545" spans="1:7">
      <c r="A2545" s="50" t="s">
        <v>1282</v>
      </c>
      <c r="B2545" s="50" t="s">
        <v>104</v>
      </c>
      <c r="C2545" s="50" t="s">
        <v>242</v>
      </c>
      <c r="D2545" s="51">
        <v>4373</v>
      </c>
      <c r="E2545" s="51">
        <v>79716</v>
      </c>
      <c r="F2545" s="52">
        <v>9716</v>
      </c>
      <c r="G2545" s="53">
        <v>12.188268000000001</v>
      </c>
    </row>
    <row r="2546" spans="1:7">
      <c r="A2546" s="50" t="s">
        <v>1283</v>
      </c>
      <c r="B2546" s="50" t="s">
        <v>104</v>
      </c>
      <c r="C2546" s="50" t="s">
        <v>242</v>
      </c>
      <c r="D2546" s="51">
        <v>10924</v>
      </c>
      <c r="E2546" s="51">
        <v>177560</v>
      </c>
      <c r="F2546" s="52">
        <v>22666</v>
      </c>
      <c r="G2546" s="53">
        <v>12.765262</v>
      </c>
    </row>
    <row r="2547" spans="1:7">
      <c r="A2547" s="50" t="s">
        <v>2173</v>
      </c>
      <c r="B2547" s="50" t="s">
        <v>104</v>
      </c>
      <c r="C2547" s="50" t="s">
        <v>242</v>
      </c>
      <c r="D2547" s="51">
        <v>485</v>
      </c>
      <c r="E2547" s="51">
        <v>12262</v>
      </c>
      <c r="F2547" s="52">
        <v>1351</v>
      </c>
      <c r="G2547" s="53">
        <v>11.017779000000001</v>
      </c>
    </row>
    <row r="2548" spans="1:7">
      <c r="A2548" s="50" t="s">
        <v>1284</v>
      </c>
      <c r="B2548" s="50" t="s">
        <v>104</v>
      </c>
      <c r="C2548" s="50" t="s">
        <v>242</v>
      </c>
      <c r="D2548" s="51">
        <v>7407</v>
      </c>
      <c r="E2548" s="51">
        <v>230921</v>
      </c>
      <c r="F2548" s="52">
        <v>24526</v>
      </c>
      <c r="G2548" s="53">
        <v>10.620948</v>
      </c>
    </row>
    <row r="2549" spans="1:7">
      <c r="A2549" s="50" t="s">
        <v>1285</v>
      </c>
      <c r="B2549" s="50" t="s">
        <v>104</v>
      </c>
      <c r="C2549" s="50" t="s">
        <v>242</v>
      </c>
      <c r="D2549" s="51">
        <v>5005</v>
      </c>
      <c r="E2549" s="51">
        <v>130276</v>
      </c>
      <c r="F2549" s="52">
        <v>11297</v>
      </c>
      <c r="G2549" s="53">
        <v>8.6715894999999996</v>
      </c>
    </row>
    <row r="2550" spans="1:7">
      <c r="A2550" s="50" t="s">
        <v>1286</v>
      </c>
      <c r="B2550" s="50" t="s">
        <v>104</v>
      </c>
      <c r="C2550" s="50" t="s">
        <v>242</v>
      </c>
      <c r="D2550" s="51">
        <v>5362</v>
      </c>
      <c r="E2550" s="51">
        <v>112229</v>
      </c>
      <c r="F2550" s="52">
        <v>13303</v>
      </c>
      <c r="G2550" s="53">
        <v>11.853443</v>
      </c>
    </row>
    <row r="2551" spans="1:7">
      <c r="A2551" s="50" t="s">
        <v>1287</v>
      </c>
      <c r="B2551" s="50" t="s">
        <v>104</v>
      </c>
      <c r="C2551" s="50" t="s">
        <v>242</v>
      </c>
      <c r="D2551" s="51">
        <v>4907</v>
      </c>
      <c r="E2551" s="51">
        <v>206595</v>
      </c>
      <c r="F2551" s="52">
        <v>24212</v>
      </c>
      <c r="G2551" s="53">
        <v>11.719548</v>
      </c>
    </row>
    <row r="2552" spans="1:7">
      <c r="A2552" s="50" t="s">
        <v>1288</v>
      </c>
      <c r="B2552" s="50" t="s">
        <v>104</v>
      </c>
      <c r="C2552" s="50" t="s">
        <v>242</v>
      </c>
      <c r="D2552" s="51">
        <v>24421</v>
      </c>
      <c r="E2552" s="51">
        <v>838932</v>
      </c>
      <c r="F2552" s="52">
        <v>76773</v>
      </c>
      <c r="G2552" s="53">
        <v>9.1512781000000007</v>
      </c>
    </row>
    <row r="2553" spans="1:7">
      <c r="A2553" s="50" t="s">
        <v>1289</v>
      </c>
      <c r="B2553" s="50" t="s">
        <v>104</v>
      </c>
      <c r="C2553" s="50" t="s">
        <v>242</v>
      </c>
      <c r="D2553" s="51">
        <v>39471</v>
      </c>
      <c r="E2553" s="51">
        <v>849164</v>
      </c>
      <c r="F2553" s="52">
        <v>108641.3</v>
      </c>
      <c r="G2553" s="53">
        <v>12.793913</v>
      </c>
    </row>
    <row r="2554" spans="1:7">
      <c r="A2554" s="50" t="s">
        <v>1290</v>
      </c>
      <c r="B2554" s="50" t="s">
        <v>104</v>
      </c>
      <c r="C2554" s="50" t="s">
        <v>242</v>
      </c>
      <c r="D2554" s="51">
        <v>7629</v>
      </c>
      <c r="E2554" s="51">
        <v>137043</v>
      </c>
      <c r="F2554" s="52">
        <v>16491.7</v>
      </c>
      <c r="G2554" s="53">
        <v>12.03396</v>
      </c>
    </row>
    <row r="2555" spans="1:7">
      <c r="A2555" s="50" t="s">
        <v>1291</v>
      </c>
      <c r="B2555" s="50" t="s">
        <v>104</v>
      </c>
      <c r="C2555" s="50" t="s">
        <v>242</v>
      </c>
      <c r="D2555" s="51">
        <v>6969</v>
      </c>
      <c r="E2555" s="51">
        <v>132939</v>
      </c>
      <c r="F2555" s="52">
        <v>16834</v>
      </c>
      <c r="G2555" s="53">
        <v>12.662951</v>
      </c>
    </row>
    <row r="2556" spans="1:7">
      <c r="A2556" s="50" t="s">
        <v>2174</v>
      </c>
      <c r="B2556" s="50" t="s">
        <v>104</v>
      </c>
      <c r="C2556" s="50" t="s">
        <v>242</v>
      </c>
      <c r="D2556" s="51">
        <v>1490</v>
      </c>
      <c r="E2556" s="51">
        <v>25263</v>
      </c>
      <c r="F2556" s="52">
        <v>3954</v>
      </c>
      <c r="G2556" s="53">
        <v>15.651348</v>
      </c>
    </row>
    <row r="2557" spans="1:7">
      <c r="A2557" s="50" t="s">
        <v>1292</v>
      </c>
      <c r="B2557" s="50" t="s">
        <v>104</v>
      </c>
      <c r="C2557" s="50" t="s">
        <v>242</v>
      </c>
      <c r="D2557" s="51">
        <v>4056</v>
      </c>
      <c r="E2557" s="51">
        <v>103117</v>
      </c>
      <c r="F2557" s="52">
        <v>13141</v>
      </c>
      <c r="G2557" s="53">
        <v>12.743776</v>
      </c>
    </row>
    <row r="2558" spans="1:7">
      <c r="A2558" s="50" t="s">
        <v>1293</v>
      </c>
      <c r="B2558" s="50" t="s">
        <v>104</v>
      </c>
      <c r="C2558" s="50" t="s">
        <v>240</v>
      </c>
      <c r="D2558" s="51">
        <v>11683</v>
      </c>
      <c r="E2558" s="51">
        <v>176420</v>
      </c>
      <c r="F2558" s="52">
        <v>27222.9</v>
      </c>
      <c r="G2558" s="53">
        <v>15.430733</v>
      </c>
    </row>
    <row r="2559" spans="1:7">
      <c r="A2559" s="50" t="s">
        <v>2175</v>
      </c>
      <c r="B2559" s="50" t="s">
        <v>104</v>
      </c>
      <c r="C2559" s="50" t="s">
        <v>237</v>
      </c>
      <c r="D2559" s="51">
        <v>743780</v>
      </c>
      <c r="E2559" s="51">
        <v>21983940</v>
      </c>
      <c r="F2559" s="52">
        <v>2453064</v>
      </c>
      <c r="G2559" s="53">
        <v>11.158436999999999</v>
      </c>
    </row>
    <row r="2560" spans="1:7">
      <c r="A2560" s="50" t="s">
        <v>936</v>
      </c>
      <c r="B2560" s="50" t="s">
        <v>104</v>
      </c>
      <c r="C2560" s="50" t="s">
        <v>237</v>
      </c>
      <c r="D2560" s="51">
        <v>603453</v>
      </c>
      <c r="E2560" s="51">
        <v>21388684</v>
      </c>
      <c r="F2560" s="52">
        <v>1822466.5</v>
      </c>
      <c r="G2560" s="53">
        <v>8.5207042000000008</v>
      </c>
    </row>
    <row r="2561" spans="1:7">
      <c r="A2561" s="50" t="s">
        <v>937</v>
      </c>
      <c r="B2561" s="50" t="s">
        <v>104</v>
      </c>
      <c r="C2561" s="50" t="s">
        <v>237</v>
      </c>
      <c r="D2561" s="51">
        <v>169885</v>
      </c>
      <c r="E2561" s="51">
        <v>6297009</v>
      </c>
      <c r="F2561" s="52">
        <v>583573.30000000005</v>
      </c>
      <c r="G2561" s="53">
        <v>9.2674681000000003</v>
      </c>
    </row>
    <row r="2562" spans="1:7">
      <c r="A2562" s="50" t="s">
        <v>1294</v>
      </c>
      <c r="B2562" s="50" t="s">
        <v>104</v>
      </c>
      <c r="C2562" s="50" t="s">
        <v>242</v>
      </c>
      <c r="D2562" s="51">
        <v>14957</v>
      </c>
      <c r="E2562" s="51">
        <v>296592</v>
      </c>
      <c r="F2562" s="52">
        <v>36909</v>
      </c>
      <c r="G2562" s="53">
        <v>12.444368000000001</v>
      </c>
    </row>
    <row r="2563" spans="1:7">
      <c r="A2563" s="50" t="s">
        <v>1295</v>
      </c>
      <c r="B2563" s="50" t="s">
        <v>104</v>
      </c>
      <c r="C2563" s="50" t="s">
        <v>240</v>
      </c>
      <c r="D2563" s="51">
        <v>20308</v>
      </c>
      <c r="E2563" s="51">
        <v>376856</v>
      </c>
      <c r="F2563" s="52">
        <v>49640.4</v>
      </c>
      <c r="G2563" s="53">
        <v>13.172245999999999</v>
      </c>
    </row>
    <row r="2564" spans="1:7">
      <c r="A2564" s="50" t="s">
        <v>1296</v>
      </c>
      <c r="B2564" s="50" t="s">
        <v>104</v>
      </c>
      <c r="C2564" s="50" t="s">
        <v>240</v>
      </c>
      <c r="D2564" s="51">
        <v>29843</v>
      </c>
      <c r="E2564" s="51">
        <v>679003</v>
      </c>
      <c r="F2564" s="52">
        <v>75823</v>
      </c>
      <c r="G2564" s="53">
        <v>11.166814</v>
      </c>
    </row>
    <row r="2565" spans="1:7">
      <c r="A2565" s="50" t="s">
        <v>1821</v>
      </c>
      <c r="B2565" s="50" t="s">
        <v>104</v>
      </c>
      <c r="C2565" s="50" t="s">
        <v>332</v>
      </c>
      <c r="D2565" s="51">
        <v>1</v>
      </c>
      <c r="E2565" s="51">
        <v>3277</v>
      </c>
      <c r="F2565" s="52">
        <v>496.8</v>
      </c>
      <c r="G2565" s="53">
        <v>15.160208000000001</v>
      </c>
    </row>
    <row r="2566" spans="1:7">
      <c r="A2566" s="50" t="s">
        <v>1297</v>
      </c>
      <c r="B2566" s="50" t="s">
        <v>104</v>
      </c>
      <c r="C2566" s="50" t="s">
        <v>242</v>
      </c>
      <c r="D2566" s="51">
        <v>14128</v>
      </c>
      <c r="E2566" s="51">
        <v>303784</v>
      </c>
      <c r="F2566" s="52">
        <v>22747</v>
      </c>
      <c r="G2566" s="53">
        <v>7.4878860999999999</v>
      </c>
    </row>
    <row r="2567" spans="1:7">
      <c r="A2567" s="50" t="s">
        <v>1298</v>
      </c>
      <c r="B2567" s="50" t="s">
        <v>104</v>
      </c>
      <c r="C2567" s="50" t="s">
        <v>242</v>
      </c>
      <c r="D2567" s="51">
        <v>27976</v>
      </c>
      <c r="E2567" s="51">
        <v>389031</v>
      </c>
      <c r="F2567" s="52">
        <v>46891</v>
      </c>
      <c r="G2567" s="53">
        <v>12.053281</v>
      </c>
    </row>
    <row r="2568" spans="1:7">
      <c r="A2568" s="50" t="s">
        <v>504</v>
      </c>
      <c r="B2568" s="50" t="s">
        <v>104</v>
      </c>
      <c r="C2568" s="50" t="s">
        <v>240</v>
      </c>
      <c r="D2568" s="51">
        <v>14</v>
      </c>
      <c r="E2568" s="51">
        <v>78</v>
      </c>
      <c r="F2568" s="52">
        <v>14</v>
      </c>
      <c r="G2568" s="53">
        <v>17.948718</v>
      </c>
    </row>
    <row r="2569" spans="1:7">
      <c r="A2569" s="50" t="s">
        <v>1299</v>
      </c>
      <c r="B2569" s="50" t="s">
        <v>104</v>
      </c>
      <c r="C2569" s="50" t="s">
        <v>240</v>
      </c>
      <c r="D2569" s="51">
        <v>81919</v>
      </c>
      <c r="E2569" s="51">
        <v>1209397</v>
      </c>
      <c r="F2569" s="52">
        <v>165224</v>
      </c>
      <c r="G2569" s="53">
        <v>13.661683999999999</v>
      </c>
    </row>
    <row r="2570" spans="1:7">
      <c r="A2570" s="50" t="s">
        <v>1300</v>
      </c>
      <c r="B2570" s="50" t="s">
        <v>104</v>
      </c>
      <c r="C2570" s="50" t="s">
        <v>240</v>
      </c>
      <c r="D2570" s="51">
        <v>59031</v>
      </c>
      <c r="E2570" s="51">
        <v>1091160</v>
      </c>
      <c r="F2570" s="52">
        <v>136923</v>
      </c>
      <c r="G2570" s="53">
        <v>12.548389</v>
      </c>
    </row>
    <row r="2571" spans="1:7">
      <c r="A2571" s="50" t="s">
        <v>1301</v>
      </c>
      <c r="B2571" s="50" t="s">
        <v>104</v>
      </c>
      <c r="C2571" s="50" t="s">
        <v>240</v>
      </c>
      <c r="D2571" s="51">
        <v>14347</v>
      </c>
      <c r="E2571" s="51">
        <v>190933</v>
      </c>
      <c r="F2571" s="52">
        <v>28425.9</v>
      </c>
      <c r="G2571" s="53">
        <v>14.887893</v>
      </c>
    </row>
    <row r="2572" spans="1:7">
      <c r="A2572" s="50" t="s">
        <v>1302</v>
      </c>
      <c r="B2572" s="50" t="s">
        <v>104</v>
      </c>
      <c r="C2572" s="50" t="s">
        <v>237</v>
      </c>
      <c r="D2572" s="51">
        <v>6177</v>
      </c>
      <c r="E2572" s="51">
        <v>201032</v>
      </c>
      <c r="F2572" s="52">
        <v>18932.900000000001</v>
      </c>
      <c r="G2572" s="53">
        <v>9.4178539000000008</v>
      </c>
    </row>
    <row r="2573" spans="1:7">
      <c r="A2573" s="50" t="s">
        <v>1303</v>
      </c>
      <c r="B2573" s="50" t="s">
        <v>104</v>
      </c>
      <c r="C2573" s="50" t="s">
        <v>240</v>
      </c>
      <c r="D2573" s="51">
        <v>21486</v>
      </c>
      <c r="E2573" s="51">
        <v>450257</v>
      </c>
      <c r="F2573" s="52">
        <v>52453</v>
      </c>
      <c r="G2573" s="53">
        <v>11.649569</v>
      </c>
    </row>
    <row r="2574" spans="1:7">
      <c r="A2574" s="50" t="s">
        <v>1304</v>
      </c>
      <c r="B2574" s="50" t="s">
        <v>104</v>
      </c>
      <c r="C2574" s="50" t="s">
        <v>240</v>
      </c>
      <c r="D2574" s="51">
        <v>6477</v>
      </c>
      <c r="E2574" s="51">
        <v>909656</v>
      </c>
      <c r="F2574" s="52">
        <v>67678</v>
      </c>
      <c r="G2574" s="53">
        <v>7.4399553000000003</v>
      </c>
    </row>
    <row r="2575" spans="1:7">
      <c r="A2575" s="50" t="s">
        <v>1305</v>
      </c>
      <c r="B2575" s="50" t="s">
        <v>104</v>
      </c>
      <c r="C2575" s="50" t="s">
        <v>240</v>
      </c>
      <c r="D2575" s="51">
        <v>57040</v>
      </c>
      <c r="E2575" s="51">
        <v>1042517</v>
      </c>
      <c r="F2575" s="52">
        <v>129344.4</v>
      </c>
      <c r="G2575" s="53">
        <v>12.406934</v>
      </c>
    </row>
    <row r="2576" spans="1:7">
      <c r="A2576" s="50" t="s">
        <v>1306</v>
      </c>
      <c r="B2576" s="50" t="s">
        <v>104</v>
      </c>
      <c r="C2576" s="50" t="s">
        <v>240</v>
      </c>
      <c r="D2576" s="51">
        <v>13050</v>
      </c>
      <c r="E2576" s="51">
        <v>348510</v>
      </c>
      <c r="F2576" s="52">
        <v>37227</v>
      </c>
      <c r="G2576" s="53">
        <v>10.681759</v>
      </c>
    </row>
    <row r="2577" spans="1:7">
      <c r="A2577" s="50" t="s">
        <v>1307</v>
      </c>
      <c r="B2577" s="50" t="s">
        <v>104</v>
      </c>
      <c r="C2577" s="50" t="s">
        <v>240</v>
      </c>
      <c r="D2577" s="51">
        <v>74071</v>
      </c>
      <c r="E2577" s="51">
        <v>1510043</v>
      </c>
      <c r="F2577" s="52">
        <v>171319</v>
      </c>
      <c r="G2577" s="53">
        <v>11.345306000000001</v>
      </c>
    </row>
    <row r="2578" spans="1:7">
      <c r="A2578" s="50" t="s">
        <v>1308</v>
      </c>
      <c r="B2578" s="50" t="s">
        <v>104</v>
      </c>
      <c r="C2578" s="50" t="s">
        <v>240</v>
      </c>
      <c r="D2578" s="51">
        <v>30490</v>
      </c>
      <c r="E2578" s="51">
        <v>706695</v>
      </c>
      <c r="F2578" s="52">
        <v>83592</v>
      </c>
      <c r="G2578" s="53">
        <v>11.828582000000001</v>
      </c>
    </row>
    <row r="2579" spans="1:7">
      <c r="A2579" s="50" t="s">
        <v>1309</v>
      </c>
      <c r="B2579" s="50" t="s">
        <v>104</v>
      </c>
      <c r="C2579" s="50" t="s">
        <v>240</v>
      </c>
      <c r="D2579" s="51">
        <v>43484</v>
      </c>
      <c r="E2579" s="51">
        <v>1243324</v>
      </c>
      <c r="F2579" s="52">
        <v>131153</v>
      </c>
      <c r="G2579" s="53">
        <v>10.548577999999999</v>
      </c>
    </row>
    <row r="2580" spans="1:7">
      <c r="A2580" s="50" t="s">
        <v>1310</v>
      </c>
      <c r="B2580" s="50" t="s">
        <v>104</v>
      </c>
      <c r="C2580" s="50" t="s">
        <v>2</v>
      </c>
      <c r="D2580" s="51">
        <v>189205</v>
      </c>
      <c r="E2580" s="51">
        <v>8318204</v>
      </c>
      <c r="F2580" s="52">
        <v>632999</v>
      </c>
      <c r="G2580" s="53">
        <v>7.6098037999999999</v>
      </c>
    </row>
    <row r="2581" spans="1:7">
      <c r="A2581" s="50" t="s">
        <v>350</v>
      </c>
      <c r="B2581" s="50" t="s">
        <v>104</v>
      </c>
      <c r="C2581" s="50" t="s">
        <v>332</v>
      </c>
      <c r="D2581" s="51">
        <v>6737</v>
      </c>
      <c r="E2581" s="51">
        <v>70707</v>
      </c>
      <c r="F2581" s="52">
        <v>10130</v>
      </c>
      <c r="G2581" s="53">
        <v>14.326729</v>
      </c>
    </row>
    <row r="2582" spans="1:7">
      <c r="A2582" s="50" t="s">
        <v>2176</v>
      </c>
      <c r="B2582" s="50" t="s">
        <v>104</v>
      </c>
      <c r="C2582" s="50" t="s">
        <v>242</v>
      </c>
      <c r="D2582" s="51">
        <v>1090</v>
      </c>
      <c r="E2582" s="51">
        <v>17352</v>
      </c>
      <c r="F2582" s="52">
        <v>2358</v>
      </c>
      <c r="G2582" s="53">
        <v>13.589212</v>
      </c>
    </row>
    <row r="2583" spans="1:7">
      <c r="A2583" s="50" t="s">
        <v>2177</v>
      </c>
      <c r="B2583" s="50" t="s">
        <v>104</v>
      </c>
      <c r="C2583" s="50" t="s">
        <v>242</v>
      </c>
      <c r="D2583" s="51">
        <v>817</v>
      </c>
      <c r="E2583" s="51">
        <v>10749</v>
      </c>
      <c r="F2583" s="52">
        <v>1494</v>
      </c>
      <c r="G2583" s="53">
        <v>13.898967000000001</v>
      </c>
    </row>
    <row r="2584" spans="1:7">
      <c r="A2584" s="50" t="s">
        <v>2178</v>
      </c>
      <c r="B2584" s="50" t="s">
        <v>104</v>
      </c>
      <c r="C2584" s="50" t="s">
        <v>242</v>
      </c>
      <c r="D2584" s="51">
        <v>3163</v>
      </c>
      <c r="E2584" s="51">
        <v>52164</v>
      </c>
      <c r="F2584" s="52">
        <v>6612</v>
      </c>
      <c r="G2584" s="53">
        <v>12.675407999999999</v>
      </c>
    </row>
    <row r="2585" spans="1:7">
      <c r="A2585" s="50" t="s">
        <v>2179</v>
      </c>
      <c r="B2585" s="50" t="s">
        <v>104</v>
      </c>
      <c r="C2585" s="50" t="s">
        <v>240</v>
      </c>
      <c r="D2585" s="51">
        <v>18085</v>
      </c>
      <c r="E2585" s="51">
        <v>305973</v>
      </c>
      <c r="F2585" s="52">
        <v>43931.9</v>
      </c>
      <c r="G2585" s="53">
        <v>14.358097000000001</v>
      </c>
    </row>
    <row r="2586" spans="1:7">
      <c r="A2586" s="50" t="s">
        <v>356</v>
      </c>
      <c r="B2586" s="50" t="s">
        <v>104</v>
      </c>
      <c r="C2586" s="50" t="s">
        <v>332</v>
      </c>
      <c r="D2586" s="51">
        <v>902</v>
      </c>
      <c r="E2586" s="51">
        <v>8800</v>
      </c>
      <c r="F2586" s="52">
        <v>1240.3</v>
      </c>
      <c r="G2586" s="53">
        <v>14.094317999999999</v>
      </c>
    </row>
    <row r="2587" spans="1:7">
      <c r="A2587" s="50" t="s">
        <v>973</v>
      </c>
      <c r="B2587" s="50" t="s">
        <v>104</v>
      </c>
      <c r="C2587" s="50" t="s">
        <v>240</v>
      </c>
      <c r="D2587" s="51">
        <v>62320</v>
      </c>
      <c r="E2587" s="51">
        <v>1070398</v>
      </c>
      <c r="F2587" s="52">
        <v>126054</v>
      </c>
      <c r="G2587" s="53">
        <v>11.776367</v>
      </c>
    </row>
    <row r="2588" spans="1:7">
      <c r="A2588" s="50" t="s">
        <v>1311</v>
      </c>
      <c r="B2588" s="50" t="s">
        <v>107</v>
      </c>
      <c r="C2588" s="50" t="s">
        <v>240</v>
      </c>
      <c r="D2588" s="51">
        <v>10265</v>
      </c>
      <c r="E2588" s="51">
        <v>153893</v>
      </c>
      <c r="F2588" s="52">
        <v>21270.799999999999</v>
      </c>
      <c r="G2588" s="53">
        <v>13.821811</v>
      </c>
    </row>
    <row r="2589" spans="1:7">
      <c r="A2589" s="50" t="s">
        <v>891</v>
      </c>
      <c r="B2589" s="50" t="s">
        <v>107</v>
      </c>
      <c r="C2589" s="50" t="s">
        <v>237</v>
      </c>
      <c r="D2589" s="51">
        <v>70358</v>
      </c>
      <c r="E2589" s="51">
        <v>1502916</v>
      </c>
      <c r="F2589" s="52">
        <v>177915.8</v>
      </c>
      <c r="G2589" s="53">
        <v>11.838039999999999</v>
      </c>
    </row>
    <row r="2590" spans="1:7">
      <c r="A2590" s="50" t="s">
        <v>1312</v>
      </c>
      <c r="B2590" s="50" t="s">
        <v>107</v>
      </c>
      <c r="C2590" s="50" t="s">
        <v>240</v>
      </c>
      <c r="D2590" s="51">
        <v>3717</v>
      </c>
      <c r="E2590" s="51">
        <v>94330</v>
      </c>
      <c r="F2590" s="52">
        <v>10610.8</v>
      </c>
      <c r="G2590" s="53">
        <v>11.248595</v>
      </c>
    </row>
    <row r="2591" spans="1:7">
      <c r="A2591" s="50" t="s">
        <v>1313</v>
      </c>
      <c r="B2591" s="50" t="s">
        <v>107</v>
      </c>
      <c r="C2591" s="50" t="s">
        <v>240</v>
      </c>
      <c r="D2591" s="51">
        <v>6249</v>
      </c>
      <c r="E2591" s="51">
        <v>105858</v>
      </c>
      <c r="F2591" s="52">
        <v>14399.9</v>
      </c>
      <c r="G2591" s="53">
        <v>13.603033999999999</v>
      </c>
    </row>
    <row r="2592" spans="1:7">
      <c r="A2592" s="50" t="s">
        <v>1314</v>
      </c>
      <c r="B2592" s="50" t="s">
        <v>107</v>
      </c>
      <c r="C2592" s="50" t="s">
        <v>240</v>
      </c>
      <c r="D2592" s="51">
        <v>2474</v>
      </c>
      <c r="E2592" s="51">
        <v>60966</v>
      </c>
      <c r="F2592" s="52">
        <v>7308.5</v>
      </c>
      <c r="G2592" s="53">
        <v>11.987829</v>
      </c>
    </row>
    <row r="2593" spans="1:7">
      <c r="A2593" s="50" t="s">
        <v>1315</v>
      </c>
      <c r="B2593" s="50" t="s">
        <v>107</v>
      </c>
      <c r="C2593" s="50" t="s">
        <v>240</v>
      </c>
      <c r="D2593" s="51">
        <v>7214</v>
      </c>
      <c r="E2593" s="51">
        <v>335910</v>
      </c>
      <c r="F2593" s="52">
        <v>34109.300000000003</v>
      </c>
      <c r="G2593" s="53">
        <v>10.154297</v>
      </c>
    </row>
    <row r="2594" spans="1:7">
      <c r="A2594" s="50" t="s">
        <v>1316</v>
      </c>
      <c r="B2594" s="50" t="s">
        <v>107</v>
      </c>
      <c r="C2594" s="50" t="s">
        <v>240</v>
      </c>
      <c r="D2594" s="51">
        <v>2552</v>
      </c>
      <c r="E2594" s="51">
        <v>65653</v>
      </c>
      <c r="F2594" s="52">
        <v>8008</v>
      </c>
      <c r="G2594" s="53">
        <v>12.197462</v>
      </c>
    </row>
    <row r="2595" spans="1:7">
      <c r="A2595" s="50" t="s">
        <v>993</v>
      </c>
      <c r="B2595" s="50" t="s">
        <v>107</v>
      </c>
      <c r="C2595" s="50" t="s">
        <v>240</v>
      </c>
      <c r="D2595" s="51">
        <v>4884</v>
      </c>
      <c r="E2595" s="51">
        <v>110624</v>
      </c>
      <c r="F2595" s="52">
        <v>10631.9</v>
      </c>
      <c r="G2595" s="53">
        <v>9.6108439000000008</v>
      </c>
    </row>
    <row r="2596" spans="1:7">
      <c r="A2596" s="50" t="s">
        <v>2180</v>
      </c>
      <c r="B2596" s="50" t="s">
        <v>107</v>
      </c>
      <c r="C2596" s="50" t="s">
        <v>242</v>
      </c>
      <c r="D2596" s="51">
        <v>589</v>
      </c>
      <c r="E2596" s="51">
        <v>10770</v>
      </c>
      <c r="F2596" s="52">
        <v>1514.3</v>
      </c>
      <c r="G2596" s="53">
        <v>14.060352999999999</v>
      </c>
    </row>
    <row r="2597" spans="1:7">
      <c r="A2597" s="50" t="s">
        <v>2181</v>
      </c>
      <c r="B2597" s="50" t="s">
        <v>107</v>
      </c>
      <c r="C2597" s="50" t="s">
        <v>242</v>
      </c>
      <c r="D2597" s="51">
        <v>478</v>
      </c>
      <c r="E2597" s="51">
        <v>5997</v>
      </c>
      <c r="F2597" s="52">
        <v>644.4</v>
      </c>
      <c r="G2597" s="53">
        <v>10.745373000000001</v>
      </c>
    </row>
    <row r="2598" spans="1:7">
      <c r="A2598" s="50" t="s">
        <v>2182</v>
      </c>
      <c r="B2598" s="50" t="s">
        <v>107</v>
      </c>
      <c r="C2598" s="50" t="s">
        <v>242</v>
      </c>
      <c r="D2598" s="51">
        <v>83</v>
      </c>
      <c r="E2598" s="51">
        <v>1692</v>
      </c>
      <c r="F2598" s="52">
        <v>188.6</v>
      </c>
      <c r="G2598" s="53">
        <v>11.146572000000001</v>
      </c>
    </row>
    <row r="2599" spans="1:7">
      <c r="A2599" s="50" t="s">
        <v>1317</v>
      </c>
      <c r="B2599" s="50" t="s">
        <v>107</v>
      </c>
      <c r="C2599" s="50" t="s">
        <v>242</v>
      </c>
      <c r="D2599" s="51">
        <v>1206</v>
      </c>
      <c r="E2599" s="51">
        <v>32473</v>
      </c>
      <c r="F2599" s="52">
        <v>3782</v>
      </c>
      <c r="G2599" s="53">
        <v>11.646599</v>
      </c>
    </row>
    <row r="2600" spans="1:7">
      <c r="A2600" s="50" t="s">
        <v>2183</v>
      </c>
      <c r="B2600" s="50" t="s">
        <v>107</v>
      </c>
      <c r="C2600" s="50" t="s">
        <v>242</v>
      </c>
      <c r="D2600" s="51">
        <v>402</v>
      </c>
      <c r="E2600" s="51">
        <v>12417</v>
      </c>
      <c r="F2600" s="52">
        <v>1132</v>
      </c>
      <c r="G2600" s="53">
        <v>9.1165337999999991</v>
      </c>
    </row>
    <row r="2601" spans="1:7">
      <c r="A2601" s="50" t="s">
        <v>1318</v>
      </c>
      <c r="B2601" s="50" t="s">
        <v>107</v>
      </c>
      <c r="C2601" s="50" t="s">
        <v>242</v>
      </c>
      <c r="D2601" s="51">
        <v>11237</v>
      </c>
      <c r="E2601" s="51">
        <v>320884</v>
      </c>
      <c r="F2601" s="52">
        <v>29947</v>
      </c>
      <c r="G2601" s="53">
        <v>9.3326560000000001</v>
      </c>
    </row>
    <row r="2602" spans="1:7">
      <c r="A2602" s="50" t="s">
        <v>2184</v>
      </c>
      <c r="B2602" s="50" t="s">
        <v>107</v>
      </c>
      <c r="C2602" s="50" t="s">
        <v>242</v>
      </c>
      <c r="D2602" s="51">
        <v>249</v>
      </c>
      <c r="E2602" s="51">
        <v>3790</v>
      </c>
      <c r="F2602" s="52">
        <v>526.6</v>
      </c>
      <c r="G2602" s="53">
        <v>13.894458999999999</v>
      </c>
    </row>
    <row r="2603" spans="1:7">
      <c r="A2603" s="50" t="s">
        <v>2185</v>
      </c>
      <c r="B2603" s="50" t="s">
        <v>107</v>
      </c>
      <c r="C2603" s="50" t="s">
        <v>242</v>
      </c>
      <c r="D2603" s="51">
        <v>465</v>
      </c>
      <c r="E2603" s="51">
        <v>6904</v>
      </c>
      <c r="F2603" s="52">
        <v>635</v>
      </c>
      <c r="G2603" s="53">
        <v>9.1975666</v>
      </c>
    </row>
    <row r="2604" spans="1:7">
      <c r="A2604" s="50" t="s">
        <v>2186</v>
      </c>
      <c r="B2604" s="50" t="s">
        <v>107</v>
      </c>
      <c r="C2604" s="50" t="s">
        <v>242</v>
      </c>
      <c r="D2604" s="51">
        <v>355</v>
      </c>
      <c r="E2604" s="51">
        <v>10061</v>
      </c>
      <c r="F2604" s="52">
        <v>1007.3</v>
      </c>
      <c r="G2604" s="53">
        <v>10.011927</v>
      </c>
    </row>
    <row r="2605" spans="1:7">
      <c r="A2605" s="50" t="s">
        <v>2187</v>
      </c>
      <c r="B2605" s="50" t="s">
        <v>107</v>
      </c>
      <c r="C2605" s="50" t="s">
        <v>242</v>
      </c>
      <c r="D2605" s="51">
        <v>995</v>
      </c>
      <c r="E2605" s="51">
        <v>17975</v>
      </c>
      <c r="F2605" s="52">
        <v>2051</v>
      </c>
      <c r="G2605" s="53">
        <v>11.410292</v>
      </c>
    </row>
    <row r="2606" spans="1:7">
      <c r="A2606" s="50" t="s">
        <v>2188</v>
      </c>
      <c r="B2606" s="50" t="s">
        <v>107</v>
      </c>
      <c r="C2606" s="50" t="s">
        <v>242</v>
      </c>
      <c r="D2606" s="51">
        <v>408</v>
      </c>
      <c r="E2606" s="51">
        <v>7373</v>
      </c>
      <c r="F2606" s="52">
        <v>683.2</v>
      </c>
      <c r="G2606" s="53">
        <v>9.2662417000000001</v>
      </c>
    </row>
    <row r="2607" spans="1:7">
      <c r="A2607" s="50" t="s">
        <v>2189</v>
      </c>
      <c r="B2607" s="50" t="s">
        <v>107</v>
      </c>
      <c r="C2607" s="50" t="s">
        <v>242</v>
      </c>
      <c r="D2607" s="51">
        <v>269</v>
      </c>
      <c r="E2607" s="51">
        <v>5282</v>
      </c>
      <c r="F2607" s="52">
        <v>590</v>
      </c>
      <c r="G2607" s="53">
        <v>11.170011000000001</v>
      </c>
    </row>
    <row r="2608" spans="1:7">
      <c r="A2608" s="50" t="s">
        <v>1319</v>
      </c>
      <c r="B2608" s="50" t="s">
        <v>107</v>
      </c>
      <c r="C2608" s="50" t="s">
        <v>242</v>
      </c>
      <c r="D2608" s="51">
        <v>1363</v>
      </c>
      <c r="E2608" s="51">
        <v>28186</v>
      </c>
      <c r="F2608" s="52">
        <v>2870.9</v>
      </c>
      <c r="G2608" s="53">
        <v>10.185553000000001</v>
      </c>
    </row>
    <row r="2609" spans="1:7">
      <c r="A2609" s="50" t="s">
        <v>1320</v>
      </c>
      <c r="B2609" s="50" t="s">
        <v>107</v>
      </c>
      <c r="C2609" s="50" t="s">
        <v>242</v>
      </c>
      <c r="D2609" s="51">
        <v>1365</v>
      </c>
      <c r="E2609" s="51">
        <v>27682</v>
      </c>
      <c r="F2609" s="52">
        <v>2617</v>
      </c>
      <c r="G2609" s="53">
        <v>9.4537966999999998</v>
      </c>
    </row>
    <row r="2610" spans="1:7">
      <c r="A2610" s="50" t="s">
        <v>2190</v>
      </c>
      <c r="B2610" s="50" t="s">
        <v>107</v>
      </c>
      <c r="C2610" s="50" t="s">
        <v>242</v>
      </c>
      <c r="D2610" s="51">
        <v>577</v>
      </c>
      <c r="E2610" s="51">
        <v>16882</v>
      </c>
      <c r="F2610" s="52">
        <v>1768.9</v>
      </c>
      <c r="G2610" s="53">
        <v>10.478024</v>
      </c>
    </row>
    <row r="2611" spans="1:7">
      <c r="A2611" s="50" t="s">
        <v>2191</v>
      </c>
      <c r="B2611" s="50" t="s">
        <v>107</v>
      </c>
      <c r="C2611" s="50" t="s">
        <v>242</v>
      </c>
      <c r="D2611" s="51">
        <v>315</v>
      </c>
      <c r="E2611" s="51">
        <v>3657</v>
      </c>
      <c r="F2611" s="52">
        <v>356</v>
      </c>
      <c r="G2611" s="53">
        <v>9.7347552999999998</v>
      </c>
    </row>
    <row r="2612" spans="1:7">
      <c r="A2612" s="50" t="s">
        <v>2192</v>
      </c>
      <c r="B2612" s="50" t="s">
        <v>107</v>
      </c>
      <c r="C2612" s="50" t="s">
        <v>242</v>
      </c>
      <c r="D2612" s="51">
        <v>630</v>
      </c>
      <c r="E2612" s="51">
        <v>13568</v>
      </c>
      <c r="F2612" s="52">
        <v>1336.7</v>
      </c>
      <c r="G2612" s="53">
        <v>9.8518573000000007</v>
      </c>
    </row>
    <row r="2613" spans="1:7">
      <c r="A2613" s="50" t="s">
        <v>1321</v>
      </c>
      <c r="B2613" s="50" t="s">
        <v>107</v>
      </c>
      <c r="C2613" s="50" t="s">
        <v>242</v>
      </c>
      <c r="D2613" s="51">
        <v>3331</v>
      </c>
      <c r="E2613" s="51">
        <v>101133</v>
      </c>
      <c r="F2613" s="52">
        <v>10391</v>
      </c>
      <c r="G2613" s="53">
        <v>10.274589000000001</v>
      </c>
    </row>
    <row r="2614" spans="1:7">
      <c r="A2614" s="50" t="s">
        <v>2193</v>
      </c>
      <c r="B2614" s="50" t="s">
        <v>107</v>
      </c>
      <c r="C2614" s="50" t="s">
        <v>242</v>
      </c>
      <c r="D2614" s="51">
        <v>365</v>
      </c>
      <c r="E2614" s="51">
        <v>6491</v>
      </c>
      <c r="F2614" s="52">
        <v>635</v>
      </c>
      <c r="G2614" s="53">
        <v>9.7827762000000007</v>
      </c>
    </row>
    <row r="2615" spans="1:7">
      <c r="A2615" s="50" t="s">
        <v>1322</v>
      </c>
      <c r="B2615" s="50" t="s">
        <v>107</v>
      </c>
      <c r="C2615" s="50" t="s">
        <v>242</v>
      </c>
      <c r="D2615" s="51">
        <v>953</v>
      </c>
      <c r="E2615" s="51">
        <v>22318</v>
      </c>
      <c r="F2615" s="52">
        <v>2148</v>
      </c>
      <c r="G2615" s="53">
        <v>9.6245183000000001</v>
      </c>
    </row>
    <row r="2616" spans="1:7">
      <c r="A2616" s="50" t="s">
        <v>2194</v>
      </c>
      <c r="B2616" s="50" t="s">
        <v>107</v>
      </c>
      <c r="C2616" s="50" t="s">
        <v>242</v>
      </c>
      <c r="D2616" s="51">
        <v>578</v>
      </c>
      <c r="E2616" s="51">
        <v>9250</v>
      </c>
      <c r="F2616" s="52">
        <v>913</v>
      </c>
      <c r="G2616" s="53">
        <v>9.8702702999999996</v>
      </c>
    </row>
    <row r="2617" spans="1:7">
      <c r="A2617" s="50" t="s">
        <v>2195</v>
      </c>
      <c r="B2617" s="50" t="s">
        <v>107</v>
      </c>
      <c r="C2617" s="50" t="s">
        <v>242</v>
      </c>
      <c r="D2617" s="51">
        <v>597</v>
      </c>
      <c r="E2617" s="51">
        <v>10217</v>
      </c>
      <c r="F2617" s="52">
        <v>1123.2</v>
      </c>
      <c r="G2617" s="53">
        <v>10.993442</v>
      </c>
    </row>
    <row r="2618" spans="1:7">
      <c r="A2618" s="50" t="s">
        <v>1323</v>
      </c>
      <c r="B2618" s="50" t="s">
        <v>107</v>
      </c>
      <c r="C2618" s="50" t="s">
        <v>242</v>
      </c>
      <c r="D2618" s="51">
        <v>7357</v>
      </c>
      <c r="E2618" s="51">
        <v>174896</v>
      </c>
      <c r="F2618" s="52">
        <v>15455</v>
      </c>
      <c r="G2618" s="53">
        <v>8.8366801000000006</v>
      </c>
    </row>
    <row r="2619" spans="1:7">
      <c r="A2619" s="50" t="s">
        <v>2196</v>
      </c>
      <c r="B2619" s="50" t="s">
        <v>107</v>
      </c>
      <c r="C2619" s="50" t="s">
        <v>242</v>
      </c>
      <c r="D2619" s="51">
        <v>461</v>
      </c>
      <c r="E2619" s="51">
        <v>10272</v>
      </c>
      <c r="F2619" s="52">
        <v>1090.5</v>
      </c>
      <c r="G2619" s="53">
        <v>10.616237999999999</v>
      </c>
    </row>
    <row r="2620" spans="1:7">
      <c r="A2620" s="50" t="s">
        <v>1324</v>
      </c>
      <c r="B2620" s="50" t="s">
        <v>107</v>
      </c>
      <c r="C2620" s="50" t="s">
        <v>242</v>
      </c>
      <c r="D2620" s="51">
        <v>2919</v>
      </c>
      <c r="E2620" s="51">
        <v>83669</v>
      </c>
      <c r="F2620" s="52">
        <v>8745</v>
      </c>
      <c r="G2620" s="53">
        <v>10.4519</v>
      </c>
    </row>
    <row r="2621" spans="1:7">
      <c r="A2621" s="50" t="s">
        <v>2197</v>
      </c>
      <c r="B2621" s="50" t="s">
        <v>107</v>
      </c>
      <c r="C2621" s="50" t="s">
        <v>242</v>
      </c>
      <c r="D2621" s="51">
        <v>660</v>
      </c>
      <c r="E2621" s="51">
        <v>14194</v>
      </c>
      <c r="F2621" s="52">
        <v>1342.4</v>
      </c>
      <c r="G2621" s="53">
        <v>9.4575172999999992</v>
      </c>
    </row>
    <row r="2622" spans="1:7">
      <c r="A2622" s="50" t="s">
        <v>1325</v>
      </c>
      <c r="B2622" s="50" t="s">
        <v>107</v>
      </c>
      <c r="C2622" s="50" t="s">
        <v>242</v>
      </c>
      <c r="D2622" s="51">
        <v>4835</v>
      </c>
      <c r="E2622" s="51">
        <v>68266</v>
      </c>
      <c r="F2622" s="52">
        <v>6716</v>
      </c>
      <c r="G2622" s="53">
        <v>9.8379867000000001</v>
      </c>
    </row>
    <row r="2623" spans="1:7">
      <c r="A2623" s="50" t="s">
        <v>1326</v>
      </c>
      <c r="B2623" s="50" t="s">
        <v>107</v>
      </c>
      <c r="C2623" s="50" t="s">
        <v>242</v>
      </c>
      <c r="D2623" s="51">
        <v>1154</v>
      </c>
      <c r="E2623" s="51">
        <v>57957</v>
      </c>
      <c r="F2623" s="52">
        <v>5480.1</v>
      </c>
      <c r="G2623" s="53">
        <v>9.4554583999999995</v>
      </c>
    </row>
    <row r="2624" spans="1:7">
      <c r="A2624" s="50" t="s">
        <v>2198</v>
      </c>
      <c r="B2624" s="50" t="s">
        <v>107</v>
      </c>
      <c r="C2624" s="50" t="s">
        <v>242</v>
      </c>
      <c r="D2624" s="51">
        <v>801</v>
      </c>
      <c r="E2624" s="51">
        <v>11514</v>
      </c>
      <c r="F2624" s="52">
        <v>1255.4000000000001</v>
      </c>
      <c r="G2624" s="53">
        <v>10.903248</v>
      </c>
    </row>
    <row r="2625" spans="1:7">
      <c r="A2625" s="50" t="s">
        <v>2199</v>
      </c>
      <c r="B2625" s="50" t="s">
        <v>107</v>
      </c>
      <c r="C2625" s="50" t="s">
        <v>242</v>
      </c>
      <c r="D2625" s="51">
        <v>306</v>
      </c>
      <c r="E2625" s="51">
        <v>3897</v>
      </c>
      <c r="F2625" s="52">
        <v>468.4</v>
      </c>
      <c r="G2625" s="53">
        <v>12.019501999999999</v>
      </c>
    </row>
    <row r="2626" spans="1:7">
      <c r="A2626" s="50" t="s">
        <v>1327</v>
      </c>
      <c r="B2626" s="50" t="s">
        <v>107</v>
      </c>
      <c r="C2626" s="50" t="s">
        <v>240</v>
      </c>
      <c r="D2626" s="51">
        <v>3800</v>
      </c>
      <c r="E2626" s="51">
        <v>77226</v>
      </c>
      <c r="F2626" s="52">
        <v>8592</v>
      </c>
      <c r="G2626" s="53">
        <v>11.125787000000001</v>
      </c>
    </row>
    <row r="2627" spans="1:7">
      <c r="A2627" s="50" t="s">
        <v>1328</v>
      </c>
      <c r="B2627" s="50" t="s">
        <v>107</v>
      </c>
      <c r="C2627" s="50" t="s">
        <v>240</v>
      </c>
      <c r="D2627" s="51">
        <v>3345</v>
      </c>
      <c r="E2627" s="51">
        <v>131797</v>
      </c>
      <c r="F2627" s="52">
        <v>12409</v>
      </c>
      <c r="G2627" s="53">
        <v>9.4152371000000006</v>
      </c>
    </row>
    <row r="2628" spans="1:7">
      <c r="A2628" s="50" t="s">
        <v>1329</v>
      </c>
      <c r="B2628" s="50" t="s">
        <v>107</v>
      </c>
      <c r="C2628" s="50" t="s">
        <v>240</v>
      </c>
      <c r="D2628" s="51">
        <v>3587</v>
      </c>
      <c r="E2628" s="51">
        <v>238339</v>
      </c>
      <c r="F2628" s="52">
        <v>24394.2</v>
      </c>
      <c r="G2628" s="53">
        <v>10.235085</v>
      </c>
    </row>
    <row r="2629" spans="1:7">
      <c r="A2629" s="50" t="s">
        <v>1330</v>
      </c>
      <c r="B2629" s="50" t="s">
        <v>107</v>
      </c>
      <c r="C2629" s="50" t="s">
        <v>240</v>
      </c>
      <c r="D2629" s="51">
        <v>814</v>
      </c>
      <c r="E2629" s="51">
        <v>25545</v>
      </c>
      <c r="F2629" s="52">
        <v>3098.4</v>
      </c>
      <c r="G2629" s="53">
        <v>12.129184</v>
      </c>
    </row>
    <row r="2630" spans="1:7">
      <c r="A2630" s="50" t="s">
        <v>1331</v>
      </c>
      <c r="B2630" s="50" t="s">
        <v>107</v>
      </c>
      <c r="C2630" s="50" t="s">
        <v>240</v>
      </c>
      <c r="D2630" s="51">
        <v>2099</v>
      </c>
      <c r="E2630" s="51">
        <v>172616</v>
      </c>
      <c r="F2630" s="52">
        <v>15674</v>
      </c>
      <c r="G2630" s="53">
        <v>9.0802706999999998</v>
      </c>
    </row>
    <row r="2631" spans="1:7">
      <c r="A2631" s="50" t="s">
        <v>895</v>
      </c>
      <c r="B2631" s="50" t="s">
        <v>107</v>
      </c>
      <c r="C2631" s="50" t="s">
        <v>240</v>
      </c>
      <c r="D2631" s="51">
        <v>5166</v>
      </c>
      <c r="E2631" s="51">
        <v>83942</v>
      </c>
      <c r="F2631" s="52">
        <v>11800.4</v>
      </c>
      <c r="G2631" s="53">
        <v>14.057802000000001</v>
      </c>
    </row>
    <row r="2632" spans="1:7">
      <c r="A2632" s="50" t="s">
        <v>783</v>
      </c>
      <c r="B2632" s="50" t="s">
        <v>107</v>
      </c>
      <c r="C2632" s="50" t="s">
        <v>240</v>
      </c>
      <c r="D2632" s="51">
        <v>3620</v>
      </c>
      <c r="E2632" s="51">
        <v>105665</v>
      </c>
      <c r="F2632" s="52">
        <v>11315</v>
      </c>
      <c r="G2632" s="53">
        <v>10.708371</v>
      </c>
    </row>
    <row r="2633" spans="1:7">
      <c r="A2633" s="50" t="s">
        <v>2200</v>
      </c>
      <c r="B2633" s="50" t="s">
        <v>107</v>
      </c>
      <c r="C2633" s="50" t="s">
        <v>325</v>
      </c>
      <c r="D2633" s="51">
        <v>3</v>
      </c>
      <c r="E2633" s="51">
        <v>8374</v>
      </c>
      <c r="F2633" s="52">
        <v>821</v>
      </c>
      <c r="G2633" s="53">
        <v>9.8041557000000008</v>
      </c>
    </row>
    <row r="2634" spans="1:7">
      <c r="A2634" s="50" t="s">
        <v>2201</v>
      </c>
      <c r="B2634" s="50" t="s">
        <v>107</v>
      </c>
      <c r="C2634" s="50" t="s">
        <v>240</v>
      </c>
      <c r="D2634" s="51">
        <v>1111</v>
      </c>
      <c r="E2634" s="51">
        <v>26383</v>
      </c>
      <c r="F2634" s="52">
        <v>3288.2</v>
      </c>
      <c r="G2634" s="53">
        <v>12.463329</v>
      </c>
    </row>
    <row r="2635" spans="1:7">
      <c r="A2635" s="50" t="s">
        <v>1042</v>
      </c>
      <c r="B2635" s="50" t="s">
        <v>107</v>
      </c>
      <c r="C2635" s="50" t="s">
        <v>240</v>
      </c>
      <c r="D2635" s="51">
        <v>6406</v>
      </c>
      <c r="E2635" s="51">
        <v>121082</v>
      </c>
      <c r="F2635" s="52">
        <v>13575.6</v>
      </c>
      <c r="G2635" s="53">
        <v>11.211906000000001</v>
      </c>
    </row>
    <row r="2636" spans="1:7">
      <c r="A2636" s="50" t="s">
        <v>1332</v>
      </c>
      <c r="B2636" s="50" t="s">
        <v>107</v>
      </c>
      <c r="C2636" s="50" t="s">
        <v>240</v>
      </c>
      <c r="D2636" s="51">
        <v>3471</v>
      </c>
      <c r="E2636" s="51">
        <v>191901</v>
      </c>
      <c r="F2636" s="52">
        <v>18239</v>
      </c>
      <c r="G2636" s="53">
        <v>9.5043799</v>
      </c>
    </row>
    <row r="2637" spans="1:7">
      <c r="A2637" s="50" t="s">
        <v>546</v>
      </c>
      <c r="B2637" s="50" t="s">
        <v>107</v>
      </c>
      <c r="C2637" s="50" t="s">
        <v>237</v>
      </c>
      <c r="D2637" s="51">
        <v>5123</v>
      </c>
      <c r="E2637" s="51">
        <v>233937</v>
      </c>
      <c r="F2637" s="52">
        <v>14422.5</v>
      </c>
      <c r="G2637" s="53">
        <v>6.1651214000000003</v>
      </c>
    </row>
    <row r="2638" spans="1:7">
      <c r="A2638" s="50" t="s">
        <v>903</v>
      </c>
      <c r="B2638" s="50" t="s">
        <v>107</v>
      </c>
      <c r="C2638" s="50" t="s">
        <v>237</v>
      </c>
      <c r="D2638" s="51">
        <v>8474</v>
      </c>
      <c r="E2638" s="51">
        <v>149579</v>
      </c>
      <c r="F2638" s="52">
        <v>15785</v>
      </c>
      <c r="G2638" s="53">
        <v>10.552951999999999</v>
      </c>
    </row>
    <row r="2639" spans="1:7">
      <c r="A2639" s="50" t="s">
        <v>1333</v>
      </c>
      <c r="B2639" s="50" t="s">
        <v>107</v>
      </c>
      <c r="C2639" s="50" t="s">
        <v>240</v>
      </c>
      <c r="D2639" s="51">
        <v>6976</v>
      </c>
      <c r="E2639" s="51">
        <v>103360</v>
      </c>
      <c r="F2639" s="52">
        <v>12348.3</v>
      </c>
      <c r="G2639" s="53">
        <v>11.946885</v>
      </c>
    </row>
    <row r="2640" spans="1:7">
      <c r="A2640" s="50" t="s">
        <v>1048</v>
      </c>
      <c r="B2640" s="50" t="s">
        <v>107</v>
      </c>
      <c r="C2640" s="50" t="s">
        <v>325</v>
      </c>
      <c r="D2640" s="51">
        <v>1311</v>
      </c>
      <c r="E2640" s="51">
        <v>38933</v>
      </c>
      <c r="F2640" s="52">
        <v>3113</v>
      </c>
      <c r="G2640" s="53">
        <v>7.9957875999999999</v>
      </c>
    </row>
    <row r="2641" spans="1:7">
      <c r="A2641" s="50" t="s">
        <v>1946</v>
      </c>
      <c r="B2641" s="50" t="s">
        <v>107</v>
      </c>
      <c r="C2641" s="50" t="s">
        <v>240</v>
      </c>
      <c r="D2641" s="51">
        <v>14</v>
      </c>
      <c r="E2641" s="51">
        <v>122</v>
      </c>
      <c r="F2641" s="52">
        <v>19</v>
      </c>
      <c r="G2641" s="53">
        <v>15.57377</v>
      </c>
    </row>
    <row r="2642" spans="1:7">
      <c r="A2642" s="50" t="s">
        <v>1334</v>
      </c>
      <c r="B2642" s="50" t="s">
        <v>107</v>
      </c>
      <c r="C2642" s="50" t="s">
        <v>237</v>
      </c>
      <c r="D2642" s="51">
        <v>63853</v>
      </c>
      <c r="E2642" s="51">
        <v>1718831</v>
      </c>
      <c r="F2642" s="52">
        <v>162114</v>
      </c>
      <c r="G2642" s="53">
        <v>9.4316428000000005</v>
      </c>
    </row>
    <row r="2643" spans="1:7">
      <c r="A2643" s="50" t="s">
        <v>1335</v>
      </c>
      <c r="B2643" s="50" t="s">
        <v>107</v>
      </c>
      <c r="C2643" s="50" t="s">
        <v>240</v>
      </c>
      <c r="D2643" s="51">
        <v>6502</v>
      </c>
      <c r="E2643" s="51">
        <v>308202</v>
      </c>
      <c r="F2643" s="52">
        <v>28092</v>
      </c>
      <c r="G2643" s="53">
        <v>9.1148012999999999</v>
      </c>
    </row>
    <row r="2644" spans="1:7">
      <c r="A2644" s="50" t="s">
        <v>792</v>
      </c>
      <c r="B2644" s="50" t="s">
        <v>107</v>
      </c>
      <c r="C2644" s="50" t="s">
        <v>237</v>
      </c>
      <c r="D2644" s="51">
        <v>95732</v>
      </c>
      <c r="E2644" s="51">
        <v>2167185</v>
      </c>
      <c r="F2644" s="52">
        <v>219855.9</v>
      </c>
      <c r="G2644" s="53">
        <v>10.144767999999999</v>
      </c>
    </row>
    <row r="2645" spans="1:7">
      <c r="A2645" s="50" t="s">
        <v>1336</v>
      </c>
      <c r="B2645" s="50" t="s">
        <v>107</v>
      </c>
      <c r="C2645" s="50" t="s">
        <v>240</v>
      </c>
      <c r="D2645" s="51">
        <v>3179</v>
      </c>
      <c r="E2645" s="51">
        <v>116331</v>
      </c>
      <c r="F2645" s="52">
        <v>11380.7</v>
      </c>
      <c r="G2645" s="53">
        <v>9.7830329000000003</v>
      </c>
    </row>
    <row r="2646" spans="1:7">
      <c r="A2646" s="50" t="s">
        <v>794</v>
      </c>
      <c r="B2646" s="50" t="s">
        <v>107</v>
      </c>
      <c r="C2646" s="50" t="s">
        <v>237</v>
      </c>
      <c r="D2646" s="51">
        <v>11654</v>
      </c>
      <c r="E2646" s="51">
        <v>488954</v>
      </c>
      <c r="F2646" s="52">
        <v>40666.300000000003</v>
      </c>
      <c r="G2646" s="53">
        <v>8.3169991000000003</v>
      </c>
    </row>
    <row r="2647" spans="1:7">
      <c r="A2647" s="50" t="s">
        <v>1337</v>
      </c>
      <c r="B2647" s="50" t="s">
        <v>107</v>
      </c>
      <c r="C2647" s="50" t="s">
        <v>240</v>
      </c>
      <c r="D2647" s="51">
        <v>5503</v>
      </c>
      <c r="E2647" s="51">
        <v>93341</v>
      </c>
      <c r="F2647" s="52">
        <v>8950</v>
      </c>
      <c r="G2647" s="53">
        <v>9.5884981000000007</v>
      </c>
    </row>
    <row r="2648" spans="1:7">
      <c r="A2648" s="50" t="s">
        <v>799</v>
      </c>
      <c r="B2648" s="50" t="s">
        <v>107</v>
      </c>
      <c r="C2648" s="50" t="s">
        <v>240</v>
      </c>
      <c r="D2648" s="51">
        <v>22179</v>
      </c>
      <c r="E2648" s="51">
        <v>710416</v>
      </c>
      <c r="F2648" s="52">
        <v>69165.899999999994</v>
      </c>
      <c r="G2648" s="53">
        <v>9.7359715999999992</v>
      </c>
    </row>
    <row r="2649" spans="1:7">
      <c r="A2649" s="50" t="s">
        <v>1854</v>
      </c>
      <c r="B2649" s="50" t="s">
        <v>107</v>
      </c>
      <c r="C2649" s="50" t="s">
        <v>240</v>
      </c>
      <c r="D2649" s="51">
        <v>26</v>
      </c>
      <c r="E2649" s="51">
        <v>176</v>
      </c>
      <c r="F2649" s="52">
        <v>24</v>
      </c>
      <c r="G2649" s="53">
        <v>13.636364</v>
      </c>
    </row>
    <row r="2650" spans="1:7">
      <c r="A2650" s="50" t="s">
        <v>1338</v>
      </c>
      <c r="B2650" s="50" t="s">
        <v>107</v>
      </c>
      <c r="C2650" s="50" t="s">
        <v>240</v>
      </c>
      <c r="D2650" s="51">
        <v>18547</v>
      </c>
      <c r="E2650" s="51">
        <v>646989</v>
      </c>
      <c r="F2650" s="52">
        <v>62759.199999999997</v>
      </c>
      <c r="G2650" s="53">
        <v>9.7001957999999995</v>
      </c>
    </row>
    <row r="2651" spans="1:7">
      <c r="A2651" s="50" t="s">
        <v>2202</v>
      </c>
      <c r="B2651" s="50" t="s">
        <v>107</v>
      </c>
      <c r="C2651" s="50" t="s">
        <v>242</v>
      </c>
      <c r="D2651" s="51">
        <v>206</v>
      </c>
      <c r="E2651" s="51">
        <v>3102</v>
      </c>
      <c r="F2651" s="52">
        <v>407.1</v>
      </c>
      <c r="G2651" s="53">
        <v>13.123791000000001</v>
      </c>
    </row>
    <row r="2652" spans="1:7">
      <c r="A2652" s="50" t="s">
        <v>1339</v>
      </c>
      <c r="B2652" s="50" t="s">
        <v>107</v>
      </c>
      <c r="C2652" s="50" t="s">
        <v>242</v>
      </c>
      <c r="D2652" s="51">
        <v>164</v>
      </c>
      <c r="E2652" s="51">
        <v>2920</v>
      </c>
      <c r="F2652" s="52">
        <v>287.8</v>
      </c>
      <c r="G2652" s="53">
        <v>9.8561644000000008</v>
      </c>
    </row>
    <row r="2653" spans="1:7">
      <c r="A2653" s="50" t="s">
        <v>803</v>
      </c>
      <c r="B2653" s="50" t="s">
        <v>107</v>
      </c>
      <c r="C2653" s="50" t="s">
        <v>240</v>
      </c>
      <c r="D2653" s="51">
        <v>1060</v>
      </c>
      <c r="E2653" s="51">
        <v>43482</v>
      </c>
      <c r="F2653" s="52">
        <v>4115</v>
      </c>
      <c r="G2653" s="53">
        <v>9.4636861000000003</v>
      </c>
    </row>
    <row r="2654" spans="1:7">
      <c r="A2654" s="50" t="s">
        <v>1340</v>
      </c>
      <c r="B2654" s="50" t="s">
        <v>107</v>
      </c>
      <c r="C2654" s="50" t="s">
        <v>240</v>
      </c>
      <c r="D2654" s="51">
        <v>1645</v>
      </c>
      <c r="E2654" s="51">
        <v>32373</v>
      </c>
      <c r="F2654" s="52">
        <v>4288</v>
      </c>
      <c r="G2654" s="53">
        <v>13.245606</v>
      </c>
    </row>
    <row r="2655" spans="1:7">
      <c r="A2655" s="50" t="s">
        <v>357</v>
      </c>
      <c r="B2655" s="50" t="s">
        <v>107</v>
      </c>
      <c r="C2655" s="50" t="s">
        <v>295</v>
      </c>
      <c r="D2655" s="51">
        <v>24</v>
      </c>
      <c r="E2655" s="51">
        <v>335952</v>
      </c>
      <c r="F2655" s="52">
        <v>7973.1</v>
      </c>
      <c r="G2655" s="53">
        <v>2.3732855000000002</v>
      </c>
    </row>
    <row r="2656" spans="1:7">
      <c r="A2656" s="50" t="s">
        <v>1341</v>
      </c>
      <c r="B2656" s="50" t="s">
        <v>107</v>
      </c>
      <c r="C2656" s="50" t="s">
        <v>242</v>
      </c>
      <c r="D2656" s="51">
        <v>13206</v>
      </c>
      <c r="E2656" s="51">
        <v>378108</v>
      </c>
      <c r="F2656" s="52">
        <v>30154</v>
      </c>
      <c r="G2656" s="53">
        <v>7.9749701000000002</v>
      </c>
    </row>
    <row r="2657" spans="1:7">
      <c r="A2657" s="50" t="s">
        <v>1342</v>
      </c>
      <c r="B2657" s="50" t="s">
        <v>107</v>
      </c>
      <c r="C2657" s="50" t="s">
        <v>240</v>
      </c>
      <c r="D2657" s="51">
        <v>6777</v>
      </c>
      <c r="E2657" s="51">
        <v>138500</v>
      </c>
      <c r="F2657" s="52">
        <v>17283</v>
      </c>
      <c r="G2657" s="53">
        <v>12.4787</v>
      </c>
    </row>
    <row r="2658" spans="1:7">
      <c r="A2658" s="50" t="s">
        <v>1343</v>
      </c>
      <c r="B2658" s="50" t="s">
        <v>107</v>
      </c>
      <c r="C2658" s="50" t="s">
        <v>240</v>
      </c>
      <c r="D2658" s="51">
        <v>17465</v>
      </c>
      <c r="E2658" s="51">
        <v>302113</v>
      </c>
      <c r="F2658" s="52">
        <v>38356</v>
      </c>
      <c r="G2658" s="53">
        <v>12.695912</v>
      </c>
    </row>
    <row r="2659" spans="1:7">
      <c r="A2659" s="50" t="s">
        <v>1344</v>
      </c>
      <c r="B2659" s="50" t="s">
        <v>107</v>
      </c>
      <c r="C2659" s="50" t="s">
        <v>240</v>
      </c>
      <c r="D2659" s="51">
        <v>3367</v>
      </c>
      <c r="E2659" s="51">
        <v>100170</v>
      </c>
      <c r="F2659" s="52">
        <v>10741.4</v>
      </c>
      <c r="G2659" s="53">
        <v>10.723171000000001</v>
      </c>
    </row>
    <row r="2660" spans="1:7">
      <c r="A2660" s="50" t="s">
        <v>1345</v>
      </c>
      <c r="B2660" s="50" t="s">
        <v>107</v>
      </c>
      <c r="C2660" s="50" t="s">
        <v>242</v>
      </c>
      <c r="D2660" s="51">
        <v>1930</v>
      </c>
      <c r="E2660" s="51">
        <v>43168</v>
      </c>
      <c r="F2660" s="52">
        <v>4235.3999999999996</v>
      </c>
      <c r="G2660" s="53">
        <v>9.8114343999999996</v>
      </c>
    </row>
    <row r="2661" spans="1:7">
      <c r="A2661" s="50" t="s">
        <v>1346</v>
      </c>
      <c r="B2661" s="50" t="s">
        <v>110</v>
      </c>
      <c r="C2661" s="50" t="s">
        <v>240</v>
      </c>
      <c r="D2661" s="51">
        <v>47175</v>
      </c>
      <c r="E2661" s="51">
        <v>941700</v>
      </c>
      <c r="F2661" s="52">
        <v>105267</v>
      </c>
      <c r="G2661" s="53">
        <v>11.178400999999999</v>
      </c>
    </row>
    <row r="2662" spans="1:7">
      <c r="A2662" s="50" t="s">
        <v>1347</v>
      </c>
      <c r="B2662" s="50" t="s">
        <v>110</v>
      </c>
      <c r="C2662" s="50" t="s">
        <v>242</v>
      </c>
      <c r="D2662" s="51">
        <v>13379</v>
      </c>
      <c r="E2662" s="51">
        <v>657192</v>
      </c>
      <c r="F2662" s="52">
        <v>51429</v>
      </c>
      <c r="G2662" s="53">
        <v>7.8255670000000004</v>
      </c>
    </row>
    <row r="2663" spans="1:7">
      <c r="A2663" s="50" t="s">
        <v>1348</v>
      </c>
      <c r="B2663" s="50" t="s">
        <v>110</v>
      </c>
      <c r="C2663" s="50" t="s">
        <v>242</v>
      </c>
      <c r="D2663" s="51">
        <v>10862</v>
      </c>
      <c r="E2663" s="51">
        <v>201891</v>
      </c>
      <c r="F2663" s="52">
        <v>25268</v>
      </c>
      <c r="G2663" s="53">
        <v>12.515663999999999</v>
      </c>
    </row>
    <row r="2664" spans="1:7">
      <c r="A2664" s="50" t="s">
        <v>1349</v>
      </c>
      <c r="B2664" s="50" t="s">
        <v>110</v>
      </c>
      <c r="C2664" s="50" t="s">
        <v>242</v>
      </c>
      <c r="D2664" s="51">
        <v>11084</v>
      </c>
      <c r="E2664" s="51">
        <v>222219</v>
      </c>
      <c r="F2664" s="52">
        <v>27139</v>
      </c>
      <c r="G2664" s="53">
        <v>12.212726999999999</v>
      </c>
    </row>
    <row r="2665" spans="1:7">
      <c r="A2665" s="50" t="s">
        <v>1350</v>
      </c>
      <c r="B2665" s="50" t="s">
        <v>110</v>
      </c>
      <c r="C2665" s="50" t="s">
        <v>240</v>
      </c>
      <c r="D2665" s="51">
        <v>32696</v>
      </c>
      <c r="E2665" s="51">
        <v>600068</v>
      </c>
      <c r="F2665" s="52">
        <v>67705</v>
      </c>
      <c r="G2665" s="53">
        <v>11.282888</v>
      </c>
    </row>
    <row r="2666" spans="1:7">
      <c r="A2666" s="50" t="s">
        <v>1351</v>
      </c>
      <c r="B2666" s="50" t="s">
        <v>110</v>
      </c>
      <c r="C2666" s="50" t="s">
        <v>242</v>
      </c>
      <c r="D2666" s="51">
        <v>15531</v>
      </c>
      <c r="E2666" s="51">
        <v>434136</v>
      </c>
      <c r="F2666" s="52">
        <v>37733</v>
      </c>
      <c r="G2666" s="53">
        <v>8.691516</v>
      </c>
    </row>
    <row r="2667" spans="1:7">
      <c r="A2667" s="50" t="s">
        <v>1352</v>
      </c>
      <c r="B2667" s="50" t="s">
        <v>110</v>
      </c>
      <c r="C2667" s="50" t="s">
        <v>240</v>
      </c>
      <c r="D2667" s="51">
        <v>20464</v>
      </c>
      <c r="E2667" s="51">
        <v>499965</v>
      </c>
      <c r="F2667" s="52">
        <v>47509</v>
      </c>
      <c r="G2667" s="53">
        <v>9.5024651999999996</v>
      </c>
    </row>
    <row r="2668" spans="1:7">
      <c r="A2668" s="50" t="s">
        <v>1353</v>
      </c>
      <c r="B2668" s="50" t="s">
        <v>110</v>
      </c>
      <c r="C2668" s="50" t="s">
        <v>242</v>
      </c>
      <c r="D2668" s="51">
        <v>29716</v>
      </c>
      <c r="E2668" s="51">
        <v>622904</v>
      </c>
      <c r="F2668" s="52">
        <v>67401</v>
      </c>
      <c r="G2668" s="53">
        <v>10.820447</v>
      </c>
    </row>
    <row r="2669" spans="1:7">
      <c r="A2669" s="50" t="s">
        <v>1354</v>
      </c>
      <c r="B2669" s="50" t="s">
        <v>110</v>
      </c>
      <c r="C2669" s="50" t="s">
        <v>242</v>
      </c>
      <c r="D2669" s="51">
        <v>33732</v>
      </c>
      <c r="E2669" s="51">
        <v>880581</v>
      </c>
      <c r="F2669" s="52">
        <v>86382</v>
      </c>
      <c r="G2669" s="53">
        <v>9.8096598000000004</v>
      </c>
    </row>
    <row r="2670" spans="1:7">
      <c r="A2670" s="50" t="s">
        <v>1355</v>
      </c>
      <c r="B2670" s="50" t="s">
        <v>110</v>
      </c>
      <c r="C2670" s="50" t="s">
        <v>242</v>
      </c>
      <c r="D2670" s="51">
        <v>5338</v>
      </c>
      <c r="E2670" s="51">
        <v>207028</v>
      </c>
      <c r="F2670" s="52">
        <v>16964</v>
      </c>
      <c r="G2670" s="53">
        <v>8.1940606999999996</v>
      </c>
    </row>
    <row r="2671" spans="1:7">
      <c r="A2671" s="50" t="s">
        <v>480</v>
      </c>
      <c r="B2671" s="50" t="s">
        <v>110</v>
      </c>
      <c r="C2671" s="50" t="s">
        <v>242</v>
      </c>
      <c r="D2671" s="51">
        <v>176336</v>
      </c>
      <c r="E2671" s="51">
        <v>5553948</v>
      </c>
      <c r="F2671" s="52">
        <v>548963</v>
      </c>
      <c r="G2671" s="53">
        <v>9.8841941000000002</v>
      </c>
    </row>
    <row r="2672" spans="1:7">
      <c r="A2672" s="50" t="s">
        <v>1356</v>
      </c>
      <c r="B2672" s="50" t="s">
        <v>110</v>
      </c>
      <c r="C2672" s="50" t="s">
        <v>242</v>
      </c>
      <c r="D2672" s="51">
        <v>71681</v>
      </c>
      <c r="E2672" s="51">
        <v>1565079</v>
      </c>
      <c r="F2672" s="52">
        <v>171291</v>
      </c>
      <c r="G2672" s="53">
        <v>10.944559</v>
      </c>
    </row>
    <row r="2673" spans="1:7">
      <c r="A2673" s="50" t="s">
        <v>1357</v>
      </c>
      <c r="B2673" s="50" t="s">
        <v>110</v>
      </c>
      <c r="C2673" s="50" t="s">
        <v>242</v>
      </c>
      <c r="D2673" s="51">
        <v>31810</v>
      </c>
      <c r="E2673" s="51">
        <v>1034560</v>
      </c>
      <c r="F2673" s="52">
        <v>101772</v>
      </c>
      <c r="G2673" s="53">
        <v>9.8372255000000006</v>
      </c>
    </row>
    <row r="2674" spans="1:7">
      <c r="A2674" s="50" t="s">
        <v>1358</v>
      </c>
      <c r="B2674" s="50" t="s">
        <v>110</v>
      </c>
      <c r="C2674" s="50" t="s">
        <v>242</v>
      </c>
      <c r="D2674" s="51">
        <v>29986</v>
      </c>
      <c r="E2674" s="51">
        <v>793612</v>
      </c>
      <c r="F2674" s="52">
        <v>79881</v>
      </c>
      <c r="G2674" s="53">
        <v>10.065498</v>
      </c>
    </row>
    <row r="2675" spans="1:7">
      <c r="A2675" s="50" t="s">
        <v>1359</v>
      </c>
      <c r="B2675" s="50" t="s">
        <v>110</v>
      </c>
      <c r="C2675" s="50" t="s">
        <v>242</v>
      </c>
      <c r="D2675" s="51">
        <v>18437</v>
      </c>
      <c r="E2675" s="51">
        <v>569313</v>
      </c>
      <c r="F2675" s="52">
        <v>54364</v>
      </c>
      <c r="G2675" s="53">
        <v>9.5490530000000007</v>
      </c>
    </row>
    <row r="2676" spans="1:7">
      <c r="A2676" s="50" t="s">
        <v>1360</v>
      </c>
      <c r="B2676" s="50" t="s">
        <v>110</v>
      </c>
      <c r="C2676" s="50" t="s">
        <v>242</v>
      </c>
      <c r="D2676" s="51">
        <v>4689</v>
      </c>
      <c r="E2676" s="51">
        <v>239934</v>
      </c>
      <c r="F2676" s="52">
        <v>20581</v>
      </c>
      <c r="G2676" s="53">
        <v>8.5777756000000007</v>
      </c>
    </row>
    <row r="2677" spans="1:7">
      <c r="A2677" s="50" t="s">
        <v>1361</v>
      </c>
      <c r="B2677" s="50" t="s">
        <v>110</v>
      </c>
      <c r="C2677" s="50" t="s">
        <v>242</v>
      </c>
      <c r="D2677" s="51">
        <v>10739</v>
      </c>
      <c r="E2677" s="51">
        <v>276088</v>
      </c>
      <c r="F2677" s="52">
        <v>27641</v>
      </c>
      <c r="G2677" s="53">
        <v>10.011663</v>
      </c>
    </row>
    <row r="2678" spans="1:7">
      <c r="A2678" s="50" t="s">
        <v>1362</v>
      </c>
      <c r="B2678" s="50" t="s">
        <v>110</v>
      </c>
      <c r="C2678" s="50" t="s">
        <v>242</v>
      </c>
      <c r="D2678" s="51">
        <v>35594</v>
      </c>
      <c r="E2678" s="51">
        <v>869337</v>
      </c>
      <c r="F2678" s="52">
        <v>86429</v>
      </c>
      <c r="G2678" s="53">
        <v>9.9419442999999994</v>
      </c>
    </row>
    <row r="2679" spans="1:7">
      <c r="A2679" s="50" t="s">
        <v>1363</v>
      </c>
      <c r="B2679" s="50" t="s">
        <v>110</v>
      </c>
      <c r="C2679" s="50" t="s">
        <v>242</v>
      </c>
      <c r="D2679" s="51">
        <v>11909</v>
      </c>
      <c r="E2679" s="51">
        <v>405582</v>
      </c>
      <c r="F2679" s="52">
        <v>38478</v>
      </c>
      <c r="G2679" s="53">
        <v>9.4871073999999993</v>
      </c>
    </row>
    <row r="2680" spans="1:7">
      <c r="A2680" s="50" t="s">
        <v>1364</v>
      </c>
      <c r="B2680" s="50" t="s">
        <v>110</v>
      </c>
      <c r="C2680" s="50" t="s">
        <v>242</v>
      </c>
      <c r="D2680" s="51">
        <v>26411</v>
      </c>
      <c r="E2680" s="51">
        <v>516657</v>
      </c>
      <c r="F2680" s="52">
        <v>54712</v>
      </c>
      <c r="G2680" s="53">
        <v>10.589617000000001</v>
      </c>
    </row>
    <row r="2681" spans="1:7">
      <c r="A2681" s="50" t="s">
        <v>1365</v>
      </c>
      <c r="B2681" s="50" t="s">
        <v>110</v>
      </c>
      <c r="C2681" s="50" t="s">
        <v>242</v>
      </c>
      <c r="D2681" s="51">
        <v>5115</v>
      </c>
      <c r="E2681" s="51">
        <v>261088</v>
      </c>
      <c r="F2681" s="52">
        <v>20880</v>
      </c>
      <c r="G2681" s="53">
        <v>7.9973036000000004</v>
      </c>
    </row>
    <row r="2682" spans="1:7">
      <c r="A2682" s="50" t="s">
        <v>1366</v>
      </c>
      <c r="B2682" s="50" t="s">
        <v>110</v>
      </c>
      <c r="C2682" s="50" t="s">
        <v>242</v>
      </c>
      <c r="D2682" s="51">
        <v>18623</v>
      </c>
      <c r="E2682" s="51">
        <v>457884</v>
      </c>
      <c r="F2682" s="52">
        <v>47149</v>
      </c>
      <c r="G2682" s="53">
        <v>10.297148999999999</v>
      </c>
    </row>
    <row r="2683" spans="1:7">
      <c r="A2683" s="50" t="s">
        <v>1367</v>
      </c>
      <c r="B2683" s="50" t="s">
        <v>110</v>
      </c>
      <c r="C2683" s="50" t="s">
        <v>242</v>
      </c>
      <c r="D2683" s="51">
        <v>21231</v>
      </c>
      <c r="E2683" s="51">
        <v>796176</v>
      </c>
      <c r="F2683" s="52">
        <v>71368</v>
      </c>
      <c r="G2683" s="53">
        <v>8.9638472</v>
      </c>
    </row>
    <row r="2684" spans="1:7">
      <c r="A2684" s="50" t="s">
        <v>1368</v>
      </c>
      <c r="B2684" s="50" t="s">
        <v>110</v>
      </c>
      <c r="C2684" s="50" t="s">
        <v>242</v>
      </c>
      <c r="D2684" s="51">
        <v>38492</v>
      </c>
      <c r="E2684" s="51">
        <v>1169100</v>
      </c>
      <c r="F2684" s="52">
        <v>104035</v>
      </c>
      <c r="G2684" s="53">
        <v>8.8987254999999994</v>
      </c>
    </row>
    <row r="2685" spans="1:7">
      <c r="A2685" s="50" t="s">
        <v>1369</v>
      </c>
      <c r="B2685" s="50" t="s">
        <v>110</v>
      </c>
      <c r="C2685" s="50" t="s">
        <v>242</v>
      </c>
      <c r="D2685" s="51">
        <v>10978</v>
      </c>
      <c r="E2685" s="51">
        <v>207670</v>
      </c>
      <c r="F2685" s="52">
        <v>24991</v>
      </c>
      <c r="G2685" s="53">
        <v>12.033996</v>
      </c>
    </row>
    <row r="2686" spans="1:7">
      <c r="A2686" s="50" t="s">
        <v>1370</v>
      </c>
      <c r="B2686" s="50" t="s">
        <v>110</v>
      </c>
      <c r="C2686" s="50" t="s">
        <v>242</v>
      </c>
      <c r="D2686" s="51">
        <v>4409</v>
      </c>
      <c r="E2686" s="51">
        <v>153677</v>
      </c>
      <c r="F2686" s="52">
        <v>14080</v>
      </c>
      <c r="G2686" s="53">
        <v>9.1620737000000005</v>
      </c>
    </row>
    <row r="2687" spans="1:7">
      <c r="A2687" s="50" t="s">
        <v>1371</v>
      </c>
      <c r="B2687" s="50" t="s">
        <v>110</v>
      </c>
      <c r="C2687" s="50" t="s">
        <v>242</v>
      </c>
      <c r="D2687" s="51">
        <v>36306</v>
      </c>
      <c r="E2687" s="51">
        <v>1682800</v>
      </c>
      <c r="F2687" s="52">
        <v>143158</v>
      </c>
      <c r="G2687" s="53">
        <v>8.5071309999999993</v>
      </c>
    </row>
    <row r="2688" spans="1:7">
      <c r="A2688" s="50" t="s">
        <v>658</v>
      </c>
      <c r="B2688" s="50" t="s">
        <v>110</v>
      </c>
      <c r="C2688" s="50" t="s">
        <v>242</v>
      </c>
      <c r="D2688" s="51">
        <v>2334</v>
      </c>
      <c r="E2688" s="51">
        <v>42710</v>
      </c>
      <c r="F2688" s="52">
        <v>4636</v>
      </c>
      <c r="G2688" s="53">
        <v>10.854601000000001</v>
      </c>
    </row>
    <row r="2689" spans="1:7">
      <c r="A2689" s="50" t="s">
        <v>1372</v>
      </c>
      <c r="B2689" s="50" t="s">
        <v>110</v>
      </c>
      <c r="C2689" s="50" t="s">
        <v>242</v>
      </c>
      <c r="D2689" s="51">
        <v>22208</v>
      </c>
      <c r="E2689" s="51">
        <v>393796</v>
      </c>
      <c r="F2689" s="52">
        <v>48322</v>
      </c>
      <c r="G2689" s="53">
        <v>12.270820000000001</v>
      </c>
    </row>
    <row r="2690" spans="1:7">
      <c r="A2690" s="50" t="s">
        <v>1373</v>
      </c>
      <c r="B2690" s="50" t="s">
        <v>110</v>
      </c>
      <c r="C2690" s="50" t="s">
        <v>242</v>
      </c>
      <c r="D2690" s="51">
        <v>20551</v>
      </c>
      <c r="E2690" s="51">
        <v>490454</v>
      </c>
      <c r="F2690" s="52">
        <v>52864</v>
      </c>
      <c r="G2690" s="53">
        <v>10.778585</v>
      </c>
    </row>
    <row r="2691" spans="1:7">
      <c r="A2691" s="50" t="s">
        <v>1374</v>
      </c>
      <c r="B2691" s="50" t="s">
        <v>110</v>
      </c>
      <c r="C2691" s="50" t="s">
        <v>242</v>
      </c>
      <c r="D2691" s="51">
        <v>67406</v>
      </c>
      <c r="E2691" s="51">
        <v>1666591</v>
      </c>
      <c r="F2691" s="52">
        <v>171692</v>
      </c>
      <c r="G2691" s="53">
        <v>10.301988</v>
      </c>
    </row>
    <row r="2692" spans="1:7">
      <c r="A2692" s="50" t="s">
        <v>1375</v>
      </c>
      <c r="B2692" s="50" t="s">
        <v>110</v>
      </c>
      <c r="C2692" s="50" t="s">
        <v>242</v>
      </c>
      <c r="D2692" s="51">
        <v>6278</v>
      </c>
      <c r="E2692" s="51">
        <v>325395</v>
      </c>
      <c r="F2692" s="52">
        <v>26320</v>
      </c>
      <c r="G2692" s="53">
        <v>8.0886306999999995</v>
      </c>
    </row>
    <row r="2693" spans="1:7">
      <c r="A2693" s="50" t="s">
        <v>1376</v>
      </c>
      <c r="B2693" s="50" t="s">
        <v>110</v>
      </c>
      <c r="C2693" s="50" t="s">
        <v>242</v>
      </c>
      <c r="D2693" s="51">
        <v>22497</v>
      </c>
      <c r="E2693" s="51">
        <v>428945</v>
      </c>
      <c r="F2693" s="52">
        <v>46515</v>
      </c>
      <c r="G2693" s="53">
        <v>10.844048000000001</v>
      </c>
    </row>
    <row r="2694" spans="1:7">
      <c r="A2694" s="50" t="s">
        <v>1377</v>
      </c>
      <c r="B2694" s="50" t="s">
        <v>110</v>
      </c>
      <c r="C2694" s="50" t="s">
        <v>242</v>
      </c>
      <c r="D2694" s="51">
        <v>415429</v>
      </c>
      <c r="E2694" s="51">
        <v>13486943</v>
      </c>
      <c r="F2694" s="52">
        <v>1279925</v>
      </c>
      <c r="G2694" s="53">
        <v>9.4901046000000004</v>
      </c>
    </row>
    <row r="2695" spans="1:7">
      <c r="A2695" s="50" t="s">
        <v>1378</v>
      </c>
      <c r="B2695" s="50" t="s">
        <v>110</v>
      </c>
      <c r="C2695" s="50" t="s">
        <v>242</v>
      </c>
      <c r="D2695" s="51">
        <v>8185</v>
      </c>
      <c r="E2695" s="51">
        <v>180844</v>
      </c>
      <c r="F2695" s="52">
        <v>18754</v>
      </c>
      <c r="G2695" s="53">
        <v>10.370264000000001</v>
      </c>
    </row>
    <row r="2696" spans="1:7">
      <c r="A2696" s="50" t="s">
        <v>1379</v>
      </c>
      <c r="B2696" s="50" t="s">
        <v>110</v>
      </c>
      <c r="C2696" s="50" t="s">
        <v>242</v>
      </c>
      <c r="D2696" s="51">
        <v>15022</v>
      </c>
      <c r="E2696" s="51">
        <v>919153</v>
      </c>
      <c r="F2696" s="52">
        <v>78936</v>
      </c>
      <c r="G2696" s="53">
        <v>8.5879065000000008</v>
      </c>
    </row>
    <row r="2697" spans="1:7">
      <c r="A2697" s="50" t="s">
        <v>1380</v>
      </c>
      <c r="B2697" s="50" t="s">
        <v>110</v>
      </c>
      <c r="C2697" s="50" t="s">
        <v>242</v>
      </c>
      <c r="D2697" s="51">
        <v>4049</v>
      </c>
      <c r="E2697" s="51">
        <v>131180</v>
      </c>
      <c r="F2697" s="52">
        <v>13762</v>
      </c>
      <c r="G2697" s="53">
        <v>10.490928</v>
      </c>
    </row>
    <row r="2698" spans="1:7">
      <c r="A2698" s="50" t="s">
        <v>1381</v>
      </c>
      <c r="B2698" s="50" t="s">
        <v>110</v>
      </c>
      <c r="C2698" s="50" t="s">
        <v>242</v>
      </c>
      <c r="D2698" s="51">
        <v>66393</v>
      </c>
      <c r="E2698" s="51">
        <v>1834121</v>
      </c>
      <c r="F2698" s="52">
        <v>175028</v>
      </c>
      <c r="G2698" s="53">
        <v>9.5428818</v>
      </c>
    </row>
    <row r="2699" spans="1:7">
      <c r="A2699" s="50" t="s">
        <v>1382</v>
      </c>
      <c r="B2699" s="50" t="s">
        <v>110</v>
      </c>
      <c r="C2699" s="50" t="s">
        <v>242</v>
      </c>
      <c r="D2699" s="51">
        <v>1808</v>
      </c>
      <c r="E2699" s="51">
        <v>105816</v>
      </c>
      <c r="F2699" s="52">
        <v>8497</v>
      </c>
      <c r="G2699" s="53">
        <v>8.0299765999999995</v>
      </c>
    </row>
    <row r="2700" spans="1:7">
      <c r="A2700" s="50" t="s">
        <v>1383</v>
      </c>
      <c r="B2700" s="50" t="s">
        <v>110</v>
      </c>
      <c r="C2700" s="50" t="s">
        <v>242</v>
      </c>
      <c r="D2700" s="51">
        <v>21930</v>
      </c>
      <c r="E2700" s="51">
        <v>548903</v>
      </c>
      <c r="F2700" s="52">
        <v>52339</v>
      </c>
      <c r="G2700" s="53">
        <v>9.5352002000000002</v>
      </c>
    </row>
    <row r="2701" spans="1:7">
      <c r="A2701" s="50" t="s">
        <v>1384</v>
      </c>
      <c r="B2701" s="50" t="s">
        <v>110</v>
      </c>
      <c r="C2701" s="50" t="s">
        <v>242</v>
      </c>
      <c r="D2701" s="51">
        <v>16322</v>
      </c>
      <c r="E2701" s="51">
        <v>493523</v>
      </c>
      <c r="F2701" s="52">
        <v>54320</v>
      </c>
      <c r="G2701" s="53">
        <v>11.006579</v>
      </c>
    </row>
    <row r="2702" spans="1:7">
      <c r="A2702" s="50" t="s">
        <v>1385</v>
      </c>
      <c r="B2702" s="50" t="s">
        <v>110</v>
      </c>
      <c r="C2702" s="50" t="s">
        <v>242</v>
      </c>
      <c r="D2702" s="51">
        <v>21428</v>
      </c>
      <c r="E2702" s="51">
        <v>457593</v>
      </c>
      <c r="F2702" s="52">
        <v>46192</v>
      </c>
      <c r="G2702" s="53">
        <v>10.09456</v>
      </c>
    </row>
    <row r="2703" spans="1:7">
      <c r="A2703" s="50" t="s">
        <v>1386</v>
      </c>
      <c r="B2703" s="50" t="s">
        <v>110</v>
      </c>
      <c r="C2703" s="50" t="s">
        <v>242</v>
      </c>
      <c r="D2703" s="51">
        <v>14601</v>
      </c>
      <c r="E2703" s="51">
        <v>423128</v>
      </c>
      <c r="F2703" s="52">
        <v>44878</v>
      </c>
      <c r="G2703" s="53">
        <v>10.606247</v>
      </c>
    </row>
    <row r="2704" spans="1:7">
      <c r="A2704" s="50" t="s">
        <v>1387</v>
      </c>
      <c r="B2704" s="50" t="s">
        <v>110</v>
      </c>
      <c r="C2704" s="50" t="s">
        <v>242</v>
      </c>
      <c r="D2704" s="51">
        <v>6630</v>
      </c>
      <c r="E2704" s="51">
        <v>191490</v>
      </c>
      <c r="F2704" s="52">
        <v>19204</v>
      </c>
      <c r="G2704" s="53">
        <v>10.028722</v>
      </c>
    </row>
    <row r="2705" spans="1:7">
      <c r="A2705" s="50" t="s">
        <v>1388</v>
      </c>
      <c r="B2705" s="50" t="s">
        <v>110</v>
      </c>
      <c r="C2705" s="50" t="s">
        <v>242</v>
      </c>
      <c r="D2705" s="51">
        <v>14709</v>
      </c>
      <c r="E2705" s="51">
        <v>307620</v>
      </c>
      <c r="F2705" s="52">
        <v>33367</v>
      </c>
      <c r="G2705" s="53">
        <v>10.846824</v>
      </c>
    </row>
    <row r="2706" spans="1:7">
      <c r="A2706" s="50" t="s">
        <v>1389</v>
      </c>
      <c r="B2706" s="50" t="s">
        <v>110</v>
      </c>
      <c r="C2706" s="50" t="s">
        <v>242</v>
      </c>
      <c r="D2706" s="51">
        <v>10455</v>
      </c>
      <c r="E2706" s="51">
        <v>367193</v>
      </c>
      <c r="F2706" s="52">
        <v>33928</v>
      </c>
      <c r="G2706" s="53">
        <v>9.2398275999999999</v>
      </c>
    </row>
    <row r="2707" spans="1:7">
      <c r="A2707" s="50" t="s">
        <v>1390</v>
      </c>
      <c r="B2707" s="50" t="s">
        <v>110</v>
      </c>
      <c r="C2707" s="50" t="s">
        <v>242</v>
      </c>
      <c r="D2707" s="51">
        <v>2784</v>
      </c>
      <c r="E2707" s="51">
        <v>127295</v>
      </c>
      <c r="F2707" s="52">
        <v>11313</v>
      </c>
      <c r="G2707" s="53">
        <v>8.8872304</v>
      </c>
    </row>
    <row r="2708" spans="1:7">
      <c r="A2708" s="50" t="s">
        <v>1391</v>
      </c>
      <c r="B2708" s="50" t="s">
        <v>110</v>
      </c>
      <c r="C2708" s="50" t="s">
        <v>242</v>
      </c>
      <c r="D2708" s="51">
        <v>2989</v>
      </c>
      <c r="E2708" s="51">
        <v>124020</v>
      </c>
      <c r="F2708" s="52">
        <v>11668</v>
      </c>
      <c r="G2708" s="53">
        <v>9.4081600000000005</v>
      </c>
    </row>
    <row r="2709" spans="1:7">
      <c r="A2709" s="50" t="s">
        <v>1392</v>
      </c>
      <c r="B2709" s="50" t="s">
        <v>110</v>
      </c>
      <c r="C2709" s="50" t="s">
        <v>242</v>
      </c>
      <c r="D2709" s="51">
        <v>8432</v>
      </c>
      <c r="E2709" s="51">
        <v>290472</v>
      </c>
      <c r="F2709" s="52">
        <v>27408</v>
      </c>
      <c r="G2709" s="53">
        <v>9.4356770999999995</v>
      </c>
    </row>
    <row r="2710" spans="1:7">
      <c r="A2710" s="50" t="s">
        <v>1393</v>
      </c>
      <c r="B2710" s="50" t="s">
        <v>110</v>
      </c>
      <c r="C2710" s="50" t="s">
        <v>242</v>
      </c>
      <c r="D2710" s="51">
        <v>9104</v>
      </c>
      <c r="E2710" s="51">
        <v>245939</v>
      </c>
      <c r="F2710" s="52">
        <v>24580</v>
      </c>
      <c r="G2710" s="53">
        <v>9.9943481999999992</v>
      </c>
    </row>
    <row r="2711" spans="1:7">
      <c r="A2711" s="50" t="s">
        <v>1394</v>
      </c>
      <c r="B2711" s="50" t="s">
        <v>110</v>
      </c>
      <c r="C2711" s="50" t="s">
        <v>242</v>
      </c>
      <c r="D2711" s="51">
        <v>2414</v>
      </c>
      <c r="E2711" s="51">
        <v>66158</v>
      </c>
      <c r="F2711" s="52">
        <v>7040</v>
      </c>
      <c r="G2711" s="53">
        <v>10.641192</v>
      </c>
    </row>
    <row r="2712" spans="1:7">
      <c r="A2712" s="50" t="s">
        <v>1395</v>
      </c>
      <c r="B2712" s="50" t="s">
        <v>110</v>
      </c>
      <c r="C2712" s="50" t="s">
        <v>242</v>
      </c>
      <c r="D2712" s="51">
        <v>6423</v>
      </c>
      <c r="E2712" s="51">
        <v>297556</v>
      </c>
      <c r="F2712" s="52">
        <v>25727</v>
      </c>
      <c r="G2712" s="53">
        <v>8.6461036</v>
      </c>
    </row>
    <row r="2713" spans="1:7">
      <c r="A2713" s="50" t="s">
        <v>1396</v>
      </c>
      <c r="B2713" s="50" t="s">
        <v>110</v>
      </c>
      <c r="C2713" s="50" t="s">
        <v>242</v>
      </c>
      <c r="D2713" s="51">
        <v>6160</v>
      </c>
      <c r="E2713" s="51">
        <v>181001</v>
      </c>
      <c r="F2713" s="52">
        <v>18409</v>
      </c>
      <c r="G2713" s="53">
        <v>10.170662</v>
      </c>
    </row>
    <row r="2714" spans="1:7">
      <c r="A2714" s="50" t="s">
        <v>1397</v>
      </c>
      <c r="B2714" s="50" t="s">
        <v>110</v>
      </c>
      <c r="C2714" s="50" t="s">
        <v>242</v>
      </c>
      <c r="D2714" s="51">
        <v>29810</v>
      </c>
      <c r="E2714" s="51">
        <v>666361</v>
      </c>
      <c r="F2714" s="52">
        <v>70751</v>
      </c>
      <c r="G2714" s="53">
        <v>10.617518</v>
      </c>
    </row>
    <row r="2715" spans="1:7">
      <c r="A2715" s="50" t="s">
        <v>1398</v>
      </c>
      <c r="B2715" s="50" t="s">
        <v>110</v>
      </c>
      <c r="C2715" s="50" t="s">
        <v>240</v>
      </c>
      <c r="D2715" s="51">
        <v>98386</v>
      </c>
      <c r="E2715" s="51">
        <v>2778375</v>
      </c>
      <c r="F2715" s="52">
        <v>283862</v>
      </c>
      <c r="G2715" s="53">
        <v>10.216835</v>
      </c>
    </row>
    <row r="2716" spans="1:7">
      <c r="A2716" s="50" t="s">
        <v>665</v>
      </c>
      <c r="B2716" s="50" t="s">
        <v>110</v>
      </c>
      <c r="C2716" s="50" t="s">
        <v>240</v>
      </c>
      <c r="D2716" s="51">
        <v>70</v>
      </c>
      <c r="E2716" s="51">
        <v>717</v>
      </c>
      <c r="F2716" s="52">
        <v>82</v>
      </c>
      <c r="G2716" s="53">
        <v>11.436541</v>
      </c>
    </row>
    <row r="2717" spans="1:7">
      <c r="A2717" s="50" t="s">
        <v>1399</v>
      </c>
      <c r="B2717" s="50" t="s">
        <v>110</v>
      </c>
      <c r="C2717" s="50" t="s">
        <v>240</v>
      </c>
      <c r="D2717" s="51">
        <v>76672</v>
      </c>
      <c r="E2717" s="51">
        <v>1887233</v>
      </c>
      <c r="F2717" s="52">
        <v>197476</v>
      </c>
      <c r="G2717" s="53">
        <v>10.463785</v>
      </c>
    </row>
    <row r="2718" spans="1:7">
      <c r="A2718" s="50" t="s">
        <v>1818</v>
      </c>
      <c r="B2718" s="50" t="s">
        <v>110</v>
      </c>
      <c r="C2718" s="50" t="s">
        <v>237</v>
      </c>
      <c r="D2718" s="51">
        <v>8</v>
      </c>
      <c r="E2718" s="51">
        <v>49</v>
      </c>
      <c r="F2718" s="52">
        <v>7</v>
      </c>
      <c r="G2718" s="53">
        <v>14.285714</v>
      </c>
    </row>
    <row r="2719" spans="1:7">
      <c r="A2719" s="50" t="s">
        <v>1400</v>
      </c>
      <c r="B2719" s="50" t="s">
        <v>110</v>
      </c>
      <c r="C2719" s="50" t="s">
        <v>240</v>
      </c>
      <c r="D2719" s="51">
        <v>9957</v>
      </c>
      <c r="E2719" s="51">
        <v>201093</v>
      </c>
      <c r="F2719" s="52">
        <v>23229</v>
      </c>
      <c r="G2719" s="53">
        <v>11.551372000000001</v>
      </c>
    </row>
    <row r="2720" spans="1:7">
      <c r="A2720" s="50" t="s">
        <v>1401</v>
      </c>
      <c r="B2720" s="50" t="s">
        <v>110</v>
      </c>
      <c r="C2720" s="50" t="s">
        <v>240</v>
      </c>
      <c r="D2720" s="51">
        <v>32971</v>
      </c>
      <c r="E2720" s="51">
        <v>625457</v>
      </c>
      <c r="F2720" s="52">
        <v>69306</v>
      </c>
      <c r="G2720" s="53">
        <v>11.080857999999999</v>
      </c>
    </row>
    <row r="2721" spans="1:7">
      <c r="A2721" s="50" t="s">
        <v>942</v>
      </c>
      <c r="B2721" s="50" t="s">
        <v>110</v>
      </c>
      <c r="C2721" s="50" t="s">
        <v>240</v>
      </c>
      <c r="D2721" s="51">
        <v>1022</v>
      </c>
      <c r="E2721" s="51">
        <v>8673</v>
      </c>
      <c r="F2721" s="52">
        <v>1190.7</v>
      </c>
      <c r="G2721" s="53">
        <v>13.728814</v>
      </c>
    </row>
    <row r="2722" spans="1:7">
      <c r="A2722" s="50" t="s">
        <v>1402</v>
      </c>
      <c r="B2722" s="50" t="s">
        <v>110</v>
      </c>
      <c r="C2722" s="50" t="s">
        <v>240</v>
      </c>
      <c r="D2722" s="51">
        <v>34832</v>
      </c>
      <c r="E2722" s="51">
        <v>815877</v>
      </c>
      <c r="F2722" s="52">
        <v>85394</v>
      </c>
      <c r="G2722" s="53">
        <v>10.466529</v>
      </c>
    </row>
    <row r="2723" spans="1:7">
      <c r="A2723" s="50" t="s">
        <v>1403</v>
      </c>
      <c r="B2723" s="50" t="s">
        <v>110</v>
      </c>
      <c r="C2723" s="50" t="s">
        <v>240</v>
      </c>
      <c r="D2723" s="51">
        <v>30595</v>
      </c>
      <c r="E2723" s="51">
        <v>790158</v>
      </c>
      <c r="F2723" s="52">
        <v>76403</v>
      </c>
      <c r="G2723" s="53">
        <v>9.6693320000000007</v>
      </c>
    </row>
    <row r="2724" spans="1:7">
      <c r="A2724" s="50" t="s">
        <v>1404</v>
      </c>
      <c r="B2724" s="50" t="s">
        <v>110</v>
      </c>
      <c r="C2724" s="50" t="s">
        <v>242</v>
      </c>
      <c r="D2724" s="51">
        <v>79118</v>
      </c>
      <c r="E2724" s="51">
        <v>1846061</v>
      </c>
      <c r="F2724" s="52">
        <v>199912</v>
      </c>
      <c r="G2724" s="53">
        <v>10.829110999999999</v>
      </c>
    </row>
    <row r="2725" spans="1:7">
      <c r="A2725" s="50" t="s">
        <v>675</v>
      </c>
      <c r="B2725" s="50" t="s">
        <v>110</v>
      </c>
      <c r="C2725" s="50" t="s">
        <v>237</v>
      </c>
      <c r="D2725" s="51">
        <v>3</v>
      </c>
      <c r="E2725" s="51">
        <v>16</v>
      </c>
      <c r="F2725" s="52">
        <v>1.2</v>
      </c>
      <c r="G2725" s="53">
        <v>7.5</v>
      </c>
    </row>
    <row r="2726" spans="1:7">
      <c r="A2726" s="50" t="s">
        <v>1405</v>
      </c>
      <c r="B2726" s="50" t="s">
        <v>110</v>
      </c>
      <c r="C2726" s="50" t="s">
        <v>237</v>
      </c>
      <c r="D2726" s="51">
        <v>48290</v>
      </c>
      <c r="E2726" s="51">
        <v>1944080</v>
      </c>
      <c r="F2726" s="52">
        <v>153721</v>
      </c>
      <c r="G2726" s="53">
        <v>7.9071334999999996</v>
      </c>
    </row>
    <row r="2727" spans="1:7">
      <c r="A2727" s="50" t="s">
        <v>1406</v>
      </c>
      <c r="B2727" s="50" t="s">
        <v>110</v>
      </c>
      <c r="C2727" s="50" t="s">
        <v>242</v>
      </c>
      <c r="D2727" s="51">
        <v>205454</v>
      </c>
      <c r="E2727" s="51">
        <v>5362343</v>
      </c>
      <c r="F2727" s="52">
        <v>545218</v>
      </c>
      <c r="G2727" s="53">
        <v>10.167533000000001</v>
      </c>
    </row>
    <row r="2728" spans="1:7">
      <c r="A2728" s="50" t="s">
        <v>1407</v>
      </c>
      <c r="B2728" s="50" t="s">
        <v>110</v>
      </c>
      <c r="C2728" s="50" t="s">
        <v>242</v>
      </c>
      <c r="D2728" s="51">
        <v>12410</v>
      </c>
      <c r="E2728" s="51">
        <v>610309</v>
      </c>
      <c r="F2728" s="52">
        <v>48956</v>
      </c>
      <c r="G2728" s="53">
        <v>8.0215104000000004</v>
      </c>
    </row>
    <row r="2729" spans="1:7">
      <c r="A2729" s="50" t="s">
        <v>1408</v>
      </c>
      <c r="B2729" s="50" t="s">
        <v>110</v>
      </c>
      <c r="C2729" s="50" t="s">
        <v>242</v>
      </c>
      <c r="D2729" s="51">
        <v>21816</v>
      </c>
      <c r="E2729" s="51">
        <v>801100</v>
      </c>
      <c r="F2729" s="52">
        <v>68205</v>
      </c>
      <c r="G2729" s="53">
        <v>8.5139183999999997</v>
      </c>
    </row>
    <row r="2730" spans="1:7">
      <c r="A2730" s="50" t="s">
        <v>1409</v>
      </c>
      <c r="B2730" s="50" t="s">
        <v>110</v>
      </c>
      <c r="C2730" s="50" t="s">
        <v>242</v>
      </c>
      <c r="D2730" s="51">
        <v>8082</v>
      </c>
      <c r="E2730" s="51">
        <v>189161</v>
      </c>
      <c r="F2730" s="52">
        <v>19851</v>
      </c>
      <c r="G2730" s="53">
        <v>10.494235</v>
      </c>
    </row>
    <row r="2731" spans="1:7">
      <c r="A2731" s="50" t="s">
        <v>1410</v>
      </c>
      <c r="B2731" s="50" t="s">
        <v>110</v>
      </c>
      <c r="C2731" s="50" t="s">
        <v>240</v>
      </c>
      <c r="D2731" s="51">
        <v>34509</v>
      </c>
      <c r="E2731" s="51">
        <v>1082931</v>
      </c>
      <c r="F2731" s="52">
        <v>101740</v>
      </c>
      <c r="G2731" s="53">
        <v>9.3948736999999998</v>
      </c>
    </row>
    <row r="2732" spans="1:7">
      <c r="A2732" s="50" t="s">
        <v>1411</v>
      </c>
      <c r="B2732" s="50" t="s">
        <v>110</v>
      </c>
      <c r="C2732" s="50" t="s">
        <v>240</v>
      </c>
      <c r="D2732" s="51">
        <v>232159</v>
      </c>
      <c r="E2732" s="51">
        <v>6263667</v>
      </c>
      <c r="F2732" s="52">
        <v>606573</v>
      </c>
      <c r="G2732" s="53">
        <v>9.6839917999999994</v>
      </c>
    </row>
    <row r="2733" spans="1:7">
      <c r="A2733" s="50" t="s">
        <v>948</v>
      </c>
      <c r="B2733" s="50" t="s">
        <v>110</v>
      </c>
      <c r="C2733" s="50" t="s">
        <v>240</v>
      </c>
      <c r="D2733" s="51">
        <v>15392</v>
      </c>
      <c r="E2733" s="51">
        <v>369448</v>
      </c>
      <c r="F2733" s="52">
        <v>30636</v>
      </c>
      <c r="G2733" s="53">
        <v>8.2923712999999992</v>
      </c>
    </row>
    <row r="2734" spans="1:7">
      <c r="A2734" s="50" t="s">
        <v>1412</v>
      </c>
      <c r="B2734" s="50" t="s">
        <v>110</v>
      </c>
      <c r="C2734" s="50" t="s">
        <v>242</v>
      </c>
      <c r="D2734" s="51">
        <v>409190</v>
      </c>
      <c r="E2734" s="51">
        <v>12075656</v>
      </c>
      <c r="F2734" s="52">
        <v>1313818</v>
      </c>
      <c r="G2734" s="53">
        <v>10.879889</v>
      </c>
    </row>
    <row r="2735" spans="1:7">
      <c r="A2735" s="50" t="s">
        <v>1413</v>
      </c>
      <c r="B2735" s="50" t="s">
        <v>110</v>
      </c>
      <c r="C2735" s="50" t="s">
        <v>240</v>
      </c>
      <c r="D2735" s="51">
        <v>20679</v>
      </c>
      <c r="E2735" s="51">
        <v>371927</v>
      </c>
      <c r="F2735" s="52">
        <v>44425</v>
      </c>
      <c r="G2735" s="53">
        <v>11.944547999999999</v>
      </c>
    </row>
    <row r="2736" spans="1:7">
      <c r="A2736" s="50" t="s">
        <v>1414</v>
      </c>
      <c r="B2736" s="50" t="s">
        <v>110</v>
      </c>
      <c r="C2736" s="50" t="s">
        <v>240</v>
      </c>
      <c r="D2736" s="51">
        <v>17088</v>
      </c>
      <c r="E2736" s="51">
        <v>302429</v>
      </c>
      <c r="F2736" s="52">
        <v>36043</v>
      </c>
      <c r="G2736" s="53">
        <v>11.917839000000001</v>
      </c>
    </row>
    <row r="2737" spans="1:7">
      <c r="A2737" s="50" t="s">
        <v>1415</v>
      </c>
      <c r="B2737" s="50" t="s">
        <v>110</v>
      </c>
      <c r="C2737" s="50" t="s">
        <v>240</v>
      </c>
      <c r="D2737" s="51">
        <v>24152</v>
      </c>
      <c r="E2737" s="51">
        <v>413789</v>
      </c>
      <c r="F2737" s="52">
        <v>44201</v>
      </c>
      <c r="G2737" s="53">
        <v>10.682014000000001</v>
      </c>
    </row>
    <row r="2738" spans="1:7">
      <c r="A2738" s="50" t="s">
        <v>1416</v>
      </c>
      <c r="B2738" s="50" t="s">
        <v>110</v>
      </c>
      <c r="C2738" s="50" t="s">
        <v>240</v>
      </c>
      <c r="D2738" s="51">
        <v>35803</v>
      </c>
      <c r="E2738" s="51">
        <v>819809</v>
      </c>
      <c r="F2738" s="52">
        <v>88670</v>
      </c>
      <c r="G2738" s="53">
        <v>10.815934</v>
      </c>
    </row>
    <row r="2739" spans="1:7">
      <c r="A2739" s="50" t="s">
        <v>1417</v>
      </c>
      <c r="B2739" s="50" t="s">
        <v>110</v>
      </c>
      <c r="C2739" s="50" t="s">
        <v>242</v>
      </c>
      <c r="D2739" s="51">
        <v>55865</v>
      </c>
      <c r="E2739" s="51">
        <v>1493228</v>
      </c>
      <c r="F2739" s="52">
        <v>153683</v>
      </c>
      <c r="G2739" s="53">
        <v>10.291998</v>
      </c>
    </row>
    <row r="2740" spans="1:7">
      <c r="A2740" s="50" t="s">
        <v>1838</v>
      </c>
      <c r="B2740" s="50" t="s">
        <v>110</v>
      </c>
      <c r="C2740" s="50" t="s">
        <v>240</v>
      </c>
      <c r="D2740" s="51">
        <v>184</v>
      </c>
      <c r="E2740" s="51">
        <v>2544</v>
      </c>
      <c r="F2740" s="52">
        <v>290.60000000000002</v>
      </c>
      <c r="G2740" s="53">
        <v>11.422955999999999</v>
      </c>
    </row>
    <row r="2741" spans="1:7">
      <c r="A2741" s="50" t="s">
        <v>1418</v>
      </c>
      <c r="B2741" s="50" t="s">
        <v>110</v>
      </c>
      <c r="C2741" s="50" t="s">
        <v>240</v>
      </c>
      <c r="D2741" s="51">
        <v>50319</v>
      </c>
      <c r="E2741" s="51">
        <v>934973</v>
      </c>
      <c r="F2741" s="52">
        <v>109050</v>
      </c>
      <c r="G2741" s="53">
        <v>11.663437999999999</v>
      </c>
    </row>
    <row r="2742" spans="1:7">
      <c r="A2742" s="50" t="s">
        <v>294</v>
      </c>
      <c r="B2742" s="50" t="s">
        <v>110</v>
      </c>
      <c r="C2742" s="50" t="s">
        <v>295</v>
      </c>
      <c r="D2742" s="51">
        <v>23</v>
      </c>
      <c r="E2742" s="51">
        <v>5868900</v>
      </c>
      <c r="F2742" s="52">
        <v>260943</v>
      </c>
      <c r="G2742" s="53">
        <v>4.4461994999999996</v>
      </c>
    </row>
    <row r="2743" spans="1:7">
      <c r="A2743" s="50" t="s">
        <v>1419</v>
      </c>
      <c r="B2743" s="50" t="s">
        <v>110</v>
      </c>
      <c r="C2743" s="50" t="s">
        <v>240</v>
      </c>
      <c r="D2743" s="51">
        <v>19618</v>
      </c>
      <c r="E2743" s="51">
        <v>384756</v>
      </c>
      <c r="F2743" s="52">
        <v>44340</v>
      </c>
      <c r="G2743" s="53">
        <v>11.524187</v>
      </c>
    </row>
    <row r="2744" spans="1:7">
      <c r="A2744" s="50" t="s">
        <v>1420</v>
      </c>
      <c r="B2744" s="50" t="s">
        <v>110</v>
      </c>
      <c r="C2744" s="50" t="s">
        <v>242</v>
      </c>
      <c r="D2744" s="51">
        <v>8930</v>
      </c>
      <c r="E2744" s="51">
        <v>211883</v>
      </c>
      <c r="F2744" s="52">
        <v>21795</v>
      </c>
      <c r="G2744" s="53">
        <v>10.286337</v>
      </c>
    </row>
    <row r="2745" spans="1:7">
      <c r="A2745" s="50" t="s">
        <v>1839</v>
      </c>
      <c r="B2745" s="50" t="s">
        <v>110</v>
      </c>
      <c r="C2745" s="50" t="s">
        <v>240</v>
      </c>
      <c r="D2745" s="51">
        <v>27930</v>
      </c>
      <c r="E2745" s="51">
        <v>526657</v>
      </c>
      <c r="F2745" s="52">
        <v>59816</v>
      </c>
      <c r="G2745" s="53">
        <v>11.357677000000001</v>
      </c>
    </row>
    <row r="2746" spans="1:7">
      <c r="A2746" s="50" t="s">
        <v>520</v>
      </c>
      <c r="B2746" s="50" t="s">
        <v>110</v>
      </c>
      <c r="C2746" s="50" t="s">
        <v>240</v>
      </c>
      <c r="D2746" s="51">
        <v>3200</v>
      </c>
      <c r="E2746" s="51">
        <v>46852</v>
      </c>
      <c r="F2746" s="52">
        <v>6029</v>
      </c>
      <c r="G2746" s="53">
        <v>12.868181</v>
      </c>
    </row>
    <row r="2747" spans="1:7">
      <c r="A2747" s="50" t="s">
        <v>1421</v>
      </c>
      <c r="B2747" s="50" t="s">
        <v>110</v>
      </c>
      <c r="C2747" s="50" t="s">
        <v>242</v>
      </c>
      <c r="D2747" s="51">
        <v>10897</v>
      </c>
      <c r="E2747" s="51">
        <v>282696</v>
      </c>
      <c r="F2747" s="52">
        <v>26405</v>
      </c>
      <c r="G2747" s="53">
        <v>9.3404222000000008</v>
      </c>
    </row>
    <row r="2748" spans="1:7">
      <c r="A2748" s="50" t="s">
        <v>1422</v>
      </c>
      <c r="B2748" s="50" t="s">
        <v>110</v>
      </c>
      <c r="C2748" s="50" t="s">
        <v>240</v>
      </c>
      <c r="D2748" s="51">
        <v>50488</v>
      </c>
      <c r="E2748" s="51">
        <v>1056255</v>
      </c>
      <c r="F2748" s="52">
        <v>114706</v>
      </c>
      <c r="G2748" s="53">
        <v>10.859688</v>
      </c>
    </row>
    <row r="2749" spans="1:7">
      <c r="A2749" s="50" t="s">
        <v>1423</v>
      </c>
      <c r="B2749" s="50" t="s">
        <v>110</v>
      </c>
      <c r="C2749" s="50" t="s">
        <v>240</v>
      </c>
      <c r="D2749" s="51">
        <v>117793</v>
      </c>
      <c r="E2749" s="51">
        <v>2339331</v>
      </c>
      <c r="F2749" s="52">
        <v>243366</v>
      </c>
      <c r="G2749" s="53">
        <v>10.403231</v>
      </c>
    </row>
    <row r="2750" spans="1:7">
      <c r="A2750" s="50" t="s">
        <v>1424</v>
      </c>
      <c r="B2750" s="50" t="s">
        <v>110</v>
      </c>
      <c r="C2750" s="50" t="s">
        <v>242</v>
      </c>
      <c r="D2750" s="51">
        <v>20448</v>
      </c>
      <c r="E2750" s="51">
        <v>462758</v>
      </c>
      <c r="F2750" s="52">
        <v>46682</v>
      </c>
      <c r="G2750" s="53">
        <v>10.087778</v>
      </c>
    </row>
    <row r="2751" spans="1:7">
      <c r="A2751" s="50" t="s">
        <v>2203</v>
      </c>
      <c r="B2751" s="50" t="s">
        <v>113</v>
      </c>
      <c r="C2751" s="50" t="s">
        <v>1425</v>
      </c>
      <c r="D2751" s="51">
        <v>2985</v>
      </c>
      <c r="E2751" s="51">
        <v>34587</v>
      </c>
      <c r="F2751" s="52">
        <v>4624.5</v>
      </c>
      <c r="G2751" s="53">
        <v>13.370630999999999</v>
      </c>
    </row>
    <row r="2752" spans="1:7">
      <c r="A2752" s="50" t="s">
        <v>1426</v>
      </c>
      <c r="B2752" s="50" t="s">
        <v>113</v>
      </c>
      <c r="C2752" s="50" t="s">
        <v>1425</v>
      </c>
      <c r="D2752" s="51">
        <v>23564</v>
      </c>
      <c r="E2752" s="51">
        <v>1012247</v>
      </c>
      <c r="F2752" s="52">
        <v>57344</v>
      </c>
      <c r="G2752" s="53">
        <v>5.6650204999999998</v>
      </c>
    </row>
    <row r="2753" spans="1:7">
      <c r="A2753" s="50" t="s">
        <v>2204</v>
      </c>
      <c r="B2753" s="50" t="s">
        <v>113</v>
      </c>
      <c r="C2753" s="50" t="s">
        <v>1425</v>
      </c>
      <c r="D2753" s="51">
        <v>6055</v>
      </c>
      <c r="E2753" s="51">
        <v>47578</v>
      </c>
      <c r="F2753" s="52">
        <v>2161.5</v>
      </c>
      <c r="G2753" s="53">
        <v>4.5430660999999999</v>
      </c>
    </row>
    <row r="2754" spans="1:7">
      <c r="A2754" s="50" t="s">
        <v>1427</v>
      </c>
      <c r="B2754" s="50" t="s">
        <v>113</v>
      </c>
      <c r="C2754" s="50" t="s">
        <v>1425</v>
      </c>
      <c r="D2754" s="51">
        <v>8052</v>
      </c>
      <c r="E2754" s="51">
        <v>129171</v>
      </c>
      <c r="F2754" s="52">
        <v>14697</v>
      </c>
      <c r="G2754" s="53">
        <v>11.377941</v>
      </c>
    </row>
    <row r="2755" spans="1:7">
      <c r="A2755" s="50" t="s">
        <v>1428</v>
      </c>
      <c r="B2755" s="50" t="s">
        <v>113</v>
      </c>
      <c r="C2755" s="50" t="s">
        <v>1425</v>
      </c>
      <c r="D2755" s="51">
        <v>4652</v>
      </c>
      <c r="E2755" s="51">
        <v>297396</v>
      </c>
      <c r="F2755" s="52">
        <v>28057</v>
      </c>
      <c r="G2755" s="53">
        <v>9.4342223999999995</v>
      </c>
    </row>
    <row r="2756" spans="1:7">
      <c r="A2756" s="50" t="s">
        <v>2205</v>
      </c>
      <c r="B2756" s="50" t="s">
        <v>113</v>
      </c>
      <c r="C2756" s="50" t="s">
        <v>1425</v>
      </c>
      <c r="D2756" s="51">
        <v>7360</v>
      </c>
      <c r="E2756" s="51">
        <v>208325</v>
      </c>
      <c r="F2756" s="52">
        <v>12396.6</v>
      </c>
      <c r="G2756" s="53">
        <v>5.9506059999999996</v>
      </c>
    </row>
    <row r="2757" spans="1:7">
      <c r="A2757" s="50" t="s">
        <v>1429</v>
      </c>
      <c r="B2757" s="50" t="s">
        <v>113</v>
      </c>
      <c r="C2757" s="50" t="s">
        <v>1425</v>
      </c>
      <c r="D2757" s="51">
        <v>443055</v>
      </c>
      <c r="E2757" s="51">
        <v>6443797</v>
      </c>
      <c r="F2757" s="52">
        <v>784143.7</v>
      </c>
      <c r="G2757" s="53">
        <v>12.16897</v>
      </c>
    </row>
    <row r="2758" spans="1:7">
      <c r="A2758" s="50" t="s">
        <v>1430</v>
      </c>
      <c r="B2758" s="50" t="s">
        <v>113</v>
      </c>
      <c r="C2758" s="50" t="s">
        <v>1425</v>
      </c>
      <c r="D2758" s="51">
        <v>14431</v>
      </c>
      <c r="E2758" s="51">
        <v>789264</v>
      </c>
      <c r="F2758" s="52">
        <v>69534.3</v>
      </c>
      <c r="G2758" s="53">
        <v>8.8100179000000001</v>
      </c>
    </row>
    <row r="2759" spans="1:7">
      <c r="A2759" s="50" t="s">
        <v>1431</v>
      </c>
      <c r="B2759" s="50" t="s">
        <v>113</v>
      </c>
      <c r="C2759" s="50" t="s">
        <v>1425</v>
      </c>
      <c r="D2759" s="51">
        <v>7403</v>
      </c>
      <c r="E2759" s="51">
        <v>193415</v>
      </c>
      <c r="F2759" s="52">
        <v>17297.7</v>
      </c>
      <c r="G2759" s="53">
        <v>8.9433083999999994</v>
      </c>
    </row>
    <row r="2760" spans="1:7">
      <c r="A2760" s="50" t="s">
        <v>1432</v>
      </c>
      <c r="B2760" s="50" t="s">
        <v>113</v>
      </c>
      <c r="C2760" s="50" t="s">
        <v>1425</v>
      </c>
      <c r="D2760" s="51">
        <v>1</v>
      </c>
      <c r="E2760" s="51">
        <v>167135</v>
      </c>
      <c r="F2760" s="52">
        <v>7756</v>
      </c>
      <c r="G2760" s="53">
        <v>4.6405599999999998</v>
      </c>
    </row>
    <row r="2761" spans="1:7">
      <c r="A2761" s="50" t="s">
        <v>1433</v>
      </c>
      <c r="B2761" s="50" t="s">
        <v>113</v>
      </c>
      <c r="C2761" s="50" t="s">
        <v>1425</v>
      </c>
      <c r="D2761" s="51">
        <v>132623</v>
      </c>
      <c r="E2761" s="51">
        <v>1953158</v>
      </c>
      <c r="F2761" s="52">
        <v>249821.2</v>
      </c>
      <c r="G2761" s="53">
        <v>12.790628999999999</v>
      </c>
    </row>
    <row r="2762" spans="1:7">
      <c r="A2762" s="50" t="s">
        <v>1434</v>
      </c>
      <c r="B2762" s="50" t="s">
        <v>113</v>
      </c>
      <c r="C2762" s="50" t="s">
        <v>242</v>
      </c>
      <c r="D2762" s="51">
        <v>499542</v>
      </c>
      <c r="E2762" s="51">
        <v>13695862</v>
      </c>
      <c r="F2762" s="52">
        <v>1258700.1000000001</v>
      </c>
      <c r="G2762" s="53">
        <v>9.1903679</v>
      </c>
    </row>
    <row r="2763" spans="1:7">
      <c r="A2763" s="50" t="s">
        <v>1435</v>
      </c>
      <c r="B2763" s="50" t="s">
        <v>113</v>
      </c>
      <c r="C2763" s="50" t="s">
        <v>1425</v>
      </c>
      <c r="D2763" s="51">
        <v>1797</v>
      </c>
      <c r="E2763" s="51">
        <v>35569</v>
      </c>
      <c r="F2763" s="52">
        <v>2090.1999999999998</v>
      </c>
      <c r="G2763" s="53">
        <v>5.8764655000000001</v>
      </c>
    </row>
    <row r="2764" spans="1:7">
      <c r="A2764" s="50" t="s">
        <v>1436</v>
      </c>
      <c r="B2764" s="50" t="s">
        <v>113</v>
      </c>
      <c r="C2764" s="50" t="s">
        <v>1425</v>
      </c>
      <c r="D2764" s="51">
        <v>3</v>
      </c>
      <c r="E2764" s="51">
        <v>60957</v>
      </c>
      <c r="F2764" s="52">
        <v>4329</v>
      </c>
      <c r="G2764" s="53">
        <v>7.1017273999999997</v>
      </c>
    </row>
    <row r="2765" spans="1:7">
      <c r="A2765" s="50" t="s">
        <v>1437</v>
      </c>
      <c r="B2765" s="50" t="s">
        <v>113</v>
      </c>
      <c r="C2765" s="50" t="s">
        <v>240</v>
      </c>
      <c r="D2765" s="51">
        <v>8988</v>
      </c>
      <c r="E2765" s="51">
        <v>312645</v>
      </c>
      <c r="F2765" s="52">
        <v>28779.599999999999</v>
      </c>
      <c r="G2765" s="53">
        <v>9.2052008000000001</v>
      </c>
    </row>
    <row r="2766" spans="1:7">
      <c r="A2766" s="50" t="s">
        <v>1438</v>
      </c>
      <c r="B2766" s="50" t="s">
        <v>113</v>
      </c>
      <c r="C2766" s="50" t="s">
        <v>240</v>
      </c>
      <c r="D2766" s="51">
        <v>37131</v>
      </c>
      <c r="E2766" s="51">
        <v>641687</v>
      </c>
      <c r="F2766" s="52">
        <v>69527</v>
      </c>
      <c r="G2766" s="53">
        <v>10.835032999999999</v>
      </c>
    </row>
    <row r="2767" spans="1:7">
      <c r="A2767" s="50" t="s">
        <v>1439</v>
      </c>
      <c r="B2767" s="50" t="s">
        <v>113</v>
      </c>
      <c r="C2767" s="50" t="s">
        <v>240</v>
      </c>
      <c r="D2767" s="51">
        <v>12169</v>
      </c>
      <c r="E2767" s="51">
        <v>213033</v>
      </c>
      <c r="F2767" s="52">
        <v>23416.400000000001</v>
      </c>
      <c r="G2767" s="53">
        <v>10.991911999999999</v>
      </c>
    </row>
    <row r="2768" spans="1:7">
      <c r="A2768" s="50" t="s">
        <v>1440</v>
      </c>
      <c r="B2768" s="50" t="s">
        <v>113</v>
      </c>
      <c r="C2768" s="50" t="s">
        <v>240</v>
      </c>
      <c r="D2768" s="51">
        <v>13049</v>
      </c>
      <c r="E2768" s="51">
        <v>265798</v>
      </c>
      <c r="F2768" s="52">
        <v>26682</v>
      </c>
      <c r="G2768" s="53">
        <v>10.038449999999999</v>
      </c>
    </row>
    <row r="2769" spans="1:7">
      <c r="A2769" s="50" t="s">
        <v>1441</v>
      </c>
      <c r="B2769" s="50" t="s">
        <v>113</v>
      </c>
      <c r="C2769" s="50" t="s">
        <v>240</v>
      </c>
      <c r="D2769" s="51">
        <v>101157</v>
      </c>
      <c r="E2769" s="51">
        <v>2325557</v>
      </c>
      <c r="F2769" s="52">
        <v>214816</v>
      </c>
      <c r="G2769" s="53">
        <v>9.2371849000000008</v>
      </c>
    </row>
    <row r="2770" spans="1:7">
      <c r="A2770" s="50" t="s">
        <v>1442</v>
      </c>
      <c r="B2770" s="50" t="s">
        <v>113</v>
      </c>
      <c r="C2770" s="50" t="s">
        <v>1425</v>
      </c>
      <c r="D2770" s="51">
        <v>33907</v>
      </c>
      <c r="E2770" s="51">
        <v>243189</v>
      </c>
      <c r="F2770" s="52">
        <v>30679.5</v>
      </c>
      <c r="G2770" s="53">
        <v>12.615497</v>
      </c>
    </row>
    <row r="2771" spans="1:7">
      <c r="A2771" s="50" t="s">
        <v>1443</v>
      </c>
      <c r="B2771" s="50" t="s">
        <v>113</v>
      </c>
      <c r="C2771" s="50" t="s">
        <v>240</v>
      </c>
      <c r="D2771" s="51">
        <v>37907</v>
      </c>
      <c r="E2771" s="51">
        <v>642083</v>
      </c>
      <c r="F2771" s="52">
        <v>70556.2</v>
      </c>
      <c r="G2771" s="53">
        <v>10.988642</v>
      </c>
    </row>
    <row r="2772" spans="1:7">
      <c r="A2772" s="50" t="s">
        <v>1444</v>
      </c>
      <c r="B2772" s="50" t="s">
        <v>113</v>
      </c>
      <c r="C2772" s="50" t="s">
        <v>1425</v>
      </c>
      <c r="D2772" s="51">
        <v>15786</v>
      </c>
      <c r="E2772" s="51">
        <v>789343</v>
      </c>
      <c r="F2772" s="52">
        <v>73057.5</v>
      </c>
      <c r="G2772" s="53">
        <v>9.2554821</v>
      </c>
    </row>
    <row r="2773" spans="1:7">
      <c r="A2773" s="50" t="s">
        <v>1445</v>
      </c>
      <c r="B2773" s="50" t="s">
        <v>113</v>
      </c>
      <c r="C2773" s="50" t="s">
        <v>1425</v>
      </c>
      <c r="D2773" s="51">
        <v>8389</v>
      </c>
      <c r="E2773" s="51">
        <v>91495</v>
      </c>
      <c r="F2773" s="52">
        <v>8722</v>
      </c>
      <c r="G2773" s="53">
        <v>9.5327614000000001</v>
      </c>
    </row>
    <row r="2774" spans="1:7">
      <c r="A2774" s="50" t="s">
        <v>1446</v>
      </c>
      <c r="B2774" s="50" t="s">
        <v>113</v>
      </c>
      <c r="C2774" s="50" t="s">
        <v>242</v>
      </c>
      <c r="D2774" s="51">
        <v>50413</v>
      </c>
      <c r="E2774" s="51">
        <v>1268887</v>
      </c>
      <c r="F2774" s="52">
        <v>121909</v>
      </c>
      <c r="G2774" s="53">
        <v>9.6075537000000004</v>
      </c>
    </row>
    <row r="2775" spans="1:7">
      <c r="A2775" s="50" t="s">
        <v>2206</v>
      </c>
      <c r="B2775" s="50" t="s">
        <v>113</v>
      </c>
      <c r="C2775" s="50" t="s">
        <v>1425</v>
      </c>
      <c r="D2775" s="51">
        <v>4</v>
      </c>
      <c r="E2775" s="51">
        <v>22</v>
      </c>
      <c r="F2775" s="52">
        <v>1.2</v>
      </c>
      <c r="G2775" s="53">
        <v>5.4545455</v>
      </c>
    </row>
    <row r="2776" spans="1:7">
      <c r="A2776" s="50" t="s">
        <v>1447</v>
      </c>
      <c r="B2776" s="50" t="s">
        <v>113</v>
      </c>
      <c r="C2776" s="50" t="s">
        <v>1425</v>
      </c>
      <c r="D2776" s="51">
        <v>125</v>
      </c>
      <c r="E2776" s="51">
        <v>9909846</v>
      </c>
      <c r="F2776" s="52">
        <v>535169.9</v>
      </c>
      <c r="G2776" s="53">
        <v>5.4003855999999999</v>
      </c>
    </row>
    <row r="2777" spans="1:7">
      <c r="A2777" s="50" t="s">
        <v>1448</v>
      </c>
      <c r="B2777" s="50" t="s">
        <v>113</v>
      </c>
      <c r="C2777" s="50" t="s">
        <v>1425</v>
      </c>
      <c r="D2777" s="51">
        <v>1</v>
      </c>
      <c r="E2777" s="51">
        <v>217365</v>
      </c>
      <c r="F2777" s="52">
        <v>9892</v>
      </c>
      <c r="G2777" s="53">
        <v>4.5508706999999999</v>
      </c>
    </row>
    <row r="2778" spans="1:7">
      <c r="A2778" s="50" t="s">
        <v>1449</v>
      </c>
      <c r="B2778" s="50" t="s">
        <v>113</v>
      </c>
      <c r="C2778" s="50" t="s">
        <v>240</v>
      </c>
      <c r="D2778" s="51">
        <v>41905</v>
      </c>
      <c r="E2778" s="51">
        <v>665644</v>
      </c>
      <c r="F2778" s="52">
        <v>70354</v>
      </c>
      <c r="G2778" s="53">
        <v>10.569312999999999</v>
      </c>
    </row>
    <row r="2779" spans="1:7">
      <c r="A2779" s="50" t="s">
        <v>1450</v>
      </c>
      <c r="B2779" s="50" t="s">
        <v>113</v>
      </c>
      <c r="C2779" s="50" t="s">
        <v>1425</v>
      </c>
      <c r="D2779" s="51">
        <v>157181</v>
      </c>
      <c r="E2779" s="51">
        <v>5740798</v>
      </c>
      <c r="F2779" s="52">
        <v>516354</v>
      </c>
      <c r="G2779" s="53">
        <v>8.9944638000000001</v>
      </c>
    </row>
    <row r="2780" spans="1:7">
      <c r="A2780" s="50" t="s">
        <v>2207</v>
      </c>
      <c r="B2780" s="50" t="s">
        <v>113</v>
      </c>
      <c r="C2780" s="50" t="s">
        <v>1425</v>
      </c>
      <c r="D2780" s="51">
        <v>18093</v>
      </c>
      <c r="E2780" s="51">
        <v>103176</v>
      </c>
      <c r="F2780" s="52">
        <v>9829</v>
      </c>
      <c r="G2780" s="53">
        <v>9.5264403000000009</v>
      </c>
    </row>
    <row r="2781" spans="1:7">
      <c r="A2781" s="50" t="s">
        <v>1451</v>
      </c>
      <c r="B2781" s="50" t="s">
        <v>113</v>
      </c>
      <c r="C2781" s="50" t="s">
        <v>240</v>
      </c>
      <c r="D2781" s="51">
        <v>21018</v>
      </c>
      <c r="E2781" s="51">
        <v>409324</v>
      </c>
      <c r="F2781" s="52">
        <v>42130</v>
      </c>
      <c r="G2781" s="53">
        <v>10.292579999999999</v>
      </c>
    </row>
    <row r="2782" spans="1:7">
      <c r="A2782" s="50" t="s">
        <v>2208</v>
      </c>
      <c r="B2782" s="50" t="s">
        <v>113</v>
      </c>
      <c r="C2782" s="50" t="s">
        <v>242</v>
      </c>
      <c r="D2782" s="51">
        <v>2761</v>
      </c>
      <c r="E2782" s="51">
        <v>71340</v>
      </c>
      <c r="F2782" s="52">
        <v>6863.6</v>
      </c>
      <c r="G2782" s="53">
        <v>9.6209699999999998</v>
      </c>
    </row>
    <row r="2783" spans="1:7">
      <c r="A2783" s="50" t="s">
        <v>2209</v>
      </c>
      <c r="B2783" s="50" t="s">
        <v>113</v>
      </c>
      <c r="C2783" s="50" t="s">
        <v>242</v>
      </c>
      <c r="D2783" s="51">
        <v>2568</v>
      </c>
      <c r="E2783" s="51">
        <v>52600</v>
      </c>
      <c r="F2783" s="52">
        <v>5580</v>
      </c>
      <c r="G2783" s="53">
        <v>10.608364999999999</v>
      </c>
    </row>
    <row r="2784" spans="1:7">
      <c r="A2784" s="50" t="s">
        <v>1452</v>
      </c>
      <c r="B2784" s="50" t="s">
        <v>113</v>
      </c>
      <c r="C2784" s="50" t="s">
        <v>242</v>
      </c>
      <c r="D2784" s="51">
        <v>5638</v>
      </c>
      <c r="E2784" s="51">
        <v>139193</v>
      </c>
      <c r="F2784" s="52">
        <v>15151</v>
      </c>
      <c r="G2784" s="53">
        <v>10.884886</v>
      </c>
    </row>
    <row r="2785" spans="1:7">
      <c r="A2785" s="50" t="s">
        <v>2210</v>
      </c>
      <c r="B2785" s="50" t="s">
        <v>113</v>
      </c>
      <c r="C2785" s="50" t="s">
        <v>242</v>
      </c>
      <c r="D2785" s="51">
        <v>3077</v>
      </c>
      <c r="E2785" s="51">
        <v>66130</v>
      </c>
      <c r="F2785" s="52">
        <v>7388</v>
      </c>
      <c r="G2785" s="53">
        <v>11.171934</v>
      </c>
    </row>
    <row r="2786" spans="1:7">
      <c r="A2786" s="50" t="s">
        <v>2211</v>
      </c>
      <c r="B2786" s="50" t="s">
        <v>113</v>
      </c>
      <c r="C2786" s="50" t="s">
        <v>242</v>
      </c>
      <c r="D2786" s="51">
        <v>3004</v>
      </c>
      <c r="E2786" s="51">
        <v>57064</v>
      </c>
      <c r="F2786" s="52">
        <v>7212</v>
      </c>
      <c r="G2786" s="53">
        <v>12.638441</v>
      </c>
    </row>
    <row r="2787" spans="1:7">
      <c r="A2787" s="50" t="s">
        <v>1453</v>
      </c>
      <c r="B2787" s="50" t="s">
        <v>113</v>
      </c>
      <c r="C2787" s="50" t="s">
        <v>242</v>
      </c>
      <c r="D2787" s="51">
        <v>8514</v>
      </c>
      <c r="E2787" s="51">
        <v>273784</v>
      </c>
      <c r="F2787" s="52">
        <v>21031.1</v>
      </c>
      <c r="G2787" s="53">
        <v>7.6816395000000002</v>
      </c>
    </row>
    <row r="2788" spans="1:7">
      <c r="A2788" s="50" t="s">
        <v>2212</v>
      </c>
      <c r="B2788" s="50" t="s">
        <v>113</v>
      </c>
      <c r="C2788" s="50" t="s">
        <v>242</v>
      </c>
      <c r="D2788" s="51">
        <v>2338</v>
      </c>
      <c r="E2788" s="51">
        <v>53282</v>
      </c>
      <c r="F2788" s="52">
        <v>5549.6</v>
      </c>
      <c r="G2788" s="53">
        <v>10.415525000000001</v>
      </c>
    </row>
    <row r="2789" spans="1:7">
      <c r="A2789" s="50" t="s">
        <v>1454</v>
      </c>
      <c r="B2789" s="50" t="s">
        <v>113</v>
      </c>
      <c r="C2789" s="50" t="s">
        <v>242</v>
      </c>
      <c r="D2789" s="51">
        <v>60942</v>
      </c>
      <c r="E2789" s="51">
        <v>1507428</v>
      </c>
      <c r="F2789" s="52">
        <v>140862.6</v>
      </c>
      <c r="G2789" s="53">
        <v>9.3445657000000004</v>
      </c>
    </row>
    <row r="2790" spans="1:7">
      <c r="A2790" s="50" t="s">
        <v>2213</v>
      </c>
      <c r="B2790" s="50" t="s">
        <v>113</v>
      </c>
      <c r="C2790" s="50" t="s">
        <v>242</v>
      </c>
      <c r="D2790" s="51">
        <v>3060</v>
      </c>
      <c r="E2790" s="51">
        <v>83390</v>
      </c>
      <c r="F2790" s="52">
        <v>8927</v>
      </c>
      <c r="G2790" s="53">
        <v>10.705121</v>
      </c>
    </row>
    <row r="2791" spans="1:7">
      <c r="A2791" s="50" t="s">
        <v>2214</v>
      </c>
      <c r="B2791" s="50" t="s">
        <v>113</v>
      </c>
      <c r="C2791" s="50" t="s">
        <v>242</v>
      </c>
      <c r="D2791" s="51">
        <v>2077</v>
      </c>
      <c r="E2791" s="51">
        <v>60289</v>
      </c>
      <c r="F2791" s="52">
        <v>6565.2</v>
      </c>
      <c r="G2791" s="53">
        <v>10.889549000000001</v>
      </c>
    </row>
    <row r="2792" spans="1:7">
      <c r="A2792" s="50" t="s">
        <v>2215</v>
      </c>
      <c r="B2792" s="50" t="s">
        <v>113</v>
      </c>
      <c r="C2792" s="50" t="s">
        <v>242</v>
      </c>
      <c r="D2792" s="51">
        <v>1546</v>
      </c>
      <c r="E2792" s="51">
        <v>27506</v>
      </c>
      <c r="F2792" s="52">
        <v>3677.2</v>
      </c>
      <c r="G2792" s="53">
        <v>13.36872</v>
      </c>
    </row>
    <row r="2793" spans="1:7">
      <c r="A2793" s="50" t="s">
        <v>2216</v>
      </c>
      <c r="B2793" s="50" t="s">
        <v>113</v>
      </c>
      <c r="C2793" s="50" t="s">
        <v>242</v>
      </c>
      <c r="D2793" s="51">
        <v>2374</v>
      </c>
      <c r="E2793" s="51">
        <v>34203</v>
      </c>
      <c r="F2793" s="52">
        <v>4184</v>
      </c>
      <c r="G2793" s="53">
        <v>12.232844999999999</v>
      </c>
    </row>
    <row r="2794" spans="1:7">
      <c r="A2794" s="50" t="s">
        <v>1455</v>
      </c>
      <c r="B2794" s="50" t="s">
        <v>113</v>
      </c>
      <c r="C2794" s="50" t="s">
        <v>242</v>
      </c>
      <c r="D2794" s="51">
        <v>42633</v>
      </c>
      <c r="E2794" s="51">
        <v>864590</v>
      </c>
      <c r="F2794" s="52">
        <v>103875</v>
      </c>
      <c r="G2794" s="53">
        <v>12.014365</v>
      </c>
    </row>
    <row r="2795" spans="1:7">
      <c r="A2795" s="50" t="s">
        <v>1456</v>
      </c>
      <c r="B2795" s="50" t="s">
        <v>113</v>
      </c>
      <c r="C2795" s="50" t="s">
        <v>242</v>
      </c>
      <c r="D2795" s="51">
        <v>3722</v>
      </c>
      <c r="E2795" s="51">
        <v>91529</v>
      </c>
      <c r="F2795" s="52">
        <v>9575.4</v>
      </c>
      <c r="G2795" s="53">
        <v>10.461601999999999</v>
      </c>
    </row>
    <row r="2796" spans="1:7">
      <c r="A2796" s="50" t="s">
        <v>1457</v>
      </c>
      <c r="B2796" s="50" t="s">
        <v>113</v>
      </c>
      <c r="C2796" s="50" t="s">
        <v>242</v>
      </c>
      <c r="D2796" s="51">
        <v>56091</v>
      </c>
      <c r="E2796" s="51">
        <v>1533871</v>
      </c>
      <c r="F2796" s="52">
        <v>146493.4</v>
      </c>
      <c r="G2796" s="53">
        <v>9.5505685000000007</v>
      </c>
    </row>
    <row r="2797" spans="1:7">
      <c r="A2797" s="50" t="s">
        <v>2217</v>
      </c>
      <c r="B2797" s="50" t="s">
        <v>113</v>
      </c>
      <c r="C2797" s="50" t="s">
        <v>242</v>
      </c>
      <c r="D2797" s="51">
        <v>1394</v>
      </c>
      <c r="E2797" s="51">
        <v>19254</v>
      </c>
      <c r="F2797" s="52">
        <v>2567</v>
      </c>
      <c r="G2797" s="53">
        <v>13.332295</v>
      </c>
    </row>
    <row r="2798" spans="1:7">
      <c r="A2798" s="50" t="s">
        <v>2218</v>
      </c>
      <c r="B2798" s="50" t="s">
        <v>113</v>
      </c>
      <c r="C2798" s="50" t="s">
        <v>242</v>
      </c>
      <c r="D2798" s="51">
        <v>1616</v>
      </c>
      <c r="E2798" s="51">
        <v>28982</v>
      </c>
      <c r="F2798" s="52">
        <v>3615</v>
      </c>
      <c r="G2798" s="53">
        <v>12.473259000000001</v>
      </c>
    </row>
    <row r="2799" spans="1:7">
      <c r="A2799" s="50" t="s">
        <v>2219</v>
      </c>
      <c r="B2799" s="50" t="s">
        <v>113</v>
      </c>
      <c r="C2799" s="50" t="s">
        <v>242</v>
      </c>
      <c r="D2799" s="51">
        <v>1097</v>
      </c>
      <c r="E2799" s="51">
        <v>29019</v>
      </c>
      <c r="F2799" s="52">
        <v>4083</v>
      </c>
      <c r="G2799" s="53">
        <v>14.070092000000001</v>
      </c>
    </row>
    <row r="2800" spans="1:7">
      <c r="A2800" s="50" t="s">
        <v>1458</v>
      </c>
      <c r="B2800" s="50" t="s">
        <v>113</v>
      </c>
      <c r="C2800" s="50" t="s">
        <v>242</v>
      </c>
      <c r="D2800" s="51">
        <v>16201</v>
      </c>
      <c r="E2800" s="51">
        <v>351121</v>
      </c>
      <c r="F2800" s="52">
        <v>38198.199999999997</v>
      </c>
      <c r="G2800" s="53">
        <v>10.878928</v>
      </c>
    </row>
    <row r="2801" spans="1:7">
      <c r="A2801" s="50" t="s">
        <v>2220</v>
      </c>
      <c r="B2801" s="50" t="s">
        <v>113</v>
      </c>
      <c r="C2801" s="50" t="s">
        <v>242</v>
      </c>
      <c r="D2801" s="51">
        <v>1267</v>
      </c>
      <c r="E2801" s="51">
        <v>17593</v>
      </c>
      <c r="F2801" s="52">
        <v>2136.9</v>
      </c>
      <c r="G2801" s="53">
        <v>12.146307999999999</v>
      </c>
    </row>
    <row r="2802" spans="1:7">
      <c r="A2802" s="50" t="s">
        <v>1459</v>
      </c>
      <c r="B2802" s="50" t="s">
        <v>113</v>
      </c>
      <c r="C2802" s="50" t="s">
        <v>242</v>
      </c>
      <c r="D2802" s="51">
        <v>5712</v>
      </c>
      <c r="E2802" s="51">
        <v>138308</v>
      </c>
      <c r="F2802" s="52">
        <v>11154</v>
      </c>
      <c r="G2802" s="53">
        <v>8.0646094000000002</v>
      </c>
    </row>
    <row r="2803" spans="1:7">
      <c r="A2803" s="50" t="s">
        <v>1460</v>
      </c>
      <c r="B2803" s="50" t="s">
        <v>113</v>
      </c>
      <c r="C2803" s="50" t="s">
        <v>242</v>
      </c>
      <c r="D2803" s="51">
        <v>71647</v>
      </c>
      <c r="E2803" s="51">
        <v>1953691</v>
      </c>
      <c r="F2803" s="52">
        <v>180034</v>
      </c>
      <c r="G2803" s="53">
        <v>9.2150703000000007</v>
      </c>
    </row>
    <row r="2804" spans="1:7">
      <c r="A2804" s="50" t="s">
        <v>1461</v>
      </c>
      <c r="B2804" s="50" t="s">
        <v>113</v>
      </c>
      <c r="C2804" s="50" t="s">
        <v>242</v>
      </c>
      <c r="D2804" s="51">
        <v>26842</v>
      </c>
      <c r="E2804" s="51">
        <v>645511</v>
      </c>
      <c r="F2804" s="52">
        <v>80256</v>
      </c>
      <c r="G2804" s="53">
        <v>12.432941</v>
      </c>
    </row>
    <row r="2805" spans="1:7">
      <c r="A2805" s="50" t="s">
        <v>2221</v>
      </c>
      <c r="B2805" s="50" t="s">
        <v>113</v>
      </c>
      <c r="C2805" s="50" t="s">
        <v>242</v>
      </c>
      <c r="D2805" s="51">
        <v>2702</v>
      </c>
      <c r="E2805" s="51">
        <v>52723</v>
      </c>
      <c r="F2805" s="52">
        <v>5239</v>
      </c>
      <c r="G2805" s="53">
        <v>9.9368397000000002</v>
      </c>
    </row>
    <row r="2806" spans="1:7">
      <c r="A2806" s="50" t="s">
        <v>2222</v>
      </c>
      <c r="B2806" s="50" t="s">
        <v>113</v>
      </c>
      <c r="C2806" s="50" t="s">
        <v>242</v>
      </c>
      <c r="D2806" s="51">
        <v>269</v>
      </c>
      <c r="E2806" s="51">
        <v>6400</v>
      </c>
      <c r="F2806" s="52">
        <v>767</v>
      </c>
      <c r="G2806" s="53">
        <v>11.984375</v>
      </c>
    </row>
    <row r="2807" spans="1:7">
      <c r="A2807" s="50" t="s">
        <v>2223</v>
      </c>
      <c r="B2807" s="50" t="s">
        <v>113</v>
      </c>
      <c r="C2807" s="50" t="s">
        <v>242</v>
      </c>
      <c r="D2807" s="51">
        <v>1236</v>
      </c>
      <c r="E2807" s="51">
        <v>19826</v>
      </c>
      <c r="F2807" s="52">
        <v>2504</v>
      </c>
      <c r="G2807" s="53">
        <v>12.62988</v>
      </c>
    </row>
    <row r="2808" spans="1:7">
      <c r="A2808" s="50" t="s">
        <v>2224</v>
      </c>
      <c r="B2808" s="50" t="s">
        <v>113</v>
      </c>
      <c r="C2808" s="50" t="s">
        <v>242</v>
      </c>
      <c r="D2808" s="51">
        <v>2981</v>
      </c>
      <c r="E2808" s="51">
        <v>85690</v>
      </c>
      <c r="F2808" s="52">
        <v>8911.7000000000007</v>
      </c>
      <c r="G2808" s="53">
        <v>10.399929999999999</v>
      </c>
    </row>
    <row r="2809" spans="1:7">
      <c r="A2809" s="50" t="s">
        <v>2225</v>
      </c>
      <c r="B2809" s="50" t="s">
        <v>113</v>
      </c>
      <c r="C2809" s="50" t="s">
        <v>242</v>
      </c>
      <c r="D2809" s="51">
        <v>3364</v>
      </c>
      <c r="E2809" s="51">
        <v>90565</v>
      </c>
      <c r="F2809" s="52">
        <v>10624</v>
      </c>
      <c r="G2809" s="53">
        <v>11.730801</v>
      </c>
    </row>
    <row r="2810" spans="1:7">
      <c r="A2810" s="50" t="s">
        <v>1462</v>
      </c>
      <c r="B2810" s="50" t="s">
        <v>113</v>
      </c>
      <c r="C2810" s="50" t="s">
        <v>242</v>
      </c>
      <c r="D2810" s="51">
        <v>15038</v>
      </c>
      <c r="E2810" s="51">
        <v>523756</v>
      </c>
      <c r="F2810" s="52">
        <v>52872</v>
      </c>
      <c r="G2810" s="53">
        <v>10.094777000000001</v>
      </c>
    </row>
    <row r="2811" spans="1:7">
      <c r="A2811" s="50" t="s">
        <v>2226</v>
      </c>
      <c r="B2811" s="50" t="s">
        <v>113</v>
      </c>
      <c r="C2811" s="50" t="s">
        <v>242</v>
      </c>
      <c r="D2811" s="51">
        <v>1657</v>
      </c>
      <c r="E2811" s="51">
        <v>38996</v>
      </c>
      <c r="F2811" s="52">
        <v>4059</v>
      </c>
      <c r="G2811" s="53">
        <v>10.408759999999999</v>
      </c>
    </row>
    <row r="2812" spans="1:7">
      <c r="A2812" s="50" t="s">
        <v>2227</v>
      </c>
      <c r="B2812" s="50" t="s">
        <v>113</v>
      </c>
      <c r="C2812" s="50" t="s">
        <v>242</v>
      </c>
      <c r="D2812" s="51">
        <v>2778</v>
      </c>
      <c r="E2812" s="51">
        <v>45236</v>
      </c>
      <c r="F2812" s="52">
        <v>5982</v>
      </c>
      <c r="G2812" s="53">
        <v>13.223981</v>
      </c>
    </row>
    <row r="2813" spans="1:7">
      <c r="A2813" s="50" t="s">
        <v>2228</v>
      </c>
      <c r="B2813" s="50" t="s">
        <v>113</v>
      </c>
      <c r="C2813" s="50" t="s">
        <v>242</v>
      </c>
      <c r="D2813" s="51">
        <v>1271</v>
      </c>
      <c r="E2813" s="51">
        <v>17539</v>
      </c>
      <c r="F2813" s="52">
        <v>2295.3000000000002</v>
      </c>
      <c r="G2813" s="53">
        <v>13.086835000000001</v>
      </c>
    </row>
    <row r="2814" spans="1:7">
      <c r="A2814" s="50" t="s">
        <v>2229</v>
      </c>
      <c r="B2814" s="50" t="s">
        <v>113</v>
      </c>
      <c r="C2814" s="50" t="s">
        <v>242</v>
      </c>
      <c r="D2814" s="51">
        <v>3225</v>
      </c>
      <c r="E2814" s="51">
        <v>85242</v>
      </c>
      <c r="F2814" s="52">
        <v>9210</v>
      </c>
      <c r="G2814" s="53">
        <v>10.804532999999999</v>
      </c>
    </row>
    <row r="2815" spans="1:7">
      <c r="A2815" s="50" t="s">
        <v>1463</v>
      </c>
      <c r="B2815" s="50" t="s">
        <v>113</v>
      </c>
      <c r="C2815" s="50" t="s">
        <v>242</v>
      </c>
      <c r="D2815" s="51">
        <v>4397</v>
      </c>
      <c r="E2815" s="51">
        <v>93232</v>
      </c>
      <c r="F2815" s="52">
        <v>12081</v>
      </c>
      <c r="G2815" s="53">
        <v>12.957997000000001</v>
      </c>
    </row>
    <row r="2816" spans="1:7">
      <c r="A2816" s="50" t="s">
        <v>2230</v>
      </c>
      <c r="B2816" s="50" t="s">
        <v>113</v>
      </c>
      <c r="C2816" s="50" t="s">
        <v>242</v>
      </c>
      <c r="D2816" s="51">
        <v>3028</v>
      </c>
      <c r="E2816" s="51">
        <v>57605</v>
      </c>
      <c r="F2816" s="52">
        <v>5350.5</v>
      </c>
      <c r="G2816" s="53">
        <v>9.2882561999999993</v>
      </c>
    </row>
    <row r="2817" spans="1:7">
      <c r="A2817" s="50" t="s">
        <v>1464</v>
      </c>
      <c r="B2817" s="50" t="s">
        <v>113</v>
      </c>
      <c r="C2817" s="50" t="s">
        <v>242</v>
      </c>
      <c r="D2817" s="51">
        <v>4499</v>
      </c>
      <c r="E2817" s="51">
        <v>106331</v>
      </c>
      <c r="F2817" s="52">
        <v>10881</v>
      </c>
      <c r="G2817" s="53">
        <v>10.233140000000001</v>
      </c>
    </row>
    <row r="2818" spans="1:7">
      <c r="A2818" s="50" t="s">
        <v>2231</v>
      </c>
      <c r="B2818" s="50" t="s">
        <v>113</v>
      </c>
      <c r="C2818" s="50" t="s">
        <v>242</v>
      </c>
      <c r="D2818" s="51">
        <v>612</v>
      </c>
      <c r="E2818" s="51">
        <v>10975</v>
      </c>
      <c r="F2818" s="52">
        <v>1193</v>
      </c>
      <c r="G2818" s="53">
        <v>10.870158999999999</v>
      </c>
    </row>
    <row r="2819" spans="1:7">
      <c r="A2819" s="50" t="s">
        <v>1465</v>
      </c>
      <c r="B2819" s="50" t="s">
        <v>113</v>
      </c>
      <c r="C2819" s="50" t="s">
        <v>242</v>
      </c>
      <c r="D2819" s="51">
        <v>3670</v>
      </c>
      <c r="E2819" s="51">
        <v>173357</v>
      </c>
      <c r="F2819" s="52">
        <v>15804.5</v>
      </c>
      <c r="G2819" s="53">
        <v>9.1167359999999995</v>
      </c>
    </row>
    <row r="2820" spans="1:7">
      <c r="A2820" s="50" t="s">
        <v>2232</v>
      </c>
      <c r="B2820" s="50" t="s">
        <v>113</v>
      </c>
      <c r="C2820" s="50" t="s">
        <v>242</v>
      </c>
      <c r="D2820" s="51">
        <v>3299</v>
      </c>
      <c r="E2820" s="51">
        <v>80106</v>
      </c>
      <c r="F2820" s="52">
        <v>9280.6</v>
      </c>
      <c r="G2820" s="53">
        <v>11.585399000000001</v>
      </c>
    </row>
    <row r="2821" spans="1:7">
      <c r="A2821" s="50" t="s">
        <v>2233</v>
      </c>
      <c r="B2821" s="50" t="s">
        <v>113</v>
      </c>
      <c r="C2821" s="50" t="s">
        <v>242</v>
      </c>
      <c r="D2821" s="51">
        <v>2030</v>
      </c>
      <c r="E2821" s="51">
        <v>42231</v>
      </c>
      <c r="F2821" s="52">
        <v>4298</v>
      </c>
      <c r="G2821" s="53">
        <v>10.177358</v>
      </c>
    </row>
    <row r="2822" spans="1:7">
      <c r="A2822" s="50" t="s">
        <v>1466</v>
      </c>
      <c r="B2822" s="50" t="s">
        <v>113</v>
      </c>
      <c r="C2822" s="50" t="s">
        <v>242</v>
      </c>
      <c r="D2822" s="51">
        <v>5473</v>
      </c>
      <c r="E2822" s="51">
        <v>108521</v>
      </c>
      <c r="F2822" s="52">
        <v>11200</v>
      </c>
      <c r="G2822" s="53">
        <v>10.320582999999999</v>
      </c>
    </row>
    <row r="2823" spans="1:7">
      <c r="A2823" s="50" t="s">
        <v>1467</v>
      </c>
      <c r="B2823" s="50" t="s">
        <v>113</v>
      </c>
      <c r="C2823" s="50" t="s">
        <v>242</v>
      </c>
      <c r="D2823" s="51">
        <v>106789</v>
      </c>
      <c r="E2823" s="51">
        <v>2586988</v>
      </c>
      <c r="F2823" s="52">
        <v>224236.5</v>
      </c>
      <c r="G2823" s="53">
        <v>8.6678601000000004</v>
      </c>
    </row>
    <row r="2824" spans="1:7">
      <c r="A2824" s="50" t="s">
        <v>2234</v>
      </c>
      <c r="B2824" s="50" t="s">
        <v>113</v>
      </c>
      <c r="C2824" s="50" t="s">
        <v>242</v>
      </c>
      <c r="D2824" s="51">
        <v>2788</v>
      </c>
      <c r="E2824" s="51">
        <v>54101</v>
      </c>
      <c r="F2824" s="52">
        <v>6385.6</v>
      </c>
      <c r="G2824" s="53">
        <v>11.803108999999999</v>
      </c>
    </row>
    <row r="2825" spans="1:7">
      <c r="A2825" s="50" t="s">
        <v>2235</v>
      </c>
      <c r="B2825" s="50" t="s">
        <v>113</v>
      </c>
      <c r="C2825" s="50" t="s">
        <v>242</v>
      </c>
      <c r="D2825" s="51">
        <v>1515</v>
      </c>
      <c r="E2825" s="51">
        <v>22995</v>
      </c>
      <c r="F2825" s="52">
        <v>2750</v>
      </c>
      <c r="G2825" s="53">
        <v>11.959122000000001</v>
      </c>
    </row>
    <row r="2826" spans="1:7">
      <c r="A2826" s="50" t="s">
        <v>2236</v>
      </c>
      <c r="B2826" s="50" t="s">
        <v>113</v>
      </c>
      <c r="C2826" s="50" t="s">
        <v>242</v>
      </c>
      <c r="D2826" s="51">
        <v>661</v>
      </c>
      <c r="E2826" s="51">
        <v>8772</v>
      </c>
      <c r="F2826" s="52">
        <v>983.4</v>
      </c>
      <c r="G2826" s="53">
        <v>11.21067</v>
      </c>
    </row>
    <row r="2827" spans="1:7">
      <c r="A2827" s="50" t="s">
        <v>1468</v>
      </c>
      <c r="B2827" s="50" t="s">
        <v>113</v>
      </c>
      <c r="C2827" s="50" t="s">
        <v>242</v>
      </c>
      <c r="D2827" s="51">
        <v>44382</v>
      </c>
      <c r="E2827" s="51">
        <v>1679325</v>
      </c>
      <c r="F2827" s="52">
        <v>122755.6</v>
      </c>
      <c r="G2827" s="53">
        <v>7.3098178999999996</v>
      </c>
    </row>
    <row r="2828" spans="1:7">
      <c r="A2828" s="50" t="s">
        <v>2237</v>
      </c>
      <c r="B2828" s="50" t="s">
        <v>113</v>
      </c>
      <c r="C2828" s="50" t="s">
        <v>242</v>
      </c>
      <c r="D2828" s="51">
        <v>1020</v>
      </c>
      <c r="E2828" s="51">
        <v>19948</v>
      </c>
      <c r="F2828" s="52">
        <v>2426.8000000000002</v>
      </c>
      <c r="G2828" s="53">
        <v>12.165630999999999</v>
      </c>
    </row>
    <row r="2829" spans="1:7">
      <c r="A2829" s="50" t="s">
        <v>1469</v>
      </c>
      <c r="B2829" s="50" t="s">
        <v>113</v>
      </c>
      <c r="C2829" s="50" t="s">
        <v>242</v>
      </c>
      <c r="D2829" s="51">
        <v>850161</v>
      </c>
      <c r="E2829" s="51">
        <v>22664813</v>
      </c>
      <c r="F2829" s="52">
        <v>2178620</v>
      </c>
      <c r="G2829" s="53">
        <v>9.6123449000000001</v>
      </c>
    </row>
    <row r="2830" spans="1:7">
      <c r="A2830" s="50" t="s">
        <v>1470</v>
      </c>
      <c r="B2830" s="50" t="s">
        <v>113</v>
      </c>
      <c r="C2830" s="50" t="s">
        <v>242</v>
      </c>
      <c r="D2830" s="51">
        <v>24551</v>
      </c>
      <c r="E2830" s="51">
        <v>637568</v>
      </c>
      <c r="F2830" s="52">
        <v>68223</v>
      </c>
      <c r="G2830" s="53">
        <v>10.700506000000001</v>
      </c>
    </row>
    <row r="2831" spans="1:7">
      <c r="A2831" s="50" t="s">
        <v>2238</v>
      </c>
      <c r="B2831" s="50" t="s">
        <v>113</v>
      </c>
      <c r="C2831" s="50" t="s">
        <v>242</v>
      </c>
      <c r="D2831" s="51">
        <v>1845</v>
      </c>
      <c r="E2831" s="51">
        <v>37687</v>
      </c>
      <c r="F2831" s="52">
        <v>1725.8</v>
      </c>
      <c r="G2831" s="53">
        <v>4.5792979000000003</v>
      </c>
    </row>
    <row r="2832" spans="1:7">
      <c r="A2832" s="50" t="s">
        <v>2239</v>
      </c>
      <c r="B2832" s="50" t="s">
        <v>113</v>
      </c>
      <c r="C2832" s="50" t="s">
        <v>242</v>
      </c>
      <c r="D2832" s="51">
        <v>2551</v>
      </c>
      <c r="E2832" s="51">
        <v>61329</v>
      </c>
      <c r="F2832" s="52">
        <v>7486.7</v>
      </c>
      <c r="G2832" s="53">
        <v>12.207439000000001</v>
      </c>
    </row>
    <row r="2833" spans="1:7">
      <c r="A2833" s="50" t="s">
        <v>2240</v>
      </c>
      <c r="B2833" s="50" t="s">
        <v>113</v>
      </c>
      <c r="C2833" s="50" t="s">
        <v>242</v>
      </c>
      <c r="D2833" s="51">
        <v>1835</v>
      </c>
      <c r="E2833" s="51">
        <v>63585</v>
      </c>
      <c r="F2833" s="52">
        <v>6789</v>
      </c>
      <c r="G2833" s="53">
        <v>10.677046000000001</v>
      </c>
    </row>
    <row r="2834" spans="1:7">
      <c r="A2834" s="50" t="s">
        <v>1471</v>
      </c>
      <c r="B2834" s="50" t="s">
        <v>113</v>
      </c>
      <c r="C2834" s="50" t="s">
        <v>242</v>
      </c>
      <c r="D2834" s="51">
        <v>8545</v>
      </c>
      <c r="E2834" s="51">
        <v>320804</v>
      </c>
      <c r="F2834" s="52">
        <v>30346</v>
      </c>
      <c r="G2834" s="53">
        <v>9.4593583999999993</v>
      </c>
    </row>
    <row r="2835" spans="1:7">
      <c r="A2835" s="50" t="s">
        <v>2241</v>
      </c>
      <c r="B2835" s="50" t="s">
        <v>113</v>
      </c>
      <c r="C2835" s="50" t="s">
        <v>242</v>
      </c>
      <c r="D2835" s="51">
        <v>1586</v>
      </c>
      <c r="E2835" s="51">
        <v>25615</v>
      </c>
      <c r="F2835" s="52">
        <v>3417.4</v>
      </c>
      <c r="G2835" s="53">
        <v>13.341402</v>
      </c>
    </row>
    <row r="2836" spans="1:7">
      <c r="A2836" s="50" t="s">
        <v>2242</v>
      </c>
      <c r="B2836" s="50" t="s">
        <v>113</v>
      </c>
      <c r="C2836" s="50" t="s">
        <v>242</v>
      </c>
      <c r="D2836" s="51">
        <v>1371</v>
      </c>
      <c r="E2836" s="51">
        <v>41626</v>
      </c>
      <c r="F2836" s="52">
        <v>4232</v>
      </c>
      <c r="G2836" s="53">
        <v>10.166722999999999</v>
      </c>
    </row>
    <row r="2837" spans="1:7">
      <c r="A2837" s="50" t="s">
        <v>2243</v>
      </c>
      <c r="B2837" s="50" t="s">
        <v>113</v>
      </c>
      <c r="C2837" s="50" t="s">
        <v>242</v>
      </c>
      <c r="D2837" s="51">
        <v>2221</v>
      </c>
      <c r="E2837" s="51">
        <v>38299</v>
      </c>
      <c r="F2837" s="52">
        <v>4959</v>
      </c>
      <c r="G2837" s="53">
        <v>12.948119</v>
      </c>
    </row>
    <row r="2838" spans="1:7">
      <c r="A2838" s="50" t="s">
        <v>2244</v>
      </c>
      <c r="B2838" s="50" t="s">
        <v>113</v>
      </c>
      <c r="C2838" s="50" t="s">
        <v>242</v>
      </c>
      <c r="D2838" s="51">
        <v>2082</v>
      </c>
      <c r="E2838" s="51">
        <v>31959</v>
      </c>
      <c r="F2838" s="52">
        <v>3247.1</v>
      </c>
      <c r="G2838" s="53">
        <v>10.160204999999999</v>
      </c>
    </row>
    <row r="2839" spans="1:7">
      <c r="A2839" s="50" t="s">
        <v>2245</v>
      </c>
      <c r="B2839" s="50" t="s">
        <v>113</v>
      </c>
      <c r="C2839" s="50" t="s">
        <v>242</v>
      </c>
      <c r="D2839" s="51">
        <v>1237</v>
      </c>
      <c r="E2839" s="51">
        <v>34746</v>
      </c>
      <c r="F2839" s="52">
        <v>3706.8</v>
      </c>
      <c r="G2839" s="53">
        <v>10.668278000000001</v>
      </c>
    </row>
    <row r="2840" spans="1:7">
      <c r="A2840" s="50" t="s">
        <v>2246</v>
      </c>
      <c r="B2840" s="50" t="s">
        <v>113</v>
      </c>
      <c r="C2840" s="50" t="s">
        <v>242</v>
      </c>
      <c r="D2840" s="51">
        <v>2061</v>
      </c>
      <c r="E2840" s="51">
        <v>32230</v>
      </c>
      <c r="F2840" s="52">
        <v>3921</v>
      </c>
      <c r="G2840" s="53">
        <v>12.165684000000001</v>
      </c>
    </row>
    <row r="2841" spans="1:7">
      <c r="A2841" s="50" t="s">
        <v>2247</v>
      </c>
      <c r="B2841" s="50" t="s">
        <v>113</v>
      </c>
      <c r="C2841" s="50" t="s">
        <v>242</v>
      </c>
      <c r="D2841" s="51">
        <v>2984</v>
      </c>
      <c r="E2841" s="51">
        <v>77123</v>
      </c>
      <c r="F2841" s="52">
        <v>8340</v>
      </c>
      <c r="G2841" s="53">
        <v>10.813895</v>
      </c>
    </row>
    <row r="2842" spans="1:7">
      <c r="A2842" s="50" t="s">
        <v>1472</v>
      </c>
      <c r="B2842" s="50" t="s">
        <v>113</v>
      </c>
      <c r="C2842" s="50" t="s">
        <v>1425</v>
      </c>
      <c r="D2842" s="51">
        <v>2774</v>
      </c>
      <c r="E2842" s="51">
        <v>29683</v>
      </c>
      <c r="F2842" s="52">
        <v>3463</v>
      </c>
      <c r="G2842" s="53">
        <v>11.666611</v>
      </c>
    </row>
    <row r="2843" spans="1:7">
      <c r="A2843" s="50" t="s">
        <v>1473</v>
      </c>
      <c r="B2843" s="50" t="s">
        <v>113</v>
      </c>
      <c r="C2843" s="50" t="s">
        <v>240</v>
      </c>
      <c r="D2843" s="51">
        <v>8780</v>
      </c>
      <c r="E2843" s="51">
        <v>165029</v>
      </c>
      <c r="F2843" s="52">
        <v>13411.8</v>
      </c>
      <c r="G2843" s="53">
        <v>8.1269352999999995</v>
      </c>
    </row>
    <row r="2844" spans="1:7">
      <c r="A2844" s="50" t="s">
        <v>1474</v>
      </c>
      <c r="B2844" s="50" t="s">
        <v>113</v>
      </c>
      <c r="C2844" s="50" t="s">
        <v>240</v>
      </c>
      <c r="D2844" s="51">
        <v>17232</v>
      </c>
      <c r="E2844" s="51">
        <v>306899</v>
      </c>
      <c r="F2844" s="52">
        <v>29689</v>
      </c>
      <c r="G2844" s="53">
        <v>9.6738666000000002</v>
      </c>
    </row>
    <row r="2845" spans="1:7">
      <c r="A2845" s="50" t="s">
        <v>1475</v>
      </c>
      <c r="B2845" s="50" t="s">
        <v>113</v>
      </c>
      <c r="C2845" s="50" t="s">
        <v>240</v>
      </c>
      <c r="D2845" s="51">
        <v>15030</v>
      </c>
      <c r="E2845" s="51">
        <v>443646</v>
      </c>
      <c r="F2845" s="52">
        <v>38581.300000000003</v>
      </c>
      <c r="G2845" s="53">
        <v>8.6964155999999999</v>
      </c>
    </row>
    <row r="2846" spans="1:7">
      <c r="A2846" s="50" t="s">
        <v>1476</v>
      </c>
      <c r="B2846" s="50" t="s">
        <v>113</v>
      </c>
      <c r="C2846" s="50" t="s">
        <v>1425</v>
      </c>
      <c r="D2846" s="51">
        <v>3</v>
      </c>
      <c r="E2846" s="51">
        <v>215672</v>
      </c>
      <c r="F2846" s="52">
        <v>11953.6</v>
      </c>
      <c r="G2846" s="53">
        <v>5.5424904000000002</v>
      </c>
    </row>
    <row r="2847" spans="1:7">
      <c r="A2847" s="50" t="s">
        <v>1477</v>
      </c>
      <c r="B2847" s="50" t="s">
        <v>113</v>
      </c>
      <c r="C2847" s="50" t="s">
        <v>1425</v>
      </c>
      <c r="D2847" s="51">
        <v>42080</v>
      </c>
      <c r="E2847" s="51">
        <v>419523</v>
      </c>
      <c r="F2847" s="52">
        <v>44823</v>
      </c>
      <c r="G2847" s="53">
        <v>10.684277</v>
      </c>
    </row>
    <row r="2848" spans="1:7">
      <c r="A2848" s="50" t="s">
        <v>1478</v>
      </c>
      <c r="B2848" s="50" t="s">
        <v>113</v>
      </c>
      <c r="C2848" s="50" t="s">
        <v>1425</v>
      </c>
      <c r="D2848" s="51">
        <v>193316</v>
      </c>
      <c r="E2848" s="51">
        <v>13004147</v>
      </c>
      <c r="F2848" s="52">
        <v>982492.1</v>
      </c>
      <c r="G2848" s="53">
        <v>7.5552213999999998</v>
      </c>
    </row>
    <row r="2849" spans="1:7">
      <c r="A2849" s="50" t="s">
        <v>1479</v>
      </c>
      <c r="B2849" s="50" t="s">
        <v>113</v>
      </c>
      <c r="C2849" s="50" t="s">
        <v>240</v>
      </c>
      <c r="D2849" s="51">
        <v>16589</v>
      </c>
      <c r="E2849" s="51">
        <v>483327</v>
      </c>
      <c r="F2849" s="52">
        <v>43330.2</v>
      </c>
      <c r="G2849" s="53">
        <v>8.9649864000000008</v>
      </c>
    </row>
    <row r="2850" spans="1:7">
      <c r="A2850" s="50" t="s">
        <v>1480</v>
      </c>
      <c r="B2850" s="50" t="s">
        <v>113</v>
      </c>
      <c r="C2850" s="50" t="s">
        <v>240</v>
      </c>
      <c r="D2850" s="51">
        <v>14632</v>
      </c>
      <c r="E2850" s="51">
        <v>691813</v>
      </c>
      <c r="F2850" s="52">
        <v>47781.1</v>
      </c>
      <c r="G2850" s="53">
        <v>6.9066495999999997</v>
      </c>
    </row>
    <row r="2851" spans="1:7">
      <c r="A2851" s="50" t="s">
        <v>1481</v>
      </c>
      <c r="B2851" s="50" t="s">
        <v>113</v>
      </c>
      <c r="C2851" s="50" t="s">
        <v>240</v>
      </c>
      <c r="D2851" s="51">
        <v>42918</v>
      </c>
      <c r="E2851" s="51">
        <v>796745</v>
      </c>
      <c r="F2851" s="52">
        <v>77827</v>
      </c>
      <c r="G2851" s="53">
        <v>9.7681190000000004</v>
      </c>
    </row>
    <row r="2852" spans="1:7">
      <c r="A2852" s="50" t="s">
        <v>1482</v>
      </c>
      <c r="B2852" s="50" t="s">
        <v>113</v>
      </c>
      <c r="C2852" s="50" t="s">
        <v>240</v>
      </c>
      <c r="D2852" s="51">
        <v>249175</v>
      </c>
      <c r="E2852" s="51">
        <v>5467725</v>
      </c>
      <c r="F2852" s="52">
        <v>537342.5</v>
      </c>
      <c r="G2852" s="53">
        <v>9.8275334000000001</v>
      </c>
    </row>
    <row r="2853" spans="1:7">
      <c r="A2853" s="50" t="s">
        <v>2248</v>
      </c>
      <c r="B2853" s="50" t="s">
        <v>113</v>
      </c>
      <c r="C2853" s="50" t="s">
        <v>1425</v>
      </c>
      <c r="D2853" s="51">
        <v>71069</v>
      </c>
      <c r="E2853" s="51">
        <v>12241571</v>
      </c>
      <c r="F2853" s="52">
        <v>855992.9</v>
      </c>
      <c r="G2853" s="53">
        <v>6.9925085999999999</v>
      </c>
    </row>
    <row r="2854" spans="1:7">
      <c r="A2854" s="50" t="s">
        <v>1483</v>
      </c>
      <c r="B2854" s="50" t="s">
        <v>113</v>
      </c>
      <c r="C2854" s="50" t="s">
        <v>1425</v>
      </c>
      <c r="D2854" s="51">
        <v>622102</v>
      </c>
      <c r="E2854" s="51">
        <v>8119152</v>
      </c>
      <c r="F2854" s="52">
        <v>1041293.8</v>
      </c>
      <c r="G2854" s="53">
        <v>12.825155000000001</v>
      </c>
    </row>
    <row r="2855" spans="1:7">
      <c r="A2855" s="50" t="s">
        <v>1484</v>
      </c>
      <c r="B2855" s="50" t="s">
        <v>113</v>
      </c>
      <c r="C2855" s="50" t="s">
        <v>1425</v>
      </c>
      <c r="D2855" s="51">
        <v>4</v>
      </c>
      <c r="E2855" s="51">
        <v>116</v>
      </c>
      <c r="F2855" s="52">
        <v>5.8</v>
      </c>
      <c r="G2855" s="53">
        <v>5</v>
      </c>
    </row>
    <row r="2856" spans="1:7">
      <c r="A2856" s="50" t="s">
        <v>1485</v>
      </c>
      <c r="B2856" s="50" t="s">
        <v>113</v>
      </c>
      <c r="C2856" s="50" t="s">
        <v>1425</v>
      </c>
      <c r="D2856" s="51">
        <v>100</v>
      </c>
      <c r="E2856" s="51">
        <v>20562714</v>
      </c>
      <c r="F2856" s="52">
        <v>938087.2</v>
      </c>
      <c r="G2856" s="53">
        <v>4.5620786999999998</v>
      </c>
    </row>
    <row r="2857" spans="1:7">
      <c r="A2857" s="50" t="s">
        <v>1486</v>
      </c>
      <c r="B2857" s="50" t="s">
        <v>113</v>
      </c>
      <c r="C2857" s="50" t="s">
        <v>1425</v>
      </c>
      <c r="D2857" s="51">
        <v>11704</v>
      </c>
      <c r="E2857" s="51">
        <v>11734904</v>
      </c>
      <c r="F2857" s="52">
        <v>797637.1</v>
      </c>
      <c r="G2857" s="53">
        <v>6.7971336000000004</v>
      </c>
    </row>
    <row r="2858" spans="1:7">
      <c r="A2858" s="50" t="s">
        <v>1487</v>
      </c>
      <c r="B2858" s="50" t="s">
        <v>113</v>
      </c>
      <c r="C2858" s="50" t="s">
        <v>1425</v>
      </c>
      <c r="D2858" s="51">
        <v>29594</v>
      </c>
      <c r="E2858" s="51">
        <v>618505</v>
      </c>
      <c r="F2858" s="52">
        <v>59360</v>
      </c>
      <c r="G2858" s="53">
        <v>9.5973354999999998</v>
      </c>
    </row>
    <row r="2859" spans="1:7">
      <c r="A2859" s="50" t="s">
        <v>1082</v>
      </c>
      <c r="B2859" s="50" t="s">
        <v>113</v>
      </c>
      <c r="C2859" s="50" t="s">
        <v>237</v>
      </c>
      <c r="D2859" s="51">
        <v>328756</v>
      </c>
      <c r="E2859" s="51">
        <v>6330716</v>
      </c>
      <c r="F2859" s="52">
        <v>591100</v>
      </c>
      <c r="G2859" s="53">
        <v>9.3370165000000007</v>
      </c>
    </row>
    <row r="2860" spans="1:7">
      <c r="A2860" s="50" t="s">
        <v>1488</v>
      </c>
      <c r="B2860" s="50" t="s">
        <v>113</v>
      </c>
      <c r="C2860" s="50" t="s">
        <v>1425</v>
      </c>
      <c r="D2860" s="51">
        <v>29</v>
      </c>
      <c r="E2860" s="51">
        <v>3910</v>
      </c>
      <c r="F2860" s="52">
        <v>124.4</v>
      </c>
      <c r="G2860" s="53">
        <v>3.1815856999999999</v>
      </c>
    </row>
    <row r="2861" spans="1:7">
      <c r="A2861" s="50" t="s">
        <v>1489</v>
      </c>
      <c r="B2861" s="50" t="s">
        <v>113</v>
      </c>
      <c r="C2861" s="50" t="s">
        <v>237</v>
      </c>
      <c r="D2861" s="51">
        <v>459190</v>
      </c>
      <c r="E2861" s="51">
        <v>19008103</v>
      </c>
      <c r="F2861" s="52">
        <v>1306691.3999999999</v>
      </c>
      <c r="G2861" s="53">
        <v>6.8743914000000004</v>
      </c>
    </row>
    <row r="2862" spans="1:7">
      <c r="A2862" s="50" t="s">
        <v>1490</v>
      </c>
      <c r="B2862" s="50" t="s">
        <v>113</v>
      </c>
      <c r="C2862" s="50" t="s">
        <v>1425</v>
      </c>
      <c r="D2862" s="51">
        <v>84876</v>
      </c>
      <c r="E2862" s="51">
        <v>2214435</v>
      </c>
      <c r="F2862" s="52">
        <v>239832</v>
      </c>
      <c r="G2862" s="53">
        <v>10.830392</v>
      </c>
    </row>
    <row r="2863" spans="1:7">
      <c r="A2863" s="50" t="s">
        <v>2249</v>
      </c>
      <c r="B2863" s="50" t="s">
        <v>113</v>
      </c>
      <c r="C2863" s="50" t="s">
        <v>1425</v>
      </c>
      <c r="D2863" s="51">
        <v>24</v>
      </c>
      <c r="E2863" s="51">
        <v>122</v>
      </c>
      <c r="F2863" s="52">
        <v>9.9</v>
      </c>
      <c r="G2863" s="53">
        <v>8.1147541000000007</v>
      </c>
    </row>
    <row r="2864" spans="1:7">
      <c r="A2864" s="50" t="s">
        <v>1491</v>
      </c>
      <c r="B2864" s="50" t="s">
        <v>113</v>
      </c>
      <c r="C2864" s="50" t="s">
        <v>240</v>
      </c>
      <c r="D2864" s="51">
        <v>10474</v>
      </c>
      <c r="E2864" s="51">
        <v>162408</v>
      </c>
      <c r="F2864" s="52">
        <v>21597</v>
      </c>
      <c r="G2864" s="53">
        <v>13.29799</v>
      </c>
    </row>
    <row r="2865" spans="1:7">
      <c r="A2865" s="50" t="s">
        <v>1492</v>
      </c>
      <c r="B2865" s="50" t="s">
        <v>113</v>
      </c>
      <c r="C2865" s="50" t="s">
        <v>240</v>
      </c>
      <c r="D2865" s="51">
        <v>68331</v>
      </c>
      <c r="E2865" s="51">
        <v>1317307</v>
      </c>
      <c r="F2865" s="52">
        <v>141535</v>
      </c>
      <c r="G2865" s="53">
        <v>10.744268</v>
      </c>
    </row>
    <row r="2866" spans="1:7">
      <c r="A2866" s="50" t="s">
        <v>1493</v>
      </c>
      <c r="B2866" s="50" t="s">
        <v>113</v>
      </c>
      <c r="C2866" s="50" t="s">
        <v>240</v>
      </c>
      <c r="D2866" s="51">
        <v>14993</v>
      </c>
      <c r="E2866" s="51">
        <v>312921</v>
      </c>
      <c r="F2866" s="52">
        <v>36142</v>
      </c>
      <c r="G2866" s="53">
        <v>11.54988</v>
      </c>
    </row>
    <row r="2867" spans="1:7">
      <c r="A2867" s="50" t="s">
        <v>1494</v>
      </c>
      <c r="B2867" s="50" t="s">
        <v>113</v>
      </c>
      <c r="C2867" s="50" t="s">
        <v>240</v>
      </c>
      <c r="D2867" s="51">
        <v>6116</v>
      </c>
      <c r="E2867" s="51">
        <v>117721</v>
      </c>
      <c r="F2867" s="52">
        <v>11898</v>
      </c>
      <c r="G2867" s="53">
        <v>10.106947999999999</v>
      </c>
    </row>
    <row r="2868" spans="1:7">
      <c r="A2868" s="50" t="s">
        <v>2250</v>
      </c>
      <c r="B2868" s="50" t="s">
        <v>113</v>
      </c>
      <c r="C2868" s="50" t="s">
        <v>1425</v>
      </c>
      <c r="D2868" s="51">
        <v>255</v>
      </c>
      <c r="E2868" s="51">
        <v>136418</v>
      </c>
      <c r="F2868" s="52">
        <v>10621</v>
      </c>
      <c r="G2868" s="53">
        <v>7.7856294999999998</v>
      </c>
    </row>
    <row r="2869" spans="1:7">
      <c r="A2869" s="50" t="s">
        <v>1495</v>
      </c>
      <c r="B2869" s="50" t="s">
        <v>113</v>
      </c>
      <c r="C2869" s="50" t="s">
        <v>1425</v>
      </c>
      <c r="D2869" s="51">
        <v>72931</v>
      </c>
      <c r="E2869" s="51">
        <v>1222260</v>
      </c>
      <c r="F2869" s="52">
        <v>140043.20000000001</v>
      </c>
      <c r="G2869" s="53">
        <v>11.457725999999999</v>
      </c>
    </row>
    <row r="2870" spans="1:7">
      <c r="A2870" s="50" t="s">
        <v>1496</v>
      </c>
      <c r="B2870" s="50" t="s">
        <v>113</v>
      </c>
      <c r="C2870" s="50" t="s">
        <v>240</v>
      </c>
      <c r="D2870" s="51">
        <v>57815</v>
      </c>
      <c r="E2870" s="51">
        <v>1068408</v>
      </c>
      <c r="F2870" s="52">
        <v>133795</v>
      </c>
      <c r="G2870" s="53">
        <v>12.522838</v>
      </c>
    </row>
    <row r="2871" spans="1:7">
      <c r="A2871" s="50" t="s">
        <v>1497</v>
      </c>
      <c r="B2871" s="50" t="s">
        <v>113</v>
      </c>
      <c r="C2871" s="50" t="s">
        <v>1425</v>
      </c>
      <c r="D2871" s="51">
        <v>375779</v>
      </c>
      <c r="E2871" s="51">
        <v>6450721</v>
      </c>
      <c r="F2871" s="52">
        <v>739619.1</v>
      </c>
      <c r="G2871" s="53">
        <v>11.465681</v>
      </c>
    </row>
    <row r="2872" spans="1:7">
      <c r="A2872" s="50" t="s">
        <v>1498</v>
      </c>
      <c r="B2872" s="50" t="s">
        <v>113</v>
      </c>
      <c r="C2872" s="50" t="s">
        <v>240</v>
      </c>
      <c r="D2872" s="51">
        <v>5418</v>
      </c>
      <c r="E2872" s="51">
        <v>214440</v>
      </c>
      <c r="F2872" s="52">
        <v>19675</v>
      </c>
      <c r="G2872" s="53">
        <v>9.1750606000000001</v>
      </c>
    </row>
    <row r="2873" spans="1:7">
      <c r="A2873" s="50" t="s">
        <v>2251</v>
      </c>
      <c r="B2873" s="50" t="s">
        <v>113</v>
      </c>
      <c r="C2873" s="50" t="s">
        <v>1425</v>
      </c>
      <c r="D2873" s="51">
        <v>915</v>
      </c>
      <c r="E2873" s="51">
        <v>16716</v>
      </c>
      <c r="F2873" s="52">
        <v>1502.8</v>
      </c>
      <c r="G2873" s="53">
        <v>8.9901890000000009</v>
      </c>
    </row>
    <row r="2874" spans="1:7">
      <c r="A2874" s="50" t="s">
        <v>1499</v>
      </c>
      <c r="B2874" s="50" t="s">
        <v>113</v>
      </c>
      <c r="C2874" s="50" t="s">
        <v>1425</v>
      </c>
      <c r="D2874" s="51">
        <v>23297</v>
      </c>
      <c r="E2874" s="51">
        <v>347484</v>
      </c>
      <c r="F2874" s="52">
        <v>41698</v>
      </c>
      <c r="G2874" s="53">
        <v>11.999976999999999</v>
      </c>
    </row>
    <row r="2875" spans="1:7">
      <c r="A2875" s="50" t="s">
        <v>1500</v>
      </c>
      <c r="B2875" s="50" t="s">
        <v>113</v>
      </c>
      <c r="C2875" s="50" t="s">
        <v>240</v>
      </c>
      <c r="D2875" s="51">
        <v>86393</v>
      </c>
      <c r="E2875" s="51">
        <v>2666252</v>
      </c>
      <c r="F2875" s="52">
        <v>206259.9</v>
      </c>
      <c r="G2875" s="53">
        <v>7.7359492000000003</v>
      </c>
    </row>
    <row r="2876" spans="1:7">
      <c r="A2876" s="50" t="s">
        <v>1501</v>
      </c>
      <c r="B2876" s="50" t="s">
        <v>113</v>
      </c>
      <c r="C2876" s="50" t="s">
        <v>240</v>
      </c>
      <c r="D2876" s="51">
        <v>29380</v>
      </c>
      <c r="E2876" s="51">
        <v>591343</v>
      </c>
      <c r="F2876" s="52">
        <v>61498</v>
      </c>
      <c r="G2876" s="53">
        <v>10.399717000000001</v>
      </c>
    </row>
    <row r="2877" spans="1:7">
      <c r="A2877" s="50" t="s">
        <v>1502</v>
      </c>
      <c r="B2877" s="50" t="s">
        <v>113</v>
      </c>
      <c r="C2877" s="50" t="s">
        <v>240</v>
      </c>
      <c r="D2877" s="51">
        <v>18376</v>
      </c>
      <c r="E2877" s="51">
        <v>243058</v>
      </c>
      <c r="F2877" s="52">
        <v>26435.8</v>
      </c>
      <c r="G2877" s="53">
        <v>10.876334</v>
      </c>
    </row>
    <row r="2878" spans="1:7">
      <c r="A2878" s="50" t="s">
        <v>1503</v>
      </c>
      <c r="B2878" s="50" t="s">
        <v>113</v>
      </c>
      <c r="C2878" s="50" t="s">
        <v>240</v>
      </c>
      <c r="D2878" s="51">
        <v>22155</v>
      </c>
      <c r="E2878" s="51">
        <v>474367</v>
      </c>
      <c r="F2878" s="52">
        <v>42418</v>
      </c>
      <c r="G2878" s="53">
        <v>8.9420216999999997</v>
      </c>
    </row>
    <row r="2879" spans="1:7">
      <c r="A2879" s="50" t="s">
        <v>1504</v>
      </c>
      <c r="B2879" s="50" t="s">
        <v>113</v>
      </c>
      <c r="C2879" s="50" t="s">
        <v>1425</v>
      </c>
      <c r="D2879" s="51">
        <v>3225</v>
      </c>
      <c r="E2879" s="51">
        <v>74019</v>
      </c>
      <c r="F2879" s="52">
        <v>4488.7</v>
      </c>
      <c r="G2879" s="53">
        <v>6.0642538000000004</v>
      </c>
    </row>
    <row r="2880" spans="1:7">
      <c r="A2880" s="50" t="s">
        <v>1505</v>
      </c>
      <c r="B2880" s="50" t="s">
        <v>113</v>
      </c>
      <c r="C2880" s="50" t="s">
        <v>240</v>
      </c>
      <c r="D2880" s="51">
        <v>21733</v>
      </c>
      <c r="E2880" s="51">
        <v>421792</v>
      </c>
      <c r="F2880" s="52">
        <v>40403</v>
      </c>
      <c r="G2880" s="53">
        <v>9.5788919999999997</v>
      </c>
    </row>
    <row r="2881" spans="1:7">
      <c r="A2881" s="50" t="s">
        <v>1506</v>
      </c>
      <c r="B2881" s="50" t="s">
        <v>113</v>
      </c>
      <c r="C2881" s="50" t="s">
        <v>1425</v>
      </c>
      <c r="D2881" s="51">
        <v>41179</v>
      </c>
      <c r="E2881" s="51">
        <v>4228073</v>
      </c>
      <c r="F2881" s="52">
        <v>353408.3</v>
      </c>
      <c r="G2881" s="53">
        <v>8.3586139999999993</v>
      </c>
    </row>
    <row r="2882" spans="1:7">
      <c r="A2882" s="50" t="s">
        <v>2252</v>
      </c>
      <c r="B2882" s="50" t="s">
        <v>113</v>
      </c>
      <c r="C2882" s="50" t="s">
        <v>1425</v>
      </c>
      <c r="D2882" s="51">
        <v>14</v>
      </c>
      <c r="E2882" s="51">
        <v>4</v>
      </c>
      <c r="F2882" s="52">
        <v>0.4</v>
      </c>
      <c r="G2882" s="53">
        <v>10</v>
      </c>
    </row>
    <row r="2883" spans="1:7">
      <c r="A2883" s="50" t="s">
        <v>1507</v>
      </c>
      <c r="B2883" s="50" t="s">
        <v>113</v>
      </c>
      <c r="C2883" s="50" t="s">
        <v>1425</v>
      </c>
      <c r="D2883" s="51">
        <v>30395</v>
      </c>
      <c r="E2883" s="51">
        <v>385165</v>
      </c>
      <c r="F2883" s="52">
        <v>40900.699999999997</v>
      </c>
      <c r="G2883" s="53">
        <v>10.619007</v>
      </c>
    </row>
    <row r="2884" spans="1:7">
      <c r="A2884" s="50" t="s">
        <v>1508</v>
      </c>
      <c r="B2884" s="50" t="s">
        <v>113</v>
      </c>
      <c r="C2884" s="50" t="s">
        <v>1425</v>
      </c>
      <c r="D2884" s="51">
        <v>37224</v>
      </c>
      <c r="E2884" s="51">
        <v>486473</v>
      </c>
      <c r="F2884" s="52">
        <v>48981.4</v>
      </c>
      <c r="G2884" s="53">
        <v>10.068678</v>
      </c>
    </row>
    <row r="2885" spans="1:7">
      <c r="A2885" s="50" t="s">
        <v>2253</v>
      </c>
      <c r="B2885" s="50" t="s">
        <v>113</v>
      </c>
      <c r="C2885" s="50" t="s">
        <v>240</v>
      </c>
      <c r="D2885" s="51">
        <v>5922</v>
      </c>
      <c r="E2885" s="51">
        <v>92631</v>
      </c>
      <c r="F2885" s="52">
        <v>9601</v>
      </c>
      <c r="G2885" s="53">
        <v>10.364781000000001</v>
      </c>
    </row>
    <row r="2886" spans="1:7">
      <c r="A2886" s="50" t="s">
        <v>1509</v>
      </c>
      <c r="B2886" s="50" t="s">
        <v>113</v>
      </c>
      <c r="C2886" s="50" t="s">
        <v>240</v>
      </c>
      <c r="D2886" s="51">
        <v>16322</v>
      </c>
      <c r="E2886" s="51">
        <v>755306</v>
      </c>
      <c r="F2886" s="52">
        <v>53296</v>
      </c>
      <c r="G2886" s="53">
        <v>7.0562129999999996</v>
      </c>
    </row>
    <row r="2887" spans="1:7">
      <c r="A2887" s="50" t="s">
        <v>1510</v>
      </c>
      <c r="B2887" s="50" t="s">
        <v>113</v>
      </c>
      <c r="C2887" s="50" t="s">
        <v>240</v>
      </c>
      <c r="D2887" s="51">
        <v>22888</v>
      </c>
      <c r="E2887" s="51">
        <v>477531</v>
      </c>
      <c r="F2887" s="52">
        <v>49690</v>
      </c>
      <c r="G2887" s="53">
        <v>10.405607</v>
      </c>
    </row>
    <row r="2888" spans="1:7">
      <c r="A2888" s="50" t="s">
        <v>1511</v>
      </c>
      <c r="B2888" s="50" t="s">
        <v>113</v>
      </c>
      <c r="C2888" s="50" t="s">
        <v>1425</v>
      </c>
      <c r="D2888" s="51">
        <v>236375</v>
      </c>
      <c r="E2888" s="51">
        <v>3604323</v>
      </c>
      <c r="F2888" s="52">
        <v>457872.1</v>
      </c>
      <c r="G2888" s="53">
        <v>12.703415</v>
      </c>
    </row>
    <row r="2889" spans="1:7">
      <c r="A2889" s="50" t="s">
        <v>1512</v>
      </c>
      <c r="B2889" s="50" t="s">
        <v>113</v>
      </c>
      <c r="C2889" s="50" t="s">
        <v>240</v>
      </c>
      <c r="D2889" s="51">
        <v>20749</v>
      </c>
      <c r="E2889" s="51">
        <v>1192270</v>
      </c>
      <c r="F2889" s="52">
        <v>96739</v>
      </c>
      <c r="G2889" s="53">
        <v>8.1138501000000005</v>
      </c>
    </row>
    <row r="2890" spans="1:7">
      <c r="A2890" s="50" t="s">
        <v>1513</v>
      </c>
      <c r="B2890" s="50" t="s">
        <v>113</v>
      </c>
      <c r="C2890" s="50" t="s">
        <v>242</v>
      </c>
      <c r="D2890" s="51">
        <v>22994</v>
      </c>
      <c r="E2890" s="51">
        <v>504939</v>
      </c>
      <c r="F2890" s="52">
        <v>41016.6</v>
      </c>
      <c r="G2890" s="53">
        <v>8.1230802000000004</v>
      </c>
    </row>
    <row r="2891" spans="1:7">
      <c r="A2891" s="50" t="s">
        <v>2254</v>
      </c>
      <c r="B2891" s="50" t="s">
        <v>113</v>
      </c>
      <c r="C2891" s="50" t="s">
        <v>242</v>
      </c>
      <c r="D2891" s="51">
        <v>1073</v>
      </c>
      <c r="E2891" s="51">
        <v>20582</v>
      </c>
      <c r="F2891" s="52">
        <v>2265.5</v>
      </c>
      <c r="G2891" s="53">
        <v>11.007191000000001</v>
      </c>
    </row>
    <row r="2892" spans="1:7">
      <c r="A2892" s="50" t="s">
        <v>1514</v>
      </c>
      <c r="B2892" s="50" t="s">
        <v>113</v>
      </c>
      <c r="C2892" s="50" t="s">
        <v>240</v>
      </c>
      <c r="D2892" s="51">
        <v>12685</v>
      </c>
      <c r="E2892" s="51">
        <v>229523</v>
      </c>
      <c r="F2892" s="52">
        <v>23910</v>
      </c>
      <c r="G2892" s="53">
        <v>10.417256999999999</v>
      </c>
    </row>
    <row r="2893" spans="1:7">
      <c r="A2893" s="50" t="s">
        <v>1515</v>
      </c>
      <c r="B2893" s="50" t="s">
        <v>113</v>
      </c>
      <c r="C2893" s="50" t="s">
        <v>240</v>
      </c>
      <c r="D2893" s="51">
        <v>11367</v>
      </c>
      <c r="E2893" s="51">
        <v>316302</v>
      </c>
      <c r="F2893" s="52">
        <v>27940</v>
      </c>
      <c r="G2893" s="53">
        <v>8.8333302000000007</v>
      </c>
    </row>
    <row r="2894" spans="1:7">
      <c r="A2894" s="50" t="s">
        <v>1086</v>
      </c>
      <c r="B2894" s="50" t="s">
        <v>113</v>
      </c>
      <c r="C2894" s="50" t="s">
        <v>240</v>
      </c>
      <c r="D2894" s="51">
        <v>5147</v>
      </c>
      <c r="E2894" s="51">
        <v>644496</v>
      </c>
      <c r="F2894" s="52">
        <v>44705</v>
      </c>
      <c r="G2894" s="53">
        <v>6.9364277999999997</v>
      </c>
    </row>
    <row r="2895" spans="1:7">
      <c r="A2895" s="50" t="s">
        <v>1516</v>
      </c>
      <c r="B2895" s="50" t="s">
        <v>113</v>
      </c>
      <c r="C2895" s="50" t="s">
        <v>1425</v>
      </c>
      <c r="D2895" s="51">
        <v>14175</v>
      </c>
      <c r="E2895" s="51">
        <v>503317</v>
      </c>
      <c r="F2895" s="52">
        <v>50271</v>
      </c>
      <c r="G2895" s="53">
        <v>9.98794</v>
      </c>
    </row>
    <row r="2896" spans="1:7">
      <c r="A2896" s="50" t="s">
        <v>1517</v>
      </c>
      <c r="B2896" s="50" t="s">
        <v>113</v>
      </c>
      <c r="C2896" s="50" t="s">
        <v>1425</v>
      </c>
      <c r="D2896" s="51">
        <v>20831</v>
      </c>
      <c r="E2896" s="51">
        <v>160847</v>
      </c>
      <c r="F2896" s="52">
        <v>14096.5</v>
      </c>
      <c r="G2896" s="53">
        <v>8.7639185000000008</v>
      </c>
    </row>
    <row r="2897" spans="1:7">
      <c r="A2897" s="50" t="s">
        <v>1518</v>
      </c>
      <c r="B2897" s="50" t="s">
        <v>113</v>
      </c>
      <c r="C2897" s="50" t="s">
        <v>240</v>
      </c>
      <c r="D2897" s="51">
        <v>9323</v>
      </c>
      <c r="E2897" s="51">
        <v>239021</v>
      </c>
      <c r="F2897" s="52">
        <v>26084.9</v>
      </c>
      <c r="G2897" s="53">
        <v>10.913225000000001</v>
      </c>
    </row>
    <row r="2898" spans="1:7">
      <c r="A2898" s="50" t="s">
        <v>1519</v>
      </c>
      <c r="B2898" s="50" t="s">
        <v>113</v>
      </c>
      <c r="C2898" s="50" t="s">
        <v>240</v>
      </c>
      <c r="D2898" s="51">
        <v>22900</v>
      </c>
      <c r="E2898" s="51">
        <v>731682</v>
      </c>
      <c r="F2898" s="52">
        <v>66174</v>
      </c>
      <c r="G2898" s="53">
        <v>9.0440929000000008</v>
      </c>
    </row>
    <row r="2899" spans="1:7">
      <c r="A2899" s="50" t="s">
        <v>1520</v>
      </c>
      <c r="B2899" s="50" t="s">
        <v>113</v>
      </c>
      <c r="C2899" s="50" t="s">
        <v>1425</v>
      </c>
      <c r="D2899" s="51">
        <v>13185</v>
      </c>
      <c r="E2899" s="51">
        <v>9973794</v>
      </c>
      <c r="F2899" s="52">
        <v>600004.69999999995</v>
      </c>
      <c r="G2899" s="53">
        <v>6.0158120000000004</v>
      </c>
    </row>
    <row r="2900" spans="1:7">
      <c r="A2900" s="50" t="s">
        <v>1521</v>
      </c>
      <c r="B2900" s="50" t="s">
        <v>113</v>
      </c>
      <c r="C2900" s="50" t="s">
        <v>240</v>
      </c>
      <c r="D2900" s="51">
        <v>121528</v>
      </c>
      <c r="E2900" s="51">
        <v>2393607</v>
      </c>
      <c r="F2900" s="52">
        <v>217458.3</v>
      </c>
      <c r="G2900" s="53">
        <v>9.0849626000000008</v>
      </c>
    </row>
    <row r="2901" spans="1:7">
      <c r="A2901" s="50" t="s">
        <v>1522</v>
      </c>
      <c r="B2901" s="50" t="s">
        <v>113</v>
      </c>
      <c r="C2901" s="50" t="s">
        <v>1425</v>
      </c>
      <c r="D2901" s="51">
        <v>6</v>
      </c>
      <c r="E2901" s="51">
        <v>868</v>
      </c>
      <c r="F2901" s="52">
        <v>41.2</v>
      </c>
      <c r="G2901" s="53">
        <v>4.7465438000000004</v>
      </c>
    </row>
    <row r="2902" spans="1:7">
      <c r="A2902" s="50" t="s">
        <v>1523</v>
      </c>
      <c r="B2902" s="50" t="s">
        <v>113</v>
      </c>
      <c r="C2902" s="50" t="s">
        <v>240</v>
      </c>
      <c r="D2902" s="51">
        <v>33848</v>
      </c>
      <c r="E2902" s="51">
        <v>1513702</v>
      </c>
      <c r="F2902" s="52">
        <v>124443.2</v>
      </c>
      <c r="G2902" s="53">
        <v>8.2211162000000009</v>
      </c>
    </row>
    <row r="2903" spans="1:7">
      <c r="A2903" s="50" t="s">
        <v>2255</v>
      </c>
      <c r="B2903" s="50" t="s">
        <v>113</v>
      </c>
      <c r="C2903" s="50" t="s">
        <v>1425</v>
      </c>
      <c r="D2903" s="51">
        <v>16400</v>
      </c>
      <c r="E2903" s="51">
        <v>334343</v>
      </c>
      <c r="F2903" s="52">
        <v>30787</v>
      </c>
      <c r="G2903" s="53">
        <v>9.2082083000000008</v>
      </c>
    </row>
    <row r="2904" spans="1:7">
      <c r="A2904" s="50" t="s">
        <v>1524</v>
      </c>
      <c r="B2904" s="50" t="s">
        <v>113</v>
      </c>
      <c r="C2904" s="50" t="s">
        <v>240</v>
      </c>
      <c r="D2904" s="51">
        <v>32221</v>
      </c>
      <c r="E2904" s="51">
        <v>814424</v>
      </c>
      <c r="F2904" s="52">
        <v>85294.9</v>
      </c>
      <c r="G2904" s="53">
        <v>10.473034</v>
      </c>
    </row>
    <row r="2905" spans="1:7">
      <c r="A2905" s="50" t="s">
        <v>1525</v>
      </c>
      <c r="B2905" s="50" t="s">
        <v>113</v>
      </c>
      <c r="C2905" s="50" t="s">
        <v>1425</v>
      </c>
      <c r="D2905" s="51">
        <v>14204</v>
      </c>
      <c r="E2905" s="51">
        <v>1657364</v>
      </c>
      <c r="F2905" s="52">
        <v>121800</v>
      </c>
      <c r="G2905" s="53">
        <v>7.3490193000000001</v>
      </c>
    </row>
    <row r="2906" spans="1:7">
      <c r="A2906" s="50" t="s">
        <v>2256</v>
      </c>
      <c r="B2906" s="50" t="s">
        <v>113</v>
      </c>
      <c r="C2906" s="50" t="s">
        <v>1425</v>
      </c>
      <c r="D2906" s="51">
        <v>1</v>
      </c>
      <c r="E2906" s="51">
        <v>0</v>
      </c>
      <c r="F2906" s="52">
        <v>15821</v>
      </c>
      <c r="G2906" s="53" t="s">
        <v>1750</v>
      </c>
    </row>
    <row r="2907" spans="1:7">
      <c r="A2907" s="50" t="s">
        <v>1526</v>
      </c>
      <c r="B2907" s="50" t="s">
        <v>113</v>
      </c>
      <c r="C2907" s="50" t="s">
        <v>240</v>
      </c>
      <c r="D2907" s="51">
        <v>17005</v>
      </c>
      <c r="E2907" s="51">
        <v>548263</v>
      </c>
      <c r="F2907" s="52">
        <v>43592</v>
      </c>
      <c r="G2907" s="53">
        <v>7.9509287000000004</v>
      </c>
    </row>
    <row r="2908" spans="1:7">
      <c r="A2908" s="50" t="s">
        <v>1527</v>
      </c>
      <c r="B2908" s="50" t="s">
        <v>113</v>
      </c>
      <c r="C2908" s="50" t="s">
        <v>240</v>
      </c>
      <c r="D2908" s="51">
        <v>19859</v>
      </c>
      <c r="E2908" s="51">
        <v>363587</v>
      </c>
      <c r="F2908" s="52">
        <v>35652.300000000003</v>
      </c>
      <c r="G2908" s="53">
        <v>9.8057136000000007</v>
      </c>
    </row>
    <row r="2909" spans="1:7">
      <c r="A2909" s="50" t="s">
        <v>1528</v>
      </c>
      <c r="B2909" s="50" t="s">
        <v>113</v>
      </c>
      <c r="C2909" s="50" t="s">
        <v>1425</v>
      </c>
      <c r="D2909" s="51">
        <v>286560</v>
      </c>
      <c r="E2909" s="51">
        <v>9453911</v>
      </c>
      <c r="F2909" s="52">
        <v>828286.7</v>
      </c>
      <c r="G2909" s="53">
        <v>8.7613126000000001</v>
      </c>
    </row>
    <row r="2910" spans="1:7">
      <c r="A2910" s="50" t="s">
        <v>1529</v>
      </c>
      <c r="B2910" s="50" t="s">
        <v>113</v>
      </c>
      <c r="C2910" s="50" t="s">
        <v>1425</v>
      </c>
      <c r="D2910" s="51">
        <v>314</v>
      </c>
      <c r="E2910" s="51">
        <v>1552</v>
      </c>
      <c r="F2910" s="52">
        <v>172.1</v>
      </c>
      <c r="G2910" s="53">
        <v>11.088918</v>
      </c>
    </row>
    <row r="2911" spans="1:7">
      <c r="A2911" s="50" t="s">
        <v>1530</v>
      </c>
      <c r="B2911" s="50" t="s">
        <v>113</v>
      </c>
      <c r="C2911" s="50" t="s">
        <v>240</v>
      </c>
      <c r="D2911" s="51">
        <v>7181</v>
      </c>
      <c r="E2911" s="51">
        <v>354723</v>
      </c>
      <c r="F2911" s="52">
        <v>32013</v>
      </c>
      <c r="G2911" s="53">
        <v>9.0247884000000003</v>
      </c>
    </row>
    <row r="2912" spans="1:7">
      <c r="A2912" s="50" t="s">
        <v>2257</v>
      </c>
      <c r="B2912" s="50" t="s">
        <v>113</v>
      </c>
      <c r="C2912" s="50" t="s">
        <v>240</v>
      </c>
      <c r="D2912" s="51">
        <v>42886</v>
      </c>
      <c r="E2912" s="51">
        <v>1308238</v>
      </c>
      <c r="F2912" s="52">
        <v>105882</v>
      </c>
      <c r="G2912" s="53">
        <v>8.0934814999999993</v>
      </c>
    </row>
    <row r="2913" spans="1:7">
      <c r="A2913" s="50" t="s">
        <v>1531</v>
      </c>
      <c r="B2913" s="50" t="s">
        <v>113</v>
      </c>
      <c r="C2913" s="50" t="s">
        <v>1425</v>
      </c>
      <c r="D2913" s="51">
        <v>59521</v>
      </c>
      <c r="E2913" s="51">
        <v>1429862</v>
      </c>
      <c r="F2913" s="52">
        <v>124707</v>
      </c>
      <c r="G2913" s="53">
        <v>8.7216108999999999</v>
      </c>
    </row>
    <row r="2914" spans="1:7">
      <c r="A2914" s="50" t="s">
        <v>701</v>
      </c>
      <c r="B2914" s="50" t="s">
        <v>113</v>
      </c>
      <c r="C2914" s="50" t="s">
        <v>240</v>
      </c>
      <c r="D2914" s="51">
        <v>10693</v>
      </c>
      <c r="E2914" s="51">
        <v>196605</v>
      </c>
      <c r="F2914" s="52">
        <v>18121.400000000001</v>
      </c>
      <c r="G2914" s="53">
        <v>9.2171613000000008</v>
      </c>
    </row>
    <row r="2915" spans="1:7">
      <c r="A2915" s="50" t="s">
        <v>1532</v>
      </c>
      <c r="B2915" s="50" t="s">
        <v>113</v>
      </c>
      <c r="C2915" s="50" t="s">
        <v>240</v>
      </c>
      <c r="D2915" s="51">
        <v>363712</v>
      </c>
      <c r="E2915" s="51">
        <v>6490606</v>
      </c>
      <c r="F2915" s="52">
        <v>631029.5</v>
      </c>
      <c r="G2915" s="53">
        <v>9.7221969999999995</v>
      </c>
    </row>
    <row r="2916" spans="1:7">
      <c r="A2916" s="50" t="s">
        <v>1533</v>
      </c>
      <c r="B2916" s="50" t="s">
        <v>113</v>
      </c>
      <c r="C2916" s="50" t="s">
        <v>1425</v>
      </c>
      <c r="D2916" s="51">
        <v>7878</v>
      </c>
      <c r="E2916" s="51">
        <v>92753</v>
      </c>
      <c r="F2916" s="52">
        <v>5961.6</v>
      </c>
      <c r="G2916" s="53">
        <v>6.4273932</v>
      </c>
    </row>
    <row r="2917" spans="1:7">
      <c r="A2917" s="50" t="s">
        <v>1534</v>
      </c>
      <c r="B2917" s="50" t="s">
        <v>113</v>
      </c>
      <c r="C2917" s="50" t="s">
        <v>1425</v>
      </c>
      <c r="D2917" s="51">
        <v>660</v>
      </c>
      <c r="E2917" s="51">
        <v>239</v>
      </c>
      <c r="F2917" s="52">
        <v>12.2</v>
      </c>
      <c r="G2917" s="53">
        <v>5.1046025000000004</v>
      </c>
    </row>
    <row r="2918" spans="1:7">
      <c r="A2918" s="50" t="s">
        <v>1535</v>
      </c>
      <c r="B2918" s="50" t="s">
        <v>113</v>
      </c>
      <c r="C2918" s="50" t="s">
        <v>1425</v>
      </c>
      <c r="D2918" s="51">
        <v>4124</v>
      </c>
      <c r="E2918" s="51">
        <v>199186</v>
      </c>
      <c r="F2918" s="52">
        <v>17929.900000000001</v>
      </c>
      <c r="G2918" s="53">
        <v>9.0015865000000002</v>
      </c>
    </row>
    <row r="2919" spans="1:7">
      <c r="A2919" s="50" t="s">
        <v>2258</v>
      </c>
      <c r="B2919" s="50" t="s">
        <v>113</v>
      </c>
      <c r="C2919" s="50" t="s">
        <v>1425</v>
      </c>
      <c r="D2919" s="51">
        <v>23541</v>
      </c>
      <c r="E2919" s="51">
        <v>336201</v>
      </c>
      <c r="F2919" s="52">
        <v>32550</v>
      </c>
      <c r="G2919" s="53">
        <v>9.6817083000000004</v>
      </c>
    </row>
    <row r="2920" spans="1:7">
      <c r="A2920" s="50" t="s">
        <v>2259</v>
      </c>
      <c r="B2920" s="50" t="s">
        <v>113</v>
      </c>
      <c r="C2920" s="50" t="s">
        <v>1425</v>
      </c>
      <c r="D2920" s="51">
        <v>1419364</v>
      </c>
      <c r="E2920" s="51">
        <v>41497486</v>
      </c>
      <c r="F2920" s="52">
        <v>4086827.8</v>
      </c>
      <c r="G2920" s="53">
        <v>9.8483744000000009</v>
      </c>
    </row>
    <row r="2921" spans="1:7">
      <c r="A2921" s="50" t="s">
        <v>1091</v>
      </c>
      <c r="B2921" s="50" t="s">
        <v>113</v>
      </c>
      <c r="C2921" s="50" t="s">
        <v>240</v>
      </c>
      <c r="D2921" s="51">
        <v>13324</v>
      </c>
      <c r="E2921" s="51">
        <v>509675</v>
      </c>
      <c r="F2921" s="52">
        <v>52606.7</v>
      </c>
      <c r="G2921" s="53">
        <v>10.321617</v>
      </c>
    </row>
    <row r="2922" spans="1:7">
      <c r="A2922" s="50" t="s">
        <v>1536</v>
      </c>
      <c r="B2922" s="50" t="s">
        <v>113</v>
      </c>
      <c r="C2922" s="50" t="s">
        <v>240</v>
      </c>
      <c r="D2922" s="51">
        <v>7961</v>
      </c>
      <c r="E2922" s="51">
        <v>587320</v>
      </c>
      <c r="F2922" s="52">
        <v>40137</v>
      </c>
      <c r="G2922" s="53">
        <v>6.8339236000000003</v>
      </c>
    </row>
    <row r="2923" spans="1:7">
      <c r="A2923" s="50" t="s">
        <v>1537</v>
      </c>
      <c r="B2923" s="50" t="s">
        <v>113</v>
      </c>
      <c r="C2923" s="50" t="s">
        <v>240</v>
      </c>
      <c r="D2923" s="51">
        <v>22387</v>
      </c>
      <c r="E2923" s="51">
        <v>635932</v>
      </c>
      <c r="F2923" s="52">
        <v>56888</v>
      </c>
      <c r="G2923" s="53">
        <v>8.9456105000000008</v>
      </c>
    </row>
    <row r="2924" spans="1:7">
      <c r="A2924" s="50" t="s">
        <v>2260</v>
      </c>
      <c r="B2924" s="50" t="s">
        <v>113</v>
      </c>
      <c r="C2924" s="50" t="s">
        <v>1425</v>
      </c>
      <c r="D2924" s="51">
        <v>40</v>
      </c>
      <c r="E2924" s="51">
        <v>1698</v>
      </c>
      <c r="F2924" s="52">
        <v>215</v>
      </c>
      <c r="G2924" s="53">
        <v>12.661955000000001</v>
      </c>
    </row>
    <row r="2925" spans="1:7">
      <c r="A2925" s="50" t="s">
        <v>1538</v>
      </c>
      <c r="B2925" s="50" t="s">
        <v>113</v>
      </c>
      <c r="C2925" s="50" t="s">
        <v>240</v>
      </c>
      <c r="D2925" s="51">
        <v>76776</v>
      </c>
      <c r="E2925" s="51">
        <v>1465283</v>
      </c>
      <c r="F2925" s="52">
        <v>160568</v>
      </c>
      <c r="G2925" s="53">
        <v>10.958156000000001</v>
      </c>
    </row>
    <row r="2926" spans="1:7">
      <c r="A2926" s="50" t="s">
        <v>1539</v>
      </c>
      <c r="B2926" s="50" t="s">
        <v>113</v>
      </c>
      <c r="C2926" s="50" t="s">
        <v>240</v>
      </c>
      <c r="D2926" s="51">
        <v>28911</v>
      </c>
      <c r="E2926" s="51">
        <v>700011</v>
      </c>
      <c r="F2926" s="52">
        <v>78876.5</v>
      </c>
      <c r="G2926" s="53">
        <v>11.267894</v>
      </c>
    </row>
    <row r="2927" spans="1:7">
      <c r="A2927" s="50" t="s">
        <v>1540</v>
      </c>
      <c r="B2927" s="50" t="s">
        <v>113</v>
      </c>
      <c r="C2927" s="50" t="s">
        <v>240</v>
      </c>
      <c r="D2927" s="51">
        <v>11624</v>
      </c>
      <c r="E2927" s="51">
        <v>297423</v>
      </c>
      <c r="F2927" s="52">
        <v>30129.7</v>
      </c>
      <c r="G2927" s="53">
        <v>10.130252</v>
      </c>
    </row>
    <row r="2928" spans="1:7">
      <c r="A2928" s="50" t="s">
        <v>1541</v>
      </c>
      <c r="B2928" s="50" t="s">
        <v>113</v>
      </c>
      <c r="C2928" s="50" t="s">
        <v>1425</v>
      </c>
      <c r="D2928" s="51">
        <v>641</v>
      </c>
      <c r="E2928" s="51">
        <v>6754</v>
      </c>
      <c r="F2928" s="52">
        <v>784.2</v>
      </c>
      <c r="G2928" s="53">
        <v>11.610897</v>
      </c>
    </row>
    <row r="2929" spans="1:7">
      <c r="A2929" s="50" t="s">
        <v>343</v>
      </c>
      <c r="B2929" s="50" t="s">
        <v>113</v>
      </c>
      <c r="C2929" s="50" t="s">
        <v>332</v>
      </c>
      <c r="D2929" s="51">
        <v>8516</v>
      </c>
      <c r="E2929" s="51">
        <v>94218</v>
      </c>
      <c r="F2929" s="52">
        <v>10813</v>
      </c>
      <c r="G2929" s="53">
        <v>11.476576</v>
      </c>
    </row>
    <row r="2930" spans="1:7">
      <c r="A2930" s="50" t="s">
        <v>1542</v>
      </c>
      <c r="B2930" s="50" t="s">
        <v>113</v>
      </c>
      <c r="C2930" s="50" t="s">
        <v>1425</v>
      </c>
      <c r="D2930" s="51">
        <v>1054</v>
      </c>
      <c r="E2930" s="51">
        <v>147739</v>
      </c>
      <c r="F2930" s="52">
        <v>10437</v>
      </c>
      <c r="G2930" s="53">
        <v>7.0644853000000003</v>
      </c>
    </row>
    <row r="2931" spans="1:7">
      <c r="A2931" s="50" t="s">
        <v>1543</v>
      </c>
      <c r="B2931" s="50" t="s">
        <v>113</v>
      </c>
      <c r="C2931" s="50" t="s">
        <v>240</v>
      </c>
      <c r="D2931" s="51">
        <v>59982</v>
      </c>
      <c r="E2931" s="51">
        <v>1625276</v>
      </c>
      <c r="F2931" s="52">
        <v>134449.29999999999</v>
      </c>
      <c r="G2931" s="53">
        <v>8.2723980000000008</v>
      </c>
    </row>
    <row r="2932" spans="1:7">
      <c r="A2932" s="50" t="s">
        <v>2261</v>
      </c>
      <c r="B2932" s="50" t="s">
        <v>113</v>
      </c>
      <c r="C2932" s="50" t="s">
        <v>1425</v>
      </c>
      <c r="D2932" s="51">
        <v>802</v>
      </c>
      <c r="E2932" s="51">
        <v>3658</v>
      </c>
      <c r="F2932" s="52">
        <v>121</v>
      </c>
      <c r="G2932" s="53">
        <v>3.3078185000000002</v>
      </c>
    </row>
    <row r="2933" spans="1:7">
      <c r="A2933" s="50" t="s">
        <v>321</v>
      </c>
      <c r="B2933" s="50" t="s">
        <v>113</v>
      </c>
      <c r="C2933" s="50" t="s">
        <v>240</v>
      </c>
      <c r="D2933" s="51">
        <v>1110</v>
      </c>
      <c r="E2933" s="51">
        <v>21932</v>
      </c>
      <c r="F2933" s="52">
        <v>2230.5</v>
      </c>
      <c r="G2933" s="53">
        <v>10.170071</v>
      </c>
    </row>
    <row r="2934" spans="1:7">
      <c r="A2934" s="50" t="s">
        <v>1216</v>
      </c>
      <c r="B2934" s="50" t="s">
        <v>113</v>
      </c>
      <c r="C2934" s="50" t="s">
        <v>240</v>
      </c>
      <c r="D2934" s="51">
        <v>3297</v>
      </c>
      <c r="E2934" s="51">
        <v>79529</v>
      </c>
      <c r="F2934" s="52">
        <v>9076.5</v>
      </c>
      <c r="G2934" s="53">
        <v>11.412818</v>
      </c>
    </row>
    <row r="2935" spans="1:7">
      <c r="A2935" s="50" t="s">
        <v>1544</v>
      </c>
      <c r="B2935" s="50" t="s">
        <v>113</v>
      </c>
      <c r="C2935" s="50" t="s">
        <v>240</v>
      </c>
      <c r="D2935" s="51">
        <v>9933</v>
      </c>
      <c r="E2935" s="51">
        <v>335474</v>
      </c>
      <c r="F2935" s="52">
        <v>26124</v>
      </c>
      <c r="G2935" s="53">
        <v>7.7871907</v>
      </c>
    </row>
    <row r="2936" spans="1:7">
      <c r="A2936" s="50" t="s">
        <v>416</v>
      </c>
      <c r="B2936" s="50" t="s">
        <v>113</v>
      </c>
      <c r="C2936" s="50" t="s">
        <v>240</v>
      </c>
      <c r="D2936" s="51">
        <v>26</v>
      </c>
      <c r="E2936" s="51">
        <v>502</v>
      </c>
      <c r="F2936" s="52">
        <v>87.2</v>
      </c>
      <c r="G2936" s="53">
        <v>17.370518000000001</v>
      </c>
    </row>
    <row r="2937" spans="1:7">
      <c r="A2937" s="50" t="s">
        <v>322</v>
      </c>
      <c r="B2937" s="50" t="s">
        <v>113</v>
      </c>
      <c r="C2937" s="50" t="s">
        <v>237</v>
      </c>
      <c r="D2937" s="51">
        <v>186097</v>
      </c>
      <c r="E2937" s="51">
        <v>7232998</v>
      </c>
      <c r="F2937" s="52">
        <v>586324.6</v>
      </c>
      <c r="G2937" s="53">
        <v>8.1062457999999999</v>
      </c>
    </row>
    <row r="2938" spans="1:7">
      <c r="A2938" s="50" t="s">
        <v>1095</v>
      </c>
      <c r="B2938" s="50" t="s">
        <v>113</v>
      </c>
      <c r="C2938" s="50" t="s">
        <v>237</v>
      </c>
      <c r="D2938" s="51">
        <v>271560</v>
      </c>
      <c r="E2938" s="51">
        <v>14023199</v>
      </c>
      <c r="F2938" s="52">
        <v>817216.1</v>
      </c>
      <c r="G2938" s="53">
        <v>5.8276010999999999</v>
      </c>
    </row>
    <row r="2939" spans="1:7">
      <c r="A2939" s="50" t="s">
        <v>1545</v>
      </c>
      <c r="B2939" s="50" t="s">
        <v>113</v>
      </c>
      <c r="C2939" s="50" t="s">
        <v>1425</v>
      </c>
      <c r="D2939" s="51">
        <v>42495</v>
      </c>
      <c r="E2939" s="51">
        <v>681576</v>
      </c>
      <c r="F2939" s="52">
        <v>81868</v>
      </c>
      <c r="G2939" s="53">
        <v>12.011573</v>
      </c>
    </row>
    <row r="2940" spans="1:7">
      <c r="A2940" s="50" t="s">
        <v>2262</v>
      </c>
      <c r="B2940" s="50" t="s">
        <v>113</v>
      </c>
      <c r="C2940" s="50" t="s">
        <v>1425</v>
      </c>
      <c r="D2940" s="51">
        <v>275877</v>
      </c>
      <c r="E2940" s="51">
        <v>4284886</v>
      </c>
      <c r="F2940" s="52">
        <v>506513.3</v>
      </c>
      <c r="G2940" s="53">
        <v>11.820928</v>
      </c>
    </row>
    <row r="2941" spans="1:7">
      <c r="A2941" s="50" t="s">
        <v>1546</v>
      </c>
      <c r="B2941" s="50" t="s">
        <v>113</v>
      </c>
      <c r="C2941" s="50" t="s">
        <v>1425</v>
      </c>
      <c r="D2941" s="51">
        <v>43718</v>
      </c>
      <c r="E2941" s="51">
        <v>1692591</v>
      </c>
      <c r="F2941" s="52">
        <v>144874</v>
      </c>
      <c r="G2941" s="53">
        <v>8.5593035000000004</v>
      </c>
    </row>
    <row r="2942" spans="1:7">
      <c r="A2942" s="50" t="s">
        <v>349</v>
      </c>
      <c r="B2942" s="50" t="s">
        <v>113</v>
      </c>
      <c r="C2942" s="50" t="s">
        <v>332</v>
      </c>
      <c r="D2942" s="51">
        <v>745</v>
      </c>
      <c r="E2942" s="51">
        <v>7967</v>
      </c>
      <c r="F2942" s="52">
        <v>951</v>
      </c>
      <c r="G2942" s="53">
        <v>11.936738999999999</v>
      </c>
    </row>
    <row r="2943" spans="1:7">
      <c r="A2943" s="50" t="s">
        <v>350</v>
      </c>
      <c r="B2943" s="50" t="s">
        <v>113</v>
      </c>
      <c r="C2943" s="50" t="s">
        <v>332</v>
      </c>
      <c r="D2943" s="51">
        <v>2089</v>
      </c>
      <c r="E2943" s="51">
        <v>16413</v>
      </c>
      <c r="F2943" s="52">
        <v>2538</v>
      </c>
      <c r="G2943" s="53">
        <v>15.463352</v>
      </c>
    </row>
    <row r="2944" spans="1:7">
      <c r="A2944" s="50" t="s">
        <v>1547</v>
      </c>
      <c r="B2944" s="50" t="s">
        <v>113</v>
      </c>
      <c r="C2944" s="50" t="s">
        <v>240</v>
      </c>
      <c r="D2944" s="51">
        <v>7992</v>
      </c>
      <c r="E2944" s="51">
        <v>170397</v>
      </c>
      <c r="F2944" s="52">
        <v>16697.8</v>
      </c>
      <c r="G2944" s="53">
        <v>9.7993509000000003</v>
      </c>
    </row>
    <row r="2945" spans="1:7">
      <c r="A2945" s="50" t="s">
        <v>1548</v>
      </c>
      <c r="B2945" s="50" t="s">
        <v>113</v>
      </c>
      <c r="C2945" s="50" t="s">
        <v>1425</v>
      </c>
      <c r="D2945" s="51">
        <v>1620645</v>
      </c>
      <c r="E2945" s="51">
        <v>43711904</v>
      </c>
      <c r="F2945" s="52">
        <v>4453482.4000000004</v>
      </c>
      <c r="G2945" s="53">
        <v>10.18826</v>
      </c>
    </row>
    <row r="2946" spans="1:7">
      <c r="A2946" s="50" t="s">
        <v>2263</v>
      </c>
      <c r="B2946" s="50" t="s">
        <v>113</v>
      </c>
      <c r="C2946" s="50" t="s">
        <v>1425</v>
      </c>
      <c r="D2946" s="51">
        <v>43534</v>
      </c>
      <c r="E2946" s="51">
        <v>1878963</v>
      </c>
      <c r="F2946" s="52">
        <v>162369.5</v>
      </c>
      <c r="G2946" s="53">
        <v>8.6414421000000008</v>
      </c>
    </row>
    <row r="2947" spans="1:7">
      <c r="A2947" s="50" t="s">
        <v>1549</v>
      </c>
      <c r="B2947" s="50" t="s">
        <v>113</v>
      </c>
      <c r="C2947" s="50" t="s">
        <v>240</v>
      </c>
      <c r="D2947" s="51">
        <v>18146</v>
      </c>
      <c r="E2947" s="51">
        <v>355319</v>
      </c>
      <c r="F2947" s="52">
        <v>43708.800000000003</v>
      </c>
      <c r="G2947" s="53">
        <v>12.301284000000001</v>
      </c>
    </row>
    <row r="2948" spans="1:7">
      <c r="A2948" s="50" t="s">
        <v>2264</v>
      </c>
      <c r="B2948" s="50" t="s">
        <v>113</v>
      </c>
      <c r="C2948" s="50" t="s">
        <v>1425</v>
      </c>
      <c r="D2948" s="51">
        <v>153</v>
      </c>
      <c r="E2948" s="51">
        <v>1867344</v>
      </c>
      <c r="F2948" s="52">
        <v>96875.8</v>
      </c>
      <c r="G2948" s="53">
        <v>5.1878925000000002</v>
      </c>
    </row>
    <row r="2949" spans="1:7">
      <c r="A2949" s="50" t="s">
        <v>351</v>
      </c>
      <c r="B2949" s="50" t="s">
        <v>113</v>
      </c>
      <c r="C2949" s="50" t="s">
        <v>332</v>
      </c>
      <c r="D2949" s="51">
        <v>2</v>
      </c>
      <c r="E2949" s="51">
        <v>1109</v>
      </c>
      <c r="F2949" s="52">
        <v>69.099999999999994</v>
      </c>
      <c r="G2949" s="53">
        <v>6.2308386000000002</v>
      </c>
    </row>
    <row r="2950" spans="1:7">
      <c r="A2950" s="50" t="s">
        <v>1550</v>
      </c>
      <c r="B2950" s="50" t="s">
        <v>113</v>
      </c>
      <c r="C2950" s="50" t="s">
        <v>1425</v>
      </c>
      <c r="D2950" s="51">
        <v>516</v>
      </c>
      <c r="E2950" s="51">
        <v>6245789</v>
      </c>
      <c r="F2950" s="52">
        <v>451343</v>
      </c>
      <c r="G2950" s="53">
        <v>7.2263567999999996</v>
      </c>
    </row>
    <row r="2951" spans="1:7">
      <c r="A2951" s="50" t="s">
        <v>1551</v>
      </c>
      <c r="B2951" s="50" t="s">
        <v>113</v>
      </c>
      <c r="C2951" s="50" t="s">
        <v>1425</v>
      </c>
      <c r="D2951" s="51">
        <v>562</v>
      </c>
      <c r="E2951" s="51">
        <v>1637889</v>
      </c>
      <c r="F2951" s="52">
        <v>128870.6</v>
      </c>
      <c r="G2951" s="53">
        <v>7.8680912000000003</v>
      </c>
    </row>
    <row r="2952" spans="1:7">
      <c r="A2952" s="50" t="s">
        <v>1552</v>
      </c>
      <c r="B2952" s="50" t="s">
        <v>113</v>
      </c>
      <c r="C2952" s="50" t="s">
        <v>1425</v>
      </c>
      <c r="D2952" s="51">
        <v>34062</v>
      </c>
      <c r="E2952" s="51">
        <v>750593</v>
      </c>
      <c r="F2952" s="52">
        <v>44910</v>
      </c>
      <c r="G2952" s="53">
        <v>5.9832691999999996</v>
      </c>
    </row>
    <row r="2953" spans="1:7">
      <c r="A2953" s="50" t="s">
        <v>1553</v>
      </c>
      <c r="B2953" s="50" t="s">
        <v>113</v>
      </c>
      <c r="C2953" s="50" t="s">
        <v>1425</v>
      </c>
      <c r="D2953" s="51">
        <v>5</v>
      </c>
      <c r="E2953" s="51">
        <v>581895</v>
      </c>
      <c r="F2953" s="52">
        <v>28487.8</v>
      </c>
      <c r="G2953" s="53">
        <v>4.8956942000000003</v>
      </c>
    </row>
    <row r="2954" spans="1:7">
      <c r="A2954" s="50" t="s">
        <v>1825</v>
      </c>
      <c r="B2954" s="50" t="s">
        <v>113</v>
      </c>
      <c r="C2954" s="50" t="s">
        <v>240</v>
      </c>
      <c r="D2954" s="51">
        <v>318</v>
      </c>
      <c r="E2954" s="51">
        <v>17773</v>
      </c>
      <c r="F2954" s="52">
        <v>2181.4</v>
      </c>
      <c r="G2954" s="53">
        <v>12.273674</v>
      </c>
    </row>
    <row r="2955" spans="1:7">
      <c r="A2955" s="50" t="s">
        <v>2265</v>
      </c>
      <c r="B2955" s="50" t="s">
        <v>113</v>
      </c>
      <c r="C2955" s="50" t="s">
        <v>240</v>
      </c>
      <c r="D2955" s="51">
        <v>115134</v>
      </c>
      <c r="E2955" s="51">
        <v>3013987</v>
      </c>
      <c r="F2955" s="52">
        <v>251553.5</v>
      </c>
      <c r="G2955" s="53">
        <v>8.3462039000000008</v>
      </c>
    </row>
    <row r="2956" spans="1:7">
      <c r="A2956" s="50" t="s">
        <v>1554</v>
      </c>
      <c r="B2956" s="50" t="s">
        <v>113</v>
      </c>
      <c r="C2956" s="50" t="s">
        <v>1425</v>
      </c>
      <c r="D2956" s="51">
        <v>128478</v>
      </c>
      <c r="E2956" s="51">
        <v>2201105</v>
      </c>
      <c r="F2956" s="52">
        <v>206536.4</v>
      </c>
      <c r="G2956" s="53">
        <v>9.3833052000000006</v>
      </c>
    </row>
    <row r="2957" spans="1:7">
      <c r="A2957" s="50" t="s">
        <v>1555</v>
      </c>
      <c r="B2957" s="50" t="s">
        <v>113</v>
      </c>
      <c r="C2957" s="50" t="s">
        <v>240</v>
      </c>
      <c r="D2957" s="51">
        <v>71870</v>
      </c>
      <c r="E2957" s="51">
        <v>1366869</v>
      </c>
      <c r="F2957" s="52">
        <v>148324</v>
      </c>
      <c r="G2957" s="53">
        <v>10.851369</v>
      </c>
    </row>
    <row r="2958" spans="1:7">
      <c r="A2958" s="50" t="s">
        <v>1556</v>
      </c>
      <c r="B2958" s="50" t="s">
        <v>113</v>
      </c>
      <c r="C2958" s="50" t="s">
        <v>1425</v>
      </c>
      <c r="D2958" s="51">
        <v>325265</v>
      </c>
      <c r="E2958" s="51">
        <v>7377806</v>
      </c>
      <c r="F2958" s="52">
        <v>726330.6</v>
      </c>
      <c r="G2958" s="53">
        <v>9.8448048000000004</v>
      </c>
    </row>
    <row r="2959" spans="1:7">
      <c r="A2959" s="50" t="s">
        <v>1557</v>
      </c>
      <c r="B2959" s="50" t="s">
        <v>113</v>
      </c>
      <c r="C2959" s="50" t="s">
        <v>240</v>
      </c>
      <c r="D2959" s="51">
        <v>87738</v>
      </c>
      <c r="E2959" s="51">
        <v>2463002</v>
      </c>
      <c r="F2959" s="52">
        <v>194804</v>
      </c>
      <c r="G2959" s="53">
        <v>7.9092099999999999</v>
      </c>
    </row>
    <row r="2960" spans="1:7">
      <c r="A2960" s="50" t="s">
        <v>1558</v>
      </c>
      <c r="B2960" s="50" t="s">
        <v>113</v>
      </c>
      <c r="C2960" s="50" t="s">
        <v>240</v>
      </c>
      <c r="D2960" s="51">
        <v>46806</v>
      </c>
      <c r="E2960" s="51">
        <v>888422</v>
      </c>
      <c r="F2960" s="52">
        <v>88505</v>
      </c>
      <c r="G2960" s="53">
        <v>9.9620450999999992</v>
      </c>
    </row>
    <row r="2961" spans="1:7">
      <c r="A2961" s="50" t="s">
        <v>1559</v>
      </c>
      <c r="B2961" s="50" t="s">
        <v>113</v>
      </c>
      <c r="C2961" s="50" t="s">
        <v>1425</v>
      </c>
      <c r="D2961" s="51">
        <v>25209</v>
      </c>
      <c r="E2961" s="51">
        <v>488652</v>
      </c>
      <c r="F2961" s="52">
        <v>45576.2</v>
      </c>
      <c r="G2961" s="53">
        <v>9.3269239000000006</v>
      </c>
    </row>
    <row r="2962" spans="1:7">
      <c r="A2962" s="50" t="s">
        <v>2266</v>
      </c>
      <c r="B2962" s="50" t="s">
        <v>113</v>
      </c>
      <c r="C2962" s="50" t="s">
        <v>1425</v>
      </c>
      <c r="D2962" s="51">
        <v>103735</v>
      </c>
      <c r="E2962" s="51">
        <v>1481439</v>
      </c>
      <c r="F2962" s="52">
        <v>148344</v>
      </c>
      <c r="G2962" s="53">
        <v>10.013507000000001</v>
      </c>
    </row>
    <row r="2963" spans="1:7">
      <c r="A2963" s="50" t="s">
        <v>1560</v>
      </c>
      <c r="B2963" s="50" t="s">
        <v>113</v>
      </c>
      <c r="C2963" s="50" t="s">
        <v>1425</v>
      </c>
      <c r="D2963" s="51">
        <v>20</v>
      </c>
      <c r="E2963" s="51">
        <v>36</v>
      </c>
      <c r="F2963" s="52">
        <v>5.4</v>
      </c>
      <c r="G2963" s="53">
        <v>15</v>
      </c>
    </row>
    <row r="2964" spans="1:7">
      <c r="A2964" s="50" t="s">
        <v>1561</v>
      </c>
      <c r="B2964" s="50" t="s">
        <v>113</v>
      </c>
      <c r="C2964" s="50" t="s">
        <v>1425</v>
      </c>
      <c r="D2964" s="51">
        <v>10677</v>
      </c>
      <c r="E2964" s="51">
        <v>143176</v>
      </c>
      <c r="F2964" s="52">
        <v>16042.5</v>
      </c>
      <c r="G2964" s="53">
        <v>11.204741</v>
      </c>
    </row>
    <row r="2965" spans="1:7">
      <c r="A2965" s="50" t="s">
        <v>1562</v>
      </c>
      <c r="B2965" s="50" t="s">
        <v>113</v>
      </c>
      <c r="C2965" s="50" t="s">
        <v>240</v>
      </c>
      <c r="D2965" s="51">
        <v>23154</v>
      </c>
      <c r="E2965" s="51">
        <v>579982</v>
      </c>
      <c r="F2965" s="52">
        <v>53539.3</v>
      </c>
      <c r="G2965" s="53">
        <v>9.2312002999999994</v>
      </c>
    </row>
    <row r="2966" spans="1:7">
      <c r="A2966" s="50" t="s">
        <v>1563</v>
      </c>
      <c r="B2966" s="50" t="s">
        <v>113</v>
      </c>
      <c r="C2966" s="50" t="s">
        <v>1425</v>
      </c>
      <c r="D2966" s="51">
        <v>9916</v>
      </c>
      <c r="E2966" s="51">
        <v>143520</v>
      </c>
      <c r="F2966" s="52">
        <v>9397</v>
      </c>
      <c r="G2966" s="53">
        <v>6.5475194999999999</v>
      </c>
    </row>
    <row r="2967" spans="1:7">
      <c r="A2967" s="50" t="s">
        <v>1564</v>
      </c>
      <c r="B2967" s="50" t="s">
        <v>113</v>
      </c>
      <c r="C2967" s="50" t="s">
        <v>1425</v>
      </c>
      <c r="D2967" s="51">
        <v>12</v>
      </c>
      <c r="E2967" s="51">
        <v>2</v>
      </c>
      <c r="F2967" s="52">
        <v>0.1</v>
      </c>
      <c r="G2967" s="53">
        <v>5</v>
      </c>
    </row>
    <row r="2968" spans="1:7">
      <c r="A2968" s="50" t="s">
        <v>1565</v>
      </c>
      <c r="B2968" s="50" t="s">
        <v>113</v>
      </c>
      <c r="C2968" s="50" t="s">
        <v>242</v>
      </c>
      <c r="D2968" s="51">
        <v>15077</v>
      </c>
      <c r="E2968" s="51">
        <v>423576</v>
      </c>
      <c r="F2968" s="52">
        <v>35397</v>
      </c>
      <c r="G2968" s="53">
        <v>8.3567058000000003</v>
      </c>
    </row>
    <row r="2969" spans="1:7">
      <c r="A2969" s="50" t="s">
        <v>1566</v>
      </c>
      <c r="B2969" s="50" t="s">
        <v>113</v>
      </c>
      <c r="C2969" s="50" t="s">
        <v>240</v>
      </c>
      <c r="D2969" s="51">
        <v>6309</v>
      </c>
      <c r="E2969" s="51">
        <v>224668</v>
      </c>
      <c r="F2969" s="52">
        <v>21303.5</v>
      </c>
      <c r="G2969" s="53">
        <v>9.4822138000000002</v>
      </c>
    </row>
    <row r="2970" spans="1:7">
      <c r="A2970" s="50" t="s">
        <v>2267</v>
      </c>
      <c r="B2970" s="50" t="s">
        <v>113</v>
      </c>
      <c r="C2970" s="50" t="s">
        <v>1425</v>
      </c>
      <c r="D2970" s="51">
        <v>13668</v>
      </c>
      <c r="E2970" s="51">
        <v>230408</v>
      </c>
      <c r="F2970" s="52">
        <v>12404.1</v>
      </c>
      <c r="G2970" s="53">
        <v>5.3835369999999996</v>
      </c>
    </row>
    <row r="2971" spans="1:7">
      <c r="A2971" s="50" t="s">
        <v>1567</v>
      </c>
      <c r="B2971" s="50" t="s">
        <v>113</v>
      </c>
      <c r="C2971" s="50" t="s">
        <v>240</v>
      </c>
      <c r="D2971" s="51">
        <v>23337</v>
      </c>
      <c r="E2971" s="51">
        <v>778814</v>
      </c>
      <c r="F2971" s="52">
        <v>62988</v>
      </c>
      <c r="G2971" s="53">
        <v>8.0876819999999991</v>
      </c>
    </row>
    <row r="2972" spans="1:7">
      <c r="A2972" s="50" t="s">
        <v>1568</v>
      </c>
      <c r="B2972" s="50" t="s">
        <v>113</v>
      </c>
      <c r="C2972" s="50" t="s">
        <v>1425</v>
      </c>
      <c r="D2972" s="51">
        <v>462</v>
      </c>
      <c r="E2972" s="51">
        <v>13990</v>
      </c>
      <c r="F2972" s="52">
        <v>760.1</v>
      </c>
      <c r="G2972" s="53">
        <v>5.4331664999999996</v>
      </c>
    </row>
    <row r="2973" spans="1:7">
      <c r="A2973" s="50" t="s">
        <v>1569</v>
      </c>
      <c r="B2973" s="50" t="s">
        <v>113</v>
      </c>
      <c r="C2973" s="50" t="s">
        <v>240</v>
      </c>
      <c r="D2973" s="51">
        <v>37408</v>
      </c>
      <c r="E2973" s="51">
        <v>722310</v>
      </c>
      <c r="F2973" s="52">
        <v>72734</v>
      </c>
      <c r="G2973" s="53">
        <v>10.069637999999999</v>
      </c>
    </row>
    <row r="2974" spans="1:7">
      <c r="A2974" s="50" t="s">
        <v>1570</v>
      </c>
      <c r="B2974" s="50" t="s">
        <v>113</v>
      </c>
      <c r="C2974" s="50" t="s">
        <v>1425</v>
      </c>
      <c r="D2974" s="51">
        <v>49463</v>
      </c>
      <c r="E2974" s="51">
        <v>766474</v>
      </c>
      <c r="F2974" s="52">
        <v>92159.1</v>
      </c>
      <c r="G2974" s="53">
        <v>12.023774</v>
      </c>
    </row>
    <row r="2975" spans="1:7">
      <c r="A2975" s="50" t="s">
        <v>1571</v>
      </c>
      <c r="B2975" s="50" t="s">
        <v>113</v>
      </c>
      <c r="C2975" s="50" t="s">
        <v>1425</v>
      </c>
      <c r="D2975" s="51">
        <v>32403</v>
      </c>
      <c r="E2975" s="51">
        <v>282129</v>
      </c>
      <c r="F2975" s="52">
        <v>44724.9</v>
      </c>
      <c r="G2975" s="53">
        <v>15.852641999999999</v>
      </c>
    </row>
    <row r="2976" spans="1:7">
      <c r="A2976" s="50" t="s">
        <v>2268</v>
      </c>
      <c r="B2976" s="50" t="s">
        <v>116</v>
      </c>
      <c r="C2976" s="50" t="s">
        <v>242</v>
      </c>
      <c r="D2976" s="51">
        <v>1736</v>
      </c>
      <c r="E2976" s="51">
        <v>30790</v>
      </c>
      <c r="F2976" s="52">
        <v>2484.6</v>
      </c>
      <c r="G2976" s="53">
        <v>8.0695031000000004</v>
      </c>
    </row>
    <row r="2977" spans="1:7">
      <c r="A2977" s="50" t="s">
        <v>1572</v>
      </c>
      <c r="B2977" s="50" t="s">
        <v>116</v>
      </c>
      <c r="C2977" s="50" t="s">
        <v>240</v>
      </c>
      <c r="D2977" s="51">
        <v>2053</v>
      </c>
      <c r="E2977" s="51">
        <v>13427</v>
      </c>
      <c r="F2977" s="52">
        <v>1922.8</v>
      </c>
      <c r="G2977" s="53">
        <v>14.320399</v>
      </c>
    </row>
    <row r="2978" spans="1:7">
      <c r="A2978" s="50" t="s">
        <v>1573</v>
      </c>
      <c r="B2978" s="50" t="s">
        <v>116</v>
      </c>
      <c r="C2978" s="50" t="s">
        <v>242</v>
      </c>
      <c r="D2978" s="51">
        <v>7942</v>
      </c>
      <c r="E2978" s="51">
        <v>168403</v>
      </c>
      <c r="F2978" s="52">
        <v>14618</v>
      </c>
      <c r="G2978" s="53">
        <v>8.6803679000000002</v>
      </c>
    </row>
    <row r="2979" spans="1:7">
      <c r="A2979" s="50" t="s">
        <v>2269</v>
      </c>
      <c r="B2979" s="50" t="s">
        <v>116</v>
      </c>
      <c r="C2979" s="50" t="s">
        <v>242</v>
      </c>
      <c r="D2979" s="51">
        <v>1712</v>
      </c>
      <c r="E2979" s="51">
        <v>25904</v>
      </c>
      <c r="F2979" s="52">
        <v>2695</v>
      </c>
      <c r="G2979" s="53">
        <v>10.403798999999999</v>
      </c>
    </row>
    <row r="2980" spans="1:7">
      <c r="A2980" s="50" t="s">
        <v>1574</v>
      </c>
      <c r="B2980" s="50" t="s">
        <v>116</v>
      </c>
      <c r="C2980" s="50" t="s">
        <v>242</v>
      </c>
      <c r="D2980" s="51">
        <v>17071</v>
      </c>
      <c r="E2980" s="51">
        <v>272767</v>
      </c>
      <c r="F2980" s="52">
        <v>26340</v>
      </c>
      <c r="G2980" s="53">
        <v>9.6565934000000002</v>
      </c>
    </row>
    <row r="2981" spans="1:7">
      <c r="A2981" s="50" t="s">
        <v>2270</v>
      </c>
      <c r="B2981" s="50" t="s">
        <v>116</v>
      </c>
      <c r="C2981" s="50" t="s">
        <v>242</v>
      </c>
      <c r="D2981" s="51">
        <v>670</v>
      </c>
      <c r="E2981" s="51">
        <v>9508</v>
      </c>
      <c r="F2981" s="52">
        <v>1024.9000000000001</v>
      </c>
      <c r="G2981" s="53">
        <v>10.779344</v>
      </c>
    </row>
    <row r="2982" spans="1:7">
      <c r="A2982" s="50" t="s">
        <v>2271</v>
      </c>
      <c r="B2982" s="50" t="s">
        <v>116</v>
      </c>
      <c r="C2982" s="50" t="s">
        <v>242</v>
      </c>
      <c r="D2982" s="51">
        <v>2370</v>
      </c>
      <c r="E2982" s="51">
        <v>37257</v>
      </c>
      <c r="F2982" s="52">
        <v>3405.6</v>
      </c>
      <c r="G2982" s="53">
        <v>9.1408325999999995</v>
      </c>
    </row>
    <row r="2983" spans="1:7">
      <c r="A2983" s="50" t="s">
        <v>2272</v>
      </c>
      <c r="B2983" s="50" t="s">
        <v>116</v>
      </c>
      <c r="C2983" s="50" t="s">
        <v>242</v>
      </c>
      <c r="D2983" s="51">
        <v>1250</v>
      </c>
      <c r="E2983" s="51">
        <v>11196</v>
      </c>
      <c r="F2983" s="52">
        <v>910</v>
      </c>
      <c r="G2983" s="53">
        <v>8.1279027999999993</v>
      </c>
    </row>
    <row r="2984" spans="1:7">
      <c r="A2984" s="50" t="s">
        <v>1575</v>
      </c>
      <c r="B2984" s="50" t="s">
        <v>116</v>
      </c>
      <c r="C2984" s="50" t="s">
        <v>242</v>
      </c>
      <c r="D2984" s="51">
        <v>20733</v>
      </c>
      <c r="E2984" s="51">
        <v>392391</v>
      </c>
      <c r="F2984" s="52">
        <v>34104.800000000003</v>
      </c>
      <c r="G2984" s="53">
        <v>8.6915347000000001</v>
      </c>
    </row>
    <row r="2985" spans="1:7">
      <c r="A2985" s="50" t="s">
        <v>2273</v>
      </c>
      <c r="B2985" s="50" t="s">
        <v>116</v>
      </c>
      <c r="C2985" s="50" t="s">
        <v>242</v>
      </c>
      <c r="D2985" s="51">
        <v>1458</v>
      </c>
      <c r="E2985" s="51">
        <v>18691</v>
      </c>
      <c r="F2985" s="52">
        <v>1860</v>
      </c>
      <c r="G2985" s="53">
        <v>9.9513134999999995</v>
      </c>
    </row>
    <row r="2986" spans="1:7">
      <c r="A2986" s="50" t="s">
        <v>2274</v>
      </c>
      <c r="B2986" s="50" t="s">
        <v>116</v>
      </c>
      <c r="C2986" s="50" t="s">
        <v>242</v>
      </c>
      <c r="D2986" s="51">
        <v>1175</v>
      </c>
      <c r="E2986" s="51">
        <v>12925</v>
      </c>
      <c r="F2986" s="52">
        <v>1101</v>
      </c>
      <c r="G2986" s="53">
        <v>8.5183751999999995</v>
      </c>
    </row>
    <row r="2987" spans="1:7">
      <c r="A2987" s="50" t="s">
        <v>2275</v>
      </c>
      <c r="B2987" s="50" t="s">
        <v>116</v>
      </c>
      <c r="C2987" s="50" t="s">
        <v>242</v>
      </c>
      <c r="D2987" s="51">
        <v>2315</v>
      </c>
      <c r="E2987" s="51">
        <v>26761</v>
      </c>
      <c r="F2987" s="52">
        <v>2522.5</v>
      </c>
      <c r="G2987" s="53">
        <v>9.4260304000000001</v>
      </c>
    </row>
    <row r="2988" spans="1:7">
      <c r="A2988" s="50" t="s">
        <v>1576</v>
      </c>
      <c r="B2988" s="50" t="s">
        <v>116</v>
      </c>
      <c r="C2988" s="50" t="s">
        <v>242</v>
      </c>
      <c r="D2988" s="51">
        <v>18456</v>
      </c>
      <c r="E2988" s="51">
        <v>393721</v>
      </c>
      <c r="F2988" s="52">
        <v>32904</v>
      </c>
      <c r="G2988" s="53">
        <v>8.3571869000000003</v>
      </c>
    </row>
    <row r="2989" spans="1:7">
      <c r="A2989" s="50" t="s">
        <v>2276</v>
      </c>
      <c r="B2989" s="50" t="s">
        <v>116</v>
      </c>
      <c r="C2989" s="50" t="s">
        <v>242</v>
      </c>
      <c r="D2989" s="51">
        <v>2833</v>
      </c>
      <c r="E2989" s="51">
        <v>45186</v>
      </c>
      <c r="F2989" s="52">
        <v>4029</v>
      </c>
      <c r="G2989" s="53">
        <v>8.9164785999999996</v>
      </c>
    </row>
    <row r="2990" spans="1:7">
      <c r="A2990" s="50" t="s">
        <v>1577</v>
      </c>
      <c r="B2990" s="50" t="s">
        <v>116</v>
      </c>
      <c r="C2990" s="50" t="s">
        <v>242</v>
      </c>
      <c r="D2990" s="51">
        <v>11258</v>
      </c>
      <c r="E2990" s="51">
        <v>267159</v>
      </c>
      <c r="F2990" s="52">
        <v>25509.4</v>
      </c>
      <c r="G2990" s="53">
        <v>9.5483963000000003</v>
      </c>
    </row>
    <row r="2991" spans="1:7">
      <c r="A2991" s="50" t="s">
        <v>1578</v>
      </c>
      <c r="B2991" s="50" t="s">
        <v>116</v>
      </c>
      <c r="C2991" s="50" t="s">
        <v>242</v>
      </c>
      <c r="D2991" s="51">
        <v>31479</v>
      </c>
      <c r="E2991" s="51">
        <v>637545</v>
      </c>
      <c r="F2991" s="52">
        <v>59339</v>
      </c>
      <c r="G2991" s="53">
        <v>9.3074214000000008</v>
      </c>
    </row>
    <row r="2992" spans="1:7">
      <c r="A2992" s="50" t="s">
        <v>1579</v>
      </c>
      <c r="B2992" s="50" t="s">
        <v>116</v>
      </c>
      <c r="C2992" s="50" t="s">
        <v>242</v>
      </c>
      <c r="D2992" s="51">
        <v>8132</v>
      </c>
      <c r="E2992" s="51">
        <v>118436</v>
      </c>
      <c r="F2992" s="52">
        <v>11675.5</v>
      </c>
      <c r="G2992" s="53">
        <v>9.8580667999999996</v>
      </c>
    </row>
    <row r="2993" spans="1:7">
      <c r="A2993" s="50" t="s">
        <v>333</v>
      </c>
      <c r="B2993" s="50" t="s">
        <v>116</v>
      </c>
      <c r="C2993" s="50" t="s">
        <v>240</v>
      </c>
      <c r="D2993" s="51">
        <v>20912</v>
      </c>
      <c r="E2993" s="51">
        <v>473197</v>
      </c>
      <c r="F2993" s="52">
        <v>34764</v>
      </c>
      <c r="G2993" s="53">
        <v>7.3466231000000004</v>
      </c>
    </row>
    <row r="2994" spans="1:7">
      <c r="A2994" s="50" t="s">
        <v>398</v>
      </c>
      <c r="B2994" s="50" t="s">
        <v>116</v>
      </c>
      <c r="C2994" s="50" t="s">
        <v>240</v>
      </c>
      <c r="D2994" s="51">
        <v>1299</v>
      </c>
      <c r="E2994" s="51">
        <v>17630</v>
      </c>
      <c r="F2994" s="52">
        <v>2414.1</v>
      </c>
      <c r="G2994" s="53">
        <v>13.693137</v>
      </c>
    </row>
    <row r="2995" spans="1:7">
      <c r="A2995" s="50" t="s">
        <v>2277</v>
      </c>
      <c r="B2995" s="50" t="s">
        <v>116</v>
      </c>
      <c r="C2995" s="50" t="s">
        <v>242</v>
      </c>
      <c r="D2995" s="51">
        <v>882</v>
      </c>
      <c r="E2995" s="51">
        <v>7780</v>
      </c>
      <c r="F2995" s="52">
        <v>789</v>
      </c>
      <c r="G2995" s="53">
        <v>10.141387999999999</v>
      </c>
    </row>
    <row r="2996" spans="1:7">
      <c r="A2996" s="50" t="s">
        <v>2278</v>
      </c>
      <c r="B2996" s="50" t="s">
        <v>116</v>
      </c>
      <c r="C2996" s="50" t="s">
        <v>242</v>
      </c>
      <c r="D2996" s="51">
        <v>1221</v>
      </c>
      <c r="E2996" s="51">
        <v>33754</v>
      </c>
      <c r="F2996" s="52">
        <v>2662</v>
      </c>
      <c r="G2996" s="53">
        <v>7.8864726999999997</v>
      </c>
    </row>
    <row r="2997" spans="1:7">
      <c r="A2997" s="50" t="s">
        <v>2279</v>
      </c>
      <c r="B2997" s="50" t="s">
        <v>116</v>
      </c>
      <c r="C2997" s="50" t="s">
        <v>240</v>
      </c>
      <c r="D2997" s="51">
        <v>535</v>
      </c>
      <c r="E2997" s="51">
        <v>30093</v>
      </c>
      <c r="F2997" s="52">
        <v>2442</v>
      </c>
      <c r="G2997" s="53">
        <v>8.1148439999999997</v>
      </c>
    </row>
    <row r="2998" spans="1:7">
      <c r="A2998" s="50" t="s">
        <v>337</v>
      </c>
      <c r="B2998" s="50" t="s">
        <v>116</v>
      </c>
      <c r="C2998" s="50" t="s">
        <v>240</v>
      </c>
      <c r="D2998" s="51">
        <v>12560</v>
      </c>
      <c r="E2998" s="51">
        <v>214579</v>
      </c>
      <c r="F2998" s="52">
        <v>21008.2</v>
      </c>
      <c r="G2998" s="53">
        <v>9.7904268000000005</v>
      </c>
    </row>
    <row r="2999" spans="1:7">
      <c r="A2999" s="50" t="s">
        <v>1580</v>
      </c>
      <c r="B2999" s="50" t="s">
        <v>116</v>
      </c>
      <c r="C2999" s="50" t="s">
        <v>242</v>
      </c>
      <c r="D2999" s="51">
        <v>12826</v>
      </c>
      <c r="E2999" s="51">
        <v>179893</v>
      </c>
      <c r="F2999" s="52">
        <v>17255</v>
      </c>
      <c r="G2999" s="53">
        <v>9.5918129000000008</v>
      </c>
    </row>
    <row r="3000" spans="1:7">
      <c r="A3000" s="50" t="s">
        <v>1581</v>
      </c>
      <c r="B3000" s="50" t="s">
        <v>116</v>
      </c>
      <c r="C3000" s="50" t="s">
        <v>242</v>
      </c>
      <c r="D3000" s="51">
        <v>7231</v>
      </c>
      <c r="E3000" s="51">
        <v>125519</v>
      </c>
      <c r="F3000" s="52">
        <v>11355.6</v>
      </c>
      <c r="G3000" s="53">
        <v>9.0469171999999993</v>
      </c>
    </row>
    <row r="3001" spans="1:7">
      <c r="A3001" s="50" t="s">
        <v>1582</v>
      </c>
      <c r="B3001" s="50" t="s">
        <v>116</v>
      </c>
      <c r="C3001" s="50" t="s">
        <v>242</v>
      </c>
      <c r="D3001" s="51">
        <v>3164</v>
      </c>
      <c r="E3001" s="51">
        <v>95936</v>
      </c>
      <c r="F3001" s="52">
        <v>6628</v>
      </c>
      <c r="G3001" s="53">
        <v>6.9087725000000004</v>
      </c>
    </row>
    <row r="3002" spans="1:7">
      <c r="A3002" s="50" t="s">
        <v>2280</v>
      </c>
      <c r="B3002" s="50" t="s">
        <v>116</v>
      </c>
      <c r="C3002" s="50" t="s">
        <v>242</v>
      </c>
      <c r="D3002" s="51">
        <v>290</v>
      </c>
      <c r="E3002" s="51">
        <v>2091</v>
      </c>
      <c r="F3002" s="52">
        <v>204</v>
      </c>
      <c r="G3002" s="53">
        <v>9.7560976000000004</v>
      </c>
    </row>
    <row r="3003" spans="1:7">
      <c r="A3003" s="50" t="s">
        <v>1583</v>
      </c>
      <c r="B3003" s="50" t="s">
        <v>116</v>
      </c>
      <c r="C3003" s="50" t="s">
        <v>242</v>
      </c>
      <c r="D3003" s="51">
        <v>9910</v>
      </c>
      <c r="E3003" s="51">
        <v>144654</v>
      </c>
      <c r="F3003" s="52">
        <v>13660.8</v>
      </c>
      <c r="G3003" s="53">
        <v>9.4437762000000003</v>
      </c>
    </row>
    <row r="3004" spans="1:7">
      <c r="A3004" s="50" t="s">
        <v>1584</v>
      </c>
      <c r="B3004" s="50" t="s">
        <v>116</v>
      </c>
      <c r="C3004" s="50" t="s">
        <v>242</v>
      </c>
      <c r="D3004" s="51">
        <v>22995</v>
      </c>
      <c r="E3004" s="51">
        <v>385068</v>
      </c>
      <c r="F3004" s="52">
        <v>34778</v>
      </c>
      <c r="G3004" s="53">
        <v>9.0316516</v>
      </c>
    </row>
    <row r="3005" spans="1:7">
      <c r="A3005" s="50" t="s">
        <v>2281</v>
      </c>
      <c r="B3005" s="50" t="s">
        <v>116</v>
      </c>
      <c r="C3005" s="50" t="s">
        <v>242</v>
      </c>
      <c r="D3005" s="51">
        <v>352</v>
      </c>
      <c r="E3005" s="51">
        <v>4162</v>
      </c>
      <c r="F3005" s="52">
        <v>398.2</v>
      </c>
      <c r="G3005" s="53">
        <v>9.5675156000000001</v>
      </c>
    </row>
    <row r="3006" spans="1:7">
      <c r="A3006" s="50" t="s">
        <v>2282</v>
      </c>
      <c r="B3006" s="50" t="s">
        <v>116</v>
      </c>
      <c r="C3006" s="50" t="s">
        <v>242</v>
      </c>
      <c r="D3006" s="51">
        <v>180</v>
      </c>
      <c r="E3006" s="51">
        <v>1783</v>
      </c>
      <c r="F3006" s="52">
        <v>147</v>
      </c>
      <c r="G3006" s="53">
        <v>8.2445316999999996</v>
      </c>
    </row>
    <row r="3007" spans="1:7">
      <c r="A3007" s="50" t="s">
        <v>406</v>
      </c>
      <c r="B3007" s="50" t="s">
        <v>116</v>
      </c>
      <c r="C3007" s="50" t="s">
        <v>240</v>
      </c>
      <c r="D3007" s="51">
        <v>17266</v>
      </c>
      <c r="E3007" s="51">
        <v>576358</v>
      </c>
      <c r="F3007" s="52">
        <v>45679.6</v>
      </c>
      <c r="G3007" s="53">
        <v>7.9255601999999996</v>
      </c>
    </row>
    <row r="3008" spans="1:7">
      <c r="A3008" s="50" t="s">
        <v>1100</v>
      </c>
      <c r="B3008" s="50" t="s">
        <v>116</v>
      </c>
      <c r="C3008" s="50" t="s">
        <v>240</v>
      </c>
      <c r="D3008" s="51">
        <v>393</v>
      </c>
      <c r="E3008" s="51">
        <v>10987</v>
      </c>
      <c r="F3008" s="52">
        <v>814.3</v>
      </c>
      <c r="G3008" s="53">
        <v>7.4114863</v>
      </c>
    </row>
    <row r="3009" spans="1:7">
      <c r="A3009" s="50" t="s">
        <v>340</v>
      </c>
      <c r="B3009" s="50" t="s">
        <v>116</v>
      </c>
      <c r="C3009" s="50" t="s">
        <v>2</v>
      </c>
      <c r="D3009" s="51">
        <v>1756</v>
      </c>
      <c r="E3009" s="51">
        <v>302515</v>
      </c>
      <c r="F3009" s="52">
        <v>17235</v>
      </c>
      <c r="G3009" s="53">
        <v>5.6972382000000001</v>
      </c>
    </row>
    <row r="3010" spans="1:7">
      <c r="A3010" s="50" t="s">
        <v>2283</v>
      </c>
      <c r="B3010" s="50" t="s">
        <v>116</v>
      </c>
      <c r="C3010" s="50" t="s">
        <v>242</v>
      </c>
      <c r="D3010" s="51">
        <v>2525</v>
      </c>
      <c r="E3010" s="51">
        <v>96001</v>
      </c>
      <c r="F3010" s="52">
        <v>7062</v>
      </c>
      <c r="G3010" s="53">
        <v>7.3561734000000003</v>
      </c>
    </row>
    <row r="3011" spans="1:7">
      <c r="A3011" s="50" t="s">
        <v>382</v>
      </c>
      <c r="B3011" s="50" t="s">
        <v>116</v>
      </c>
      <c r="C3011" s="50" t="s">
        <v>237</v>
      </c>
      <c r="D3011" s="51">
        <v>935926</v>
      </c>
      <c r="E3011" s="51">
        <v>24490305</v>
      </c>
      <c r="F3011" s="52">
        <v>1985150.9</v>
      </c>
      <c r="G3011" s="53">
        <v>8.1058643000000004</v>
      </c>
    </row>
    <row r="3012" spans="1:7">
      <c r="A3012" s="50" t="s">
        <v>2284</v>
      </c>
      <c r="B3012" s="50" t="s">
        <v>116</v>
      </c>
      <c r="C3012" s="50" t="s">
        <v>242</v>
      </c>
      <c r="D3012" s="51">
        <v>1542</v>
      </c>
      <c r="E3012" s="51">
        <v>17277</v>
      </c>
      <c r="F3012" s="52">
        <v>1786</v>
      </c>
      <c r="G3012" s="53">
        <v>10.337443</v>
      </c>
    </row>
    <row r="3013" spans="1:7">
      <c r="A3013" s="50" t="s">
        <v>1585</v>
      </c>
      <c r="B3013" s="50" t="s">
        <v>116</v>
      </c>
      <c r="C3013" s="50" t="s">
        <v>242</v>
      </c>
      <c r="D3013" s="51">
        <v>6488</v>
      </c>
      <c r="E3013" s="51">
        <v>114293</v>
      </c>
      <c r="F3013" s="52">
        <v>11955</v>
      </c>
      <c r="G3013" s="53">
        <v>10.459958</v>
      </c>
    </row>
    <row r="3014" spans="1:7">
      <c r="A3014" s="50" t="s">
        <v>2285</v>
      </c>
      <c r="B3014" s="50" t="s">
        <v>116</v>
      </c>
      <c r="C3014" s="50" t="s">
        <v>242</v>
      </c>
      <c r="D3014" s="51">
        <v>4080</v>
      </c>
      <c r="E3014" s="51">
        <v>66296</v>
      </c>
      <c r="F3014" s="52">
        <v>7106.7</v>
      </c>
      <c r="G3014" s="53">
        <v>10.719651000000001</v>
      </c>
    </row>
    <row r="3015" spans="1:7">
      <c r="A3015" s="50" t="s">
        <v>1586</v>
      </c>
      <c r="B3015" s="50" t="s">
        <v>116</v>
      </c>
      <c r="C3015" s="50" t="s">
        <v>242</v>
      </c>
      <c r="D3015" s="51">
        <v>37291</v>
      </c>
      <c r="E3015" s="51">
        <v>765747</v>
      </c>
      <c r="F3015" s="52">
        <v>68142</v>
      </c>
      <c r="G3015" s="53">
        <v>8.8987616000000003</v>
      </c>
    </row>
    <row r="3016" spans="1:7">
      <c r="A3016" s="50" t="s">
        <v>1832</v>
      </c>
      <c r="B3016" s="50" t="s">
        <v>116</v>
      </c>
      <c r="C3016" s="50" t="s">
        <v>240</v>
      </c>
      <c r="D3016" s="51">
        <v>712</v>
      </c>
      <c r="E3016" s="51">
        <v>31063</v>
      </c>
      <c r="F3016" s="52">
        <v>1933</v>
      </c>
      <c r="G3016" s="53">
        <v>6.2228374999999998</v>
      </c>
    </row>
    <row r="3017" spans="1:7">
      <c r="A3017" s="50" t="s">
        <v>2286</v>
      </c>
      <c r="B3017" s="50" t="s">
        <v>116</v>
      </c>
      <c r="C3017" s="50" t="s">
        <v>242</v>
      </c>
      <c r="D3017" s="51">
        <v>2666</v>
      </c>
      <c r="E3017" s="51">
        <v>37765</v>
      </c>
      <c r="F3017" s="52">
        <v>4059</v>
      </c>
      <c r="G3017" s="53">
        <v>10.748047</v>
      </c>
    </row>
    <row r="3018" spans="1:7">
      <c r="A3018" s="50" t="s">
        <v>343</v>
      </c>
      <c r="B3018" s="50" t="s">
        <v>116</v>
      </c>
      <c r="C3018" s="50" t="s">
        <v>332</v>
      </c>
      <c r="D3018" s="51">
        <v>4</v>
      </c>
      <c r="E3018" s="51">
        <v>2415</v>
      </c>
      <c r="F3018" s="52">
        <v>153</v>
      </c>
      <c r="G3018" s="53">
        <v>6.3354036999999996</v>
      </c>
    </row>
    <row r="3019" spans="1:7">
      <c r="A3019" s="50" t="s">
        <v>1587</v>
      </c>
      <c r="B3019" s="50" t="s">
        <v>116</v>
      </c>
      <c r="C3019" s="50" t="s">
        <v>242</v>
      </c>
      <c r="D3019" s="51">
        <v>12978</v>
      </c>
      <c r="E3019" s="51">
        <v>252326</v>
      </c>
      <c r="F3019" s="52">
        <v>23253</v>
      </c>
      <c r="G3019" s="53">
        <v>9.2154594000000003</v>
      </c>
    </row>
    <row r="3020" spans="1:7">
      <c r="A3020" s="50" t="s">
        <v>2287</v>
      </c>
      <c r="B3020" s="50" t="s">
        <v>116</v>
      </c>
      <c r="C3020" s="50" t="s">
        <v>242</v>
      </c>
      <c r="D3020" s="51">
        <v>680</v>
      </c>
      <c r="E3020" s="51">
        <v>4290</v>
      </c>
      <c r="F3020" s="52">
        <v>362.6</v>
      </c>
      <c r="G3020" s="53">
        <v>8.4522145000000002</v>
      </c>
    </row>
    <row r="3021" spans="1:7">
      <c r="A3021" s="50" t="s">
        <v>1588</v>
      </c>
      <c r="B3021" s="50" t="s">
        <v>116</v>
      </c>
      <c r="C3021" s="50" t="s">
        <v>325</v>
      </c>
      <c r="D3021" s="51">
        <v>3896</v>
      </c>
      <c r="E3021" s="51">
        <v>58946</v>
      </c>
      <c r="F3021" s="52">
        <v>6385.3</v>
      </c>
      <c r="G3021" s="53">
        <v>10.832457</v>
      </c>
    </row>
    <row r="3022" spans="1:7">
      <c r="A3022" s="50" t="s">
        <v>2288</v>
      </c>
      <c r="B3022" s="50" t="s">
        <v>116</v>
      </c>
      <c r="C3022" s="50" t="s">
        <v>242</v>
      </c>
      <c r="D3022" s="51">
        <v>236</v>
      </c>
      <c r="E3022" s="51">
        <v>1920</v>
      </c>
      <c r="F3022" s="52">
        <v>210</v>
      </c>
      <c r="G3022" s="53">
        <v>10.9375</v>
      </c>
    </row>
    <row r="3023" spans="1:7">
      <c r="A3023" s="50" t="s">
        <v>2289</v>
      </c>
      <c r="B3023" s="50" t="s">
        <v>116</v>
      </c>
      <c r="C3023" s="50" t="s">
        <v>242</v>
      </c>
      <c r="D3023" s="51">
        <v>278</v>
      </c>
      <c r="E3023" s="51">
        <v>3110</v>
      </c>
      <c r="F3023" s="52">
        <v>217.2</v>
      </c>
      <c r="G3023" s="53">
        <v>6.9839228000000002</v>
      </c>
    </row>
    <row r="3024" spans="1:7">
      <c r="A3024" s="50" t="s">
        <v>2290</v>
      </c>
      <c r="B3024" s="50" t="s">
        <v>116</v>
      </c>
      <c r="C3024" s="50" t="s">
        <v>242</v>
      </c>
      <c r="D3024" s="51">
        <v>278</v>
      </c>
      <c r="E3024" s="51">
        <v>1970</v>
      </c>
      <c r="F3024" s="52">
        <v>227</v>
      </c>
      <c r="G3024" s="53">
        <v>11.522843</v>
      </c>
    </row>
    <row r="3025" spans="1:7">
      <c r="A3025" s="50" t="s">
        <v>356</v>
      </c>
      <c r="B3025" s="50" t="s">
        <v>116</v>
      </c>
      <c r="C3025" s="50" t="s">
        <v>332</v>
      </c>
      <c r="D3025" s="51">
        <v>819</v>
      </c>
      <c r="E3025" s="51">
        <v>6527</v>
      </c>
      <c r="F3025" s="52">
        <v>714.1</v>
      </c>
      <c r="G3025" s="53">
        <v>10.940708000000001</v>
      </c>
    </row>
    <row r="3026" spans="1:7">
      <c r="A3026" s="50" t="s">
        <v>357</v>
      </c>
      <c r="B3026" s="50" t="s">
        <v>116</v>
      </c>
      <c r="C3026" s="50" t="s">
        <v>295</v>
      </c>
      <c r="D3026" s="51">
        <v>6</v>
      </c>
      <c r="E3026" s="51">
        <v>50181</v>
      </c>
      <c r="F3026" s="52">
        <v>1405.4</v>
      </c>
      <c r="G3026" s="53">
        <v>2.8006616000000002</v>
      </c>
    </row>
    <row r="3027" spans="1:7">
      <c r="A3027" s="50" t="s">
        <v>1104</v>
      </c>
      <c r="B3027" s="50" t="s">
        <v>116</v>
      </c>
      <c r="C3027" s="50" t="s">
        <v>240</v>
      </c>
      <c r="D3027" s="51">
        <v>734</v>
      </c>
      <c r="E3027" s="51">
        <v>30786</v>
      </c>
      <c r="F3027" s="52">
        <v>2585</v>
      </c>
      <c r="G3027" s="53">
        <v>8.3966738000000003</v>
      </c>
    </row>
    <row r="3028" spans="1:7">
      <c r="A3028" s="50" t="s">
        <v>728</v>
      </c>
      <c r="B3028" s="50" t="s">
        <v>121</v>
      </c>
      <c r="C3028" s="50" t="s">
        <v>240</v>
      </c>
      <c r="D3028" s="51">
        <v>35618</v>
      </c>
      <c r="E3028" s="51">
        <v>701387</v>
      </c>
      <c r="F3028" s="52">
        <v>78164</v>
      </c>
      <c r="G3028" s="53">
        <v>11.144204</v>
      </c>
    </row>
    <row r="3029" spans="1:7">
      <c r="A3029" s="50" t="s">
        <v>1589</v>
      </c>
      <c r="B3029" s="50" t="s">
        <v>121</v>
      </c>
      <c r="C3029" s="50" t="s">
        <v>237</v>
      </c>
      <c r="D3029" s="51">
        <v>533034</v>
      </c>
      <c r="E3029" s="51">
        <v>14794030</v>
      </c>
      <c r="F3029" s="52">
        <v>1324809</v>
      </c>
      <c r="G3029" s="53">
        <v>8.9550243999999992</v>
      </c>
    </row>
    <row r="3030" spans="1:7">
      <c r="A3030" s="50" t="s">
        <v>1590</v>
      </c>
      <c r="B3030" s="50" t="s">
        <v>121</v>
      </c>
      <c r="C3030" s="50" t="s">
        <v>240</v>
      </c>
      <c r="D3030" s="51">
        <v>12800</v>
      </c>
      <c r="E3030" s="51">
        <v>179686</v>
      </c>
      <c r="F3030" s="52">
        <v>24778</v>
      </c>
      <c r="G3030" s="53">
        <v>13.789611000000001</v>
      </c>
    </row>
    <row r="3031" spans="1:7">
      <c r="A3031" s="50" t="s">
        <v>1591</v>
      </c>
      <c r="B3031" s="50" t="s">
        <v>121</v>
      </c>
      <c r="C3031" s="50" t="s">
        <v>242</v>
      </c>
      <c r="D3031" s="51">
        <v>16345</v>
      </c>
      <c r="E3031" s="51">
        <v>455125</v>
      </c>
      <c r="F3031" s="52">
        <v>45226</v>
      </c>
      <c r="G3031" s="53">
        <v>9.9370502999999992</v>
      </c>
    </row>
    <row r="3032" spans="1:7">
      <c r="A3032" s="50" t="s">
        <v>1592</v>
      </c>
      <c r="B3032" s="50" t="s">
        <v>121</v>
      </c>
      <c r="C3032" s="50" t="s">
        <v>240</v>
      </c>
      <c r="D3032" s="51">
        <v>37484</v>
      </c>
      <c r="E3032" s="51">
        <v>748861</v>
      </c>
      <c r="F3032" s="52">
        <v>95856</v>
      </c>
      <c r="G3032" s="53">
        <v>12.800238999999999</v>
      </c>
    </row>
    <row r="3033" spans="1:7">
      <c r="A3033" s="50" t="s">
        <v>1593</v>
      </c>
      <c r="B3033" s="50" t="s">
        <v>121</v>
      </c>
      <c r="C3033" s="50" t="s">
        <v>242</v>
      </c>
      <c r="D3033" s="51">
        <v>47822</v>
      </c>
      <c r="E3033" s="51">
        <v>940834</v>
      </c>
      <c r="F3033" s="52">
        <v>105840</v>
      </c>
      <c r="G3033" s="53">
        <v>11.249593000000001</v>
      </c>
    </row>
    <row r="3034" spans="1:7">
      <c r="A3034" s="50" t="s">
        <v>1594</v>
      </c>
      <c r="B3034" s="50" t="s">
        <v>121</v>
      </c>
      <c r="C3034" s="50" t="s">
        <v>242</v>
      </c>
      <c r="D3034" s="51">
        <v>5468</v>
      </c>
      <c r="E3034" s="51">
        <v>133581</v>
      </c>
      <c r="F3034" s="52">
        <v>15156</v>
      </c>
      <c r="G3034" s="53">
        <v>11.345924999999999</v>
      </c>
    </row>
    <row r="3035" spans="1:7">
      <c r="A3035" s="50" t="s">
        <v>1595</v>
      </c>
      <c r="B3035" s="50" t="s">
        <v>121</v>
      </c>
      <c r="C3035" s="50" t="s">
        <v>242</v>
      </c>
      <c r="D3035" s="51">
        <v>21353</v>
      </c>
      <c r="E3035" s="51">
        <v>728963</v>
      </c>
      <c r="F3035" s="52">
        <v>65491</v>
      </c>
      <c r="G3035" s="53">
        <v>8.9841323000000006</v>
      </c>
    </row>
    <row r="3036" spans="1:7">
      <c r="A3036" s="50" t="s">
        <v>1596</v>
      </c>
      <c r="B3036" s="50" t="s">
        <v>121</v>
      </c>
      <c r="C3036" s="50" t="s">
        <v>242</v>
      </c>
      <c r="D3036" s="51">
        <v>16493</v>
      </c>
      <c r="E3036" s="51">
        <v>410525</v>
      </c>
      <c r="F3036" s="52">
        <v>38820</v>
      </c>
      <c r="G3036" s="53">
        <v>9.4561841999999992</v>
      </c>
    </row>
    <row r="3037" spans="1:7">
      <c r="A3037" s="50" t="s">
        <v>1597</v>
      </c>
      <c r="B3037" s="50" t="s">
        <v>121</v>
      </c>
      <c r="C3037" s="50" t="s">
        <v>242</v>
      </c>
      <c r="D3037" s="51">
        <v>7665</v>
      </c>
      <c r="E3037" s="51">
        <v>164728</v>
      </c>
      <c r="F3037" s="52">
        <v>19212</v>
      </c>
      <c r="G3037" s="53">
        <v>11.662862000000001</v>
      </c>
    </row>
    <row r="3038" spans="1:7">
      <c r="A3038" s="50" t="s">
        <v>1598</v>
      </c>
      <c r="B3038" s="50" t="s">
        <v>121</v>
      </c>
      <c r="C3038" s="50" t="s">
        <v>242</v>
      </c>
      <c r="D3038" s="51">
        <v>7472</v>
      </c>
      <c r="E3038" s="51">
        <v>175204</v>
      </c>
      <c r="F3038" s="52">
        <v>19973</v>
      </c>
      <c r="G3038" s="53">
        <v>11.399853999999999</v>
      </c>
    </row>
    <row r="3039" spans="1:7">
      <c r="A3039" s="50" t="s">
        <v>1599</v>
      </c>
      <c r="B3039" s="50" t="s">
        <v>121</v>
      </c>
      <c r="C3039" s="50" t="s">
        <v>242</v>
      </c>
      <c r="D3039" s="51">
        <v>13532</v>
      </c>
      <c r="E3039" s="51">
        <v>359020</v>
      </c>
      <c r="F3039" s="52">
        <v>38987.699999999997</v>
      </c>
      <c r="G3039" s="53">
        <v>10.859479</v>
      </c>
    </row>
    <row r="3040" spans="1:7">
      <c r="A3040" s="50" t="s">
        <v>1600</v>
      </c>
      <c r="B3040" s="50" t="s">
        <v>121</v>
      </c>
      <c r="C3040" s="50" t="s">
        <v>240</v>
      </c>
      <c r="D3040" s="51">
        <v>11204</v>
      </c>
      <c r="E3040" s="51">
        <v>194922</v>
      </c>
      <c r="F3040" s="52">
        <v>23801</v>
      </c>
      <c r="G3040" s="53">
        <v>12.210525000000001</v>
      </c>
    </row>
    <row r="3041" spans="1:7">
      <c r="A3041" s="50" t="s">
        <v>1601</v>
      </c>
      <c r="B3041" s="50" t="s">
        <v>121</v>
      </c>
      <c r="C3041" s="50" t="s">
        <v>240</v>
      </c>
      <c r="D3041" s="51">
        <v>6746</v>
      </c>
      <c r="E3041" s="51">
        <v>82760</v>
      </c>
      <c r="F3041" s="52">
        <v>12428.4</v>
      </c>
      <c r="G3041" s="53">
        <v>15.0174</v>
      </c>
    </row>
    <row r="3042" spans="1:7">
      <c r="A3042" s="50" t="s">
        <v>675</v>
      </c>
      <c r="B3042" s="50" t="s">
        <v>121</v>
      </c>
      <c r="C3042" s="50" t="s">
        <v>237</v>
      </c>
      <c r="D3042" s="51">
        <v>27790</v>
      </c>
      <c r="E3042" s="51">
        <v>703005</v>
      </c>
      <c r="F3042" s="52">
        <v>70972.5</v>
      </c>
      <c r="G3042" s="53">
        <v>10.09559</v>
      </c>
    </row>
    <row r="3043" spans="1:7">
      <c r="A3043" s="50" t="s">
        <v>947</v>
      </c>
      <c r="B3043" s="50" t="s">
        <v>121</v>
      </c>
      <c r="C3043" s="50" t="s">
        <v>240</v>
      </c>
      <c r="D3043" s="51">
        <v>31227</v>
      </c>
      <c r="E3043" s="51">
        <v>597619</v>
      </c>
      <c r="F3043" s="52">
        <v>71013.5</v>
      </c>
      <c r="G3043" s="53">
        <v>11.882738</v>
      </c>
    </row>
    <row r="3044" spans="1:7">
      <c r="A3044" s="50" t="s">
        <v>1602</v>
      </c>
      <c r="B3044" s="50" t="s">
        <v>121</v>
      </c>
      <c r="C3044" s="50" t="s">
        <v>240</v>
      </c>
      <c r="D3044" s="51">
        <v>19211</v>
      </c>
      <c r="E3044" s="51">
        <v>273004</v>
      </c>
      <c r="F3044" s="52">
        <v>38935.599999999999</v>
      </c>
      <c r="G3044" s="53">
        <v>14.261915999999999</v>
      </c>
    </row>
    <row r="3045" spans="1:7">
      <c r="A3045" s="50" t="s">
        <v>1603</v>
      </c>
      <c r="B3045" s="50" t="s">
        <v>121</v>
      </c>
      <c r="C3045" s="50" t="s">
        <v>240</v>
      </c>
      <c r="D3045" s="51">
        <v>173448</v>
      </c>
      <c r="E3045" s="51">
        <v>5853943</v>
      </c>
      <c r="F3045" s="52">
        <v>559377</v>
      </c>
      <c r="G3045" s="53">
        <v>9.5555593999999999</v>
      </c>
    </row>
    <row r="3046" spans="1:7">
      <c r="A3046" s="50" t="s">
        <v>1415</v>
      </c>
      <c r="B3046" s="50" t="s">
        <v>121</v>
      </c>
      <c r="C3046" s="50" t="s">
        <v>240</v>
      </c>
      <c r="D3046" s="51">
        <v>8207</v>
      </c>
      <c r="E3046" s="51">
        <v>133236</v>
      </c>
      <c r="F3046" s="52">
        <v>13954</v>
      </c>
      <c r="G3046" s="53">
        <v>10.473145000000001</v>
      </c>
    </row>
    <row r="3047" spans="1:7">
      <c r="A3047" s="50" t="s">
        <v>1604</v>
      </c>
      <c r="B3047" s="50" t="s">
        <v>121</v>
      </c>
      <c r="C3047" s="50" t="s">
        <v>240</v>
      </c>
      <c r="D3047" s="51">
        <v>11898</v>
      </c>
      <c r="E3047" s="51">
        <v>344906</v>
      </c>
      <c r="F3047" s="52">
        <v>38835</v>
      </c>
      <c r="G3047" s="53">
        <v>11.259589999999999</v>
      </c>
    </row>
    <row r="3048" spans="1:7">
      <c r="A3048" s="50" t="s">
        <v>1605</v>
      </c>
      <c r="B3048" s="50" t="s">
        <v>121</v>
      </c>
      <c r="C3048" s="50" t="s">
        <v>240</v>
      </c>
      <c r="D3048" s="51">
        <v>166571</v>
      </c>
      <c r="E3048" s="51">
        <v>3859370</v>
      </c>
      <c r="F3048" s="52">
        <v>456274</v>
      </c>
      <c r="G3048" s="53">
        <v>11.8225</v>
      </c>
    </row>
    <row r="3049" spans="1:7">
      <c r="A3049" s="50" t="s">
        <v>1606</v>
      </c>
      <c r="B3049" s="50" t="s">
        <v>121</v>
      </c>
      <c r="C3049" s="50" t="s">
        <v>240</v>
      </c>
      <c r="D3049" s="51">
        <v>95555</v>
      </c>
      <c r="E3049" s="51">
        <v>2429562</v>
      </c>
      <c r="F3049" s="52">
        <v>254073.5</v>
      </c>
      <c r="G3049" s="53">
        <v>10.457585</v>
      </c>
    </row>
    <row r="3050" spans="1:7">
      <c r="A3050" s="50" t="s">
        <v>343</v>
      </c>
      <c r="B3050" s="50" t="s">
        <v>121</v>
      </c>
      <c r="C3050" s="50" t="s">
        <v>332</v>
      </c>
      <c r="D3050" s="51">
        <v>68</v>
      </c>
      <c r="E3050" s="51">
        <v>531</v>
      </c>
      <c r="F3050" s="52">
        <v>47</v>
      </c>
      <c r="G3050" s="53">
        <v>8.8512240999999996</v>
      </c>
    </row>
    <row r="3051" spans="1:7">
      <c r="A3051" s="50" t="s">
        <v>1607</v>
      </c>
      <c r="B3051" s="50" t="s">
        <v>121</v>
      </c>
      <c r="C3051" s="50" t="s">
        <v>240</v>
      </c>
      <c r="D3051" s="51">
        <v>56820</v>
      </c>
      <c r="E3051" s="51">
        <v>952703</v>
      </c>
      <c r="F3051" s="52">
        <v>124669.6</v>
      </c>
      <c r="G3051" s="53">
        <v>13.085883000000001</v>
      </c>
    </row>
    <row r="3052" spans="1:7">
      <c r="A3052" s="50" t="s">
        <v>1608</v>
      </c>
      <c r="B3052" s="50" t="s">
        <v>121</v>
      </c>
      <c r="C3052" s="50" t="s">
        <v>242</v>
      </c>
      <c r="D3052" s="51">
        <v>6694</v>
      </c>
      <c r="E3052" s="51">
        <v>205962</v>
      </c>
      <c r="F3052" s="52">
        <v>20602.900000000001</v>
      </c>
      <c r="G3052" s="53">
        <v>10.003253000000001</v>
      </c>
    </row>
    <row r="3053" spans="1:7">
      <c r="A3053" s="50" t="s">
        <v>2291</v>
      </c>
      <c r="B3053" s="50" t="s">
        <v>121</v>
      </c>
      <c r="C3053" s="50" t="s">
        <v>242</v>
      </c>
      <c r="D3053" s="51">
        <v>2035</v>
      </c>
      <c r="E3053" s="51">
        <v>37994</v>
      </c>
      <c r="F3053" s="52">
        <v>4077</v>
      </c>
      <c r="G3053" s="53">
        <v>10.730642</v>
      </c>
    </row>
    <row r="3054" spans="1:7">
      <c r="A3054" s="50" t="s">
        <v>1609</v>
      </c>
      <c r="B3054" s="50" t="s">
        <v>121</v>
      </c>
      <c r="C3054" s="50" t="s">
        <v>242</v>
      </c>
      <c r="D3054" s="51">
        <v>5581</v>
      </c>
      <c r="E3054" s="51">
        <v>103167</v>
      </c>
      <c r="F3054" s="52">
        <v>12600</v>
      </c>
      <c r="G3054" s="53">
        <v>12.213208</v>
      </c>
    </row>
    <row r="3055" spans="1:7">
      <c r="A3055" s="50" t="s">
        <v>2292</v>
      </c>
      <c r="B3055" s="50" t="s">
        <v>121</v>
      </c>
      <c r="C3055" s="50" t="s">
        <v>242</v>
      </c>
      <c r="D3055" s="51">
        <v>1091</v>
      </c>
      <c r="E3055" s="51">
        <v>18883</v>
      </c>
      <c r="F3055" s="52">
        <v>1860</v>
      </c>
      <c r="G3055" s="53">
        <v>9.8501297000000001</v>
      </c>
    </row>
    <row r="3056" spans="1:7">
      <c r="A3056" s="50" t="s">
        <v>1610</v>
      </c>
      <c r="B3056" s="50" t="s">
        <v>121</v>
      </c>
      <c r="C3056" s="50" t="s">
        <v>242</v>
      </c>
      <c r="D3056" s="51">
        <v>7655</v>
      </c>
      <c r="E3056" s="51">
        <v>159783</v>
      </c>
      <c r="F3056" s="52">
        <v>17890</v>
      </c>
      <c r="G3056" s="53">
        <v>11.196434999999999</v>
      </c>
    </row>
    <row r="3057" spans="1:7">
      <c r="A3057" s="50" t="s">
        <v>2293</v>
      </c>
      <c r="B3057" s="50" t="s">
        <v>121</v>
      </c>
      <c r="C3057" s="50" t="s">
        <v>242</v>
      </c>
      <c r="D3057" s="51">
        <v>2518</v>
      </c>
      <c r="E3057" s="51">
        <v>57386</v>
      </c>
      <c r="F3057" s="52">
        <v>5775.3</v>
      </c>
      <c r="G3057" s="53">
        <v>10.063953</v>
      </c>
    </row>
    <row r="3058" spans="1:7">
      <c r="A3058" s="50" t="s">
        <v>2294</v>
      </c>
      <c r="B3058" s="50" t="s">
        <v>121</v>
      </c>
      <c r="C3058" s="50" t="s">
        <v>242</v>
      </c>
      <c r="D3058" s="51">
        <v>530</v>
      </c>
      <c r="E3058" s="51">
        <v>12584</v>
      </c>
      <c r="F3058" s="52">
        <v>1136</v>
      </c>
      <c r="G3058" s="53">
        <v>9.0273363</v>
      </c>
    </row>
    <row r="3059" spans="1:7">
      <c r="A3059" s="50" t="s">
        <v>971</v>
      </c>
      <c r="B3059" s="50" t="s">
        <v>121</v>
      </c>
      <c r="C3059" s="50" t="s">
        <v>237</v>
      </c>
      <c r="D3059" s="51">
        <v>2505988</v>
      </c>
      <c r="E3059" s="51">
        <v>80663402</v>
      </c>
      <c r="F3059" s="52">
        <v>7544890.2999999998</v>
      </c>
      <c r="G3059" s="53">
        <v>9.3535482999999999</v>
      </c>
    </row>
    <row r="3060" spans="1:7">
      <c r="A3060" s="50" t="s">
        <v>1611</v>
      </c>
      <c r="B3060" s="50" t="s">
        <v>121</v>
      </c>
      <c r="C3060" s="50" t="s">
        <v>2</v>
      </c>
      <c r="D3060" s="51">
        <v>6624</v>
      </c>
      <c r="E3060" s="51">
        <v>340081</v>
      </c>
      <c r="F3060" s="52">
        <v>33073.5</v>
      </c>
      <c r="G3060" s="53">
        <v>9.7251831000000006</v>
      </c>
    </row>
    <row r="3061" spans="1:7">
      <c r="A3061" s="50" t="s">
        <v>2295</v>
      </c>
      <c r="B3061" s="50" t="s">
        <v>119</v>
      </c>
      <c r="C3061" s="50" t="s">
        <v>242</v>
      </c>
      <c r="D3061" s="51">
        <v>2158</v>
      </c>
      <c r="E3061" s="51">
        <v>13565</v>
      </c>
      <c r="F3061" s="52">
        <v>2713.6</v>
      </c>
      <c r="G3061" s="53">
        <v>20.004422999999999</v>
      </c>
    </row>
    <row r="3062" spans="1:7">
      <c r="A3062" s="50" t="s">
        <v>1612</v>
      </c>
      <c r="B3062" s="50" t="s">
        <v>119</v>
      </c>
      <c r="C3062" s="50" t="s">
        <v>242</v>
      </c>
      <c r="D3062" s="51">
        <v>21187</v>
      </c>
      <c r="E3062" s="51">
        <v>322601</v>
      </c>
      <c r="F3062" s="52">
        <v>45707.3</v>
      </c>
      <c r="G3062" s="53">
        <v>14.168369</v>
      </c>
    </row>
    <row r="3063" spans="1:7">
      <c r="A3063" s="50" t="s">
        <v>1613</v>
      </c>
      <c r="B3063" s="50" t="s">
        <v>119</v>
      </c>
      <c r="C3063" s="50" t="s">
        <v>237</v>
      </c>
      <c r="D3063" s="51">
        <v>266731</v>
      </c>
      <c r="E3063" s="51">
        <v>4128426</v>
      </c>
      <c r="F3063" s="52">
        <v>628862</v>
      </c>
      <c r="G3063" s="53">
        <v>15.232488</v>
      </c>
    </row>
    <row r="3064" spans="1:7">
      <c r="A3064" s="50" t="s">
        <v>338</v>
      </c>
      <c r="B3064" s="50" t="s">
        <v>119</v>
      </c>
      <c r="C3064" s="50" t="s">
        <v>332</v>
      </c>
      <c r="D3064" s="51">
        <v>6</v>
      </c>
      <c r="E3064" s="51">
        <v>4686</v>
      </c>
      <c r="F3064" s="52">
        <v>824</v>
      </c>
      <c r="G3064" s="53">
        <v>17.584294</v>
      </c>
    </row>
    <row r="3065" spans="1:7">
      <c r="A3065" s="50" t="s">
        <v>343</v>
      </c>
      <c r="B3065" s="50" t="s">
        <v>119</v>
      </c>
      <c r="C3065" s="50" t="s">
        <v>332</v>
      </c>
      <c r="D3065" s="51">
        <v>1588</v>
      </c>
      <c r="E3065" s="51">
        <v>9129</v>
      </c>
      <c r="F3065" s="52">
        <v>1661</v>
      </c>
      <c r="G3065" s="53">
        <v>18.194763999999999</v>
      </c>
    </row>
    <row r="3066" spans="1:7">
      <c r="A3066" s="50" t="s">
        <v>347</v>
      </c>
      <c r="B3066" s="50" t="s">
        <v>119</v>
      </c>
      <c r="C3066" s="50" t="s">
        <v>332</v>
      </c>
      <c r="D3066" s="51">
        <v>78</v>
      </c>
      <c r="E3066" s="51">
        <v>198</v>
      </c>
      <c r="F3066" s="52">
        <v>41.5</v>
      </c>
      <c r="G3066" s="53">
        <v>20.959596000000001</v>
      </c>
    </row>
    <row r="3067" spans="1:7">
      <c r="A3067" s="50" t="s">
        <v>348</v>
      </c>
      <c r="B3067" s="50" t="s">
        <v>119</v>
      </c>
      <c r="C3067" s="50" t="s">
        <v>332</v>
      </c>
      <c r="D3067" s="51">
        <v>350</v>
      </c>
      <c r="E3067" s="51">
        <v>2255</v>
      </c>
      <c r="F3067" s="52">
        <v>359.4</v>
      </c>
      <c r="G3067" s="53">
        <v>15.937916</v>
      </c>
    </row>
    <row r="3068" spans="1:7">
      <c r="A3068" s="50" t="s">
        <v>350</v>
      </c>
      <c r="B3068" s="50" t="s">
        <v>119</v>
      </c>
      <c r="C3068" s="50" t="s">
        <v>332</v>
      </c>
      <c r="D3068" s="51">
        <v>599</v>
      </c>
      <c r="E3068" s="51">
        <v>2971</v>
      </c>
      <c r="F3068" s="52">
        <v>623</v>
      </c>
      <c r="G3068" s="53">
        <v>20.969370999999999</v>
      </c>
    </row>
    <row r="3069" spans="1:7">
      <c r="A3069" s="50" t="s">
        <v>351</v>
      </c>
      <c r="B3069" s="50" t="s">
        <v>119</v>
      </c>
      <c r="C3069" s="50" t="s">
        <v>332</v>
      </c>
      <c r="D3069" s="51">
        <v>2</v>
      </c>
      <c r="E3069" s="51">
        <v>335</v>
      </c>
      <c r="F3069" s="52">
        <v>88.8</v>
      </c>
      <c r="G3069" s="53">
        <v>26.507463000000001</v>
      </c>
    </row>
    <row r="3070" spans="1:7">
      <c r="A3070" s="50" t="s">
        <v>2296</v>
      </c>
      <c r="B3070" s="50" t="s">
        <v>119</v>
      </c>
      <c r="C3070" s="50" t="s">
        <v>242</v>
      </c>
      <c r="D3070" s="51">
        <v>4433</v>
      </c>
      <c r="E3070" s="51">
        <v>33808</v>
      </c>
      <c r="F3070" s="52">
        <v>6064</v>
      </c>
      <c r="G3070" s="53">
        <v>17.936582999999999</v>
      </c>
    </row>
    <row r="3071" spans="1:7">
      <c r="A3071" s="50" t="s">
        <v>1614</v>
      </c>
      <c r="B3071" s="50" t="s">
        <v>119</v>
      </c>
      <c r="C3071" s="50" t="s">
        <v>242</v>
      </c>
      <c r="D3071" s="51">
        <v>4264</v>
      </c>
      <c r="E3071" s="51">
        <v>74797</v>
      </c>
      <c r="F3071" s="52">
        <v>11878.3</v>
      </c>
      <c r="G3071" s="53">
        <v>15.880717000000001</v>
      </c>
    </row>
    <row r="3072" spans="1:7">
      <c r="A3072" s="50" t="s">
        <v>2297</v>
      </c>
      <c r="B3072" s="50" t="s">
        <v>119</v>
      </c>
      <c r="C3072" s="50" t="s">
        <v>240</v>
      </c>
      <c r="D3072" s="51">
        <v>39569</v>
      </c>
      <c r="E3072" s="51">
        <v>450937</v>
      </c>
      <c r="F3072" s="52">
        <v>72924.600000000006</v>
      </c>
      <c r="G3072" s="53">
        <v>16.171793000000001</v>
      </c>
    </row>
    <row r="3073" spans="1:7">
      <c r="A3073" s="50" t="s">
        <v>2298</v>
      </c>
      <c r="B3073" s="50" t="s">
        <v>119</v>
      </c>
      <c r="C3073" s="50" t="s">
        <v>242</v>
      </c>
      <c r="D3073" s="51">
        <v>1762</v>
      </c>
      <c r="E3073" s="51">
        <v>26262</v>
      </c>
      <c r="F3073" s="52">
        <v>3984</v>
      </c>
      <c r="G3073" s="53">
        <v>15.170208000000001</v>
      </c>
    </row>
    <row r="3074" spans="1:7">
      <c r="A3074" s="50" t="s">
        <v>2299</v>
      </c>
      <c r="B3074" s="50" t="s">
        <v>119</v>
      </c>
      <c r="C3074" s="50" t="s">
        <v>242</v>
      </c>
      <c r="D3074" s="51">
        <v>1360</v>
      </c>
      <c r="E3074" s="51">
        <v>11934</v>
      </c>
      <c r="F3074" s="52">
        <v>2163.1999999999998</v>
      </c>
      <c r="G3074" s="53">
        <v>18.126362</v>
      </c>
    </row>
    <row r="3075" spans="1:7">
      <c r="A3075" s="50" t="s">
        <v>2300</v>
      </c>
      <c r="B3075" s="50" t="s">
        <v>119</v>
      </c>
      <c r="C3075" s="50" t="s">
        <v>242</v>
      </c>
      <c r="D3075" s="51">
        <v>711</v>
      </c>
      <c r="E3075" s="51">
        <v>4907</v>
      </c>
      <c r="F3075" s="52">
        <v>835.4</v>
      </c>
      <c r="G3075" s="53">
        <v>17.024659</v>
      </c>
    </row>
    <row r="3076" spans="1:7">
      <c r="A3076" s="50" t="s">
        <v>2301</v>
      </c>
      <c r="B3076" s="50" t="s">
        <v>119</v>
      </c>
      <c r="C3076" s="50" t="s">
        <v>242</v>
      </c>
      <c r="D3076" s="51">
        <v>977</v>
      </c>
      <c r="E3076" s="51">
        <v>12582</v>
      </c>
      <c r="F3076" s="52">
        <v>2148</v>
      </c>
      <c r="G3076" s="53">
        <v>17.072008</v>
      </c>
    </row>
    <row r="3077" spans="1:7">
      <c r="A3077" s="50" t="s">
        <v>1615</v>
      </c>
      <c r="B3077" s="50" t="s">
        <v>119</v>
      </c>
      <c r="C3077" s="50" t="s">
        <v>242</v>
      </c>
      <c r="D3077" s="51">
        <v>3756</v>
      </c>
      <c r="E3077" s="51">
        <v>55340</v>
      </c>
      <c r="F3077" s="52">
        <v>8248.1</v>
      </c>
      <c r="G3077" s="53">
        <v>14.904408999999999</v>
      </c>
    </row>
    <row r="3078" spans="1:7">
      <c r="A3078" s="50" t="s">
        <v>1616</v>
      </c>
      <c r="B3078" s="50" t="s">
        <v>119</v>
      </c>
      <c r="C3078" s="50" t="s">
        <v>242</v>
      </c>
      <c r="D3078" s="51">
        <v>5765</v>
      </c>
      <c r="E3078" s="51">
        <v>62027</v>
      </c>
      <c r="F3078" s="52">
        <v>9113</v>
      </c>
      <c r="G3078" s="53">
        <v>14.691989</v>
      </c>
    </row>
    <row r="3079" spans="1:7">
      <c r="A3079" s="50" t="s">
        <v>1617</v>
      </c>
      <c r="B3079" s="50" t="s">
        <v>119</v>
      </c>
      <c r="C3079" s="50" t="s">
        <v>242</v>
      </c>
      <c r="D3079" s="51">
        <v>4199</v>
      </c>
      <c r="E3079" s="51">
        <v>45179</v>
      </c>
      <c r="F3079" s="52">
        <v>7035.9</v>
      </c>
      <c r="G3079" s="53">
        <v>15.573385999999999</v>
      </c>
    </row>
    <row r="3080" spans="1:7">
      <c r="A3080" s="50" t="s">
        <v>1618</v>
      </c>
      <c r="B3080" s="50" t="s">
        <v>119</v>
      </c>
      <c r="C3080" s="50" t="s">
        <v>242</v>
      </c>
      <c r="D3080" s="51">
        <v>1868</v>
      </c>
      <c r="E3080" s="51">
        <v>28824</v>
      </c>
      <c r="F3080" s="52">
        <v>3757.6</v>
      </c>
      <c r="G3080" s="53">
        <v>13.036358999999999</v>
      </c>
    </row>
    <row r="3081" spans="1:7">
      <c r="A3081" s="50" t="s">
        <v>2302</v>
      </c>
      <c r="B3081" s="50" t="s">
        <v>119</v>
      </c>
      <c r="C3081" s="50" t="s">
        <v>242</v>
      </c>
      <c r="D3081" s="51">
        <v>665</v>
      </c>
      <c r="E3081" s="51">
        <v>12688</v>
      </c>
      <c r="F3081" s="52">
        <v>1825.2</v>
      </c>
      <c r="G3081" s="53">
        <v>14.385246</v>
      </c>
    </row>
    <row r="3082" spans="1:7">
      <c r="A3082" s="50" t="s">
        <v>1619</v>
      </c>
      <c r="B3082" s="50" t="s">
        <v>119</v>
      </c>
      <c r="C3082" s="50" t="s">
        <v>242</v>
      </c>
      <c r="D3082" s="51">
        <v>3723</v>
      </c>
      <c r="E3082" s="51">
        <v>53139</v>
      </c>
      <c r="F3082" s="52">
        <v>6788</v>
      </c>
      <c r="G3082" s="53">
        <v>12.774044999999999</v>
      </c>
    </row>
    <row r="3083" spans="1:7">
      <c r="A3083" s="50" t="s">
        <v>1620</v>
      </c>
      <c r="B3083" s="50" t="s">
        <v>119</v>
      </c>
      <c r="C3083" s="50" t="s">
        <v>240</v>
      </c>
      <c r="D3083" s="51">
        <v>11613</v>
      </c>
      <c r="E3083" s="51">
        <v>68358</v>
      </c>
      <c r="F3083" s="52">
        <v>15538</v>
      </c>
      <c r="G3083" s="53">
        <v>22.730331</v>
      </c>
    </row>
    <row r="3084" spans="1:7">
      <c r="A3084" s="50" t="s">
        <v>550</v>
      </c>
      <c r="B3084" s="50" t="s">
        <v>124</v>
      </c>
      <c r="C3084" s="50" t="s">
        <v>237</v>
      </c>
      <c r="D3084" s="51">
        <v>257394</v>
      </c>
      <c r="E3084" s="51">
        <v>5672876</v>
      </c>
      <c r="F3084" s="52">
        <v>547776.69999999995</v>
      </c>
      <c r="G3084" s="53">
        <v>9.6560669000000008</v>
      </c>
    </row>
    <row r="3085" spans="1:7">
      <c r="A3085" s="50" t="s">
        <v>1621</v>
      </c>
      <c r="B3085" s="50" t="s">
        <v>124</v>
      </c>
      <c r="C3085" s="50" t="s">
        <v>240</v>
      </c>
      <c r="D3085" s="51">
        <v>14559</v>
      </c>
      <c r="E3085" s="51">
        <v>562534</v>
      </c>
      <c r="F3085" s="52">
        <v>41107</v>
      </c>
      <c r="G3085" s="53">
        <v>7.3074693999999996</v>
      </c>
    </row>
    <row r="3086" spans="1:7">
      <c r="A3086" s="50" t="s">
        <v>1622</v>
      </c>
      <c r="B3086" s="50" t="s">
        <v>124</v>
      </c>
      <c r="C3086" s="50" t="s">
        <v>240</v>
      </c>
      <c r="D3086" s="51">
        <v>9469</v>
      </c>
      <c r="E3086" s="51">
        <v>535908</v>
      </c>
      <c r="F3086" s="52">
        <v>36009.1</v>
      </c>
      <c r="G3086" s="53">
        <v>6.7192689999999997</v>
      </c>
    </row>
    <row r="3087" spans="1:7">
      <c r="A3087" s="50" t="s">
        <v>1222</v>
      </c>
      <c r="B3087" s="50" t="s">
        <v>124</v>
      </c>
      <c r="C3087" s="50" t="s">
        <v>295</v>
      </c>
      <c r="D3087" s="51">
        <v>10</v>
      </c>
      <c r="E3087" s="51">
        <v>4838044</v>
      </c>
      <c r="F3087" s="52">
        <v>75550</v>
      </c>
      <c r="G3087" s="53">
        <v>1.5615815</v>
      </c>
    </row>
    <row r="3088" spans="1:7">
      <c r="A3088" s="50" t="s">
        <v>1623</v>
      </c>
      <c r="B3088" s="50" t="s">
        <v>124</v>
      </c>
      <c r="C3088" s="50" t="s">
        <v>242</v>
      </c>
      <c r="D3088" s="51">
        <v>3475</v>
      </c>
      <c r="E3088" s="51">
        <v>77458</v>
      </c>
      <c r="F3088" s="52">
        <v>6363</v>
      </c>
      <c r="G3088" s="53">
        <v>8.2147745000000008</v>
      </c>
    </row>
    <row r="3089" spans="1:7">
      <c r="A3089" s="50" t="s">
        <v>1624</v>
      </c>
      <c r="B3089" s="50" t="s">
        <v>124</v>
      </c>
      <c r="C3089" s="50" t="s">
        <v>242</v>
      </c>
      <c r="D3089" s="51">
        <v>10381</v>
      </c>
      <c r="E3089" s="51">
        <v>258189</v>
      </c>
      <c r="F3089" s="52">
        <v>25922</v>
      </c>
      <c r="G3089" s="53">
        <v>10.039932</v>
      </c>
    </row>
    <row r="3090" spans="1:7">
      <c r="A3090" s="50" t="s">
        <v>1625</v>
      </c>
      <c r="B3090" s="50" t="s">
        <v>124</v>
      </c>
      <c r="C3090" s="50" t="s">
        <v>242</v>
      </c>
      <c r="D3090" s="51">
        <v>5798</v>
      </c>
      <c r="E3090" s="51">
        <v>148540</v>
      </c>
      <c r="F3090" s="52">
        <v>9715.4</v>
      </c>
      <c r="G3090" s="53">
        <v>6.5405951</v>
      </c>
    </row>
    <row r="3091" spans="1:7">
      <c r="A3091" s="50" t="s">
        <v>2303</v>
      </c>
      <c r="B3091" s="50" t="s">
        <v>124</v>
      </c>
      <c r="C3091" s="50" t="s">
        <v>242</v>
      </c>
      <c r="D3091" s="51">
        <v>1309</v>
      </c>
      <c r="E3091" s="51">
        <v>21000</v>
      </c>
      <c r="F3091" s="52">
        <v>1700</v>
      </c>
      <c r="G3091" s="53">
        <v>8.0952380999999995</v>
      </c>
    </row>
    <row r="3092" spans="1:7">
      <c r="A3092" s="50" t="s">
        <v>2304</v>
      </c>
      <c r="B3092" s="50" t="s">
        <v>124</v>
      </c>
      <c r="C3092" s="50" t="s">
        <v>242</v>
      </c>
      <c r="D3092" s="51">
        <v>601</v>
      </c>
      <c r="E3092" s="51">
        <v>17109</v>
      </c>
      <c r="F3092" s="52">
        <v>1128.3</v>
      </c>
      <c r="G3092" s="53">
        <v>6.5947747000000003</v>
      </c>
    </row>
    <row r="3093" spans="1:7">
      <c r="A3093" s="50" t="s">
        <v>1626</v>
      </c>
      <c r="B3093" s="50" t="s">
        <v>124</v>
      </c>
      <c r="C3093" s="50" t="s">
        <v>242</v>
      </c>
      <c r="D3093" s="51">
        <v>10039</v>
      </c>
      <c r="E3093" s="51">
        <v>212409</v>
      </c>
      <c r="F3093" s="52">
        <v>18106.8</v>
      </c>
      <c r="G3093" s="53">
        <v>8.5244975000000007</v>
      </c>
    </row>
    <row r="3094" spans="1:7">
      <c r="A3094" s="50" t="s">
        <v>2305</v>
      </c>
      <c r="B3094" s="50" t="s">
        <v>124</v>
      </c>
      <c r="C3094" s="50" t="s">
        <v>242</v>
      </c>
      <c r="D3094" s="51">
        <v>1193</v>
      </c>
      <c r="E3094" s="51">
        <v>31854</v>
      </c>
      <c r="F3094" s="52">
        <v>2754.6</v>
      </c>
      <c r="G3094" s="53">
        <v>8.6475796000000003</v>
      </c>
    </row>
    <row r="3095" spans="1:7">
      <c r="A3095" s="50" t="s">
        <v>1627</v>
      </c>
      <c r="B3095" s="50" t="s">
        <v>124</v>
      </c>
      <c r="C3095" s="50" t="s">
        <v>242</v>
      </c>
      <c r="D3095" s="51">
        <v>10999</v>
      </c>
      <c r="E3095" s="51">
        <v>267362</v>
      </c>
      <c r="F3095" s="52">
        <v>22746</v>
      </c>
      <c r="G3095" s="53">
        <v>8.5075664999999994</v>
      </c>
    </row>
    <row r="3096" spans="1:7">
      <c r="A3096" s="50" t="s">
        <v>1628</v>
      </c>
      <c r="B3096" s="50" t="s">
        <v>124</v>
      </c>
      <c r="C3096" s="50" t="s">
        <v>242</v>
      </c>
      <c r="D3096" s="51">
        <v>24966</v>
      </c>
      <c r="E3096" s="51">
        <v>911106</v>
      </c>
      <c r="F3096" s="52">
        <v>73209.2</v>
      </c>
      <c r="G3096" s="53">
        <v>8.0352011999999995</v>
      </c>
    </row>
    <row r="3097" spans="1:7">
      <c r="A3097" s="50" t="s">
        <v>1629</v>
      </c>
      <c r="B3097" s="50" t="s">
        <v>124</v>
      </c>
      <c r="C3097" s="50" t="s">
        <v>242</v>
      </c>
      <c r="D3097" s="51">
        <v>470380</v>
      </c>
      <c r="E3097" s="51">
        <v>9082792</v>
      </c>
      <c r="F3097" s="52">
        <v>920914</v>
      </c>
      <c r="G3097" s="53">
        <v>10.139106999999999</v>
      </c>
    </row>
    <row r="3098" spans="1:7">
      <c r="A3098" s="50" t="s">
        <v>2306</v>
      </c>
      <c r="B3098" s="50" t="s">
        <v>124</v>
      </c>
      <c r="C3098" s="50" t="s">
        <v>242</v>
      </c>
      <c r="D3098" s="51">
        <v>951</v>
      </c>
      <c r="E3098" s="51">
        <v>31565</v>
      </c>
      <c r="F3098" s="52">
        <v>2352</v>
      </c>
      <c r="G3098" s="53">
        <v>7.4512910000000003</v>
      </c>
    </row>
    <row r="3099" spans="1:7">
      <c r="A3099" s="50" t="s">
        <v>1630</v>
      </c>
      <c r="B3099" s="50" t="s">
        <v>124</v>
      </c>
      <c r="C3099" s="50" t="s">
        <v>242</v>
      </c>
      <c r="D3099" s="51">
        <v>182234</v>
      </c>
      <c r="E3099" s="51">
        <v>4665640</v>
      </c>
      <c r="F3099" s="52">
        <v>366663.3</v>
      </c>
      <c r="G3099" s="53">
        <v>7.8587996999999996</v>
      </c>
    </row>
    <row r="3100" spans="1:7">
      <c r="A3100" s="50" t="s">
        <v>552</v>
      </c>
      <c r="B3100" s="50" t="s">
        <v>124</v>
      </c>
      <c r="C3100" s="50" t="s">
        <v>240</v>
      </c>
      <c r="D3100" s="51">
        <v>999</v>
      </c>
      <c r="E3100" s="51">
        <v>21999</v>
      </c>
      <c r="F3100" s="52">
        <v>2160.8000000000002</v>
      </c>
      <c r="G3100" s="53">
        <v>9.8222646000000005</v>
      </c>
    </row>
    <row r="3101" spans="1:7">
      <c r="A3101" s="50" t="s">
        <v>1239</v>
      </c>
      <c r="B3101" s="50" t="s">
        <v>124</v>
      </c>
      <c r="C3101" s="50" t="s">
        <v>240</v>
      </c>
      <c r="D3101" s="51">
        <v>5945</v>
      </c>
      <c r="E3101" s="51">
        <v>343259</v>
      </c>
      <c r="F3101" s="52">
        <v>30284</v>
      </c>
      <c r="G3101" s="53">
        <v>8.8224926000000004</v>
      </c>
    </row>
    <row r="3102" spans="1:7">
      <c r="A3102" s="50" t="s">
        <v>1631</v>
      </c>
      <c r="B3102" s="50" t="s">
        <v>124</v>
      </c>
      <c r="C3102" s="50" t="s">
        <v>240</v>
      </c>
      <c r="D3102" s="51">
        <v>15538</v>
      </c>
      <c r="E3102" s="51">
        <v>273000</v>
      </c>
      <c r="F3102" s="52">
        <v>19255</v>
      </c>
      <c r="G3102" s="53">
        <v>7.0531135999999996</v>
      </c>
    </row>
    <row r="3103" spans="1:7">
      <c r="A3103" s="50" t="s">
        <v>555</v>
      </c>
      <c r="B3103" s="50" t="s">
        <v>124</v>
      </c>
      <c r="C3103" s="50" t="s">
        <v>240</v>
      </c>
      <c r="D3103" s="51">
        <v>40917</v>
      </c>
      <c r="E3103" s="51">
        <v>912016</v>
      </c>
      <c r="F3103" s="52">
        <v>75754</v>
      </c>
      <c r="G3103" s="53">
        <v>8.3062138999999995</v>
      </c>
    </row>
    <row r="3104" spans="1:7">
      <c r="A3104" s="50" t="s">
        <v>1831</v>
      </c>
      <c r="B3104" s="50" t="s">
        <v>124</v>
      </c>
      <c r="C3104" s="50" t="s">
        <v>240</v>
      </c>
      <c r="D3104" s="51">
        <v>83</v>
      </c>
      <c r="E3104" s="51">
        <v>2865</v>
      </c>
      <c r="F3104" s="52">
        <v>244.5</v>
      </c>
      <c r="G3104" s="53">
        <v>8.5340313999999999</v>
      </c>
    </row>
    <row r="3105" spans="1:7">
      <c r="A3105" s="50" t="s">
        <v>1632</v>
      </c>
      <c r="B3105" s="50" t="s">
        <v>124</v>
      </c>
      <c r="C3105" s="50" t="s">
        <v>240</v>
      </c>
      <c r="D3105" s="51">
        <v>10224</v>
      </c>
      <c r="E3105" s="51">
        <v>256307</v>
      </c>
      <c r="F3105" s="52">
        <v>23809</v>
      </c>
      <c r="G3105" s="53">
        <v>9.2892507999999996</v>
      </c>
    </row>
    <row r="3106" spans="1:7">
      <c r="A3106" s="50" t="s">
        <v>1633</v>
      </c>
      <c r="B3106" s="50" t="s">
        <v>124</v>
      </c>
      <c r="C3106" s="50" t="s">
        <v>240</v>
      </c>
      <c r="D3106" s="51">
        <v>10250</v>
      </c>
      <c r="E3106" s="51">
        <v>226919</v>
      </c>
      <c r="F3106" s="52">
        <v>14582.7</v>
      </c>
      <c r="G3106" s="53">
        <v>6.4263899999999996</v>
      </c>
    </row>
    <row r="3107" spans="1:7">
      <c r="A3107" s="50" t="s">
        <v>2307</v>
      </c>
      <c r="B3107" s="50" t="s">
        <v>124</v>
      </c>
      <c r="C3107" s="50" t="s">
        <v>240</v>
      </c>
      <c r="D3107" s="51">
        <v>1520</v>
      </c>
      <c r="E3107" s="51">
        <v>57745</v>
      </c>
      <c r="F3107" s="52">
        <v>4779.6000000000004</v>
      </c>
      <c r="G3107" s="53">
        <v>8.2770802999999997</v>
      </c>
    </row>
    <row r="3108" spans="1:7">
      <c r="A3108" s="50" t="s">
        <v>558</v>
      </c>
      <c r="B3108" s="50" t="s">
        <v>124</v>
      </c>
      <c r="C3108" s="50" t="s">
        <v>240</v>
      </c>
      <c r="D3108" s="51">
        <v>14</v>
      </c>
      <c r="E3108" s="51">
        <v>139</v>
      </c>
      <c r="F3108" s="52">
        <v>17</v>
      </c>
      <c r="G3108" s="53">
        <v>12.230216</v>
      </c>
    </row>
    <row r="3109" spans="1:7">
      <c r="A3109" s="50" t="s">
        <v>1634</v>
      </c>
      <c r="B3109" s="50" t="s">
        <v>124</v>
      </c>
      <c r="C3109" s="50" t="s">
        <v>240</v>
      </c>
      <c r="D3109" s="51">
        <v>4471</v>
      </c>
      <c r="E3109" s="51">
        <v>83967</v>
      </c>
      <c r="F3109" s="52">
        <v>7226</v>
      </c>
      <c r="G3109" s="53">
        <v>8.6057617999999998</v>
      </c>
    </row>
    <row r="3110" spans="1:7">
      <c r="A3110" s="50" t="s">
        <v>1635</v>
      </c>
      <c r="B3110" s="50" t="s">
        <v>124</v>
      </c>
      <c r="C3110" s="50" t="s">
        <v>240</v>
      </c>
      <c r="D3110" s="51">
        <v>3747</v>
      </c>
      <c r="E3110" s="51">
        <v>61989</v>
      </c>
      <c r="F3110" s="52">
        <v>5902</v>
      </c>
      <c r="G3110" s="53">
        <v>9.5210440999999992</v>
      </c>
    </row>
    <row r="3111" spans="1:7">
      <c r="A3111" s="50" t="s">
        <v>1636</v>
      </c>
      <c r="B3111" s="50" t="s">
        <v>124</v>
      </c>
      <c r="C3111" s="50" t="s">
        <v>240</v>
      </c>
      <c r="D3111" s="51">
        <v>15163</v>
      </c>
      <c r="E3111" s="51">
        <v>207180</v>
      </c>
      <c r="F3111" s="52">
        <v>30678</v>
      </c>
      <c r="G3111" s="53">
        <v>14.807414</v>
      </c>
    </row>
    <row r="3112" spans="1:7">
      <c r="A3112" s="50" t="s">
        <v>1637</v>
      </c>
      <c r="B3112" s="50" t="s">
        <v>124</v>
      </c>
      <c r="C3112" s="50" t="s">
        <v>325</v>
      </c>
      <c r="D3112" s="51">
        <v>354978</v>
      </c>
      <c r="E3112" s="51">
        <v>6526450</v>
      </c>
      <c r="F3112" s="52">
        <v>615355</v>
      </c>
      <c r="G3112" s="53">
        <v>9.4286326999999996</v>
      </c>
    </row>
    <row r="3113" spans="1:7">
      <c r="A3113" s="50" t="s">
        <v>2308</v>
      </c>
      <c r="B3113" s="50" t="s">
        <v>124</v>
      </c>
      <c r="C3113" s="50" t="s">
        <v>242</v>
      </c>
      <c r="D3113" s="51">
        <v>3</v>
      </c>
      <c r="E3113" s="51">
        <v>238</v>
      </c>
      <c r="F3113" s="52">
        <v>13.7</v>
      </c>
      <c r="G3113" s="53">
        <v>5.7563025000000003</v>
      </c>
    </row>
    <row r="3114" spans="1:7">
      <c r="A3114" s="50" t="s">
        <v>1638</v>
      </c>
      <c r="B3114" s="50" t="s">
        <v>124</v>
      </c>
      <c r="C3114" s="50" t="s">
        <v>325</v>
      </c>
      <c r="D3114" s="51">
        <v>54581</v>
      </c>
      <c r="E3114" s="51">
        <v>1766171</v>
      </c>
      <c r="F3114" s="52">
        <v>127692</v>
      </c>
      <c r="G3114" s="53">
        <v>7.2298774999999997</v>
      </c>
    </row>
    <row r="3115" spans="1:7">
      <c r="A3115" s="50" t="s">
        <v>1639</v>
      </c>
      <c r="B3115" s="50" t="s">
        <v>124</v>
      </c>
      <c r="C3115" s="50" t="s">
        <v>325</v>
      </c>
      <c r="D3115" s="51">
        <v>51507</v>
      </c>
      <c r="E3115" s="51">
        <v>1720632</v>
      </c>
      <c r="F3115" s="52">
        <v>52804.4</v>
      </c>
      <c r="G3115" s="53">
        <v>3.0688955999999998</v>
      </c>
    </row>
    <row r="3116" spans="1:7">
      <c r="A3116" s="50" t="s">
        <v>1640</v>
      </c>
      <c r="B3116" s="50" t="s">
        <v>124</v>
      </c>
      <c r="C3116" s="50" t="s">
        <v>325</v>
      </c>
      <c r="D3116" s="51">
        <v>32237</v>
      </c>
      <c r="E3116" s="51">
        <v>638626</v>
      </c>
      <c r="F3116" s="52">
        <v>62492.1</v>
      </c>
      <c r="G3116" s="53">
        <v>9.7853987</v>
      </c>
    </row>
    <row r="3117" spans="1:7">
      <c r="A3117" s="50" t="s">
        <v>1641</v>
      </c>
      <c r="B3117" s="50" t="s">
        <v>124</v>
      </c>
      <c r="C3117" s="50" t="s">
        <v>325</v>
      </c>
      <c r="D3117" s="51">
        <v>213948</v>
      </c>
      <c r="E3117" s="51">
        <v>4514170</v>
      </c>
      <c r="F3117" s="52">
        <v>367584</v>
      </c>
      <c r="G3117" s="53">
        <v>8.1428922999999998</v>
      </c>
    </row>
    <row r="3118" spans="1:7">
      <c r="A3118" s="50" t="s">
        <v>1642</v>
      </c>
      <c r="B3118" s="50" t="s">
        <v>124</v>
      </c>
      <c r="C3118" s="50" t="s">
        <v>325</v>
      </c>
      <c r="D3118" s="51">
        <v>50870</v>
      </c>
      <c r="E3118" s="51">
        <v>4609092</v>
      </c>
      <c r="F3118" s="52">
        <v>274012</v>
      </c>
      <c r="G3118" s="53">
        <v>5.9450320999999997</v>
      </c>
    </row>
    <row r="3119" spans="1:7">
      <c r="A3119" s="50" t="s">
        <v>1643</v>
      </c>
      <c r="B3119" s="50" t="s">
        <v>124</v>
      </c>
      <c r="C3119" s="50" t="s">
        <v>325</v>
      </c>
      <c r="D3119" s="51">
        <v>16083</v>
      </c>
      <c r="E3119" s="51">
        <v>1135682</v>
      </c>
      <c r="F3119" s="52">
        <v>33855</v>
      </c>
      <c r="G3119" s="53">
        <v>2.9810281000000001</v>
      </c>
    </row>
    <row r="3120" spans="1:7">
      <c r="A3120" s="50" t="s">
        <v>1644</v>
      </c>
      <c r="B3120" s="50" t="s">
        <v>124</v>
      </c>
      <c r="C3120" s="50" t="s">
        <v>325</v>
      </c>
      <c r="D3120" s="51">
        <v>3533</v>
      </c>
      <c r="E3120" s="51">
        <v>66687</v>
      </c>
      <c r="F3120" s="52">
        <v>6653.6</v>
      </c>
      <c r="G3120" s="53">
        <v>9.9773569000000002</v>
      </c>
    </row>
    <row r="3121" spans="1:7">
      <c r="A3121" s="50" t="s">
        <v>1645</v>
      </c>
      <c r="B3121" s="50" t="s">
        <v>124</v>
      </c>
      <c r="C3121" s="50" t="s">
        <v>325</v>
      </c>
      <c r="D3121" s="51">
        <v>27677</v>
      </c>
      <c r="E3121" s="51">
        <v>1078951</v>
      </c>
      <c r="F3121" s="52">
        <v>84249</v>
      </c>
      <c r="G3121" s="53">
        <v>7.8084176000000003</v>
      </c>
    </row>
    <row r="3122" spans="1:7">
      <c r="A3122" s="50" t="s">
        <v>1646</v>
      </c>
      <c r="B3122" s="50" t="s">
        <v>124</v>
      </c>
      <c r="C3122" s="50" t="s">
        <v>325</v>
      </c>
      <c r="D3122" s="51">
        <v>43296</v>
      </c>
      <c r="E3122" s="51">
        <v>951186</v>
      </c>
      <c r="F3122" s="52">
        <v>103410</v>
      </c>
      <c r="G3122" s="53">
        <v>10.871691</v>
      </c>
    </row>
    <row r="3123" spans="1:7">
      <c r="A3123" s="50" t="s">
        <v>1647</v>
      </c>
      <c r="B3123" s="50" t="s">
        <v>124</v>
      </c>
      <c r="C3123" s="50" t="s">
        <v>325</v>
      </c>
      <c r="D3123" s="51">
        <v>19742</v>
      </c>
      <c r="E3123" s="51">
        <v>376212</v>
      </c>
      <c r="F3123" s="52">
        <v>38023.599999999999</v>
      </c>
      <c r="G3123" s="53">
        <v>10.106961</v>
      </c>
    </row>
    <row r="3124" spans="1:7">
      <c r="A3124" s="50" t="s">
        <v>2309</v>
      </c>
      <c r="B3124" s="50" t="s">
        <v>124</v>
      </c>
      <c r="C3124" s="50" t="s">
        <v>325</v>
      </c>
      <c r="D3124" s="51">
        <v>4625</v>
      </c>
      <c r="E3124" s="51">
        <v>105905</v>
      </c>
      <c r="F3124" s="52">
        <v>10460</v>
      </c>
      <c r="G3124" s="53">
        <v>9.8767764000000007</v>
      </c>
    </row>
    <row r="3125" spans="1:7">
      <c r="A3125" s="50" t="s">
        <v>1648</v>
      </c>
      <c r="B3125" s="50" t="s">
        <v>124</v>
      </c>
      <c r="C3125" s="50" t="s">
        <v>325</v>
      </c>
      <c r="D3125" s="51">
        <v>13254</v>
      </c>
      <c r="E3125" s="51">
        <v>369066</v>
      </c>
      <c r="F3125" s="52">
        <v>33125</v>
      </c>
      <c r="G3125" s="53">
        <v>8.9753594000000003</v>
      </c>
    </row>
    <row r="3126" spans="1:7">
      <c r="A3126" s="50" t="s">
        <v>1649</v>
      </c>
      <c r="B3126" s="50" t="s">
        <v>124</v>
      </c>
      <c r="C3126" s="50" t="s">
        <v>325</v>
      </c>
      <c r="D3126" s="51">
        <v>32771</v>
      </c>
      <c r="E3126" s="51">
        <v>940053</v>
      </c>
      <c r="F3126" s="52">
        <v>73788.2</v>
      </c>
      <c r="G3126" s="53">
        <v>7.8493658999999996</v>
      </c>
    </row>
    <row r="3127" spans="1:7">
      <c r="A3127" s="50" t="s">
        <v>2310</v>
      </c>
      <c r="B3127" s="50" t="s">
        <v>124</v>
      </c>
      <c r="C3127" s="50" t="s">
        <v>325</v>
      </c>
      <c r="D3127" s="51">
        <v>5349</v>
      </c>
      <c r="E3127" s="51">
        <v>76378</v>
      </c>
      <c r="F3127" s="52">
        <v>8851</v>
      </c>
      <c r="G3127" s="53">
        <v>11.588416</v>
      </c>
    </row>
    <row r="3128" spans="1:7">
      <c r="A3128" s="50" t="s">
        <v>1650</v>
      </c>
      <c r="B3128" s="50" t="s">
        <v>124</v>
      </c>
      <c r="C3128" s="50" t="s">
        <v>325</v>
      </c>
      <c r="D3128" s="51">
        <v>21249</v>
      </c>
      <c r="E3128" s="51">
        <v>600415</v>
      </c>
      <c r="F3128" s="52">
        <v>45810.1</v>
      </c>
      <c r="G3128" s="53">
        <v>7.6297394000000001</v>
      </c>
    </row>
    <row r="3129" spans="1:7">
      <c r="A3129" s="50" t="s">
        <v>1651</v>
      </c>
      <c r="B3129" s="50" t="s">
        <v>124</v>
      </c>
      <c r="C3129" s="50" t="s">
        <v>325</v>
      </c>
      <c r="D3129" s="51">
        <v>9296</v>
      </c>
      <c r="E3129" s="51">
        <v>958410</v>
      </c>
      <c r="F3129" s="52">
        <v>48720</v>
      </c>
      <c r="G3129" s="53">
        <v>5.0834194000000004</v>
      </c>
    </row>
    <row r="3130" spans="1:7">
      <c r="A3130" s="50" t="s">
        <v>1652</v>
      </c>
      <c r="B3130" s="50" t="s">
        <v>124</v>
      </c>
      <c r="C3130" s="50" t="s">
        <v>325</v>
      </c>
      <c r="D3130" s="51">
        <v>6323</v>
      </c>
      <c r="E3130" s="51">
        <v>127087</v>
      </c>
      <c r="F3130" s="52">
        <v>12091.7</v>
      </c>
      <c r="G3130" s="53">
        <v>9.5145058000000002</v>
      </c>
    </row>
    <row r="3131" spans="1:7">
      <c r="A3131" s="50" t="s">
        <v>2311</v>
      </c>
      <c r="B3131" s="50" t="s">
        <v>124</v>
      </c>
      <c r="C3131" s="50" t="s">
        <v>325</v>
      </c>
      <c r="D3131" s="51">
        <v>2558</v>
      </c>
      <c r="E3131" s="51">
        <v>41495</v>
      </c>
      <c r="F3131" s="52">
        <v>3978</v>
      </c>
      <c r="G3131" s="53">
        <v>9.5866971999999997</v>
      </c>
    </row>
    <row r="3132" spans="1:7">
      <c r="A3132" s="50" t="s">
        <v>1653</v>
      </c>
      <c r="B3132" s="50" t="s">
        <v>124</v>
      </c>
      <c r="C3132" s="50" t="s">
        <v>325</v>
      </c>
      <c r="D3132" s="51">
        <v>1</v>
      </c>
      <c r="E3132" s="51">
        <v>225010</v>
      </c>
      <c r="F3132" s="52">
        <v>11549</v>
      </c>
      <c r="G3132" s="53">
        <v>5.1326608</v>
      </c>
    </row>
    <row r="3133" spans="1:7">
      <c r="A3133" s="50" t="s">
        <v>1654</v>
      </c>
      <c r="B3133" s="50" t="s">
        <v>124</v>
      </c>
      <c r="C3133" s="50" t="s">
        <v>325</v>
      </c>
      <c r="D3133" s="51">
        <v>51635</v>
      </c>
      <c r="E3133" s="51">
        <v>5038302</v>
      </c>
      <c r="F3133" s="52">
        <v>209896</v>
      </c>
      <c r="G3133" s="53">
        <v>4.1660066999999996</v>
      </c>
    </row>
    <row r="3134" spans="1:7">
      <c r="A3134" s="50" t="s">
        <v>1655</v>
      </c>
      <c r="B3134" s="50" t="s">
        <v>124</v>
      </c>
      <c r="C3134" s="50" t="s">
        <v>325</v>
      </c>
      <c r="D3134" s="51">
        <v>17690</v>
      </c>
      <c r="E3134" s="51">
        <v>294203</v>
      </c>
      <c r="F3134" s="52">
        <v>24442.2</v>
      </c>
      <c r="G3134" s="53">
        <v>8.3079370000000008</v>
      </c>
    </row>
    <row r="3135" spans="1:7">
      <c r="A3135" s="50" t="s">
        <v>1656</v>
      </c>
      <c r="B3135" s="50" t="s">
        <v>124</v>
      </c>
      <c r="C3135" s="50" t="s">
        <v>325</v>
      </c>
      <c r="D3135" s="51">
        <v>34214</v>
      </c>
      <c r="E3135" s="51">
        <v>654549</v>
      </c>
      <c r="F3135" s="52">
        <v>65311</v>
      </c>
      <c r="G3135" s="53">
        <v>9.9780154000000003</v>
      </c>
    </row>
    <row r="3136" spans="1:7">
      <c r="A3136" s="50" t="s">
        <v>382</v>
      </c>
      <c r="B3136" s="50" t="s">
        <v>124</v>
      </c>
      <c r="C3136" s="50" t="s">
        <v>237</v>
      </c>
      <c r="D3136" s="51">
        <v>132291</v>
      </c>
      <c r="E3136" s="51">
        <v>4144590</v>
      </c>
      <c r="F3136" s="52">
        <v>332299.7</v>
      </c>
      <c r="G3136" s="53">
        <v>8.0176736000000002</v>
      </c>
    </row>
    <row r="3137" spans="1:7">
      <c r="A3137" s="50" t="s">
        <v>1657</v>
      </c>
      <c r="B3137" s="50" t="s">
        <v>124</v>
      </c>
      <c r="C3137" s="50" t="s">
        <v>240</v>
      </c>
      <c r="D3137" s="51">
        <v>4575</v>
      </c>
      <c r="E3137" s="51">
        <v>114599</v>
      </c>
      <c r="F3137" s="52">
        <v>8668</v>
      </c>
      <c r="G3137" s="53">
        <v>7.5637657999999997</v>
      </c>
    </row>
    <row r="3138" spans="1:7">
      <c r="A3138" s="50" t="s">
        <v>1658</v>
      </c>
      <c r="B3138" s="50" t="s">
        <v>124</v>
      </c>
      <c r="C3138" s="50" t="s">
        <v>240</v>
      </c>
      <c r="D3138" s="51">
        <v>33723</v>
      </c>
      <c r="E3138" s="51">
        <v>586557</v>
      </c>
      <c r="F3138" s="52">
        <v>57507.9</v>
      </c>
      <c r="G3138" s="53">
        <v>9.8043157000000001</v>
      </c>
    </row>
    <row r="3139" spans="1:7">
      <c r="A3139" s="50" t="s">
        <v>1659</v>
      </c>
      <c r="B3139" s="50" t="s">
        <v>124</v>
      </c>
      <c r="C3139" s="50" t="s">
        <v>237</v>
      </c>
      <c r="D3139" s="51">
        <v>1165611</v>
      </c>
      <c r="E3139" s="51">
        <v>20833230</v>
      </c>
      <c r="F3139" s="52">
        <v>2117342.9</v>
      </c>
      <c r="G3139" s="53">
        <v>10.163296000000001</v>
      </c>
    </row>
    <row r="3140" spans="1:7">
      <c r="A3140" s="50" t="s">
        <v>343</v>
      </c>
      <c r="B3140" s="50" t="s">
        <v>124</v>
      </c>
      <c r="C3140" s="50" t="s">
        <v>332</v>
      </c>
      <c r="D3140" s="51">
        <v>99</v>
      </c>
      <c r="E3140" s="51">
        <v>587</v>
      </c>
      <c r="F3140" s="52">
        <v>76</v>
      </c>
      <c r="G3140" s="53">
        <v>12.947189</v>
      </c>
    </row>
    <row r="3141" spans="1:7">
      <c r="A3141" s="50" t="s">
        <v>1660</v>
      </c>
      <c r="B3141" s="50" t="s">
        <v>124</v>
      </c>
      <c r="C3141" s="50" t="s">
        <v>240</v>
      </c>
      <c r="D3141" s="51">
        <v>4941</v>
      </c>
      <c r="E3141" s="51">
        <v>92334</v>
      </c>
      <c r="F3141" s="52">
        <v>11170</v>
      </c>
      <c r="G3141" s="53">
        <v>12.097386</v>
      </c>
    </row>
    <row r="3142" spans="1:7">
      <c r="A3142" s="50" t="s">
        <v>2312</v>
      </c>
      <c r="B3142" s="50" t="s">
        <v>124</v>
      </c>
      <c r="C3142" s="50" t="s">
        <v>242</v>
      </c>
      <c r="D3142" s="51">
        <v>1246</v>
      </c>
      <c r="E3142" s="51">
        <v>26865</v>
      </c>
      <c r="F3142" s="52">
        <v>2432</v>
      </c>
      <c r="G3142" s="53">
        <v>9.0526707999999996</v>
      </c>
    </row>
    <row r="3143" spans="1:7">
      <c r="A3143" s="50" t="s">
        <v>1661</v>
      </c>
      <c r="B3143" s="50" t="s">
        <v>124</v>
      </c>
      <c r="C3143" s="50" t="s">
        <v>242</v>
      </c>
      <c r="D3143" s="51">
        <v>2908</v>
      </c>
      <c r="E3143" s="51">
        <v>35843</v>
      </c>
      <c r="F3143" s="52">
        <v>3382</v>
      </c>
      <c r="G3143" s="53">
        <v>9.4355940999999994</v>
      </c>
    </row>
    <row r="3144" spans="1:7">
      <c r="A3144" s="50" t="s">
        <v>1662</v>
      </c>
      <c r="B3144" s="50" t="s">
        <v>124</v>
      </c>
      <c r="C3144" s="50" t="s">
        <v>325</v>
      </c>
      <c r="D3144" s="51">
        <v>12141</v>
      </c>
      <c r="E3144" s="51">
        <v>226332</v>
      </c>
      <c r="F3144" s="52">
        <v>17855</v>
      </c>
      <c r="G3144" s="53">
        <v>7.8888534999999997</v>
      </c>
    </row>
    <row r="3145" spans="1:7">
      <c r="A3145" s="50" t="s">
        <v>1663</v>
      </c>
      <c r="B3145" s="50" t="s">
        <v>129</v>
      </c>
      <c r="C3145" s="50" t="s">
        <v>240</v>
      </c>
      <c r="D3145" s="51">
        <v>37607</v>
      </c>
      <c r="E3145" s="51">
        <v>515186</v>
      </c>
      <c r="F3145" s="52">
        <v>69348</v>
      </c>
      <c r="G3145" s="53">
        <v>13.46077</v>
      </c>
    </row>
    <row r="3146" spans="1:7">
      <c r="A3146" s="50" t="s">
        <v>1664</v>
      </c>
      <c r="B3146" s="50" t="s">
        <v>129</v>
      </c>
      <c r="C3146" s="50" t="s">
        <v>242</v>
      </c>
      <c r="D3146" s="51">
        <v>2024</v>
      </c>
      <c r="E3146" s="51">
        <v>37325</v>
      </c>
      <c r="F3146" s="52">
        <v>3898.7</v>
      </c>
      <c r="G3146" s="53">
        <v>10.445278</v>
      </c>
    </row>
    <row r="3147" spans="1:7">
      <c r="A3147" s="50" t="s">
        <v>1665</v>
      </c>
      <c r="B3147" s="50" t="s">
        <v>129</v>
      </c>
      <c r="C3147" s="50" t="s">
        <v>240</v>
      </c>
      <c r="D3147" s="51">
        <v>18850</v>
      </c>
      <c r="E3147" s="51">
        <v>332559</v>
      </c>
      <c r="F3147" s="52">
        <v>38753</v>
      </c>
      <c r="G3147" s="53">
        <v>11.65297</v>
      </c>
    </row>
    <row r="3148" spans="1:7">
      <c r="A3148" s="50" t="s">
        <v>739</v>
      </c>
      <c r="B3148" s="50" t="s">
        <v>129</v>
      </c>
      <c r="C3148" s="50" t="s">
        <v>240</v>
      </c>
      <c r="D3148" s="51">
        <v>9037</v>
      </c>
      <c r="E3148" s="51">
        <v>79252</v>
      </c>
      <c r="F3148" s="52">
        <v>14009.2</v>
      </c>
      <c r="G3148" s="53">
        <v>17.676777999999999</v>
      </c>
    </row>
    <row r="3149" spans="1:7">
      <c r="A3149" s="50" t="s">
        <v>2313</v>
      </c>
      <c r="B3149" s="50" t="s">
        <v>129</v>
      </c>
      <c r="C3149" s="50" t="s">
        <v>242</v>
      </c>
      <c r="D3149" s="51">
        <v>2096</v>
      </c>
      <c r="E3149" s="51">
        <v>57586</v>
      </c>
      <c r="F3149" s="52">
        <v>5001</v>
      </c>
      <c r="G3149" s="53">
        <v>8.6844024999999991</v>
      </c>
    </row>
    <row r="3150" spans="1:7">
      <c r="A3150" s="50" t="s">
        <v>1666</v>
      </c>
      <c r="B3150" s="50" t="s">
        <v>129</v>
      </c>
      <c r="C3150" s="50" t="s">
        <v>242</v>
      </c>
      <c r="D3150" s="51">
        <v>1842</v>
      </c>
      <c r="E3150" s="51">
        <v>34271</v>
      </c>
      <c r="F3150" s="52">
        <v>3671.2</v>
      </c>
      <c r="G3150" s="53">
        <v>10.712263999999999</v>
      </c>
    </row>
    <row r="3151" spans="1:7">
      <c r="A3151" s="50" t="s">
        <v>1667</v>
      </c>
      <c r="B3151" s="50" t="s">
        <v>129</v>
      </c>
      <c r="C3151" s="50" t="s">
        <v>242</v>
      </c>
      <c r="D3151" s="51">
        <v>6434</v>
      </c>
      <c r="E3151" s="51">
        <v>105714</v>
      </c>
      <c r="F3151" s="52">
        <v>11184.7</v>
      </c>
      <c r="G3151" s="53">
        <v>10.58015</v>
      </c>
    </row>
    <row r="3152" spans="1:7">
      <c r="A3152" s="50" t="s">
        <v>1668</v>
      </c>
      <c r="B3152" s="50" t="s">
        <v>129</v>
      </c>
      <c r="C3152" s="50" t="s">
        <v>240</v>
      </c>
      <c r="D3152" s="51">
        <v>8006</v>
      </c>
      <c r="E3152" s="51">
        <v>101362</v>
      </c>
      <c r="F3152" s="52">
        <v>16550.099999999999</v>
      </c>
      <c r="G3152" s="53">
        <v>16.327717</v>
      </c>
    </row>
    <row r="3153" spans="1:7">
      <c r="A3153" s="50" t="s">
        <v>1669</v>
      </c>
      <c r="B3153" s="50" t="s">
        <v>129</v>
      </c>
      <c r="C3153" s="50" t="s">
        <v>240</v>
      </c>
      <c r="D3153" s="51">
        <v>7582</v>
      </c>
      <c r="E3153" s="51">
        <v>102558</v>
      </c>
      <c r="F3153" s="52">
        <v>14565.7</v>
      </c>
      <c r="G3153" s="53">
        <v>14.202403</v>
      </c>
    </row>
    <row r="3154" spans="1:7">
      <c r="A3154" s="50" t="s">
        <v>2314</v>
      </c>
      <c r="B3154" s="50" t="s">
        <v>129</v>
      </c>
      <c r="C3154" s="50" t="s">
        <v>242</v>
      </c>
      <c r="D3154" s="51">
        <v>1621</v>
      </c>
      <c r="E3154" s="51">
        <v>87220</v>
      </c>
      <c r="F3154" s="52">
        <v>7055.3</v>
      </c>
      <c r="G3154" s="53">
        <v>8.0890851000000001</v>
      </c>
    </row>
    <row r="3155" spans="1:7">
      <c r="A3155" s="50" t="s">
        <v>2315</v>
      </c>
      <c r="B3155" s="50" t="s">
        <v>129</v>
      </c>
      <c r="C3155" s="50" t="s">
        <v>242</v>
      </c>
      <c r="D3155" s="51">
        <v>498</v>
      </c>
      <c r="E3155" s="51">
        <v>6478</v>
      </c>
      <c r="F3155" s="52">
        <v>562.5</v>
      </c>
      <c r="G3155" s="53">
        <v>8.6832355999999997</v>
      </c>
    </row>
    <row r="3156" spans="1:7">
      <c r="A3156" s="50" t="s">
        <v>2316</v>
      </c>
      <c r="B3156" s="50" t="s">
        <v>129</v>
      </c>
      <c r="C3156" s="50" t="s">
        <v>242</v>
      </c>
      <c r="D3156" s="51">
        <v>1836</v>
      </c>
      <c r="E3156" s="51">
        <v>80089</v>
      </c>
      <c r="F3156" s="52">
        <v>6864.1</v>
      </c>
      <c r="G3156" s="53">
        <v>8.5705901999999998</v>
      </c>
    </row>
    <row r="3157" spans="1:7">
      <c r="A3157" s="50" t="s">
        <v>1670</v>
      </c>
      <c r="B3157" s="50" t="s">
        <v>129</v>
      </c>
      <c r="C3157" s="50" t="s">
        <v>242</v>
      </c>
      <c r="D3157" s="51">
        <v>2774</v>
      </c>
      <c r="E3157" s="51">
        <v>57230</v>
      </c>
      <c r="F3157" s="52">
        <v>6437</v>
      </c>
      <c r="G3157" s="53">
        <v>11.247597000000001</v>
      </c>
    </row>
    <row r="3158" spans="1:7">
      <c r="A3158" s="50" t="s">
        <v>1671</v>
      </c>
      <c r="B3158" s="50" t="s">
        <v>129</v>
      </c>
      <c r="C3158" s="50" t="s">
        <v>242</v>
      </c>
      <c r="D3158" s="51">
        <v>1768</v>
      </c>
      <c r="E3158" s="51">
        <v>42601</v>
      </c>
      <c r="F3158" s="52">
        <v>3819.6</v>
      </c>
      <c r="G3158" s="53">
        <v>8.9659867000000002</v>
      </c>
    </row>
    <row r="3159" spans="1:7">
      <c r="A3159" s="50" t="s">
        <v>1672</v>
      </c>
      <c r="B3159" s="50" t="s">
        <v>129</v>
      </c>
      <c r="C3159" s="50" t="s">
        <v>242</v>
      </c>
      <c r="D3159" s="51">
        <v>2830</v>
      </c>
      <c r="E3159" s="51">
        <v>117121</v>
      </c>
      <c r="F3159" s="52">
        <v>10925</v>
      </c>
      <c r="G3159" s="53">
        <v>9.3279599999999991</v>
      </c>
    </row>
    <row r="3160" spans="1:7">
      <c r="A3160" s="50" t="s">
        <v>1673</v>
      </c>
      <c r="B3160" s="50" t="s">
        <v>129</v>
      </c>
      <c r="C3160" s="50" t="s">
        <v>242</v>
      </c>
      <c r="D3160" s="51">
        <v>2878</v>
      </c>
      <c r="E3160" s="51">
        <v>78806</v>
      </c>
      <c r="F3160" s="52">
        <v>7337.1</v>
      </c>
      <c r="G3160" s="53">
        <v>9.3103317000000008</v>
      </c>
    </row>
    <row r="3161" spans="1:7">
      <c r="A3161" s="50" t="s">
        <v>2317</v>
      </c>
      <c r="B3161" s="50" t="s">
        <v>129</v>
      </c>
      <c r="C3161" s="50" t="s">
        <v>242</v>
      </c>
      <c r="D3161" s="51">
        <v>871</v>
      </c>
      <c r="E3161" s="51">
        <v>12699</v>
      </c>
      <c r="F3161" s="52">
        <v>1311</v>
      </c>
      <c r="G3161" s="53">
        <v>10.323648</v>
      </c>
    </row>
    <row r="3162" spans="1:7">
      <c r="A3162" s="50" t="s">
        <v>1674</v>
      </c>
      <c r="B3162" s="50" t="s">
        <v>129</v>
      </c>
      <c r="C3162" s="50" t="s">
        <v>242</v>
      </c>
      <c r="D3162" s="51">
        <v>1098</v>
      </c>
      <c r="E3162" s="51">
        <v>17956</v>
      </c>
      <c r="F3162" s="52">
        <v>1957.9</v>
      </c>
      <c r="G3162" s="53">
        <v>10.903876</v>
      </c>
    </row>
    <row r="3163" spans="1:7">
      <c r="A3163" s="50" t="s">
        <v>2318</v>
      </c>
      <c r="B3163" s="50" t="s">
        <v>129</v>
      </c>
      <c r="C3163" s="50" t="s">
        <v>242</v>
      </c>
      <c r="D3163" s="51">
        <v>1421</v>
      </c>
      <c r="E3163" s="51">
        <v>36458</v>
      </c>
      <c r="F3163" s="52">
        <v>3971.7</v>
      </c>
      <c r="G3163" s="53">
        <v>10.893905</v>
      </c>
    </row>
    <row r="3164" spans="1:7">
      <c r="A3164" s="50" t="s">
        <v>1675</v>
      </c>
      <c r="B3164" s="50" t="s">
        <v>129</v>
      </c>
      <c r="C3164" s="50" t="s">
        <v>242</v>
      </c>
      <c r="D3164" s="51">
        <v>1556</v>
      </c>
      <c r="E3164" s="51">
        <v>30781</v>
      </c>
      <c r="F3164" s="52">
        <v>3142.2</v>
      </c>
      <c r="G3164" s="53">
        <v>10.208245</v>
      </c>
    </row>
    <row r="3165" spans="1:7">
      <c r="A3165" s="50" t="s">
        <v>1676</v>
      </c>
      <c r="B3165" s="50" t="s">
        <v>129</v>
      </c>
      <c r="C3165" s="50" t="s">
        <v>242</v>
      </c>
      <c r="D3165" s="51">
        <v>4967</v>
      </c>
      <c r="E3165" s="51">
        <v>118103</v>
      </c>
      <c r="F3165" s="52">
        <v>11959</v>
      </c>
      <c r="G3165" s="53">
        <v>10.125907</v>
      </c>
    </row>
    <row r="3166" spans="1:7">
      <c r="A3166" s="50" t="s">
        <v>2319</v>
      </c>
      <c r="B3166" s="50" t="s">
        <v>129</v>
      </c>
      <c r="C3166" s="50" t="s">
        <v>242</v>
      </c>
      <c r="D3166" s="51">
        <v>806</v>
      </c>
      <c r="E3166" s="51">
        <v>21144</v>
      </c>
      <c r="F3166" s="52">
        <v>1909</v>
      </c>
      <c r="G3166" s="53">
        <v>9.0285659999999996</v>
      </c>
    </row>
    <row r="3167" spans="1:7">
      <c r="A3167" s="50" t="s">
        <v>1677</v>
      </c>
      <c r="B3167" s="50" t="s">
        <v>129</v>
      </c>
      <c r="C3167" s="50" t="s">
        <v>242</v>
      </c>
      <c r="D3167" s="51">
        <v>4658</v>
      </c>
      <c r="E3167" s="51">
        <v>68630</v>
      </c>
      <c r="F3167" s="52">
        <v>7542.1</v>
      </c>
      <c r="G3167" s="53">
        <v>10.989509</v>
      </c>
    </row>
    <row r="3168" spans="1:7">
      <c r="A3168" s="50" t="s">
        <v>2320</v>
      </c>
      <c r="B3168" s="50" t="s">
        <v>129</v>
      </c>
      <c r="C3168" s="50" t="s">
        <v>242</v>
      </c>
      <c r="D3168" s="51">
        <v>1448</v>
      </c>
      <c r="E3168" s="51">
        <v>33609</v>
      </c>
      <c r="F3168" s="52">
        <v>2311.1999999999998</v>
      </c>
      <c r="G3168" s="53">
        <v>6.8767294000000003</v>
      </c>
    </row>
    <row r="3169" spans="1:7">
      <c r="A3169" s="50" t="s">
        <v>1678</v>
      </c>
      <c r="B3169" s="50" t="s">
        <v>129</v>
      </c>
      <c r="C3169" s="50" t="s">
        <v>242</v>
      </c>
      <c r="D3169" s="51">
        <v>15497</v>
      </c>
      <c r="E3169" s="51">
        <v>516533</v>
      </c>
      <c r="F3169" s="52">
        <v>43315.4</v>
      </c>
      <c r="G3169" s="53">
        <v>8.3857952999999998</v>
      </c>
    </row>
    <row r="3170" spans="1:7">
      <c r="A3170" s="50" t="s">
        <v>2321</v>
      </c>
      <c r="B3170" s="50" t="s">
        <v>129</v>
      </c>
      <c r="C3170" s="50" t="s">
        <v>242</v>
      </c>
      <c r="D3170" s="51">
        <v>2764</v>
      </c>
      <c r="E3170" s="51">
        <v>97702</v>
      </c>
      <c r="F3170" s="52">
        <v>8590.5</v>
      </c>
      <c r="G3170" s="53">
        <v>8.7925529000000004</v>
      </c>
    </row>
    <row r="3171" spans="1:7">
      <c r="A3171" s="50" t="s">
        <v>1679</v>
      </c>
      <c r="B3171" s="50" t="s">
        <v>129</v>
      </c>
      <c r="C3171" s="50" t="s">
        <v>242</v>
      </c>
      <c r="D3171" s="51">
        <v>1754</v>
      </c>
      <c r="E3171" s="51">
        <v>28312</v>
      </c>
      <c r="F3171" s="52">
        <v>3162.1</v>
      </c>
      <c r="G3171" s="53">
        <v>11.168761999999999</v>
      </c>
    </row>
    <row r="3172" spans="1:7">
      <c r="A3172" s="50" t="s">
        <v>1680</v>
      </c>
      <c r="B3172" s="50" t="s">
        <v>129</v>
      </c>
      <c r="C3172" s="50" t="s">
        <v>242</v>
      </c>
      <c r="D3172" s="51">
        <v>13567</v>
      </c>
      <c r="E3172" s="51">
        <v>365977</v>
      </c>
      <c r="F3172" s="52">
        <v>29875</v>
      </c>
      <c r="G3172" s="53">
        <v>8.1630813</v>
      </c>
    </row>
    <row r="3173" spans="1:7">
      <c r="A3173" s="50" t="s">
        <v>1681</v>
      </c>
      <c r="B3173" s="50" t="s">
        <v>129</v>
      </c>
      <c r="C3173" s="50" t="s">
        <v>242</v>
      </c>
      <c r="D3173" s="51">
        <v>3253</v>
      </c>
      <c r="E3173" s="51">
        <v>123798</v>
      </c>
      <c r="F3173" s="52">
        <v>9937</v>
      </c>
      <c r="G3173" s="53">
        <v>8.0267856000000002</v>
      </c>
    </row>
    <row r="3174" spans="1:7">
      <c r="A3174" s="50" t="s">
        <v>1682</v>
      </c>
      <c r="B3174" s="50" t="s">
        <v>129</v>
      </c>
      <c r="C3174" s="50" t="s">
        <v>242</v>
      </c>
      <c r="D3174" s="51">
        <v>9028</v>
      </c>
      <c r="E3174" s="51">
        <v>547897</v>
      </c>
      <c r="F3174" s="52">
        <v>39694.699999999997</v>
      </c>
      <c r="G3174" s="53">
        <v>7.2449200999999999</v>
      </c>
    </row>
    <row r="3175" spans="1:7">
      <c r="A3175" s="50" t="s">
        <v>1683</v>
      </c>
      <c r="B3175" s="50" t="s">
        <v>129</v>
      </c>
      <c r="C3175" s="50" t="s">
        <v>242</v>
      </c>
      <c r="D3175" s="51">
        <v>2492</v>
      </c>
      <c r="E3175" s="51">
        <v>40378</v>
      </c>
      <c r="F3175" s="52">
        <v>4566.6000000000004</v>
      </c>
      <c r="G3175" s="53">
        <v>11.309623999999999</v>
      </c>
    </row>
    <row r="3176" spans="1:7">
      <c r="A3176" s="50" t="s">
        <v>2322</v>
      </c>
      <c r="B3176" s="50" t="s">
        <v>129</v>
      </c>
      <c r="C3176" s="50" t="s">
        <v>242</v>
      </c>
      <c r="D3176" s="51">
        <v>895</v>
      </c>
      <c r="E3176" s="51">
        <v>24956</v>
      </c>
      <c r="F3176" s="52">
        <v>1985</v>
      </c>
      <c r="G3176" s="53">
        <v>7.9539989999999996</v>
      </c>
    </row>
    <row r="3177" spans="1:7">
      <c r="A3177" s="50" t="s">
        <v>1684</v>
      </c>
      <c r="B3177" s="50" t="s">
        <v>129</v>
      </c>
      <c r="C3177" s="50" t="s">
        <v>242</v>
      </c>
      <c r="D3177" s="51">
        <v>4859</v>
      </c>
      <c r="E3177" s="51">
        <v>98103</v>
      </c>
      <c r="F3177" s="52">
        <v>9455.9</v>
      </c>
      <c r="G3177" s="53">
        <v>9.6387470000000004</v>
      </c>
    </row>
    <row r="3178" spans="1:7">
      <c r="A3178" s="50" t="s">
        <v>1685</v>
      </c>
      <c r="B3178" s="50" t="s">
        <v>129</v>
      </c>
      <c r="C3178" s="50" t="s">
        <v>242</v>
      </c>
      <c r="D3178" s="51">
        <v>8482</v>
      </c>
      <c r="E3178" s="51">
        <v>259281</v>
      </c>
      <c r="F3178" s="52">
        <v>23390.799999999999</v>
      </c>
      <c r="G3178" s="53">
        <v>9.0214092000000008</v>
      </c>
    </row>
    <row r="3179" spans="1:7">
      <c r="A3179" s="50" t="s">
        <v>2323</v>
      </c>
      <c r="B3179" s="50" t="s">
        <v>129</v>
      </c>
      <c r="C3179" s="50" t="s">
        <v>242</v>
      </c>
      <c r="D3179" s="51">
        <v>843</v>
      </c>
      <c r="E3179" s="51">
        <v>10147</v>
      </c>
      <c r="F3179" s="52">
        <v>1124.0999999999999</v>
      </c>
      <c r="G3179" s="53">
        <v>11.078151</v>
      </c>
    </row>
    <row r="3180" spans="1:7">
      <c r="A3180" s="50" t="s">
        <v>1686</v>
      </c>
      <c r="B3180" s="50" t="s">
        <v>129</v>
      </c>
      <c r="C3180" s="50" t="s">
        <v>242</v>
      </c>
      <c r="D3180" s="51">
        <v>2952</v>
      </c>
      <c r="E3180" s="51">
        <v>110371</v>
      </c>
      <c r="F3180" s="52">
        <v>9388.1</v>
      </c>
      <c r="G3180" s="53">
        <v>8.5059480999999995</v>
      </c>
    </row>
    <row r="3181" spans="1:7">
      <c r="A3181" s="50" t="s">
        <v>1687</v>
      </c>
      <c r="B3181" s="50" t="s">
        <v>129</v>
      </c>
      <c r="C3181" s="50" t="s">
        <v>242</v>
      </c>
      <c r="D3181" s="51">
        <v>6605</v>
      </c>
      <c r="E3181" s="51">
        <v>126660</v>
      </c>
      <c r="F3181" s="52">
        <v>13083</v>
      </c>
      <c r="G3181" s="53">
        <v>10.329228000000001</v>
      </c>
    </row>
    <row r="3182" spans="1:7">
      <c r="A3182" s="50" t="s">
        <v>1688</v>
      </c>
      <c r="B3182" s="50" t="s">
        <v>129</v>
      </c>
      <c r="C3182" s="50" t="s">
        <v>242</v>
      </c>
      <c r="D3182" s="51">
        <v>4676</v>
      </c>
      <c r="E3182" s="51">
        <v>177319</v>
      </c>
      <c r="F3182" s="52">
        <v>15166</v>
      </c>
      <c r="G3182" s="53">
        <v>8.5529469000000002</v>
      </c>
    </row>
    <row r="3183" spans="1:7">
      <c r="A3183" s="50" t="s">
        <v>2324</v>
      </c>
      <c r="B3183" s="50" t="s">
        <v>129</v>
      </c>
      <c r="C3183" s="50" t="s">
        <v>242</v>
      </c>
      <c r="D3183" s="51">
        <v>751</v>
      </c>
      <c r="E3183" s="51">
        <v>11039</v>
      </c>
      <c r="F3183" s="52">
        <v>1270</v>
      </c>
      <c r="G3183" s="53">
        <v>11.504664999999999</v>
      </c>
    </row>
    <row r="3184" spans="1:7">
      <c r="A3184" s="50" t="s">
        <v>2325</v>
      </c>
      <c r="B3184" s="50" t="s">
        <v>129</v>
      </c>
      <c r="C3184" s="50" t="s">
        <v>242</v>
      </c>
      <c r="D3184" s="51">
        <v>1870</v>
      </c>
      <c r="E3184" s="51">
        <v>31091</v>
      </c>
      <c r="F3184" s="52">
        <v>3314.8</v>
      </c>
      <c r="G3184" s="53">
        <v>10.661606000000001</v>
      </c>
    </row>
    <row r="3185" spans="1:7">
      <c r="A3185" s="50" t="s">
        <v>1689</v>
      </c>
      <c r="B3185" s="50" t="s">
        <v>129</v>
      </c>
      <c r="C3185" s="50" t="s">
        <v>242</v>
      </c>
      <c r="D3185" s="51">
        <v>8822</v>
      </c>
      <c r="E3185" s="51">
        <v>143178</v>
      </c>
      <c r="F3185" s="52">
        <v>14469.2</v>
      </c>
      <c r="G3185" s="53">
        <v>10.105743</v>
      </c>
    </row>
    <row r="3186" spans="1:7">
      <c r="A3186" s="50" t="s">
        <v>1690</v>
      </c>
      <c r="B3186" s="50" t="s">
        <v>129</v>
      </c>
      <c r="C3186" s="50" t="s">
        <v>242</v>
      </c>
      <c r="D3186" s="51">
        <v>8959</v>
      </c>
      <c r="E3186" s="51">
        <v>145783</v>
      </c>
      <c r="F3186" s="52">
        <v>14406.6</v>
      </c>
      <c r="G3186" s="53">
        <v>9.8822221999999993</v>
      </c>
    </row>
    <row r="3187" spans="1:7">
      <c r="A3187" s="50" t="s">
        <v>1691</v>
      </c>
      <c r="B3187" s="50" t="s">
        <v>129</v>
      </c>
      <c r="C3187" s="50" t="s">
        <v>242</v>
      </c>
      <c r="D3187" s="51">
        <v>1231</v>
      </c>
      <c r="E3187" s="51">
        <v>24044</v>
      </c>
      <c r="F3187" s="52">
        <v>2572.1999999999998</v>
      </c>
      <c r="G3187" s="53">
        <v>10.697887</v>
      </c>
    </row>
    <row r="3188" spans="1:7">
      <c r="A3188" s="50" t="s">
        <v>1692</v>
      </c>
      <c r="B3188" s="50" t="s">
        <v>129</v>
      </c>
      <c r="C3188" s="50" t="s">
        <v>240</v>
      </c>
      <c r="D3188" s="51">
        <v>9266</v>
      </c>
      <c r="E3188" s="51">
        <v>196883</v>
      </c>
      <c r="F3188" s="52">
        <v>23455.7</v>
      </c>
      <c r="G3188" s="53">
        <v>11.913522</v>
      </c>
    </row>
    <row r="3189" spans="1:7">
      <c r="A3189" s="50" t="s">
        <v>1693</v>
      </c>
      <c r="B3189" s="50" t="s">
        <v>129</v>
      </c>
      <c r="C3189" s="50" t="s">
        <v>237</v>
      </c>
      <c r="D3189" s="51">
        <v>104</v>
      </c>
      <c r="E3189" s="51">
        <v>959391</v>
      </c>
      <c r="F3189" s="52">
        <v>48507.5</v>
      </c>
      <c r="G3189" s="53">
        <v>5.0560720000000003</v>
      </c>
    </row>
    <row r="3190" spans="1:7">
      <c r="A3190" s="50" t="s">
        <v>1694</v>
      </c>
      <c r="B3190" s="50" t="s">
        <v>129</v>
      </c>
      <c r="C3190" s="50" t="s">
        <v>237</v>
      </c>
      <c r="D3190" s="51">
        <v>11756</v>
      </c>
      <c r="E3190" s="51">
        <v>105201</v>
      </c>
      <c r="F3190" s="52">
        <v>13273</v>
      </c>
      <c r="G3190" s="53">
        <v>12.6168</v>
      </c>
    </row>
    <row r="3191" spans="1:7">
      <c r="A3191" s="50" t="s">
        <v>1695</v>
      </c>
      <c r="B3191" s="50" t="s">
        <v>129</v>
      </c>
      <c r="C3191" s="50" t="s">
        <v>240</v>
      </c>
      <c r="D3191" s="51">
        <v>10057</v>
      </c>
      <c r="E3191" s="51">
        <v>214804</v>
      </c>
      <c r="F3191" s="52">
        <v>24881</v>
      </c>
      <c r="G3191" s="53">
        <v>11.583118000000001</v>
      </c>
    </row>
    <row r="3192" spans="1:7">
      <c r="A3192" s="50" t="s">
        <v>782</v>
      </c>
      <c r="B3192" s="50" t="s">
        <v>129</v>
      </c>
      <c r="C3192" s="50" t="s">
        <v>240</v>
      </c>
      <c r="D3192" s="51">
        <v>5271</v>
      </c>
      <c r="E3192" s="51">
        <v>53745</v>
      </c>
      <c r="F3192" s="52">
        <v>7674.2</v>
      </c>
      <c r="G3192" s="53">
        <v>14.27891</v>
      </c>
    </row>
    <row r="3193" spans="1:7">
      <c r="A3193" s="50" t="s">
        <v>1696</v>
      </c>
      <c r="B3193" s="50" t="s">
        <v>129</v>
      </c>
      <c r="C3193" s="50" t="s">
        <v>240</v>
      </c>
      <c r="D3193" s="51">
        <v>11325</v>
      </c>
      <c r="E3193" s="51">
        <v>197462</v>
      </c>
      <c r="F3193" s="52">
        <v>25734</v>
      </c>
      <c r="G3193" s="53">
        <v>13.032381000000001</v>
      </c>
    </row>
    <row r="3194" spans="1:7">
      <c r="A3194" s="50" t="s">
        <v>1697</v>
      </c>
      <c r="B3194" s="50" t="s">
        <v>129</v>
      </c>
      <c r="C3194" s="50" t="s">
        <v>242</v>
      </c>
      <c r="D3194" s="51">
        <v>1523</v>
      </c>
      <c r="E3194" s="51">
        <v>17010</v>
      </c>
      <c r="F3194" s="52">
        <v>2188.1</v>
      </c>
      <c r="G3194" s="53">
        <v>12.86361</v>
      </c>
    </row>
    <row r="3195" spans="1:7">
      <c r="A3195" s="50" t="s">
        <v>1821</v>
      </c>
      <c r="B3195" s="50" t="s">
        <v>129</v>
      </c>
      <c r="C3195" s="50" t="s">
        <v>332</v>
      </c>
      <c r="D3195" s="51">
        <v>1</v>
      </c>
      <c r="E3195" s="51">
        <v>6119</v>
      </c>
      <c r="F3195" s="52">
        <v>630.70000000000005</v>
      </c>
      <c r="G3195" s="53">
        <v>10.30724</v>
      </c>
    </row>
    <row r="3196" spans="1:7">
      <c r="A3196" s="50" t="s">
        <v>1698</v>
      </c>
      <c r="B3196" s="50" t="s">
        <v>129</v>
      </c>
      <c r="C3196" s="50" t="s">
        <v>242</v>
      </c>
      <c r="D3196" s="51">
        <v>7507</v>
      </c>
      <c r="E3196" s="51">
        <v>322633</v>
      </c>
      <c r="F3196" s="52">
        <v>25926.7</v>
      </c>
      <c r="G3196" s="53">
        <v>8.0359727999999997</v>
      </c>
    </row>
    <row r="3197" spans="1:7">
      <c r="A3197" s="50" t="s">
        <v>1699</v>
      </c>
      <c r="B3197" s="50" t="s">
        <v>129</v>
      </c>
      <c r="C3197" s="50" t="s">
        <v>242</v>
      </c>
      <c r="D3197" s="51">
        <v>1576</v>
      </c>
      <c r="E3197" s="51">
        <v>18438</v>
      </c>
      <c r="F3197" s="52">
        <v>2329.6</v>
      </c>
      <c r="G3197" s="53">
        <v>12.634776</v>
      </c>
    </row>
    <row r="3198" spans="1:7">
      <c r="A3198" s="50" t="s">
        <v>1700</v>
      </c>
      <c r="B3198" s="50" t="s">
        <v>129</v>
      </c>
      <c r="C3198" s="50" t="s">
        <v>240</v>
      </c>
      <c r="D3198" s="51">
        <v>7735</v>
      </c>
      <c r="E3198" s="51">
        <v>197275</v>
      </c>
      <c r="F3198" s="52">
        <v>21713</v>
      </c>
      <c r="G3198" s="53">
        <v>11.006463</v>
      </c>
    </row>
    <row r="3199" spans="1:7">
      <c r="A3199" s="50" t="s">
        <v>1701</v>
      </c>
      <c r="B3199" s="50" t="s">
        <v>129</v>
      </c>
      <c r="C3199" s="50" t="s">
        <v>242</v>
      </c>
      <c r="D3199" s="51">
        <v>4136</v>
      </c>
      <c r="E3199" s="51">
        <v>96816</v>
      </c>
      <c r="F3199" s="52">
        <v>9376.5</v>
      </c>
      <c r="G3199" s="53">
        <v>9.6848661000000007</v>
      </c>
    </row>
    <row r="3200" spans="1:7">
      <c r="A3200" s="50" t="s">
        <v>1702</v>
      </c>
      <c r="B3200" s="50" t="s">
        <v>129</v>
      </c>
      <c r="C3200" s="50" t="s">
        <v>240</v>
      </c>
      <c r="D3200" s="51">
        <v>9519</v>
      </c>
      <c r="E3200" s="51">
        <v>96695</v>
      </c>
      <c r="F3200" s="52">
        <v>14972.4</v>
      </c>
      <c r="G3200" s="53">
        <v>15.484151000000001</v>
      </c>
    </row>
    <row r="3201" spans="1:7">
      <c r="A3201" s="50" t="s">
        <v>1703</v>
      </c>
      <c r="B3201" s="50" t="s">
        <v>129</v>
      </c>
      <c r="C3201" s="50" t="s">
        <v>242</v>
      </c>
      <c r="D3201" s="51">
        <v>1128</v>
      </c>
      <c r="E3201" s="51">
        <v>43558</v>
      </c>
      <c r="F3201" s="52">
        <v>3963.9</v>
      </c>
      <c r="G3201" s="53">
        <v>9.1002801000000009</v>
      </c>
    </row>
    <row r="3202" spans="1:7">
      <c r="A3202" s="50" t="s">
        <v>2326</v>
      </c>
      <c r="B3202" s="50" t="s">
        <v>129</v>
      </c>
      <c r="C3202" s="50" t="s">
        <v>242</v>
      </c>
      <c r="D3202" s="51">
        <v>560</v>
      </c>
      <c r="E3202" s="51">
        <v>6486</v>
      </c>
      <c r="F3202" s="52">
        <v>676</v>
      </c>
      <c r="G3202" s="53">
        <v>10.422447999999999</v>
      </c>
    </row>
    <row r="3203" spans="1:7">
      <c r="A3203" s="50" t="s">
        <v>1704</v>
      </c>
      <c r="B3203" s="50" t="s">
        <v>129</v>
      </c>
      <c r="C3203" s="50" t="s">
        <v>242</v>
      </c>
      <c r="D3203" s="51">
        <v>4210</v>
      </c>
      <c r="E3203" s="51">
        <v>62528</v>
      </c>
      <c r="F3203" s="52">
        <v>7476.2</v>
      </c>
      <c r="G3203" s="53">
        <v>11.956562999999999</v>
      </c>
    </row>
    <row r="3204" spans="1:7">
      <c r="A3204" s="50" t="s">
        <v>339</v>
      </c>
      <c r="B3204" s="50" t="s">
        <v>129</v>
      </c>
      <c r="C3204" s="50" t="s">
        <v>332</v>
      </c>
      <c r="D3204" s="51">
        <v>3</v>
      </c>
      <c r="E3204" s="51">
        <v>505</v>
      </c>
      <c r="F3204" s="52">
        <v>39.4</v>
      </c>
      <c r="G3204" s="53">
        <v>7.8019802</v>
      </c>
    </row>
    <row r="3205" spans="1:7">
      <c r="A3205" s="50" t="s">
        <v>1705</v>
      </c>
      <c r="B3205" s="50" t="s">
        <v>129</v>
      </c>
      <c r="C3205" s="50" t="s">
        <v>237</v>
      </c>
      <c r="D3205" s="51">
        <v>156833</v>
      </c>
      <c r="E3205" s="51">
        <v>3217067</v>
      </c>
      <c r="F3205" s="52">
        <v>393893</v>
      </c>
      <c r="G3205" s="53">
        <v>12.243854000000001</v>
      </c>
    </row>
    <row r="3206" spans="1:7">
      <c r="A3206" s="50" t="s">
        <v>1706</v>
      </c>
      <c r="B3206" s="50" t="s">
        <v>129</v>
      </c>
      <c r="C3206" s="50" t="s">
        <v>242</v>
      </c>
      <c r="D3206" s="51">
        <v>18145</v>
      </c>
      <c r="E3206" s="51">
        <v>518927</v>
      </c>
      <c r="F3206" s="52">
        <v>41009</v>
      </c>
      <c r="G3206" s="53">
        <v>7.9026529999999999</v>
      </c>
    </row>
    <row r="3207" spans="1:7">
      <c r="A3207" s="50" t="s">
        <v>1707</v>
      </c>
      <c r="B3207" s="50" t="s">
        <v>129</v>
      </c>
      <c r="C3207" s="50" t="s">
        <v>242</v>
      </c>
      <c r="D3207" s="51">
        <v>3926</v>
      </c>
      <c r="E3207" s="51">
        <v>174810</v>
      </c>
      <c r="F3207" s="52">
        <v>14824</v>
      </c>
      <c r="G3207" s="53">
        <v>8.4800640999999999</v>
      </c>
    </row>
    <row r="3208" spans="1:7">
      <c r="A3208" s="50" t="s">
        <v>1708</v>
      </c>
      <c r="B3208" s="50" t="s">
        <v>129</v>
      </c>
      <c r="C3208" s="50" t="s">
        <v>237</v>
      </c>
      <c r="D3208" s="51">
        <v>5155</v>
      </c>
      <c r="E3208" s="51">
        <v>34858</v>
      </c>
      <c r="F3208" s="52">
        <v>5100.2</v>
      </c>
      <c r="G3208" s="53">
        <v>14.631361999999999</v>
      </c>
    </row>
    <row r="3209" spans="1:7">
      <c r="A3209" s="50" t="s">
        <v>1844</v>
      </c>
      <c r="B3209" s="50" t="s">
        <v>129</v>
      </c>
      <c r="C3209" s="50" t="s">
        <v>237</v>
      </c>
      <c r="D3209" s="51">
        <v>252130</v>
      </c>
      <c r="E3209" s="51">
        <v>6650584</v>
      </c>
      <c r="F3209" s="52">
        <v>680718.9</v>
      </c>
      <c r="G3209" s="53">
        <v>10.235476</v>
      </c>
    </row>
    <row r="3210" spans="1:7">
      <c r="A3210" s="50" t="s">
        <v>793</v>
      </c>
      <c r="B3210" s="50" t="s">
        <v>129</v>
      </c>
      <c r="C3210" s="50" t="s">
        <v>237</v>
      </c>
      <c r="D3210" s="51">
        <v>13249</v>
      </c>
      <c r="E3210" s="51">
        <v>173790</v>
      </c>
      <c r="F3210" s="52">
        <v>20887.400000000001</v>
      </c>
      <c r="G3210" s="53">
        <v>12.018758</v>
      </c>
    </row>
    <row r="3211" spans="1:7">
      <c r="A3211" s="50" t="s">
        <v>1709</v>
      </c>
      <c r="B3211" s="50" t="s">
        <v>129</v>
      </c>
      <c r="C3211" s="50" t="s">
        <v>240</v>
      </c>
      <c r="D3211" s="51">
        <v>17036</v>
      </c>
      <c r="E3211" s="51">
        <v>347036</v>
      </c>
      <c r="F3211" s="52">
        <v>39817</v>
      </c>
      <c r="G3211" s="53">
        <v>11.473449</v>
      </c>
    </row>
    <row r="3212" spans="1:7">
      <c r="A3212" s="50" t="s">
        <v>1710</v>
      </c>
      <c r="B3212" s="50" t="s">
        <v>129</v>
      </c>
      <c r="C3212" s="50" t="s">
        <v>242</v>
      </c>
      <c r="D3212" s="51">
        <v>10064</v>
      </c>
      <c r="E3212" s="51">
        <v>222470</v>
      </c>
      <c r="F3212" s="52">
        <v>23267.8</v>
      </c>
      <c r="G3212" s="53">
        <v>10.458848</v>
      </c>
    </row>
    <row r="3213" spans="1:7">
      <c r="A3213" s="50" t="s">
        <v>1711</v>
      </c>
      <c r="B3213" s="50" t="s">
        <v>129</v>
      </c>
      <c r="C3213" s="50" t="s">
        <v>240</v>
      </c>
      <c r="D3213" s="51">
        <v>9904</v>
      </c>
      <c r="E3213" s="51">
        <v>114259</v>
      </c>
      <c r="F3213" s="52">
        <v>15709</v>
      </c>
      <c r="G3213" s="53">
        <v>13.748589000000001</v>
      </c>
    </row>
    <row r="3214" spans="1:7">
      <c r="A3214" s="50" t="s">
        <v>1712</v>
      </c>
      <c r="B3214" s="50" t="s">
        <v>129</v>
      </c>
      <c r="C3214" s="50" t="s">
        <v>242</v>
      </c>
      <c r="D3214" s="51">
        <v>1637</v>
      </c>
      <c r="E3214" s="51">
        <v>26229</v>
      </c>
      <c r="F3214" s="52">
        <v>3065.8</v>
      </c>
      <c r="G3214" s="53">
        <v>11.688589</v>
      </c>
    </row>
    <row r="3215" spans="1:7">
      <c r="A3215" s="50" t="s">
        <v>1713</v>
      </c>
      <c r="B3215" s="50" t="s">
        <v>129</v>
      </c>
      <c r="C3215" s="50" t="s">
        <v>240</v>
      </c>
      <c r="D3215" s="51">
        <v>7633</v>
      </c>
      <c r="E3215" s="51">
        <v>120799</v>
      </c>
      <c r="F3215" s="52">
        <v>17707.8</v>
      </c>
      <c r="G3215" s="53">
        <v>14.658896</v>
      </c>
    </row>
    <row r="3216" spans="1:7">
      <c r="A3216" s="50" t="s">
        <v>1714</v>
      </c>
      <c r="B3216" s="50" t="s">
        <v>129</v>
      </c>
      <c r="C3216" s="50" t="s">
        <v>237</v>
      </c>
      <c r="D3216" s="51">
        <v>2151</v>
      </c>
      <c r="E3216" s="51">
        <v>17044</v>
      </c>
      <c r="F3216" s="52">
        <v>2602</v>
      </c>
      <c r="G3216" s="53">
        <v>15.266368999999999</v>
      </c>
    </row>
    <row r="3217" spans="1:7">
      <c r="A3217" s="50" t="s">
        <v>1715</v>
      </c>
      <c r="B3217" s="50" t="s">
        <v>129</v>
      </c>
      <c r="C3217" s="50" t="s">
        <v>240</v>
      </c>
      <c r="D3217" s="51">
        <v>20800</v>
      </c>
      <c r="E3217" s="51">
        <v>236611</v>
      </c>
      <c r="F3217" s="52">
        <v>32950.400000000001</v>
      </c>
      <c r="G3217" s="53">
        <v>13.925979999999999</v>
      </c>
    </row>
    <row r="3218" spans="1:7">
      <c r="A3218" s="50" t="s">
        <v>1716</v>
      </c>
      <c r="B3218" s="50" t="s">
        <v>129</v>
      </c>
      <c r="C3218" s="50" t="s">
        <v>240</v>
      </c>
      <c r="D3218" s="51">
        <v>9240</v>
      </c>
      <c r="E3218" s="51">
        <v>67543</v>
      </c>
      <c r="F3218" s="52">
        <v>13393.9</v>
      </c>
      <c r="G3218" s="53">
        <v>19.830182000000001</v>
      </c>
    </row>
    <row r="3219" spans="1:7">
      <c r="A3219" s="50" t="s">
        <v>1717</v>
      </c>
      <c r="B3219" s="50" t="s">
        <v>129</v>
      </c>
      <c r="C3219" s="50" t="s">
        <v>242</v>
      </c>
      <c r="D3219" s="51">
        <v>5129</v>
      </c>
      <c r="E3219" s="51">
        <v>234604</v>
      </c>
      <c r="F3219" s="52">
        <v>22122.9</v>
      </c>
      <c r="G3219" s="53">
        <v>9.4298903999999997</v>
      </c>
    </row>
    <row r="3220" spans="1:7">
      <c r="A3220" s="50" t="s">
        <v>1718</v>
      </c>
      <c r="B3220" s="50" t="s">
        <v>129</v>
      </c>
      <c r="C3220" s="50" t="s">
        <v>242</v>
      </c>
      <c r="D3220" s="51">
        <v>5988</v>
      </c>
      <c r="E3220" s="51">
        <v>159181</v>
      </c>
      <c r="F3220" s="52">
        <v>14349</v>
      </c>
      <c r="G3220" s="53">
        <v>9.0142667999999997</v>
      </c>
    </row>
    <row r="3221" spans="1:7">
      <c r="A3221" s="50" t="s">
        <v>2327</v>
      </c>
      <c r="B3221" s="50" t="s">
        <v>129</v>
      </c>
      <c r="C3221" s="50" t="s">
        <v>240</v>
      </c>
      <c r="D3221" s="51">
        <v>3769</v>
      </c>
      <c r="E3221" s="51">
        <v>48368</v>
      </c>
      <c r="F3221" s="52">
        <v>7929</v>
      </c>
      <c r="G3221" s="53">
        <v>16.393070000000002</v>
      </c>
    </row>
    <row r="3222" spans="1:7">
      <c r="A3222" s="50" t="s">
        <v>1719</v>
      </c>
      <c r="B3222" s="50" t="s">
        <v>129</v>
      </c>
      <c r="C3222" s="50" t="s">
        <v>240</v>
      </c>
      <c r="D3222" s="51">
        <v>18259</v>
      </c>
      <c r="E3222" s="51">
        <v>281108</v>
      </c>
      <c r="F3222" s="52">
        <v>37615.800000000003</v>
      </c>
      <c r="G3222" s="53">
        <v>13.381263000000001</v>
      </c>
    </row>
    <row r="3223" spans="1:7">
      <c r="A3223" s="50" t="s">
        <v>579</v>
      </c>
      <c r="B3223" s="50" t="s">
        <v>129</v>
      </c>
      <c r="C3223" s="50" t="s">
        <v>240</v>
      </c>
      <c r="D3223" s="51">
        <v>7480</v>
      </c>
      <c r="E3223" s="51">
        <v>303747</v>
      </c>
      <c r="F3223" s="52">
        <v>23649</v>
      </c>
      <c r="G3223" s="53">
        <v>7.7857558999999998</v>
      </c>
    </row>
    <row r="3224" spans="1:7">
      <c r="A3224" s="50" t="s">
        <v>580</v>
      </c>
      <c r="B3224" s="50" t="s">
        <v>129</v>
      </c>
      <c r="C3224" s="50" t="s">
        <v>240</v>
      </c>
      <c r="D3224" s="51">
        <v>14188</v>
      </c>
      <c r="E3224" s="51">
        <v>226924</v>
      </c>
      <c r="F3224" s="52">
        <v>30024</v>
      </c>
      <c r="G3224" s="53">
        <v>13.230861000000001</v>
      </c>
    </row>
    <row r="3225" spans="1:7">
      <c r="A3225" s="50" t="s">
        <v>1720</v>
      </c>
      <c r="B3225" s="50" t="s">
        <v>129</v>
      </c>
      <c r="C3225" s="50" t="s">
        <v>242</v>
      </c>
      <c r="D3225" s="51">
        <v>5721</v>
      </c>
      <c r="E3225" s="51">
        <v>286755</v>
      </c>
      <c r="F3225" s="52">
        <v>22490</v>
      </c>
      <c r="G3225" s="53">
        <v>7.8429320999999996</v>
      </c>
    </row>
    <row r="3226" spans="1:7">
      <c r="A3226" s="50" t="s">
        <v>1721</v>
      </c>
      <c r="B3226" s="50" t="s">
        <v>129</v>
      </c>
      <c r="C3226" s="50" t="s">
        <v>242</v>
      </c>
      <c r="D3226" s="51">
        <v>2547</v>
      </c>
      <c r="E3226" s="51">
        <v>39839</v>
      </c>
      <c r="F3226" s="52">
        <v>4386.3</v>
      </c>
      <c r="G3226" s="53">
        <v>11.010066</v>
      </c>
    </row>
    <row r="3227" spans="1:7">
      <c r="A3227" s="50" t="s">
        <v>1722</v>
      </c>
      <c r="B3227" s="50" t="s">
        <v>129</v>
      </c>
      <c r="C3227" s="50" t="s">
        <v>240</v>
      </c>
      <c r="D3227" s="51">
        <v>10916</v>
      </c>
      <c r="E3227" s="51">
        <v>192517</v>
      </c>
      <c r="F3227" s="52">
        <v>22881</v>
      </c>
      <c r="G3227" s="53">
        <v>11.885184000000001</v>
      </c>
    </row>
    <row r="3228" spans="1:7">
      <c r="A3228" s="50" t="s">
        <v>1723</v>
      </c>
      <c r="B3228" s="50" t="s">
        <v>129</v>
      </c>
      <c r="C3228" s="50" t="s">
        <v>242</v>
      </c>
      <c r="D3228" s="51">
        <v>16401</v>
      </c>
      <c r="E3228" s="51">
        <v>285309</v>
      </c>
      <c r="F3228" s="52">
        <v>26788</v>
      </c>
      <c r="G3228" s="53">
        <v>9.3891185000000004</v>
      </c>
    </row>
    <row r="3229" spans="1:7">
      <c r="A3229" s="50" t="s">
        <v>2328</v>
      </c>
      <c r="B3229" s="50" t="s">
        <v>129</v>
      </c>
      <c r="C3229" s="50" t="s">
        <v>237</v>
      </c>
      <c r="D3229" s="51">
        <v>14952</v>
      </c>
      <c r="E3229" s="51">
        <v>784218</v>
      </c>
      <c r="F3229" s="52">
        <v>57897</v>
      </c>
      <c r="G3229" s="53">
        <v>7.3827686000000003</v>
      </c>
    </row>
    <row r="3230" spans="1:7">
      <c r="A3230" s="50" t="s">
        <v>1724</v>
      </c>
      <c r="B3230" s="50" t="s">
        <v>129</v>
      </c>
      <c r="C3230" s="50" t="s">
        <v>240</v>
      </c>
      <c r="D3230" s="51">
        <v>4414</v>
      </c>
      <c r="E3230" s="51">
        <v>69237</v>
      </c>
      <c r="F3230" s="52">
        <v>9750.2999999999993</v>
      </c>
      <c r="G3230" s="53">
        <v>14.082499</v>
      </c>
    </row>
    <row r="3231" spans="1:7">
      <c r="A3231" s="50" t="s">
        <v>1725</v>
      </c>
      <c r="B3231" s="50" t="s">
        <v>129</v>
      </c>
      <c r="C3231" s="50" t="s">
        <v>242</v>
      </c>
      <c r="D3231" s="51">
        <v>6293</v>
      </c>
      <c r="E3231" s="51">
        <v>79997</v>
      </c>
      <c r="F3231" s="52">
        <v>8329.9</v>
      </c>
      <c r="G3231" s="53">
        <v>10.412765</v>
      </c>
    </row>
    <row r="3232" spans="1:7">
      <c r="A3232" s="50" t="s">
        <v>1726</v>
      </c>
      <c r="B3232" s="50" t="s">
        <v>129</v>
      </c>
      <c r="C3232" s="50" t="s">
        <v>240</v>
      </c>
      <c r="D3232" s="51">
        <v>11237</v>
      </c>
      <c r="E3232" s="51">
        <v>152189</v>
      </c>
      <c r="F3232" s="52">
        <v>21550</v>
      </c>
      <c r="G3232" s="53">
        <v>14.160024999999999</v>
      </c>
    </row>
    <row r="3233" spans="1:7">
      <c r="A3233" s="50" t="s">
        <v>1727</v>
      </c>
      <c r="B3233" s="50" t="s">
        <v>129</v>
      </c>
      <c r="C3233" s="50" t="s">
        <v>242</v>
      </c>
      <c r="D3233" s="51">
        <v>1980</v>
      </c>
      <c r="E3233" s="51">
        <v>25930</v>
      </c>
      <c r="F3233" s="52">
        <v>2900.7</v>
      </c>
      <c r="G3233" s="53">
        <v>11.186655999999999</v>
      </c>
    </row>
    <row r="3234" spans="1:7">
      <c r="A3234" s="50" t="s">
        <v>2329</v>
      </c>
      <c r="B3234" s="50" t="s">
        <v>129</v>
      </c>
      <c r="C3234" s="50" t="s">
        <v>242</v>
      </c>
      <c r="D3234" s="51">
        <v>575</v>
      </c>
      <c r="E3234" s="51">
        <v>23528</v>
      </c>
      <c r="F3234" s="52">
        <v>1943</v>
      </c>
      <c r="G3234" s="53">
        <v>8.2582454999999992</v>
      </c>
    </row>
    <row r="3235" spans="1:7">
      <c r="A3235" s="50" t="s">
        <v>2330</v>
      </c>
      <c r="B3235" s="50" t="s">
        <v>129</v>
      </c>
      <c r="C3235" s="50" t="s">
        <v>242</v>
      </c>
      <c r="D3235" s="51">
        <v>537</v>
      </c>
      <c r="E3235" s="51">
        <v>5460</v>
      </c>
      <c r="F3235" s="52">
        <v>664</v>
      </c>
      <c r="G3235" s="53">
        <v>12.161172000000001</v>
      </c>
    </row>
    <row r="3236" spans="1:7">
      <c r="A3236" s="50" t="s">
        <v>2331</v>
      </c>
      <c r="B3236" s="50" t="s">
        <v>129</v>
      </c>
      <c r="C3236" s="50" t="s">
        <v>242</v>
      </c>
      <c r="D3236" s="51">
        <v>1396</v>
      </c>
      <c r="E3236" s="51">
        <v>15659</v>
      </c>
      <c r="F3236" s="52">
        <v>2050</v>
      </c>
      <c r="G3236" s="53">
        <v>13.091513000000001</v>
      </c>
    </row>
    <row r="3237" spans="1:7">
      <c r="A3237" s="50" t="s">
        <v>2332</v>
      </c>
      <c r="B3237" s="50" t="s">
        <v>129</v>
      </c>
      <c r="C3237" s="50" t="s">
        <v>242</v>
      </c>
      <c r="D3237" s="51">
        <v>825</v>
      </c>
      <c r="E3237" s="51">
        <v>12758</v>
      </c>
      <c r="F3237" s="52">
        <v>1490</v>
      </c>
      <c r="G3237" s="53">
        <v>11.678947000000001</v>
      </c>
    </row>
    <row r="3238" spans="1:7">
      <c r="A3238" s="50" t="s">
        <v>2333</v>
      </c>
      <c r="B3238" s="50" t="s">
        <v>129</v>
      </c>
      <c r="C3238" s="50" t="s">
        <v>242</v>
      </c>
      <c r="D3238" s="51">
        <v>581</v>
      </c>
      <c r="E3238" s="51">
        <v>16532</v>
      </c>
      <c r="F3238" s="52">
        <v>1421</v>
      </c>
      <c r="G3238" s="53">
        <v>8.5954511999999994</v>
      </c>
    </row>
    <row r="3239" spans="1:7">
      <c r="A3239" s="50" t="s">
        <v>2334</v>
      </c>
      <c r="B3239" s="50" t="s">
        <v>129</v>
      </c>
      <c r="C3239" s="50" t="s">
        <v>242</v>
      </c>
      <c r="D3239" s="51">
        <v>1186</v>
      </c>
      <c r="E3239" s="51">
        <v>25040</v>
      </c>
      <c r="F3239" s="52">
        <v>2689</v>
      </c>
      <c r="G3239" s="53">
        <v>10.738818</v>
      </c>
    </row>
    <row r="3240" spans="1:7">
      <c r="A3240" s="50" t="s">
        <v>2335</v>
      </c>
      <c r="B3240" s="50" t="s">
        <v>129</v>
      </c>
      <c r="C3240" s="50" t="s">
        <v>242</v>
      </c>
      <c r="D3240" s="51">
        <v>650</v>
      </c>
      <c r="E3240" s="51">
        <v>8139</v>
      </c>
      <c r="F3240" s="52">
        <v>995</v>
      </c>
      <c r="G3240" s="53">
        <v>12.225089000000001</v>
      </c>
    </row>
    <row r="3241" spans="1:7">
      <c r="A3241" s="50" t="s">
        <v>2336</v>
      </c>
      <c r="B3241" s="50" t="s">
        <v>129</v>
      </c>
      <c r="C3241" s="50" t="s">
        <v>242</v>
      </c>
      <c r="D3241" s="51">
        <v>953</v>
      </c>
      <c r="E3241" s="51">
        <v>41728</v>
      </c>
      <c r="F3241" s="52">
        <v>4322</v>
      </c>
      <c r="G3241" s="53">
        <v>10.357554</v>
      </c>
    </row>
    <row r="3242" spans="1:7">
      <c r="A3242" s="50" t="s">
        <v>2337</v>
      </c>
      <c r="B3242" s="50" t="s">
        <v>129</v>
      </c>
      <c r="C3242" s="50" t="s">
        <v>242</v>
      </c>
      <c r="D3242" s="51">
        <v>424</v>
      </c>
      <c r="E3242" s="51">
        <v>4002</v>
      </c>
      <c r="F3242" s="52">
        <v>330</v>
      </c>
      <c r="G3242" s="53">
        <v>8.2458770999999995</v>
      </c>
    </row>
    <row r="3243" spans="1:7">
      <c r="A3243" s="50" t="s">
        <v>1728</v>
      </c>
      <c r="B3243" s="50" t="s">
        <v>129</v>
      </c>
      <c r="C3243" s="50" t="s">
        <v>242</v>
      </c>
      <c r="D3243" s="51">
        <v>3925</v>
      </c>
      <c r="E3243" s="51">
        <v>55128</v>
      </c>
      <c r="F3243" s="52">
        <v>5910</v>
      </c>
      <c r="G3243" s="53">
        <v>10.720504999999999</v>
      </c>
    </row>
    <row r="3244" spans="1:7">
      <c r="A3244" s="50" t="s">
        <v>1729</v>
      </c>
      <c r="B3244" s="50" t="s">
        <v>129</v>
      </c>
      <c r="C3244" s="50" t="s">
        <v>242</v>
      </c>
      <c r="D3244" s="51">
        <v>1087</v>
      </c>
      <c r="E3244" s="51">
        <v>56236</v>
      </c>
      <c r="F3244" s="52">
        <v>4808.3999999999996</v>
      </c>
      <c r="G3244" s="53">
        <v>8.5503947999999994</v>
      </c>
    </row>
    <row r="3245" spans="1:7">
      <c r="A3245" s="50" t="s">
        <v>1730</v>
      </c>
      <c r="B3245" s="50" t="s">
        <v>129</v>
      </c>
      <c r="C3245" s="50" t="s">
        <v>242</v>
      </c>
      <c r="D3245" s="51">
        <v>1367</v>
      </c>
      <c r="E3245" s="51">
        <v>24171</v>
      </c>
      <c r="F3245" s="52">
        <v>2502.9</v>
      </c>
      <c r="G3245" s="53">
        <v>10.354971000000001</v>
      </c>
    </row>
    <row r="3246" spans="1:7">
      <c r="A3246" s="50" t="s">
        <v>2338</v>
      </c>
      <c r="B3246" s="50" t="s">
        <v>129</v>
      </c>
      <c r="C3246" s="50" t="s">
        <v>242</v>
      </c>
      <c r="D3246" s="51">
        <v>1317</v>
      </c>
      <c r="E3246" s="51">
        <v>20489</v>
      </c>
      <c r="F3246" s="52">
        <v>2406</v>
      </c>
      <c r="G3246" s="53">
        <v>11.742886</v>
      </c>
    </row>
    <row r="3247" spans="1:7">
      <c r="A3247" s="50" t="s">
        <v>1731</v>
      </c>
      <c r="B3247" s="50" t="s">
        <v>129</v>
      </c>
      <c r="C3247" s="50" t="s">
        <v>242</v>
      </c>
      <c r="D3247" s="51">
        <v>2169</v>
      </c>
      <c r="E3247" s="51">
        <v>48757</v>
      </c>
      <c r="F3247" s="52">
        <v>4940.1000000000004</v>
      </c>
      <c r="G3247" s="53">
        <v>10.132084000000001</v>
      </c>
    </row>
    <row r="3248" spans="1:7">
      <c r="A3248" s="50" t="s">
        <v>2339</v>
      </c>
      <c r="B3248" s="50" t="s">
        <v>129</v>
      </c>
      <c r="C3248" s="50" t="s">
        <v>242</v>
      </c>
      <c r="D3248" s="51">
        <v>1908</v>
      </c>
      <c r="E3248" s="51">
        <v>31437</v>
      </c>
      <c r="F3248" s="52">
        <v>3700.6</v>
      </c>
      <c r="G3248" s="53">
        <v>11.771478999999999</v>
      </c>
    </row>
    <row r="3249" spans="1:7">
      <c r="A3249" s="50" t="s">
        <v>2340</v>
      </c>
      <c r="B3249" s="50" t="s">
        <v>129</v>
      </c>
      <c r="C3249" s="50" t="s">
        <v>242</v>
      </c>
      <c r="D3249" s="51">
        <v>876</v>
      </c>
      <c r="E3249" s="51">
        <v>17334</v>
      </c>
      <c r="F3249" s="52">
        <v>1661</v>
      </c>
      <c r="G3249" s="53">
        <v>9.5823237999999993</v>
      </c>
    </row>
    <row r="3250" spans="1:7">
      <c r="A3250" s="50" t="s">
        <v>2341</v>
      </c>
      <c r="B3250" s="50" t="s">
        <v>129</v>
      </c>
      <c r="C3250" s="50" t="s">
        <v>242</v>
      </c>
      <c r="D3250" s="51">
        <v>1381</v>
      </c>
      <c r="E3250" s="51">
        <v>15364</v>
      </c>
      <c r="F3250" s="52">
        <v>2137.1999999999998</v>
      </c>
      <c r="G3250" s="53">
        <v>13.910439999999999</v>
      </c>
    </row>
    <row r="3251" spans="1:7">
      <c r="A3251" s="50" t="s">
        <v>2342</v>
      </c>
      <c r="B3251" s="50" t="s">
        <v>129</v>
      </c>
      <c r="C3251" s="50" t="s">
        <v>242</v>
      </c>
      <c r="D3251" s="51">
        <v>410</v>
      </c>
      <c r="E3251" s="51">
        <v>4647</v>
      </c>
      <c r="F3251" s="52">
        <v>476</v>
      </c>
      <c r="G3251" s="53">
        <v>10.243168000000001</v>
      </c>
    </row>
    <row r="3252" spans="1:7">
      <c r="A3252" s="50" t="s">
        <v>1732</v>
      </c>
      <c r="B3252" s="50" t="s">
        <v>129</v>
      </c>
      <c r="C3252" s="50" t="s">
        <v>242</v>
      </c>
      <c r="D3252" s="51">
        <v>6531</v>
      </c>
      <c r="E3252" s="51">
        <v>118605</v>
      </c>
      <c r="F3252" s="52">
        <v>12189.5</v>
      </c>
      <c r="G3252" s="53">
        <v>10.277391</v>
      </c>
    </row>
    <row r="3253" spans="1:7">
      <c r="A3253" s="50" t="s">
        <v>2343</v>
      </c>
      <c r="B3253" s="50" t="s">
        <v>129</v>
      </c>
      <c r="C3253" s="50" t="s">
        <v>240</v>
      </c>
      <c r="D3253" s="51">
        <v>1079</v>
      </c>
      <c r="E3253" s="51">
        <v>9431</v>
      </c>
      <c r="F3253" s="52">
        <v>1407</v>
      </c>
      <c r="G3253" s="53">
        <v>14.918885</v>
      </c>
    </row>
    <row r="3254" spans="1:7">
      <c r="A3254" s="50" t="s">
        <v>1733</v>
      </c>
      <c r="B3254" s="50" t="s">
        <v>129</v>
      </c>
      <c r="C3254" s="50" t="s">
        <v>242</v>
      </c>
      <c r="D3254" s="51">
        <v>1834</v>
      </c>
      <c r="E3254" s="51">
        <v>36838</v>
      </c>
      <c r="F3254" s="52">
        <v>3743.8</v>
      </c>
      <c r="G3254" s="53">
        <v>10.162875</v>
      </c>
    </row>
    <row r="3255" spans="1:7">
      <c r="A3255" s="50" t="s">
        <v>1734</v>
      </c>
      <c r="B3255" s="50" t="s">
        <v>129</v>
      </c>
      <c r="C3255" s="50" t="s">
        <v>242</v>
      </c>
      <c r="D3255" s="51">
        <v>4410</v>
      </c>
      <c r="E3255" s="51">
        <v>107504</v>
      </c>
      <c r="F3255" s="52">
        <v>9690.6</v>
      </c>
      <c r="G3255" s="53">
        <v>9.0141761999999996</v>
      </c>
    </row>
    <row r="3256" spans="1:7">
      <c r="A3256" s="50" t="s">
        <v>2344</v>
      </c>
      <c r="B3256" s="50" t="s">
        <v>129</v>
      </c>
      <c r="C3256" s="50" t="s">
        <v>237</v>
      </c>
      <c r="D3256" s="51">
        <v>847</v>
      </c>
      <c r="E3256" s="51">
        <v>11633</v>
      </c>
      <c r="F3256" s="52">
        <v>1776</v>
      </c>
      <c r="G3256" s="53">
        <v>15.266913000000001</v>
      </c>
    </row>
    <row r="3257" spans="1:7">
      <c r="A3257" s="50" t="s">
        <v>1735</v>
      </c>
      <c r="B3257" s="50" t="s">
        <v>129</v>
      </c>
      <c r="C3257" s="50" t="s">
        <v>242</v>
      </c>
      <c r="D3257" s="51">
        <v>984</v>
      </c>
      <c r="E3257" s="51">
        <v>35197</v>
      </c>
      <c r="F3257" s="52">
        <v>3351.6</v>
      </c>
      <c r="G3257" s="53">
        <v>9.5224025000000001</v>
      </c>
    </row>
    <row r="3258" spans="1:7">
      <c r="A3258" s="50" t="s">
        <v>2345</v>
      </c>
      <c r="B3258" s="50" t="s">
        <v>129</v>
      </c>
      <c r="C3258" s="50" t="s">
        <v>242</v>
      </c>
      <c r="D3258" s="51">
        <v>2116</v>
      </c>
      <c r="E3258" s="51">
        <v>68730</v>
      </c>
      <c r="F3258" s="52">
        <v>6920</v>
      </c>
      <c r="G3258" s="53">
        <v>10.068384</v>
      </c>
    </row>
    <row r="3259" spans="1:7">
      <c r="A3259" s="50" t="s">
        <v>763</v>
      </c>
      <c r="B3259" s="50" t="s">
        <v>129</v>
      </c>
      <c r="C3259" s="50" t="s">
        <v>237</v>
      </c>
      <c r="D3259" s="51">
        <v>1138054</v>
      </c>
      <c r="E3259" s="51">
        <v>23557333</v>
      </c>
      <c r="F3259" s="52">
        <v>2804381.6</v>
      </c>
      <c r="G3259" s="53">
        <v>11.904495000000001</v>
      </c>
    </row>
    <row r="3260" spans="1:7">
      <c r="A3260" s="50" t="s">
        <v>1736</v>
      </c>
      <c r="B3260" s="50" t="s">
        <v>129</v>
      </c>
      <c r="C3260" s="50" t="s">
        <v>237</v>
      </c>
      <c r="D3260" s="51">
        <v>475545</v>
      </c>
      <c r="E3260" s="51">
        <v>11017009</v>
      </c>
      <c r="F3260" s="52">
        <v>1141881</v>
      </c>
      <c r="G3260" s="53">
        <v>10.364710000000001</v>
      </c>
    </row>
    <row r="3261" spans="1:7">
      <c r="A3261" s="50" t="s">
        <v>1737</v>
      </c>
      <c r="B3261" s="50" t="s">
        <v>129</v>
      </c>
      <c r="C3261" s="50" t="s">
        <v>237</v>
      </c>
      <c r="D3261" s="51">
        <v>447493</v>
      </c>
      <c r="E3261" s="51">
        <v>10758317</v>
      </c>
      <c r="F3261" s="52">
        <v>961330.6</v>
      </c>
      <c r="G3261" s="53">
        <v>8.9356968999999999</v>
      </c>
    </row>
    <row r="3262" spans="1:7">
      <c r="A3262" s="50" t="s">
        <v>1738</v>
      </c>
      <c r="B3262" s="50" t="s">
        <v>129</v>
      </c>
      <c r="C3262" s="50" t="s">
        <v>242</v>
      </c>
      <c r="D3262" s="51">
        <v>14847</v>
      </c>
      <c r="E3262" s="51">
        <v>261225</v>
      </c>
      <c r="F3262" s="52">
        <v>25416</v>
      </c>
      <c r="G3262" s="53">
        <v>9.7295435000000001</v>
      </c>
    </row>
    <row r="3263" spans="1:7">
      <c r="A3263" s="50" t="s">
        <v>2346</v>
      </c>
      <c r="B3263" s="50" t="s">
        <v>129</v>
      </c>
      <c r="C3263" s="50" t="s">
        <v>242</v>
      </c>
      <c r="D3263" s="51">
        <v>407</v>
      </c>
      <c r="E3263" s="51">
        <v>4503</v>
      </c>
      <c r="F3263" s="52">
        <v>464.6</v>
      </c>
      <c r="G3263" s="53">
        <v>10.317565999999999</v>
      </c>
    </row>
    <row r="3264" spans="1:7">
      <c r="A3264" s="50" t="s">
        <v>1589</v>
      </c>
      <c r="B3264" s="50" t="s">
        <v>127</v>
      </c>
      <c r="C3264" s="50" t="s">
        <v>237</v>
      </c>
      <c r="D3264" s="51">
        <v>421583</v>
      </c>
      <c r="E3264" s="51">
        <v>12741119</v>
      </c>
      <c r="F3264" s="52">
        <v>1178815</v>
      </c>
      <c r="G3264" s="53">
        <v>9.2520524000000002</v>
      </c>
    </row>
    <row r="3265" spans="1:7">
      <c r="A3265" s="50" t="s">
        <v>1739</v>
      </c>
      <c r="B3265" s="50" t="s">
        <v>127</v>
      </c>
      <c r="C3265" s="50" t="s">
        <v>237</v>
      </c>
      <c r="D3265" s="51">
        <v>3956</v>
      </c>
      <c r="E3265" s="51">
        <v>51113</v>
      </c>
      <c r="F3265" s="52">
        <v>6446</v>
      </c>
      <c r="G3265" s="53">
        <v>12.611273000000001</v>
      </c>
    </row>
    <row r="3266" spans="1:7">
      <c r="A3266" s="50" t="s">
        <v>2347</v>
      </c>
      <c r="B3266" s="50" t="s">
        <v>127</v>
      </c>
      <c r="C3266" s="50" t="s">
        <v>242</v>
      </c>
      <c r="D3266" s="51">
        <v>1809</v>
      </c>
      <c r="E3266" s="51">
        <v>30585</v>
      </c>
      <c r="F3266" s="52">
        <v>4490</v>
      </c>
      <c r="G3266" s="53">
        <v>14.680399</v>
      </c>
    </row>
    <row r="3267" spans="1:7">
      <c r="A3267" s="50" t="s">
        <v>1601</v>
      </c>
      <c r="B3267" s="50" t="s">
        <v>127</v>
      </c>
      <c r="C3267" s="50" t="s">
        <v>240</v>
      </c>
      <c r="D3267" s="51">
        <v>485</v>
      </c>
      <c r="E3267" s="51">
        <v>2829</v>
      </c>
      <c r="F3267" s="52">
        <v>487.6</v>
      </c>
      <c r="G3267" s="53">
        <v>17.235772000000001</v>
      </c>
    </row>
    <row r="3268" spans="1:7">
      <c r="A3268" s="50" t="s">
        <v>2348</v>
      </c>
      <c r="B3268" s="50" t="s">
        <v>127</v>
      </c>
      <c r="C3268" s="50" t="s">
        <v>240</v>
      </c>
      <c r="D3268" s="51">
        <v>6883</v>
      </c>
      <c r="E3268" s="51">
        <v>88190</v>
      </c>
      <c r="F3268" s="52">
        <v>14455</v>
      </c>
      <c r="G3268" s="53">
        <v>16.390747000000001</v>
      </c>
    </row>
    <row r="3269" spans="1:7">
      <c r="A3269" s="50" t="s">
        <v>1740</v>
      </c>
      <c r="B3269" s="50" t="s">
        <v>127</v>
      </c>
      <c r="C3269" s="50" t="s">
        <v>237</v>
      </c>
      <c r="D3269" s="51">
        <v>391997</v>
      </c>
      <c r="E3269" s="51">
        <v>12325193</v>
      </c>
      <c r="F3269" s="52">
        <v>1010514.7</v>
      </c>
      <c r="G3269" s="53">
        <v>8.1987737999999997</v>
      </c>
    </row>
    <row r="3270" spans="1:7">
      <c r="A3270" s="50" t="s">
        <v>2349</v>
      </c>
      <c r="B3270" s="50" t="s">
        <v>127</v>
      </c>
      <c r="C3270" s="50" t="s">
        <v>242</v>
      </c>
      <c r="D3270" s="51">
        <v>1779</v>
      </c>
      <c r="E3270" s="51">
        <v>35219</v>
      </c>
      <c r="F3270" s="52">
        <v>3083</v>
      </c>
      <c r="G3270" s="53">
        <v>8.7537976999999998</v>
      </c>
    </row>
    <row r="3271" spans="1:7">
      <c r="A3271" s="50" t="s">
        <v>1842</v>
      </c>
      <c r="B3271" s="50" t="s">
        <v>127</v>
      </c>
      <c r="C3271" s="50" t="s">
        <v>237</v>
      </c>
      <c r="D3271" s="51">
        <v>144403</v>
      </c>
      <c r="E3271" s="51">
        <v>3698501</v>
      </c>
      <c r="F3271" s="52">
        <v>326614.40000000002</v>
      </c>
      <c r="G3271" s="53">
        <v>8.8309940000000005</v>
      </c>
    </row>
    <row r="3272" spans="1:7">
      <c r="A3272" s="50" t="s">
        <v>1741</v>
      </c>
      <c r="B3272" s="50" t="s">
        <v>127</v>
      </c>
      <c r="C3272" s="50" t="s">
        <v>237</v>
      </c>
      <c r="D3272" s="51">
        <v>41558</v>
      </c>
      <c r="E3272" s="51">
        <v>4274264</v>
      </c>
      <c r="F3272" s="52">
        <v>278275</v>
      </c>
      <c r="G3272" s="53">
        <v>6.5104775999999998</v>
      </c>
    </row>
    <row r="3273" spans="1:7">
      <c r="A3273" s="50" t="s">
        <v>974</v>
      </c>
      <c r="B3273" s="50" t="s">
        <v>133</v>
      </c>
      <c r="C3273" s="50" t="s">
        <v>240</v>
      </c>
      <c r="D3273" s="51">
        <v>1</v>
      </c>
      <c r="E3273" s="51">
        <v>654</v>
      </c>
      <c r="F3273" s="52">
        <v>37</v>
      </c>
      <c r="G3273" s="53">
        <v>5.6574923999999998</v>
      </c>
    </row>
    <row r="3274" spans="1:7">
      <c r="A3274" s="50" t="s">
        <v>888</v>
      </c>
      <c r="B3274" s="50" t="s">
        <v>133</v>
      </c>
      <c r="C3274" s="50" t="s">
        <v>240</v>
      </c>
      <c r="D3274" s="51">
        <v>491</v>
      </c>
      <c r="E3274" s="51">
        <v>7171</v>
      </c>
      <c r="F3274" s="52">
        <v>850.6</v>
      </c>
      <c r="G3274" s="53">
        <v>11.861665</v>
      </c>
    </row>
    <row r="3275" spans="1:7">
      <c r="A3275" s="50" t="s">
        <v>889</v>
      </c>
      <c r="B3275" s="50" t="s">
        <v>133</v>
      </c>
      <c r="C3275" s="50" t="s">
        <v>240</v>
      </c>
      <c r="D3275" s="51">
        <v>299</v>
      </c>
      <c r="E3275" s="51">
        <v>4557</v>
      </c>
      <c r="F3275" s="52">
        <v>532</v>
      </c>
      <c r="G3275" s="53">
        <v>11.674346999999999</v>
      </c>
    </row>
    <row r="3276" spans="1:7">
      <c r="A3276" s="50" t="s">
        <v>890</v>
      </c>
      <c r="B3276" s="50" t="s">
        <v>133</v>
      </c>
      <c r="C3276" s="50" t="s">
        <v>240</v>
      </c>
      <c r="D3276" s="51">
        <v>3775</v>
      </c>
      <c r="E3276" s="51">
        <v>108431</v>
      </c>
      <c r="F3276" s="52">
        <v>12731</v>
      </c>
      <c r="G3276" s="53">
        <v>11.741107</v>
      </c>
    </row>
    <row r="3277" spans="1:7">
      <c r="A3277" s="50" t="s">
        <v>891</v>
      </c>
      <c r="B3277" s="50" t="s">
        <v>133</v>
      </c>
      <c r="C3277" s="50" t="s">
        <v>237</v>
      </c>
      <c r="D3277" s="51">
        <v>2646</v>
      </c>
      <c r="E3277" s="51">
        <v>169467</v>
      </c>
      <c r="F3277" s="52">
        <v>16325.6</v>
      </c>
      <c r="G3277" s="53">
        <v>9.6334979999999995</v>
      </c>
    </row>
    <row r="3278" spans="1:7">
      <c r="A3278" s="50" t="s">
        <v>1572</v>
      </c>
      <c r="B3278" s="50" t="s">
        <v>133</v>
      </c>
      <c r="C3278" s="50" t="s">
        <v>240</v>
      </c>
      <c r="D3278" s="51">
        <v>4702</v>
      </c>
      <c r="E3278" s="51">
        <v>129512</v>
      </c>
      <c r="F3278" s="52">
        <v>11260.9</v>
      </c>
      <c r="G3278" s="53">
        <v>8.6948699999999999</v>
      </c>
    </row>
    <row r="3279" spans="1:7">
      <c r="A3279" s="50" t="s">
        <v>1742</v>
      </c>
      <c r="B3279" s="50" t="s">
        <v>133</v>
      </c>
      <c r="C3279" s="50" t="s">
        <v>240</v>
      </c>
      <c r="D3279" s="51">
        <v>6330</v>
      </c>
      <c r="E3279" s="51">
        <v>110450</v>
      </c>
      <c r="F3279" s="52">
        <v>15280.1</v>
      </c>
      <c r="G3279" s="53">
        <v>13.834405</v>
      </c>
    </row>
    <row r="3280" spans="1:7">
      <c r="A3280" s="50" t="s">
        <v>2350</v>
      </c>
      <c r="B3280" s="50" t="s">
        <v>133</v>
      </c>
      <c r="C3280" s="50" t="s">
        <v>237</v>
      </c>
      <c r="D3280" s="51">
        <v>43318</v>
      </c>
      <c r="E3280" s="51">
        <v>1676751</v>
      </c>
      <c r="F3280" s="52">
        <v>168806</v>
      </c>
      <c r="G3280" s="53">
        <v>10.067446</v>
      </c>
    </row>
    <row r="3281" spans="1:7">
      <c r="A3281" s="50" t="s">
        <v>1743</v>
      </c>
      <c r="B3281" s="50" t="s">
        <v>133</v>
      </c>
      <c r="C3281" s="50" t="s">
        <v>242</v>
      </c>
      <c r="D3281" s="51">
        <v>7747</v>
      </c>
      <c r="E3281" s="51">
        <v>114925</v>
      </c>
      <c r="F3281" s="52">
        <v>12004</v>
      </c>
      <c r="G3281" s="53">
        <v>10.445073000000001</v>
      </c>
    </row>
    <row r="3282" spans="1:7">
      <c r="A3282" s="50" t="s">
        <v>2351</v>
      </c>
      <c r="B3282" s="50" t="s">
        <v>133</v>
      </c>
      <c r="C3282" s="50" t="s">
        <v>242</v>
      </c>
      <c r="D3282" s="51">
        <v>82</v>
      </c>
      <c r="E3282" s="51">
        <v>675</v>
      </c>
      <c r="F3282" s="52">
        <v>85.2</v>
      </c>
      <c r="G3282" s="53">
        <v>12.622222000000001</v>
      </c>
    </row>
    <row r="3283" spans="1:7">
      <c r="A3283" s="50" t="s">
        <v>1744</v>
      </c>
      <c r="B3283" s="50" t="s">
        <v>133</v>
      </c>
      <c r="C3283" s="50" t="s">
        <v>242</v>
      </c>
      <c r="D3283" s="51">
        <v>15787</v>
      </c>
      <c r="E3283" s="51">
        <v>325478</v>
      </c>
      <c r="F3283" s="52">
        <v>31832</v>
      </c>
      <c r="G3283" s="53">
        <v>9.7800773000000003</v>
      </c>
    </row>
    <row r="3284" spans="1:7">
      <c r="A3284" s="50" t="s">
        <v>2352</v>
      </c>
      <c r="B3284" s="50" t="s">
        <v>133</v>
      </c>
      <c r="C3284" s="50" t="s">
        <v>242</v>
      </c>
      <c r="D3284" s="51">
        <v>708</v>
      </c>
      <c r="E3284" s="51">
        <v>9315</v>
      </c>
      <c r="F3284" s="52">
        <v>1157</v>
      </c>
      <c r="G3284" s="53">
        <v>12.420826999999999</v>
      </c>
    </row>
    <row r="3285" spans="1:7">
      <c r="A3285" s="50" t="s">
        <v>2353</v>
      </c>
      <c r="B3285" s="50" t="s">
        <v>133</v>
      </c>
      <c r="C3285" s="50" t="s">
        <v>242</v>
      </c>
      <c r="D3285" s="51">
        <v>3325</v>
      </c>
      <c r="E3285" s="51">
        <v>48473</v>
      </c>
      <c r="F3285" s="52">
        <v>6583</v>
      </c>
      <c r="G3285" s="53">
        <v>13.580755999999999</v>
      </c>
    </row>
    <row r="3286" spans="1:7">
      <c r="A3286" s="50" t="s">
        <v>1745</v>
      </c>
      <c r="B3286" s="50" t="s">
        <v>133</v>
      </c>
      <c r="C3286" s="50" t="s">
        <v>242</v>
      </c>
      <c r="D3286" s="51">
        <v>3896</v>
      </c>
      <c r="E3286" s="51">
        <v>80060</v>
      </c>
      <c r="F3286" s="52">
        <v>7869.4</v>
      </c>
      <c r="G3286" s="53">
        <v>9.8293780000000002</v>
      </c>
    </row>
    <row r="3287" spans="1:7">
      <c r="A3287" s="50" t="s">
        <v>553</v>
      </c>
      <c r="B3287" s="50" t="s">
        <v>133</v>
      </c>
      <c r="C3287" s="50" t="s">
        <v>240</v>
      </c>
      <c r="D3287" s="51">
        <v>357</v>
      </c>
      <c r="E3287" s="51">
        <v>9809</v>
      </c>
      <c r="F3287" s="52">
        <v>957</v>
      </c>
      <c r="G3287" s="53">
        <v>9.7563461999999994</v>
      </c>
    </row>
    <row r="3288" spans="1:7">
      <c r="A3288" s="50" t="s">
        <v>1746</v>
      </c>
      <c r="B3288" s="50" t="s">
        <v>133</v>
      </c>
      <c r="C3288" s="50" t="s">
        <v>240</v>
      </c>
      <c r="D3288" s="51">
        <v>2049</v>
      </c>
      <c r="E3288" s="51">
        <v>27084</v>
      </c>
      <c r="F3288" s="52">
        <v>4230</v>
      </c>
      <c r="G3288" s="53">
        <v>15.618077</v>
      </c>
    </row>
    <row r="3289" spans="1:7">
      <c r="A3289" s="50" t="s">
        <v>1747</v>
      </c>
      <c r="B3289" s="50" t="s">
        <v>133</v>
      </c>
      <c r="C3289" s="50" t="s">
        <v>240</v>
      </c>
      <c r="D3289" s="51">
        <v>13347</v>
      </c>
      <c r="E3289" s="51">
        <v>739587</v>
      </c>
      <c r="F3289" s="52">
        <v>70575</v>
      </c>
      <c r="G3289" s="53">
        <v>9.5424878999999994</v>
      </c>
    </row>
    <row r="3290" spans="1:7">
      <c r="A3290" s="50" t="s">
        <v>400</v>
      </c>
      <c r="B3290" s="50" t="s">
        <v>133</v>
      </c>
      <c r="C3290" s="50" t="s">
        <v>240</v>
      </c>
      <c r="D3290" s="51">
        <v>6328</v>
      </c>
      <c r="E3290" s="51">
        <v>181072</v>
      </c>
      <c r="F3290" s="52">
        <v>22313</v>
      </c>
      <c r="G3290" s="53">
        <v>12.322722000000001</v>
      </c>
    </row>
    <row r="3291" spans="1:7">
      <c r="A3291" s="50" t="s">
        <v>556</v>
      </c>
      <c r="B3291" s="50" t="s">
        <v>133</v>
      </c>
      <c r="C3291" s="50" t="s">
        <v>240</v>
      </c>
      <c r="D3291" s="51">
        <v>26899</v>
      </c>
      <c r="E3291" s="51">
        <v>750164</v>
      </c>
      <c r="F3291" s="52">
        <v>47589</v>
      </c>
      <c r="G3291" s="53">
        <v>6.3438128000000003</v>
      </c>
    </row>
    <row r="3292" spans="1:7">
      <c r="A3292" s="50" t="s">
        <v>2354</v>
      </c>
      <c r="B3292" s="50" t="s">
        <v>133</v>
      </c>
      <c r="C3292" s="50" t="s">
        <v>325</v>
      </c>
      <c r="D3292" s="51">
        <v>5</v>
      </c>
      <c r="E3292" s="51">
        <v>46</v>
      </c>
      <c r="F3292" s="52">
        <v>1.6</v>
      </c>
      <c r="G3292" s="53">
        <v>3.4782609</v>
      </c>
    </row>
    <row r="3293" spans="1:7">
      <c r="A3293" s="50" t="s">
        <v>903</v>
      </c>
      <c r="B3293" s="50" t="s">
        <v>133</v>
      </c>
      <c r="C3293" s="50" t="s">
        <v>237</v>
      </c>
      <c r="D3293" s="51">
        <v>16178</v>
      </c>
      <c r="E3293" s="51">
        <v>280968</v>
      </c>
      <c r="F3293" s="52">
        <v>26234</v>
      </c>
      <c r="G3293" s="53">
        <v>9.3370063000000005</v>
      </c>
    </row>
    <row r="3294" spans="1:7">
      <c r="A3294" s="50" t="s">
        <v>1946</v>
      </c>
      <c r="B3294" s="50" t="s">
        <v>133</v>
      </c>
      <c r="C3294" s="50" t="s">
        <v>240</v>
      </c>
      <c r="D3294" s="51">
        <v>2122</v>
      </c>
      <c r="E3294" s="51">
        <v>104333</v>
      </c>
      <c r="F3294" s="52">
        <v>11871</v>
      </c>
      <c r="G3294" s="53">
        <v>11.377992000000001</v>
      </c>
    </row>
    <row r="3295" spans="1:7">
      <c r="A3295" s="50" t="s">
        <v>904</v>
      </c>
      <c r="B3295" s="50" t="s">
        <v>133</v>
      </c>
      <c r="C3295" s="50" t="s">
        <v>237</v>
      </c>
      <c r="D3295" s="51">
        <v>563</v>
      </c>
      <c r="E3295" s="51">
        <v>30952</v>
      </c>
      <c r="F3295" s="52">
        <v>5228.8999999999996</v>
      </c>
      <c r="G3295" s="53">
        <v>16.893577000000001</v>
      </c>
    </row>
    <row r="3296" spans="1:7">
      <c r="A3296" s="50" t="s">
        <v>382</v>
      </c>
      <c r="B3296" s="50" t="s">
        <v>133</v>
      </c>
      <c r="C3296" s="50" t="s">
        <v>237</v>
      </c>
      <c r="D3296" s="51">
        <v>141499</v>
      </c>
      <c r="E3296" s="51">
        <v>9392641</v>
      </c>
      <c r="F3296" s="52">
        <v>670616.5</v>
      </c>
      <c r="G3296" s="53">
        <v>7.1398076000000001</v>
      </c>
    </row>
    <row r="3297" spans="1:7">
      <c r="A3297" s="50" t="s">
        <v>1853</v>
      </c>
      <c r="B3297" s="50" t="s">
        <v>133</v>
      </c>
      <c r="C3297" s="50" t="s">
        <v>240</v>
      </c>
      <c r="D3297" s="51">
        <v>26953</v>
      </c>
      <c r="E3297" s="51">
        <v>2022576</v>
      </c>
      <c r="F3297" s="52">
        <v>165739.6</v>
      </c>
      <c r="G3297" s="53">
        <v>8.1944806999999997</v>
      </c>
    </row>
    <row r="3298" spans="1:7">
      <c r="A3298" s="50" t="s">
        <v>1854</v>
      </c>
      <c r="B3298" s="50" t="s">
        <v>133</v>
      </c>
      <c r="C3298" s="50" t="s">
        <v>240</v>
      </c>
      <c r="D3298" s="51">
        <v>12</v>
      </c>
      <c r="E3298" s="51">
        <v>247</v>
      </c>
      <c r="F3298" s="52">
        <v>27</v>
      </c>
      <c r="G3298" s="53">
        <v>10.931174</v>
      </c>
    </row>
    <row r="3299" spans="1:7">
      <c r="A3299" s="50" t="s">
        <v>2355</v>
      </c>
      <c r="B3299" s="50" t="s">
        <v>133</v>
      </c>
      <c r="C3299" s="50" t="s">
        <v>242</v>
      </c>
      <c r="D3299" s="51">
        <v>716</v>
      </c>
      <c r="E3299" s="51">
        <v>8733</v>
      </c>
      <c r="F3299" s="52">
        <v>1318.2</v>
      </c>
      <c r="G3299" s="53">
        <v>15.094469</v>
      </c>
    </row>
    <row r="3300" spans="1:7">
      <c r="A3300" s="50" t="s">
        <v>2356</v>
      </c>
      <c r="B3300" s="50" t="s">
        <v>133</v>
      </c>
      <c r="C3300" s="50" t="s">
        <v>242</v>
      </c>
      <c r="D3300" s="51">
        <v>157</v>
      </c>
      <c r="E3300" s="51">
        <v>1188</v>
      </c>
      <c r="F3300" s="52">
        <v>166</v>
      </c>
      <c r="G3300" s="53">
        <v>13.973064000000001</v>
      </c>
    </row>
    <row r="3301" spans="1:7">
      <c r="A3301" s="50" t="s">
        <v>2357</v>
      </c>
      <c r="B3301" s="50" t="s">
        <v>133</v>
      </c>
      <c r="C3301" s="50" t="s">
        <v>242</v>
      </c>
      <c r="D3301" s="51">
        <v>741</v>
      </c>
      <c r="E3301" s="51">
        <v>12443</v>
      </c>
      <c r="F3301" s="52">
        <v>2438</v>
      </c>
      <c r="G3301" s="53">
        <v>19.593346</v>
      </c>
    </row>
    <row r="3302" spans="1:7">
      <c r="A3302" s="50" t="s">
        <v>2358</v>
      </c>
      <c r="B3302" s="50" t="s">
        <v>133</v>
      </c>
      <c r="C3302" s="50" t="s">
        <v>242</v>
      </c>
      <c r="D3302" s="51">
        <v>278</v>
      </c>
      <c r="E3302" s="51">
        <v>3468</v>
      </c>
      <c r="F3302" s="52">
        <v>513</v>
      </c>
      <c r="G3302" s="53">
        <v>14.792388000000001</v>
      </c>
    </row>
    <row r="3303" spans="1:7">
      <c r="A3303" s="50" t="s">
        <v>2359</v>
      </c>
      <c r="B3303" s="50" t="s">
        <v>133</v>
      </c>
      <c r="C3303" s="50" t="s">
        <v>242</v>
      </c>
      <c r="D3303" s="51">
        <v>1164</v>
      </c>
      <c r="E3303" s="51">
        <v>16515</v>
      </c>
      <c r="F3303" s="52">
        <v>1873.5</v>
      </c>
      <c r="G3303" s="53">
        <v>11.344232999999999</v>
      </c>
    </row>
    <row r="3304" spans="1:7">
      <c r="A3304" s="50" t="s">
        <v>2360</v>
      </c>
      <c r="B3304" s="50" t="s">
        <v>133</v>
      </c>
      <c r="C3304" s="50" t="s">
        <v>242</v>
      </c>
      <c r="D3304" s="51">
        <v>2498</v>
      </c>
      <c r="E3304" s="51">
        <v>34333</v>
      </c>
      <c r="F3304" s="52">
        <v>4065</v>
      </c>
      <c r="G3304" s="53">
        <v>11.839921</v>
      </c>
    </row>
    <row r="3305" spans="1:7">
      <c r="A3305" s="50" t="s">
        <v>357</v>
      </c>
      <c r="B3305" s="50" t="s">
        <v>133</v>
      </c>
      <c r="C3305" s="50" t="s">
        <v>295</v>
      </c>
      <c r="D3305" s="51">
        <v>7</v>
      </c>
      <c r="E3305" s="51">
        <v>43940</v>
      </c>
      <c r="F3305" s="52">
        <v>1096.9000000000001</v>
      </c>
      <c r="G3305" s="53">
        <v>2.4963587</v>
      </c>
    </row>
    <row r="3306" spans="1:7">
      <c r="A3306" s="50" t="s">
        <v>2361</v>
      </c>
      <c r="B3306" s="50" t="s">
        <v>133</v>
      </c>
      <c r="C3306" s="50" t="s">
        <v>240</v>
      </c>
      <c r="D3306" s="51">
        <v>3912</v>
      </c>
      <c r="E3306" s="51">
        <v>134481</v>
      </c>
      <c r="F3306" s="52">
        <v>15543</v>
      </c>
      <c r="G3306" s="53">
        <v>11.557767</v>
      </c>
    </row>
    <row r="3307" spans="1:7">
      <c r="A3307" s="50" t="s">
        <v>2362</v>
      </c>
      <c r="B3307" s="50" t="s">
        <v>133</v>
      </c>
      <c r="C3307" s="50" t="s">
        <v>240</v>
      </c>
      <c r="D3307" s="51">
        <v>52</v>
      </c>
      <c r="E3307" s="51">
        <v>1072</v>
      </c>
      <c r="F3307" s="52">
        <v>153.1</v>
      </c>
      <c r="G3307" s="53">
        <v>14.281715999999999</v>
      </c>
    </row>
    <row r="3308" spans="1:7">
      <c r="A3308" s="50" t="s">
        <v>1065</v>
      </c>
      <c r="B3308" s="50" t="s">
        <v>133</v>
      </c>
      <c r="C3308" s="50" t="s">
        <v>240</v>
      </c>
      <c r="D3308" s="51">
        <v>4822</v>
      </c>
      <c r="E3308" s="51">
        <v>171783</v>
      </c>
      <c r="F3308" s="52">
        <v>19317</v>
      </c>
      <c r="G3308" s="53">
        <v>11.245001</v>
      </c>
    </row>
    <row r="3309" spans="1:7">
      <c r="A3309" s="50" t="s">
        <v>421</v>
      </c>
      <c r="B3309" s="50" t="s">
        <v>133</v>
      </c>
      <c r="C3309" s="50" t="s">
        <v>240</v>
      </c>
      <c r="D3309" s="51">
        <v>734</v>
      </c>
      <c r="E3309" s="51">
        <v>10142</v>
      </c>
      <c r="F3309" s="52">
        <v>1210.5999999999999</v>
      </c>
      <c r="G3309" s="53">
        <v>11.936502000000001</v>
      </c>
    </row>
    <row r="3310" spans="1:7">
      <c r="A3310" s="50" t="s">
        <v>1748</v>
      </c>
      <c r="B3310" s="50" t="s">
        <v>113</v>
      </c>
      <c r="C3310" s="50" t="s">
        <v>1425</v>
      </c>
      <c r="D3310" s="51">
        <v>25</v>
      </c>
      <c r="E3310" s="51">
        <v>6817159</v>
      </c>
      <c r="F3310" s="52">
        <v>274409.40000000002</v>
      </c>
      <c r="G3310" s="53">
        <v>4.0252749999999997</v>
      </c>
    </row>
    <row r="3311" spans="1:7">
      <c r="A3311" s="50" t="s">
        <v>2363</v>
      </c>
      <c r="B3311" s="50" t="s">
        <v>8</v>
      </c>
      <c r="C3311" s="50" t="s">
        <v>1749</v>
      </c>
      <c r="D3311" s="51">
        <v>5542</v>
      </c>
      <c r="E3311" s="51">
        <v>87938</v>
      </c>
      <c r="F3311" s="52">
        <v>30194.1</v>
      </c>
      <c r="G3311" s="53" t="s">
        <v>1750</v>
      </c>
    </row>
    <row r="3312" spans="1:7">
      <c r="A3312" s="50" t="s">
        <v>2363</v>
      </c>
      <c r="B3312" s="50" t="s">
        <v>11</v>
      </c>
      <c r="C3312" s="50" t="s">
        <v>1749</v>
      </c>
      <c r="D3312" s="51">
        <v>-83099</v>
      </c>
      <c r="E3312" s="51">
        <v>0</v>
      </c>
      <c r="F3312" s="52">
        <v>0</v>
      </c>
      <c r="G3312" s="53" t="s">
        <v>1750</v>
      </c>
    </row>
    <row r="3313" spans="1:7">
      <c r="A3313" s="50" t="s">
        <v>2363</v>
      </c>
      <c r="B3313" s="50" t="s">
        <v>16</v>
      </c>
      <c r="C3313" s="50" t="s">
        <v>1749</v>
      </c>
      <c r="D3313" s="51">
        <v>-383660</v>
      </c>
      <c r="E3313" s="51">
        <v>0</v>
      </c>
      <c r="F3313" s="52">
        <v>0</v>
      </c>
      <c r="G3313" s="53" t="s">
        <v>1750</v>
      </c>
    </row>
    <row r="3314" spans="1:7">
      <c r="A3314" s="50" t="s">
        <v>2363</v>
      </c>
      <c r="B3314" s="50" t="s">
        <v>19</v>
      </c>
      <c r="C3314" s="50" t="s">
        <v>1749</v>
      </c>
      <c r="D3314" s="51">
        <v>-20602</v>
      </c>
      <c r="E3314" s="51">
        <v>7205</v>
      </c>
      <c r="F3314" s="52">
        <v>790.6</v>
      </c>
      <c r="G3314" s="53" t="s">
        <v>1750</v>
      </c>
    </row>
    <row r="3315" spans="1:7">
      <c r="A3315" s="50" t="s">
        <v>2363</v>
      </c>
      <c r="B3315" s="50" t="s">
        <v>21</v>
      </c>
      <c r="C3315" s="50" t="s">
        <v>1749</v>
      </c>
      <c r="D3315" s="51">
        <v>-24955</v>
      </c>
      <c r="E3315" s="51">
        <v>0</v>
      </c>
      <c r="F3315" s="52">
        <v>0</v>
      </c>
      <c r="G3315" s="53" t="s">
        <v>1750</v>
      </c>
    </row>
    <row r="3316" spans="1:7">
      <c r="A3316" s="50" t="s">
        <v>2363</v>
      </c>
      <c r="B3316" s="50" t="s">
        <v>225</v>
      </c>
      <c r="C3316" s="50" t="s">
        <v>1749</v>
      </c>
      <c r="D3316" s="51">
        <v>-533</v>
      </c>
      <c r="E3316" s="51">
        <v>0</v>
      </c>
      <c r="F3316" s="52">
        <v>0</v>
      </c>
      <c r="G3316" s="53" t="s">
        <v>1750</v>
      </c>
    </row>
    <row r="3317" spans="1:7">
      <c r="A3317" s="50" t="s">
        <v>2363</v>
      </c>
      <c r="B3317" s="50" t="s">
        <v>24</v>
      </c>
      <c r="C3317" s="50" t="s">
        <v>1749</v>
      </c>
      <c r="D3317" s="51">
        <v>-3749</v>
      </c>
      <c r="E3317" s="51">
        <v>0</v>
      </c>
      <c r="F3317" s="52">
        <v>0</v>
      </c>
      <c r="G3317" s="53" t="s">
        <v>1750</v>
      </c>
    </row>
    <row r="3318" spans="1:7">
      <c r="A3318" s="50" t="s">
        <v>2363</v>
      </c>
      <c r="B3318" s="50" t="s">
        <v>26</v>
      </c>
      <c r="C3318" s="50" t="s">
        <v>1749</v>
      </c>
      <c r="D3318" s="51">
        <v>-2323</v>
      </c>
      <c r="E3318" s="51">
        <v>0</v>
      </c>
      <c r="F3318" s="52">
        <v>0</v>
      </c>
      <c r="G3318" s="53" t="s">
        <v>1750</v>
      </c>
    </row>
    <row r="3319" spans="1:7">
      <c r="A3319" s="50" t="s">
        <v>2363</v>
      </c>
      <c r="B3319" s="50" t="s">
        <v>29</v>
      </c>
      <c r="C3319" s="50" t="s">
        <v>1749</v>
      </c>
      <c r="D3319" s="51">
        <v>3976</v>
      </c>
      <c r="E3319" s="51">
        <v>54759</v>
      </c>
      <c r="F3319" s="52">
        <v>5437.1</v>
      </c>
      <c r="G3319" s="53" t="s">
        <v>1750</v>
      </c>
    </row>
    <row r="3320" spans="1:7">
      <c r="A3320" s="50" t="s">
        <v>2363</v>
      </c>
      <c r="B3320" s="50" t="s">
        <v>31</v>
      </c>
      <c r="C3320" s="50" t="s">
        <v>1749</v>
      </c>
      <c r="D3320" s="51">
        <v>-17641</v>
      </c>
      <c r="E3320" s="51">
        <v>0</v>
      </c>
      <c r="F3320" s="52">
        <v>0</v>
      </c>
      <c r="G3320" s="53" t="s">
        <v>1750</v>
      </c>
    </row>
    <row r="3321" spans="1:7">
      <c r="A3321" s="50" t="s">
        <v>2363</v>
      </c>
      <c r="B3321" s="50" t="s">
        <v>41</v>
      </c>
      <c r="C3321" s="50" t="s">
        <v>1749</v>
      </c>
      <c r="D3321" s="51">
        <v>1562</v>
      </c>
      <c r="E3321" s="51">
        <v>29947</v>
      </c>
      <c r="F3321" s="52">
        <v>3587.6</v>
      </c>
      <c r="G3321" s="53" t="s">
        <v>1750</v>
      </c>
    </row>
    <row r="3322" spans="1:7">
      <c r="A3322" s="50" t="s">
        <v>2363</v>
      </c>
      <c r="B3322" s="50" t="s">
        <v>33</v>
      </c>
      <c r="C3322" s="50" t="s">
        <v>1749</v>
      </c>
      <c r="D3322" s="51">
        <v>52</v>
      </c>
      <c r="E3322" s="51">
        <v>794</v>
      </c>
      <c r="F3322" s="52">
        <v>70.3</v>
      </c>
      <c r="G3322" s="53" t="s">
        <v>1750</v>
      </c>
    </row>
    <row r="3323" spans="1:7">
      <c r="A3323" s="50" t="s">
        <v>2363</v>
      </c>
      <c r="B3323" s="50" t="s">
        <v>36</v>
      </c>
      <c r="C3323" s="50" t="s">
        <v>1749</v>
      </c>
      <c r="D3323" s="51">
        <v>-3641</v>
      </c>
      <c r="E3323" s="51">
        <v>0</v>
      </c>
      <c r="F3323" s="52">
        <v>0</v>
      </c>
      <c r="G3323" s="53" t="s">
        <v>1750</v>
      </c>
    </row>
    <row r="3324" spans="1:7">
      <c r="A3324" s="50" t="s">
        <v>2363</v>
      </c>
      <c r="B3324" s="50" t="s">
        <v>39</v>
      </c>
      <c r="C3324" s="50" t="s">
        <v>1749</v>
      </c>
      <c r="D3324" s="51">
        <v>4477</v>
      </c>
      <c r="E3324" s="51">
        <v>54477</v>
      </c>
      <c r="F3324" s="52">
        <v>5592.3</v>
      </c>
      <c r="G3324" s="53" t="s">
        <v>1750</v>
      </c>
    </row>
    <row r="3325" spans="1:7">
      <c r="A3325" s="50" t="s">
        <v>2363</v>
      </c>
      <c r="B3325" s="50" t="s">
        <v>44</v>
      </c>
      <c r="C3325" s="50" t="s">
        <v>1749</v>
      </c>
      <c r="D3325" s="51">
        <v>1378</v>
      </c>
      <c r="E3325" s="51">
        <v>15481</v>
      </c>
      <c r="F3325" s="52">
        <v>1501.6</v>
      </c>
      <c r="G3325" s="53" t="s">
        <v>1750</v>
      </c>
    </row>
    <row r="3326" spans="1:7">
      <c r="A3326" s="50" t="s">
        <v>2363</v>
      </c>
      <c r="B3326" s="50" t="s">
        <v>50</v>
      </c>
      <c r="C3326" s="50" t="s">
        <v>1749</v>
      </c>
      <c r="D3326" s="51">
        <v>2551</v>
      </c>
      <c r="E3326" s="51">
        <v>46959</v>
      </c>
      <c r="F3326" s="52">
        <v>3369.6</v>
      </c>
      <c r="G3326" s="53" t="s">
        <v>1750</v>
      </c>
    </row>
    <row r="3327" spans="1:7">
      <c r="A3327" s="50" t="s">
        <v>2363</v>
      </c>
      <c r="B3327" s="50" t="s">
        <v>56</v>
      </c>
      <c r="C3327" s="50" t="s">
        <v>1749</v>
      </c>
      <c r="D3327" s="51">
        <v>-53957</v>
      </c>
      <c r="E3327" s="51">
        <v>0</v>
      </c>
      <c r="F3327" s="52">
        <v>0</v>
      </c>
      <c r="G3327" s="53" t="s">
        <v>1750</v>
      </c>
    </row>
    <row r="3328" spans="1:7">
      <c r="A3328" s="50" t="s">
        <v>2363</v>
      </c>
      <c r="B3328" s="50" t="s">
        <v>54</v>
      </c>
      <c r="C3328" s="50" t="s">
        <v>1749</v>
      </c>
      <c r="D3328" s="51">
        <v>-52152</v>
      </c>
      <c r="E3328" s="51">
        <v>0</v>
      </c>
      <c r="F3328" s="52">
        <v>0</v>
      </c>
      <c r="G3328" s="53" t="s">
        <v>1750</v>
      </c>
    </row>
    <row r="3329" spans="1:7">
      <c r="A3329" s="50" t="s">
        <v>2363</v>
      </c>
      <c r="B3329" s="50" t="s">
        <v>52</v>
      </c>
      <c r="C3329" s="50" t="s">
        <v>1749</v>
      </c>
      <c r="D3329" s="51">
        <v>-5</v>
      </c>
      <c r="E3329" s="51">
        <v>0</v>
      </c>
      <c r="F3329" s="52">
        <v>0</v>
      </c>
      <c r="G3329" s="53" t="s">
        <v>1750</v>
      </c>
    </row>
    <row r="3330" spans="1:7">
      <c r="A3330" s="50" t="s">
        <v>2363</v>
      </c>
      <c r="B3330" s="50" t="s">
        <v>58</v>
      </c>
      <c r="C3330" s="50" t="s">
        <v>1749</v>
      </c>
      <c r="D3330" s="51">
        <v>-1</v>
      </c>
      <c r="E3330" s="51">
        <v>0</v>
      </c>
      <c r="F3330" s="52">
        <v>0</v>
      </c>
      <c r="G3330" s="53" t="s">
        <v>1750</v>
      </c>
    </row>
    <row r="3331" spans="1:7">
      <c r="A3331" s="50" t="s">
        <v>2363</v>
      </c>
      <c r="B3331" s="50" t="s">
        <v>60</v>
      </c>
      <c r="C3331" s="50" t="s">
        <v>1749</v>
      </c>
      <c r="D3331" s="51">
        <v>821</v>
      </c>
      <c r="E3331" s="51">
        <v>7789</v>
      </c>
      <c r="F3331" s="52">
        <v>887.1</v>
      </c>
      <c r="G3331" s="53" t="s">
        <v>1750</v>
      </c>
    </row>
    <row r="3332" spans="1:7">
      <c r="A3332" s="50" t="s">
        <v>2363</v>
      </c>
      <c r="B3332" s="50" t="s">
        <v>64</v>
      </c>
      <c r="C3332" s="50" t="s">
        <v>1749</v>
      </c>
      <c r="D3332" s="51">
        <v>6364</v>
      </c>
      <c r="E3332" s="51">
        <v>125136</v>
      </c>
      <c r="F3332" s="52">
        <v>12141.1</v>
      </c>
      <c r="G3332" s="53" t="s">
        <v>1750</v>
      </c>
    </row>
    <row r="3333" spans="1:7">
      <c r="A3333" s="50" t="s">
        <v>2363</v>
      </c>
      <c r="B3333" s="50" t="s">
        <v>62</v>
      </c>
      <c r="C3333" s="50" t="s">
        <v>1749</v>
      </c>
      <c r="D3333" s="51">
        <v>2535</v>
      </c>
      <c r="E3333" s="51">
        <v>38605</v>
      </c>
      <c r="F3333" s="52">
        <v>3632.5</v>
      </c>
      <c r="G3333" s="53" t="s">
        <v>1750</v>
      </c>
    </row>
    <row r="3334" spans="1:7">
      <c r="A3334" s="50" t="s">
        <v>2363</v>
      </c>
      <c r="B3334" s="50" t="s">
        <v>85</v>
      </c>
      <c r="C3334" s="50" t="s">
        <v>1749</v>
      </c>
      <c r="D3334" s="51">
        <v>270</v>
      </c>
      <c r="E3334" s="51">
        <v>3081</v>
      </c>
      <c r="F3334" s="52">
        <v>375.3</v>
      </c>
      <c r="G3334" s="53" t="s">
        <v>1750</v>
      </c>
    </row>
    <row r="3335" spans="1:7">
      <c r="A3335" s="50" t="s">
        <v>2363</v>
      </c>
      <c r="B3335" s="50" t="s">
        <v>88</v>
      </c>
      <c r="C3335" s="50" t="s">
        <v>1749</v>
      </c>
      <c r="D3335" s="51">
        <v>2117</v>
      </c>
      <c r="E3335" s="51">
        <v>44228</v>
      </c>
      <c r="F3335" s="52">
        <v>5454.3</v>
      </c>
      <c r="G3335" s="53" t="s">
        <v>1750</v>
      </c>
    </row>
    <row r="3336" spans="1:7">
      <c r="A3336" s="50" t="s">
        <v>2363</v>
      </c>
      <c r="B3336" s="50" t="s">
        <v>69</v>
      </c>
      <c r="C3336" s="50" t="s">
        <v>1749</v>
      </c>
      <c r="D3336" s="51">
        <v>240</v>
      </c>
      <c r="E3336" s="51">
        <v>7172</v>
      </c>
      <c r="F3336" s="52">
        <v>941.7</v>
      </c>
      <c r="G3336" s="53" t="s">
        <v>1750</v>
      </c>
    </row>
    <row r="3337" spans="1:7">
      <c r="A3337" s="50" t="s">
        <v>2363</v>
      </c>
      <c r="B3337" s="50" t="s">
        <v>74</v>
      </c>
      <c r="C3337" s="50" t="s">
        <v>1749</v>
      </c>
      <c r="D3337" s="51">
        <v>-1810</v>
      </c>
      <c r="E3337" s="51">
        <v>0</v>
      </c>
      <c r="F3337" s="52">
        <v>0</v>
      </c>
      <c r="G3337" s="53" t="s">
        <v>1750</v>
      </c>
    </row>
    <row r="3338" spans="1:7">
      <c r="A3338" s="50" t="s">
        <v>2363</v>
      </c>
      <c r="B3338" s="50" t="s">
        <v>77</v>
      </c>
      <c r="C3338" s="50" t="s">
        <v>1749</v>
      </c>
      <c r="D3338" s="51">
        <v>-60044</v>
      </c>
      <c r="E3338" s="51">
        <v>74152</v>
      </c>
      <c r="F3338" s="52">
        <v>15681.8</v>
      </c>
      <c r="G3338" s="53" t="s">
        <v>1750</v>
      </c>
    </row>
    <row r="3339" spans="1:7">
      <c r="A3339" s="50" t="s">
        <v>2363</v>
      </c>
      <c r="B3339" s="50" t="s">
        <v>80</v>
      </c>
      <c r="C3339" s="50" t="s">
        <v>1749</v>
      </c>
      <c r="D3339" s="51">
        <v>-4870</v>
      </c>
      <c r="E3339" s="51">
        <v>0</v>
      </c>
      <c r="F3339" s="52">
        <v>0</v>
      </c>
      <c r="G3339" s="53" t="s">
        <v>1750</v>
      </c>
    </row>
    <row r="3340" spans="1:7">
      <c r="A3340" s="50" t="s">
        <v>2363</v>
      </c>
      <c r="B3340" s="50" t="s">
        <v>71</v>
      </c>
      <c r="C3340" s="50" t="s">
        <v>1749</v>
      </c>
      <c r="D3340" s="51">
        <v>-24404</v>
      </c>
      <c r="E3340" s="51">
        <v>11319</v>
      </c>
      <c r="F3340" s="52">
        <v>1401.8</v>
      </c>
      <c r="G3340" s="53" t="s">
        <v>1750</v>
      </c>
    </row>
    <row r="3341" spans="1:7">
      <c r="A3341" s="50" t="s">
        <v>2363</v>
      </c>
      <c r="B3341" s="50" t="s">
        <v>82</v>
      </c>
      <c r="C3341" s="50" t="s">
        <v>1749</v>
      </c>
      <c r="D3341" s="51">
        <v>-53971</v>
      </c>
      <c r="E3341" s="51">
        <v>46786</v>
      </c>
      <c r="F3341" s="52">
        <v>5591.7</v>
      </c>
      <c r="G3341" s="53" t="s">
        <v>1750</v>
      </c>
    </row>
    <row r="3342" spans="1:7">
      <c r="A3342" s="50" t="s">
        <v>2363</v>
      </c>
      <c r="B3342" s="50" t="s">
        <v>91</v>
      </c>
      <c r="C3342" s="50" t="s">
        <v>1749</v>
      </c>
      <c r="D3342" s="51">
        <v>2714</v>
      </c>
      <c r="E3342" s="51">
        <v>69218</v>
      </c>
      <c r="F3342" s="52">
        <v>5841.5</v>
      </c>
      <c r="G3342" s="53" t="s">
        <v>1750</v>
      </c>
    </row>
    <row r="3343" spans="1:7">
      <c r="A3343" s="50" t="s">
        <v>2363</v>
      </c>
      <c r="B3343" s="50" t="s">
        <v>94</v>
      </c>
      <c r="C3343" s="50" t="s">
        <v>1749</v>
      </c>
      <c r="D3343" s="51">
        <v>8403</v>
      </c>
      <c r="E3343" s="51">
        <v>138428</v>
      </c>
      <c r="F3343" s="52">
        <v>15636.9</v>
      </c>
      <c r="G3343" s="53" t="s">
        <v>1750</v>
      </c>
    </row>
    <row r="3344" spans="1:7">
      <c r="A3344" s="50" t="s">
        <v>2363</v>
      </c>
      <c r="B3344" s="50" t="s">
        <v>96</v>
      </c>
      <c r="C3344" s="50" t="s">
        <v>1749</v>
      </c>
      <c r="D3344" s="51">
        <v>-3828</v>
      </c>
      <c r="E3344" s="51">
        <v>0</v>
      </c>
      <c r="F3344" s="52">
        <v>0</v>
      </c>
      <c r="G3344" s="53" t="s">
        <v>1750</v>
      </c>
    </row>
    <row r="3345" spans="1:7">
      <c r="A3345" s="50" t="s">
        <v>2363</v>
      </c>
      <c r="B3345" s="50" t="s">
        <v>99</v>
      </c>
      <c r="C3345" s="50" t="s">
        <v>1749</v>
      </c>
      <c r="D3345" s="51">
        <v>-11724</v>
      </c>
      <c r="E3345" s="51">
        <v>0</v>
      </c>
      <c r="F3345" s="52">
        <v>0</v>
      </c>
      <c r="G3345" s="53" t="s">
        <v>1750</v>
      </c>
    </row>
    <row r="3346" spans="1:7">
      <c r="A3346" s="50" t="s">
        <v>2363</v>
      </c>
      <c r="B3346" s="50" t="s">
        <v>102</v>
      </c>
      <c r="C3346" s="50" t="s">
        <v>1749</v>
      </c>
      <c r="D3346" s="51">
        <v>-1151</v>
      </c>
      <c r="E3346" s="51">
        <v>0</v>
      </c>
      <c r="F3346" s="52">
        <v>0</v>
      </c>
      <c r="G3346" s="53" t="s">
        <v>1750</v>
      </c>
    </row>
    <row r="3347" spans="1:7">
      <c r="A3347" s="50" t="s">
        <v>2363</v>
      </c>
      <c r="B3347" s="50" t="s">
        <v>104</v>
      </c>
      <c r="C3347" s="50" t="s">
        <v>1749</v>
      </c>
      <c r="D3347" s="51">
        <v>-7640</v>
      </c>
      <c r="E3347" s="51">
        <v>0</v>
      </c>
      <c r="F3347" s="52">
        <v>0</v>
      </c>
      <c r="G3347" s="53" t="s">
        <v>1750</v>
      </c>
    </row>
    <row r="3348" spans="1:7">
      <c r="A3348" s="50" t="s">
        <v>2363</v>
      </c>
      <c r="B3348" s="50" t="s">
        <v>113</v>
      </c>
      <c r="C3348" s="50" t="s">
        <v>1749</v>
      </c>
      <c r="D3348" s="51">
        <v>4649</v>
      </c>
      <c r="E3348" s="51">
        <v>312390</v>
      </c>
      <c r="F3348" s="52">
        <v>39638.6</v>
      </c>
      <c r="G3348" s="53" t="s">
        <v>1750</v>
      </c>
    </row>
    <row r="3349" spans="1:7">
      <c r="A3349" s="50" t="s">
        <v>2363</v>
      </c>
      <c r="B3349" s="50" t="s">
        <v>116</v>
      </c>
      <c r="C3349" s="50" t="s">
        <v>1749</v>
      </c>
      <c r="D3349" s="51">
        <v>1010</v>
      </c>
      <c r="E3349" s="51">
        <v>18920</v>
      </c>
      <c r="F3349" s="52">
        <v>2590.6999999999998</v>
      </c>
      <c r="G3349" s="53" t="s">
        <v>1750</v>
      </c>
    </row>
    <row r="3350" spans="1:7">
      <c r="A3350" s="50" t="s">
        <v>2363</v>
      </c>
      <c r="B3350" s="50" t="s">
        <v>121</v>
      </c>
      <c r="C3350" s="50" t="s">
        <v>1749</v>
      </c>
      <c r="D3350" s="51">
        <v>-68</v>
      </c>
      <c r="E3350" s="51">
        <v>0</v>
      </c>
      <c r="F3350" s="52">
        <v>0</v>
      </c>
      <c r="G3350" s="53" t="s">
        <v>1750</v>
      </c>
    </row>
    <row r="3351" spans="1:7">
      <c r="A3351" s="50" t="s">
        <v>2363</v>
      </c>
      <c r="B3351" s="50" t="s">
        <v>119</v>
      </c>
      <c r="C3351" s="50" t="s">
        <v>1749</v>
      </c>
      <c r="D3351" s="51">
        <v>-2623</v>
      </c>
      <c r="E3351" s="51">
        <v>0</v>
      </c>
      <c r="F3351" s="52">
        <v>0</v>
      </c>
      <c r="G3351" s="53" t="s">
        <v>1750</v>
      </c>
    </row>
    <row r="3352" spans="1:7">
      <c r="A3352" s="50" t="s">
        <v>2363</v>
      </c>
      <c r="B3352" s="50" t="s">
        <v>124</v>
      </c>
      <c r="C3352" s="50" t="s">
        <v>1749</v>
      </c>
      <c r="D3352" s="51">
        <v>4509</v>
      </c>
      <c r="E3352" s="51">
        <v>73097</v>
      </c>
      <c r="F3352" s="52">
        <v>5886.8</v>
      </c>
      <c r="G3352" s="53" t="s">
        <v>1750</v>
      </c>
    </row>
    <row r="3353" spans="1:7">
      <c r="A3353" s="50" t="s">
        <v>2363</v>
      </c>
      <c r="B3353" s="50" t="s">
        <v>129</v>
      </c>
      <c r="C3353" s="50" t="s">
        <v>1749</v>
      </c>
      <c r="D3353" s="51">
        <v>-4</v>
      </c>
      <c r="E3353" s="51">
        <v>0</v>
      </c>
      <c r="F3353" s="52">
        <v>0</v>
      </c>
      <c r="G3353" s="53" t="s">
        <v>1750</v>
      </c>
    </row>
    <row r="3354" spans="1:7"/>
    <row r="3355" spans="1:7"/>
    <row r="3356" spans="1:7"/>
  </sheetData>
  <autoFilter ref="A3:G3353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9BCE-D37F-474C-9B62-BB7CFB3CA0D5}">
  <dimension ref="A1:P57"/>
  <sheetViews>
    <sheetView topLeftCell="A9" workbookViewId="0">
      <selection activeCell="K50" sqref="K50"/>
    </sheetView>
  </sheetViews>
  <sheetFormatPr baseColWidth="10" defaultColWidth="8.83203125" defaultRowHeight="15"/>
  <cols>
    <col min="1" max="1" width="32.5" style="15" bestFit="1" customWidth="1"/>
    <col min="2" max="2" width="14.5" style="15" bestFit="1" customWidth="1"/>
    <col min="3" max="3" width="10.5" style="15" bestFit="1" customWidth="1"/>
    <col min="4" max="4" width="23" style="15" bestFit="1" customWidth="1"/>
    <col min="5" max="6" width="10.5" style="15" bestFit="1" customWidth="1"/>
    <col min="7" max="7" width="8.5" style="15" bestFit="1" customWidth="1"/>
    <col min="8" max="8" width="12.5" style="15" bestFit="1" customWidth="1"/>
    <col min="9" max="9" width="10.5" style="15" bestFit="1" customWidth="1"/>
    <col min="10" max="10" width="9.5" style="15" bestFit="1" customWidth="1"/>
    <col min="11" max="11" width="14.5" style="15" bestFit="1" customWidth="1"/>
    <col min="12" max="12" width="26.5" style="15" bestFit="1" customWidth="1"/>
    <col min="13" max="13" width="11.5" style="15" bestFit="1" customWidth="1"/>
    <col min="14" max="14" width="10.5" style="15" bestFit="1" customWidth="1"/>
    <col min="15" max="15" width="26.5" style="15" bestFit="1" customWidth="1"/>
    <col min="16" max="16" width="11.5" style="15" bestFit="1" customWidth="1"/>
    <col min="17" max="16384" width="8.83203125" style="15"/>
  </cols>
  <sheetData>
    <row r="1" spans="1:16">
      <c r="A1" s="15" t="s">
        <v>1751</v>
      </c>
      <c r="B1" s="13">
        <v>2018</v>
      </c>
    </row>
    <row r="3" spans="1:16">
      <c r="A3" s="15" t="s">
        <v>2366</v>
      </c>
      <c r="B3" s="15" t="s">
        <v>2367</v>
      </c>
    </row>
    <row r="4" spans="1:16">
      <c r="A4" s="15" t="s">
        <v>2368</v>
      </c>
      <c r="B4" s="15" t="s">
        <v>1753</v>
      </c>
      <c r="C4" s="15" t="s">
        <v>1763</v>
      </c>
      <c r="D4" s="15" t="s">
        <v>1754</v>
      </c>
      <c r="E4" s="15" t="s">
        <v>1755</v>
      </c>
      <c r="F4" s="15" t="s">
        <v>1759</v>
      </c>
      <c r="G4" s="15" t="s">
        <v>1749</v>
      </c>
      <c r="H4" s="15" t="s">
        <v>1760</v>
      </c>
      <c r="I4" s="15" t="s">
        <v>1761</v>
      </c>
      <c r="J4" s="15" t="s">
        <v>1756</v>
      </c>
      <c r="K4" s="15" t="s">
        <v>1762</v>
      </c>
      <c r="L4" s="15" t="s">
        <v>1764</v>
      </c>
      <c r="M4" s="15" t="s">
        <v>1752</v>
      </c>
      <c r="N4" s="15" t="s">
        <v>1757</v>
      </c>
      <c r="O4" s="15" t="s">
        <v>1758</v>
      </c>
      <c r="P4" s="15" t="s">
        <v>2369</v>
      </c>
    </row>
    <row r="5" spans="1:16">
      <c r="A5" s="13" t="s">
        <v>8</v>
      </c>
      <c r="B5" s="15">
        <v>1257128</v>
      </c>
      <c r="D5" s="15">
        <v>3328450</v>
      </c>
      <c r="E5" s="15">
        <v>5895805</v>
      </c>
      <c r="G5" s="15">
        <v>-6200</v>
      </c>
      <c r="H5" s="15">
        <v>90948</v>
      </c>
      <c r="J5" s="15">
        <v>1618557</v>
      </c>
      <c r="M5" s="15">
        <v>12494718</v>
      </c>
      <c r="N5" s="15">
        <v>310030</v>
      </c>
      <c r="O5" s="15">
        <v>0</v>
      </c>
      <c r="P5" s="15">
        <v>24989436</v>
      </c>
    </row>
    <row r="6" spans="1:16">
      <c r="A6" s="13" t="s">
        <v>4</v>
      </c>
      <c r="B6" s="15">
        <v>63555040</v>
      </c>
      <c r="D6" s="15">
        <v>22286278</v>
      </c>
      <c r="E6" s="15">
        <v>117600839</v>
      </c>
      <c r="F6" s="15">
        <v>78925654</v>
      </c>
      <c r="G6" s="15">
        <v>-98</v>
      </c>
      <c r="H6" s="15">
        <v>75344</v>
      </c>
      <c r="I6" s="15">
        <v>9608</v>
      </c>
      <c r="J6" s="15">
        <v>131407</v>
      </c>
      <c r="L6" s="15">
        <v>714504</v>
      </c>
      <c r="M6" s="15">
        <v>290115988</v>
      </c>
      <c r="O6" s="15">
        <v>6817414</v>
      </c>
      <c r="P6" s="15">
        <v>580231978</v>
      </c>
    </row>
    <row r="7" spans="1:16">
      <c r="A7" s="13" t="s">
        <v>13</v>
      </c>
      <c r="B7" s="15">
        <v>59992202</v>
      </c>
      <c r="D7" s="15">
        <v>6017550</v>
      </c>
      <c r="E7" s="15">
        <v>41247410</v>
      </c>
      <c r="F7" s="15">
        <v>25441636</v>
      </c>
      <c r="G7" s="15">
        <v>10174</v>
      </c>
      <c r="H7" s="15">
        <v>149900</v>
      </c>
      <c r="J7" s="15">
        <v>71034</v>
      </c>
      <c r="K7" s="15">
        <v>80490</v>
      </c>
      <c r="L7" s="15">
        <v>406826</v>
      </c>
      <c r="M7" s="15">
        <v>135998704</v>
      </c>
      <c r="O7" s="15">
        <v>2581480</v>
      </c>
      <c r="P7" s="15">
        <v>271997406</v>
      </c>
    </row>
    <row r="8" spans="1:16">
      <c r="A8" s="13" t="s">
        <v>11</v>
      </c>
      <c r="B8" s="15">
        <v>61489246</v>
      </c>
      <c r="D8" s="15">
        <v>13964484</v>
      </c>
      <c r="E8" s="15">
        <v>74336150</v>
      </c>
      <c r="F8" s="15">
        <v>62194518</v>
      </c>
      <c r="G8" s="15">
        <v>-5072</v>
      </c>
      <c r="H8" s="15">
        <v>74750</v>
      </c>
      <c r="J8" s="15">
        <v>99892</v>
      </c>
      <c r="K8" s="15">
        <v>-9052</v>
      </c>
      <c r="L8" s="15">
        <v>10280753</v>
      </c>
      <c r="M8" s="15">
        <v>223850289</v>
      </c>
      <c r="N8" s="15">
        <v>1060380</v>
      </c>
      <c r="O8" s="15">
        <v>364240</v>
      </c>
      <c r="P8" s="15">
        <v>447700578</v>
      </c>
    </row>
    <row r="9" spans="1:16">
      <c r="A9" s="13" t="s">
        <v>16</v>
      </c>
      <c r="B9" s="15">
        <v>562656</v>
      </c>
      <c r="C9" s="15">
        <v>23353682</v>
      </c>
      <c r="D9" s="15">
        <v>52661333</v>
      </c>
      <c r="E9" s="15">
        <v>179208948</v>
      </c>
      <c r="F9" s="15">
        <v>36427038</v>
      </c>
      <c r="G9" s="15">
        <v>1657536</v>
      </c>
      <c r="H9" s="15">
        <v>5647697</v>
      </c>
      <c r="I9" s="15">
        <v>2907920</v>
      </c>
      <c r="J9" s="15">
        <v>137756</v>
      </c>
      <c r="K9" s="15">
        <v>-297148</v>
      </c>
      <c r="L9" s="15">
        <v>53970354</v>
      </c>
      <c r="M9" s="15">
        <v>390530816</v>
      </c>
      <c r="N9" s="15">
        <v>28047902</v>
      </c>
      <c r="O9" s="15">
        <v>6245143</v>
      </c>
      <c r="P9" s="15">
        <v>781061633</v>
      </c>
    </row>
    <row r="10" spans="1:16">
      <c r="A10" s="13" t="s">
        <v>19</v>
      </c>
      <c r="B10" s="15">
        <v>52764120</v>
      </c>
      <c r="D10" s="15">
        <v>3650770</v>
      </c>
      <c r="E10" s="15">
        <v>32796879</v>
      </c>
      <c r="G10" s="15">
        <v>118584</v>
      </c>
      <c r="H10" s="15">
        <v>151576</v>
      </c>
      <c r="J10" s="15">
        <v>23764</v>
      </c>
      <c r="K10" s="15">
        <v>-525476</v>
      </c>
      <c r="L10" s="15">
        <v>2124760</v>
      </c>
      <c r="M10" s="15">
        <v>110772557</v>
      </c>
      <c r="N10" s="15">
        <v>19490300</v>
      </c>
      <c r="O10" s="15">
        <v>177278</v>
      </c>
      <c r="P10" s="15">
        <v>221545112</v>
      </c>
    </row>
    <row r="11" spans="1:16">
      <c r="A11" s="13" t="s">
        <v>21</v>
      </c>
      <c r="B11" s="15">
        <v>659402</v>
      </c>
      <c r="D11" s="15">
        <v>1110638</v>
      </c>
      <c r="E11" s="15">
        <v>40012915</v>
      </c>
      <c r="F11" s="15">
        <v>33762984</v>
      </c>
      <c r="G11" s="15">
        <v>929466</v>
      </c>
      <c r="H11" s="15">
        <v>989398</v>
      </c>
      <c r="J11" s="15">
        <v>677914</v>
      </c>
      <c r="K11" s="15">
        <v>6942</v>
      </c>
      <c r="L11" s="15">
        <v>211110</v>
      </c>
      <c r="M11" s="15">
        <v>78907103</v>
      </c>
      <c r="N11" s="15">
        <v>24590</v>
      </c>
      <c r="O11" s="15">
        <v>521742</v>
      </c>
      <c r="P11" s="15">
        <v>157814204</v>
      </c>
    </row>
    <row r="12" spans="1:16">
      <c r="A12" s="13" t="s">
        <v>225</v>
      </c>
      <c r="E12" s="15">
        <v>45540</v>
      </c>
      <c r="H12" s="15">
        <v>113122</v>
      </c>
      <c r="J12" s="15">
        <v>0</v>
      </c>
      <c r="M12" s="15">
        <v>158662</v>
      </c>
      <c r="P12" s="15">
        <v>317324</v>
      </c>
    </row>
    <row r="13" spans="1:16">
      <c r="A13" s="13" t="s">
        <v>24</v>
      </c>
      <c r="B13" s="15">
        <v>546776</v>
      </c>
      <c r="E13" s="15">
        <v>10800310</v>
      </c>
      <c r="H13" s="15">
        <v>118202</v>
      </c>
      <c r="I13" s="15">
        <v>504360</v>
      </c>
      <c r="J13" s="15">
        <v>401649</v>
      </c>
      <c r="L13" s="15">
        <v>99578</v>
      </c>
      <c r="M13" s="15">
        <v>12481288</v>
      </c>
      <c r="N13" s="15">
        <v>10414</v>
      </c>
      <c r="P13" s="15">
        <v>24962577</v>
      </c>
    </row>
    <row r="14" spans="1:16">
      <c r="A14" s="13" t="s">
        <v>26</v>
      </c>
      <c r="B14" s="15">
        <v>60544401</v>
      </c>
      <c r="D14" s="15">
        <v>465148</v>
      </c>
      <c r="E14" s="15">
        <v>343744428</v>
      </c>
      <c r="F14" s="15">
        <v>58624698</v>
      </c>
      <c r="G14" s="15">
        <v>5966639</v>
      </c>
      <c r="H14" s="15">
        <v>5137975</v>
      </c>
      <c r="I14" s="15">
        <v>10976</v>
      </c>
      <c r="J14" s="15">
        <v>4154716</v>
      </c>
      <c r="L14" s="15">
        <v>4824126</v>
      </c>
      <c r="M14" s="15">
        <v>488504071</v>
      </c>
      <c r="O14" s="15">
        <v>5030960</v>
      </c>
      <c r="P14" s="15">
        <v>977008138</v>
      </c>
    </row>
    <row r="15" spans="1:16">
      <c r="A15" s="13" t="s">
        <v>29</v>
      </c>
      <c r="B15" s="15">
        <v>64361110</v>
      </c>
      <c r="D15" s="15">
        <v>7393736</v>
      </c>
      <c r="E15" s="15">
        <v>103944220</v>
      </c>
      <c r="F15" s="15">
        <v>68725352</v>
      </c>
      <c r="G15" s="15">
        <v>171578</v>
      </c>
      <c r="H15" s="15">
        <v>681876</v>
      </c>
      <c r="J15" s="15">
        <v>871468</v>
      </c>
      <c r="K15" s="15">
        <v>-977508</v>
      </c>
      <c r="L15" s="15">
        <v>3991674</v>
      </c>
      <c r="M15" s="15">
        <v>258478742</v>
      </c>
      <c r="O15" s="15">
        <v>9315239</v>
      </c>
      <c r="P15" s="15">
        <v>516957487</v>
      </c>
    </row>
    <row r="16" spans="1:16">
      <c r="A16" s="13" t="s">
        <v>31</v>
      </c>
      <c r="B16" s="15">
        <v>2622406</v>
      </c>
      <c r="C16" s="15">
        <v>220178</v>
      </c>
      <c r="D16" s="15">
        <v>193040</v>
      </c>
      <c r="G16" s="15">
        <v>764538</v>
      </c>
      <c r="H16" s="15">
        <v>611025</v>
      </c>
      <c r="I16" s="15">
        <v>111444</v>
      </c>
      <c r="J16" s="15">
        <v>13497894</v>
      </c>
      <c r="L16" s="15">
        <v>369152</v>
      </c>
      <c r="M16" s="15">
        <v>19593546</v>
      </c>
      <c r="N16" s="15">
        <v>1203868</v>
      </c>
      <c r="O16" s="15">
        <v>0</v>
      </c>
      <c r="P16" s="15">
        <v>39187091</v>
      </c>
    </row>
    <row r="17" spans="1:16">
      <c r="A17" s="13" t="s">
        <v>41</v>
      </c>
      <c r="B17" s="15">
        <v>57105997</v>
      </c>
      <c r="D17" s="15">
        <v>1849722</v>
      </c>
      <c r="E17" s="15">
        <v>14680140</v>
      </c>
      <c r="F17" s="15">
        <v>9790798</v>
      </c>
      <c r="G17" s="15">
        <v>0</v>
      </c>
      <c r="H17" s="15">
        <v>418353</v>
      </c>
      <c r="J17" s="15">
        <v>221130</v>
      </c>
      <c r="L17" s="15">
        <v>22912</v>
      </c>
      <c r="M17" s="15">
        <v>126761138</v>
      </c>
      <c r="N17" s="15">
        <v>42668114</v>
      </c>
      <c r="O17" s="15">
        <v>3972</v>
      </c>
      <c r="P17" s="15">
        <v>253522276</v>
      </c>
    </row>
    <row r="18" spans="1:16">
      <c r="A18" s="13" t="s">
        <v>33</v>
      </c>
      <c r="B18" s="15">
        <v>40676</v>
      </c>
      <c r="C18" s="15">
        <v>166224</v>
      </c>
      <c r="D18" s="15">
        <v>22048684</v>
      </c>
      <c r="E18" s="15">
        <v>6557484</v>
      </c>
      <c r="G18" s="15">
        <v>127944</v>
      </c>
      <c r="H18" s="15">
        <v>192606</v>
      </c>
      <c r="J18" s="15">
        <v>114</v>
      </c>
      <c r="L18" s="15">
        <v>1111928</v>
      </c>
      <c r="M18" s="15">
        <v>36344240</v>
      </c>
      <c r="N18" s="15">
        <v>5310104</v>
      </c>
      <c r="O18" s="15">
        <v>788474</v>
      </c>
      <c r="P18" s="15">
        <v>72688478</v>
      </c>
    </row>
    <row r="19" spans="1:16">
      <c r="A19" s="13" t="s">
        <v>36</v>
      </c>
      <c r="B19" s="15">
        <v>119283848</v>
      </c>
      <c r="D19" s="15">
        <v>293056</v>
      </c>
      <c r="E19" s="15">
        <v>34481838</v>
      </c>
      <c r="F19" s="15">
        <v>196203054</v>
      </c>
      <c r="G19" s="15">
        <v>454256</v>
      </c>
      <c r="H19" s="15">
        <v>852742</v>
      </c>
      <c r="I19" s="15">
        <v>401632</v>
      </c>
      <c r="J19" s="15">
        <v>106222</v>
      </c>
      <c r="L19" s="15">
        <v>132100</v>
      </c>
      <c r="M19" s="15">
        <v>376006714</v>
      </c>
      <c r="N19" s="15">
        <v>23797968</v>
      </c>
      <c r="O19" s="15">
        <v>0</v>
      </c>
      <c r="P19" s="15">
        <v>752013430</v>
      </c>
    </row>
    <row r="20" spans="1:16">
      <c r="A20" s="13" t="s">
        <v>39</v>
      </c>
      <c r="B20" s="15">
        <v>154910458</v>
      </c>
      <c r="D20" s="15">
        <v>445322</v>
      </c>
      <c r="E20" s="15">
        <v>53633989</v>
      </c>
      <c r="G20" s="15">
        <v>641276</v>
      </c>
      <c r="H20" s="15">
        <v>919778</v>
      </c>
      <c r="I20" s="15">
        <v>4651626</v>
      </c>
      <c r="J20" s="15">
        <v>261234</v>
      </c>
      <c r="L20" s="15">
        <v>581434</v>
      </c>
      <c r="M20" s="15">
        <v>226919421</v>
      </c>
      <c r="N20" s="15">
        <v>10874306</v>
      </c>
      <c r="O20" s="15">
        <v>0</v>
      </c>
      <c r="P20" s="15">
        <v>453838844</v>
      </c>
    </row>
    <row r="21" spans="1:16">
      <c r="A21" s="13" t="s">
        <v>44</v>
      </c>
      <c r="B21" s="15">
        <v>40947966</v>
      </c>
      <c r="D21" s="15">
        <v>52840</v>
      </c>
      <c r="E21" s="15">
        <v>6011430</v>
      </c>
      <c r="F21" s="15">
        <v>18336578</v>
      </c>
      <c r="G21" s="15">
        <v>10020</v>
      </c>
      <c r="H21" s="15">
        <v>127102</v>
      </c>
      <c r="J21" s="15">
        <v>104032</v>
      </c>
      <c r="L21" s="15">
        <v>15454</v>
      </c>
      <c r="M21" s="15">
        <v>103420426</v>
      </c>
      <c r="N21" s="15">
        <v>37815004</v>
      </c>
      <c r="P21" s="15">
        <v>206840852</v>
      </c>
    </row>
    <row r="22" spans="1:16">
      <c r="A22" s="13" t="s">
        <v>47</v>
      </c>
      <c r="B22" s="15">
        <v>118336286</v>
      </c>
      <c r="D22" s="15">
        <v>8835666</v>
      </c>
      <c r="E22" s="15">
        <v>29229998</v>
      </c>
      <c r="G22" s="15">
        <v>127080</v>
      </c>
      <c r="H22" s="15">
        <v>203134</v>
      </c>
      <c r="J22" s="15">
        <v>139984</v>
      </c>
      <c r="L22" s="15">
        <v>78872</v>
      </c>
      <c r="M22" s="15">
        <v>157608994</v>
      </c>
      <c r="O22" s="15">
        <v>657974</v>
      </c>
      <c r="P22" s="15">
        <v>315217988</v>
      </c>
    </row>
    <row r="23" spans="1:16">
      <c r="A23" s="13" t="s">
        <v>50</v>
      </c>
      <c r="B23" s="15">
        <v>23573448</v>
      </c>
      <c r="D23" s="15">
        <v>2359710</v>
      </c>
      <c r="E23" s="15">
        <v>123563547</v>
      </c>
      <c r="F23" s="15">
        <v>34305164</v>
      </c>
      <c r="G23" s="15">
        <v>1286252</v>
      </c>
      <c r="H23" s="15">
        <v>157574</v>
      </c>
      <c r="I23" s="15">
        <v>5195916</v>
      </c>
      <c r="J23" s="15">
        <v>8755589</v>
      </c>
      <c r="L23" s="15">
        <v>3036</v>
      </c>
      <c r="M23" s="15">
        <v>204256969</v>
      </c>
      <c r="O23" s="15">
        <v>5056732</v>
      </c>
      <c r="P23" s="15">
        <v>408513937</v>
      </c>
    </row>
    <row r="24" spans="1:16">
      <c r="A24" s="13" t="s">
        <v>56</v>
      </c>
      <c r="B24" s="15">
        <v>0</v>
      </c>
      <c r="D24" s="15">
        <v>2267240</v>
      </c>
      <c r="E24" s="15">
        <v>36771643</v>
      </c>
      <c r="F24" s="15">
        <v>8883126</v>
      </c>
      <c r="G24" s="15">
        <v>1692828</v>
      </c>
      <c r="H24" s="15">
        <v>2124391</v>
      </c>
      <c r="J24" s="15">
        <v>921432</v>
      </c>
      <c r="K24" s="15">
        <v>-927566</v>
      </c>
      <c r="L24" s="15">
        <v>1956623</v>
      </c>
      <c r="M24" s="15">
        <v>54345765</v>
      </c>
      <c r="N24" s="15">
        <v>441965</v>
      </c>
      <c r="O24" s="15">
        <v>214082</v>
      </c>
      <c r="P24" s="15">
        <v>108691529</v>
      </c>
    </row>
    <row r="25" spans="1:16">
      <c r="A25" s="13" t="s">
        <v>54</v>
      </c>
      <c r="B25" s="15">
        <v>20133847</v>
      </c>
      <c r="D25" s="15">
        <v>5661772</v>
      </c>
      <c r="E25" s="15">
        <v>27699345</v>
      </c>
      <c r="F25" s="15">
        <v>29975862</v>
      </c>
      <c r="G25" s="15">
        <v>652254</v>
      </c>
      <c r="H25" s="15">
        <v>834693</v>
      </c>
      <c r="J25" s="15">
        <v>520030</v>
      </c>
      <c r="L25" s="15">
        <v>793440</v>
      </c>
      <c r="M25" s="15">
        <v>87619296</v>
      </c>
      <c r="N25" s="15">
        <v>1139968</v>
      </c>
      <c r="O25" s="15">
        <v>208086</v>
      </c>
      <c r="P25" s="15">
        <v>175238593</v>
      </c>
    </row>
    <row r="26" spans="1:16">
      <c r="A26" s="13" t="s">
        <v>52</v>
      </c>
      <c r="B26" s="15">
        <v>141655</v>
      </c>
      <c r="D26" s="15">
        <v>6522108</v>
      </c>
      <c r="E26" s="15">
        <v>4661434</v>
      </c>
      <c r="G26" s="15">
        <v>741687</v>
      </c>
      <c r="H26" s="15">
        <v>304858</v>
      </c>
      <c r="J26" s="15">
        <v>378214</v>
      </c>
      <c r="L26" s="15">
        <v>24064</v>
      </c>
      <c r="M26" s="15">
        <v>22561400</v>
      </c>
      <c r="N26" s="15">
        <v>4768590</v>
      </c>
      <c r="O26" s="15">
        <v>5018791</v>
      </c>
      <c r="P26" s="15">
        <v>45122801</v>
      </c>
    </row>
    <row r="27" spans="1:16">
      <c r="A27" s="13" t="s">
        <v>58</v>
      </c>
      <c r="B27" s="15">
        <v>84661728</v>
      </c>
      <c r="D27" s="15">
        <v>3138398</v>
      </c>
      <c r="E27" s="15">
        <v>61973783</v>
      </c>
      <c r="F27" s="15">
        <v>60957388</v>
      </c>
      <c r="G27" s="15">
        <v>504625</v>
      </c>
      <c r="H27" s="15">
        <v>1914934</v>
      </c>
      <c r="I27" s="15">
        <v>3195274</v>
      </c>
      <c r="J27" s="15">
        <v>2427023</v>
      </c>
      <c r="K27" s="15">
        <v>-1396910</v>
      </c>
      <c r="L27" s="15">
        <v>236306</v>
      </c>
      <c r="M27" s="15">
        <v>231674190</v>
      </c>
      <c r="N27" s="15">
        <v>10914504</v>
      </c>
      <c r="O27" s="15">
        <v>3147135</v>
      </c>
      <c r="P27" s="15">
        <v>463348378</v>
      </c>
    </row>
    <row r="28" spans="1:16">
      <c r="A28" s="13" t="s">
        <v>60</v>
      </c>
      <c r="B28" s="15">
        <v>46910712</v>
      </c>
      <c r="D28" s="15">
        <v>2107008</v>
      </c>
      <c r="E28" s="15">
        <v>17110588</v>
      </c>
      <c r="F28" s="15">
        <v>29202658</v>
      </c>
      <c r="G28" s="15">
        <v>810361</v>
      </c>
      <c r="H28" s="15">
        <v>1062466</v>
      </c>
      <c r="J28" s="15">
        <v>93148</v>
      </c>
      <c r="L28" s="15">
        <v>2084042</v>
      </c>
      <c r="M28" s="15">
        <v>123034883</v>
      </c>
      <c r="N28" s="15">
        <v>21427300</v>
      </c>
      <c r="O28" s="15">
        <v>2226600</v>
      </c>
      <c r="P28" s="15">
        <v>246069766</v>
      </c>
    </row>
    <row r="29" spans="1:16">
      <c r="A29" s="13" t="s">
        <v>64</v>
      </c>
      <c r="B29" s="15">
        <v>126710270</v>
      </c>
      <c r="D29" s="15">
        <v>1656784</v>
      </c>
      <c r="E29" s="15">
        <v>14100111</v>
      </c>
      <c r="F29" s="15">
        <v>21310558</v>
      </c>
      <c r="G29" s="15">
        <v>2016</v>
      </c>
      <c r="H29" s="15">
        <v>163860</v>
      </c>
      <c r="J29" s="15">
        <v>199510</v>
      </c>
      <c r="K29" s="15">
        <v>93814</v>
      </c>
      <c r="L29" s="15">
        <v>182462</v>
      </c>
      <c r="M29" s="15">
        <v>170190768</v>
      </c>
      <c r="N29" s="15">
        <v>5669354</v>
      </c>
      <c r="O29" s="15">
        <v>102030</v>
      </c>
      <c r="P29" s="15">
        <v>340381537</v>
      </c>
    </row>
    <row r="30" spans="1:16">
      <c r="A30" s="13" t="s">
        <v>62</v>
      </c>
      <c r="B30" s="15">
        <v>10560086</v>
      </c>
      <c r="E30" s="15">
        <v>98963622</v>
      </c>
      <c r="F30" s="15">
        <v>13838940</v>
      </c>
      <c r="G30" s="15">
        <v>0</v>
      </c>
      <c r="H30" s="15">
        <v>33108</v>
      </c>
      <c r="J30" s="15">
        <v>54620</v>
      </c>
      <c r="L30" s="15">
        <v>651706</v>
      </c>
      <c r="M30" s="15">
        <v>126947542</v>
      </c>
      <c r="O30" s="15">
        <v>2845462</v>
      </c>
      <c r="P30" s="15">
        <v>253895086</v>
      </c>
    </row>
    <row r="31" spans="1:16">
      <c r="A31" s="13" t="s">
        <v>67</v>
      </c>
      <c r="B31" s="15">
        <v>26720052</v>
      </c>
      <c r="D31" s="15">
        <v>22809218</v>
      </c>
      <c r="E31" s="15">
        <v>952740</v>
      </c>
      <c r="G31" s="15">
        <v>609344</v>
      </c>
      <c r="I31" s="15">
        <v>24830</v>
      </c>
      <c r="J31" s="15">
        <v>892008</v>
      </c>
      <c r="L31" s="15">
        <v>68024</v>
      </c>
      <c r="M31" s="15">
        <v>56425662</v>
      </c>
      <c r="N31" s="15">
        <v>4306784</v>
      </c>
      <c r="O31" s="15">
        <v>42662</v>
      </c>
      <c r="P31" s="15">
        <v>112851324</v>
      </c>
    </row>
    <row r="32" spans="1:16">
      <c r="A32" s="13" t="s">
        <v>85</v>
      </c>
      <c r="B32" s="15">
        <v>63380938</v>
      </c>
      <c r="D32" s="15">
        <v>13210858</v>
      </c>
      <c r="E32" s="15">
        <v>86891498</v>
      </c>
      <c r="F32" s="15">
        <v>84153898</v>
      </c>
      <c r="G32" s="15">
        <v>1070112</v>
      </c>
      <c r="H32" s="15">
        <v>1312689</v>
      </c>
      <c r="J32" s="15">
        <v>1266162</v>
      </c>
      <c r="K32" s="15">
        <v>0</v>
      </c>
      <c r="L32" s="15">
        <v>12220756</v>
      </c>
      <c r="M32" s="15">
        <v>268498994</v>
      </c>
      <c r="N32" s="15">
        <v>1085544</v>
      </c>
      <c r="O32" s="15">
        <v>3906538</v>
      </c>
      <c r="P32" s="15">
        <v>536997987</v>
      </c>
    </row>
    <row r="33" spans="1:16">
      <c r="A33" s="13" t="s">
        <v>88</v>
      </c>
      <c r="B33" s="15">
        <v>55081330</v>
      </c>
      <c r="D33" s="15">
        <v>6360308</v>
      </c>
      <c r="E33" s="15">
        <v>2038546</v>
      </c>
      <c r="G33" s="15">
        <v>103894</v>
      </c>
      <c r="H33" s="15">
        <v>2076</v>
      </c>
      <c r="I33" s="15">
        <v>101976</v>
      </c>
      <c r="J33" s="15">
        <v>76686</v>
      </c>
      <c r="M33" s="15">
        <v>85230642</v>
      </c>
      <c r="N33" s="15">
        <v>21465826</v>
      </c>
      <c r="P33" s="15">
        <v>170461284</v>
      </c>
    </row>
    <row r="34" spans="1:16">
      <c r="A34" s="13" t="s">
        <v>69</v>
      </c>
      <c r="B34" s="15">
        <v>46610416</v>
      </c>
      <c r="D34" s="15">
        <v>2764146</v>
      </c>
      <c r="E34" s="15">
        <v>1929580</v>
      </c>
      <c r="F34" s="15">
        <v>11264280</v>
      </c>
      <c r="G34" s="15">
        <v>0</v>
      </c>
      <c r="H34" s="15">
        <v>186626</v>
      </c>
      <c r="J34" s="15">
        <v>24948</v>
      </c>
      <c r="L34" s="15">
        <v>54224</v>
      </c>
      <c r="M34" s="15">
        <v>73932432</v>
      </c>
      <c r="N34" s="15">
        <v>11098212</v>
      </c>
      <c r="O34" s="15">
        <v>0</v>
      </c>
      <c r="P34" s="15">
        <v>147864864</v>
      </c>
    </row>
    <row r="35" spans="1:16">
      <c r="A35" s="13" t="s">
        <v>74</v>
      </c>
      <c r="B35" s="15">
        <v>1320614</v>
      </c>
      <c r="D35" s="15">
        <v>2709976</v>
      </c>
      <c r="E35" s="15">
        <v>5983078</v>
      </c>
      <c r="F35" s="15">
        <v>20123392</v>
      </c>
      <c r="G35" s="15">
        <v>95354</v>
      </c>
      <c r="H35" s="15">
        <v>276909</v>
      </c>
      <c r="J35" s="15">
        <v>356160</v>
      </c>
      <c r="M35" s="15">
        <v>34174312</v>
      </c>
      <c r="N35" s="15">
        <v>813318</v>
      </c>
      <c r="O35" s="15">
        <v>2495510</v>
      </c>
      <c r="P35" s="15">
        <v>68348623</v>
      </c>
    </row>
    <row r="36" spans="1:16">
      <c r="A36" s="13" t="s">
        <v>77</v>
      </c>
      <c r="B36" s="15">
        <v>2386576</v>
      </c>
      <c r="D36" s="15">
        <v>71076</v>
      </c>
      <c r="E36" s="15">
        <v>77726983</v>
      </c>
      <c r="F36" s="15">
        <v>63964212</v>
      </c>
      <c r="G36" s="15">
        <v>1103838</v>
      </c>
      <c r="H36" s="15">
        <v>1869862</v>
      </c>
      <c r="I36" s="15">
        <v>424096</v>
      </c>
      <c r="J36" s="15">
        <v>724729</v>
      </c>
      <c r="K36" s="15">
        <v>-230204</v>
      </c>
      <c r="L36" s="15">
        <v>1980840</v>
      </c>
      <c r="M36" s="15">
        <v>150067199</v>
      </c>
      <c r="N36" s="15">
        <v>45192</v>
      </c>
      <c r="P36" s="15">
        <v>300134399</v>
      </c>
    </row>
    <row r="37" spans="1:16">
      <c r="A37" s="13" t="s">
        <v>80</v>
      </c>
      <c r="B37" s="15">
        <v>26803064</v>
      </c>
      <c r="C37" s="15">
        <v>26276</v>
      </c>
      <c r="D37" s="15">
        <v>299092</v>
      </c>
      <c r="E37" s="15">
        <v>23256354</v>
      </c>
      <c r="G37" s="15">
        <v>-1462</v>
      </c>
      <c r="H37" s="15">
        <v>42312</v>
      </c>
      <c r="J37" s="15">
        <v>41474</v>
      </c>
      <c r="L37" s="15">
        <v>2697152</v>
      </c>
      <c r="M37" s="15">
        <v>65347364</v>
      </c>
      <c r="N37" s="15">
        <v>12183102</v>
      </c>
      <c r="P37" s="15">
        <v>130694728</v>
      </c>
    </row>
    <row r="38" spans="1:16">
      <c r="A38" s="13" t="s">
        <v>71</v>
      </c>
      <c r="B38" s="15">
        <v>4970092</v>
      </c>
      <c r="C38" s="15">
        <v>6923964</v>
      </c>
      <c r="D38" s="15">
        <v>3762532</v>
      </c>
      <c r="E38" s="15">
        <v>53377223</v>
      </c>
      <c r="G38" s="15">
        <v>57564</v>
      </c>
      <c r="H38" s="15">
        <v>106132</v>
      </c>
      <c r="I38" s="15">
        <v>0</v>
      </c>
      <c r="J38" s="15">
        <v>20490</v>
      </c>
      <c r="L38" s="15">
        <v>9437790</v>
      </c>
      <c r="M38" s="15">
        <v>79280482</v>
      </c>
      <c r="N38" s="15">
        <v>624696</v>
      </c>
      <c r="P38" s="15">
        <v>158560965</v>
      </c>
    </row>
    <row r="39" spans="1:16">
      <c r="A39" s="13" t="s">
        <v>82</v>
      </c>
      <c r="B39" s="15">
        <v>1380771</v>
      </c>
      <c r="D39" s="15">
        <v>59260000</v>
      </c>
      <c r="E39" s="15">
        <v>101620853</v>
      </c>
      <c r="F39" s="15">
        <v>85838022</v>
      </c>
      <c r="G39" s="15">
        <v>1746290</v>
      </c>
      <c r="H39" s="15">
        <v>3231934</v>
      </c>
      <c r="I39" s="15">
        <v>0</v>
      </c>
      <c r="J39" s="15">
        <v>3181421</v>
      </c>
      <c r="K39" s="15">
        <v>-861436</v>
      </c>
      <c r="L39" s="15">
        <v>594944</v>
      </c>
      <c r="M39" s="15">
        <v>265041001</v>
      </c>
      <c r="N39" s="15">
        <v>7996666</v>
      </c>
      <c r="O39" s="15">
        <v>1051536</v>
      </c>
      <c r="P39" s="15">
        <v>530082002</v>
      </c>
    </row>
    <row r="40" spans="1:16">
      <c r="A40" s="13" t="s">
        <v>91</v>
      </c>
      <c r="B40" s="15">
        <v>117453925</v>
      </c>
      <c r="D40" s="15">
        <v>488038</v>
      </c>
      <c r="E40" s="15">
        <v>88429003</v>
      </c>
      <c r="F40" s="15">
        <v>36630014</v>
      </c>
      <c r="G40" s="15">
        <v>10866</v>
      </c>
      <c r="H40" s="15">
        <v>945194</v>
      </c>
      <c r="I40" s="15">
        <v>1573781</v>
      </c>
      <c r="J40" s="15">
        <v>2631493</v>
      </c>
      <c r="L40" s="15">
        <v>238110</v>
      </c>
      <c r="M40" s="15">
        <v>252369220</v>
      </c>
      <c r="N40" s="15">
        <v>3500044</v>
      </c>
      <c r="O40" s="15">
        <v>468754</v>
      </c>
      <c r="P40" s="15">
        <v>504738442</v>
      </c>
    </row>
    <row r="41" spans="1:16">
      <c r="A41" s="13" t="s">
        <v>94</v>
      </c>
      <c r="B41" s="15">
        <v>29813494</v>
      </c>
      <c r="D41" s="15">
        <v>4069794</v>
      </c>
      <c r="E41" s="15">
        <v>83225972</v>
      </c>
      <c r="G41" s="15">
        <v>114150</v>
      </c>
      <c r="H41" s="15">
        <v>153690</v>
      </c>
      <c r="J41" s="15">
        <v>35955</v>
      </c>
      <c r="K41" s="15">
        <v>-270102</v>
      </c>
      <c r="L41" s="15">
        <v>123252</v>
      </c>
      <c r="M41" s="15">
        <v>172447442</v>
      </c>
      <c r="N41" s="15">
        <v>54676456</v>
      </c>
      <c r="O41" s="15">
        <v>504780</v>
      </c>
      <c r="P41" s="15">
        <v>344894883</v>
      </c>
    </row>
    <row r="42" spans="1:16">
      <c r="A42" s="13" t="s">
        <v>96</v>
      </c>
      <c r="B42" s="15">
        <v>2952782</v>
      </c>
      <c r="C42" s="15">
        <v>352470</v>
      </c>
      <c r="D42" s="15">
        <v>70885546</v>
      </c>
      <c r="E42" s="15">
        <v>35845554</v>
      </c>
      <c r="G42" s="15">
        <v>68190</v>
      </c>
      <c r="H42" s="15">
        <v>714145</v>
      </c>
      <c r="J42" s="15">
        <v>9712</v>
      </c>
      <c r="L42" s="15">
        <v>1143392</v>
      </c>
      <c r="M42" s="15">
        <v>128227120</v>
      </c>
      <c r="N42" s="15">
        <v>14894884</v>
      </c>
      <c r="O42" s="15">
        <v>1360446</v>
      </c>
      <c r="P42" s="15">
        <v>256454241</v>
      </c>
    </row>
    <row r="43" spans="1:16">
      <c r="A43" s="13" t="s">
        <v>99</v>
      </c>
      <c r="B43" s="15">
        <v>88172568</v>
      </c>
      <c r="D43" s="15">
        <v>8523514</v>
      </c>
      <c r="E43" s="15">
        <v>152781718</v>
      </c>
      <c r="F43" s="15">
        <v>166953488</v>
      </c>
      <c r="G43" s="15">
        <v>1561694</v>
      </c>
      <c r="H43" s="15">
        <v>3633364</v>
      </c>
      <c r="I43" s="15">
        <v>1056985</v>
      </c>
      <c r="J43" s="15">
        <v>1251294</v>
      </c>
      <c r="K43" s="15">
        <v>-1318286</v>
      </c>
      <c r="L43" s="15">
        <v>124950</v>
      </c>
      <c r="M43" s="15">
        <v>430771660</v>
      </c>
      <c r="N43" s="15">
        <v>7133834</v>
      </c>
      <c r="O43" s="15">
        <v>896538</v>
      </c>
      <c r="P43" s="15">
        <v>861543321</v>
      </c>
    </row>
    <row r="44" spans="1:16">
      <c r="A44" s="13" t="s">
        <v>102</v>
      </c>
      <c r="B44" s="15">
        <v>0</v>
      </c>
      <c r="D44" s="15">
        <v>8200</v>
      </c>
      <c r="E44" s="15">
        <v>15793879</v>
      </c>
      <c r="H44" s="15">
        <v>422062</v>
      </c>
      <c r="J44" s="15">
        <v>151428</v>
      </c>
      <c r="L44" s="15">
        <v>57732</v>
      </c>
      <c r="M44" s="15">
        <v>16750514</v>
      </c>
      <c r="N44" s="15">
        <v>317212</v>
      </c>
      <c r="P44" s="15">
        <v>33501027</v>
      </c>
    </row>
    <row r="45" spans="1:16">
      <c r="A45" s="13" t="s">
        <v>104</v>
      </c>
      <c r="B45" s="15">
        <v>38994969</v>
      </c>
      <c r="D45" s="15">
        <v>6027440</v>
      </c>
      <c r="E45" s="15">
        <v>43307592</v>
      </c>
      <c r="F45" s="15">
        <v>105432938</v>
      </c>
      <c r="G45" s="15">
        <v>83302</v>
      </c>
      <c r="H45" s="15">
        <v>299712</v>
      </c>
      <c r="J45" s="15">
        <v>687806</v>
      </c>
      <c r="K45" s="15">
        <v>-1409470</v>
      </c>
      <c r="L45" s="15">
        <v>1020988</v>
      </c>
      <c r="M45" s="15">
        <v>198728176</v>
      </c>
      <c r="O45" s="15">
        <v>4282900</v>
      </c>
      <c r="P45" s="15">
        <v>397456353</v>
      </c>
    </row>
    <row r="46" spans="1:16">
      <c r="A46" s="13" t="s">
        <v>107</v>
      </c>
      <c r="B46" s="15">
        <v>4678674</v>
      </c>
      <c r="D46" s="15">
        <v>12532540</v>
      </c>
      <c r="E46" s="15">
        <v>2335438</v>
      </c>
      <c r="G46" s="15">
        <v>0</v>
      </c>
      <c r="H46" s="15">
        <v>0</v>
      </c>
      <c r="J46" s="15">
        <v>12793</v>
      </c>
      <c r="L46" s="15">
        <v>3344</v>
      </c>
      <c r="M46" s="15">
        <v>25232792</v>
      </c>
      <c r="N46" s="15">
        <v>5670004</v>
      </c>
      <c r="P46" s="15">
        <v>50465585</v>
      </c>
    </row>
    <row r="47" spans="1:16">
      <c r="A47" s="13" t="s">
        <v>110</v>
      </c>
      <c r="B47" s="15">
        <v>41933426</v>
      </c>
      <c r="D47" s="15">
        <v>20585450</v>
      </c>
      <c r="E47" s="15">
        <v>26797406</v>
      </c>
      <c r="F47" s="15">
        <v>72352764</v>
      </c>
      <c r="G47" s="15">
        <v>16914</v>
      </c>
      <c r="H47" s="15">
        <v>174440</v>
      </c>
      <c r="I47" s="15">
        <v>22350</v>
      </c>
      <c r="J47" s="15">
        <v>259110</v>
      </c>
      <c r="K47" s="15">
        <v>-1239688</v>
      </c>
      <c r="L47" s="15">
        <v>335188</v>
      </c>
      <c r="M47" s="15">
        <v>163109834</v>
      </c>
      <c r="N47" s="15">
        <v>82018</v>
      </c>
      <c r="O47" s="15">
        <v>1790454</v>
      </c>
      <c r="P47" s="15">
        <v>326219666</v>
      </c>
    </row>
    <row r="48" spans="1:16">
      <c r="A48" s="13" t="s">
        <v>113</v>
      </c>
      <c r="B48" s="15">
        <v>223445285</v>
      </c>
      <c r="D48" s="15">
        <v>2252756</v>
      </c>
      <c r="E48" s="15">
        <v>479426169</v>
      </c>
      <c r="F48" s="15">
        <v>82371478</v>
      </c>
      <c r="G48" s="15">
        <v>905258</v>
      </c>
      <c r="H48" s="15">
        <v>1170417</v>
      </c>
      <c r="I48" s="15">
        <v>5052952</v>
      </c>
      <c r="J48" s="15">
        <v>258625</v>
      </c>
      <c r="L48" s="15">
        <v>6411294</v>
      </c>
      <c r="M48" s="15">
        <v>954704850</v>
      </c>
      <c r="N48" s="15">
        <v>151400868</v>
      </c>
      <c r="O48" s="15">
        <v>2009748</v>
      </c>
      <c r="P48" s="15">
        <v>1909409700</v>
      </c>
    </row>
    <row r="49" spans="1:16">
      <c r="A49" s="13" t="s">
        <v>1765</v>
      </c>
      <c r="B49" s="15">
        <v>2298974677</v>
      </c>
      <c r="C49" s="15">
        <v>31934268</v>
      </c>
      <c r="D49" s="15">
        <v>585047978</v>
      </c>
      <c r="E49" s="15">
        <v>2937864904</v>
      </c>
      <c r="F49" s="15">
        <v>1614168954</v>
      </c>
      <c r="G49" s="15">
        <v>25946409</v>
      </c>
      <c r="H49" s="15">
        <v>41791530</v>
      </c>
      <c r="I49" s="15">
        <v>26925497</v>
      </c>
      <c r="J49" s="15">
        <v>50451236</v>
      </c>
      <c r="K49" s="15">
        <v>-11809078</v>
      </c>
      <c r="L49" s="15">
        <v>127650629</v>
      </c>
      <c r="M49" s="15">
        <v>8356154228</v>
      </c>
      <c r="N49" s="15">
        <v>545334908</v>
      </c>
      <c r="O49" s="15">
        <v>81872318</v>
      </c>
      <c r="P49" s="15">
        <v>16712308458</v>
      </c>
    </row>
    <row r="50" spans="1:16">
      <c r="A50" s="13" t="s">
        <v>116</v>
      </c>
      <c r="B50" s="15">
        <v>51824948</v>
      </c>
      <c r="C50" s="15">
        <v>891474</v>
      </c>
      <c r="D50" s="15">
        <v>1854194</v>
      </c>
      <c r="E50" s="15">
        <v>17448238</v>
      </c>
      <c r="G50" s="15">
        <v>450286</v>
      </c>
      <c r="H50" s="15">
        <v>158920</v>
      </c>
      <c r="I50" s="15">
        <v>13118</v>
      </c>
      <c r="J50" s="15">
        <v>73147</v>
      </c>
      <c r="L50" s="15">
        <v>4447412</v>
      </c>
      <c r="M50" s="15">
        <v>78750848</v>
      </c>
      <c r="N50" s="15">
        <v>1589110</v>
      </c>
      <c r="P50" s="15">
        <v>157501695</v>
      </c>
    </row>
    <row r="51" spans="1:16">
      <c r="A51" s="13" t="s">
        <v>121</v>
      </c>
      <c r="B51" s="15">
        <v>18532551</v>
      </c>
      <c r="D51" s="15">
        <v>3529720</v>
      </c>
      <c r="E51" s="15">
        <v>100320601</v>
      </c>
      <c r="F51" s="15">
        <v>58503336</v>
      </c>
      <c r="G51" s="15">
        <v>942454</v>
      </c>
      <c r="H51" s="15">
        <v>2344030</v>
      </c>
      <c r="J51" s="15">
        <v>1900823</v>
      </c>
      <c r="K51" s="15">
        <v>-2583952</v>
      </c>
      <c r="L51" s="15">
        <v>1526144</v>
      </c>
      <c r="M51" s="15">
        <v>191018242</v>
      </c>
      <c r="O51" s="15">
        <v>6002534</v>
      </c>
      <c r="P51" s="15">
        <v>382036483</v>
      </c>
    </row>
    <row r="52" spans="1:16">
      <c r="A52" s="13" t="s">
        <v>119</v>
      </c>
      <c r="D52" s="15">
        <v>2536378</v>
      </c>
      <c r="E52" s="15">
        <v>3594</v>
      </c>
      <c r="G52" s="15">
        <v>-592</v>
      </c>
      <c r="H52" s="15">
        <v>24106</v>
      </c>
      <c r="J52" s="15">
        <v>6264</v>
      </c>
      <c r="L52" s="15">
        <v>213480</v>
      </c>
      <c r="M52" s="15">
        <v>4357830</v>
      </c>
      <c r="N52" s="15">
        <v>746692</v>
      </c>
      <c r="O52" s="15">
        <v>827910</v>
      </c>
      <c r="P52" s="15">
        <v>8715662</v>
      </c>
    </row>
    <row r="53" spans="1:16">
      <c r="A53" s="13" t="s">
        <v>124</v>
      </c>
      <c r="B53" s="15">
        <v>10765732</v>
      </c>
      <c r="D53" s="15">
        <v>161766754</v>
      </c>
      <c r="E53" s="15">
        <v>21070156</v>
      </c>
      <c r="F53" s="15">
        <v>19416882</v>
      </c>
      <c r="G53" s="15">
        <v>118530</v>
      </c>
      <c r="H53" s="15">
        <v>463414</v>
      </c>
      <c r="I53" s="15">
        <v>861680</v>
      </c>
      <c r="J53" s="15">
        <v>47312</v>
      </c>
      <c r="K53" s="15">
        <v>56474</v>
      </c>
      <c r="L53" s="15">
        <v>3390</v>
      </c>
      <c r="M53" s="15">
        <v>233513457</v>
      </c>
      <c r="N53" s="15">
        <v>15800188</v>
      </c>
      <c r="O53" s="15">
        <v>3142944</v>
      </c>
      <c r="P53" s="15">
        <v>467026913</v>
      </c>
    </row>
    <row r="54" spans="1:16">
      <c r="A54" s="13" t="s">
        <v>129</v>
      </c>
      <c r="B54" s="15">
        <v>66644759</v>
      </c>
      <c r="D54" s="15">
        <v>4784019</v>
      </c>
      <c r="E54" s="15">
        <v>33597311</v>
      </c>
      <c r="F54" s="15">
        <v>20258244</v>
      </c>
      <c r="G54" s="15">
        <v>85262</v>
      </c>
      <c r="H54" s="15">
        <v>1108078</v>
      </c>
      <c r="J54" s="15">
        <v>275022</v>
      </c>
      <c r="L54" s="15">
        <v>79364</v>
      </c>
      <c r="M54" s="15">
        <v>131873607</v>
      </c>
      <c r="N54" s="15">
        <v>3275316</v>
      </c>
      <c r="O54" s="15">
        <v>1766230</v>
      </c>
      <c r="P54" s="15">
        <v>263747212</v>
      </c>
    </row>
    <row r="55" spans="1:16">
      <c r="A55" s="13" t="s">
        <v>127</v>
      </c>
      <c r="B55" s="15">
        <v>124077671</v>
      </c>
      <c r="D55" s="15">
        <v>3695286</v>
      </c>
      <c r="E55" s="15">
        <v>2840780</v>
      </c>
      <c r="G55" s="15">
        <v>-23116</v>
      </c>
      <c r="I55" s="15">
        <v>49690</v>
      </c>
      <c r="J55" s="15">
        <v>317770</v>
      </c>
      <c r="M55" s="15">
        <v>134498050</v>
      </c>
      <c r="N55" s="15">
        <v>3539968</v>
      </c>
      <c r="P55" s="15">
        <v>268996099</v>
      </c>
    </row>
    <row r="56" spans="1:16">
      <c r="A56" s="13" t="s">
        <v>133</v>
      </c>
      <c r="B56" s="15">
        <v>79358573</v>
      </c>
      <c r="D56" s="15">
        <v>1951404</v>
      </c>
      <c r="E56" s="15">
        <v>1792244</v>
      </c>
      <c r="G56" s="15">
        <v>170532</v>
      </c>
      <c r="I56" s="15">
        <v>755282</v>
      </c>
      <c r="J56" s="15">
        <v>80271</v>
      </c>
      <c r="L56" s="15">
        <v>1648</v>
      </c>
      <c r="M56" s="15">
        <v>92224272</v>
      </c>
      <c r="N56" s="15">
        <v>8114316</v>
      </c>
      <c r="P56" s="15">
        <v>184448542</v>
      </c>
    </row>
    <row r="57" spans="1:16">
      <c r="A57" s="13" t="s">
        <v>2369</v>
      </c>
      <c r="B57" s="15">
        <v>4597949351</v>
      </c>
      <c r="C57" s="15">
        <v>63868536</v>
      </c>
      <c r="D57" s="15">
        <v>1170095954</v>
      </c>
      <c r="E57" s="15">
        <v>5875729810</v>
      </c>
      <c r="F57" s="15">
        <v>3228337908</v>
      </c>
      <c r="G57" s="15">
        <v>51892817</v>
      </c>
      <c r="H57" s="15">
        <v>83583054</v>
      </c>
      <c r="I57" s="15">
        <v>53850993</v>
      </c>
      <c r="J57" s="15">
        <v>100902472</v>
      </c>
      <c r="K57" s="15">
        <v>-23618156</v>
      </c>
      <c r="L57" s="15">
        <v>255301263</v>
      </c>
      <c r="M57" s="15">
        <v>16712308460</v>
      </c>
      <c r="N57" s="15">
        <v>1090669819</v>
      </c>
      <c r="O57" s="15">
        <v>163744636</v>
      </c>
      <c r="P57" s="15">
        <v>33424616917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92"/>
  <sheetViews>
    <sheetView workbookViewId="0">
      <selection activeCell="I39" sqref="I39"/>
    </sheetView>
  </sheetViews>
  <sheetFormatPr baseColWidth="10" defaultColWidth="0" defaultRowHeight="15"/>
  <cols>
    <col min="1" max="1" width="50.1640625" style="15" customWidth="1"/>
    <col min="2" max="2" width="11.5" style="15" bestFit="1" customWidth="1"/>
    <col min="3" max="8" width="8.83203125" customWidth="1"/>
    <col min="9" max="9" width="9.5" style="15" customWidth="1"/>
    <col min="10" max="10" width="11.1640625" style="15" bestFit="1" customWidth="1"/>
    <col min="11" max="35" width="8.83203125" customWidth="1"/>
    <col min="36" max="16384" width="8.83203125" hidden="1"/>
  </cols>
  <sheetData>
    <row r="1" spans="1:34" s="3" customFormat="1">
      <c r="A1" s="3" t="s">
        <v>1766</v>
      </c>
    </row>
    <row r="2" spans="1:34">
      <c r="A2" s="1" t="s">
        <v>1767</v>
      </c>
      <c r="B2" s="1">
        <v>2018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  <c r="J2" s="1">
        <v>2026</v>
      </c>
      <c r="K2" s="1">
        <v>2027</v>
      </c>
      <c r="L2" s="1">
        <v>2028</v>
      </c>
      <c r="M2" s="1">
        <v>2029</v>
      </c>
      <c r="N2" s="1">
        <v>2030</v>
      </c>
      <c r="O2" s="1">
        <v>2031</v>
      </c>
      <c r="P2" s="1">
        <v>2032</v>
      </c>
      <c r="Q2" s="1">
        <v>2033</v>
      </c>
      <c r="R2" s="1">
        <v>2034</v>
      </c>
      <c r="S2" s="1">
        <v>2035</v>
      </c>
      <c r="T2" s="1">
        <v>2036</v>
      </c>
      <c r="U2" s="1">
        <v>2037</v>
      </c>
      <c r="V2" s="1">
        <v>2038</v>
      </c>
      <c r="W2" s="1">
        <v>2039</v>
      </c>
      <c r="X2" s="1">
        <v>2040</v>
      </c>
      <c r="Y2" s="1">
        <v>2041</v>
      </c>
      <c r="Z2" s="1">
        <v>2042</v>
      </c>
      <c r="AA2" s="1">
        <v>2043</v>
      </c>
      <c r="AB2" s="1">
        <v>2044</v>
      </c>
      <c r="AC2" s="1">
        <v>2045</v>
      </c>
      <c r="AD2" s="1">
        <v>2046</v>
      </c>
      <c r="AE2" s="1">
        <v>2047</v>
      </c>
      <c r="AF2" s="1">
        <v>2048</v>
      </c>
      <c r="AG2" s="1">
        <v>2049</v>
      </c>
      <c r="AH2" s="1">
        <v>2050</v>
      </c>
    </row>
    <row r="3" spans="1:34">
      <c r="A3" t="s">
        <v>1768</v>
      </c>
      <c r="B3">
        <v>1312.57</v>
      </c>
      <c r="C3">
        <v>991.63800000000003</v>
      </c>
      <c r="D3">
        <v>569.68600000000004</v>
      </c>
      <c r="E3">
        <v>1108.74</v>
      </c>
      <c r="F3">
        <v>770.41899999999998</v>
      </c>
      <c r="G3">
        <v>747.37400000000002</v>
      </c>
      <c r="H3">
        <v>762.70899999999995</v>
      </c>
      <c r="I3">
        <v>690.39499999999998</v>
      </c>
      <c r="J3">
        <v>696.33199999999999</v>
      </c>
      <c r="K3">
        <v>688.62199999999996</v>
      </c>
      <c r="L3">
        <v>701.89800000000002</v>
      </c>
      <c r="M3">
        <v>675.63699999999994</v>
      </c>
      <c r="N3">
        <v>673.76499999999999</v>
      </c>
      <c r="O3">
        <v>670.86</v>
      </c>
      <c r="P3">
        <v>719.61</v>
      </c>
      <c r="Q3">
        <v>732.42700000000002</v>
      </c>
      <c r="R3">
        <v>738.11599999999999</v>
      </c>
      <c r="S3">
        <v>738.55799999999999</v>
      </c>
      <c r="T3">
        <v>750.47900000000004</v>
      </c>
      <c r="U3">
        <v>746.25300000000004</v>
      </c>
      <c r="V3">
        <v>732.26400000000001</v>
      </c>
      <c r="W3">
        <v>731.02800000000002</v>
      </c>
      <c r="X3">
        <v>745.95899999999995</v>
      </c>
      <c r="Y3">
        <v>737.553</v>
      </c>
      <c r="Z3">
        <v>747.61400000000003</v>
      </c>
      <c r="AA3">
        <v>763.625</v>
      </c>
      <c r="AB3">
        <v>786.34699999999998</v>
      </c>
      <c r="AC3">
        <v>801.16200000000003</v>
      </c>
      <c r="AD3">
        <v>813.40300000000002</v>
      </c>
      <c r="AE3">
        <v>831.71199999999999</v>
      </c>
      <c r="AF3">
        <v>863.55499999999995</v>
      </c>
      <c r="AG3">
        <v>882.702</v>
      </c>
      <c r="AH3">
        <v>900.49099999999999</v>
      </c>
    </row>
    <row r="4" spans="1:34">
      <c r="A4" t="s">
        <v>1769</v>
      </c>
      <c r="B4">
        <v>803.98099999999999</v>
      </c>
      <c r="C4">
        <v>1135.94</v>
      </c>
      <c r="D4">
        <v>1382.6</v>
      </c>
      <c r="E4">
        <v>992.70500000000004</v>
      </c>
      <c r="F4">
        <v>1387.83</v>
      </c>
      <c r="G4">
        <v>1419.33</v>
      </c>
      <c r="H4">
        <v>1398.79</v>
      </c>
      <c r="I4">
        <v>1452.15</v>
      </c>
      <c r="J4">
        <v>1473.31</v>
      </c>
      <c r="K4">
        <v>1485.46</v>
      </c>
      <c r="L4">
        <v>1475.07</v>
      </c>
      <c r="M4">
        <v>1511.35</v>
      </c>
      <c r="N4">
        <v>1519.27</v>
      </c>
      <c r="O4">
        <v>1541.34</v>
      </c>
      <c r="P4">
        <v>1508.66</v>
      </c>
      <c r="Q4">
        <v>1518.21</v>
      </c>
      <c r="R4">
        <v>1535.11</v>
      </c>
      <c r="S4">
        <v>1561.14</v>
      </c>
      <c r="T4">
        <v>1576.42</v>
      </c>
      <c r="U4">
        <v>1611.61</v>
      </c>
      <c r="V4">
        <v>1655.4</v>
      </c>
      <c r="W4">
        <v>1689.76</v>
      </c>
      <c r="X4">
        <v>1705.43</v>
      </c>
      <c r="Y4">
        <v>1744.89</v>
      </c>
      <c r="Z4">
        <v>1764.43</v>
      </c>
      <c r="AA4">
        <v>1777.63</v>
      </c>
      <c r="AB4">
        <v>1781.07</v>
      </c>
      <c r="AC4">
        <v>1789.65</v>
      </c>
      <c r="AD4">
        <v>1802.86</v>
      </c>
      <c r="AE4">
        <v>1806.36</v>
      </c>
      <c r="AF4">
        <v>1791.32</v>
      </c>
      <c r="AG4">
        <v>1790.25</v>
      </c>
      <c r="AH4">
        <v>1787.6</v>
      </c>
    </row>
    <row r="5" spans="1:34">
      <c r="A5" t="s">
        <v>1770</v>
      </c>
      <c r="B5">
        <v>804.67600000000004</v>
      </c>
      <c r="C5">
        <v>795.476</v>
      </c>
      <c r="D5">
        <v>795.476</v>
      </c>
      <c r="E5">
        <v>767.87800000000004</v>
      </c>
      <c r="F5">
        <v>767.87800000000004</v>
      </c>
      <c r="G5">
        <v>767.87800000000004</v>
      </c>
      <c r="H5">
        <v>767.87800000000004</v>
      </c>
      <c r="I5">
        <v>749.47900000000004</v>
      </c>
      <c r="J5">
        <v>685.08399999999995</v>
      </c>
      <c r="K5">
        <v>685.08399999999995</v>
      </c>
      <c r="L5">
        <v>685.08399999999995</v>
      </c>
      <c r="M5">
        <v>685.08399999999995</v>
      </c>
      <c r="N5">
        <v>685.08399999999995</v>
      </c>
      <c r="O5">
        <v>685.08399999999995</v>
      </c>
      <c r="P5">
        <v>685.08399999999995</v>
      </c>
      <c r="Q5">
        <v>675.88400000000001</v>
      </c>
      <c r="R5">
        <v>666.68499999999995</v>
      </c>
      <c r="S5">
        <v>666.68499999999995</v>
      </c>
      <c r="T5">
        <v>666.68499999999995</v>
      </c>
      <c r="U5">
        <v>666.68499999999995</v>
      </c>
      <c r="V5">
        <v>666.68499999999995</v>
      </c>
      <c r="W5">
        <v>666.68499999999995</v>
      </c>
      <c r="X5">
        <v>657.48500000000001</v>
      </c>
      <c r="Y5">
        <v>657.48500000000001</v>
      </c>
      <c r="Z5">
        <v>657.48500000000001</v>
      </c>
      <c r="AA5">
        <v>648.28599999999994</v>
      </c>
      <c r="AB5">
        <v>648.28599999999994</v>
      </c>
      <c r="AC5">
        <v>648.28599999999994</v>
      </c>
      <c r="AD5">
        <v>648.28599999999994</v>
      </c>
      <c r="AE5">
        <v>648.28599999999994</v>
      </c>
      <c r="AF5">
        <v>648.28599999999994</v>
      </c>
      <c r="AG5">
        <v>648.28599999999994</v>
      </c>
      <c r="AH5">
        <v>648.28599999999994</v>
      </c>
    </row>
    <row r="6" spans="1:34">
      <c r="A6" t="s">
        <v>1771</v>
      </c>
      <c r="B6">
        <v>387.21699999999998</v>
      </c>
      <c r="C6">
        <v>388.005</v>
      </c>
      <c r="D6">
        <v>388.20499999999998</v>
      </c>
      <c r="E6">
        <v>389.82900000000001</v>
      </c>
      <c r="F6">
        <v>391.66399999999999</v>
      </c>
      <c r="G6">
        <v>393.40100000000001</v>
      </c>
      <c r="H6">
        <v>395.17200000000003</v>
      </c>
      <c r="I6">
        <v>397.11700000000002</v>
      </c>
      <c r="J6">
        <v>399.01100000000002</v>
      </c>
      <c r="K6">
        <v>400.69400000000002</v>
      </c>
      <c r="L6">
        <v>402.35399999999998</v>
      </c>
      <c r="M6">
        <v>403.83699999999999</v>
      </c>
      <c r="N6">
        <v>405.548</v>
      </c>
      <c r="O6">
        <v>407.09399999999999</v>
      </c>
      <c r="P6">
        <v>408.86700000000002</v>
      </c>
      <c r="Q6">
        <v>410.72699999999998</v>
      </c>
      <c r="R6">
        <v>412.654</v>
      </c>
      <c r="S6">
        <v>414.577</v>
      </c>
      <c r="T6">
        <v>416.495</v>
      </c>
      <c r="U6">
        <v>418.41699999999997</v>
      </c>
      <c r="V6">
        <v>420.36099999999999</v>
      </c>
      <c r="W6">
        <v>422.26600000000002</v>
      </c>
      <c r="X6">
        <v>424.22199999999998</v>
      </c>
      <c r="Y6">
        <v>426.11599999999999</v>
      </c>
      <c r="Z6">
        <v>428.00900000000001</v>
      </c>
      <c r="AA6">
        <v>429.96499999999997</v>
      </c>
      <c r="AB6">
        <v>431.57299999999998</v>
      </c>
      <c r="AC6">
        <v>433.45800000000003</v>
      </c>
      <c r="AD6">
        <v>435.21</v>
      </c>
      <c r="AE6">
        <v>436.55700000000002</v>
      </c>
      <c r="AF6">
        <v>437.92700000000002</v>
      </c>
      <c r="AG6">
        <v>439.28500000000003</v>
      </c>
      <c r="AH6">
        <v>440.66300000000001</v>
      </c>
    </row>
    <row r="7" spans="1:34">
      <c r="A7" t="s">
        <v>1772</v>
      </c>
      <c r="B7">
        <v>354.30799999999999</v>
      </c>
      <c r="C7">
        <v>392.61599999999999</v>
      </c>
      <c r="D7">
        <v>394.38</v>
      </c>
      <c r="E7">
        <v>409.08300000000003</v>
      </c>
      <c r="F7">
        <v>445.79199999999997</v>
      </c>
      <c r="G7">
        <v>478.05099999999999</v>
      </c>
      <c r="H7">
        <v>507.05799999999999</v>
      </c>
      <c r="I7">
        <v>552.12400000000002</v>
      </c>
      <c r="J7">
        <v>589.10799999999995</v>
      </c>
      <c r="K7">
        <v>604.68499999999995</v>
      </c>
      <c r="L7">
        <v>623.22799999999995</v>
      </c>
      <c r="M7">
        <v>642.61099999999999</v>
      </c>
      <c r="N7">
        <v>657.01900000000001</v>
      </c>
      <c r="O7">
        <v>672.01900000000001</v>
      </c>
      <c r="P7">
        <v>685.05499999999995</v>
      </c>
      <c r="Q7">
        <v>703.548</v>
      </c>
      <c r="R7">
        <v>725.61</v>
      </c>
      <c r="S7">
        <v>745.09299999999996</v>
      </c>
      <c r="T7">
        <v>764.13300000000004</v>
      </c>
      <c r="U7">
        <v>783.33399999999995</v>
      </c>
      <c r="V7">
        <v>805.54200000000003</v>
      </c>
      <c r="W7">
        <v>823.34100000000001</v>
      </c>
      <c r="X7">
        <v>846.65099999999995</v>
      </c>
      <c r="Y7">
        <v>864.505</v>
      </c>
      <c r="Z7">
        <v>881.46400000000006</v>
      </c>
      <c r="AA7">
        <v>903.12699999999995</v>
      </c>
      <c r="AB7">
        <v>920.66099999999994</v>
      </c>
      <c r="AC7">
        <v>937.89599999999996</v>
      </c>
      <c r="AD7">
        <v>952.81200000000001</v>
      </c>
      <c r="AE7">
        <v>968.33100000000002</v>
      </c>
      <c r="AF7">
        <v>983.995</v>
      </c>
      <c r="AG7">
        <v>997.51300000000003</v>
      </c>
      <c r="AH7">
        <v>1014</v>
      </c>
    </row>
    <row r="8" spans="1:34">
      <c r="A8" t="s">
        <v>1773</v>
      </c>
      <c r="B8">
        <v>49.267800000000001</v>
      </c>
      <c r="C8">
        <v>49.235700000000001</v>
      </c>
      <c r="D8">
        <v>49.194400000000002</v>
      </c>
      <c r="E8">
        <v>50.535699999999999</v>
      </c>
      <c r="F8">
        <v>55.031100000000002</v>
      </c>
      <c r="G8">
        <v>59.366399999999999</v>
      </c>
      <c r="H8">
        <v>63.027099999999997</v>
      </c>
      <c r="I8">
        <v>78.243799999999993</v>
      </c>
      <c r="J8">
        <v>100.23</v>
      </c>
      <c r="K8">
        <v>103.935</v>
      </c>
      <c r="L8">
        <v>109.387</v>
      </c>
      <c r="M8">
        <v>115.20099999999999</v>
      </c>
      <c r="N8">
        <v>118.76300000000001</v>
      </c>
      <c r="O8">
        <v>120.474</v>
      </c>
      <c r="P8">
        <v>121.553</v>
      </c>
      <c r="Q8">
        <v>125.79600000000001</v>
      </c>
      <c r="R8">
        <v>132.11199999999999</v>
      </c>
      <c r="S8">
        <v>135.85599999999999</v>
      </c>
      <c r="T8">
        <v>139.345</v>
      </c>
      <c r="U8">
        <v>143.285</v>
      </c>
      <c r="V8">
        <v>148.97</v>
      </c>
      <c r="W8">
        <v>153.41</v>
      </c>
      <c r="X8">
        <v>159.94900000000001</v>
      </c>
      <c r="Y8">
        <v>164.012</v>
      </c>
      <c r="Z8">
        <v>168.45099999999999</v>
      </c>
      <c r="AA8">
        <v>174.917</v>
      </c>
      <c r="AB8">
        <v>180.21700000000001</v>
      </c>
      <c r="AC8">
        <v>186.71199999999999</v>
      </c>
      <c r="AD8">
        <v>193.155</v>
      </c>
      <c r="AE8">
        <v>199.53200000000001</v>
      </c>
      <c r="AF8">
        <v>206.54</v>
      </c>
      <c r="AG8">
        <v>211.98</v>
      </c>
      <c r="AH8">
        <v>219.14099999999999</v>
      </c>
    </row>
    <row r="9" spans="1:34">
      <c r="A9" t="s">
        <v>1774</v>
      </c>
      <c r="B9">
        <v>3.3572199999999999</v>
      </c>
      <c r="C9">
        <v>3.3572199999999999</v>
      </c>
      <c r="D9">
        <v>3.3572199999999999</v>
      </c>
      <c r="E9">
        <v>3.3572199999999999</v>
      </c>
      <c r="F9">
        <v>3.3572199999999999</v>
      </c>
      <c r="G9">
        <v>3.3572199999999999</v>
      </c>
      <c r="H9">
        <v>3.3572199999999999</v>
      </c>
      <c r="I9">
        <v>4.1935500000000001</v>
      </c>
      <c r="J9">
        <v>5.02989</v>
      </c>
      <c r="K9">
        <v>5.8662200000000002</v>
      </c>
      <c r="L9">
        <v>7.5388900000000003</v>
      </c>
      <c r="M9">
        <v>10.0479</v>
      </c>
      <c r="N9">
        <v>12.556900000000001</v>
      </c>
      <c r="O9">
        <v>15.065899999999999</v>
      </c>
      <c r="P9">
        <v>17.5749</v>
      </c>
      <c r="Q9">
        <v>20.920200000000001</v>
      </c>
      <c r="R9">
        <v>24.265599999999999</v>
      </c>
      <c r="S9">
        <v>27.610900000000001</v>
      </c>
      <c r="T9">
        <v>30.956299999999999</v>
      </c>
      <c r="U9">
        <v>34.301600000000001</v>
      </c>
      <c r="V9">
        <v>37.646900000000002</v>
      </c>
      <c r="W9">
        <v>40.9923</v>
      </c>
      <c r="X9">
        <v>44.337600000000002</v>
      </c>
      <c r="Y9">
        <v>47.683</v>
      </c>
      <c r="Z9">
        <v>51.028300000000002</v>
      </c>
      <c r="AA9">
        <v>54.373600000000003</v>
      </c>
      <c r="AB9">
        <v>57.719000000000001</v>
      </c>
      <c r="AC9">
        <v>61.064300000000003</v>
      </c>
      <c r="AD9">
        <v>64.409700000000001</v>
      </c>
      <c r="AE9">
        <v>67.754999999999995</v>
      </c>
      <c r="AF9">
        <v>71.100300000000004</v>
      </c>
      <c r="AG9">
        <v>74.445700000000002</v>
      </c>
      <c r="AH9">
        <v>77.790999999999997</v>
      </c>
    </row>
    <row r="10" spans="1:34">
      <c r="A10" t="s">
        <v>1775</v>
      </c>
      <c r="B10">
        <v>3.46983</v>
      </c>
      <c r="C10">
        <v>1.8999299999999999</v>
      </c>
      <c r="D10">
        <v>0.77537900000000004</v>
      </c>
      <c r="E10">
        <v>2.6971099999999999</v>
      </c>
      <c r="F10">
        <v>1.7921400000000001</v>
      </c>
      <c r="G10">
        <v>1.99152</v>
      </c>
      <c r="H10">
        <v>2.27277</v>
      </c>
      <c r="I10">
        <v>2.7323499999999998</v>
      </c>
      <c r="J10">
        <v>2.8643399999999999</v>
      </c>
      <c r="K10">
        <v>2.8769200000000001</v>
      </c>
      <c r="L10">
        <v>3.0811000000000002</v>
      </c>
      <c r="M10">
        <v>3.1033499999999998</v>
      </c>
      <c r="N10">
        <v>3.2471899999999998</v>
      </c>
      <c r="O10">
        <v>3.1831200000000002</v>
      </c>
      <c r="P10">
        <v>3.5789399999999998</v>
      </c>
      <c r="Q10">
        <v>3.7421000000000002</v>
      </c>
      <c r="R10">
        <v>3.8469500000000001</v>
      </c>
      <c r="S10">
        <v>3.9614400000000001</v>
      </c>
      <c r="T10">
        <v>4.2084000000000001</v>
      </c>
      <c r="U10">
        <v>4.24017</v>
      </c>
      <c r="V10">
        <v>4.2263999999999999</v>
      </c>
      <c r="W10">
        <v>4.2839600000000004</v>
      </c>
      <c r="X10">
        <v>4.5257199999999997</v>
      </c>
      <c r="Y10">
        <v>4.4334100000000003</v>
      </c>
      <c r="Z10">
        <v>4.5711599999999999</v>
      </c>
      <c r="AA10">
        <v>4.7872599999999998</v>
      </c>
      <c r="AB10">
        <v>5.1314599999999997</v>
      </c>
      <c r="AC10">
        <v>5.4237299999999999</v>
      </c>
      <c r="AD10">
        <v>5.6494999999999997</v>
      </c>
      <c r="AE10">
        <v>5.9689500000000004</v>
      </c>
      <c r="AF10">
        <v>6.6594499999999996</v>
      </c>
      <c r="AG10">
        <v>7.1413000000000002</v>
      </c>
      <c r="AH10">
        <v>7.6136999999999997</v>
      </c>
    </row>
    <row r="11" spans="1:34">
      <c r="A11" t="s">
        <v>1776</v>
      </c>
      <c r="B11">
        <v>16.309699999999999</v>
      </c>
      <c r="C11">
        <v>16.452300000000001</v>
      </c>
      <c r="D11">
        <v>16.452300000000001</v>
      </c>
      <c r="E11">
        <v>17.379300000000001</v>
      </c>
      <c r="F11">
        <v>18.9481</v>
      </c>
      <c r="G11">
        <v>20.588100000000001</v>
      </c>
      <c r="H11">
        <v>22.299499999999998</v>
      </c>
      <c r="I11">
        <v>24.153400000000001</v>
      </c>
      <c r="J11">
        <v>26.007400000000001</v>
      </c>
      <c r="K11">
        <v>27.79</v>
      </c>
      <c r="L11">
        <v>29.643999999999998</v>
      </c>
      <c r="M11">
        <v>31.498000000000001</v>
      </c>
      <c r="N11">
        <v>33.351900000000001</v>
      </c>
      <c r="O11">
        <v>35.2059</v>
      </c>
      <c r="P11">
        <v>37.059899999999999</v>
      </c>
      <c r="Q11">
        <v>38.913800000000002</v>
      </c>
      <c r="R11">
        <v>40.767800000000001</v>
      </c>
      <c r="S11">
        <v>42.6218</v>
      </c>
      <c r="T11">
        <v>44.475700000000003</v>
      </c>
      <c r="U11">
        <v>46.329700000000003</v>
      </c>
      <c r="V11">
        <v>48.183700000000002</v>
      </c>
      <c r="W11">
        <v>50.037599999999998</v>
      </c>
      <c r="X11">
        <v>51.891599999999997</v>
      </c>
      <c r="Y11">
        <v>53.745600000000003</v>
      </c>
      <c r="Z11">
        <v>55.599499999999999</v>
      </c>
      <c r="AA11">
        <v>57.453499999999998</v>
      </c>
      <c r="AB11">
        <v>59.307499999999997</v>
      </c>
      <c r="AC11">
        <v>61.1614</v>
      </c>
      <c r="AD11">
        <v>63.0154</v>
      </c>
      <c r="AE11">
        <v>64.869399999999999</v>
      </c>
      <c r="AF11">
        <v>66.723299999999995</v>
      </c>
      <c r="AG11">
        <v>68.506</v>
      </c>
      <c r="AH11">
        <v>70.36</v>
      </c>
    </row>
    <row r="12" spans="1:34">
      <c r="A12" t="s">
        <v>1777</v>
      </c>
      <c r="B12">
        <v>14.639799999999999</v>
      </c>
      <c r="C12">
        <v>14.5436</v>
      </c>
      <c r="D12">
        <v>14.469099999999999</v>
      </c>
      <c r="E12">
        <v>14.3087</v>
      </c>
      <c r="F12">
        <v>14.181100000000001</v>
      </c>
      <c r="G12">
        <v>14.120799999999999</v>
      </c>
      <c r="H12">
        <v>14.0541</v>
      </c>
      <c r="I12">
        <v>13.976100000000001</v>
      </c>
      <c r="J12">
        <v>13.919600000000001</v>
      </c>
      <c r="K12">
        <v>13.893599999999999</v>
      </c>
      <c r="L12">
        <v>13.8804</v>
      </c>
      <c r="M12">
        <v>13.837199999999999</v>
      </c>
      <c r="N12">
        <v>13.8264</v>
      </c>
      <c r="O12">
        <v>13.801399999999999</v>
      </c>
      <c r="P12">
        <v>13.755800000000001</v>
      </c>
      <c r="Q12">
        <v>13.7249</v>
      </c>
      <c r="R12">
        <v>13.7102</v>
      </c>
      <c r="S12">
        <v>13.685600000000001</v>
      </c>
      <c r="T12">
        <v>13.685600000000001</v>
      </c>
      <c r="U12">
        <v>13.684699999999999</v>
      </c>
      <c r="V12">
        <v>13.676299999999999</v>
      </c>
      <c r="W12">
        <v>13.676299999999999</v>
      </c>
      <c r="X12">
        <v>13.676299999999999</v>
      </c>
      <c r="Y12">
        <v>13.6714</v>
      </c>
      <c r="Z12">
        <v>13.670400000000001</v>
      </c>
      <c r="AA12">
        <v>13.670400000000001</v>
      </c>
      <c r="AB12">
        <v>13.670400000000001</v>
      </c>
      <c r="AC12">
        <v>13.670400000000001</v>
      </c>
      <c r="AD12">
        <v>13.670400000000001</v>
      </c>
      <c r="AE12">
        <v>13.670400000000001</v>
      </c>
      <c r="AF12">
        <v>13.6685</v>
      </c>
      <c r="AG12">
        <v>13.6675</v>
      </c>
      <c r="AH12">
        <v>13.6675</v>
      </c>
    </row>
    <row r="13" spans="1:34">
      <c r="A13" t="s">
        <v>1778</v>
      </c>
      <c r="B13">
        <v>155.53</v>
      </c>
      <c r="C13">
        <v>154.15</v>
      </c>
      <c r="D13">
        <v>151.785</v>
      </c>
      <c r="E13">
        <v>146.93600000000001</v>
      </c>
      <c r="F13">
        <v>143.11699999999999</v>
      </c>
      <c r="G13">
        <v>141.34700000000001</v>
      </c>
      <c r="H13">
        <v>139.38</v>
      </c>
      <c r="I13">
        <v>137.05799999999999</v>
      </c>
      <c r="J13">
        <v>135.363</v>
      </c>
      <c r="K13">
        <v>134.57400000000001</v>
      </c>
      <c r="L13">
        <v>134.18</v>
      </c>
      <c r="M13">
        <v>132.87899999999999</v>
      </c>
      <c r="N13">
        <v>132.56399999999999</v>
      </c>
      <c r="O13">
        <v>131.815</v>
      </c>
      <c r="P13">
        <v>130.435</v>
      </c>
      <c r="Q13">
        <v>129.489</v>
      </c>
      <c r="R13">
        <v>129.05600000000001</v>
      </c>
      <c r="S13">
        <v>128.346</v>
      </c>
      <c r="T13">
        <v>128.346</v>
      </c>
      <c r="U13">
        <v>128.346</v>
      </c>
      <c r="V13">
        <v>128.10900000000001</v>
      </c>
      <c r="W13">
        <v>128.10900000000001</v>
      </c>
      <c r="X13">
        <v>128.10900000000001</v>
      </c>
      <c r="Y13">
        <v>127.991</v>
      </c>
      <c r="Z13">
        <v>127.991</v>
      </c>
      <c r="AA13">
        <v>127.991</v>
      </c>
      <c r="AB13">
        <v>127.991</v>
      </c>
      <c r="AC13">
        <v>127.991</v>
      </c>
      <c r="AD13">
        <v>127.991</v>
      </c>
      <c r="AE13">
        <v>127.991</v>
      </c>
      <c r="AF13">
        <v>127.952</v>
      </c>
      <c r="AG13">
        <v>127.952</v>
      </c>
      <c r="AH13">
        <v>127.952</v>
      </c>
    </row>
    <row r="14" spans="1:34">
      <c r="A14" t="s">
        <v>1779</v>
      </c>
      <c r="B14">
        <v>41.7727</v>
      </c>
      <c r="C14">
        <v>28.409199999999998</v>
      </c>
      <c r="D14">
        <v>13.1768</v>
      </c>
      <c r="E14">
        <v>36.2697</v>
      </c>
      <c r="F14">
        <v>23.4511</v>
      </c>
      <c r="G14">
        <v>25.605899999999998</v>
      </c>
      <c r="H14">
        <v>30.353000000000002</v>
      </c>
      <c r="I14">
        <v>34.4069</v>
      </c>
      <c r="J14">
        <v>35.945700000000002</v>
      </c>
      <c r="K14">
        <v>35.8063</v>
      </c>
      <c r="L14">
        <v>37.3919</v>
      </c>
      <c r="M14">
        <v>36.297499999999999</v>
      </c>
      <c r="N14">
        <v>36.480400000000003</v>
      </c>
      <c r="O14">
        <v>36.247700000000002</v>
      </c>
      <c r="P14">
        <v>40.262799999999999</v>
      </c>
      <c r="Q14">
        <v>41.393500000000003</v>
      </c>
      <c r="R14">
        <v>42.371699999999997</v>
      </c>
      <c r="S14">
        <v>42.861400000000003</v>
      </c>
      <c r="T14">
        <v>44.274999999999999</v>
      </c>
      <c r="U14">
        <v>44.150399999999998</v>
      </c>
      <c r="V14">
        <v>43.761200000000002</v>
      </c>
      <c r="W14">
        <v>43.802799999999998</v>
      </c>
      <c r="X14">
        <v>45.285499999999999</v>
      </c>
      <c r="Y14">
        <v>44.609000000000002</v>
      </c>
      <c r="Z14">
        <v>45.5319</v>
      </c>
      <c r="AA14">
        <v>47.082599999999999</v>
      </c>
      <c r="AB14">
        <v>49.280099999999997</v>
      </c>
      <c r="AC14">
        <v>50.903199999999998</v>
      </c>
      <c r="AD14">
        <v>52.1768</v>
      </c>
      <c r="AE14">
        <v>54.041600000000003</v>
      </c>
      <c r="AF14">
        <v>57.385899999999999</v>
      </c>
      <c r="AG14">
        <v>59.494599999999998</v>
      </c>
      <c r="AH14">
        <v>61.476999999999997</v>
      </c>
    </row>
    <row r="15" spans="1:34">
      <c r="A15" t="s">
        <v>1780</v>
      </c>
      <c r="B15">
        <v>0.46217799999999998</v>
      </c>
      <c r="C15">
        <v>0.54977799999999999</v>
      </c>
      <c r="D15">
        <v>0.54977799999999999</v>
      </c>
      <c r="E15">
        <v>0.57167800000000002</v>
      </c>
      <c r="F15">
        <v>0.68117799999999995</v>
      </c>
      <c r="G15">
        <v>0.76877799999999996</v>
      </c>
      <c r="H15">
        <v>0.85637799999999997</v>
      </c>
      <c r="I15">
        <v>1.05348</v>
      </c>
      <c r="J15">
        <v>1.25058</v>
      </c>
      <c r="K15">
        <v>1.3381799999999999</v>
      </c>
      <c r="L15">
        <v>1.4476800000000001</v>
      </c>
      <c r="M15">
        <v>1.55718</v>
      </c>
      <c r="N15">
        <v>1.6447799999999999</v>
      </c>
      <c r="O15">
        <v>1.73238</v>
      </c>
      <c r="P15">
        <v>1.8199799999999999</v>
      </c>
      <c r="Q15">
        <v>1.9732799999999999</v>
      </c>
      <c r="R15">
        <v>2.1922799999999998</v>
      </c>
      <c r="S15">
        <v>2.3893800000000001</v>
      </c>
      <c r="T15">
        <v>2.5864799999999999</v>
      </c>
      <c r="U15">
        <v>2.8054800000000002</v>
      </c>
      <c r="V15">
        <v>3.0682800000000001</v>
      </c>
      <c r="W15">
        <v>3.30918</v>
      </c>
      <c r="X15">
        <v>3.61578</v>
      </c>
      <c r="Y15">
        <v>3.8566799999999999</v>
      </c>
      <c r="Z15">
        <v>4.1194800000000003</v>
      </c>
      <c r="AA15">
        <v>4.4698799999999999</v>
      </c>
      <c r="AB15">
        <v>4.7764800000000003</v>
      </c>
      <c r="AC15">
        <v>5.1049800000000003</v>
      </c>
      <c r="AD15">
        <v>5.4115799999999998</v>
      </c>
      <c r="AE15">
        <v>5.7400799999999998</v>
      </c>
      <c r="AF15">
        <v>6.1123799999999999</v>
      </c>
      <c r="AG15">
        <v>6.48468</v>
      </c>
      <c r="AH15">
        <v>6.9445800000000002</v>
      </c>
    </row>
    <row r="16" spans="1:34">
      <c r="A16" t="s">
        <v>1781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1782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1783</v>
      </c>
      <c r="B18">
        <v>15.943199999999999</v>
      </c>
      <c r="C18">
        <v>15.943199999999999</v>
      </c>
      <c r="D18">
        <v>15.943199999999999</v>
      </c>
      <c r="E18">
        <v>15.943199999999999</v>
      </c>
      <c r="F18">
        <v>15.943199999999999</v>
      </c>
      <c r="G18">
        <v>15.943199999999999</v>
      </c>
      <c r="H18">
        <v>15.943199999999999</v>
      </c>
      <c r="I18">
        <v>15.943199999999999</v>
      </c>
      <c r="J18">
        <v>15.943199999999999</v>
      </c>
      <c r="K18">
        <v>15.943199999999999</v>
      </c>
      <c r="L18">
        <v>15.943199999999999</v>
      </c>
      <c r="M18">
        <v>15.943199999999999</v>
      </c>
      <c r="N18">
        <v>15.943199999999999</v>
      </c>
      <c r="O18">
        <v>15.943199999999999</v>
      </c>
      <c r="P18">
        <v>15.943199999999999</v>
      </c>
      <c r="Q18">
        <v>15.943199999999999</v>
      </c>
      <c r="R18">
        <v>15.943199999999999</v>
      </c>
      <c r="S18">
        <v>15.943199999999999</v>
      </c>
      <c r="T18">
        <v>15.943199999999999</v>
      </c>
      <c r="U18">
        <v>15.943199999999999</v>
      </c>
      <c r="V18">
        <v>15.943199999999999</v>
      </c>
      <c r="W18">
        <v>15.943199999999999</v>
      </c>
      <c r="X18">
        <v>15.943199999999999</v>
      </c>
      <c r="Y18">
        <v>15.943199999999999</v>
      </c>
      <c r="Z18">
        <v>15.943199999999999</v>
      </c>
      <c r="AA18">
        <v>15.943199999999999</v>
      </c>
      <c r="AB18">
        <v>15.943199999999999</v>
      </c>
      <c r="AC18">
        <v>15.943199999999999</v>
      </c>
      <c r="AD18">
        <v>15.943199999999999</v>
      </c>
      <c r="AE18">
        <v>15.943199999999999</v>
      </c>
      <c r="AF18">
        <v>15.943199999999999</v>
      </c>
      <c r="AG18">
        <v>15.943199999999999</v>
      </c>
      <c r="AH18">
        <v>15.943199999999999</v>
      </c>
    </row>
    <row r="20" spans="1:34">
      <c r="A20" s="3" t="s">
        <v>1784</v>
      </c>
      <c r="B20" s="8"/>
    </row>
    <row r="21" spans="1:34">
      <c r="A21" t="s">
        <v>1759</v>
      </c>
      <c r="B21">
        <f>B5/SUM(B3:B18)</f>
        <v>0.20302134502875849</v>
      </c>
    </row>
    <row r="22" spans="1:34">
      <c r="A22" t="s">
        <v>1785</v>
      </c>
      <c r="B22">
        <f>B6/SUM(B3:B18)</f>
        <v>9.7695614331731975E-2</v>
      </c>
    </row>
    <row r="24" spans="1:34" ht="16" customHeight="1">
      <c r="A24" s="16" t="s">
        <v>1786</v>
      </c>
      <c r="B24" s="16"/>
      <c r="C24" s="12"/>
      <c r="D24" s="12"/>
      <c r="E24" s="12"/>
      <c r="F24" s="12"/>
      <c r="G24" s="12"/>
      <c r="H24" s="12"/>
      <c r="K24" s="12"/>
      <c r="L24" s="12"/>
      <c r="M24" s="12"/>
    </row>
    <row r="25" spans="1:34" s="12" customFormat="1" ht="16" customHeight="1">
      <c r="A25" s="12" t="s">
        <v>1787</v>
      </c>
      <c r="B25" s="12">
        <f>SUM('Generation by State'!F37,'Generation by State'!F39,'Generation by State'!F51,'Generation by State'!F53)/'Generation by State'!F57</f>
        <v>5.0725247686804413E-2</v>
      </c>
    </row>
    <row r="26" spans="1:34" s="12" customFormat="1" ht="16" customHeight="1">
      <c r="A26" s="12" t="s">
        <v>1788</v>
      </c>
      <c r="B26" s="12">
        <f>SUM('Generation by State'!D12,'Generation by State'!D25,'Generation by State'!D26,'Generation by State'!D37,'Generation by State'!D39,'Generation by State'!D40,'Generation by State'!D52,'Generation by State'!D51,'Generation by State'!D53)/'Generation by State'!D57</f>
        <v>0.20516596197032916</v>
      </c>
    </row>
    <row r="27" spans="1:34" s="12" customFormat="1"/>
    <row r="28" spans="1:34" s="12" customFormat="1" ht="16" customHeight="1">
      <c r="A28" s="16" t="s">
        <v>1789</v>
      </c>
      <c r="B28" s="16"/>
    </row>
    <row r="29" spans="1:34" s="12" customFormat="1" ht="16" customHeight="1">
      <c r="A29" s="12" t="s">
        <v>1759</v>
      </c>
      <c r="B29" s="12">
        <f>B21*(1-B25)</f>
        <v>0.19272303701646654</v>
      </c>
    </row>
    <row r="30" spans="1:34" s="12" customFormat="1" ht="16" customHeight="1">
      <c r="A30" s="12" t="s">
        <v>1785</v>
      </c>
      <c r="B30" s="12">
        <f>B22*(1-B26)</f>
        <v>7.7651799637079896E-2</v>
      </c>
    </row>
    <row r="31" spans="1:34" s="12" customFormat="1" ht="16" customHeight="1">
      <c r="A31" s="12" t="s">
        <v>1752</v>
      </c>
      <c r="B31" s="12">
        <f>SUM(B29:B30)</f>
        <v>0.27037483665354645</v>
      </c>
    </row>
    <row r="32" spans="1:3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s="2" customForma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s="2" customForma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s="2" customForma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s="2" customForma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 s="2" customForma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s="2" customForma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 s="2" customForma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s="2" customForma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1"/>
  <sheetViews>
    <sheetView workbookViewId="0">
      <selection activeCell="I24" sqref="I24"/>
    </sheetView>
  </sheetViews>
  <sheetFormatPr baseColWidth="10" defaultColWidth="8.83203125" defaultRowHeight="15"/>
  <cols>
    <col min="1" max="1" width="42.33203125" style="15" customWidth="1"/>
    <col min="2" max="2" width="10.1640625" style="15" bestFit="1" customWidth="1"/>
    <col min="3" max="16384" width="8.83203125" style="15"/>
  </cols>
  <sheetData>
    <row r="1" spans="1:3">
      <c r="A1" s="3" t="s">
        <v>1</v>
      </c>
      <c r="B1" s="8"/>
      <c r="C1" s="8"/>
    </row>
    <row r="2" spans="1:3">
      <c r="A2" s="15" t="s">
        <v>1790</v>
      </c>
      <c r="B2" s="10">
        <v>105527</v>
      </c>
      <c r="C2" s="15" t="s">
        <v>1791</v>
      </c>
    </row>
    <row r="3" spans="1:3">
      <c r="A3" s="15" t="s">
        <v>1792</v>
      </c>
      <c r="B3" s="10">
        <v>41237685</v>
      </c>
      <c r="C3" s="15" t="s">
        <v>1791</v>
      </c>
    </row>
    <row r="4" spans="1:3">
      <c r="A4" s="15" t="s">
        <v>1793</v>
      </c>
      <c r="B4" s="10">
        <v>66182020</v>
      </c>
      <c r="C4" s="15" t="s">
        <v>1791</v>
      </c>
    </row>
    <row r="5" spans="1:3">
      <c r="A5" s="15" t="s">
        <v>1794</v>
      </c>
      <c r="B5" s="10">
        <v>24838808</v>
      </c>
      <c r="C5" s="15" t="s">
        <v>1791</v>
      </c>
    </row>
    <row r="7" spans="1:3">
      <c r="A7" s="3" t="s">
        <v>79</v>
      </c>
      <c r="B7" s="8"/>
      <c r="C7" s="8"/>
    </row>
    <row r="8" spans="1:3">
      <c r="A8" s="15" t="s">
        <v>1792</v>
      </c>
      <c r="B8" s="10">
        <v>15808891</v>
      </c>
      <c r="C8" s="15" t="s">
        <v>1791</v>
      </c>
    </row>
    <row r="9" spans="1:3">
      <c r="A9" s="15" t="s">
        <v>1795</v>
      </c>
      <c r="B9" s="10">
        <v>4875157</v>
      </c>
      <c r="C9" s="15" t="s">
        <v>1791</v>
      </c>
    </row>
    <row r="10" spans="1:3">
      <c r="A10" s="15" t="s">
        <v>1793</v>
      </c>
      <c r="B10" s="10">
        <v>23156067</v>
      </c>
      <c r="C10" s="15" t="s">
        <v>1791</v>
      </c>
    </row>
    <row r="12" spans="1:3">
      <c r="A12" s="3" t="s">
        <v>84</v>
      </c>
      <c r="B12" s="8"/>
      <c r="C12" s="8"/>
    </row>
    <row r="13" spans="1:3">
      <c r="A13" s="15" t="s">
        <v>1792</v>
      </c>
      <c r="B13" s="15">
        <v>97484168</v>
      </c>
      <c r="C13" s="15" t="s">
        <v>1791</v>
      </c>
    </row>
    <row r="14" spans="1:3">
      <c r="A14" s="15" t="s">
        <v>1795</v>
      </c>
      <c r="B14" s="15">
        <v>18158845</v>
      </c>
      <c r="C14" s="15" t="s">
        <v>1791</v>
      </c>
    </row>
    <row r="15" spans="1:3">
      <c r="A15" s="15" t="s">
        <v>1796</v>
      </c>
      <c r="B15" s="15">
        <v>1779965</v>
      </c>
      <c r="C15" s="15" t="s">
        <v>1791</v>
      </c>
    </row>
    <row r="17" spans="1:3">
      <c r="A17" s="3" t="s">
        <v>18</v>
      </c>
      <c r="B17" s="8"/>
      <c r="C17" s="8"/>
    </row>
    <row r="18" spans="1:3">
      <c r="A18" s="15" t="s">
        <v>1792</v>
      </c>
      <c r="B18" s="15">
        <v>30530047</v>
      </c>
      <c r="C18" s="15" t="s">
        <v>1791</v>
      </c>
    </row>
    <row r="19" spans="1:3">
      <c r="A19" s="15" t="s">
        <v>1795</v>
      </c>
      <c r="B19" s="15">
        <v>14946879</v>
      </c>
      <c r="C19" s="15" t="s">
        <v>1791</v>
      </c>
    </row>
    <row r="20" spans="1:3">
      <c r="A20" s="15" t="s">
        <v>1796</v>
      </c>
      <c r="B20" s="15">
        <v>8416808</v>
      </c>
      <c r="C20" s="15" t="s">
        <v>1791</v>
      </c>
    </row>
    <row r="21" spans="1:3">
      <c r="A21" s="15" t="s">
        <v>1797</v>
      </c>
      <c r="B21" s="15">
        <v>28628812</v>
      </c>
      <c r="C21" s="15" t="s">
        <v>1791</v>
      </c>
    </row>
    <row r="22" spans="1:3">
      <c r="A22" s="15" t="s">
        <v>1752</v>
      </c>
      <c r="B22" s="15">
        <v>54663591</v>
      </c>
      <c r="C22" s="15" t="s">
        <v>1791</v>
      </c>
    </row>
    <row r="24" spans="1:3">
      <c r="A24" s="3" t="s">
        <v>95</v>
      </c>
      <c r="B24" s="8"/>
      <c r="C24" s="8"/>
    </row>
    <row r="25" spans="1:3">
      <c r="A25" s="15" t="s">
        <v>1793</v>
      </c>
      <c r="B25" s="15">
        <v>47638667</v>
      </c>
      <c r="C25" s="15" t="s">
        <v>1791</v>
      </c>
    </row>
    <row r="26" spans="1:3">
      <c r="A26" s="15" t="s">
        <v>1798</v>
      </c>
      <c r="B26" s="15">
        <v>1429160.01</v>
      </c>
      <c r="C26" s="15" t="s">
        <v>1791</v>
      </c>
    </row>
    <row r="27" spans="1:3">
      <c r="A27" s="15" t="s">
        <v>1799</v>
      </c>
      <c r="B27" s="71">
        <v>714580.005</v>
      </c>
      <c r="C27" s="15" t="s">
        <v>1791</v>
      </c>
    </row>
    <row r="28" spans="1:3">
      <c r="A28" s="15" t="s">
        <v>1800</v>
      </c>
      <c r="B28" s="15">
        <v>30954562</v>
      </c>
      <c r="C28" s="15" t="s">
        <v>1791</v>
      </c>
    </row>
    <row r="29" spans="1:3">
      <c r="A29" s="15" t="s">
        <v>1801</v>
      </c>
      <c r="B29" s="15">
        <v>4585668</v>
      </c>
      <c r="C29" s="15" t="s">
        <v>1791</v>
      </c>
    </row>
    <row r="30" spans="1:3">
      <c r="A30" s="15" t="s">
        <v>1802</v>
      </c>
      <c r="B30" s="15">
        <v>4004513</v>
      </c>
      <c r="C30" s="15" t="s">
        <v>1791</v>
      </c>
    </row>
    <row r="31" spans="1:3">
      <c r="A31" s="15" t="s">
        <v>1803</v>
      </c>
      <c r="B31" s="15">
        <v>8093924</v>
      </c>
      <c r="C31" s="15" t="s">
        <v>1791</v>
      </c>
    </row>
    <row r="33" spans="1:3">
      <c r="A33" s="3" t="s">
        <v>112</v>
      </c>
      <c r="B33" s="8"/>
      <c r="C33" s="8"/>
    </row>
    <row r="34" spans="1:3">
      <c r="A34" s="15" t="s">
        <v>2462</v>
      </c>
      <c r="B34" s="15">
        <v>122159</v>
      </c>
      <c r="C34" s="15" t="s">
        <v>1804</v>
      </c>
    </row>
    <row r="36" spans="1:3">
      <c r="A36" s="3" t="s">
        <v>63</v>
      </c>
      <c r="B36" s="3"/>
      <c r="C36" s="3"/>
    </row>
    <row r="37" spans="1:3">
      <c r="A37" s="15" t="s">
        <v>1792</v>
      </c>
      <c r="B37" s="15">
        <v>51794738</v>
      </c>
      <c r="C37" s="15" t="s">
        <v>1791</v>
      </c>
    </row>
    <row r="38" spans="1:3">
      <c r="A38" s="15" t="s">
        <v>1793</v>
      </c>
      <c r="B38" s="15">
        <v>76461419</v>
      </c>
      <c r="C38" s="15" t="s">
        <v>1791</v>
      </c>
    </row>
    <row r="39" spans="1:3">
      <c r="A39" s="15" t="s">
        <v>1794</v>
      </c>
      <c r="B39" s="15">
        <v>24666681</v>
      </c>
      <c r="C39" s="15" t="s">
        <v>1791</v>
      </c>
    </row>
    <row r="41" spans="1:3">
      <c r="A41" s="3" t="s">
        <v>70</v>
      </c>
      <c r="B41" s="3"/>
      <c r="C41" s="3"/>
    </row>
    <row r="42" spans="1:3">
      <c r="A42" s="15" t="s">
        <v>1792</v>
      </c>
      <c r="B42" s="15">
        <v>29208093</v>
      </c>
      <c r="C42" s="15" t="s">
        <v>1791</v>
      </c>
    </row>
    <row r="43" spans="1:3">
      <c r="A43" s="15" t="s">
        <v>1793</v>
      </c>
      <c r="B43" s="15">
        <v>32857381</v>
      </c>
      <c r="C43" s="15" t="s">
        <v>1791</v>
      </c>
    </row>
    <row r="44" spans="1:3">
      <c r="A44" s="15" t="s">
        <v>1794</v>
      </c>
      <c r="B44" s="15">
        <v>3649288</v>
      </c>
      <c r="C44" s="15" t="s">
        <v>1791</v>
      </c>
    </row>
    <row r="46" spans="1:3">
      <c r="A46" s="3" t="s">
        <v>73</v>
      </c>
      <c r="B46" s="3"/>
      <c r="C46" s="3"/>
    </row>
    <row r="47" spans="1:3">
      <c r="A47" s="15" t="s">
        <v>1805</v>
      </c>
      <c r="B47" s="15">
        <v>4283963</v>
      </c>
      <c r="C47" s="15" t="s">
        <v>1791</v>
      </c>
    </row>
    <row r="48" spans="1:3">
      <c r="A48" s="15" t="s">
        <v>1806</v>
      </c>
      <c r="B48" s="15">
        <v>634917</v>
      </c>
      <c r="C48" s="15" t="s">
        <v>1791</v>
      </c>
    </row>
    <row r="49" spans="1:3">
      <c r="A49" s="15" t="s">
        <v>1793</v>
      </c>
      <c r="B49" s="15">
        <v>5224252</v>
      </c>
      <c r="C49" s="15" t="s">
        <v>1791</v>
      </c>
    </row>
    <row r="51" spans="1:3">
      <c r="A51" s="3" t="s">
        <v>90</v>
      </c>
      <c r="B51" s="3"/>
      <c r="C51" s="3"/>
    </row>
    <row r="52" spans="1:3">
      <c r="A52" s="15" t="s">
        <v>1792</v>
      </c>
      <c r="B52" s="15">
        <v>27087283</v>
      </c>
      <c r="C52" s="15" t="s">
        <v>1791</v>
      </c>
    </row>
    <row r="53" spans="1:3">
      <c r="A53" s="15" t="s">
        <v>1793</v>
      </c>
      <c r="B53" s="15">
        <v>46636620</v>
      </c>
      <c r="C53" s="15" t="s">
        <v>1791</v>
      </c>
    </row>
    <row r="54" spans="1:3">
      <c r="A54" s="15" t="s">
        <v>1794</v>
      </c>
      <c r="B54" s="15">
        <v>19549337</v>
      </c>
      <c r="C54" s="15" t="s">
        <v>1791</v>
      </c>
    </row>
    <row r="56" spans="1:3">
      <c r="A56" s="3" t="s">
        <v>123</v>
      </c>
      <c r="B56" s="3"/>
      <c r="C56" s="3"/>
    </row>
    <row r="57" spans="1:3">
      <c r="A57" s="15" t="s">
        <v>1807</v>
      </c>
      <c r="B57" s="15">
        <v>75581327</v>
      </c>
      <c r="C57" s="15" t="s">
        <v>1791</v>
      </c>
    </row>
    <row r="58" spans="1:3">
      <c r="A58" s="15" t="s">
        <v>1793</v>
      </c>
      <c r="B58" s="15">
        <v>90089877</v>
      </c>
      <c r="C58" s="15" t="s">
        <v>1791</v>
      </c>
    </row>
    <row r="60" spans="1:3">
      <c r="A60" s="3" t="s">
        <v>120</v>
      </c>
      <c r="B60" s="3"/>
      <c r="C60" s="3"/>
    </row>
    <row r="61" spans="1:3">
      <c r="A61" s="15" t="s">
        <v>1792</v>
      </c>
      <c r="B61" s="15">
        <v>92068151</v>
      </c>
      <c r="C61" s="15" t="s">
        <v>1791</v>
      </c>
    </row>
    <row r="62" spans="1:3">
      <c r="A62" s="15" t="s">
        <v>1793</v>
      </c>
      <c r="B62" s="15">
        <v>111078769</v>
      </c>
      <c r="C62" s="15" t="s">
        <v>1791</v>
      </c>
    </row>
    <row r="63" spans="1:3">
      <c r="A63" s="15" t="s">
        <v>1794</v>
      </c>
      <c r="B63" s="15">
        <v>19010618</v>
      </c>
      <c r="C63" s="15" t="s">
        <v>1791</v>
      </c>
    </row>
    <row r="65" spans="1:3">
      <c r="A65" s="3" t="s">
        <v>120</v>
      </c>
      <c r="B65" s="3"/>
      <c r="C65" s="3"/>
    </row>
    <row r="66" spans="1:3">
      <c r="A66" s="15" t="s">
        <v>1792</v>
      </c>
      <c r="B66" s="15">
        <v>151104351</v>
      </c>
      <c r="C66" s="15" t="s">
        <v>1791</v>
      </c>
    </row>
    <row r="67" spans="1:3">
      <c r="A67" s="15" t="s">
        <v>1808</v>
      </c>
      <c r="B67" s="15">
        <v>41532599</v>
      </c>
      <c r="C67" s="15" t="s">
        <v>1791</v>
      </c>
    </row>
    <row r="68" spans="1:3">
      <c r="A68" s="15" t="s">
        <v>1793</v>
      </c>
      <c r="B68" s="15">
        <v>219016574</v>
      </c>
      <c r="C68" s="15" t="s">
        <v>1791</v>
      </c>
    </row>
    <row r="71" spans="1:3">
      <c r="A71" s="15" t="s">
        <v>2474</v>
      </c>
    </row>
  </sheetData>
  <pageMargins left="0.7" right="0.7" top="0.75" bottom="0.75" header="0.3" footer="0.3"/>
  <pageSetup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CD2"/>
  <sheetViews>
    <sheetView workbookViewId="0">
      <selection activeCell="P36" sqref="P36"/>
    </sheetView>
  </sheetViews>
  <sheetFormatPr baseColWidth="10" defaultColWidth="8.83203125" defaultRowHeight="15"/>
  <cols>
    <col min="1" max="1" width="14" style="15" customWidth="1"/>
  </cols>
  <sheetData>
    <row r="1" spans="1:82">
      <c r="A1" s="67" t="s">
        <v>2378</v>
      </c>
      <c r="B1" s="68" t="s">
        <v>2379</v>
      </c>
      <c r="C1" s="68" t="s">
        <v>2380</v>
      </c>
      <c r="D1" s="68" t="s">
        <v>2381</v>
      </c>
      <c r="E1" s="68" t="s">
        <v>2382</v>
      </c>
      <c r="F1" s="68" t="s">
        <v>2383</v>
      </c>
      <c r="G1" s="68" t="s">
        <v>2384</v>
      </c>
      <c r="H1" s="68" t="s">
        <v>2385</v>
      </c>
      <c r="I1" s="68" t="s">
        <v>2386</v>
      </c>
      <c r="J1" s="68" t="s">
        <v>2387</v>
      </c>
      <c r="K1" s="68" t="s">
        <v>2388</v>
      </c>
      <c r="L1" s="68" t="s">
        <v>2389</v>
      </c>
      <c r="M1" s="68" t="s">
        <v>2390</v>
      </c>
      <c r="N1" s="68" t="s">
        <v>2391</v>
      </c>
      <c r="O1" s="68" t="s">
        <v>2392</v>
      </c>
      <c r="P1" s="68" t="s">
        <v>2393</v>
      </c>
      <c r="Q1" s="68" t="s">
        <v>2394</v>
      </c>
      <c r="R1" s="68" t="s">
        <v>2395</v>
      </c>
      <c r="S1" s="68" t="s">
        <v>2396</v>
      </c>
      <c r="T1" s="68" t="s">
        <v>2397</v>
      </c>
      <c r="U1" s="68" t="s">
        <v>2398</v>
      </c>
      <c r="V1" s="68" t="s">
        <v>2399</v>
      </c>
      <c r="W1" s="68" t="s">
        <v>2400</v>
      </c>
      <c r="X1" s="68" t="s">
        <v>2401</v>
      </c>
      <c r="Y1" s="68" t="s">
        <v>2402</v>
      </c>
      <c r="Z1" s="68" t="s">
        <v>2403</v>
      </c>
      <c r="AA1" s="68" t="s">
        <v>2404</v>
      </c>
      <c r="AB1" s="68" t="s">
        <v>2405</v>
      </c>
      <c r="AC1" s="68" t="s">
        <v>2406</v>
      </c>
      <c r="AD1" s="68" t="s">
        <v>2407</v>
      </c>
      <c r="AE1" s="68" t="s">
        <v>2408</v>
      </c>
      <c r="AF1" s="68" t="s">
        <v>2409</v>
      </c>
      <c r="AG1" s="68" t="s">
        <v>2410</v>
      </c>
      <c r="AH1" s="68" t="s">
        <v>2411</v>
      </c>
      <c r="AI1" s="68" t="s">
        <v>2412</v>
      </c>
      <c r="AJ1" s="68" t="s">
        <v>2413</v>
      </c>
      <c r="AK1" s="68" t="s">
        <v>2414</v>
      </c>
      <c r="AL1" s="68" t="s">
        <v>2415</v>
      </c>
      <c r="AM1" s="68" t="s">
        <v>2416</v>
      </c>
      <c r="AN1" s="68" t="s">
        <v>2417</v>
      </c>
      <c r="AO1" s="68" t="s">
        <v>2418</v>
      </c>
      <c r="AP1" s="68" t="s">
        <v>2419</v>
      </c>
      <c r="AQ1" s="68" t="s">
        <v>2420</v>
      </c>
      <c r="AR1" s="68" t="s">
        <v>2421</v>
      </c>
      <c r="AS1" s="68" t="s">
        <v>2422</v>
      </c>
      <c r="AT1" s="68" t="s">
        <v>2423</v>
      </c>
      <c r="AU1" s="68" t="s">
        <v>2424</v>
      </c>
      <c r="AV1" s="68" t="s">
        <v>2425</v>
      </c>
      <c r="AW1" s="68" t="s">
        <v>2426</v>
      </c>
      <c r="AX1" s="68" t="s">
        <v>2427</v>
      </c>
      <c r="AY1" s="68" t="s">
        <v>2428</v>
      </c>
      <c r="AZ1" s="68" t="s">
        <v>2429</v>
      </c>
      <c r="BA1" s="68" t="s">
        <v>2430</v>
      </c>
      <c r="BB1" s="68" t="s">
        <v>2431</v>
      </c>
      <c r="BC1" s="68" t="s">
        <v>2432</v>
      </c>
      <c r="BD1" s="68" t="s">
        <v>2433</v>
      </c>
      <c r="BE1" s="68" t="s">
        <v>2434</v>
      </c>
      <c r="BF1" s="68" t="s">
        <v>2435</v>
      </c>
      <c r="BG1" s="68" t="s">
        <v>2436</v>
      </c>
      <c r="BH1" s="68" t="s">
        <v>2437</v>
      </c>
      <c r="BI1" s="68" t="s">
        <v>2438</v>
      </c>
      <c r="BJ1" s="68" t="s">
        <v>2439</v>
      </c>
      <c r="BK1" s="68" t="s">
        <v>2440</v>
      </c>
      <c r="BL1" s="68" t="s">
        <v>2441</v>
      </c>
      <c r="BM1" s="68" t="s">
        <v>2442</v>
      </c>
      <c r="BN1" s="68" t="s">
        <v>2443</v>
      </c>
      <c r="BO1" s="68" t="s">
        <v>2444</v>
      </c>
      <c r="BP1" s="68" t="s">
        <v>2445</v>
      </c>
      <c r="BQ1" s="68" t="s">
        <v>2446</v>
      </c>
      <c r="BR1" s="68" t="s">
        <v>2447</v>
      </c>
      <c r="BS1" s="68" t="s">
        <v>2448</v>
      </c>
      <c r="BT1" s="68" t="s">
        <v>2449</v>
      </c>
      <c r="BU1" s="68" t="s">
        <v>2450</v>
      </c>
      <c r="BV1" s="68" t="s">
        <v>2451</v>
      </c>
      <c r="BW1" s="68" t="s">
        <v>2452</v>
      </c>
      <c r="BX1" s="68" t="s">
        <v>2453</v>
      </c>
      <c r="BY1" s="68" t="s">
        <v>2454</v>
      </c>
      <c r="BZ1" s="68" t="s">
        <v>2455</v>
      </c>
      <c r="CA1" s="68" t="s">
        <v>2456</v>
      </c>
      <c r="CB1" s="68" t="s">
        <v>2457</v>
      </c>
      <c r="CC1" s="68" t="s">
        <v>2458</v>
      </c>
      <c r="CD1" s="68" t="s">
        <v>2459</v>
      </c>
    </row>
    <row r="2" spans="1:82" ht="32" customHeight="1">
      <c r="A2" s="12" t="s">
        <v>1809</v>
      </c>
      <c r="B2" s="21">
        <f>'RPS by State'!J60</f>
        <v>0</v>
      </c>
      <c r="C2" s="70">
        <f>'RPS by State'!K60</f>
        <v>0</v>
      </c>
      <c r="D2" s="21">
        <f>'RPS by State'!L60</f>
        <v>0</v>
      </c>
      <c r="E2" s="21">
        <f>'RPS by State'!M60</f>
        <v>0</v>
      </c>
      <c r="F2" s="21">
        <f>'RPS by State'!N60</f>
        <v>0</v>
      </c>
      <c r="G2" s="21">
        <f>'RPS by State'!O60</f>
        <v>0</v>
      </c>
      <c r="H2" s="21">
        <f>'RPS by State'!P60</f>
        <v>0</v>
      </c>
      <c r="I2" s="21">
        <f>'RPS by State'!Q60</f>
        <v>0</v>
      </c>
      <c r="J2" s="21">
        <f>'RPS by State'!R60</f>
        <v>0</v>
      </c>
      <c r="K2" s="21">
        <f>'RPS by State'!S60</f>
        <v>0</v>
      </c>
      <c r="L2" s="21">
        <f>'RPS by State'!T60</f>
        <v>0</v>
      </c>
      <c r="M2" s="21">
        <f>'RPS by State'!U60</f>
        <v>0</v>
      </c>
      <c r="N2" s="21">
        <f>'RPS by State'!V60</f>
        <v>0</v>
      </c>
      <c r="O2" s="21">
        <f>'RPS by State'!W60</f>
        <v>0</v>
      </c>
      <c r="P2" s="21">
        <f>'RPS by State'!X60</f>
        <v>0</v>
      </c>
      <c r="Q2" s="21">
        <f>'RPS by State'!Y60</f>
        <v>0</v>
      </c>
      <c r="R2" s="21">
        <f>'RPS by State'!Z60</f>
        <v>0</v>
      </c>
      <c r="S2" s="21">
        <f>'RPS by State'!AA60</f>
        <v>0</v>
      </c>
      <c r="T2" s="21">
        <f>'RPS by State'!AB60</f>
        <v>0</v>
      </c>
      <c r="U2" s="21">
        <f>'RPS by State'!AC60</f>
        <v>0</v>
      </c>
      <c r="V2" s="21">
        <f>'RPS by State'!AD60</f>
        <v>0</v>
      </c>
      <c r="W2" s="21">
        <f>'RPS by State'!AE60</f>
        <v>0</v>
      </c>
      <c r="X2" s="21">
        <f>'RPS by State'!AF60</f>
        <v>0</v>
      </c>
      <c r="Y2" s="21">
        <f>'RPS by State'!AG60</f>
        <v>0</v>
      </c>
      <c r="Z2" s="21">
        <f>'RPS by State'!AH60</f>
        <v>0</v>
      </c>
      <c r="AA2" s="21">
        <f>'RPS by State'!AI60</f>
        <v>0</v>
      </c>
      <c r="AB2" s="21">
        <f>'RPS by State'!AJ60</f>
        <v>0</v>
      </c>
      <c r="AC2" s="21">
        <f>'RPS by State'!AK60</f>
        <v>0</v>
      </c>
      <c r="AD2" s="21">
        <f>'RPS by State'!AL60</f>
        <v>0</v>
      </c>
      <c r="AE2" s="21">
        <f>'RPS by State'!AM60</f>
        <v>0</v>
      </c>
      <c r="AF2" s="21">
        <f>'RPS by State'!AN60</f>
        <v>0</v>
      </c>
      <c r="AG2" s="21">
        <f>'RPS by State'!AO60</f>
        <v>0</v>
      </c>
      <c r="AH2" s="21">
        <f>'RPS by State'!AP60</f>
        <v>0</v>
      </c>
      <c r="AI2" s="21">
        <f>'RPS by State'!AQ60</f>
        <v>0</v>
      </c>
      <c r="AJ2" s="69">
        <f>AI2</f>
        <v>0</v>
      </c>
      <c r="AK2" s="69">
        <f t="shared" ref="AK2:CD2" si="0">AJ2</f>
        <v>0</v>
      </c>
      <c r="AL2" s="69">
        <f t="shared" si="0"/>
        <v>0</v>
      </c>
      <c r="AM2" s="69">
        <f t="shared" si="0"/>
        <v>0</v>
      </c>
      <c r="AN2" s="69">
        <f t="shared" si="0"/>
        <v>0</v>
      </c>
      <c r="AO2" s="69">
        <f t="shared" si="0"/>
        <v>0</v>
      </c>
      <c r="AP2" s="69">
        <f t="shared" si="0"/>
        <v>0</v>
      </c>
      <c r="AQ2" s="69">
        <f t="shared" si="0"/>
        <v>0</v>
      </c>
      <c r="AR2" s="69">
        <f t="shared" si="0"/>
        <v>0</v>
      </c>
      <c r="AS2" s="69">
        <f t="shared" si="0"/>
        <v>0</v>
      </c>
      <c r="AT2" s="69">
        <f t="shared" si="0"/>
        <v>0</v>
      </c>
      <c r="AU2" s="69">
        <f t="shared" si="0"/>
        <v>0</v>
      </c>
      <c r="AV2" s="69">
        <f t="shared" si="0"/>
        <v>0</v>
      </c>
      <c r="AW2" s="69">
        <f t="shared" si="0"/>
        <v>0</v>
      </c>
      <c r="AX2" s="69">
        <f t="shared" si="0"/>
        <v>0</v>
      </c>
      <c r="AY2" s="69">
        <f t="shared" si="0"/>
        <v>0</v>
      </c>
      <c r="AZ2" s="69">
        <f t="shared" si="0"/>
        <v>0</v>
      </c>
      <c r="BA2" s="69">
        <f t="shared" si="0"/>
        <v>0</v>
      </c>
      <c r="BB2" s="69">
        <f t="shared" si="0"/>
        <v>0</v>
      </c>
      <c r="BC2" s="69">
        <f t="shared" si="0"/>
        <v>0</v>
      </c>
      <c r="BD2" s="69">
        <f t="shared" si="0"/>
        <v>0</v>
      </c>
      <c r="BE2" s="69">
        <f t="shared" si="0"/>
        <v>0</v>
      </c>
      <c r="BF2" s="69">
        <f t="shared" si="0"/>
        <v>0</v>
      </c>
      <c r="BG2" s="69">
        <f t="shared" si="0"/>
        <v>0</v>
      </c>
      <c r="BH2" s="69">
        <f t="shared" si="0"/>
        <v>0</v>
      </c>
      <c r="BI2" s="69">
        <f t="shared" si="0"/>
        <v>0</v>
      </c>
      <c r="BJ2" s="69">
        <f t="shared" si="0"/>
        <v>0</v>
      </c>
      <c r="BK2" s="69">
        <f t="shared" si="0"/>
        <v>0</v>
      </c>
      <c r="BL2" s="69">
        <f t="shared" si="0"/>
        <v>0</v>
      </c>
      <c r="BM2" s="69">
        <f t="shared" si="0"/>
        <v>0</v>
      </c>
      <c r="BN2" s="69">
        <f t="shared" si="0"/>
        <v>0</v>
      </c>
      <c r="BO2" s="69">
        <f t="shared" si="0"/>
        <v>0</v>
      </c>
      <c r="BP2" s="69">
        <f t="shared" si="0"/>
        <v>0</v>
      </c>
      <c r="BQ2" s="69">
        <f t="shared" si="0"/>
        <v>0</v>
      </c>
      <c r="BR2" s="69">
        <f t="shared" si="0"/>
        <v>0</v>
      </c>
      <c r="BS2" s="69">
        <f t="shared" si="0"/>
        <v>0</v>
      </c>
      <c r="BT2" s="69">
        <f t="shared" si="0"/>
        <v>0</v>
      </c>
      <c r="BU2" s="69">
        <f t="shared" si="0"/>
        <v>0</v>
      </c>
      <c r="BV2" s="69">
        <f t="shared" si="0"/>
        <v>0</v>
      </c>
      <c r="BW2" s="69">
        <f t="shared" si="0"/>
        <v>0</v>
      </c>
      <c r="BX2" s="69">
        <f t="shared" si="0"/>
        <v>0</v>
      </c>
      <c r="BY2" s="69">
        <f t="shared" si="0"/>
        <v>0</v>
      </c>
      <c r="BZ2" s="69">
        <f t="shared" si="0"/>
        <v>0</v>
      </c>
      <c r="CA2" s="69">
        <f t="shared" si="0"/>
        <v>0</v>
      </c>
      <c r="CB2" s="69">
        <f t="shared" si="0"/>
        <v>0</v>
      </c>
      <c r="CC2" s="69">
        <f t="shared" si="0"/>
        <v>0</v>
      </c>
      <c r="CD2" s="69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RPS by State</vt:lpstr>
      <vt:lpstr>Webapp Output</vt:lpstr>
      <vt:lpstr>EIA 2020 ESRAP Table 10</vt:lpstr>
      <vt:lpstr>Generation by State</vt:lpstr>
      <vt:lpstr>BAU Electricity Generation</vt:lpstr>
      <vt:lpstr>Extra State Data</vt:lpstr>
      <vt:lpstr>BRPSPTY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2016-01-06T02:12:13Z</dcterms:created>
  <dcterms:modified xsi:type="dcterms:W3CDTF">2022-09-16T15:14:37Z</dcterms:modified>
</cp:coreProperties>
</file>